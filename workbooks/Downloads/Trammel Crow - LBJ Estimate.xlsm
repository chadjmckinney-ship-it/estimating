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C:\Users\Chad\Estimate_Projects\workbooks\Downloads\"/>
    </mc:Choice>
  </mc:AlternateContent>
  <xr:revisionPtr revIDLastSave="0" documentId="13_ncr:1_{2D5A0ECA-34F7-4326-A42C-D50CCC9AA654}" xr6:coauthVersionLast="47" xr6:coauthVersionMax="47" xr10:uidLastSave="{00000000-0000-0000-0000-000000000000}"/>
  <bookViews>
    <workbookView xWindow="-103" yWindow="-103" windowWidth="22149" windowHeight="13200" tabRatio="500" firstSheet="17" activeTab="20" xr2:uid="{00000000-000D-0000-FFFF-FFFF00000000}"/>
  </bookViews>
  <sheets>
    <sheet name="Information" sheetId="1" r:id="rId1"/>
    <sheet name="Pricing" sheetId="2" r:id="rId2"/>
    <sheet name="Proposal(New UC)" sheetId="3" state="hidden" r:id="rId3"/>
    <sheet name="Summary" sheetId="4" r:id="rId4"/>
    <sheet name="01-Piers" sheetId="5" r:id="rId5"/>
    <sheet name="02-Gd Beams" sheetId="6" r:id="rId6"/>
    <sheet name="04-PT Slab on Grade" sheetId="7" r:id="rId7"/>
    <sheet name="04-PT Slab on Grade Wrap" sheetId="8" r:id="rId8"/>
    <sheet name="05-Slabs" sheetId="9" r:id="rId9"/>
    <sheet name="03-Walls &amp; Footings" sheetId="10" r:id="rId10"/>
    <sheet name="06-Walls &amp; Footings" sheetId="11" r:id="rId11"/>
    <sheet name="06-Footings" sheetId="12" r:id="rId12"/>
    <sheet name="06-Garage Walls &amp; Footings" sheetId="13" r:id="rId13"/>
    <sheet name="06-Garage Footings" sheetId="14" r:id="rId14"/>
    <sheet name="07-COLUMNS" sheetId="15" r:id="rId15"/>
    <sheet name="10-PAVING" sheetId="16" r:id="rId16"/>
    <sheet name="08-CIP EL. DECK" sheetId="17" r:id="rId17"/>
    <sheet name="09-SLAB ON DECK" sheetId="18" r:id="rId18"/>
    <sheet name="11-Sidewalks" sheetId="19" r:id="rId19"/>
    <sheet name="13-Miscellaneous" sheetId="20" r:id="rId20"/>
    <sheet name="12-PANELS" sheetId="21" r:id="rId21"/>
    <sheet name="14-Contingency" sheetId="22" r:id="rId22"/>
    <sheet name="SUB LABOR SHEET" sheetId="23" state="hidden" r:id="rId23"/>
  </sheets>
  <definedNames>
    <definedName name="_xlnm.Print_Area" localSheetId="4">'01-Piers'!$B$2:$AA$89</definedName>
    <definedName name="_xlnm.Print_Area" localSheetId="5">'02-Gd Beams'!$B$1:$X$95</definedName>
    <definedName name="_xlnm.Print_Area" localSheetId="9">'03-Walls &amp; Footings'!$A$1:$W$100</definedName>
    <definedName name="_xlnm.Print_Area" localSheetId="6">'04-PT Slab on Grade'!$B$1:$Z$115</definedName>
    <definedName name="_xlnm.Print_Area" localSheetId="7">'04-PT Slab on Grade Wrap'!$B$1:$Z$115</definedName>
    <definedName name="_xlnm.Print_Area" localSheetId="8">'05-Slabs'!$B$1:$Z$111</definedName>
    <definedName name="_xlnm.Print_Area" localSheetId="11">'06-Footings'!$A$1:$W$99</definedName>
    <definedName name="_xlnm.Print_Area" localSheetId="13">'06-Garage Footings'!$A$1:$W$99</definedName>
    <definedName name="_xlnm.Print_Area" localSheetId="12">'06-Garage Walls &amp; Footings'!$A$1:$W$99</definedName>
    <definedName name="_xlnm.Print_Area" localSheetId="10">'06-Walls &amp; Footings'!$A$1:$W$99</definedName>
    <definedName name="_xlnm.Print_Area" localSheetId="14">'07-COLUMNS'!$A$1:$W$114</definedName>
    <definedName name="_xlnm.Print_Area" localSheetId="16">'08-CIP EL. DECK'!$A$1:$X$124</definedName>
    <definedName name="_xlnm.Print_Area" localSheetId="17">'09-SLAB ON DECK'!$A$1:$Z$46,'09-SLAB ON DECK'!$A$60:$Z$113</definedName>
    <definedName name="_xlnm.Print_Area" localSheetId="15">'10-PAVING'!$A$1:$V$95</definedName>
    <definedName name="_xlnm.Print_Area" localSheetId="18">'11-Sidewalks'!$A$1:$W$93</definedName>
    <definedName name="_xlnm.Print_Area" localSheetId="20">'12-PANELS'!$A$1:$AU$109</definedName>
    <definedName name="_xlnm.Print_Area" localSheetId="19">'13-Miscellaneous'!$B$1:$Y$42</definedName>
    <definedName name="_xlnm.Print_Area" localSheetId="21">'14-Contingency'!$B$1:$Y$38</definedName>
    <definedName name="_xlnm.Print_Area" localSheetId="0">Information!$A$1:$L$31</definedName>
    <definedName name="_xlnm.Print_Area" localSheetId="1">Pricing!$2:$55</definedName>
    <definedName name="_xlnm.Print_Area" localSheetId="2">'Proposal(New UC)'!$B$1:$K$578</definedName>
    <definedName name="_xlnm.Print_Area" localSheetId="22">'SUB LABOR SHEET'!$1:$1048576</definedName>
    <definedName name="_xlnm.Print_Area" localSheetId="3">Summary!$A$1:$Y$63</definedName>
    <definedName name="TABLE" localSheetId="15">'10-PAVING'!$P$69:$T$69</definedName>
    <definedName name="TABLE_2" localSheetId="15">'10-PAVING'!$P$69:$T$69</definedName>
    <definedName name="TABLE_3" localSheetId="15">'10-PAVING'!$P$69:$T$69</definedName>
  </definedNames>
  <calcPr calcId="191029"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H53" i="21" l="1"/>
  <c r="C92" i="15"/>
  <c r="D92" i="15" s="1"/>
  <c r="G53" i="5"/>
  <c r="G99" i="7"/>
  <c r="F85" i="11"/>
  <c r="F54" i="16"/>
  <c r="Q50" i="2"/>
  <c r="T90" i="16" s="1"/>
  <c r="Q49" i="2"/>
  <c r="I62" i="23"/>
  <c r="I61" i="23"/>
  <c r="I60" i="23"/>
  <c r="I59" i="23"/>
  <c r="I58" i="23"/>
  <c r="I57" i="23"/>
  <c r="I56" i="23"/>
  <c r="I63" i="23" s="1"/>
  <c r="I54" i="23"/>
  <c r="I53" i="23"/>
  <c r="I52" i="23"/>
  <c r="I51" i="23"/>
  <c r="I55" i="23" s="1"/>
  <c r="I49" i="23"/>
  <c r="I48" i="23"/>
  <c r="I47" i="23"/>
  <c r="I46" i="23"/>
  <c r="I50" i="23" s="1"/>
  <c r="I44" i="23"/>
  <c r="I43" i="23"/>
  <c r="I42" i="23"/>
  <c r="I41" i="23"/>
  <c r="I40" i="23"/>
  <c r="I45" i="23" s="1"/>
  <c r="I38" i="23"/>
  <c r="I37" i="23"/>
  <c r="I36" i="23"/>
  <c r="I35" i="23"/>
  <c r="I34" i="23"/>
  <c r="I39" i="23" s="1"/>
  <c r="I32" i="23"/>
  <c r="I31" i="23"/>
  <c r="I30" i="23"/>
  <c r="I29" i="23"/>
  <c r="I28" i="23"/>
  <c r="I27" i="23"/>
  <c r="I26" i="23"/>
  <c r="I33" i="23" s="1"/>
  <c r="I24" i="23"/>
  <c r="I23" i="23"/>
  <c r="I22" i="23"/>
  <c r="I21" i="23"/>
  <c r="I20" i="23"/>
  <c r="I19" i="23"/>
  <c r="I18" i="23"/>
  <c r="I16" i="23"/>
  <c r="I15" i="23"/>
  <c r="I14" i="23"/>
  <c r="I13" i="23"/>
  <c r="I12" i="23"/>
  <c r="I11" i="23"/>
  <c r="I17" i="23" s="1"/>
  <c r="C2" i="23"/>
  <c r="R6" i="22"/>
  <c r="R5" i="22"/>
  <c r="R4" i="22"/>
  <c r="R3" i="22"/>
  <c r="X2" i="22"/>
  <c r="A180" i="21"/>
  <c r="A179" i="21"/>
  <c r="A178" i="21"/>
  <c r="A177" i="21"/>
  <c r="A176" i="21"/>
  <c r="A175" i="21"/>
  <c r="A174" i="21"/>
  <c r="A173" i="21"/>
  <c r="A172" i="21"/>
  <c r="F171" i="21"/>
  <c r="F166" i="21"/>
  <c r="F151" i="21"/>
  <c r="W147" i="21"/>
  <c r="W141" i="21"/>
  <c r="F141" i="21"/>
  <c r="W137" i="21"/>
  <c r="F135" i="21"/>
  <c r="W118" i="21"/>
  <c r="W115" i="21"/>
  <c r="A114" i="21"/>
  <c r="B113" i="21"/>
  <c r="A113" i="21"/>
  <c r="L108" i="21"/>
  <c r="V107" i="21"/>
  <c r="D105" i="21"/>
  <c r="U104" i="21"/>
  <c r="N104" i="21"/>
  <c r="W161" i="21" s="1"/>
  <c r="N103" i="21"/>
  <c r="N102" i="21"/>
  <c r="W138" i="21" s="1"/>
  <c r="N101" i="21"/>
  <c r="F144" i="21" s="1"/>
  <c r="U99" i="21"/>
  <c r="D97" i="21"/>
  <c r="N97" i="21" s="1"/>
  <c r="U96" i="21"/>
  <c r="S96" i="21"/>
  <c r="W96" i="21" s="1"/>
  <c r="U95" i="21"/>
  <c r="S95" i="21"/>
  <c r="W95" i="21" s="1"/>
  <c r="F94" i="21"/>
  <c r="U92" i="21"/>
  <c r="F92" i="21"/>
  <c r="W91" i="21"/>
  <c r="F129" i="21" s="1"/>
  <c r="S90" i="21"/>
  <c r="U89" i="21"/>
  <c r="D89" i="21"/>
  <c r="D90" i="21" s="1"/>
  <c r="N88" i="21"/>
  <c r="W87" i="21"/>
  <c r="W86" i="21"/>
  <c r="U86" i="21"/>
  <c r="S86" i="21"/>
  <c r="U85" i="21"/>
  <c r="S85" i="21"/>
  <c r="K85" i="21"/>
  <c r="U84" i="21"/>
  <c r="W84" i="21" s="1"/>
  <c r="S84" i="21"/>
  <c r="K84" i="21"/>
  <c r="F133" i="21" s="1"/>
  <c r="BS92" i="4" s="1"/>
  <c r="K83" i="21"/>
  <c r="K82" i="21"/>
  <c r="F136" i="21" s="1"/>
  <c r="BS95" i="4" s="1"/>
  <c r="U81" i="21"/>
  <c r="K81" i="21"/>
  <c r="F134" i="21" s="1"/>
  <c r="BS93" i="4" s="1"/>
  <c r="K80" i="21"/>
  <c r="F132" i="21" s="1"/>
  <c r="BS91" i="4" s="1"/>
  <c r="G80" i="21"/>
  <c r="U79" i="21"/>
  <c r="N79" i="21"/>
  <c r="K79" i="21"/>
  <c r="U78" i="21"/>
  <c r="U77" i="21"/>
  <c r="S77" i="21"/>
  <c r="S104" i="21" s="1"/>
  <c r="W104" i="21" s="1"/>
  <c r="N77" i="21"/>
  <c r="W143" i="21" s="1"/>
  <c r="BN76" i="21"/>
  <c r="S76" i="21"/>
  <c r="E76" i="21"/>
  <c r="BN75" i="21"/>
  <c r="BN74" i="21"/>
  <c r="N74" i="21"/>
  <c r="BN73" i="21"/>
  <c r="N73" i="21"/>
  <c r="F121" i="21" s="1"/>
  <c r="BN72" i="21"/>
  <c r="N72" i="21"/>
  <c r="BN71" i="21"/>
  <c r="F71" i="21"/>
  <c r="BN70" i="21"/>
  <c r="F70" i="21"/>
  <c r="N70" i="21" s="1"/>
  <c r="BN69" i="21"/>
  <c r="F69" i="21"/>
  <c r="BN68" i="21"/>
  <c r="BK65" i="21" s="1"/>
  <c r="B68" i="21"/>
  <c r="BN67" i="21"/>
  <c r="B67" i="21"/>
  <c r="U66" i="21"/>
  <c r="B66" i="21"/>
  <c r="M57" i="21"/>
  <c r="L56" i="21"/>
  <c r="V55" i="21"/>
  <c r="N94" i="21" s="1"/>
  <c r="T55" i="21"/>
  <c r="D52" i="21"/>
  <c r="S70" i="21" s="1"/>
  <c r="BC51" i="21"/>
  <c r="AW51" i="21"/>
  <c r="AV51" i="21"/>
  <c r="AU51" i="21"/>
  <c r="AT51" i="21"/>
  <c r="AS51" i="21"/>
  <c r="AR51" i="21"/>
  <c r="AO51" i="21"/>
  <c r="AN51" i="21"/>
  <c r="AM51" i="21"/>
  <c r="AL51" i="21"/>
  <c r="AK51" i="21"/>
  <c r="AJ51" i="21"/>
  <c r="AI51" i="21"/>
  <c r="X51" i="21"/>
  <c r="W51" i="21"/>
  <c r="V51" i="21"/>
  <c r="U51" i="21"/>
  <c r="AQ51" i="21" s="1"/>
  <c r="BB51" i="21" s="1"/>
  <c r="BB50" i="21"/>
  <c r="AW50" i="21"/>
  <c r="AV50" i="21"/>
  <c r="AU50" i="21"/>
  <c r="BC50" i="21" s="1"/>
  <c r="AT50" i="21"/>
  <c r="AS50" i="21"/>
  <c r="AO50" i="21"/>
  <c r="AN50" i="21"/>
  <c r="AM50" i="21"/>
  <c r="AL50" i="21"/>
  <c r="AK50" i="21"/>
  <c r="AJ50" i="21"/>
  <c r="AI50" i="21"/>
  <c r="X50" i="21"/>
  <c r="W50" i="21"/>
  <c r="AR50" i="21" s="1"/>
  <c r="V50" i="21"/>
  <c r="U50" i="21"/>
  <c r="AQ50" i="21" s="1"/>
  <c r="AW49" i="21"/>
  <c r="AV49" i="21"/>
  <c r="AU49" i="21"/>
  <c r="BC49" i="21" s="1"/>
  <c r="AT49" i="21"/>
  <c r="AS49" i="21"/>
  <c r="AO49" i="21"/>
  <c r="AN49" i="21"/>
  <c r="AM49" i="21"/>
  <c r="AL49" i="21"/>
  <c r="AK49" i="21"/>
  <c r="AP49" i="21" s="1"/>
  <c r="AJ49" i="21"/>
  <c r="AI49" i="21"/>
  <c r="X49" i="21"/>
  <c r="W49" i="21"/>
  <c r="AR49" i="21" s="1"/>
  <c r="V49" i="21"/>
  <c r="U49" i="21"/>
  <c r="BC48" i="21"/>
  <c r="BB48" i="21"/>
  <c r="AW48" i="21"/>
  <c r="AV48" i="21"/>
  <c r="AU48" i="21"/>
  <c r="AT48" i="21"/>
  <c r="AS48" i="21"/>
  <c r="AR48" i="21"/>
  <c r="AQ48" i="21"/>
  <c r="AO48" i="21"/>
  <c r="AN48" i="21"/>
  <c r="AM48" i="21"/>
  <c r="AL48" i="21"/>
  <c r="AK48" i="21"/>
  <c r="AJ48" i="21"/>
  <c r="AI48" i="21"/>
  <c r="X48" i="21"/>
  <c r="W48" i="21"/>
  <c r="V48" i="21"/>
  <c r="U48" i="21"/>
  <c r="AW47" i="21"/>
  <c r="AV47" i="21"/>
  <c r="AU47" i="21"/>
  <c r="BC47" i="21" s="1"/>
  <c r="AT47" i="21"/>
  <c r="AS47" i="21"/>
  <c r="AO47" i="21"/>
  <c r="AN47" i="21"/>
  <c r="AM47" i="21"/>
  <c r="AL47" i="21"/>
  <c r="AK47" i="21"/>
  <c r="AJ47" i="21"/>
  <c r="AP47" i="21" s="1"/>
  <c r="AI47" i="21"/>
  <c r="X47" i="21"/>
  <c r="W47" i="21"/>
  <c r="AR47" i="21" s="1"/>
  <c r="V47" i="21"/>
  <c r="U47" i="21"/>
  <c r="AW46" i="21"/>
  <c r="AV46" i="21"/>
  <c r="AU46" i="21"/>
  <c r="BC46" i="21" s="1"/>
  <c r="AT46" i="21"/>
  <c r="AS46" i="21"/>
  <c r="AR46" i="21"/>
  <c r="AQ46" i="21"/>
  <c r="BB46" i="21" s="1"/>
  <c r="AO46" i="21"/>
  <c r="AN46" i="21"/>
  <c r="AM46" i="21"/>
  <c r="AL46" i="21"/>
  <c r="AK46" i="21"/>
  <c r="AJ46" i="21"/>
  <c r="AP46" i="21" s="1"/>
  <c r="AI46" i="21"/>
  <c r="X46" i="21"/>
  <c r="W46" i="21"/>
  <c r="V46" i="21"/>
  <c r="U46" i="21"/>
  <c r="BC45" i="21"/>
  <c r="AW45" i="21"/>
  <c r="AV45" i="21"/>
  <c r="AU45" i="21"/>
  <c r="AT45" i="21"/>
  <c r="AS45" i="21"/>
  <c r="AO45" i="21"/>
  <c r="AN45" i="21"/>
  <c r="AM45" i="21"/>
  <c r="AL45" i="21"/>
  <c r="AK45" i="21"/>
  <c r="AJ45" i="21"/>
  <c r="AI45" i="21"/>
  <c r="X45" i="21"/>
  <c r="W45" i="21"/>
  <c r="AR45" i="21" s="1"/>
  <c r="V45" i="21"/>
  <c r="U45" i="21"/>
  <c r="BC44" i="21"/>
  <c r="AW44" i="21"/>
  <c r="AV44" i="21"/>
  <c r="AU44" i="21"/>
  <c r="AT44" i="21"/>
  <c r="AS44" i="21"/>
  <c r="AO44" i="21"/>
  <c r="AN44" i="21"/>
  <c r="AM44" i="21"/>
  <c r="AL44" i="21"/>
  <c r="AK44" i="21"/>
  <c r="AJ44" i="21"/>
  <c r="AI44" i="21"/>
  <c r="X44" i="21"/>
  <c r="W44" i="21"/>
  <c r="AR44" i="21" s="1"/>
  <c r="V44" i="21"/>
  <c r="U44" i="21"/>
  <c r="BC43" i="21"/>
  <c r="BB43" i="21"/>
  <c r="AW43" i="21"/>
  <c r="AV43" i="21"/>
  <c r="AU43" i="21"/>
  <c r="AT43" i="21"/>
  <c r="AS43" i="21"/>
  <c r="AO43" i="21"/>
  <c r="AN43" i="21"/>
  <c r="AM43" i="21"/>
  <c r="AP43" i="21" s="1"/>
  <c r="AL43" i="21"/>
  <c r="AK43" i="21"/>
  <c r="AJ43" i="21"/>
  <c r="AI43" i="21"/>
  <c r="X43" i="21"/>
  <c r="W43" i="21"/>
  <c r="AR43" i="21" s="1"/>
  <c r="V43" i="21"/>
  <c r="U43" i="21"/>
  <c r="AQ43" i="21" s="1"/>
  <c r="BC42" i="21"/>
  <c r="BB42" i="21"/>
  <c r="AW42" i="21"/>
  <c r="AV42" i="21"/>
  <c r="AU42" i="21"/>
  <c r="AT42" i="21"/>
  <c r="AS42" i="21"/>
  <c r="AR42" i="21"/>
  <c r="AQ42" i="21"/>
  <c r="AP42" i="21"/>
  <c r="AO42" i="21"/>
  <c r="AN42" i="21"/>
  <c r="AM42" i="21"/>
  <c r="AL42" i="21"/>
  <c r="AK42" i="21"/>
  <c r="AJ42" i="21"/>
  <c r="AI42" i="21"/>
  <c r="X42" i="21"/>
  <c r="W42" i="21"/>
  <c r="V42" i="21"/>
  <c r="U42" i="21"/>
  <c r="AW41" i="21"/>
  <c r="AV41" i="21"/>
  <c r="AU41" i="21"/>
  <c r="BC41" i="21" s="1"/>
  <c r="AT41" i="21"/>
  <c r="AS41" i="21"/>
  <c r="AR41" i="21"/>
  <c r="AQ41" i="21"/>
  <c r="BB41" i="21" s="1"/>
  <c r="AO41" i="21"/>
  <c r="AN41" i="21"/>
  <c r="AM41" i="21"/>
  <c r="AP41" i="21" s="1"/>
  <c r="AL41" i="21"/>
  <c r="AK41" i="21"/>
  <c r="AJ41" i="21"/>
  <c r="AI41" i="21"/>
  <c r="X41" i="21"/>
  <c r="W41" i="21"/>
  <c r="V41" i="21"/>
  <c r="U41" i="21"/>
  <c r="AW40" i="21"/>
  <c r="AV40" i="21"/>
  <c r="AU40" i="21"/>
  <c r="BC40" i="21" s="1"/>
  <c r="AT40" i="21"/>
  <c r="AS40" i="21"/>
  <c r="AQ40" i="21"/>
  <c r="BB40" i="21" s="1"/>
  <c r="AO40" i="21"/>
  <c r="AN40" i="21"/>
  <c r="AM40" i="21"/>
  <c r="AL40" i="21"/>
  <c r="AK40" i="21"/>
  <c r="AJ40" i="21"/>
  <c r="AI40" i="21"/>
  <c r="X40" i="21"/>
  <c r="W40" i="21"/>
  <c r="AR40" i="21" s="1"/>
  <c r="V40" i="21"/>
  <c r="U40" i="21"/>
  <c r="BC39" i="21"/>
  <c r="AW39" i="21"/>
  <c r="AV39" i="21"/>
  <c r="AU39" i="21"/>
  <c r="AT39" i="21"/>
  <c r="AS39" i="21"/>
  <c r="AO39" i="21"/>
  <c r="AN39" i="21"/>
  <c r="AM39" i="21"/>
  <c r="AL39" i="21"/>
  <c r="AK39" i="21"/>
  <c r="AJ39" i="21"/>
  <c r="AP39" i="21" s="1"/>
  <c r="AI39" i="21"/>
  <c r="X39" i="21"/>
  <c r="W39" i="21"/>
  <c r="AR39" i="21" s="1"/>
  <c r="V39" i="21"/>
  <c r="U39" i="21"/>
  <c r="BC38" i="21"/>
  <c r="AW38" i="21"/>
  <c r="AV38" i="21"/>
  <c r="AU38" i="21"/>
  <c r="AT38" i="21"/>
  <c r="AS38" i="21"/>
  <c r="AQ38" i="21"/>
  <c r="BB38" i="21" s="1"/>
  <c r="AO38" i="21"/>
  <c r="AN38" i="21"/>
  <c r="AM38" i="21"/>
  <c r="AL38" i="21"/>
  <c r="AK38" i="21"/>
  <c r="AJ38" i="21"/>
  <c r="AP38" i="21" s="1"/>
  <c r="AI38" i="21"/>
  <c r="X38" i="21"/>
  <c r="W38" i="21"/>
  <c r="AR38" i="21" s="1"/>
  <c r="V38" i="21"/>
  <c r="U38" i="21"/>
  <c r="AW37" i="21"/>
  <c r="AV37" i="21"/>
  <c r="AU37" i="21"/>
  <c r="BC37" i="21" s="1"/>
  <c r="AT37" i="21"/>
  <c r="AS37" i="21"/>
  <c r="AR37" i="21"/>
  <c r="AQ37" i="21"/>
  <c r="BB37" i="21" s="1"/>
  <c r="AO37" i="21"/>
  <c r="AN37" i="21"/>
  <c r="AM37" i="21"/>
  <c r="AL37" i="21"/>
  <c r="AK37" i="21"/>
  <c r="AJ37" i="21"/>
  <c r="AP37" i="21" s="1"/>
  <c r="AI37" i="21"/>
  <c r="X37" i="21"/>
  <c r="W37" i="21"/>
  <c r="V37" i="21"/>
  <c r="U37" i="21"/>
  <c r="AW36" i="21"/>
  <c r="AV36" i="21"/>
  <c r="AU36" i="21"/>
  <c r="BC36" i="21" s="1"/>
  <c r="AT36" i="21"/>
  <c r="AS36" i="21"/>
  <c r="AR36" i="21"/>
  <c r="AO36" i="21"/>
  <c r="AN36" i="21"/>
  <c r="AM36" i="21"/>
  <c r="AL36" i="21"/>
  <c r="AK36" i="21"/>
  <c r="AJ36" i="21"/>
  <c r="AI36" i="21"/>
  <c r="X36" i="21"/>
  <c r="W36" i="21"/>
  <c r="V36" i="21"/>
  <c r="U36" i="21"/>
  <c r="AQ36" i="21" s="1"/>
  <c r="BB36" i="21" s="1"/>
  <c r="AW35" i="21"/>
  <c r="AV35" i="21"/>
  <c r="AU35" i="21"/>
  <c r="BC35" i="21" s="1"/>
  <c r="AT35" i="21"/>
  <c r="AS35" i="21"/>
  <c r="AO35" i="21"/>
  <c r="AN35" i="21"/>
  <c r="AM35" i="21"/>
  <c r="AL35" i="21"/>
  <c r="AK35" i="21"/>
  <c r="AJ35" i="21"/>
  <c r="AI35" i="21"/>
  <c r="X35" i="21"/>
  <c r="W35" i="21"/>
  <c r="AR35" i="21" s="1"/>
  <c r="V35" i="21"/>
  <c r="U35" i="21"/>
  <c r="BC34" i="21"/>
  <c r="AW34" i="21"/>
  <c r="AV34" i="21"/>
  <c r="AU34" i="21"/>
  <c r="AT34" i="21"/>
  <c r="AS34" i="21"/>
  <c r="AR34" i="21"/>
  <c r="AP34" i="21"/>
  <c r="AO34" i="21"/>
  <c r="AN34" i="21"/>
  <c r="AM34" i="21"/>
  <c r="AL34" i="21"/>
  <c r="AK34" i="21"/>
  <c r="AJ34" i="21"/>
  <c r="AI34" i="21"/>
  <c r="X34" i="21"/>
  <c r="W34" i="21"/>
  <c r="V34" i="21"/>
  <c r="U34" i="21"/>
  <c r="AQ34" i="21" s="1"/>
  <c r="BB34" i="21" s="1"/>
  <c r="AW33" i="21"/>
  <c r="AV33" i="21"/>
  <c r="AU33" i="21"/>
  <c r="BC33" i="21" s="1"/>
  <c r="AT33" i="21"/>
  <c r="AS33" i="21"/>
  <c r="AR33" i="21"/>
  <c r="AQ33" i="21"/>
  <c r="BB33" i="21" s="1"/>
  <c r="AO33" i="21"/>
  <c r="AN33" i="21"/>
  <c r="AP33" i="21" s="1"/>
  <c r="AM33" i="21"/>
  <c r="AL33" i="21"/>
  <c r="AK33" i="21"/>
  <c r="AJ33" i="21"/>
  <c r="AI33" i="21"/>
  <c r="X33" i="21"/>
  <c r="W33" i="21"/>
  <c r="V33" i="21"/>
  <c r="U33" i="21"/>
  <c r="BB32" i="21"/>
  <c r="AW32" i="21"/>
  <c r="AV32" i="21"/>
  <c r="AU32" i="21"/>
  <c r="BC32" i="21" s="1"/>
  <c r="AT32" i="21"/>
  <c r="AS32" i="21"/>
  <c r="AP32" i="21"/>
  <c r="AO32" i="21"/>
  <c r="AN32" i="21"/>
  <c r="AM32" i="21"/>
  <c r="AL32" i="21"/>
  <c r="AK32" i="21"/>
  <c r="AJ32" i="21"/>
  <c r="AI32" i="21"/>
  <c r="X32" i="21"/>
  <c r="W32" i="21"/>
  <c r="AR32" i="21" s="1"/>
  <c r="V32" i="21"/>
  <c r="U32" i="21"/>
  <c r="AQ32" i="21" s="1"/>
  <c r="AW31" i="21"/>
  <c r="AV31" i="21"/>
  <c r="AU31" i="21"/>
  <c r="BC31" i="21" s="1"/>
  <c r="AT31" i="21"/>
  <c r="AS31" i="21"/>
  <c r="AO31" i="21"/>
  <c r="AN31" i="21"/>
  <c r="AM31" i="21"/>
  <c r="AL31" i="21"/>
  <c r="AK31" i="21"/>
  <c r="AJ31" i="21"/>
  <c r="AI31" i="21"/>
  <c r="X31" i="21"/>
  <c r="W31" i="21"/>
  <c r="AR31" i="21" s="1"/>
  <c r="V31" i="21"/>
  <c r="U31" i="21"/>
  <c r="BC30" i="21"/>
  <c r="AW30" i="21"/>
  <c r="AV30" i="21"/>
  <c r="AU30" i="21"/>
  <c r="AT30" i="21"/>
  <c r="AS30" i="21"/>
  <c r="AR30" i="21"/>
  <c r="AO30" i="21"/>
  <c r="AN30" i="21"/>
  <c r="AM30" i="21"/>
  <c r="AL30" i="21"/>
  <c r="AP30" i="21" s="1"/>
  <c r="AK30" i="21"/>
  <c r="AJ30" i="21"/>
  <c r="AI30" i="21"/>
  <c r="X30" i="21"/>
  <c r="W30" i="21"/>
  <c r="V30" i="21"/>
  <c r="U30" i="21"/>
  <c r="BB29" i="21"/>
  <c r="AW29" i="21"/>
  <c r="AV29" i="21"/>
  <c r="AU29" i="21"/>
  <c r="BC29" i="21" s="1"/>
  <c r="AT29" i="21"/>
  <c r="AS29" i="21"/>
  <c r="AQ29" i="21"/>
  <c r="AO29" i="21"/>
  <c r="AN29" i="21"/>
  <c r="AM29" i="21"/>
  <c r="AL29" i="21"/>
  <c r="AK29" i="21"/>
  <c r="AJ29" i="21"/>
  <c r="AP29" i="21" s="1"/>
  <c r="AI29" i="21"/>
  <c r="X29" i="21"/>
  <c r="W29" i="21"/>
  <c r="AR29" i="21" s="1"/>
  <c r="V29" i="21"/>
  <c r="U29" i="21"/>
  <c r="AW28" i="21"/>
  <c r="AV28" i="21"/>
  <c r="AU28" i="21"/>
  <c r="BC28" i="21" s="1"/>
  <c r="AT28" i="21"/>
  <c r="AS28" i="21"/>
  <c r="AR28" i="21"/>
  <c r="AQ28" i="21"/>
  <c r="BB28" i="21" s="1"/>
  <c r="AO28" i="21"/>
  <c r="AN28" i="21"/>
  <c r="AM28" i="21"/>
  <c r="AP28" i="21" s="1"/>
  <c r="AL28" i="21"/>
  <c r="AK28" i="21"/>
  <c r="AJ28" i="21"/>
  <c r="AI28" i="21"/>
  <c r="X28" i="21"/>
  <c r="W28" i="21"/>
  <c r="V28" i="21"/>
  <c r="U28" i="21"/>
  <c r="AW27" i="21"/>
  <c r="AV27" i="21"/>
  <c r="AU27" i="21"/>
  <c r="BC27" i="21" s="1"/>
  <c r="AT27" i="21"/>
  <c r="AS27" i="21"/>
  <c r="AO27" i="21"/>
  <c r="AN27" i="21"/>
  <c r="AM27" i="21"/>
  <c r="AL27" i="21"/>
  <c r="AK27" i="21"/>
  <c r="AJ27" i="21"/>
  <c r="AI27" i="21"/>
  <c r="X27" i="21"/>
  <c r="W27" i="21"/>
  <c r="AR27" i="21" s="1"/>
  <c r="V27" i="21"/>
  <c r="U27" i="21"/>
  <c r="BC26" i="21"/>
  <c r="AW26" i="21"/>
  <c r="AV26" i="21"/>
  <c r="AU26" i="21"/>
  <c r="AT26" i="21"/>
  <c r="AS26" i="21"/>
  <c r="AO26" i="21"/>
  <c r="AN26" i="21"/>
  <c r="AM26" i="21"/>
  <c r="AL26" i="21"/>
  <c r="AK26" i="21"/>
  <c r="AJ26" i="21"/>
  <c r="AI26" i="21"/>
  <c r="X26" i="21"/>
  <c r="W26" i="21"/>
  <c r="AR26" i="21" s="1"/>
  <c r="V26" i="21"/>
  <c r="U26" i="21"/>
  <c r="BC25" i="21"/>
  <c r="AW25" i="21"/>
  <c r="AV25" i="21"/>
  <c r="AU25" i="21"/>
  <c r="AT25" i="21"/>
  <c r="AS25" i="21"/>
  <c r="AO25" i="21"/>
  <c r="AN25" i="21"/>
  <c r="AM25" i="21"/>
  <c r="AL25" i="21"/>
  <c r="AK25" i="21"/>
  <c r="AJ25" i="21"/>
  <c r="AP25" i="21" s="1"/>
  <c r="AI25" i="21"/>
  <c r="X25" i="21"/>
  <c r="W25" i="21"/>
  <c r="AR25" i="21" s="1"/>
  <c r="V25" i="21"/>
  <c r="U25" i="21"/>
  <c r="BC24" i="21"/>
  <c r="BB24" i="21"/>
  <c r="AW24" i="21"/>
  <c r="AV24" i="21"/>
  <c r="AU24" i="21"/>
  <c r="AT24" i="21"/>
  <c r="AS24" i="21"/>
  <c r="AR24" i="21"/>
  <c r="AQ24" i="21"/>
  <c r="AP24" i="21"/>
  <c r="AO24" i="21"/>
  <c r="AN24" i="21"/>
  <c r="AM24" i="21"/>
  <c r="AL24" i="21"/>
  <c r="AK24" i="21"/>
  <c r="AJ24" i="21"/>
  <c r="AI24" i="21"/>
  <c r="X24" i="21"/>
  <c r="W24" i="21"/>
  <c r="V24" i="21"/>
  <c r="U24" i="21"/>
  <c r="BC23" i="21"/>
  <c r="BB23" i="21"/>
  <c r="AW23" i="21"/>
  <c r="AV23" i="21"/>
  <c r="AU23" i="21"/>
  <c r="AT23" i="21"/>
  <c r="AS23" i="21"/>
  <c r="AR23" i="21"/>
  <c r="AQ23" i="21"/>
  <c r="AO23" i="21"/>
  <c r="AN23" i="21"/>
  <c r="AM23" i="21"/>
  <c r="AL23" i="21"/>
  <c r="AK23" i="21"/>
  <c r="AJ23" i="21"/>
  <c r="AI23" i="21"/>
  <c r="X23" i="21"/>
  <c r="W23" i="21"/>
  <c r="V23" i="21"/>
  <c r="U23" i="21"/>
  <c r="AW22" i="21"/>
  <c r="AV22" i="21"/>
  <c r="AU22" i="21"/>
  <c r="BC22" i="21" s="1"/>
  <c r="AT22" i="21"/>
  <c r="AS22" i="21"/>
  <c r="AQ22" i="21"/>
  <c r="BB22" i="21" s="1"/>
  <c r="AO22" i="21"/>
  <c r="AN22" i="21"/>
  <c r="AM22" i="21"/>
  <c r="AL22" i="21"/>
  <c r="AK22" i="21"/>
  <c r="AJ22" i="21"/>
  <c r="AI22" i="21"/>
  <c r="X22" i="21"/>
  <c r="W22" i="21"/>
  <c r="AR22" i="21" s="1"/>
  <c r="V22" i="21"/>
  <c r="U22" i="21"/>
  <c r="AV21" i="21"/>
  <c r="AU21" i="21"/>
  <c r="BC21" i="21" s="1"/>
  <c r="AT21" i="21"/>
  <c r="AW21" i="21" s="1"/>
  <c r="AS21" i="21"/>
  <c r="AO21" i="21"/>
  <c r="AM21" i="21"/>
  <c r="AL21" i="21"/>
  <c r="AK21" i="21"/>
  <c r="AJ21" i="21"/>
  <c r="AI21" i="21"/>
  <c r="W21" i="21"/>
  <c r="AR21" i="21" s="1"/>
  <c r="V21" i="21"/>
  <c r="AN21" i="21" s="1"/>
  <c r="U21" i="21"/>
  <c r="AW20" i="21"/>
  <c r="AV20" i="21"/>
  <c r="AU20" i="21"/>
  <c r="BC20" i="21" s="1"/>
  <c r="AT20" i="21"/>
  <c r="AS20" i="21"/>
  <c r="AO20" i="21"/>
  <c r="AM20" i="21"/>
  <c r="AL20" i="21"/>
  <c r="AK20" i="21"/>
  <c r="AJ20" i="21"/>
  <c r="AI20" i="21"/>
  <c r="W20" i="21"/>
  <c r="AR20" i="21" s="1"/>
  <c r="V20" i="21"/>
  <c r="AN20" i="21" s="1"/>
  <c r="U20" i="21"/>
  <c r="AV19" i="21"/>
  <c r="AU19" i="21"/>
  <c r="BC19" i="21" s="1"/>
  <c r="AT19" i="21"/>
  <c r="AW19" i="21" s="1"/>
  <c r="AS19" i="21"/>
  <c r="AR19" i="21"/>
  <c r="AO19" i="21"/>
  <c r="AN19" i="21"/>
  <c r="AM19" i="21"/>
  <c r="AL19" i="21"/>
  <c r="AK19" i="21"/>
  <c r="AJ19" i="21"/>
  <c r="AI19" i="21"/>
  <c r="W19" i="21"/>
  <c r="V19" i="21"/>
  <c r="U19" i="21"/>
  <c r="AQ19" i="21" s="1"/>
  <c r="BB19" i="21" s="1"/>
  <c r="AW18" i="21"/>
  <c r="AV18" i="21"/>
  <c r="AU18" i="21"/>
  <c r="BC18" i="21" s="1"/>
  <c r="AT18" i="21"/>
  <c r="AS18" i="21"/>
  <c r="AO18" i="21"/>
  <c r="AM18" i="21"/>
  <c r="AL18" i="21"/>
  <c r="AK18" i="21"/>
  <c r="AJ18" i="21"/>
  <c r="AI18" i="21"/>
  <c r="W18" i="21"/>
  <c r="AR18" i="21" s="1"/>
  <c r="V18" i="21"/>
  <c r="AN18" i="21" s="1"/>
  <c r="U18" i="21"/>
  <c r="AV17" i="21"/>
  <c r="AU17" i="21"/>
  <c r="BC17" i="21" s="1"/>
  <c r="AT17" i="21"/>
  <c r="AW17" i="21" s="1"/>
  <c r="AS17" i="21"/>
  <c r="AQ17" i="21"/>
  <c r="BB17" i="21" s="1"/>
  <c r="AO17" i="21"/>
  <c r="AN17" i="21"/>
  <c r="AM17" i="21"/>
  <c r="AL17" i="21"/>
  <c r="AK17" i="21"/>
  <c r="AJ17" i="21"/>
  <c r="AI17" i="21"/>
  <c r="W17" i="21"/>
  <c r="AR17" i="21" s="1"/>
  <c r="V17" i="21"/>
  <c r="U17" i="21"/>
  <c r="AV16" i="21"/>
  <c r="AU16" i="21"/>
  <c r="BC16" i="21" s="1"/>
  <c r="AT16" i="21"/>
  <c r="AW16" i="21" s="1"/>
  <c r="AS16" i="21"/>
  <c r="AO16" i="21"/>
  <c r="AM16" i="21"/>
  <c r="AL16" i="21"/>
  <c r="AK16" i="21"/>
  <c r="AJ16" i="21"/>
  <c r="AI16" i="21"/>
  <c r="W16" i="21"/>
  <c r="AR16" i="21" s="1"/>
  <c r="V16" i="21"/>
  <c r="AN16" i="21" s="1"/>
  <c r="U16" i="21"/>
  <c r="AQ16" i="21" s="1"/>
  <c r="BB16" i="21" s="1"/>
  <c r="AV15" i="21"/>
  <c r="AU15" i="21"/>
  <c r="BC15" i="21" s="1"/>
  <c r="AT15" i="21"/>
  <c r="AW15" i="21" s="1"/>
  <c r="AS15" i="21"/>
  <c r="AO15" i="21"/>
  <c r="AM15" i="21"/>
  <c r="AL15" i="21"/>
  <c r="AK15" i="21"/>
  <c r="AJ15" i="21"/>
  <c r="AI15" i="21"/>
  <c r="W15" i="21"/>
  <c r="AR15" i="21" s="1"/>
  <c r="V15" i="21"/>
  <c r="AN15" i="21" s="1"/>
  <c r="U15" i="21"/>
  <c r="AQ15" i="21" s="1"/>
  <c r="BB15" i="21" s="1"/>
  <c r="AV14" i="21"/>
  <c r="AU14" i="21"/>
  <c r="BC14" i="21" s="1"/>
  <c r="AT14" i="21"/>
  <c r="AW14" i="21" s="1"/>
  <c r="AS14" i="21"/>
  <c r="AO14" i="21"/>
  <c r="AM14" i="21"/>
  <c r="AL14" i="21"/>
  <c r="AK14" i="21"/>
  <c r="AJ14" i="21"/>
  <c r="AI14" i="21"/>
  <c r="W14" i="21"/>
  <c r="AR14" i="21" s="1"/>
  <c r="V14" i="21"/>
  <c r="AN14" i="21" s="1"/>
  <c r="U14" i="21"/>
  <c r="AQ14" i="21" s="1"/>
  <c r="BB14" i="21" s="1"/>
  <c r="AW13" i="21"/>
  <c r="AV13" i="21"/>
  <c r="AU13" i="21"/>
  <c r="BC13" i="21" s="1"/>
  <c r="AT13" i="21"/>
  <c r="AS13" i="21"/>
  <c r="AO13" i="21"/>
  <c r="AM13" i="21"/>
  <c r="AL13" i="21"/>
  <c r="AK13" i="21"/>
  <c r="AJ13" i="21"/>
  <c r="AI13" i="21"/>
  <c r="W13" i="21"/>
  <c r="AR13" i="21" s="1"/>
  <c r="V13" i="21"/>
  <c r="AN13" i="21" s="1"/>
  <c r="U13" i="21"/>
  <c r="AV12" i="21"/>
  <c r="AU12" i="21"/>
  <c r="BC12" i="21" s="1"/>
  <c r="AT12" i="21"/>
  <c r="AW12" i="21" s="1"/>
  <c r="AS12" i="21"/>
  <c r="AO12" i="21"/>
  <c r="AM12" i="21"/>
  <c r="AL12" i="21"/>
  <c r="AK12" i="21"/>
  <c r="AJ12" i="21"/>
  <c r="AI12" i="21"/>
  <c r="W12" i="21"/>
  <c r="AR12" i="21" s="1"/>
  <c r="V12" i="21"/>
  <c r="AN12" i="21" s="1"/>
  <c r="U12" i="21"/>
  <c r="BB11" i="21"/>
  <c r="AX11" i="21"/>
  <c r="AW11" i="21"/>
  <c r="AV11" i="21"/>
  <c r="AU11" i="21"/>
  <c r="BC11" i="21" s="1"/>
  <c r="AT11" i="21"/>
  <c r="AS11" i="21"/>
  <c r="AO11" i="21"/>
  <c r="AM11" i="21"/>
  <c r="AL11" i="21"/>
  <c r="AK11" i="21"/>
  <c r="AJ11" i="21"/>
  <c r="AI11" i="21"/>
  <c r="W11" i="21"/>
  <c r="AR11" i="21" s="1"/>
  <c r="V11" i="21"/>
  <c r="AN11" i="21" s="1"/>
  <c r="U11" i="21"/>
  <c r="AQ11" i="21" s="1"/>
  <c r="AV10" i="21"/>
  <c r="AU10" i="21"/>
  <c r="AT10" i="21"/>
  <c r="AW10" i="21" s="1"/>
  <c r="AS10" i="21"/>
  <c r="AO10" i="21"/>
  <c r="AM10" i="21"/>
  <c r="AL10" i="21"/>
  <c r="AK10" i="21"/>
  <c r="AJ10" i="21"/>
  <c r="AI10" i="21"/>
  <c r="W10" i="21"/>
  <c r="AR10" i="21" s="1"/>
  <c r="V10" i="21"/>
  <c r="AN10" i="21" s="1"/>
  <c r="U10" i="21"/>
  <c r="AQ10" i="21" s="1"/>
  <c r="P6" i="21"/>
  <c r="P5" i="21"/>
  <c r="P4" i="21"/>
  <c r="P3" i="21"/>
  <c r="V2" i="21"/>
  <c r="AN66" i="20"/>
  <c r="AN64" i="20"/>
  <c r="BG40" i="20"/>
  <c r="BF40" i="20"/>
  <c r="BE40" i="20"/>
  <c r="BD40" i="20"/>
  <c r="BC40" i="20"/>
  <c r="BB40" i="20"/>
  <c r="AZ40" i="20"/>
  <c r="AX40" i="20"/>
  <c r="AV40" i="20"/>
  <c r="AU40" i="20"/>
  <c r="AH40" i="20"/>
  <c r="V40" i="20"/>
  <c r="U40" i="20"/>
  <c r="T40" i="20"/>
  <c r="AG40" i="20" s="1"/>
  <c r="O40" i="20"/>
  <c r="K40" i="20"/>
  <c r="BF39" i="20"/>
  <c r="BD39" i="20"/>
  <c r="BB39" i="20"/>
  <c r="AZ39" i="20"/>
  <c r="AX39" i="20"/>
  <c r="AV39" i="20"/>
  <c r="AU39" i="20"/>
  <c r="AH39" i="20"/>
  <c r="V39" i="20"/>
  <c r="BG39" i="20" s="1"/>
  <c r="T39" i="20"/>
  <c r="BC39" i="20" s="1"/>
  <c r="O39" i="20"/>
  <c r="K39" i="20"/>
  <c r="BF38" i="20"/>
  <c r="BD38" i="20"/>
  <c r="BB38" i="20"/>
  <c r="AZ38" i="20"/>
  <c r="AX38" i="20"/>
  <c r="AV38" i="20"/>
  <c r="AU38" i="20"/>
  <c r="AH38" i="20"/>
  <c r="Z38" i="20"/>
  <c r="V38" i="20"/>
  <c r="BG38" i="20" s="1"/>
  <c r="T38" i="20"/>
  <c r="O38" i="20"/>
  <c r="K38" i="20"/>
  <c r="BG37" i="20"/>
  <c r="BF37" i="20"/>
  <c r="BE37" i="20"/>
  <c r="BD37" i="20"/>
  <c r="BC37" i="20"/>
  <c r="BB37" i="20"/>
  <c r="AZ37" i="20"/>
  <c r="AX37" i="20"/>
  <c r="AV37" i="20"/>
  <c r="AU37" i="20"/>
  <c r="AH37" i="20"/>
  <c r="T37" i="20"/>
  <c r="AG37" i="20" s="1"/>
  <c r="O37" i="20"/>
  <c r="K37" i="20"/>
  <c r="BG36" i="20"/>
  <c r="BF36" i="20"/>
  <c r="BD36" i="20"/>
  <c r="BB36" i="20"/>
  <c r="AZ36" i="20"/>
  <c r="AX36" i="20"/>
  <c r="AW36" i="20"/>
  <c r="AV36" i="20"/>
  <c r="AU36" i="20"/>
  <c r="AH36" i="20"/>
  <c r="T36" i="20"/>
  <c r="S36" i="20"/>
  <c r="AY36" i="20" s="1"/>
  <c r="Q36" i="20"/>
  <c r="P36" i="20"/>
  <c r="O36" i="20"/>
  <c r="K36" i="20"/>
  <c r="BF35" i="20"/>
  <c r="BE35" i="20"/>
  <c r="BD35" i="20"/>
  <c r="BC35" i="20"/>
  <c r="BB35" i="20"/>
  <c r="AZ35" i="20"/>
  <c r="AY35" i="20"/>
  <c r="AX35" i="20"/>
  <c r="AV35" i="20"/>
  <c r="AU35" i="20"/>
  <c r="AT35" i="20"/>
  <c r="AR35" i="20"/>
  <c r="AS35" i="20" s="1"/>
  <c r="AQ35" i="20"/>
  <c r="AH35" i="20"/>
  <c r="V35" i="20"/>
  <c r="BG35" i="20" s="1"/>
  <c r="U35" i="20"/>
  <c r="T35" i="20"/>
  <c r="AG35" i="20" s="1"/>
  <c r="S35" i="20"/>
  <c r="Q35" i="20"/>
  <c r="O35" i="20"/>
  <c r="K35" i="20"/>
  <c r="BG34" i="20"/>
  <c r="BF34" i="20"/>
  <c r="BE34" i="20"/>
  <c r="BD34" i="20"/>
  <c r="BC34" i="20"/>
  <c r="BB34" i="20"/>
  <c r="BA34" i="20"/>
  <c r="AZ34" i="20"/>
  <c r="AX34" i="20"/>
  <c r="AW34" i="20"/>
  <c r="AV34" i="20"/>
  <c r="AU34" i="20"/>
  <c r="AR34" i="20"/>
  <c r="AS34" i="20" s="1"/>
  <c r="AH34" i="20"/>
  <c r="AG34" i="20"/>
  <c r="Z34" i="20"/>
  <c r="U34" i="20"/>
  <c r="T34" i="20"/>
  <c r="S34" i="20"/>
  <c r="AY34" i="20" s="1"/>
  <c r="Q34" i="20"/>
  <c r="X34" i="20" s="1"/>
  <c r="K34" i="20"/>
  <c r="AR33" i="20"/>
  <c r="AT33" i="20" s="1"/>
  <c r="AH33" i="20"/>
  <c r="AG33" i="20"/>
  <c r="BF32" i="20"/>
  <c r="BD32" i="20"/>
  <c r="BC32" i="20"/>
  <c r="BB32" i="20"/>
  <c r="AZ32" i="20"/>
  <c r="AX32" i="20"/>
  <c r="AV32" i="20"/>
  <c r="AU32" i="20"/>
  <c r="AR32" i="20"/>
  <c r="AH32" i="20"/>
  <c r="AG32" i="20"/>
  <c r="U32" i="20"/>
  <c r="BE32" i="20" s="1"/>
  <c r="T32" i="20"/>
  <c r="O32" i="20"/>
  <c r="N32" i="20" s="1"/>
  <c r="S32" i="20" s="1"/>
  <c r="K32" i="20"/>
  <c r="BF31" i="20"/>
  <c r="BE31" i="20"/>
  <c r="BD31" i="20"/>
  <c r="BC31" i="20"/>
  <c r="BB31" i="20"/>
  <c r="AZ31" i="20"/>
  <c r="AX31" i="20"/>
  <c r="AV31" i="20"/>
  <c r="AU31" i="20"/>
  <c r="AH31" i="20"/>
  <c r="AG31" i="20"/>
  <c r="Z31" i="20"/>
  <c r="U31" i="20"/>
  <c r="T31" i="20"/>
  <c r="O31" i="20"/>
  <c r="K31" i="20"/>
  <c r="BF30" i="20"/>
  <c r="BE30" i="20"/>
  <c r="BD30" i="20"/>
  <c r="BC30" i="20"/>
  <c r="BB30" i="20"/>
  <c r="AZ30" i="20"/>
  <c r="AY30" i="20"/>
  <c r="AX30" i="20"/>
  <c r="AV30" i="20"/>
  <c r="AU30" i="20"/>
  <c r="AH30" i="20"/>
  <c r="AG30" i="20"/>
  <c r="Z30" i="20"/>
  <c r="T30" i="20"/>
  <c r="U30" i="20" s="1"/>
  <c r="O30" i="20"/>
  <c r="N30" i="20" s="1"/>
  <c r="S30" i="20" s="1"/>
  <c r="V30" i="20" s="1"/>
  <c r="BG30" i="20" s="1"/>
  <c r="K30" i="20"/>
  <c r="BF29" i="20"/>
  <c r="BD29" i="20"/>
  <c r="BB29" i="20"/>
  <c r="AZ29" i="20"/>
  <c r="AX29" i="20"/>
  <c r="AV29" i="20"/>
  <c r="AU29" i="20"/>
  <c r="AT29" i="20"/>
  <c r="AS29" i="20"/>
  <c r="AR29" i="20"/>
  <c r="AQ29" i="20"/>
  <c r="AH29" i="20"/>
  <c r="Z29" i="20"/>
  <c r="T29" i="20"/>
  <c r="S29" i="20"/>
  <c r="V29" i="20" s="1"/>
  <c r="BG29" i="20" s="1"/>
  <c r="O29" i="20"/>
  <c r="N29" i="20" s="1"/>
  <c r="K29" i="20"/>
  <c r="BF28" i="20"/>
  <c r="BD28" i="20"/>
  <c r="BC28" i="20"/>
  <c r="BB28" i="20"/>
  <c r="AZ28" i="20"/>
  <c r="AX28" i="20"/>
  <c r="AV28" i="20"/>
  <c r="AU28" i="20"/>
  <c r="AT28" i="20"/>
  <c r="AS28" i="20"/>
  <c r="AR28" i="20"/>
  <c r="AQ28" i="20"/>
  <c r="AH28" i="20"/>
  <c r="AG28" i="20"/>
  <c r="Z28" i="20"/>
  <c r="V28" i="20"/>
  <c r="BG28" i="20" s="1"/>
  <c r="U28" i="20"/>
  <c r="BE28" i="20" s="1"/>
  <c r="T28" i="20"/>
  <c r="S28" i="20"/>
  <c r="AY28" i="20" s="1"/>
  <c r="O28" i="20"/>
  <c r="N28" i="20"/>
  <c r="K28" i="20"/>
  <c r="BF27" i="20"/>
  <c r="BD27" i="20"/>
  <c r="BC27" i="20"/>
  <c r="BB27" i="20"/>
  <c r="AZ27" i="20"/>
  <c r="AX27" i="20"/>
  <c r="AV27" i="20"/>
  <c r="AU27" i="20"/>
  <c r="AR27" i="20"/>
  <c r="AS27" i="20" s="1"/>
  <c r="AH27" i="20"/>
  <c r="AG27" i="20"/>
  <c r="Z27" i="20"/>
  <c r="U27" i="20"/>
  <c r="BE27" i="20" s="1"/>
  <c r="T27" i="20"/>
  <c r="O27" i="20"/>
  <c r="K27" i="20"/>
  <c r="BF26" i="20"/>
  <c r="BD26" i="20"/>
  <c r="BB26" i="20"/>
  <c r="AZ26" i="20"/>
  <c r="AX26" i="20"/>
  <c r="AV26" i="20"/>
  <c r="AU26" i="20"/>
  <c r="AS26" i="20"/>
  <c r="AR26" i="20"/>
  <c r="AQ26" i="20" s="1"/>
  <c r="AH26" i="20"/>
  <c r="V26" i="20"/>
  <c r="BG26" i="20" s="1"/>
  <c r="U26" i="20"/>
  <c r="BE26" i="20" s="1"/>
  <c r="T26" i="20"/>
  <c r="BC26" i="20" s="1"/>
  <c r="Q26" i="20"/>
  <c r="AW26" i="20" s="1"/>
  <c r="O26" i="20"/>
  <c r="K26" i="20"/>
  <c r="Z26" i="20" s="1"/>
  <c r="BF25" i="20"/>
  <c r="BD25" i="20"/>
  <c r="BB25" i="20"/>
  <c r="AZ25" i="20"/>
  <c r="AX25" i="20"/>
  <c r="AV25" i="20"/>
  <c r="AU25" i="20"/>
  <c r="AT25" i="20"/>
  <c r="AS25" i="20"/>
  <c r="AR25" i="20"/>
  <c r="AQ25" i="20"/>
  <c r="AH25" i="20"/>
  <c r="AG25" i="20"/>
  <c r="Z25" i="20"/>
  <c r="T25" i="20"/>
  <c r="BC25" i="20" s="1"/>
  <c r="S25" i="20"/>
  <c r="AY25" i="20" s="1"/>
  <c r="Q25" i="20"/>
  <c r="AW25" i="20" s="1"/>
  <c r="O25" i="20"/>
  <c r="N25" i="20"/>
  <c r="K25" i="20"/>
  <c r="AR24" i="20"/>
  <c r="AG24" i="20"/>
  <c r="V24" i="20"/>
  <c r="U24" i="20"/>
  <c r="T24" i="20"/>
  <c r="AH24" i="20" s="1"/>
  <c r="S24" i="20"/>
  <c r="R24" i="20"/>
  <c r="AR23" i="20"/>
  <c r="AT23" i="20" s="1"/>
  <c r="AQ23" i="20"/>
  <c r="AH23" i="20"/>
  <c r="AG23" i="20"/>
  <c r="BF22" i="20"/>
  <c r="BD22" i="20"/>
  <c r="BC22" i="20"/>
  <c r="BB22" i="20"/>
  <c r="AZ22" i="20"/>
  <c r="AX22" i="20"/>
  <c r="AW22" i="20"/>
  <c r="AV22" i="20"/>
  <c r="AU22" i="20"/>
  <c r="AT22" i="20"/>
  <c r="AS22" i="20"/>
  <c r="AR22" i="20"/>
  <c r="AQ22" i="20"/>
  <c r="AH22" i="20"/>
  <c r="Z22" i="20"/>
  <c r="V22" i="20"/>
  <c r="BG22" i="20" s="1"/>
  <c r="T22" i="20"/>
  <c r="AG22" i="20" s="1"/>
  <c r="S22" i="20"/>
  <c r="AY22" i="20" s="1"/>
  <c r="Q22" i="20"/>
  <c r="P22" i="20"/>
  <c r="O22" i="20"/>
  <c r="K22" i="20"/>
  <c r="BG21" i="20"/>
  <c r="BF21" i="20"/>
  <c r="BD21" i="20"/>
  <c r="BB21" i="20"/>
  <c r="AZ21" i="20"/>
  <c r="AX21" i="20"/>
  <c r="AV21" i="20"/>
  <c r="AU21" i="20"/>
  <c r="AH21" i="20"/>
  <c r="AG21" i="20"/>
  <c r="V21" i="20"/>
  <c r="T21" i="20"/>
  <c r="O21" i="20"/>
  <c r="K21" i="20"/>
  <c r="Z21" i="20" s="1"/>
  <c r="BG20" i="20"/>
  <c r="BF20" i="20"/>
  <c r="BE20" i="20"/>
  <c r="BD20" i="20"/>
  <c r="BC20" i="20"/>
  <c r="BB20" i="20"/>
  <c r="AZ20" i="20"/>
  <c r="AX20" i="20"/>
  <c r="AV20" i="20"/>
  <c r="AU20" i="20"/>
  <c r="AT20" i="20"/>
  <c r="AS20" i="20"/>
  <c r="AR20" i="20"/>
  <c r="AQ20" i="20"/>
  <c r="AH20" i="20"/>
  <c r="AG20" i="20"/>
  <c r="V20" i="20"/>
  <c r="U20" i="20"/>
  <c r="T20" i="20"/>
  <c r="P20" i="20"/>
  <c r="S20" i="20" s="1"/>
  <c r="AY20" i="20" s="1"/>
  <c r="O20" i="20"/>
  <c r="K20" i="20"/>
  <c r="BG19" i="20"/>
  <c r="BF19" i="20"/>
  <c r="BE19" i="20"/>
  <c r="BD19" i="20"/>
  <c r="BC19" i="20"/>
  <c r="BB19" i="20"/>
  <c r="AZ19" i="20"/>
  <c r="AY19" i="20"/>
  <c r="AX19" i="20"/>
  <c r="AW19" i="20"/>
  <c r="AV19" i="20"/>
  <c r="AU19" i="20"/>
  <c r="AR19" i="20"/>
  <c r="AQ19" i="20" s="1"/>
  <c r="AH19" i="20"/>
  <c r="AG19" i="20"/>
  <c r="V19" i="20"/>
  <c r="U19" i="20"/>
  <c r="T19" i="20"/>
  <c r="O19" i="20"/>
  <c r="P19" i="20" s="1"/>
  <c r="S19" i="20" s="1"/>
  <c r="K19" i="20"/>
  <c r="Q19" i="20" s="1"/>
  <c r="BG18" i="20"/>
  <c r="BF18" i="20"/>
  <c r="BE18" i="20"/>
  <c r="BD18" i="20"/>
  <c r="BC18" i="20"/>
  <c r="BB18" i="20"/>
  <c r="BA18" i="20"/>
  <c r="AZ18" i="20"/>
  <c r="AY18" i="20"/>
  <c r="AX18" i="20"/>
  <c r="AW18" i="20"/>
  <c r="AV18" i="20"/>
  <c r="AU18" i="20"/>
  <c r="AT18" i="20"/>
  <c r="AS18" i="20"/>
  <c r="AR18" i="20"/>
  <c r="AQ18" i="20" s="1"/>
  <c r="AH18" i="20"/>
  <c r="AG18" i="20"/>
  <c r="Z18" i="20"/>
  <c r="X18" i="20"/>
  <c r="U18" i="20"/>
  <c r="Q18" i="20"/>
  <c r="P18" i="20"/>
  <c r="O18" i="20"/>
  <c r="K18" i="20"/>
  <c r="BG17" i="20"/>
  <c r="BF17" i="20"/>
  <c r="BD17" i="20"/>
  <c r="BC17" i="20"/>
  <c r="BB17" i="20"/>
  <c r="BA17" i="20"/>
  <c r="AZ17" i="20"/>
  <c r="AX17" i="20"/>
  <c r="AW17" i="20"/>
  <c r="AV17" i="20"/>
  <c r="AU17" i="20"/>
  <c r="AR17" i="20"/>
  <c r="AQ17" i="20" s="1"/>
  <c r="AH17" i="20"/>
  <c r="AG17" i="20"/>
  <c r="AN58" i="20" s="1"/>
  <c r="Z17" i="20"/>
  <c r="V17" i="20"/>
  <c r="T17" i="20"/>
  <c r="U17" i="20" s="1"/>
  <c r="BE17" i="20" s="1"/>
  <c r="R17" i="20"/>
  <c r="P17" i="20"/>
  <c r="S17" i="20" s="1"/>
  <c r="AY17" i="20" s="1"/>
  <c r="O17" i="20"/>
  <c r="K17" i="20"/>
  <c r="Q17" i="20" s="1"/>
  <c r="AT16" i="20"/>
  <c r="AS16" i="20"/>
  <c r="AR16" i="20"/>
  <c r="AQ16" i="20"/>
  <c r="AH16" i="20"/>
  <c r="AG16" i="20"/>
  <c r="X16" i="20"/>
  <c r="V16" i="20"/>
  <c r="U16" i="20"/>
  <c r="T16" i="20"/>
  <c r="S16" i="20"/>
  <c r="R16" i="20"/>
  <c r="Q16" i="20"/>
  <c r="Q24" i="20" s="1"/>
  <c r="P16" i="20"/>
  <c r="O16" i="20"/>
  <c r="AT15" i="20"/>
  <c r="AS15" i="20"/>
  <c r="AR15" i="20"/>
  <c r="AQ15" i="20"/>
  <c r="AH15" i="20"/>
  <c r="AG15" i="20"/>
  <c r="BG14" i="20"/>
  <c r="BF14" i="20"/>
  <c r="BD14" i="20"/>
  <c r="BB14" i="20"/>
  <c r="AZ14" i="20"/>
  <c r="AX14" i="20"/>
  <c r="AV14" i="20"/>
  <c r="AU14" i="20"/>
  <c r="AR14" i="20"/>
  <c r="AT14" i="20" s="1"/>
  <c r="AQ14" i="20"/>
  <c r="AH14" i="20"/>
  <c r="AG14" i="20"/>
  <c r="V14" i="20"/>
  <c r="T14" i="20"/>
  <c r="BC14" i="20" s="1"/>
  <c r="P14" i="20"/>
  <c r="S14" i="20" s="1"/>
  <c r="AY14" i="20" s="1"/>
  <c r="O14" i="20"/>
  <c r="K14" i="20"/>
  <c r="Z14" i="20" s="1"/>
  <c r="BF13" i="20"/>
  <c r="BE13" i="20"/>
  <c r="BD13" i="20"/>
  <c r="BB13" i="20"/>
  <c r="AZ13" i="20"/>
  <c r="AX13" i="20"/>
  <c r="AW13" i="20"/>
  <c r="AV13" i="20"/>
  <c r="AU13" i="20"/>
  <c r="AS13" i="20"/>
  <c r="AR13" i="20"/>
  <c r="AT13" i="20" s="1"/>
  <c r="AQ13" i="20"/>
  <c r="AH13" i="20"/>
  <c r="AG13" i="20"/>
  <c r="Z13" i="20"/>
  <c r="V13" i="20"/>
  <c r="BG13" i="20" s="1"/>
  <c r="U13" i="20"/>
  <c r="T13" i="20"/>
  <c r="BC13" i="20" s="1"/>
  <c r="S13" i="20"/>
  <c r="AY13" i="20" s="1"/>
  <c r="O13" i="20"/>
  <c r="K13" i="20"/>
  <c r="BG12" i="20"/>
  <c r="BF12" i="20"/>
  <c r="BD12" i="20"/>
  <c r="BB12" i="20"/>
  <c r="AZ12" i="20"/>
  <c r="AX12" i="20"/>
  <c r="AV12" i="20"/>
  <c r="AU12" i="20"/>
  <c r="AS12" i="20"/>
  <c r="AR12" i="20"/>
  <c r="AT12" i="20" s="1"/>
  <c r="AH12" i="20"/>
  <c r="Z12" i="20"/>
  <c r="V12" i="20"/>
  <c r="T12" i="20"/>
  <c r="S12" i="20"/>
  <c r="Q12" i="20"/>
  <c r="K12" i="20"/>
  <c r="BG11" i="20"/>
  <c r="BF11" i="20"/>
  <c r="BD11" i="20"/>
  <c r="BC11" i="20"/>
  <c r="BB11" i="20"/>
  <c r="AZ11" i="20"/>
  <c r="AY11" i="20"/>
  <c r="AX11" i="20"/>
  <c r="AW11" i="20"/>
  <c r="AV11" i="20"/>
  <c r="AU11" i="20"/>
  <c r="AS11" i="20"/>
  <c r="AR11" i="20"/>
  <c r="AQ11" i="20" s="1"/>
  <c r="AH11" i="20"/>
  <c r="V11" i="20"/>
  <c r="T11" i="20"/>
  <c r="AG11" i="20" s="1"/>
  <c r="Q11" i="20"/>
  <c r="P11" i="20"/>
  <c r="S11" i="20" s="1"/>
  <c r="O11" i="20"/>
  <c r="K11" i="20"/>
  <c r="Z11" i="20" s="1"/>
  <c r="BG10" i="20"/>
  <c r="BF10" i="20"/>
  <c r="BE10" i="20"/>
  <c r="BD10" i="20"/>
  <c r="BB10" i="20"/>
  <c r="AZ10" i="20"/>
  <c r="AX10" i="20"/>
  <c r="AV10" i="20"/>
  <c r="AU10" i="20"/>
  <c r="AT10" i="20"/>
  <c r="AR10" i="20"/>
  <c r="AN10" i="20"/>
  <c r="AH10" i="20"/>
  <c r="V10" i="20"/>
  <c r="U10" i="20"/>
  <c r="T10" i="20"/>
  <c r="BC10" i="20" s="1"/>
  <c r="S10" i="20"/>
  <c r="P10" i="20"/>
  <c r="O10" i="20"/>
  <c r="K10" i="20"/>
  <c r="Z10" i="20" s="1"/>
  <c r="AP8" i="20"/>
  <c r="R8" i="20"/>
  <c r="J8" i="20"/>
  <c r="AN7" i="20"/>
  <c r="R6" i="20"/>
  <c r="R5" i="20"/>
  <c r="F5" i="20"/>
  <c r="R4" i="20"/>
  <c r="R3" i="20"/>
  <c r="X2" i="20"/>
  <c r="D133" i="19"/>
  <c r="D128" i="19"/>
  <c r="D125" i="19"/>
  <c r="D115" i="19"/>
  <c r="D111" i="19"/>
  <c r="D110" i="19"/>
  <c r="D109" i="19"/>
  <c r="D103" i="19"/>
  <c r="L92" i="19"/>
  <c r="D88" i="19"/>
  <c r="U87" i="19"/>
  <c r="N87" i="19"/>
  <c r="N86" i="19"/>
  <c r="D148" i="19" s="1"/>
  <c r="S84" i="19"/>
  <c r="N84" i="19"/>
  <c r="N83" i="19"/>
  <c r="D123" i="19" s="1"/>
  <c r="W82" i="19"/>
  <c r="N82" i="19"/>
  <c r="D120" i="19" s="1"/>
  <c r="D81" i="19"/>
  <c r="N81" i="19" s="1"/>
  <c r="F79" i="19"/>
  <c r="N75" i="19"/>
  <c r="F75" i="19"/>
  <c r="W74" i="19"/>
  <c r="F74" i="19"/>
  <c r="W73" i="19"/>
  <c r="F73" i="19"/>
  <c r="W72" i="19"/>
  <c r="N72" i="19"/>
  <c r="F72" i="19"/>
  <c r="W71" i="19"/>
  <c r="W70" i="19"/>
  <c r="L70" i="19"/>
  <c r="W69" i="19"/>
  <c r="W68" i="19"/>
  <c r="W67" i="19"/>
  <c r="W66" i="19"/>
  <c r="W65" i="19"/>
  <c r="S65" i="19"/>
  <c r="W64" i="19"/>
  <c r="N64" i="19"/>
  <c r="AZ18" i="19" s="1"/>
  <c r="K64" i="19"/>
  <c r="N63" i="19"/>
  <c r="AY33" i="19" s="1"/>
  <c r="K63" i="19"/>
  <c r="D117" i="19" s="1"/>
  <c r="N62" i="19"/>
  <c r="C38" i="19" s="1"/>
  <c r="K62" i="19"/>
  <c r="K61" i="19"/>
  <c r="D118" i="19" s="1"/>
  <c r="BO95" i="4" s="1"/>
  <c r="U60" i="19"/>
  <c r="K60" i="19"/>
  <c r="U59" i="19"/>
  <c r="S59" i="19"/>
  <c r="K59" i="19"/>
  <c r="Q41" i="4" s="1"/>
  <c r="AM64" i="4" s="1"/>
  <c r="G59" i="19"/>
  <c r="S56" i="19"/>
  <c r="S57" i="19" s="1"/>
  <c r="N56" i="19"/>
  <c r="S55" i="19"/>
  <c r="F54" i="19"/>
  <c r="S53" i="19"/>
  <c r="U52" i="19"/>
  <c r="W52" i="19" s="1"/>
  <c r="F51" i="19"/>
  <c r="A51" i="19"/>
  <c r="B50" i="19"/>
  <c r="B49" i="19"/>
  <c r="W48" i="19"/>
  <c r="B48" i="19"/>
  <c r="B47" i="19"/>
  <c r="B46" i="19"/>
  <c r="B45" i="19"/>
  <c r="B44" i="19"/>
  <c r="L36" i="19"/>
  <c r="V35" i="19"/>
  <c r="V91" i="19" s="1"/>
  <c r="T35" i="19"/>
  <c r="BL34" i="19"/>
  <c r="BI33" i="19"/>
  <c r="BA33" i="19"/>
  <c r="C32" i="19"/>
  <c r="BA19" i="19" s="1"/>
  <c r="BS31" i="19"/>
  <c r="BR31" i="19"/>
  <c r="BP31" i="19"/>
  <c r="BO31" i="19"/>
  <c r="BI31" i="19"/>
  <c r="BH31" i="19"/>
  <c r="BG31" i="19"/>
  <c r="BE31" i="19"/>
  <c r="BD31" i="19"/>
  <c r="BC31" i="19"/>
  <c r="BB31" i="19"/>
  <c r="AZ31" i="19"/>
  <c r="AY31" i="19"/>
  <c r="AW31" i="19"/>
  <c r="AS31" i="19"/>
  <c r="AR31" i="19"/>
  <c r="AQ31" i="19"/>
  <c r="AP31" i="19"/>
  <c r="AO31" i="19"/>
  <c r="AM31" i="19"/>
  <c r="AL31" i="19"/>
  <c r="AK31" i="19"/>
  <c r="AJ31" i="19"/>
  <c r="AI31" i="19"/>
  <c r="AH31" i="19"/>
  <c r="AG31" i="19"/>
  <c r="AF31" i="19"/>
  <c r="AE31" i="19"/>
  <c r="AD31" i="19"/>
  <c r="T31" i="19"/>
  <c r="S31" i="19"/>
  <c r="R31" i="19"/>
  <c r="Q31" i="19"/>
  <c r="BJ31" i="19" s="1"/>
  <c r="P31" i="19"/>
  <c r="BS30" i="19"/>
  <c r="BR30" i="19"/>
  <c r="BQ30" i="19"/>
  <c r="BP30" i="19"/>
  <c r="BO30" i="19"/>
  <c r="BI30" i="19"/>
  <c r="BH30" i="19"/>
  <c r="BG30" i="19"/>
  <c r="BE30" i="19"/>
  <c r="BD30" i="19"/>
  <c r="BC30" i="19"/>
  <c r="BB30" i="19"/>
  <c r="AY30" i="19"/>
  <c r="AW30" i="19"/>
  <c r="AS30" i="19"/>
  <c r="AR30" i="19"/>
  <c r="AQ30" i="19"/>
  <c r="AP30" i="19"/>
  <c r="AO30" i="19"/>
  <c r="AM30" i="19"/>
  <c r="AL30" i="19"/>
  <c r="AK30" i="19"/>
  <c r="AJ30" i="19"/>
  <c r="AI30" i="19"/>
  <c r="AH30" i="19"/>
  <c r="AN30" i="19" s="1"/>
  <c r="AG30" i="19"/>
  <c r="AF30" i="19"/>
  <c r="AE30" i="19"/>
  <c r="AD30" i="19"/>
  <c r="T30" i="19"/>
  <c r="S30" i="19"/>
  <c r="R30" i="19"/>
  <c r="Q30" i="19"/>
  <c r="P30" i="19"/>
  <c r="BS29" i="19"/>
  <c r="BR29" i="19"/>
  <c r="BP29" i="19"/>
  <c r="BO29" i="19"/>
  <c r="BI29" i="19"/>
  <c r="BH29" i="19"/>
  <c r="BG29" i="19"/>
  <c r="BE29" i="19"/>
  <c r="BD29" i="19"/>
  <c r="BC29" i="19"/>
  <c r="BB29" i="19"/>
  <c r="AZ29" i="19"/>
  <c r="AY29" i="19"/>
  <c r="AX29" i="19"/>
  <c r="AW29" i="19"/>
  <c r="AS29" i="19"/>
  <c r="AR29" i="19"/>
  <c r="AQ29" i="19"/>
  <c r="AP29" i="19"/>
  <c r="AO29" i="19"/>
  <c r="AM29" i="19"/>
  <c r="AL29" i="19"/>
  <c r="AK29" i="19"/>
  <c r="AJ29" i="19"/>
  <c r="AI29" i="19"/>
  <c r="AH29" i="19"/>
  <c r="AG29" i="19"/>
  <c r="AF29" i="19"/>
  <c r="AE29" i="19"/>
  <c r="AN29" i="19" s="1"/>
  <c r="AD29" i="19"/>
  <c r="T29" i="19"/>
  <c r="S29" i="19"/>
  <c r="R29" i="19"/>
  <c r="Q29" i="19"/>
  <c r="BJ29" i="19" s="1"/>
  <c r="P29" i="19"/>
  <c r="BF29" i="19" s="1"/>
  <c r="BS28" i="19"/>
  <c r="BR28" i="19"/>
  <c r="BP28" i="19"/>
  <c r="BO28" i="19"/>
  <c r="BI28" i="19"/>
  <c r="BH28" i="19"/>
  <c r="BG28" i="19"/>
  <c r="BE28" i="19"/>
  <c r="BD28" i="19"/>
  <c r="BC28" i="19"/>
  <c r="BB28" i="19"/>
  <c r="AY28" i="19"/>
  <c r="AW28" i="19"/>
  <c r="AS28" i="19"/>
  <c r="AR28" i="19"/>
  <c r="AQ28" i="19"/>
  <c r="AP28" i="19"/>
  <c r="AO28" i="19"/>
  <c r="AM28" i="19"/>
  <c r="AL28" i="19"/>
  <c r="AK28" i="19"/>
  <c r="AJ28" i="19"/>
  <c r="AI28" i="19"/>
  <c r="AH28" i="19"/>
  <c r="AG28" i="19"/>
  <c r="AF28" i="19"/>
  <c r="AE28" i="19"/>
  <c r="AD28" i="19"/>
  <c r="T28" i="19"/>
  <c r="S28" i="19"/>
  <c r="R28" i="19"/>
  <c r="Q28" i="19"/>
  <c r="P28" i="19"/>
  <c r="BS27" i="19"/>
  <c r="BR27" i="19"/>
  <c r="BQ27" i="19"/>
  <c r="BP27" i="19"/>
  <c r="BO27" i="19"/>
  <c r="BI27" i="19"/>
  <c r="BH27" i="19"/>
  <c r="BG27" i="19"/>
  <c r="BE27" i="19"/>
  <c r="BD27" i="19"/>
  <c r="BC27" i="19"/>
  <c r="BB27" i="19"/>
  <c r="AY27" i="19"/>
  <c r="AW27" i="19"/>
  <c r="AS27" i="19"/>
  <c r="AR27" i="19"/>
  <c r="AQ27" i="19"/>
  <c r="AP27" i="19"/>
  <c r="AO27" i="19"/>
  <c r="AM27" i="19"/>
  <c r="AL27" i="19"/>
  <c r="AK27" i="19"/>
  <c r="AJ27" i="19"/>
  <c r="AI27" i="19"/>
  <c r="AH27" i="19"/>
  <c r="AG27" i="19"/>
  <c r="AF27" i="19"/>
  <c r="AE27" i="19"/>
  <c r="AD27" i="19"/>
  <c r="T27" i="19"/>
  <c r="S27" i="19"/>
  <c r="R27" i="19"/>
  <c r="Q27" i="19"/>
  <c r="P27" i="19"/>
  <c r="BS26" i="19"/>
  <c r="BR26" i="19"/>
  <c r="BP26" i="19"/>
  <c r="BO26" i="19"/>
  <c r="BI26" i="19"/>
  <c r="BH26" i="19"/>
  <c r="BG26" i="19"/>
  <c r="BE26" i="19"/>
  <c r="BD26" i="19"/>
  <c r="BC26" i="19"/>
  <c r="BB26" i="19"/>
  <c r="AZ26" i="19"/>
  <c r="AY26" i="19"/>
  <c r="AX26" i="19"/>
  <c r="AW26" i="19"/>
  <c r="AS26" i="19"/>
  <c r="AR26" i="19"/>
  <c r="AQ26" i="19"/>
  <c r="AP26" i="19"/>
  <c r="AO26" i="19"/>
  <c r="AM26" i="19"/>
  <c r="AL26" i="19"/>
  <c r="AK26" i="19"/>
  <c r="AJ26" i="19"/>
  <c r="AI26" i="19"/>
  <c r="AH26" i="19"/>
  <c r="AG26" i="19"/>
  <c r="AF26" i="19"/>
  <c r="AE26" i="19"/>
  <c r="AD26" i="19"/>
  <c r="T26" i="19"/>
  <c r="S26" i="19"/>
  <c r="R26" i="19"/>
  <c r="Q26" i="19"/>
  <c r="P26" i="19"/>
  <c r="BS25" i="19"/>
  <c r="BR25" i="19"/>
  <c r="BP25" i="19"/>
  <c r="BO25" i="19"/>
  <c r="BI25" i="19"/>
  <c r="BH25" i="19"/>
  <c r="BG25" i="19"/>
  <c r="BE25" i="19"/>
  <c r="BD25" i="19"/>
  <c r="BC25" i="19"/>
  <c r="BB25" i="19"/>
  <c r="AY25" i="19"/>
  <c r="AW25" i="19"/>
  <c r="AS25" i="19"/>
  <c r="AR25" i="19"/>
  <c r="AQ25" i="19"/>
  <c r="AP25" i="19"/>
  <c r="AO25" i="19"/>
  <c r="AM25" i="19"/>
  <c r="AL25" i="19"/>
  <c r="AK25" i="19"/>
  <c r="AJ25" i="19"/>
  <c r="AI25" i="19"/>
  <c r="AH25" i="19"/>
  <c r="AG25" i="19"/>
  <c r="AF25" i="19"/>
  <c r="AE25" i="19"/>
  <c r="AD25" i="19"/>
  <c r="T25" i="19"/>
  <c r="S25" i="19"/>
  <c r="R25" i="19"/>
  <c r="Q25" i="19"/>
  <c r="P25" i="19"/>
  <c r="BS24" i="19"/>
  <c r="BR24" i="19"/>
  <c r="BP24" i="19"/>
  <c r="BO24" i="19"/>
  <c r="BI24" i="19"/>
  <c r="BH24" i="19"/>
  <c r="BG24" i="19"/>
  <c r="BE24" i="19"/>
  <c r="BD24" i="19"/>
  <c r="BC24" i="19"/>
  <c r="BB24" i="19"/>
  <c r="AY24" i="19"/>
  <c r="AX24" i="19"/>
  <c r="AW24" i="19"/>
  <c r="AS24" i="19"/>
  <c r="AR24" i="19"/>
  <c r="AQ24" i="19"/>
  <c r="AP24" i="19"/>
  <c r="AO24" i="19"/>
  <c r="AM24" i="19"/>
  <c r="AL24" i="19"/>
  <c r="AK24" i="19"/>
  <c r="AJ24" i="19"/>
  <c r="AI24" i="19"/>
  <c r="AH24" i="19"/>
  <c r="AG24" i="19"/>
  <c r="AF24" i="19"/>
  <c r="AN24" i="19" s="1"/>
  <c r="AE24" i="19"/>
  <c r="AD24" i="19"/>
  <c r="T24" i="19"/>
  <c r="S24" i="19"/>
  <c r="R24" i="19"/>
  <c r="BQ24" i="19" s="1"/>
  <c r="Q24" i="19"/>
  <c r="P24" i="19"/>
  <c r="BS23" i="19"/>
  <c r="BR23" i="19"/>
  <c r="BP23" i="19"/>
  <c r="BO23" i="19"/>
  <c r="BI23" i="19"/>
  <c r="BH23" i="19"/>
  <c r="BG23" i="19"/>
  <c r="BF23" i="19"/>
  <c r="BE23" i="19"/>
  <c r="BD23" i="19"/>
  <c r="BC23" i="19"/>
  <c r="BB23" i="19"/>
  <c r="AZ23" i="19"/>
  <c r="AY23" i="19"/>
  <c r="AW23" i="19"/>
  <c r="AS23" i="19"/>
  <c r="AR23" i="19"/>
  <c r="AQ23" i="19"/>
  <c r="AP23" i="19"/>
  <c r="AO23" i="19"/>
  <c r="AM23" i="19"/>
  <c r="AL23" i="19"/>
  <c r="AK23" i="19"/>
  <c r="AJ23" i="19"/>
  <c r="AI23" i="19"/>
  <c r="AH23" i="19"/>
  <c r="AG23" i="19"/>
  <c r="AF23" i="19"/>
  <c r="AE23" i="19"/>
  <c r="AD23" i="19"/>
  <c r="T23" i="19"/>
  <c r="S23" i="19"/>
  <c r="R23" i="19"/>
  <c r="Q23" i="19"/>
  <c r="P23" i="19"/>
  <c r="BS22" i="19"/>
  <c r="BR22" i="19"/>
  <c r="BQ22" i="19"/>
  <c r="BP22" i="19"/>
  <c r="BO22" i="19"/>
  <c r="BI22" i="19"/>
  <c r="BH22" i="19"/>
  <c r="BG22" i="19"/>
  <c r="BE22" i="19"/>
  <c r="BD22" i="19"/>
  <c r="BC22" i="19"/>
  <c r="BB22" i="19"/>
  <c r="AZ22" i="19"/>
  <c r="AY22" i="19"/>
  <c r="AW22" i="19"/>
  <c r="AS22" i="19"/>
  <c r="AR22" i="19"/>
  <c r="AQ22" i="19"/>
  <c r="AP22" i="19"/>
  <c r="AO22" i="19"/>
  <c r="AM22" i="19"/>
  <c r="AL22" i="19"/>
  <c r="AK22" i="19"/>
  <c r="AJ22" i="19"/>
  <c r="AI22" i="19"/>
  <c r="AH22" i="19"/>
  <c r="AG22" i="19"/>
  <c r="AF22" i="19"/>
  <c r="AE22" i="19"/>
  <c r="AN22" i="19" s="1"/>
  <c r="AD22" i="19"/>
  <c r="T22" i="19"/>
  <c r="S22" i="19"/>
  <c r="R22" i="19"/>
  <c r="Q22" i="19"/>
  <c r="P22" i="19"/>
  <c r="BS21" i="19"/>
  <c r="BR21" i="19"/>
  <c r="BQ21" i="19"/>
  <c r="BP21" i="19"/>
  <c r="BO21" i="19"/>
  <c r="BI21" i="19"/>
  <c r="BH21" i="19"/>
  <c r="BG21" i="19"/>
  <c r="BE21" i="19"/>
  <c r="BD21" i="19"/>
  <c r="BC21" i="19"/>
  <c r="BB21" i="19"/>
  <c r="AY21" i="19"/>
  <c r="AX21" i="19"/>
  <c r="AW21" i="19"/>
  <c r="AS21" i="19"/>
  <c r="AR21" i="19"/>
  <c r="AQ21" i="19"/>
  <c r="AP21" i="19"/>
  <c r="AO21" i="19"/>
  <c r="AM21" i="19"/>
  <c r="AL21" i="19"/>
  <c r="AK21" i="19"/>
  <c r="AJ21" i="19"/>
  <c r="AI21" i="19"/>
  <c r="AH21" i="19"/>
  <c r="AG21" i="19"/>
  <c r="AF21" i="19"/>
  <c r="AE21" i="19"/>
  <c r="AD21" i="19"/>
  <c r="T21" i="19"/>
  <c r="S21" i="19"/>
  <c r="R21" i="19"/>
  <c r="Q21" i="19"/>
  <c r="BJ21" i="19" s="1"/>
  <c r="P21" i="19"/>
  <c r="BS20" i="19"/>
  <c r="BR20" i="19"/>
  <c r="BQ20" i="19"/>
  <c r="BP20" i="19"/>
  <c r="BO20" i="19"/>
  <c r="BI20" i="19"/>
  <c r="BH20" i="19"/>
  <c r="BG20" i="19"/>
  <c r="BE20" i="19"/>
  <c r="BD20" i="19"/>
  <c r="BC20" i="19"/>
  <c r="BB20" i="19"/>
  <c r="AZ20" i="19"/>
  <c r="AY20" i="19"/>
  <c r="AW20" i="19"/>
  <c r="AS20" i="19"/>
  <c r="AR20" i="19"/>
  <c r="AQ20" i="19"/>
  <c r="AP20" i="19"/>
  <c r="AO20" i="19"/>
  <c r="AM20" i="19"/>
  <c r="AL20" i="19"/>
  <c r="AK20" i="19"/>
  <c r="AJ20" i="19"/>
  <c r="AI20" i="19"/>
  <c r="AH20" i="19"/>
  <c r="AG20" i="19"/>
  <c r="AF20" i="19"/>
  <c r="AE20" i="19"/>
  <c r="AD20" i="19"/>
  <c r="T20" i="19"/>
  <c r="S20" i="19"/>
  <c r="R20" i="19"/>
  <c r="Q20" i="19"/>
  <c r="P20" i="19"/>
  <c r="BS19" i="19"/>
  <c r="BR19" i="19"/>
  <c r="BP19" i="19"/>
  <c r="BO19" i="19"/>
  <c r="BI19" i="19"/>
  <c r="BH19" i="19"/>
  <c r="BG19" i="19"/>
  <c r="BE19" i="19"/>
  <c r="BD19" i="19"/>
  <c r="BC19" i="19"/>
  <c r="BB19" i="19"/>
  <c r="AY19" i="19"/>
  <c r="AW19" i="19"/>
  <c r="AS19" i="19"/>
  <c r="AR19" i="19"/>
  <c r="AQ19" i="19"/>
  <c r="AP19" i="19"/>
  <c r="AO19" i="19"/>
  <c r="AM19" i="19"/>
  <c r="AL19" i="19"/>
  <c r="AK19" i="19"/>
  <c r="AJ19" i="19"/>
  <c r="AI19" i="19"/>
  <c r="AH19" i="19"/>
  <c r="AG19" i="19"/>
  <c r="AF19" i="19"/>
  <c r="AE19" i="19"/>
  <c r="AD19" i="19"/>
  <c r="T19" i="19"/>
  <c r="S19" i="19"/>
  <c r="R19" i="19"/>
  <c r="Q19" i="19"/>
  <c r="P19" i="19"/>
  <c r="BS18" i="19"/>
  <c r="BR18" i="19"/>
  <c r="BQ18" i="19"/>
  <c r="BP18" i="19"/>
  <c r="BO18" i="19"/>
  <c r="BI18" i="19"/>
  <c r="BH18" i="19"/>
  <c r="BG18" i="19"/>
  <c r="BE18" i="19"/>
  <c r="BD18" i="19"/>
  <c r="BC18" i="19"/>
  <c r="BB18" i="19"/>
  <c r="AY18" i="19"/>
  <c r="AW18" i="19"/>
  <c r="AS18" i="19"/>
  <c r="AR18" i="19"/>
  <c r="AQ18" i="19"/>
  <c r="AP18" i="19"/>
  <c r="AO18" i="19"/>
  <c r="AN18" i="19"/>
  <c r="AM18" i="19"/>
  <c r="AL18" i="19"/>
  <c r="AK18" i="19"/>
  <c r="AJ18" i="19"/>
  <c r="AI18" i="19"/>
  <c r="AH18" i="19"/>
  <c r="AG18" i="19"/>
  <c r="AF18" i="19"/>
  <c r="AE18" i="19"/>
  <c r="AD18" i="19"/>
  <c r="T18" i="19"/>
  <c r="S18" i="19"/>
  <c r="R18" i="19"/>
  <c r="Q18" i="19"/>
  <c r="P18" i="19"/>
  <c r="BS17" i="19"/>
  <c r="BR17" i="19"/>
  <c r="BQ17" i="19"/>
  <c r="BP17" i="19"/>
  <c r="BO17" i="19"/>
  <c r="BI17" i="19"/>
  <c r="BH17" i="19"/>
  <c r="BG17" i="19"/>
  <c r="BE17" i="19"/>
  <c r="BD17" i="19"/>
  <c r="BC17" i="19"/>
  <c r="BB17" i="19"/>
  <c r="AZ17" i="19"/>
  <c r="AY17" i="19"/>
  <c r="AX17" i="19"/>
  <c r="AW17" i="19"/>
  <c r="AS17" i="19"/>
  <c r="AR17" i="19"/>
  <c r="AQ17" i="19"/>
  <c r="AP17" i="19"/>
  <c r="AO17" i="19"/>
  <c r="AM17" i="19"/>
  <c r="AL17" i="19"/>
  <c r="AK17" i="19"/>
  <c r="AJ17" i="19"/>
  <c r="AI17" i="19"/>
  <c r="AN17" i="19" s="1"/>
  <c r="AH17" i="19"/>
  <c r="AG17" i="19"/>
  <c r="AF17" i="19"/>
  <c r="AE17" i="19"/>
  <c r="AD17" i="19"/>
  <c r="T17" i="19"/>
  <c r="S17" i="19"/>
  <c r="R17" i="19"/>
  <c r="Q17" i="19"/>
  <c r="P17" i="19"/>
  <c r="BS16" i="19"/>
  <c r="BR16" i="19"/>
  <c r="BQ16" i="19"/>
  <c r="BP16" i="19"/>
  <c r="BO16" i="19"/>
  <c r="BI16" i="19"/>
  <c r="BH16" i="19"/>
  <c r="BG16" i="19"/>
  <c r="BE16" i="19"/>
  <c r="BD16" i="19"/>
  <c r="BC16" i="19"/>
  <c r="BB16" i="19"/>
  <c r="AZ16" i="19"/>
  <c r="AY16" i="19"/>
  <c r="AW16" i="19"/>
  <c r="AS16" i="19"/>
  <c r="AR16" i="19"/>
  <c r="AQ16" i="19"/>
  <c r="AP16" i="19"/>
  <c r="AO16" i="19"/>
  <c r="AM16" i="19"/>
  <c r="AL16" i="19"/>
  <c r="AK16" i="19"/>
  <c r="AJ16" i="19"/>
  <c r="AI16" i="19"/>
  <c r="AH16" i="19"/>
  <c r="AG16" i="19"/>
  <c r="AF16" i="19"/>
  <c r="AE16" i="19"/>
  <c r="AD16" i="19"/>
  <c r="T16" i="19"/>
  <c r="S16" i="19"/>
  <c r="R16" i="19"/>
  <c r="Q16" i="19"/>
  <c r="P16" i="19"/>
  <c r="BS15" i="19"/>
  <c r="BR15" i="19"/>
  <c r="BQ15" i="19"/>
  <c r="BP15" i="19"/>
  <c r="BO15" i="19"/>
  <c r="BI15" i="19"/>
  <c r="BH15" i="19"/>
  <c r="BG15" i="19"/>
  <c r="BE15" i="19"/>
  <c r="BD15" i="19"/>
  <c r="BC15" i="19"/>
  <c r="BB15" i="19"/>
  <c r="AY15" i="19"/>
  <c r="AW15" i="19"/>
  <c r="AS15" i="19"/>
  <c r="AR15" i="19"/>
  <c r="AQ15" i="19"/>
  <c r="AP15" i="19"/>
  <c r="AO15" i="19"/>
  <c r="AM15" i="19"/>
  <c r="AL15" i="19"/>
  <c r="AK15" i="19"/>
  <c r="AJ15" i="19"/>
  <c r="AI15" i="19"/>
  <c r="AH15" i="19"/>
  <c r="AG15" i="19"/>
  <c r="AF15" i="19"/>
  <c r="AE15" i="19"/>
  <c r="AD15" i="19"/>
  <c r="T15" i="19"/>
  <c r="S15" i="19"/>
  <c r="R15" i="19"/>
  <c r="Q15" i="19"/>
  <c r="P15" i="19"/>
  <c r="BS14" i="19"/>
  <c r="BR14" i="19"/>
  <c r="BQ14" i="19"/>
  <c r="BP14" i="19"/>
  <c r="BO14" i="19"/>
  <c r="BI14" i="19"/>
  <c r="BH14" i="19"/>
  <c r="BG14" i="19"/>
  <c r="BE14" i="19"/>
  <c r="BD14" i="19"/>
  <c r="BC14" i="19"/>
  <c r="BB14" i="19"/>
  <c r="AZ14" i="19"/>
  <c r="AY14" i="19"/>
  <c r="AX14" i="19"/>
  <c r="AW14" i="19"/>
  <c r="AS14" i="19"/>
  <c r="AR14" i="19"/>
  <c r="AQ14" i="19"/>
  <c r="AP14" i="19"/>
  <c r="AO14" i="19"/>
  <c r="AM14" i="19"/>
  <c r="AL14" i="19"/>
  <c r="AK14" i="19"/>
  <c r="AJ14" i="19"/>
  <c r="AI14" i="19"/>
  <c r="AH14" i="19"/>
  <c r="AG14" i="19"/>
  <c r="AF14" i="19"/>
  <c r="AE14" i="19"/>
  <c r="AD14" i="19"/>
  <c r="T14" i="19"/>
  <c r="S14" i="19"/>
  <c r="R14" i="19"/>
  <c r="Q14" i="19"/>
  <c r="P14" i="19"/>
  <c r="BS13" i="19"/>
  <c r="BR13" i="19"/>
  <c r="BP13" i="19"/>
  <c r="BO13" i="19"/>
  <c r="BI13" i="19"/>
  <c r="BH13" i="19"/>
  <c r="BG13" i="19"/>
  <c r="BE13" i="19"/>
  <c r="BD13" i="19"/>
  <c r="BC13" i="19"/>
  <c r="BB13" i="19"/>
  <c r="AY13" i="19"/>
  <c r="AW13" i="19"/>
  <c r="AS13" i="19"/>
  <c r="AR13" i="19"/>
  <c r="AQ13" i="19"/>
  <c r="AP13" i="19"/>
  <c r="AO13" i="19"/>
  <c r="AN13" i="19"/>
  <c r="AM13" i="19"/>
  <c r="AL13" i="19"/>
  <c r="AK13" i="19"/>
  <c r="AJ13" i="19"/>
  <c r="AI13" i="19"/>
  <c r="AH13" i="19"/>
  <c r="AG13" i="19"/>
  <c r="AF13" i="19"/>
  <c r="AE13" i="19"/>
  <c r="AD13" i="19"/>
  <c r="T13" i="19"/>
  <c r="S13" i="19"/>
  <c r="R13" i="19"/>
  <c r="Q13" i="19"/>
  <c r="P13" i="19"/>
  <c r="BS12" i="19"/>
  <c r="BR12" i="19"/>
  <c r="BQ12" i="19"/>
  <c r="BP12" i="19"/>
  <c r="BO12" i="19"/>
  <c r="BI12" i="19"/>
  <c r="BH12" i="19"/>
  <c r="BG12" i="19"/>
  <c r="BE12" i="19"/>
  <c r="BD12" i="19"/>
  <c r="BC12" i="19"/>
  <c r="BB12" i="19"/>
  <c r="AZ12" i="19"/>
  <c r="AY12" i="19"/>
  <c r="AX12" i="19"/>
  <c r="AW12" i="19"/>
  <c r="AS12" i="19"/>
  <c r="AR12" i="19"/>
  <c r="AQ12" i="19"/>
  <c r="AP12" i="19"/>
  <c r="AO12" i="19"/>
  <c r="AM12" i="19"/>
  <c r="AL12" i="19"/>
  <c r="AK12" i="19"/>
  <c r="AJ12" i="19"/>
  <c r="AI12" i="19"/>
  <c r="AH12" i="19"/>
  <c r="AG12" i="19"/>
  <c r="AF12" i="19"/>
  <c r="AE12" i="19"/>
  <c r="AD12" i="19"/>
  <c r="T12" i="19"/>
  <c r="S12" i="19"/>
  <c r="R12" i="19"/>
  <c r="Q12" i="19"/>
  <c r="P12" i="19"/>
  <c r="BF12" i="19" s="1"/>
  <c r="BS11" i="19"/>
  <c r="BR11" i="19"/>
  <c r="BP11" i="19"/>
  <c r="BO11" i="19"/>
  <c r="BI11" i="19"/>
  <c r="BH11" i="19"/>
  <c r="BG11" i="19"/>
  <c r="BE11" i="19"/>
  <c r="BD11" i="19"/>
  <c r="BC11" i="19"/>
  <c r="BB11" i="19"/>
  <c r="AZ11" i="19"/>
  <c r="AY11" i="19"/>
  <c r="AX11" i="19"/>
  <c r="AW11" i="19"/>
  <c r="AS11" i="19"/>
  <c r="AR11" i="19"/>
  <c r="AQ11" i="19"/>
  <c r="AP11" i="19"/>
  <c r="AO11" i="19"/>
  <c r="AM11" i="19"/>
  <c r="AL11" i="19"/>
  <c r="AK11" i="19"/>
  <c r="AJ11" i="19"/>
  <c r="AI11" i="19"/>
  <c r="AH11" i="19"/>
  <c r="AG11" i="19"/>
  <c r="AF11" i="19"/>
  <c r="AE11" i="19"/>
  <c r="AD11" i="19"/>
  <c r="T11" i="19"/>
  <c r="S11" i="19"/>
  <c r="R11" i="19"/>
  <c r="BQ11" i="19" s="1"/>
  <c r="Q11" i="19"/>
  <c r="P11" i="19"/>
  <c r="BS10" i="19"/>
  <c r="BR10" i="19"/>
  <c r="BQ10" i="19"/>
  <c r="BP10" i="19"/>
  <c r="BO10" i="19"/>
  <c r="BI10" i="19"/>
  <c r="BH10" i="19"/>
  <c r="BG10" i="19"/>
  <c r="AY10" i="19"/>
  <c r="AW10" i="19"/>
  <c r="AS10" i="19"/>
  <c r="AR10" i="19"/>
  <c r="AQ10" i="19"/>
  <c r="AP10" i="19"/>
  <c r="AO10" i="19"/>
  <c r="AM10" i="19"/>
  <c r="AL10" i="19"/>
  <c r="AL32" i="19" s="1"/>
  <c r="K49" i="19" s="1"/>
  <c r="AK10" i="19"/>
  <c r="AJ10" i="19"/>
  <c r="AI10" i="19"/>
  <c r="AH10" i="19"/>
  <c r="AG10" i="19"/>
  <c r="AF10" i="19"/>
  <c r="AE10" i="19"/>
  <c r="AD10" i="19"/>
  <c r="AN10" i="19" s="1"/>
  <c r="S10" i="19"/>
  <c r="R10" i="19"/>
  <c r="Q10" i="19"/>
  <c r="P10" i="19"/>
  <c r="AY9" i="19"/>
  <c r="P6" i="19"/>
  <c r="P5" i="19"/>
  <c r="P4" i="19"/>
  <c r="P3" i="19"/>
  <c r="U2" i="19"/>
  <c r="E171" i="18"/>
  <c r="E163" i="18"/>
  <c r="E162" i="18"/>
  <c r="E160" i="18"/>
  <c r="N150" i="18"/>
  <c r="L150" i="18"/>
  <c r="J150" i="18"/>
  <c r="H150" i="18"/>
  <c r="N149" i="18"/>
  <c r="L149" i="18"/>
  <c r="J149" i="18"/>
  <c r="H149" i="18"/>
  <c r="N148" i="18"/>
  <c r="L148" i="18"/>
  <c r="J148" i="18"/>
  <c r="H148" i="18"/>
  <c r="N147" i="18"/>
  <c r="L147" i="18"/>
  <c r="J147" i="18"/>
  <c r="H147" i="18"/>
  <c r="N146" i="18"/>
  <c r="L146" i="18"/>
  <c r="J146" i="18"/>
  <c r="H146" i="18"/>
  <c r="E146" i="18"/>
  <c r="N145" i="18"/>
  <c r="L145" i="18"/>
  <c r="J145" i="18"/>
  <c r="H145" i="18"/>
  <c r="E145" i="18"/>
  <c r="N144" i="18"/>
  <c r="L144" i="18"/>
  <c r="J144" i="18"/>
  <c r="H144" i="18"/>
  <c r="N143" i="18"/>
  <c r="L143" i="18"/>
  <c r="J143" i="18"/>
  <c r="H143" i="18"/>
  <c r="N142" i="18"/>
  <c r="L142" i="18"/>
  <c r="J142" i="18"/>
  <c r="H142" i="18"/>
  <c r="N141" i="18"/>
  <c r="L141" i="18"/>
  <c r="K141" i="18"/>
  <c r="J141" i="18"/>
  <c r="H141" i="18"/>
  <c r="E141" i="18"/>
  <c r="N140" i="18"/>
  <c r="L140" i="18"/>
  <c r="J140" i="18"/>
  <c r="H140" i="18"/>
  <c r="E140" i="18"/>
  <c r="N139" i="18"/>
  <c r="L139" i="18"/>
  <c r="J139" i="18"/>
  <c r="H139" i="18"/>
  <c r="N138" i="18"/>
  <c r="L138" i="18"/>
  <c r="J138" i="18"/>
  <c r="H138" i="18"/>
  <c r="N137" i="18"/>
  <c r="L137" i="18"/>
  <c r="J137" i="18"/>
  <c r="H137" i="18"/>
  <c r="E137" i="18"/>
  <c r="N136" i="18"/>
  <c r="L136" i="18"/>
  <c r="J136" i="18"/>
  <c r="H136" i="18"/>
  <c r="N135" i="18"/>
  <c r="L135" i="18"/>
  <c r="J135" i="18"/>
  <c r="H135" i="18"/>
  <c r="N134" i="18"/>
  <c r="L134" i="18"/>
  <c r="J134" i="18"/>
  <c r="H134" i="18"/>
  <c r="N133" i="18"/>
  <c r="L133" i="18"/>
  <c r="J133" i="18"/>
  <c r="H133" i="18"/>
  <c r="N132" i="18"/>
  <c r="L132" i="18"/>
  <c r="J132" i="18"/>
  <c r="H132" i="18"/>
  <c r="N131" i="18"/>
  <c r="L131" i="18"/>
  <c r="J131" i="18"/>
  <c r="H131" i="18"/>
  <c r="N130" i="18"/>
  <c r="L130" i="18"/>
  <c r="J130" i="18"/>
  <c r="H130" i="18"/>
  <c r="N129" i="18"/>
  <c r="L129" i="18"/>
  <c r="J129" i="18"/>
  <c r="H129" i="18"/>
  <c r="N128" i="18"/>
  <c r="L128" i="18"/>
  <c r="J128" i="18"/>
  <c r="H128" i="18"/>
  <c r="N127" i="18"/>
  <c r="L127" i="18"/>
  <c r="J127" i="18"/>
  <c r="H127" i="18"/>
  <c r="N126" i="18"/>
  <c r="L126" i="18"/>
  <c r="J126" i="18"/>
  <c r="H126" i="18"/>
  <c r="N125" i="18"/>
  <c r="L125" i="18"/>
  <c r="J125" i="18"/>
  <c r="H125" i="18"/>
  <c r="N124" i="18"/>
  <c r="L124" i="18"/>
  <c r="J124" i="18"/>
  <c r="H124" i="18"/>
  <c r="N123" i="18"/>
  <c r="L123" i="18"/>
  <c r="J123" i="18"/>
  <c r="H123" i="18"/>
  <c r="N122" i="18"/>
  <c r="L122" i="18"/>
  <c r="J122" i="18"/>
  <c r="H122" i="18"/>
  <c r="N121" i="18"/>
  <c r="L121" i="18"/>
  <c r="J121" i="18"/>
  <c r="H121" i="18"/>
  <c r="N120" i="18"/>
  <c r="L120" i="18"/>
  <c r="J120" i="18"/>
  <c r="H120" i="18"/>
  <c r="N119" i="18"/>
  <c r="L119" i="18"/>
  <c r="J119" i="18"/>
  <c r="H119" i="18"/>
  <c r="B118" i="18"/>
  <c r="M113" i="18"/>
  <c r="W112" i="18"/>
  <c r="E110" i="18"/>
  <c r="W109" i="18"/>
  <c r="U109" i="18"/>
  <c r="O109" i="18"/>
  <c r="O108" i="18"/>
  <c r="E170" i="18" s="1"/>
  <c r="O107" i="18"/>
  <c r="O105" i="18"/>
  <c r="Z104" i="18"/>
  <c r="O104" i="18"/>
  <c r="Z103" i="18"/>
  <c r="E133" i="18" s="1"/>
  <c r="O103" i="18"/>
  <c r="Z102" i="18"/>
  <c r="E132" i="18" s="1"/>
  <c r="O101" i="18"/>
  <c r="E101" i="18"/>
  <c r="O100" i="18"/>
  <c r="E166" i="18" s="1"/>
  <c r="E100" i="18"/>
  <c r="O99" i="18"/>
  <c r="E165" i="18" s="1"/>
  <c r="X98" i="18"/>
  <c r="G98" i="18"/>
  <c r="E98" i="18"/>
  <c r="O98" i="18" s="1"/>
  <c r="Z97" i="18"/>
  <c r="O97" i="18"/>
  <c r="G97" i="18"/>
  <c r="O96" i="18"/>
  <c r="G96" i="18"/>
  <c r="E94" i="18"/>
  <c r="O94" i="18" s="1"/>
  <c r="E136" i="18" s="1"/>
  <c r="E93" i="18"/>
  <c r="O93" i="18" s="1"/>
  <c r="E135" i="18" s="1"/>
  <c r="Z92" i="18"/>
  <c r="O92" i="18"/>
  <c r="O91" i="18"/>
  <c r="Z89" i="18"/>
  <c r="O88" i="18"/>
  <c r="L88" i="18"/>
  <c r="L87" i="18"/>
  <c r="Z86" i="18"/>
  <c r="L86" i="18"/>
  <c r="L85" i="18"/>
  <c r="V83" i="18"/>
  <c r="L83" i="18"/>
  <c r="E139" i="18" s="1"/>
  <c r="L82" i="18"/>
  <c r="L81" i="18"/>
  <c r="E138" i="18" s="1"/>
  <c r="X80" i="18"/>
  <c r="Z80" i="18" s="1"/>
  <c r="L80" i="18"/>
  <c r="X79" i="18"/>
  <c r="Z79" i="18" s="1"/>
  <c r="L79" i="18"/>
  <c r="H79" i="18"/>
  <c r="O77" i="18"/>
  <c r="O76" i="18"/>
  <c r="L76" i="18"/>
  <c r="V75" i="18"/>
  <c r="L75" i="18"/>
  <c r="X72" i="18"/>
  <c r="V72" i="18"/>
  <c r="V70" i="18"/>
  <c r="G70" i="18"/>
  <c r="B70" i="18"/>
  <c r="C69" i="18"/>
  <c r="C68" i="18"/>
  <c r="C67" i="18"/>
  <c r="C66" i="18"/>
  <c r="C65" i="18"/>
  <c r="AS59" i="18"/>
  <c r="R59" i="18"/>
  <c r="P59" i="18"/>
  <c r="AS58" i="18"/>
  <c r="Z58" i="18"/>
  <c r="R58" i="18"/>
  <c r="P58" i="18"/>
  <c r="AS57" i="18"/>
  <c r="Z57" i="18"/>
  <c r="R57" i="18"/>
  <c r="P57" i="18"/>
  <c r="AS56" i="18"/>
  <c r="Z56" i="18"/>
  <c r="R56" i="18"/>
  <c r="P56" i="18"/>
  <c r="AS55" i="18"/>
  <c r="Z55" i="18"/>
  <c r="R55" i="18"/>
  <c r="P55" i="18"/>
  <c r="AS54" i="18"/>
  <c r="Z54" i="18"/>
  <c r="R54" i="18"/>
  <c r="P54" i="18"/>
  <c r="AS53" i="18"/>
  <c r="Z53" i="18"/>
  <c r="R53" i="18"/>
  <c r="P53" i="18"/>
  <c r="AS52" i="18"/>
  <c r="Z52" i="18"/>
  <c r="R52" i="18"/>
  <c r="P52" i="18"/>
  <c r="AS51" i="18"/>
  <c r="Z51" i="18"/>
  <c r="R51" i="18"/>
  <c r="P51" i="18"/>
  <c r="AS50" i="18"/>
  <c r="Z50" i="18"/>
  <c r="R50" i="18"/>
  <c r="P50" i="18"/>
  <c r="AS49" i="18"/>
  <c r="Z49" i="18"/>
  <c r="R49" i="18"/>
  <c r="P49" i="18"/>
  <c r="N46" i="18"/>
  <c r="M45" i="18"/>
  <c r="Y44" i="18"/>
  <c r="Y112" i="18" s="1"/>
  <c r="W44" i="18"/>
  <c r="Z85" i="18" s="1"/>
  <c r="DE43" i="18"/>
  <c r="DD42" i="18"/>
  <c r="DD44" i="18" s="1"/>
  <c r="CS42" i="18"/>
  <c r="CS44" i="18" s="1"/>
  <c r="K42" i="18"/>
  <c r="V77" i="18" s="1"/>
  <c r="G42" i="18"/>
  <c r="DO41" i="18"/>
  <c r="DN41" i="18"/>
  <c r="DM41" i="18"/>
  <c r="DL41" i="18"/>
  <c r="DK41" i="18"/>
  <c r="DJ41" i="18"/>
  <c r="DI41" i="18"/>
  <c r="DH41" i="18"/>
  <c r="DG41" i="18"/>
  <c r="DF41" i="18"/>
  <c r="DE41" i="18"/>
  <c r="DC41" i="18"/>
  <c r="DA41" i="18"/>
  <c r="CP41" i="18"/>
  <c r="CM41" i="18"/>
  <c r="S41" i="18" s="1"/>
  <c r="CL41" i="18"/>
  <c r="CK41" i="18"/>
  <c r="CJ41" i="18"/>
  <c r="CI41" i="18"/>
  <c r="CH41" i="18"/>
  <c r="CG41" i="18"/>
  <c r="CF41" i="18"/>
  <c r="CE41" i="18"/>
  <c r="CD41" i="18"/>
  <c r="CB41" i="18"/>
  <c r="CA41" i="18"/>
  <c r="BZ41" i="18"/>
  <c r="BY41" i="18"/>
  <c r="BX41" i="18"/>
  <c r="BW41" i="18"/>
  <c r="BV41" i="18"/>
  <c r="BT41" i="18"/>
  <c r="CC41" i="18" s="1"/>
  <c r="BS41" i="18"/>
  <c r="BR41" i="18"/>
  <c r="BQ41" i="18"/>
  <c r="BU41" i="18" s="1"/>
  <c r="BP41" i="18"/>
  <c r="BO41" i="18"/>
  <c r="BL41" i="18"/>
  <c r="BK41" i="18"/>
  <c r="BJ41" i="18"/>
  <c r="BI41" i="18"/>
  <c r="BH41" i="18"/>
  <c r="BG41" i="18"/>
  <c r="BF41" i="18"/>
  <c r="BE41" i="18"/>
  <c r="BD41" i="18"/>
  <c r="BC41" i="18"/>
  <c r="BB41" i="18"/>
  <c r="Q41" i="18" s="1"/>
  <c r="BA41" i="18"/>
  <c r="AZ41" i="18"/>
  <c r="AY41" i="18"/>
  <c r="AX41" i="18"/>
  <c r="AW41" i="18"/>
  <c r="AV41" i="18"/>
  <c r="AU41" i="18"/>
  <c r="AT41" i="18"/>
  <c r="AS41" i="18"/>
  <c r="AR41" i="18"/>
  <c r="V41" i="18"/>
  <c r="U41" i="18"/>
  <c r="R41" i="18"/>
  <c r="P41" i="18"/>
  <c r="DO40" i="18"/>
  <c r="DN40" i="18"/>
  <c r="DM40" i="18"/>
  <c r="DL40" i="18"/>
  <c r="DK40" i="18"/>
  <c r="DJ40" i="18"/>
  <c r="DI40" i="18"/>
  <c r="DH40" i="18"/>
  <c r="DG40" i="18"/>
  <c r="DF40" i="18"/>
  <c r="DE40" i="18"/>
  <c r="DA40" i="18"/>
  <c r="CP40" i="18"/>
  <c r="CK40" i="18"/>
  <c r="CJ40" i="18"/>
  <c r="CI40" i="18"/>
  <c r="CH40" i="18"/>
  <c r="CG40" i="18"/>
  <c r="CF40" i="18"/>
  <c r="CE40" i="18"/>
  <c r="CD40" i="18"/>
  <c r="CZ40" i="18" s="1"/>
  <c r="K149" i="18" s="1"/>
  <c r="CB40" i="18"/>
  <c r="CA40" i="18"/>
  <c r="BZ40" i="18"/>
  <c r="BY40" i="18"/>
  <c r="BX40" i="18"/>
  <c r="BW40" i="18"/>
  <c r="BV40" i="18"/>
  <c r="BU40" i="18"/>
  <c r="BT40" i="18"/>
  <c r="BS40" i="18"/>
  <c r="BR40" i="18"/>
  <c r="BQ40" i="18"/>
  <c r="CM40" i="18" s="1"/>
  <c r="S40" i="18" s="1"/>
  <c r="BP40" i="18"/>
  <c r="BL40" i="18"/>
  <c r="BK40" i="18"/>
  <c r="BJ40" i="18"/>
  <c r="BI40" i="18"/>
  <c r="BH40" i="18"/>
  <c r="BG40" i="18"/>
  <c r="BF40" i="18"/>
  <c r="BE40" i="18"/>
  <c r="BD40" i="18"/>
  <c r="BC40" i="18"/>
  <c r="BA40" i="18"/>
  <c r="AZ40" i="18"/>
  <c r="AY40" i="18"/>
  <c r="AX40" i="18"/>
  <c r="AW40" i="18"/>
  <c r="AV40" i="18"/>
  <c r="AU40" i="18"/>
  <c r="AT40" i="18"/>
  <c r="AS40" i="18"/>
  <c r="AR40" i="18"/>
  <c r="V40" i="18"/>
  <c r="T40" i="18"/>
  <c r="R40" i="18"/>
  <c r="DO39" i="18"/>
  <c r="DN39" i="18"/>
  <c r="DM39" i="18"/>
  <c r="DL39" i="18"/>
  <c r="DK39" i="18"/>
  <c r="DJ39" i="18"/>
  <c r="DI39" i="18"/>
  <c r="DH39" i="18"/>
  <c r="DG39" i="18"/>
  <c r="DF39" i="18"/>
  <c r="DE39" i="18"/>
  <c r="CP39" i="18"/>
  <c r="CM39" i="18"/>
  <c r="S39" i="18" s="1"/>
  <c r="CK39" i="18"/>
  <c r="DA39" i="18" s="1"/>
  <c r="CJ39" i="18"/>
  <c r="DC39" i="18" s="1"/>
  <c r="CI39" i="18"/>
  <c r="CH39" i="18"/>
  <c r="CG39" i="18"/>
  <c r="CF39" i="18"/>
  <c r="CE39" i="18"/>
  <c r="CD39" i="18"/>
  <c r="CZ39" i="18" s="1"/>
  <c r="K148" i="18" s="1"/>
  <c r="CB39" i="18"/>
  <c r="CA39" i="18"/>
  <c r="BZ39" i="18"/>
  <c r="BR39" i="18"/>
  <c r="BQ39" i="18"/>
  <c r="BO39" i="18" s="1"/>
  <c r="BP39" i="18"/>
  <c r="BL39" i="18"/>
  <c r="BK39" i="18"/>
  <c r="BJ39" i="18"/>
  <c r="BI39" i="18"/>
  <c r="BH39" i="18"/>
  <c r="BG39" i="18"/>
  <c r="BF39" i="18"/>
  <c r="BE39" i="18"/>
  <c r="BD39" i="18"/>
  <c r="BM39" i="18" s="1"/>
  <c r="BN39" i="18" s="1"/>
  <c r="CO39" i="18" s="1"/>
  <c r="I148" i="18" s="1"/>
  <c r="BC39" i="18"/>
  <c r="BA39" i="18"/>
  <c r="AZ39" i="18"/>
  <c r="AY39" i="18"/>
  <c r="AX39" i="18"/>
  <c r="AW39" i="18"/>
  <c r="AV39" i="18"/>
  <c r="AU39" i="18"/>
  <c r="AT39" i="18"/>
  <c r="AS39" i="18"/>
  <c r="AR39" i="18"/>
  <c r="BB39" i="18" s="1"/>
  <c r="Q39" i="18" s="1"/>
  <c r="V39" i="18"/>
  <c r="R39" i="18"/>
  <c r="DO38" i="18"/>
  <c r="DN38" i="18"/>
  <c r="DM38" i="18"/>
  <c r="DL38" i="18"/>
  <c r="DK38" i="18"/>
  <c r="DJ38" i="18"/>
  <c r="DI38" i="18"/>
  <c r="DH38" i="18"/>
  <c r="DG38" i="18"/>
  <c r="DF38" i="18"/>
  <c r="DE38" i="18"/>
  <c r="DC38" i="18"/>
  <c r="DA38" i="18"/>
  <c r="CR38" i="18"/>
  <c r="CP38" i="18"/>
  <c r="CK38" i="18"/>
  <c r="CJ38" i="18"/>
  <c r="CH38" i="18"/>
  <c r="CG38" i="18"/>
  <c r="CF38" i="18"/>
  <c r="CB38" i="18"/>
  <c r="BS38" i="18"/>
  <c r="BR38" i="18"/>
  <c r="BQ38" i="18"/>
  <c r="BP38" i="18"/>
  <c r="BO38" i="18"/>
  <c r="BL38" i="18"/>
  <c r="BK38" i="18"/>
  <c r="BJ38" i="18"/>
  <c r="BI38" i="18"/>
  <c r="BH38" i="18"/>
  <c r="BG38" i="18"/>
  <c r="BF38" i="18"/>
  <c r="BE38" i="18"/>
  <c r="BM38" i="18" s="1"/>
  <c r="BN38" i="18" s="1"/>
  <c r="CO38" i="18" s="1"/>
  <c r="I147" i="18" s="1"/>
  <c r="BD38" i="18"/>
  <c r="BC38" i="18"/>
  <c r="BA38" i="18"/>
  <c r="AZ38" i="18"/>
  <c r="AY38" i="18"/>
  <c r="AX38" i="18"/>
  <c r="AW38" i="18"/>
  <c r="AV38" i="18"/>
  <c r="AU38" i="18"/>
  <c r="AT38" i="18"/>
  <c r="AS38" i="18"/>
  <c r="AR38" i="18"/>
  <c r="V38" i="18"/>
  <c r="T38" i="18"/>
  <c r="R38" i="18"/>
  <c r="DO37" i="18"/>
  <c r="DN37" i="18"/>
  <c r="DM37" i="18"/>
  <c r="DL37" i="18"/>
  <c r="DK37" i="18"/>
  <c r="DJ37" i="18"/>
  <c r="DI37" i="18"/>
  <c r="DH37" i="18"/>
  <c r="DG37" i="18"/>
  <c r="DF37" i="18"/>
  <c r="DE37" i="18"/>
  <c r="DC37" i="18"/>
  <c r="CR37" i="18"/>
  <c r="CP37" i="18"/>
  <c r="CM37" i="18"/>
  <c r="S37" i="18" s="1"/>
  <c r="CL37" i="18"/>
  <c r="CK37" i="18"/>
  <c r="DA37" i="18" s="1"/>
  <c r="CJ37" i="18"/>
  <c r="CI37" i="18"/>
  <c r="CH37" i="18"/>
  <c r="CG37" i="18"/>
  <c r="CF37" i="18"/>
  <c r="CE37" i="18"/>
  <c r="CD37" i="18"/>
  <c r="CZ37" i="18" s="1"/>
  <c r="K146" i="18" s="1"/>
  <c r="CB37" i="18"/>
  <c r="CA37" i="18"/>
  <c r="BZ37" i="18"/>
  <c r="BY37" i="18"/>
  <c r="BX37" i="18"/>
  <c r="BW37" i="18"/>
  <c r="BV37" i="18"/>
  <c r="BT37" i="18"/>
  <c r="BR37" i="18"/>
  <c r="BQ37" i="18"/>
  <c r="BU37" i="18" s="1"/>
  <c r="BP37" i="18"/>
  <c r="BL37" i="18"/>
  <c r="BK37" i="18"/>
  <c r="BJ37" i="18"/>
  <c r="BI37" i="18"/>
  <c r="BH37" i="18"/>
  <c r="BG37" i="18"/>
  <c r="BF37" i="18"/>
  <c r="BE37" i="18"/>
  <c r="BD37" i="18"/>
  <c r="BM37" i="18" s="1"/>
  <c r="BC37" i="18"/>
  <c r="BA37" i="18"/>
  <c r="AZ37" i="18"/>
  <c r="AY37" i="18"/>
  <c r="AX37" i="18"/>
  <c r="AW37" i="18"/>
  <c r="AV37" i="18"/>
  <c r="AU37" i="18"/>
  <c r="AT37" i="18"/>
  <c r="AS37" i="18"/>
  <c r="AR37" i="18"/>
  <c r="BB37" i="18" s="1"/>
  <c r="Q37" i="18" s="1"/>
  <c r="V37" i="18"/>
  <c r="U37" i="18"/>
  <c r="R37" i="18"/>
  <c r="P37" i="18"/>
  <c r="DO36" i="18"/>
  <c r="DN36" i="18"/>
  <c r="DM36" i="18"/>
  <c r="DL36" i="18"/>
  <c r="DK36" i="18"/>
  <c r="DJ36" i="18"/>
  <c r="DI36" i="18"/>
  <c r="DH36" i="18"/>
  <c r="DG36" i="18"/>
  <c r="DF36" i="18"/>
  <c r="DE36" i="18"/>
  <c r="DC36" i="18"/>
  <c r="DA36" i="18"/>
  <c r="CR36" i="18"/>
  <c r="CP36" i="18"/>
  <c r="CK36" i="18"/>
  <c r="CJ36" i="18"/>
  <c r="CH36" i="18"/>
  <c r="CG36" i="18"/>
  <c r="CF36" i="18"/>
  <c r="CD36" i="18"/>
  <c r="CZ36" i="18" s="1"/>
  <c r="K145" i="18" s="1"/>
  <c r="CB36" i="18"/>
  <c r="BZ36" i="18"/>
  <c r="BX36" i="18"/>
  <c r="BW36" i="18"/>
  <c r="BV36" i="18"/>
  <c r="BU36" i="18"/>
  <c r="BT36" i="18"/>
  <c r="BS36" i="18"/>
  <c r="BR36" i="18"/>
  <c r="BQ36" i="18"/>
  <c r="BP36" i="18"/>
  <c r="BO36" i="18"/>
  <c r="BL36" i="18"/>
  <c r="BK36" i="18"/>
  <c r="BM36" i="18" s="1"/>
  <c r="BN36" i="18" s="1"/>
  <c r="CO36" i="18" s="1"/>
  <c r="I145" i="18" s="1"/>
  <c r="BJ36" i="18"/>
  <c r="BI36" i="18"/>
  <c r="BH36" i="18"/>
  <c r="BG36" i="18"/>
  <c r="BF36" i="18"/>
  <c r="BE36" i="18"/>
  <c r="BD36" i="18"/>
  <c r="BC36" i="18"/>
  <c r="BA36" i="18"/>
  <c r="AZ36" i="18"/>
  <c r="AY36" i="18"/>
  <c r="AX36" i="18"/>
  <c r="AW36" i="18"/>
  <c r="AV36" i="18"/>
  <c r="AU36" i="18"/>
  <c r="AT36" i="18"/>
  <c r="AS36" i="18"/>
  <c r="AR36" i="18"/>
  <c r="V36" i="18"/>
  <c r="T36" i="18"/>
  <c r="R36" i="18"/>
  <c r="P36" i="18"/>
  <c r="CL36" i="18" s="1"/>
  <c r="DO35" i="18"/>
  <c r="DN35" i="18"/>
  <c r="DM35" i="18"/>
  <c r="DL35" i="18"/>
  <c r="DK35" i="18"/>
  <c r="DJ35" i="18"/>
  <c r="DI35" i="18"/>
  <c r="DH35" i="18"/>
  <c r="DG35" i="18"/>
  <c r="DF35" i="18"/>
  <c r="DE35" i="18"/>
  <c r="CP35" i="18"/>
  <c r="CM35" i="18"/>
  <c r="S35" i="18" s="1"/>
  <c r="CL35" i="18"/>
  <c r="CK35" i="18"/>
  <c r="DA35" i="18" s="1"/>
  <c r="CJ35" i="18"/>
  <c r="DC35" i="18" s="1"/>
  <c r="CI35" i="18"/>
  <c r="CH35" i="18"/>
  <c r="CG35" i="18"/>
  <c r="CF35" i="18"/>
  <c r="CE35" i="18"/>
  <c r="CD35" i="18"/>
  <c r="CZ35" i="18" s="1"/>
  <c r="K144" i="18" s="1"/>
  <c r="CB35" i="18"/>
  <c r="CA35" i="18"/>
  <c r="BZ35" i="18"/>
  <c r="BY35" i="18"/>
  <c r="BX35" i="18"/>
  <c r="BV35" i="18"/>
  <c r="BT35" i="18"/>
  <c r="BR35" i="18"/>
  <c r="BQ35" i="18"/>
  <c r="BW35" i="18" s="1"/>
  <c r="BP35" i="18"/>
  <c r="BO35" i="18"/>
  <c r="BL35" i="18"/>
  <c r="BK35" i="18"/>
  <c r="BJ35" i="18"/>
  <c r="BI35" i="18"/>
  <c r="BH35" i="18"/>
  <c r="BG35" i="18"/>
  <c r="BF35" i="18"/>
  <c r="BE35" i="18"/>
  <c r="BD35" i="18"/>
  <c r="BC35" i="18"/>
  <c r="BM35" i="18" s="1"/>
  <c r="BN35" i="18" s="1"/>
  <c r="BA35" i="18"/>
  <c r="AZ35" i="18"/>
  <c r="AY35" i="18"/>
  <c r="AX35" i="18"/>
  <c r="AW35" i="18"/>
  <c r="AV35" i="18"/>
  <c r="AU35" i="18"/>
  <c r="AT35" i="18"/>
  <c r="AS35" i="18"/>
  <c r="AR35" i="18"/>
  <c r="BB35" i="18" s="1"/>
  <c r="Q35" i="18" s="1"/>
  <c r="V35" i="18"/>
  <c r="U35" i="18"/>
  <c r="R35" i="18"/>
  <c r="P35" i="18"/>
  <c r="DO34" i="18"/>
  <c r="DN34" i="18"/>
  <c r="DM34" i="18"/>
  <c r="DL34" i="18"/>
  <c r="DK34" i="18"/>
  <c r="DJ34" i="18"/>
  <c r="DI34" i="18"/>
  <c r="DH34" i="18"/>
  <c r="DG34" i="18"/>
  <c r="DF34" i="18"/>
  <c r="DE34" i="18"/>
  <c r="DC34" i="18"/>
  <c r="DA34" i="18"/>
  <c r="CP34" i="18"/>
  <c r="CK34" i="18"/>
  <c r="CJ34" i="18"/>
  <c r="CH34" i="18"/>
  <c r="CG34" i="18"/>
  <c r="CF34" i="18"/>
  <c r="CR34" i="18" s="1"/>
  <c r="BT34" i="18"/>
  <c r="BS34" i="18"/>
  <c r="BR34" i="18"/>
  <c r="BQ34" i="18"/>
  <c r="BP34" i="18"/>
  <c r="BL34" i="18"/>
  <c r="BK34" i="18"/>
  <c r="BJ34" i="18"/>
  <c r="BI34" i="18"/>
  <c r="BH34" i="18"/>
  <c r="BG34" i="18"/>
  <c r="BF34" i="18"/>
  <c r="BE34" i="18"/>
  <c r="BD34" i="18"/>
  <c r="BC34" i="18"/>
  <c r="BA34" i="18"/>
  <c r="AZ34" i="18"/>
  <c r="AY34" i="18"/>
  <c r="AX34" i="18"/>
  <c r="AW34" i="18"/>
  <c r="AV34" i="18"/>
  <c r="AU34" i="18"/>
  <c r="AT34" i="18"/>
  <c r="AS34" i="18"/>
  <c r="AR34" i="18"/>
  <c r="V34" i="18"/>
  <c r="T34" i="18"/>
  <c r="R34" i="18"/>
  <c r="DO33" i="18"/>
  <c r="DN33" i="18"/>
  <c r="DM33" i="18"/>
  <c r="DL33" i="18"/>
  <c r="DK33" i="18"/>
  <c r="DJ33" i="18"/>
  <c r="DI33" i="18"/>
  <c r="DH33" i="18"/>
  <c r="DG33" i="18"/>
  <c r="DF33" i="18"/>
  <c r="DE33" i="18"/>
  <c r="DA33" i="18"/>
  <c r="CP33" i="18"/>
  <c r="CK33" i="18"/>
  <c r="CJ33" i="18"/>
  <c r="DC33" i="18" s="1"/>
  <c r="CH33" i="18"/>
  <c r="CG33" i="18"/>
  <c r="CR33" i="18" s="1"/>
  <c r="CF33" i="18"/>
  <c r="BR33" i="18"/>
  <c r="BQ33" i="18"/>
  <c r="BP33" i="18"/>
  <c r="BL33" i="18"/>
  <c r="BK33" i="18"/>
  <c r="BJ33" i="18"/>
  <c r="BI33" i="18"/>
  <c r="BH33" i="18"/>
  <c r="BG33" i="18"/>
  <c r="BF33" i="18"/>
  <c r="BE33" i="18"/>
  <c r="BD33" i="18"/>
  <c r="BC33" i="18"/>
  <c r="BA33" i="18"/>
  <c r="AZ33" i="18"/>
  <c r="AY33" i="18"/>
  <c r="AX33" i="18"/>
  <c r="AW33" i="18"/>
  <c r="AV33" i="18"/>
  <c r="AU33" i="18"/>
  <c r="AT33" i="18"/>
  <c r="AS33" i="18"/>
  <c r="AR33" i="18"/>
  <c r="V33" i="18"/>
  <c r="R33" i="18"/>
  <c r="DO32" i="18"/>
  <c r="DN32" i="18"/>
  <c r="DM32" i="18"/>
  <c r="DL32" i="18"/>
  <c r="DK32" i="18"/>
  <c r="DJ32" i="18"/>
  <c r="DI32" i="18"/>
  <c r="DH32" i="18"/>
  <c r="DG32" i="18"/>
  <c r="DF32" i="18"/>
  <c r="DE32" i="18"/>
  <c r="DC32" i="18"/>
  <c r="CZ32" i="18"/>
  <c r="CP32" i="18"/>
  <c r="CK32" i="18"/>
  <c r="DA32" i="18" s="1"/>
  <c r="CJ32" i="18"/>
  <c r="CH32" i="18"/>
  <c r="CG32" i="18"/>
  <c r="CF32" i="18"/>
  <c r="CR32" i="18" s="1"/>
  <c r="CE32" i="18"/>
  <c r="CD32" i="18"/>
  <c r="CB32" i="18"/>
  <c r="CA32" i="18"/>
  <c r="BZ32" i="18"/>
  <c r="BY32" i="18"/>
  <c r="BX32" i="18"/>
  <c r="BW32" i="18"/>
  <c r="BV32" i="18"/>
  <c r="BU32" i="18"/>
  <c r="BT32" i="18"/>
  <c r="BS32" i="18"/>
  <c r="BR32" i="18"/>
  <c r="BQ32" i="18"/>
  <c r="BP32" i="18"/>
  <c r="BO32" i="18"/>
  <c r="BL32" i="18"/>
  <c r="BK32" i="18"/>
  <c r="BJ32" i="18"/>
  <c r="BI32" i="18"/>
  <c r="BH32" i="18"/>
  <c r="BG32" i="18"/>
  <c r="BF32" i="18"/>
  <c r="BE32" i="18"/>
  <c r="BM32" i="18" s="1"/>
  <c r="BN32" i="18" s="1"/>
  <c r="CO32" i="18" s="1"/>
  <c r="I141" i="18" s="1"/>
  <c r="BD32" i="18"/>
  <c r="BC32" i="18"/>
  <c r="BB32" i="18"/>
  <c r="Q32" i="18" s="1"/>
  <c r="BA32" i="18"/>
  <c r="AZ32" i="18"/>
  <c r="AY32" i="18"/>
  <c r="AX32" i="18"/>
  <c r="AW32" i="18"/>
  <c r="AV32" i="18"/>
  <c r="AU32" i="18"/>
  <c r="AT32" i="18"/>
  <c r="AS32" i="18"/>
  <c r="AR32" i="18"/>
  <c r="V32" i="18"/>
  <c r="U32" i="18"/>
  <c r="T32" i="18"/>
  <c r="R32" i="18"/>
  <c r="P32" i="18"/>
  <c r="CL32" i="18" s="1"/>
  <c r="DO31" i="18"/>
  <c r="DN31" i="18"/>
  <c r="DM31" i="18"/>
  <c r="DL31" i="18"/>
  <c r="DK31" i="18"/>
  <c r="DJ31" i="18"/>
  <c r="DI31" i="18"/>
  <c r="DH31" i="18"/>
  <c r="DG31" i="18"/>
  <c r="DF31" i="18"/>
  <c r="DE31" i="18"/>
  <c r="CZ31" i="18"/>
  <c r="K140" i="18" s="1"/>
  <c r="CP31" i="18"/>
  <c r="CM31" i="18"/>
  <c r="S31" i="18" s="1"/>
  <c r="CK31" i="18"/>
  <c r="DA31" i="18" s="1"/>
  <c r="CJ31" i="18"/>
  <c r="DC31" i="18" s="1"/>
  <c r="CI31" i="18"/>
  <c r="CH31" i="18"/>
  <c r="CG31" i="18"/>
  <c r="CR31" i="18" s="1"/>
  <c r="CF31" i="18"/>
  <c r="CE31" i="18"/>
  <c r="CD31" i="18"/>
  <c r="CB31" i="18"/>
  <c r="BZ31" i="18"/>
  <c r="BV31" i="18"/>
  <c r="BR31" i="18"/>
  <c r="BQ31" i="18"/>
  <c r="BP31" i="18"/>
  <c r="BO31" i="18"/>
  <c r="BL31" i="18"/>
  <c r="BK31" i="18"/>
  <c r="BJ31" i="18"/>
  <c r="BI31" i="18"/>
  <c r="BH31" i="18"/>
  <c r="BG31" i="18"/>
  <c r="BF31" i="18"/>
  <c r="BE31" i="18"/>
  <c r="BD31" i="18"/>
  <c r="BC31" i="18"/>
  <c r="BA31" i="18"/>
  <c r="AZ31" i="18"/>
  <c r="AY31" i="18"/>
  <c r="AX31" i="18"/>
  <c r="AW31" i="18"/>
  <c r="AV31" i="18"/>
  <c r="AU31" i="18"/>
  <c r="AT31" i="18"/>
  <c r="BB31" i="18" s="1"/>
  <c r="Q31" i="18" s="1"/>
  <c r="AS31" i="18"/>
  <c r="AR31" i="18"/>
  <c r="V31" i="18"/>
  <c r="R31" i="18"/>
  <c r="DO30" i="18"/>
  <c r="DN30" i="18"/>
  <c r="DM30" i="18"/>
  <c r="DL30" i="18"/>
  <c r="DK30" i="18"/>
  <c r="DJ30" i="18"/>
  <c r="DI30" i="18"/>
  <c r="DH30" i="18"/>
  <c r="DG30" i="18"/>
  <c r="DF30" i="18"/>
  <c r="DE30" i="18"/>
  <c r="DA30" i="18"/>
  <c r="CP30" i="18"/>
  <c r="CM30" i="18"/>
  <c r="S30" i="18" s="1"/>
  <c r="CK30" i="18"/>
  <c r="CJ30" i="18"/>
  <c r="DC30" i="18" s="1"/>
  <c r="CI30" i="18"/>
  <c r="CH30" i="18"/>
  <c r="CG30" i="18"/>
  <c r="CF30" i="18"/>
  <c r="BU30" i="18"/>
  <c r="BS30" i="18"/>
  <c r="BR30" i="18"/>
  <c r="BQ30" i="18"/>
  <c r="BP30" i="18"/>
  <c r="BO30" i="18"/>
  <c r="BL30" i="18"/>
  <c r="BK30" i="18"/>
  <c r="BJ30" i="18"/>
  <c r="BI30" i="18"/>
  <c r="BH30" i="18"/>
  <c r="BG30" i="18"/>
  <c r="BF30" i="18"/>
  <c r="BE30" i="18"/>
  <c r="BD30" i="18"/>
  <c r="BC30" i="18"/>
  <c r="BA30" i="18"/>
  <c r="BB30" i="18" s="1"/>
  <c r="Q30" i="18" s="1"/>
  <c r="AZ30" i="18"/>
  <c r="AY30" i="18"/>
  <c r="AX30" i="18"/>
  <c r="AW30" i="18"/>
  <c r="AV30" i="18"/>
  <c r="AU30" i="18"/>
  <c r="AT30" i="18"/>
  <c r="AS30" i="18"/>
  <c r="AR30" i="18"/>
  <c r="V30" i="18"/>
  <c r="T30" i="18"/>
  <c r="R30" i="18"/>
  <c r="P30" i="18"/>
  <c r="CL30" i="18" s="1"/>
  <c r="DO29" i="18"/>
  <c r="DN29" i="18"/>
  <c r="DM29" i="18"/>
  <c r="DL29" i="18"/>
  <c r="DK29" i="18"/>
  <c r="DJ29" i="18"/>
  <c r="DI29" i="18"/>
  <c r="DH29" i="18"/>
  <c r="DG29" i="18"/>
  <c r="DF29" i="18"/>
  <c r="DE29" i="18"/>
  <c r="DA29" i="18"/>
  <c r="CZ29" i="18"/>
  <c r="K138" i="18" s="1"/>
  <c r="CP29" i="18"/>
  <c r="CK29" i="18"/>
  <c r="CJ29" i="18"/>
  <c r="DC29" i="18" s="1"/>
  <c r="CH29" i="18"/>
  <c r="CG29" i="18"/>
  <c r="CF29" i="18"/>
  <c r="CE29" i="18"/>
  <c r="CD29" i="18"/>
  <c r="CB29" i="18"/>
  <c r="BX29" i="18"/>
  <c r="BU29" i="18"/>
  <c r="BT29" i="18"/>
  <c r="BS29" i="18"/>
  <c r="BR29" i="18"/>
  <c r="BQ29" i="18"/>
  <c r="BP29" i="18"/>
  <c r="BO29" i="18"/>
  <c r="BL29" i="18"/>
  <c r="BK29" i="18"/>
  <c r="BJ29" i="18"/>
  <c r="BI29" i="18"/>
  <c r="BH29" i="18"/>
  <c r="BG29" i="18"/>
  <c r="BF29" i="18"/>
  <c r="BE29" i="18"/>
  <c r="BD29" i="18"/>
  <c r="BC29" i="18"/>
  <c r="BB29" i="18"/>
  <c r="Q29" i="18" s="1"/>
  <c r="BA29" i="18"/>
  <c r="AZ29" i="18"/>
  <c r="AY29" i="18"/>
  <c r="AX29" i="18"/>
  <c r="AW29" i="18"/>
  <c r="AV29" i="18"/>
  <c r="AU29" i="18"/>
  <c r="AT29" i="18"/>
  <c r="AS29" i="18"/>
  <c r="AR29" i="18"/>
  <c r="V29" i="18"/>
  <c r="T29" i="18"/>
  <c r="R29" i="18"/>
  <c r="P29" i="18"/>
  <c r="DO28" i="18"/>
  <c r="DN28" i="18"/>
  <c r="DM28" i="18"/>
  <c r="DL28" i="18"/>
  <c r="DK28" i="18"/>
  <c r="DJ28" i="18"/>
  <c r="DI28" i="18"/>
  <c r="DH28" i="18"/>
  <c r="DG28" i="18"/>
  <c r="DF28" i="18"/>
  <c r="DE28" i="18"/>
  <c r="DA28" i="18"/>
  <c r="CZ28" i="18"/>
  <c r="K137" i="18" s="1"/>
  <c r="CP28" i="18"/>
  <c r="CL28" i="18"/>
  <c r="CK28" i="18"/>
  <c r="CJ28" i="18"/>
  <c r="DC28" i="18" s="1"/>
  <c r="CI28" i="18"/>
  <c r="CH28" i="18"/>
  <c r="CG28" i="18"/>
  <c r="CF28" i="18"/>
  <c r="CR28" i="18" s="1"/>
  <c r="CE28" i="18"/>
  <c r="CD28" i="18"/>
  <c r="CB28" i="18"/>
  <c r="CA28" i="18"/>
  <c r="BZ28" i="18"/>
  <c r="BY28" i="18"/>
  <c r="BX28" i="18"/>
  <c r="BW28" i="18"/>
  <c r="BV28" i="18"/>
  <c r="BU28" i="18"/>
  <c r="BT28" i="18"/>
  <c r="BR28" i="18"/>
  <c r="BQ28" i="18"/>
  <c r="CM28" i="18" s="1"/>
  <c r="S28" i="18" s="1"/>
  <c r="BP28" i="18"/>
  <c r="BO28" i="18"/>
  <c r="BL28" i="18"/>
  <c r="BK28" i="18"/>
  <c r="BJ28" i="18"/>
  <c r="BI28" i="18"/>
  <c r="BM28" i="18" s="1"/>
  <c r="BN28" i="18" s="1"/>
  <c r="CO28" i="18" s="1"/>
  <c r="I137" i="18" s="1"/>
  <c r="BH28" i="18"/>
  <c r="BG28" i="18"/>
  <c r="BF28" i="18"/>
  <c r="BE28" i="18"/>
  <c r="BD28" i="18"/>
  <c r="BC28" i="18"/>
  <c r="BA28" i="18"/>
  <c r="AZ28" i="18"/>
  <c r="AY28" i="18"/>
  <c r="AX28" i="18"/>
  <c r="AW28" i="18"/>
  <c r="AV28" i="18"/>
  <c r="AU28" i="18"/>
  <c r="AT28" i="18"/>
  <c r="AS28" i="18"/>
  <c r="AR28" i="18"/>
  <c r="V28" i="18"/>
  <c r="U28" i="18"/>
  <c r="T28" i="18"/>
  <c r="R28" i="18"/>
  <c r="P28" i="18"/>
  <c r="DO27" i="18"/>
  <c r="DN27" i="18"/>
  <c r="DM27" i="18"/>
  <c r="DL27" i="18"/>
  <c r="DK27" i="18"/>
  <c r="DJ27" i="18"/>
  <c r="DI27" i="18"/>
  <c r="DH27" i="18"/>
  <c r="DG27" i="18"/>
  <c r="DF27" i="18"/>
  <c r="DE27" i="18"/>
  <c r="DC27" i="18"/>
  <c r="DA27" i="18"/>
  <c r="CR27" i="18"/>
  <c r="CP27" i="18"/>
  <c r="CM27" i="18"/>
  <c r="S27" i="18" s="1"/>
  <c r="CL27" i="18"/>
  <c r="CK27" i="18"/>
  <c r="CJ27" i="18"/>
  <c r="CH27" i="18"/>
  <c r="CG27" i="18"/>
  <c r="CF27" i="18"/>
  <c r="CD27" i="18"/>
  <c r="CZ27" i="18" s="1"/>
  <c r="K136" i="18" s="1"/>
  <c r="BZ27" i="18"/>
  <c r="BW27" i="18"/>
  <c r="BV27" i="18"/>
  <c r="BU27" i="18"/>
  <c r="BT27" i="18"/>
  <c r="BS27" i="18"/>
  <c r="BR27" i="18"/>
  <c r="BQ27" i="18"/>
  <c r="BP27" i="18"/>
  <c r="BO27" i="18"/>
  <c r="BL27" i="18"/>
  <c r="BK27" i="18"/>
  <c r="BJ27" i="18"/>
  <c r="BI27" i="18"/>
  <c r="BH27" i="18"/>
  <c r="BG27" i="18"/>
  <c r="BF27" i="18"/>
  <c r="BE27" i="18"/>
  <c r="BD27" i="18"/>
  <c r="BC27" i="18"/>
  <c r="BM27" i="18" s="1"/>
  <c r="BN27" i="18" s="1"/>
  <c r="CO27" i="18" s="1"/>
  <c r="I136" i="18" s="1"/>
  <c r="BA27" i="18"/>
  <c r="AZ27" i="18"/>
  <c r="BB27" i="18" s="1"/>
  <c r="Q27" i="18" s="1"/>
  <c r="AY27" i="18"/>
  <c r="AX27" i="18"/>
  <c r="AW27" i="18"/>
  <c r="AV27" i="18"/>
  <c r="AU27" i="18"/>
  <c r="AT27" i="18"/>
  <c r="AS27" i="18"/>
  <c r="AR27" i="18"/>
  <c r="V27" i="18"/>
  <c r="U27" i="18"/>
  <c r="T27" i="18"/>
  <c r="R27" i="18"/>
  <c r="P27" i="18"/>
  <c r="DO26" i="18"/>
  <c r="DN26" i="18"/>
  <c r="DM26" i="18"/>
  <c r="DL26" i="18"/>
  <c r="DK26" i="18"/>
  <c r="DJ26" i="18"/>
  <c r="DI26" i="18"/>
  <c r="DH26" i="18"/>
  <c r="DG26" i="18"/>
  <c r="DF26" i="18"/>
  <c r="DE26" i="18"/>
  <c r="DA26" i="18"/>
  <c r="CZ26" i="18"/>
  <c r="K135" i="18" s="1"/>
  <c r="CP26" i="18"/>
  <c r="CK26" i="18"/>
  <c r="CJ26" i="18"/>
  <c r="DC26" i="18" s="1"/>
  <c r="CI26" i="18"/>
  <c r="CH26" i="18"/>
  <c r="CG26" i="18"/>
  <c r="CF26" i="18"/>
  <c r="CE26" i="18"/>
  <c r="CD26" i="18"/>
  <c r="CB26" i="18"/>
  <c r="CA26" i="18"/>
  <c r="BZ26" i="18"/>
  <c r="BY26" i="18"/>
  <c r="BR26" i="18"/>
  <c r="BQ26" i="18"/>
  <c r="BP26" i="18"/>
  <c r="BO26" i="18"/>
  <c r="BL26" i="18"/>
  <c r="BK26" i="18"/>
  <c r="BJ26" i="18"/>
  <c r="BI26" i="18"/>
  <c r="BH26" i="18"/>
  <c r="BG26" i="18"/>
  <c r="BF26" i="18"/>
  <c r="BE26" i="18"/>
  <c r="BD26" i="18"/>
  <c r="BC26" i="18"/>
  <c r="BA26" i="18"/>
  <c r="AZ26" i="18"/>
  <c r="AY26" i="18"/>
  <c r="AX26" i="18"/>
  <c r="AW26" i="18"/>
  <c r="AV26" i="18"/>
  <c r="AU26" i="18"/>
  <c r="AT26" i="18"/>
  <c r="AS26" i="18"/>
  <c r="AR26" i="18"/>
  <c r="V26" i="18"/>
  <c r="R26" i="18"/>
  <c r="DO25" i="18"/>
  <c r="DN25" i="18"/>
  <c r="DM25" i="18"/>
  <c r="DL25" i="18"/>
  <c r="DK25" i="18"/>
  <c r="DJ25" i="18"/>
  <c r="DI25" i="18"/>
  <c r="DH25" i="18"/>
  <c r="DG25" i="18"/>
  <c r="DF25" i="18"/>
  <c r="DE25" i="18"/>
  <c r="DA25" i="18"/>
  <c r="CR25" i="18"/>
  <c r="CP25" i="18"/>
  <c r="CO25" i="18"/>
  <c r="I134" i="18" s="1"/>
  <c r="CM25" i="18"/>
  <c r="S25" i="18" s="1"/>
  <c r="CL25" i="18"/>
  <c r="CK25" i="18"/>
  <c r="CJ25" i="18"/>
  <c r="DC25" i="18" s="1"/>
  <c r="CI25" i="18"/>
  <c r="CH25" i="18"/>
  <c r="CG25" i="18"/>
  <c r="CF25" i="18"/>
  <c r="CB25" i="18"/>
  <c r="BY25" i="18"/>
  <c r="BX25" i="18"/>
  <c r="BW25" i="18"/>
  <c r="BV25" i="18"/>
  <c r="BU25" i="18"/>
  <c r="BT25" i="18"/>
  <c r="BR25" i="18"/>
  <c r="BQ25" i="18"/>
  <c r="BP25" i="18"/>
  <c r="BO25" i="18"/>
  <c r="BL25" i="18"/>
  <c r="BK25" i="18"/>
  <c r="BJ25" i="18"/>
  <c r="BI25" i="18"/>
  <c r="BH25" i="18"/>
  <c r="BG25" i="18"/>
  <c r="BF25" i="18"/>
  <c r="BE25" i="18"/>
  <c r="BD25" i="18"/>
  <c r="BC25" i="18"/>
  <c r="BM25" i="18" s="1"/>
  <c r="BN25" i="18" s="1"/>
  <c r="BB25" i="18"/>
  <c r="Q25" i="18" s="1"/>
  <c r="BA25" i="18"/>
  <c r="AZ25" i="18"/>
  <c r="AY25" i="18"/>
  <c r="AX25" i="18"/>
  <c r="AW25" i="18"/>
  <c r="AV25" i="18"/>
  <c r="AU25" i="18"/>
  <c r="AT25" i="18"/>
  <c r="AS25" i="18"/>
  <c r="AR25" i="18"/>
  <c r="V25" i="18"/>
  <c r="U25" i="18"/>
  <c r="R25" i="18"/>
  <c r="P25" i="18"/>
  <c r="DO24" i="18"/>
  <c r="DN24" i="18"/>
  <c r="DM24" i="18"/>
  <c r="DL24" i="18"/>
  <c r="DK24" i="18"/>
  <c r="DJ24" i="18"/>
  <c r="DI24" i="18"/>
  <c r="DH24" i="18"/>
  <c r="DG24" i="18"/>
  <c r="DF24" i="18"/>
  <c r="DE24" i="18"/>
  <c r="DC24" i="18"/>
  <c r="DA24" i="18"/>
  <c r="CP24" i="18"/>
  <c r="CK24" i="18"/>
  <c r="CJ24" i="18"/>
  <c r="CH24" i="18"/>
  <c r="CG24" i="18"/>
  <c r="CF24" i="18"/>
  <c r="BY24" i="18"/>
  <c r="BW24" i="18"/>
  <c r="BV24" i="18"/>
  <c r="BU24" i="18"/>
  <c r="BS24" i="18"/>
  <c r="BR24" i="18"/>
  <c r="BQ24" i="18"/>
  <c r="BP24" i="18"/>
  <c r="BL24" i="18"/>
  <c r="BK24" i="18"/>
  <c r="BJ24" i="18"/>
  <c r="BI24" i="18"/>
  <c r="BH24" i="18"/>
  <c r="BG24" i="18"/>
  <c r="BF24" i="18"/>
  <c r="BE24" i="18"/>
  <c r="BD24" i="18"/>
  <c r="BC24" i="18"/>
  <c r="BA24" i="18"/>
  <c r="AZ24" i="18"/>
  <c r="AY24" i="18"/>
  <c r="AX24" i="18"/>
  <c r="AW24" i="18"/>
  <c r="AV24" i="18"/>
  <c r="AU24" i="18"/>
  <c r="AT24" i="18"/>
  <c r="AS24" i="18"/>
  <c r="AR24" i="18"/>
  <c r="BB24" i="18" s="1"/>
  <c r="Q24" i="18" s="1"/>
  <c r="V24" i="18"/>
  <c r="T24" i="18"/>
  <c r="R24" i="18"/>
  <c r="DO23" i="18"/>
  <c r="DN23" i="18"/>
  <c r="DM23" i="18"/>
  <c r="DL23" i="18"/>
  <c r="DK23" i="18"/>
  <c r="DJ23" i="18"/>
  <c r="DI23" i="18"/>
  <c r="DH23" i="18"/>
  <c r="DG23" i="18"/>
  <c r="DF23" i="18"/>
  <c r="DE23" i="18"/>
  <c r="DC23" i="18"/>
  <c r="DA23" i="18"/>
  <c r="CP23" i="18"/>
  <c r="CL23" i="18"/>
  <c r="CK23" i="18"/>
  <c r="CJ23" i="18"/>
  <c r="CH23" i="18"/>
  <c r="CG23" i="18"/>
  <c r="CF23" i="18"/>
  <c r="CD23" i="18"/>
  <c r="CZ23" i="18" s="1"/>
  <c r="K132" i="18" s="1"/>
  <c r="CA23" i="18"/>
  <c r="BY23" i="18"/>
  <c r="BR23" i="18"/>
  <c r="BQ23" i="18"/>
  <c r="BO23" i="18" s="1"/>
  <c r="BP23" i="18"/>
  <c r="BM23" i="18"/>
  <c r="BL23" i="18"/>
  <c r="BK23" i="18"/>
  <c r="BJ23" i="18"/>
  <c r="BI23" i="18"/>
  <c r="BH23" i="18"/>
  <c r="BG23" i="18"/>
  <c r="BF23" i="18"/>
  <c r="BE23" i="18"/>
  <c r="BD23" i="18"/>
  <c r="BC23" i="18"/>
  <c r="BA23" i="18"/>
  <c r="AZ23" i="18"/>
  <c r="AY23" i="18"/>
  <c r="AX23" i="18"/>
  <c r="AW23" i="18"/>
  <c r="AV23" i="18"/>
  <c r="AU23" i="18"/>
  <c r="AT23" i="18"/>
  <c r="AS23" i="18"/>
  <c r="BB23" i="18" s="1"/>
  <c r="Q23" i="18" s="1"/>
  <c r="AR23" i="18"/>
  <c r="V23" i="18"/>
  <c r="R23" i="18"/>
  <c r="P23" i="18"/>
  <c r="U23" i="18" s="1"/>
  <c r="DO22" i="18"/>
  <c r="DN22" i="18"/>
  <c r="DM22" i="18"/>
  <c r="DL22" i="18"/>
  <c r="DK22" i="18"/>
  <c r="DJ22" i="18"/>
  <c r="DI22" i="18"/>
  <c r="DH22" i="18"/>
  <c r="DG22" i="18"/>
  <c r="DF22" i="18"/>
  <c r="DE22" i="18"/>
  <c r="CP22" i="18"/>
  <c r="CM22" i="18"/>
  <c r="S22" i="18" s="1"/>
  <c r="CL22" i="18"/>
  <c r="CK22" i="18"/>
  <c r="DA22" i="18" s="1"/>
  <c r="CJ22" i="18"/>
  <c r="DC22" i="18" s="1"/>
  <c r="CI22" i="18"/>
  <c r="CH22" i="18"/>
  <c r="CG22" i="18"/>
  <c r="CR22" i="18" s="1"/>
  <c r="CF22" i="18"/>
  <c r="CE22" i="18"/>
  <c r="CD22" i="18"/>
  <c r="CZ22" i="18" s="1"/>
  <c r="K131" i="18" s="1"/>
  <c r="CB22" i="18"/>
  <c r="CA22" i="18"/>
  <c r="BZ22" i="18"/>
  <c r="BY22" i="18"/>
  <c r="BX22" i="18"/>
  <c r="BW22" i="18"/>
  <c r="BV22" i="18"/>
  <c r="CC22" i="18" s="1"/>
  <c r="BU22" i="18"/>
  <c r="BS22" i="18"/>
  <c r="BR22" i="18"/>
  <c r="BQ22" i="18"/>
  <c r="BT22" i="18" s="1"/>
  <c r="BP22" i="18"/>
  <c r="BO22" i="18"/>
  <c r="BL22" i="18"/>
  <c r="BK22" i="18"/>
  <c r="BJ22" i="18"/>
  <c r="BI22" i="18"/>
  <c r="BH22" i="18"/>
  <c r="BG22" i="18"/>
  <c r="BF22" i="18"/>
  <c r="BE22" i="18"/>
  <c r="BD22" i="18"/>
  <c r="BC22" i="18"/>
  <c r="BA22" i="18"/>
  <c r="AZ22" i="18"/>
  <c r="AY22" i="18"/>
  <c r="AX22" i="18"/>
  <c r="AW22" i="18"/>
  <c r="AV22" i="18"/>
  <c r="AU22" i="18"/>
  <c r="BB22" i="18" s="1"/>
  <c r="Q22" i="18" s="1"/>
  <c r="AT22" i="18"/>
  <c r="AS22" i="18"/>
  <c r="AR22" i="18"/>
  <c r="V22" i="18"/>
  <c r="U22" i="18"/>
  <c r="R22" i="18"/>
  <c r="P22" i="18"/>
  <c r="DO21" i="18"/>
  <c r="DN21" i="18"/>
  <c r="DM21" i="18"/>
  <c r="DL21" i="18"/>
  <c r="DK21" i="18"/>
  <c r="DJ21" i="18"/>
  <c r="DI21" i="18"/>
  <c r="DH21" i="18"/>
  <c r="DG21" i="18"/>
  <c r="DF21" i="18"/>
  <c r="DE21" i="18"/>
  <c r="DC21" i="18"/>
  <c r="DA21" i="18"/>
  <c r="CR21" i="18"/>
  <c r="CP21" i="18"/>
  <c r="CK21" i="18"/>
  <c r="CJ21" i="18"/>
  <c r="CH21" i="18"/>
  <c r="CG21" i="18"/>
  <c r="CF21" i="18"/>
  <c r="BR21" i="18"/>
  <c r="BQ21" i="18"/>
  <c r="BP21" i="18"/>
  <c r="BO21" i="18"/>
  <c r="BL21" i="18"/>
  <c r="BK21" i="18"/>
  <c r="BJ21" i="18"/>
  <c r="BI21" i="18"/>
  <c r="BH21" i="18"/>
  <c r="BG21" i="18"/>
  <c r="BF21" i="18"/>
  <c r="BE21" i="18"/>
  <c r="BD21" i="18"/>
  <c r="BC21" i="18"/>
  <c r="BA21" i="18"/>
  <c r="AZ21" i="18"/>
  <c r="AY21" i="18"/>
  <c r="AX21" i="18"/>
  <c r="AW21" i="18"/>
  <c r="AV21" i="18"/>
  <c r="AU21" i="18"/>
  <c r="AT21" i="18"/>
  <c r="AS21" i="18"/>
  <c r="AR21" i="18"/>
  <c r="V21" i="18"/>
  <c r="T21" i="18"/>
  <c r="R21" i="18"/>
  <c r="DO20" i="18"/>
  <c r="DN20" i="18"/>
  <c r="DM20" i="18"/>
  <c r="DL20" i="18"/>
  <c r="DK20" i="18"/>
  <c r="DJ20" i="18"/>
  <c r="DI20" i="18"/>
  <c r="DH20" i="18"/>
  <c r="DH42" i="18" s="1"/>
  <c r="DG20" i="18"/>
  <c r="DF20" i="18"/>
  <c r="DE20" i="18"/>
  <c r="CR20" i="18"/>
  <c r="CP20" i="18"/>
  <c r="CM20" i="18"/>
  <c r="S20" i="18" s="1"/>
  <c r="CK20" i="18"/>
  <c r="DA20" i="18" s="1"/>
  <c r="CJ20" i="18"/>
  <c r="DC20" i="18" s="1"/>
  <c r="CH20" i="18"/>
  <c r="CG20" i="18"/>
  <c r="CF20" i="18"/>
  <c r="BX20" i="18"/>
  <c r="BU20" i="18"/>
  <c r="BR20" i="18"/>
  <c r="BQ20" i="18"/>
  <c r="BP20" i="18"/>
  <c r="BL20" i="18"/>
  <c r="BK20" i="18"/>
  <c r="BJ20" i="18"/>
  <c r="BI20" i="18"/>
  <c r="BH20" i="18"/>
  <c r="BG20" i="18"/>
  <c r="BF20" i="18"/>
  <c r="BE20" i="18"/>
  <c r="BD20" i="18"/>
  <c r="BC20" i="18"/>
  <c r="BA20" i="18"/>
  <c r="AZ20" i="18"/>
  <c r="AY20" i="18"/>
  <c r="AX20" i="18"/>
  <c r="AW20" i="18"/>
  <c r="AV20" i="18"/>
  <c r="AU20" i="18"/>
  <c r="AT20" i="18"/>
  <c r="AS20" i="18"/>
  <c r="AR20" i="18"/>
  <c r="V20" i="18"/>
  <c r="R20" i="18"/>
  <c r="DO19" i="18"/>
  <c r="DN19" i="18"/>
  <c r="DM19" i="18"/>
  <c r="DL19" i="18"/>
  <c r="DK19" i="18"/>
  <c r="DJ19" i="18"/>
  <c r="DI19" i="18"/>
  <c r="DH19" i="18"/>
  <c r="DG19" i="18"/>
  <c r="DF19" i="18"/>
  <c r="DE19" i="18"/>
  <c r="DC19" i="18"/>
  <c r="DA19" i="18"/>
  <c r="CR19" i="18"/>
  <c r="CP19" i="18"/>
  <c r="CK19" i="18"/>
  <c r="CJ19" i="18"/>
  <c r="CH19" i="18"/>
  <c r="CG19" i="18"/>
  <c r="CF19" i="18"/>
  <c r="CA19" i="18"/>
  <c r="BY19" i="18"/>
  <c r="BX19" i="18"/>
  <c r="BV19" i="18"/>
  <c r="BU19" i="18"/>
  <c r="BT19" i="18"/>
  <c r="BR19" i="18"/>
  <c r="BQ19" i="18"/>
  <c r="BP19" i="18"/>
  <c r="BO19" i="18"/>
  <c r="BL19" i="18"/>
  <c r="BK19" i="18"/>
  <c r="BJ19" i="18"/>
  <c r="BI19" i="18"/>
  <c r="BH19" i="18"/>
  <c r="BG19" i="18"/>
  <c r="BF19" i="18"/>
  <c r="BE19" i="18"/>
  <c r="BD19" i="18"/>
  <c r="BC19" i="18"/>
  <c r="BA19" i="18"/>
  <c r="AZ19" i="18"/>
  <c r="AY19" i="18"/>
  <c r="AX19" i="18"/>
  <c r="AW19" i="18"/>
  <c r="AV19" i="18"/>
  <c r="AU19" i="18"/>
  <c r="AT19" i="18"/>
  <c r="AS19" i="18"/>
  <c r="BB19" i="18" s="1"/>
  <c r="Q19" i="18" s="1"/>
  <c r="AR19" i="18"/>
  <c r="V19" i="18"/>
  <c r="T19" i="18"/>
  <c r="R19" i="18"/>
  <c r="DO18" i="18"/>
  <c r="DN18" i="18"/>
  <c r="DM18" i="18"/>
  <c r="DL18" i="18"/>
  <c r="DK18" i="18"/>
  <c r="DJ18" i="18"/>
  <c r="DI18" i="18"/>
  <c r="DH18" i="18"/>
  <c r="DG18" i="18"/>
  <c r="DF18" i="18"/>
  <c r="DE18" i="18"/>
  <c r="CP18" i="18"/>
  <c r="CM18" i="18"/>
  <c r="S18" i="18" s="1"/>
  <c r="CL18" i="18"/>
  <c r="CK18" i="18"/>
  <c r="DA18" i="18" s="1"/>
  <c r="CJ18" i="18"/>
  <c r="DC18" i="18" s="1"/>
  <c r="CI18" i="18"/>
  <c r="CH18" i="18"/>
  <c r="CG18" i="18"/>
  <c r="CF18" i="18"/>
  <c r="CE18" i="18"/>
  <c r="CD18" i="18"/>
  <c r="CZ18" i="18" s="1"/>
  <c r="K127" i="18" s="1"/>
  <c r="CB18" i="18"/>
  <c r="CA18" i="18"/>
  <c r="BZ18" i="18"/>
  <c r="BY18" i="18"/>
  <c r="BX18" i="18"/>
  <c r="BW18" i="18"/>
  <c r="BS18" i="18"/>
  <c r="BR18" i="18"/>
  <c r="BQ18" i="18"/>
  <c r="BV18" i="18" s="1"/>
  <c r="BP18" i="18"/>
  <c r="BO18" i="18"/>
  <c r="BM18" i="18"/>
  <c r="BN18" i="18" s="1"/>
  <c r="CO18" i="18" s="1"/>
  <c r="I127" i="18" s="1"/>
  <c r="BL18" i="18"/>
  <c r="BK18" i="18"/>
  <c r="BJ18" i="18"/>
  <c r="BI18" i="18"/>
  <c r="BH18" i="18"/>
  <c r="BG18" i="18"/>
  <c r="BF18" i="18"/>
  <c r="BE18" i="18"/>
  <c r="BD18" i="18"/>
  <c r="BC18" i="18"/>
  <c r="BA18" i="18"/>
  <c r="AZ18" i="18"/>
  <c r="AY18" i="18"/>
  <c r="AX18" i="18"/>
  <c r="AW18" i="18"/>
  <c r="AV18" i="18"/>
  <c r="AU18" i="18"/>
  <c r="AT18" i="18"/>
  <c r="AS18" i="18"/>
  <c r="BB18" i="18" s="1"/>
  <c r="Q18" i="18" s="1"/>
  <c r="AR18" i="18"/>
  <c r="V18" i="18"/>
  <c r="R18" i="18"/>
  <c r="P18" i="18"/>
  <c r="U18" i="18" s="1"/>
  <c r="DO17" i="18"/>
  <c r="DN17" i="18"/>
  <c r="DM17" i="18"/>
  <c r="DL17" i="18"/>
  <c r="DK17" i="18"/>
  <c r="DJ17" i="18"/>
  <c r="DI17" i="18"/>
  <c r="DH17" i="18"/>
  <c r="DG17" i="18"/>
  <c r="DF17" i="18"/>
  <c r="DE17" i="18"/>
  <c r="DA17" i="18"/>
  <c r="CP17" i="18"/>
  <c r="CK17" i="18"/>
  <c r="CJ17" i="18"/>
  <c r="DC17" i="18" s="1"/>
  <c r="CH17" i="18"/>
  <c r="CG17" i="18"/>
  <c r="CR17" i="18" s="1"/>
  <c r="CF17" i="18"/>
  <c r="BR17" i="18"/>
  <c r="BQ17" i="18"/>
  <c r="BP17" i="18"/>
  <c r="BL17" i="18"/>
  <c r="BK17" i="18"/>
  <c r="BJ17" i="18"/>
  <c r="BI17" i="18"/>
  <c r="BH17" i="18"/>
  <c r="BG17" i="18"/>
  <c r="BF17" i="18"/>
  <c r="BE17" i="18"/>
  <c r="BD17" i="18"/>
  <c r="BC17" i="18"/>
  <c r="BA17" i="18"/>
  <c r="AZ17" i="18"/>
  <c r="AY17" i="18"/>
  <c r="AX17" i="18"/>
  <c r="AW17" i="18"/>
  <c r="AV17" i="18"/>
  <c r="AU17" i="18"/>
  <c r="AT17" i="18"/>
  <c r="AS17" i="18"/>
  <c r="AR17" i="18"/>
  <c r="V17" i="18"/>
  <c r="T17" i="18"/>
  <c r="R17" i="18"/>
  <c r="DO16" i="18"/>
  <c r="DN16" i="18"/>
  <c r="DM16" i="18"/>
  <c r="DL16" i="18"/>
  <c r="DK16" i="18"/>
  <c r="DJ16" i="18"/>
  <c r="DI16" i="18"/>
  <c r="DH16" i="18"/>
  <c r="DG16" i="18"/>
  <c r="DF16" i="18"/>
  <c r="DE16" i="18"/>
  <c r="CP16" i="18"/>
  <c r="CM16" i="18"/>
  <c r="S16" i="18" s="1"/>
  <c r="CK16" i="18"/>
  <c r="DA16" i="18" s="1"/>
  <c r="CJ16" i="18"/>
  <c r="DC16" i="18" s="1"/>
  <c r="CI16" i="18"/>
  <c r="CH16" i="18"/>
  <c r="T16" i="18" s="1"/>
  <c r="CG16" i="18"/>
  <c r="CF16" i="18"/>
  <c r="CE16" i="18"/>
  <c r="CD16" i="18"/>
  <c r="CZ16" i="18" s="1"/>
  <c r="K125" i="18" s="1"/>
  <c r="CB16" i="18"/>
  <c r="CA16" i="18"/>
  <c r="BR16" i="18"/>
  <c r="BQ16" i="18"/>
  <c r="BO16" i="18" s="1"/>
  <c r="BP16" i="18"/>
  <c r="BL16" i="18"/>
  <c r="BK16" i="18"/>
  <c r="BJ16" i="18"/>
  <c r="BI16" i="18"/>
  <c r="BH16" i="18"/>
  <c r="BG16" i="18"/>
  <c r="BF16" i="18"/>
  <c r="BE16" i="18"/>
  <c r="BD16" i="18"/>
  <c r="BC16" i="18"/>
  <c r="BA16" i="18"/>
  <c r="AZ16" i="18"/>
  <c r="AY16" i="18"/>
  <c r="AX16" i="18"/>
  <c r="AW16" i="18"/>
  <c r="AV16" i="18"/>
  <c r="AU16" i="18"/>
  <c r="AT16" i="18"/>
  <c r="AS16" i="18"/>
  <c r="AR16" i="18"/>
  <c r="V16" i="18"/>
  <c r="R16" i="18"/>
  <c r="DO15" i="18"/>
  <c r="DN15" i="18"/>
  <c r="DM15" i="18"/>
  <c r="DL15" i="18"/>
  <c r="DK15" i="18"/>
  <c r="DJ15" i="18"/>
  <c r="DI15" i="18"/>
  <c r="DH15" i="18"/>
  <c r="DG15" i="18"/>
  <c r="DF15" i="18"/>
  <c r="DE15" i="18"/>
  <c r="DA15" i="18"/>
  <c r="CP15" i="18"/>
  <c r="CL15" i="18"/>
  <c r="CK15" i="18"/>
  <c r="CJ15" i="18"/>
  <c r="CI15" i="18"/>
  <c r="CH15" i="18"/>
  <c r="CG15" i="18"/>
  <c r="CR15" i="18" s="1"/>
  <c r="CF15" i="18"/>
  <c r="CE15" i="18"/>
  <c r="CD15" i="18"/>
  <c r="CZ15" i="18" s="1"/>
  <c r="K124" i="18" s="1"/>
  <c r="CB15" i="18"/>
  <c r="CA15" i="18"/>
  <c r="BZ15" i="18"/>
  <c r="BY15" i="18"/>
  <c r="BX15" i="18"/>
  <c r="BW15" i="18"/>
  <c r="BV15" i="18"/>
  <c r="BU15" i="18"/>
  <c r="BT15" i="18"/>
  <c r="BS15" i="18"/>
  <c r="BR15" i="18"/>
  <c r="BQ15" i="18"/>
  <c r="CM15" i="18" s="1"/>
  <c r="BP15" i="18"/>
  <c r="BO15" i="18"/>
  <c r="BN15" i="18"/>
  <c r="CO15" i="18" s="1"/>
  <c r="I124" i="18" s="1"/>
  <c r="BM15" i="18"/>
  <c r="BL15" i="18"/>
  <c r="BK15" i="18"/>
  <c r="BJ15" i="18"/>
  <c r="BI15" i="18"/>
  <c r="BH15" i="18"/>
  <c r="BG15" i="18"/>
  <c r="BF15" i="18"/>
  <c r="BE15" i="18"/>
  <c r="BD15" i="18"/>
  <c r="BC15" i="18"/>
  <c r="BA15" i="18"/>
  <c r="AZ15" i="18"/>
  <c r="AY15" i="18"/>
  <c r="AX15" i="18"/>
  <c r="AW15" i="18"/>
  <c r="AV15" i="18"/>
  <c r="AU15" i="18"/>
  <c r="AT15" i="18"/>
  <c r="AS15" i="18"/>
  <c r="AR15" i="18"/>
  <c r="V15" i="18"/>
  <c r="U15" i="18"/>
  <c r="S15" i="18"/>
  <c r="R15" i="18"/>
  <c r="P15" i="18"/>
  <c r="DO14" i="18"/>
  <c r="DN14" i="18"/>
  <c r="DM14" i="18"/>
  <c r="DL14" i="18"/>
  <c r="DK14" i="18"/>
  <c r="DJ14" i="18"/>
  <c r="DI14" i="18"/>
  <c r="DH14" i="18"/>
  <c r="DG14" i="18"/>
  <c r="DF14" i="18"/>
  <c r="DE14" i="18"/>
  <c r="DA14" i="18"/>
  <c r="CP14" i="18"/>
  <c r="CK14" i="18"/>
  <c r="CJ14" i="18"/>
  <c r="DC14" i="18" s="1"/>
  <c r="CH14" i="18"/>
  <c r="CR14" i="18" s="1"/>
  <c r="CG14" i="18"/>
  <c r="CF14" i="18"/>
  <c r="BR14" i="18"/>
  <c r="BQ14" i="18"/>
  <c r="BM14" i="18" s="1"/>
  <c r="BP14" i="18"/>
  <c r="BO14" i="18"/>
  <c r="BN14" i="18"/>
  <c r="CO14" i="18" s="1"/>
  <c r="I123" i="18" s="1"/>
  <c r="BL14" i="18"/>
  <c r="BK14" i="18"/>
  <c r="BJ14" i="18"/>
  <c r="BI14" i="18"/>
  <c r="BH14" i="18"/>
  <c r="BG14" i="18"/>
  <c r="BF14" i="18"/>
  <c r="BE14" i="18"/>
  <c r="BD14" i="18"/>
  <c r="BC14" i="18"/>
  <c r="BA14" i="18"/>
  <c r="AZ14" i="18"/>
  <c r="AY14" i="18"/>
  <c r="AX14" i="18"/>
  <c r="AW14" i="18"/>
  <c r="BB14" i="18" s="1"/>
  <c r="AV14" i="18"/>
  <c r="AU14" i="18"/>
  <c r="AT14" i="18"/>
  <c r="AS14" i="18"/>
  <c r="AR14" i="18"/>
  <c r="V14" i="18"/>
  <c r="R14" i="18"/>
  <c r="Q14" i="18"/>
  <c r="DO13" i="18"/>
  <c r="DN13" i="18"/>
  <c r="DM13" i="18"/>
  <c r="DL13" i="18"/>
  <c r="DK13" i="18"/>
  <c r="DJ13" i="18"/>
  <c r="DI13" i="18"/>
  <c r="DH13" i="18"/>
  <c r="DG13" i="18"/>
  <c r="DF13" i="18"/>
  <c r="DE13" i="18"/>
  <c r="DC13" i="18"/>
  <c r="DA13" i="18"/>
  <c r="CP13" i="18"/>
  <c r="CK13" i="18"/>
  <c r="CJ13" i="18"/>
  <c r="CH13" i="18"/>
  <c r="CG13" i="18"/>
  <c r="CF13" i="18"/>
  <c r="CR13" i="18" s="1"/>
  <c r="BZ13" i="18"/>
  <c r="BX13" i="18"/>
  <c r="BW13" i="18"/>
  <c r="BV13" i="18"/>
  <c r="BR13" i="18"/>
  <c r="BQ13" i="18"/>
  <c r="BO13" i="18" s="1"/>
  <c r="BP13" i="18"/>
  <c r="BL13" i="18"/>
  <c r="BK13" i="18"/>
  <c r="BJ13" i="18"/>
  <c r="BI13" i="18"/>
  <c r="BH13" i="18"/>
  <c r="BG13" i="18"/>
  <c r="BF13" i="18"/>
  <c r="BE13" i="18"/>
  <c r="BD13" i="18"/>
  <c r="BC13" i="18"/>
  <c r="BA13" i="18"/>
  <c r="AZ13" i="18"/>
  <c r="AY13" i="18"/>
  <c r="AX13" i="18"/>
  <c r="AW13" i="18"/>
  <c r="AV13" i="18"/>
  <c r="AU13" i="18"/>
  <c r="AT13" i="18"/>
  <c r="AS13" i="18"/>
  <c r="AR13" i="18"/>
  <c r="V13" i="18"/>
  <c r="T13" i="18"/>
  <c r="R13" i="18"/>
  <c r="DO12" i="18"/>
  <c r="DN12" i="18"/>
  <c r="DM12" i="18"/>
  <c r="DL12" i="18"/>
  <c r="DK12" i="18"/>
  <c r="DJ12" i="18"/>
  <c r="DI12" i="18"/>
  <c r="DH12" i="18"/>
  <c r="DG12" i="18"/>
  <c r="DF12" i="18"/>
  <c r="DE12" i="18"/>
  <c r="CP12" i="18"/>
  <c r="CK12" i="18"/>
  <c r="DA12" i="18" s="1"/>
  <c r="CJ12" i="18"/>
  <c r="DC12" i="18" s="1"/>
  <c r="CH12" i="18"/>
  <c r="CG12" i="18"/>
  <c r="CF12" i="18"/>
  <c r="CR12" i="18" s="1"/>
  <c r="BR12" i="18"/>
  <c r="BQ12" i="18"/>
  <c r="BP12" i="18"/>
  <c r="BL12" i="18"/>
  <c r="BK12" i="18"/>
  <c r="BJ12" i="18"/>
  <c r="BI12" i="18"/>
  <c r="BH12" i="18"/>
  <c r="BG12" i="18"/>
  <c r="BF12" i="18"/>
  <c r="BE12" i="18"/>
  <c r="BD12" i="18"/>
  <c r="BC12" i="18"/>
  <c r="BA12" i="18"/>
  <c r="AZ12" i="18"/>
  <c r="AY12" i="18"/>
  <c r="AX12" i="18"/>
  <c r="AW12" i="18"/>
  <c r="AV12" i="18"/>
  <c r="AU12" i="18"/>
  <c r="AT12" i="18"/>
  <c r="AS12" i="18"/>
  <c r="AR12" i="18"/>
  <c r="V12" i="18"/>
  <c r="T12" i="18"/>
  <c r="R12" i="18"/>
  <c r="DO11" i="18"/>
  <c r="DN11" i="18"/>
  <c r="DM11" i="18"/>
  <c r="DL11" i="18"/>
  <c r="DK11" i="18"/>
  <c r="DJ11" i="18"/>
  <c r="DI11" i="18"/>
  <c r="DH11" i="18"/>
  <c r="DG11" i="18"/>
  <c r="DF11" i="18"/>
  <c r="DE11" i="18"/>
  <c r="CP11" i="18"/>
  <c r="CM11" i="18"/>
  <c r="S11" i="18" s="1"/>
  <c r="CL11" i="18"/>
  <c r="CK11" i="18"/>
  <c r="DA11" i="18" s="1"/>
  <c r="CJ11" i="18"/>
  <c r="DC11" i="18" s="1"/>
  <c r="CI11" i="18"/>
  <c r="CH11" i="18"/>
  <c r="CG11" i="18"/>
  <c r="CF11" i="18"/>
  <c r="CE11" i="18"/>
  <c r="CD11" i="18"/>
  <c r="CZ11" i="18" s="1"/>
  <c r="K120" i="18" s="1"/>
  <c r="CB11" i="18"/>
  <c r="CA11" i="18"/>
  <c r="BV11" i="18"/>
  <c r="BU11" i="18"/>
  <c r="BR11" i="18"/>
  <c r="BQ11" i="18"/>
  <c r="BP11" i="18"/>
  <c r="BL11" i="18"/>
  <c r="BK11" i="18"/>
  <c r="BJ11" i="18"/>
  <c r="BI11" i="18"/>
  <c r="BH11" i="18"/>
  <c r="BG11" i="18"/>
  <c r="BF11" i="18"/>
  <c r="BE11" i="18"/>
  <c r="BD11" i="18"/>
  <c r="BC11" i="18"/>
  <c r="BA11" i="18"/>
  <c r="AZ11" i="18"/>
  <c r="AY11" i="18"/>
  <c r="AX11" i="18"/>
  <c r="AW11" i="18"/>
  <c r="AV11" i="18"/>
  <c r="AU11" i="18"/>
  <c r="AT11" i="18"/>
  <c r="AS11" i="18"/>
  <c r="AR11" i="18"/>
  <c r="V11" i="18"/>
  <c r="R11" i="18"/>
  <c r="P11" i="18"/>
  <c r="U11" i="18" s="1"/>
  <c r="DO10" i="18"/>
  <c r="DN10" i="18"/>
  <c r="DM10" i="18"/>
  <c r="DL10" i="18"/>
  <c r="DK10" i="18"/>
  <c r="DJ10" i="18"/>
  <c r="DI10" i="18"/>
  <c r="DH10" i="18"/>
  <c r="DG10" i="18"/>
  <c r="DF10" i="18"/>
  <c r="DE10" i="18"/>
  <c r="CP10" i="18"/>
  <c r="CK10" i="18"/>
  <c r="CJ10" i="18"/>
  <c r="CH10" i="18"/>
  <c r="CH42" i="18" s="1"/>
  <c r="CG10" i="18"/>
  <c r="CF10" i="18"/>
  <c r="BR10" i="18"/>
  <c r="BR42" i="18" s="1"/>
  <c r="BQ10" i="18"/>
  <c r="BP10" i="18"/>
  <c r="BL10" i="18"/>
  <c r="BK10" i="18"/>
  <c r="BJ10" i="18"/>
  <c r="BI10" i="18"/>
  <c r="BH10" i="18"/>
  <c r="BG10" i="18"/>
  <c r="BF10" i="18"/>
  <c r="BE10" i="18"/>
  <c r="BD10" i="18"/>
  <c r="BC10" i="18"/>
  <c r="BA10" i="18"/>
  <c r="AZ10" i="18"/>
  <c r="AY10" i="18"/>
  <c r="AX10" i="18"/>
  <c r="AW10" i="18"/>
  <c r="AV10" i="18"/>
  <c r="AU10" i="18"/>
  <c r="AT10" i="18"/>
  <c r="AS10" i="18"/>
  <c r="AR10" i="18"/>
  <c r="BB10" i="18" s="1"/>
  <c r="V10" i="18"/>
  <c r="R10" i="18"/>
  <c r="DG9" i="18"/>
  <c r="DF9" i="18"/>
  <c r="BE8" i="18"/>
  <c r="BD8" i="18"/>
  <c r="Q6" i="18"/>
  <c r="Q5" i="18"/>
  <c r="Q4" i="18"/>
  <c r="Q3" i="18"/>
  <c r="W2" i="18"/>
  <c r="D207" i="17"/>
  <c r="D180" i="17"/>
  <c r="D167" i="17"/>
  <c r="D166" i="17"/>
  <c r="D165" i="17"/>
  <c r="V122" i="17"/>
  <c r="D119" i="17"/>
  <c r="U118" i="17"/>
  <c r="N118" i="17"/>
  <c r="N117" i="17"/>
  <c r="D204" i="17" s="1"/>
  <c r="N116" i="17"/>
  <c r="D182" i="17" s="1"/>
  <c r="N115" i="17"/>
  <c r="D205" i="17" s="1"/>
  <c r="N113" i="17"/>
  <c r="N112" i="17"/>
  <c r="W110" i="17"/>
  <c r="D110" i="17"/>
  <c r="N110" i="17" s="1"/>
  <c r="F109" i="17"/>
  <c r="D109" i="17"/>
  <c r="N109" i="17" s="1"/>
  <c r="D196" i="17" s="1"/>
  <c r="BC118" i="4" s="1"/>
  <c r="F108" i="17"/>
  <c r="D108" i="17"/>
  <c r="N108" i="17" s="1"/>
  <c r="U107" i="17"/>
  <c r="F107" i="17"/>
  <c r="D107" i="17"/>
  <c r="N107" i="17" s="1"/>
  <c r="D199" i="17" s="1"/>
  <c r="BC121" i="4" s="1"/>
  <c r="W106" i="17"/>
  <c r="D106" i="17"/>
  <c r="N106" i="17" s="1"/>
  <c r="BW12" i="17" s="1"/>
  <c r="W105" i="17"/>
  <c r="N105" i="17"/>
  <c r="W103" i="17"/>
  <c r="D103" i="17"/>
  <c r="N103" i="17" s="1"/>
  <c r="W102" i="17"/>
  <c r="BL101" i="17"/>
  <c r="W101" i="17"/>
  <c r="D101" i="17"/>
  <c r="BL100" i="17"/>
  <c r="W100" i="17"/>
  <c r="N100" i="17"/>
  <c r="BL99" i="17"/>
  <c r="W99" i="17"/>
  <c r="BL98" i="17"/>
  <c r="W98" i="17"/>
  <c r="BL97" i="17"/>
  <c r="W97" i="17"/>
  <c r="N97" i="17"/>
  <c r="D194" i="17" s="1"/>
  <c r="K97" i="17"/>
  <c r="BL96" i="17"/>
  <c r="W96" i="17"/>
  <c r="K96" i="17"/>
  <c r="BL95" i="17"/>
  <c r="W95" i="17"/>
  <c r="K95" i="17"/>
  <c r="BL94" i="17"/>
  <c r="W94" i="17"/>
  <c r="K94" i="17"/>
  <c r="BL93" i="17"/>
  <c r="W93" i="17"/>
  <c r="K93" i="17"/>
  <c r="BL92" i="17"/>
  <c r="W92" i="17"/>
  <c r="K92" i="17"/>
  <c r="D173" i="17" s="1"/>
  <c r="BC94" i="4" s="1"/>
  <c r="K91" i="17"/>
  <c r="H91" i="17"/>
  <c r="N91" i="17" s="1"/>
  <c r="BO51" i="17" s="1"/>
  <c r="K90" i="17"/>
  <c r="K89" i="17"/>
  <c r="K88" i="17"/>
  <c r="D172" i="17" s="1"/>
  <c r="BC93" i="4" s="1"/>
  <c r="BT87" i="17"/>
  <c r="BR87" i="17"/>
  <c r="BU87" i="17" s="1"/>
  <c r="U87" i="17"/>
  <c r="K87" i="17"/>
  <c r="H87" i="17"/>
  <c r="BT10" i="17" s="1"/>
  <c r="BT86" i="17"/>
  <c r="BR86" i="17"/>
  <c r="BU86" i="17" s="1"/>
  <c r="S86" i="17"/>
  <c r="BU85" i="17"/>
  <c r="BT85" i="17"/>
  <c r="BR85" i="17"/>
  <c r="BT84" i="17"/>
  <c r="BR84" i="17"/>
  <c r="BU84" i="17" s="1"/>
  <c r="AQ84" i="17"/>
  <c r="AK84" i="17"/>
  <c r="BT83" i="17"/>
  <c r="BR83" i="17"/>
  <c r="BU83" i="17" s="1"/>
  <c r="S83" i="17"/>
  <c r="S84" i="17" s="1"/>
  <c r="K83" i="17"/>
  <c r="N83" i="17" s="1"/>
  <c r="BT82" i="17"/>
  <c r="BR82" i="17"/>
  <c r="BU82" i="17" s="1"/>
  <c r="S82" i="17"/>
  <c r="BU81" i="17"/>
  <c r="BT81" i="17"/>
  <c r="BR81" i="17"/>
  <c r="N81" i="17"/>
  <c r="BU80" i="17"/>
  <c r="BT80" i="17"/>
  <c r="BR80" i="17"/>
  <c r="BT79" i="17"/>
  <c r="BR79" i="17"/>
  <c r="BU79" i="17" s="1"/>
  <c r="W79" i="17"/>
  <c r="U79" i="17"/>
  <c r="S79" i="17"/>
  <c r="C79" i="17"/>
  <c r="BT78" i="17"/>
  <c r="BR78" i="17"/>
  <c r="BU78" i="17" s="1"/>
  <c r="F78" i="17"/>
  <c r="A78" i="17"/>
  <c r="BU77" i="17"/>
  <c r="BT77" i="17"/>
  <c r="BR77" i="17"/>
  <c r="B77" i="17"/>
  <c r="W76" i="17"/>
  <c r="B76" i="17"/>
  <c r="B75" i="17"/>
  <c r="BU74" i="17"/>
  <c r="BT74" i="17"/>
  <c r="BR74" i="17"/>
  <c r="B74" i="17"/>
  <c r="BT73" i="17"/>
  <c r="BR73" i="17"/>
  <c r="BU73" i="17" s="1"/>
  <c r="AH73" i="17"/>
  <c r="B73" i="17"/>
  <c r="T70" i="17"/>
  <c r="BQ69" i="17"/>
  <c r="BQ68" i="17" s="1"/>
  <c r="H79" i="17" s="1"/>
  <c r="T69" i="17"/>
  <c r="L65" i="17"/>
  <c r="V64" i="17"/>
  <c r="T64" i="17"/>
  <c r="CC21" i="17" s="1"/>
  <c r="U62" i="17"/>
  <c r="Q62" i="17"/>
  <c r="T62" i="17" s="1"/>
  <c r="O62" i="17"/>
  <c r="U61" i="17"/>
  <c r="Q61" i="17"/>
  <c r="T61" i="17" s="1"/>
  <c r="O61" i="17"/>
  <c r="U60" i="17"/>
  <c r="T60" i="17"/>
  <c r="Q60" i="17"/>
  <c r="O60" i="17"/>
  <c r="Q59" i="17"/>
  <c r="O59" i="17"/>
  <c r="Q58" i="17"/>
  <c r="O58" i="17"/>
  <c r="Q57" i="17"/>
  <c r="O57" i="17"/>
  <c r="Q56" i="17"/>
  <c r="O56" i="17"/>
  <c r="U55" i="17"/>
  <c r="T55" i="17"/>
  <c r="Q55" i="17"/>
  <c r="O55" i="17"/>
  <c r="U54" i="17"/>
  <c r="Q54" i="17"/>
  <c r="T54" i="17" s="1"/>
  <c r="O54" i="17"/>
  <c r="U53" i="17"/>
  <c r="Q53" i="17"/>
  <c r="T53" i="17" s="1"/>
  <c r="O53" i="17"/>
  <c r="AL10" i="17" s="1"/>
  <c r="BT51" i="17"/>
  <c r="CA50" i="17"/>
  <c r="CA52" i="17" s="1"/>
  <c r="C50" i="17"/>
  <c r="BX49" i="17"/>
  <c r="BW49" i="17"/>
  <c r="BU49" i="17"/>
  <c r="BT49" i="17"/>
  <c r="BS49" i="17"/>
  <c r="BR49" i="17"/>
  <c r="BQ49" i="17"/>
  <c r="BO49" i="17"/>
  <c r="BH49" i="17"/>
  <c r="BG49" i="17"/>
  <c r="BF49" i="17"/>
  <c r="BE49" i="17"/>
  <c r="BC49" i="17"/>
  <c r="BB49" i="17"/>
  <c r="BA49" i="17"/>
  <c r="AZ49" i="17"/>
  <c r="AY49" i="17"/>
  <c r="AX49" i="17"/>
  <c r="AW49" i="17"/>
  <c r="AV49" i="17"/>
  <c r="AU49" i="17"/>
  <c r="AT49" i="17"/>
  <c r="AS49" i="17"/>
  <c r="AQ49" i="17"/>
  <c r="CC49" i="17" s="1"/>
  <c r="AP49" i="17"/>
  <c r="AN49" i="17"/>
  <c r="AM49" i="17"/>
  <c r="AL49" i="17"/>
  <c r="AJ49" i="17"/>
  <c r="AI49" i="17"/>
  <c r="AH49" i="17"/>
  <c r="CB48" i="17"/>
  <c r="BX48" i="17"/>
  <c r="BW48" i="17"/>
  <c r="BU48" i="17"/>
  <c r="BT48" i="17"/>
  <c r="BS48" i="17"/>
  <c r="BR48" i="17"/>
  <c r="BQ48" i="17"/>
  <c r="BO48" i="17"/>
  <c r="BH48" i="17"/>
  <c r="BG48" i="17"/>
  <c r="BF48" i="17"/>
  <c r="BP48" i="17" s="1"/>
  <c r="BE48" i="17"/>
  <c r="BC48" i="17"/>
  <c r="BB48" i="17"/>
  <c r="BA48" i="17"/>
  <c r="AZ48" i="17"/>
  <c r="AY48" i="17"/>
  <c r="AX48" i="17"/>
  <c r="AW48" i="17"/>
  <c r="AV48" i="17"/>
  <c r="AU48" i="17"/>
  <c r="AT48" i="17"/>
  <c r="AS48" i="17"/>
  <c r="AQ48" i="17"/>
  <c r="AP48" i="17"/>
  <c r="AN48" i="17"/>
  <c r="AM48" i="17"/>
  <c r="AL48" i="17"/>
  <c r="AO48" i="17" s="1"/>
  <c r="AJ48" i="17"/>
  <c r="AI48" i="17"/>
  <c r="AH48" i="17"/>
  <c r="V48" i="17"/>
  <c r="CB47" i="17"/>
  <c r="BX47" i="17"/>
  <c r="BW47" i="17"/>
  <c r="BU47" i="17"/>
  <c r="BT47" i="17"/>
  <c r="BS47" i="17"/>
  <c r="BR47" i="17"/>
  <c r="BQ47" i="17"/>
  <c r="BO47" i="17"/>
  <c r="BH47" i="17"/>
  <c r="BG47" i="17"/>
  <c r="BF47" i="17"/>
  <c r="BE47" i="17"/>
  <c r="BC47" i="17"/>
  <c r="BB47" i="17"/>
  <c r="BA47" i="17"/>
  <c r="AZ47" i="17"/>
  <c r="AY47" i="17"/>
  <c r="AX47" i="17"/>
  <c r="AW47" i="17"/>
  <c r="AV47" i="17"/>
  <c r="AU47" i="17"/>
  <c r="AT47" i="17"/>
  <c r="AS47" i="17"/>
  <c r="AQ47" i="17"/>
  <c r="CC47" i="17" s="1"/>
  <c r="AP47" i="17"/>
  <c r="AN47" i="17"/>
  <c r="AM47" i="17"/>
  <c r="AL47" i="17"/>
  <c r="AJ47" i="17"/>
  <c r="AI47" i="17"/>
  <c r="AH47" i="17"/>
  <c r="BX46" i="17"/>
  <c r="BW46" i="17"/>
  <c r="BU46" i="17"/>
  <c r="BT46" i="17"/>
  <c r="BS46" i="17"/>
  <c r="BR46" i="17"/>
  <c r="BQ46" i="17"/>
  <c r="BO46" i="17"/>
  <c r="BH46" i="17"/>
  <c r="BG46" i="17"/>
  <c r="BF46" i="17"/>
  <c r="BP46" i="17" s="1"/>
  <c r="BE46" i="17"/>
  <c r="BC46" i="17"/>
  <c r="BB46" i="17"/>
  <c r="BA46" i="17"/>
  <c r="AZ46" i="17"/>
  <c r="AY46" i="17"/>
  <c r="AX46" i="17"/>
  <c r="AW46" i="17"/>
  <c r="AV46" i="17"/>
  <c r="AU46" i="17"/>
  <c r="AT46" i="17"/>
  <c r="AS46" i="17"/>
  <c r="AQ46" i="17"/>
  <c r="CC46" i="17" s="1"/>
  <c r="AP46" i="17"/>
  <c r="AN46" i="17"/>
  <c r="AM46" i="17"/>
  <c r="AL46" i="17"/>
  <c r="AJ46" i="17"/>
  <c r="AI46" i="17"/>
  <c r="AH46" i="17"/>
  <c r="V46" i="17"/>
  <c r="BX45" i="17"/>
  <c r="BW45" i="17"/>
  <c r="BU45" i="17"/>
  <c r="BT45" i="17"/>
  <c r="BS45" i="17"/>
  <c r="BR45" i="17"/>
  <c r="BQ45" i="17"/>
  <c r="BO45" i="17"/>
  <c r="BK45" i="17"/>
  <c r="BH45" i="17"/>
  <c r="BG45" i="17"/>
  <c r="BF45" i="17"/>
  <c r="BP45" i="17" s="1"/>
  <c r="BE45" i="17"/>
  <c r="CT27" i="17" s="1"/>
  <c r="BD45" i="17"/>
  <c r="BC45" i="17"/>
  <c r="BB45" i="17"/>
  <c r="BA45" i="17"/>
  <c r="AZ45" i="17"/>
  <c r="AY45" i="17"/>
  <c r="AX45" i="17"/>
  <c r="AW45" i="17"/>
  <c r="AV45" i="17"/>
  <c r="AU45" i="17"/>
  <c r="AT45" i="17"/>
  <c r="AS45" i="17"/>
  <c r="AQ45" i="17"/>
  <c r="CC45" i="17" s="1"/>
  <c r="AP45" i="17"/>
  <c r="AN45" i="17"/>
  <c r="AM45" i="17"/>
  <c r="AL45" i="17"/>
  <c r="AJ45" i="17"/>
  <c r="AI45" i="17"/>
  <c r="AH45" i="17"/>
  <c r="BX44" i="17"/>
  <c r="BW44" i="17"/>
  <c r="BU44" i="17"/>
  <c r="BT44" i="17"/>
  <c r="BS44" i="17"/>
  <c r="BR44" i="17"/>
  <c r="BQ44" i="17"/>
  <c r="BO44" i="17"/>
  <c r="BH44" i="17"/>
  <c r="BG44" i="17"/>
  <c r="BF44" i="17"/>
  <c r="BE44" i="17"/>
  <c r="BC44" i="17"/>
  <c r="BB44" i="17"/>
  <c r="BA44" i="17"/>
  <c r="AZ44" i="17"/>
  <c r="AY44" i="17"/>
  <c r="AX44" i="17"/>
  <c r="AW44" i="17"/>
  <c r="AV44" i="17"/>
  <c r="AU44" i="17"/>
  <c r="AT44" i="17"/>
  <c r="AS44" i="17"/>
  <c r="AQ44" i="17"/>
  <c r="AP44" i="17"/>
  <c r="AN44" i="17"/>
  <c r="AM44" i="17"/>
  <c r="AL44" i="17"/>
  <c r="AO44" i="17" s="1"/>
  <c r="AJ44" i="17"/>
  <c r="AI44" i="17"/>
  <c r="AH44" i="17"/>
  <c r="V44" i="17"/>
  <c r="BX43" i="17"/>
  <c r="BW43" i="17"/>
  <c r="BU43" i="17"/>
  <c r="BT43" i="17"/>
  <c r="BS43" i="17"/>
  <c r="BR43" i="17"/>
  <c r="BQ43" i="17"/>
  <c r="BO43" i="17"/>
  <c r="BH43" i="17"/>
  <c r="BG43" i="17"/>
  <c r="BF43" i="17"/>
  <c r="BE43" i="17"/>
  <c r="BC43" i="17"/>
  <c r="BB43" i="17"/>
  <c r="BA43" i="17"/>
  <c r="AZ43" i="17"/>
  <c r="AY43" i="17"/>
  <c r="AX43" i="17"/>
  <c r="AW43" i="17"/>
  <c r="AV43" i="17"/>
  <c r="AU43" i="17"/>
  <c r="AT43" i="17"/>
  <c r="AS43" i="17"/>
  <c r="AQ43" i="17"/>
  <c r="CC43" i="17" s="1"/>
  <c r="AP43" i="17"/>
  <c r="AN43" i="17"/>
  <c r="AM43" i="17"/>
  <c r="AL43" i="17"/>
  <c r="AO43" i="17" s="1"/>
  <c r="AJ43" i="17"/>
  <c r="AI43" i="17"/>
  <c r="AH43" i="17"/>
  <c r="CC42" i="17"/>
  <c r="BX42" i="17"/>
  <c r="BW42" i="17"/>
  <c r="BU42" i="17"/>
  <c r="BT42" i="17"/>
  <c r="BS42" i="17"/>
  <c r="BR42" i="17"/>
  <c r="BQ42" i="17"/>
  <c r="BO42" i="17"/>
  <c r="BH42" i="17"/>
  <c r="BG42" i="17"/>
  <c r="BF42" i="17"/>
  <c r="BE42" i="17"/>
  <c r="CT26" i="17" s="1"/>
  <c r="BC42" i="17"/>
  <c r="BB42" i="17"/>
  <c r="BA42" i="17"/>
  <c r="AZ42" i="17"/>
  <c r="AY42" i="17"/>
  <c r="AX42" i="17"/>
  <c r="AW42" i="17"/>
  <c r="AV42" i="17"/>
  <c r="AU42" i="17"/>
  <c r="AT42" i="17"/>
  <c r="AS42" i="17"/>
  <c r="AQ42" i="17"/>
  <c r="AP42" i="17"/>
  <c r="AN42" i="17"/>
  <c r="AM42" i="17"/>
  <c r="AL42" i="17"/>
  <c r="AJ42" i="17"/>
  <c r="AI42" i="17"/>
  <c r="AH42" i="17"/>
  <c r="V42" i="17"/>
  <c r="CC41" i="17"/>
  <c r="CB41" i="17"/>
  <c r="BX41" i="17"/>
  <c r="BW41" i="17"/>
  <c r="BU41" i="17"/>
  <c r="BT41" i="17"/>
  <c r="BS41" i="17"/>
  <c r="BR41" i="17"/>
  <c r="BQ41" i="17"/>
  <c r="BO41" i="17"/>
  <c r="BH41" i="17"/>
  <c r="BG41" i="17"/>
  <c r="BF41" i="17"/>
  <c r="BP41" i="17" s="1"/>
  <c r="BE41" i="17"/>
  <c r="BC41" i="17"/>
  <c r="BB41" i="17"/>
  <c r="BA41" i="17"/>
  <c r="AZ41" i="17"/>
  <c r="AY41" i="17"/>
  <c r="AX41" i="17"/>
  <c r="AW41" i="17"/>
  <c r="AV41" i="17"/>
  <c r="AU41" i="17"/>
  <c r="AT41" i="17"/>
  <c r="AS41" i="17"/>
  <c r="AQ41" i="17"/>
  <c r="AP41" i="17"/>
  <c r="AN41" i="17"/>
  <c r="AM41" i="17"/>
  <c r="AL41" i="17"/>
  <c r="AJ41" i="17"/>
  <c r="AI41" i="17"/>
  <c r="AH41" i="17"/>
  <c r="CC40" i="17"/>
  <c r="CB40" i="17"/>
  <c r="BX40" i="17"/>
  <c r="BW40" i="17"/>
  <c r="BU40" i="17"/>
  <c r="BT40" i="17"/>
  <c r="BS40" i="17"/>
  <c r="BR40" i="17"/>
  <c r="BQ40" i="17"/>
  <c r="BO40" i="17"/>
  <c r="BH40" i="17"/>
  <c r="BG40" i="17"/>
  <c r="BF40" i="17"/>
  <c r="BE40" i="17"/>
  <c r="CT25" i="17" s="1"/>
  <c r="BC40" i="17"/>
  <c r="BB40" i="17"/>
  <c r="BA40" i="17"/>
  <c r="AZ40" i="17"/>
  <c r="AY40" i="17"/>
  <c r="AX40" i="17"/>
  <c r="AW40" i="17"/>
  <c r="AV40" i="17"/>
  <c r="AU40" i="17"/>
  <c r="AT40" i="17"/>
  <c r="BD40" i="17" s="1"/>
  <c r="AS40" i="17"/>
  <c r="AQ40" i="17"/>
  <c r="AP40" i="17"/>
  <c r="AN40" i="17"/>
  <c r="AM40" i="17"/>
  <c r="AL40" i="17"/>
  <c r="AJ40" i="17"/>
  <c r="AI40" i="17"/>
  <c r="AH40" i="17"/>
  <c r="AK40" i="17" s="1"/>
  <c r="V40" i="17"/>
  <c r="BX39" i="17"/>
  <c r="BW39" i="17"/>
  <c r="BU39" i="17"/>
  <c r="BT39" i="17"/>
  <c r="BS39" i="17"/>
  <c r="BR39" i="17"/>
  <c r="BQ39" i="17"/>
  <c r="BO39" i="17"/>
  <c r="BH39" i="17"/>
  <c r="BG39" i="17"/>
  <c r="BF39" i="17"/>
  <c r="BE39" i="17"/>
  <c r="BD39" i="17"/>
  <c r="BC39" i="17"/>
  <c r="BB39" i="17"/>
  <c r="BA39" i="17"/>
  <c r="AZ39" i="17"/>
  <c r="AY39" i="17"/>
  <c r="AX39" i="17"/>
  <c r="AW39" i="17"/>
  <c r="AV39" i="17"/>
  <c r="AU39" i="17"/>
  <c r="AT39" i="17"/>
  <c r="AS39" i="17"/>
  <c r="AQ39" i="17"/>
  <c r="AP39" i="17"/>
  <c r="AN39" i="17"/>
  <c r="AM39" i="17"/>
  <c r="AL39" i="17"/>
  <c r="AJ39" i="17"/>
  <c r="AI39" i="17"/>
  <c r="AH39" i="17"/>
  <c r="CB38" i="17"/>
  <c r="BX38" i="17"/>
  <c r="BW38" i="17"/>
  <c r="BU38" i="17"/>
  <c r="BT38" i="17"/>
  <c r="BS38" i="17"/>
  <c r="BR38" i="17"/>
  <c r="BQ38" i="17"/>
  <c r="BO38" i="17"/>
  <c r="BH38" i="17"/>
  <c r="BG38" i="17"/>
  <c r="BF38" i="17"/>
  <c r="BE38" i="17"/>
  <c r="BC38" i="17"/>
  <c r="BB38" i="17"/>
  <c r="BA38" i="17"/>
  <c r="AZ38" i="17"/>
  <c r="AY38" i="17"/>
  <c r="AX38" i="17"/>
  <c r="AW38" i="17"/>
  <c r="AV38" i="17"/>
  <c r="AU38" i="17"/>
  <c r="AT38" i="17"/>
  <c r="AS38" i="17"/>
  <c r="AQ38" i="17"/>
  <c r="CC38" i="17" s="1"/>
  <c r="AP38" i="17"/>
  <c r="AN38" i="17"/>
  <c r="AM38" i="17"/>
  <c r="AL38" i="17"/>
  <c r="AJ38" i="17"/>
  <c r="AI38" i="17"/>
  <c r="AH38" i="17"/>
  <c r="AK38" i="17" s="1"/>
  <c r="V38" i="17"/>
  <c r="CB37" i="17"/>
  <c r="BX37" i="17"/>
  <c r="BW37" i="17"/>
  <c r="BU37" i="17"/>
  <c r="BT37" i="17"/>
  <c r="BS37" i="17"/>
  <c r="BR37" i="17"/>
  <c r="BQ37" i="17"/>
  <c r="BO37" i="17"/>
  <c r="BH37" i="17"/>
  <c r="BG37" i="17"/>
  <c r="BF37" i="17"/>
  <c r="BE37" i="17"/>
  <c r="CT23" i="17" s="1"/>
  <c r="BC37" i="17"/>
  <c r="BB37" i="17"/>
  <c r="BA37" i="17"/>
  <c r="AZ37" i="17"/>
  <c r="AY37" i="17"/>
  <c r="AX37" i="17"/>
  <c r="BD37" i="17" s="1"/>
  <c r="AW37" i="17"/>
  <c r="AV37" i="17"/>
  <c r="AU37" i="17"/>
  <c r="AT37" i="17"/>
  <c r="AS37" i="17"/>
  <c r="AQ37" i="17"/>
  <c r="CC37" i="17" s="1"/>
  <c r="AP37" i="17"/>
  <c r="AN37" i="17"/>
  <c r="AM37" i="17"/>
  <c r="AL37" i="17"/>
  <c r="AJ37" i="17"/>
  <c r="AI37" i="17"/>
  <c r="AH37" i="17"/>
  <c r="BX36" i="17"/>
  <c r="BW36" i="17"/>
  <c r="BU36" i="17"/>
  <c r="BT36" i="17"/>
  <c r="BS36" i="17"/>
  <c r="BR36" i="17"/>
  <c r="BQ36" i="17"/>
  <c r="BO36" i="17"/>
  <c r="BH36" i="17"/>
  <c r="BG36" i="17"/>
  <c r="BF36" i="17"/>
  <c r="BE36" i="17"/>
  <c r="BC36" i="17"/>
  <c r="BB36" i="17"/>
  <c r="BA36" i="17"/>
  <c r="AZ36" i="17"/>
  <c r="AY36" i="17"/>
  <c r="AX36" i="17"/>
  <c r="AW36" i="17"/>
  <c r="AV36" i="17"/>
  <c r="AU36" i="17"/>
  <c r="AT36" i="17"/>
  <c r="AS36" i="17"/>
  <c r="AQ36" i="17"/>
  <c r="AP36" i="17"/>
  <c r="AN36" i="17"/>
  <c r="AM36" i="17"/>
  <c r="AL36" i="17"/>
  <c r="AJ36" i="17"/>
  <c r="AI36" i="17"/>
  <c r="AH36" i="17"/>
  <c r="V36" i="17"/>
  <c r="BX35" i="17"/>
  <c r="BW35" i="17"/>
  <c r="BU35" i="17"/>
  <c r="BT35" i="17"/>
  <c r="BS35" i="17"/>
  <c r="BR35" i="17"/>
  <c r="BQ35" i="17"/>
  <c r="BO35" i="17"/>
  <c r="BH35" i="17"/>
  <c r="BG35" i="17"/>
  <c r="BF35" i="17"/>
  <c r="BE35" i="17"/>
  <c r="BC35" i="17"/>
  <c r="BB35" i="17"/>
  <c r="BA35" i="17"/>
  <c r="AZ35" i="17"/>
  <c r="AY35" i="17"/>
  <c r="AX35" i="17"/>
  <c r="AW35" i="17"/>
  <c r="AV35" i="17"/>
  <c r="BD35" i="17" s="1"/>
  <c r="AU35" i="17"/>
  <c r="AT35" i="17"/>
  <c r="AS35" i="17"/>
  <c r="AQ35" i="17"/>
  <c r="CC35" i="17" s="1"/>
  <c r="AP35" i="17"/>
  <c r="AN35" i="17"/>
  <c r="AM35" i="17"/>
  <c r="AL35" i="17"/>
  <c r="AO35" i="17" s="1"/>
  <c r="AJ35" i="17"/>
  <c r="AI35" i="17"/>
  <c r="AH35" i="17"/>
  <c r="BX34" i="17"/>
  <c r="BW34" i="17"/>
  <c r="BU34" i="17"/>
  <c r="BT34" i="17"/>
  <c r="BS34" i="17"/>
  <c r="BR34" i="17"/>
  <c r="BQ34" i="17"/>
  <c r="BO34" i="17"/>
  <c r="BH34" i="17"/>
  <c r="BG34" i="17"/>
  <c r="BF34" i="17"/>
  <c r="BE34" i="17"/>
  <c r="BC34" i="17"/>
  <c r="BB34" i="17"/>
  <c r="BA34" i="17"/>
  <c r="AZ34" i="17"/>
  <c r="AY34" i="17"/>
  <c r="AX34" i="17"/>
  <c r="AW34" i="17"/>
  <c r="AV34" i="17"/>
  <c r="AU34" i="17"/>
  <c r="AT34" i="17"/>
  <c r="AS34" i="17"/>
  <c r="AQ34" i="17"/>
  <c r="CC34" i="17" s="1"/>
  <c r="AP34" i="17"/>
  <c r="AN34" i="17"/>
  <c r="AM34" i="17"/>
  <c r="AL34" i="17"/>
  <c r="AJ34" i="17"/>
  <c r="AI34" i="17"/>
  <c r="AH34" i="17"/>
  <c r="V34" i="17"/>
  <c r="CC33" i="17"/>
  <c r="BX33" i="17"/>
  <c r="BW33" i="17"/>
  <c r="BU33" i="17"/>
  <c r="BT33" i="17"/>
  <c r="BS33" i="17"/>
  <c r="BR33" i="17"/>
  <c r="BQ33" i="17"/>
  <c r="BO33" i="17"/>
  <c r="BH33" i="17"/>
  <c r="BG33" i="17"/>
  <c r="BF33" i="17"/>
  <c r="BE33" i="17"/>
  <c r="BC33" i="17"/>
  <c r="BB33" i="17"/>
  <c r="BA33" i="17"/>
  <c r="AZ33" i="17"/>
  <c r="AY33" i="17"/>
  <c r="AX33" i="17"/>
  <c r="AW33" i="17"/>
  <c r="AV33" i="17"/>
  <c r="AU33" i="17"/>
  <c r="BD33" i="17" s="1"/>
  <c r="AT33" i="17"/>
  <c r="AS33" i="17"/>
  <c r="AQ33" i="17"/>
  <c r="AP33" i="17"/>
  <c r="AN33" i="17"/>
  <c r="AM33" i="17"/>
  <c r="AL33" i="17"/>
  <c r="AO33" i="17" s="1"/>
  <c r="AJ33" i="17"/>
  <c r="AI33" i="17"/>
  <c r="AH33" i="17"/>
  <c r="CC32" i="17"/>
  <c r="CB32" i="17"/>
  <c r="BX32" i="17"/>
  <c r="BW32" i="17"/>
  <c r="BU32" i="17"/>
  <c r="BT32" i="17"/>
  <c r="BS32" i="17"/>
  <c r="BR32" i="17"/>
  <c r="BQ32" i="17"/>
  <c r="BO32" i="17"/>
  <c r="BH32" i="17"/>
  <c r="BG32" i="17"/>
  <c r="BF32" i="17"/>
  <c r="BP32" i="17" s="1"/>
  <c r="BE32" i="17"/>
  <c r="CT21" i="17" s="1"/>
  <c r="BC32" i="17"/>
  <c r="BB32" i="17"/>
  <c r="BA32" i="17"/>
  <c r="AZ32" i="17"/>
  <c r="AY32" i="17"/>
  <c r="AX32" i="17"/>
  <c r="AW32" i="17"/>
  <c r="AV32" i="17"/>
  <c r="AU32" i="17"/>
  <c r="AT32" i="17"/>
  <c r="AS32" i="17"/>
  <c r="AQ32" i="17"/>
  <c r="AP32" i="17"/>
  <c r="AN32" i="17"/>
  <c r="AM32" i="17"/>
  <c r="AL32" i="17"/>
  <c r="AO32" i="17" s="1"/>
  <c r="AJ32" i="17"/>
  <c r="AI32" i="17"/>
  <c r="AH32" i="17"/>
  <c r="V32" i="17"/>
  <c r="CC31" i="17"/>
  <c r="BX31" i="17"/>
  <c r="BW31" i="17"/>
  <c r="BU31" i="17"/>
  <c r="BT31" i="17"/>
  <c r="BS31" i="17"/>
  <c r="BR31" i="17"/>
  <c r="BQ31" i="17"/>
  <c r="BO31" i="17"/>
  <c r="BH31" i="17"/>
  <c r="BG31" i="17"/>
  <c r="BF31" i="17"/>
  <c r="BP31" i="17" s="1"/>
  <c r="BE31" i="17"/>
  <c r="BC31" i="17"/>
  <c r="BB31" i="17"/>
  <c r="BA31" i="17"/>
  <c r="AZ31" i="17"/>
  <c r="AY31" i="17"/>
  <c r="AX31" i="17"/>
  <c r="AW31" i="17"/>
  <c r="AV31" i="17"/>
  <c r="AU31" i="17"/>
  <c r="AT31" i="17"/>
  <c r="AS31" i="17"/>
  <c r="AQ31" i="17"/>
  <c r="AP31" i="17"/>
  <c r="AN31" i="17"/>
  <c r="AM31" i="17"/>
  <c r="AL31" i="17"/>
  <c r="AO31" i="17" s="1"/>
  <c r="AJ31" i="17"/>
  <c r="AI31" i="17"/>
  <c r="AH31" i="17"/>
  <c r="CC30" i="17"/>
  <c r="BX30" i="17"/>
  <c r="BW30" i="17"/>
  <c r="BU30" i="17"/>
  <c r="BT30" i="17"/>
  <c r="BS30" i="17"/>
  <c r="BR30" i="17"/>
  <c r="BQ30" i="17"/>
  <c r="BO30" i="17"/>
  <c r="BH30" i="17"/>
  <c r="BG30" i="17"/>
  <c r="BF30" i="17"/>
  <c r="CQ20" i="17" s="1"/>
  <c r="BE30" i="17"/>
  <c r="BC30" i="17"/>
  <c r="BB30" i="17"/>
  <c r="BA30" i="17"/>
  <c r="AZ30" i="17"/>
  <c r="AY30" i="17"/>
  <c r="AX30" i="17"/>
  <c r="AW30" i="17"/>
  <c r="AV30" i="17"/>
  <c r="AU30" i="17"/>
  <c r="AT30" i="17"/>
  <c r="AS30" i="17"/>
  <c r="AQ30" i="17"/>
  <c r="AP30" i="17"/>
  <c r="AN30" i="17"/>
  <c r="AM30" i="17"/>
  <c r="AL30" i="17"/>
  <c r="AJ30" i="17"/>
  <c r="AI30" i="17"/>
  <c r="AH30" i="17"/>
  <c r="V30" i="17"/>
  <c r="CT29" i="17"/>
  <c r="CP29" i="17"/>
  <c r="BX29" i="17"/>
  <c r="BW29" i="17"/>
  <c r="BU29" i="17"/>
  <c r="BT29" i="17"/>
  <c r="BS29" i="17"/>
  <c r="BR29" i="17"/>
  <c r="BQ29" i="17"/>
  <c r="BO29" i="17"/>
  <c r="BK29" i="17"/>
  <c r="BH29" i="17"/>
  <c r="BG29" i="17"/>
  <c r="BF29" i="17"/>
  <c r="BE29" i="17"/>
  <c r="BC29" i="17"/>
  <c r="BB29" i="17"/>
  <c r="BA29" i="17"/>
  <c r="AZ29" i="17"/>
  <c r="AY29" i="17"/>
  <c r="AX29" i="17"/>
  <c r="AW29" i="17"/>
  <c r="AV29" i="17"/>
  <c r="AU29" i="17"/>
  <c r="AT29" i="17"/>
  <c r="BD29" i="17" s="1"/>
  <c r="AS29" i="17"/>
  <c r="AQ29" i="17"/>
  <c r="CC29" i="17" s="1"/>
  <c r="AP29" i="17"/>
  <c r="AN29" i="17"/>
  <c r="AM29" i="17"/>
  <c r="AL29" i="17"/>
  <c r="AJ29" i="17"/>
  <c r="AI29" i="17"/>
  <c r="AH29" i="17"/>
  <c r="CT28" i="17"/>
  <c r="CP28" i="17"/>
  <c r="CB28" i="17"/>
  <c r="BX28" i="17"/>
  <c r="BW28" i="17"/>
  <c r="BU28" i="17"/>
  <c r="BT28" i="17"/>
  <c r="BS28" i="17"/>
  <c r="BR28" i="17"/>
  <c r="BQ28" i="17"/>
  <c r="BO28" i="17"/>
  <c r="BH28" i="17"/>
  <c r="BG28" i="17"/>
  <c r="BF28" i="17"/>
  <c r="BE28" i="17"/>
  <c r="CT19" i="17" s="1"/>
  <c r="BC28" i="17"/>
  <c r="BB28" i="17"/>
  <c r="BA28" i="17"/>
  <c r="AZ28" i="17"/>
  <c r="AY28" i="17"/>
  <c r="AX28" i="17"/>
  <c r="AW28" i="17"/>
  <c r="AV28" i="17"/>
  <c r="AU28" i="17"/>
  <c r="AT28" i="17"/>
  <c r="AS28" i="17"/>
  <c r="AQ28" i="17"/>
  <c r="CC28" i="17" s="1"/>
  <c r="AP28" i="17"/>
  <c r="AN28" i="17"/>
  <c r="AM28" i="17"/>
  <c r="AL28" i="17"/>
  <c r="AJ28" i="17"/>
  <c r="AI28" i="17"/>
  <c r="AH28" i="17"/>
  <c r="V28" i="17"/>
  <c r="CP27" i="17"/>
  <c r="CB27" i="17"/>
  <c r="BX27" i="17"/>
  <c r="BW27" i="17"/>
  <c r="BU27" i="17"/>
  <c r="BT27" i="17"/>
  <c r="BS27" i="17"/>
  <c r="BR27" i="17"/>
  <c r="BQ27" i="17"/>
  <c r="BO27" i="17"/>
  <c r="BH27" i="17"/>
  <c r="BG27" i="17"/>
  <c r="BF27" i="17"/>
  <c r="BE27" i="17"/>
  <c r="BC27" i="17"/>
  <c r="BB27" i="17"/>
  <c r="BA27" i="17"/>
  <c r="AZ27" i="17"/>
  <c r="AY27" i="17"/>
  <c r="AX27" i="17"/>
  <c r="AW27" i="17"/>
  <c r="AV27" i="17"/>
  <c r="AU27" i="17"/>
  <c r="AT27" i="17"/>
  <c r="AS27" i="17"/>
  <c r="AQ27" i="17"/>
  <c r="CC27" i="17" s="1"/>
  <c r="AP27" i="17"/>
  <c r="AN27" i="17"/>
  <c r="AM27" i="17"/>
  <c r="AL27" i="17"/>
  <c r="AJ27" i="17"/>
  <c r="AI27" i="17"/>
  <c r="AH27" i="17"/>
  <c r="CP26" i="17"/>
  <c r="BX26" i="17"/>
  <c r="BW26" i="17"/>
  <c r="BU26" i="17"/>
  <c r="BT26" i="17"/>
  <c r="BS26" i="17"/>
  <c r="BR26" i="17"/>
  <c r="BQ26" i="17"/>
  <c r="BO26" i="17"/>
  <c r="BH26" i="17"/>
  <c r="BG26" i="17"/>
  <c r="BF26" i="17"/>
  <c r="CQ18" i="17" s="1"/>
  <c r="BE26" i="17"/>
  <c r="CT18" i="17" s="1"/>
  <c r="BC26" i="17"/>
  <c r="BB26" i="17"/>
  <c r="BA26" i="17"/>
  <c r="AZ26" i="17"/>
  <c r="AY26" i="17"/>
  <c r="AX26" i="17"/>
  <c r="AW26" i="17"/>
  <c r="AV26" i="17"/>
  <c r="AU26" i="17"/>
  <c r="AT26" i="17"/>
  <c r="AS26" i="17"/>
  <c r="AQ26" i="17"/>
  <c r="AP26" i="17"/>
  <c r="AN26" i="17"/>
  <c r="AM26" i="17"/>
  <c r="AL26" i="17"/>
  <c r="AJ26" i="17"/>
  <c r="AI26" i="17"/>
  <c r="AH26" i="17"/>
  <c r="V26" i="17"/>
  <c r="CP25" i="17"/>
  <c r="CC25" i="17"/>
  <c r="CB25" i="17"/>
  <c r="BX25" i="17"/>
  <c r="BW25" i="17"/>
  <c r="BU25" i="17"/>
  <c r="BT25" i="17"/>
  <c r="BS25" i="17"/>
  <c r="BR25" i="17"/>
  <c r="BQ25" i="17"/>
  <c r="BO25" i="17"/>
  <c r="BH25" i="17"/>
  <c r="BG25" i="17"/>
  <c r="BF25" i="17"/>
  <c r="BP25" i="17" s="1"/>
  <c r="BE25" i="17"/>
  <c r="BD25" i="17"/>
  <c r="BC25" i="17"/>
  <c r="BB25" i="17"/>
  <c r="BA25" i="17"/>
  <c r="AZ25" i="17"/>
  <c r="AY25" i="17"/>
  <c r="AX25" i="17"/>
  <c r="AW25" i="17"/>
  <c r="AV25" i="17"/>
  <c r="AU25" i="17"/>
  <c r="AT25" i="17"/>
  <c r="AS25" i="17"/>
  <c r="AQ25" i="17"/>
  <c r="AP25" i="17"/>
  <c r="AN25" i="17"/>
  <c r="AM25" i="17"/>
  <c r="AL25" i="17"/>
  <c r="AJ25" i="17"/>
  <c r="AI25" i="17"/>
  <c r="AH25" i="17"/>
  <c r="CP24" i="17"/>
  <c r="BX24" i="17"/>
  <c r="BW24" i="17"/>
  <c r="BU24" i="17"/>
  <c r="BT24" i="17"/>
  <c r="BS24" i="17"/>
  <c r="BR24" i="17"/>
  <c r="BQ24" i="17"/>
  <c r="BO24" i="17"/>
  <c r="BH24" i="17"/>
  <c r="BG24" i="17"/>
  <c r="BF24" i="17"/>
  <c r="BE24" i="17"/>
  <c r="BC24" i="17"/>
  <c r="BB24" i="17"/>
  <c r="BA24" i="17"/>
  <c r="AZ24" i="17"/>
  <c r="AY24" i="17"/>
  <c r="AX24" i="17"/>
  <c r="AW24" i="17"/>
  <c r="AV24" i="17"/>
  <c r="AU24" i="17"/>
  <c r="AT24" i="17"/>
  <c r="AS24" i="17"/>
  <c r="AQ24" i="17"/>
  <c r="CC24" i="17" s="1"/>
  <c r="AP24" i="17"/>
  <c r="AN24" i="17"/>
  <c r="AM24" i="17"/>
  <c r="AL24" i="17"/>
  <c r="AO24" i="17" s="1"/>
  <c r="AJ24" i="17"/>
  <c r="AI24" i="17"/>
  <c r="AH24" i="17"/>
  <c r="V24" i="17"/>
  <c r="CP23" i="17"/>
  <c r="CC23" i="17"/>
  <c r="CB23" i="17"/>
  <c r="BX23" i="17"/>
  <c r="BW23" i="17"/>
  <c r="BU23" i="17"/>
  <c r="BT23" i="17"/>
  <c r="BS23" i="17"/>
  <c r="BR23" i="17"/>
  <c r="BQ23" i="17"/>
  <c r="BO23" i="17"/>
  <c r="BH23" i="17"/>
  <c r="BG23" i="17"/>
  <c r="BF23" i="17"/>
  <c r="BE23" i="17"/>
  <c r="BD23" i="17"/>
  <c r="BC23" i="17"/>
  <c r="BB23" i="17"/>
  <c r="BA23" i="17"/>
  <c r="AZ23" i="17"/>
  <c r="AY23" i="17"/>
  <c r="AX23" i="17"/>
  <c r="AW23" i="17"/>
  <c r="AV23" i="17"/>
  <c r="AU23" i="17"/>
  <c r="AT23" i="17"/>
  <c r="AS23" i="17"/>
  <c r="AQ23" i="17"/>
  <c r="AP23" i="17"/>
  <c r="AN23" i="17"/>
  <c r="AM23" i="17"/>
  <c r="AL23" i="17"/>
  <c r="AJ23" i="17"/>
  <c r="AI23" i="17"/>
  <c r="AH23" i="17"/>
  <c r="CT22" i="17"/>
  <c r="CP22" i="17"/>
  <c r="CB22" i="17"/>
  <c r="BX22" i="17"/>
  <c r="BW22" i="17"/>
  <c r="BU22" i="17"/>
  <c r="BT22" i="17"/>
  <c r="BS22" i="17"/>
  <c r="BR22" i="17"/>
  <c r="BQ22" i="17"/>
  <c r="BO22" i="17"/>
  <c r="BH22" i="17"/>
  <c r="BG22" i="17"/>
  <c r="BF22" i="17"/>
  <c r="BE22" i="17"/>
  <c r="BC22" i="17"/>
  <c r="BB22" i="17"/>
  <c r="BA22" i="17"/>
  <c r="AZ22" i="17"/>
  <c r="AY22" i="17"/>
  <c r="AX22" i="17"/>
  <c r="AW22" i="17"/>
  <c r="AV22" i="17"/>
  <c r="AU22" i="17"/>
  <c r="AT22" i="17"/>
  <c r="AS22" i="17"/>
  <c r="AQ22" i="17"/>
  <c r="CC22" i="17" s="1"/>
  <c r="AP22" i="17"/>
  <c r="AN22" i="17"/>
  <c r="AM22" i="17"/>
  <c r="AL22" i="17"/>
  <c r="AJ22" i="17"/>
  <c r="AI22" i="17"/>
  <c r="AH22" i="17"/>
  <c r="V22" i="17"/>
  <c r="CP21" i="17"/>
  <c r="CB21" i="17"/>
  <c r="BX21" i="17"/>
  <c r="BW21" i="17"/>
  <c r="BU21" i="17"/>
  <c r="BT21" i="17"/>
  <c r="BS21" i="17"/>
  <c r="BR21" i="17"/>
  <c r="BQ21" i="17"/>
  <c r="BO21" i="17"/>
  <c r="BH21" i="17"/>
  <c r="BG21" i="17"/>
  <c r="BF21" i="17"/>
  <c r="BP21" i="17" s="1"/>
  <c r="BE21" i="17"/>
  <c r="BD21" i="17"/>
  <c r="BC21" i="17"/>
  <c r="BB21" i="17"/>
  <c r="BA21" i="17"/>
  <c r="AZ21" i="17"/>
  <c r="AY21" i="17"/>
  <c r="AX21" i="17"/>
  <c r="AW21" i="17"/>
  <c r="AV21" i="17"/>
  <c r="AU21" i="17"/>
  <c r="AT21" i="17"/>
  <c r="AS21" i="17"/>
  <c r="AQ21" i="17"/>
  <c r="AP21" i="17"/>
  <c r="AN21" i="17"/>
  <c r="AM21" i="17"/>
  <c r="AL21" i="17"/>
  <c r="AJ21" i="17"/>
  <c r="AI21" i="17"/>
  <c r="AH21" i="17"/>
  <c r="CT20" i="17"/>
  <c r="CP20" i="17"/>
  <c r="CB20" i="17"/>
  <c r="BX20" i="17"/>
  <c r="BW20" i="17"/>
  <c r="BU20" i="17"/>
  <c r="BT20" i="17"/>
  <c r="BS20" i="17"/>
  <c r="BR20" i="17"/>
  <c r="BQ20" i="17"/>
  <c r="BO20" i="17"/>
  <c r="BH20" i="17"/>
  <c r="BG20" i="17"/>
  <c r="BF20" i="17"/>
  <c r="BE20" i="17"/>
  <c r="BC20" i="17"/>
  <c r="BB20" i="17"/>
  <c r="BA20" i="17"/>
  <c r="AZ20" i="17"/>
  <c r="AY20" i="17"/>
  <c r="AX20" i="17"/>
  <c r="AW20" i="17"/>
  <c r="AV20" i="17"/>
  <c r="AU20" i="17"/>
  <c r="AT20" i="17"/>
  <c r="AS20" i="17"/>
  <c r="AQ20" i="17"/>
  <c r="CC20" i="17" s="1"/>
  <c r="AP20" i="17"/>
  <c r="AN20" i="17"/>
  <c r="AM20" i="17"/>
  <c r="AL20" i="17"/>
  <c r="AJ20" i="17"/>
  <c r="AI20" i="17"/>
  <c r="AH20" i="17"/>
  <c r="V20" i="17"/>
  <c r="CP19" i="17"/>
  <c r="CB19" i="17"/>
  <c r="BX19" i="17"/>
  <c r="BW19" i="17"/>
  <c r="BU19" i="17"/>
  <c r="BT19" i="17"/>
  <c r="BS19" i="17"/>
  <c r="BR19" i="17"/>
  <c r="BQ19" i="17"/>
  <c r="BO19" i="17"/>
  <c r="BH19" i="17"/>
  <c r="BG19" i="17"/>
  <c r="BF19" i="17"/>
  <c r="BP19" i="17" s="1"/>
  <c r="BE19" i="17"/>
  <c r="BC19" i="17"/>
  <c r="BB19" i="17"/>
  <c r="BA19" i="17"/>
  <c r="AZ19" i="17"/>
  <c r="AY19" i="17"/>
  <c r="BD19" i="17" s="1"/>
  <c r="AX19" i="17"/>
  <c r="AW19" i="17"/>
  <c r="AV19" i="17"/>
  <c r="AU19" i="17"/>
  <c r="AT19" i="17"/>
  <c r="AS19" i="17"/>
  <c r="AQ19" i="17"/>
  <c r="CC19" i="17" s="1"/>
  <c r="AP19" i="17"/>
  <c r="AN19" i="17"/>
  <c r="AM19" i="17"/>
  <c r="AL19" i="17"/>
  <c r="AO19" i="17" s="1"/>
  <c r="AJ19" i="17"/>
  <c r="AI19" i="17"/>
  <c r="AH19" i="17"/>
  <c r="CP18" i="17"/>
  <c r="BX18" i="17"/>
  <c r="BW18" i="17"/>
  <c r="BU18" i="17"/>
  <c r="BT18" i="17"/>
  <c r="BS18" i="17"/>
  <c r="BR18" i="17"/>
  <c r="BQ18" i="17"/>
  <c r="BO18" i="17"/>
  <c r="BH18" i="17"/>
  <c r="BG18" i="17"/>
  <c r="BF18" i="17"/>
  <c r="BE18" i="17"/>
  <c r="CT14" i="17" s="1"/>
  <c r="BC18" i="17"/>
  <c r="BB18" i="17"/>
  <c r="BA18" i="17"/>
  <c r="AZ18" i="17"/>
  <c r="AY18" i="17"/>
  <c r="AX18" i="17"/>
  <c r="AW18" i="17"/>
  <c r="AV18" i="17"/>
  <c r="AU18" i="17"/>
  <c r="AT18" i="17"/>
  <c r="AS18" i="17"/>
  <c r="AQ18" i="17"/>
  <c r="AP18" i="17"/>
  <c r="AN18" i="17"/>
  <c r="AM18" i="17"/>
  <c r="AL18" i="17"/>
  <c r="AO18" i="17" s="1"/>
  <c r="AJ18" i="17"/>
  <c r="AI18" i="17"/>
  <c r="AH18" i="17"/>
  <c r="V18" i="17"/>
  <c r="CP17" i="17"/>
  <c r="CC17" i="17"/>
  <c r="CB17" i="17"/>
  <c r="BX17" i="17"/>
  <c r="BW17" i="17"/>
  <c r="BU17" i="17"/>
  <c r="BT17" i="17"/>
  <c r="BS17" i="17"/>
  <c r="BR17" i="17"/>
  <c r="BQ17" i="17"/>
  <c r="BO17" i="17"/>
  <c r="BK17" i="17"/>
  <c r="BH17" i="17"/>
  <c r="BG17" i="17"/>
  <c r="BF17" i="17"/>
  <c r="BP17" i="17" s="1"/>
  <c r="BE17" i="17"/>
  <c r="BC17" i="17"/>
  <c r="BB17" i="17"/>
  <c r="BA17" i="17"/>
  <c r="AZ17" i="17"/>
  <c r="AY17" i="17"/>
  <c r="AX17" i="17"/>
  <c r="AW17" i="17"/>
  <c r="AV17" i="17"/>
  <c r="AU17" i="17"/>
  <c r="AT17" i="17"/>
  <c r="AS17" i="17"/>
  <c r="AQ17" i="17"/>
  <c r="AP17" i="17"/>
  <c r="AN17" i="17"/>
  <c r="AM17" i="17"/>
  <c r="AL17" i="17"/>
  <c r="AJ17" i="17"/>
  <c r="AI17" i="17"/>
  <c r="AH17" i="17"/>
  <c r="CP16" i="17"/>
  <c r="CC16" i="17"/>
  <c r="CB16" i="17"/>
  <c r="BX16" i="17"/>
  <c r="BW16" i="17"/>
  <c r="BU16" i="17"/>
  <c r="BT16" i="17"/>
  <c r="BS16" i="17"/>
  <c r="BR16" i="17"/>
  <c r="BQ16" i="17"/>
  <c r="BO16" i="17"/>
  <c r="BH16" i="17"/>
  <c r="BG16" i="17"/>
  <c r="BF16" i="17"/>
  <c r="BE16" i="17"/>
  <c r="CT13" i="17" s="1"/>
  <c r="BC16" i="17"/>
  <c r="BB16" i="17"/>
  <c r="BA16" i="17"/>
  <c r="AZ16" i="17"/>
  <c r="AY16" i="17"/>
  <c r="AX16" i="17"/>
  <c r="AW16" i="17"/>
  <c r="AV16" i="17"/>
  <c r="AU16" i="17"/>
  <c r="AT16" i="17"/>
  <c r="AS16" i="17"/>
  <c r="AQ16" i="17"/>
  <c r="AP16" i="17"/>
  <c r="AN16" i="17"/>
  <c r="AM16" i="17"/>
  <c r="AL16" i="17"/>
  <c r="AO16" i="17" s="1"/>
  <c r="AJ16" i="17"/>
  <c r="AI16" i="17"/>
  <c r="AH16" i="17"/>
  <c r="V16" i="17"/>
  <c r="CT15" i="17"/>
  <c r="CP15" i="17"/>
  <c r="BX15" i="17"/>
  <c r="BW15" i="17"/>
  <c r="BU15" i="17"/>
  <c r="BT15" i="17"/>
  <c r="BS15" i="17"/>
  <c r="BR15" i="17"/>
  <c r="BQ15" i="17"/>
  <c r="BO15" i="17"/>
  <c r="BH15" i="17"/>
  <c r="BG15" i="17"/>
  <c r="BF15" i="17"/>
  <c r="BE15" i="17"/>
  <c r="BC15" i="17"/>
  <c r="BB15" i="17"/>
  <c r="BA15" i="17"/>
  <c r="AZ15" i="17"/>
  <c r="AY15" i="17"/>
  <c r="AX15" i="17"/>
  <c r="AW15" i="17"/>
  <c r="BD15" i="17" s="1"/>
  <c r="AV15" i="17"/>
  <c r="AU15" i="17"/>
  <c r="AT15" i="17"/>
  <c r="AS15" i="17"/>
  <c r="AQ15" i="17"/>
  <c r="CC15" i="17" s="1"/>
  <c r="AP15" i="17"/>
  <c r="AN15" i="17"/>
  <c r="AM15" i="17"/>
  <c r="AL15" i="17"/>
  <c r="AJ15" i="17"/>
  <c r="AI15" i="17"/>
  <c r="AH15" i="17"/>
  <c r="CP14" i="17"/>
  <c r="BX14" i="17"/>
  <c r="BW14" i="17"/>
  <c r="BU14" i="17"/>
  <c r="BT14" i="17"/>
  <c r="BS14" i="17"/>
  <c r="BR14" i="17"/>
  <c r="BQ14" i="17"/>
  <c r="BO14" i="17"/>
  <c r="BH14" i="17"/>
  <c r="BG14" i="17"/>
  <c r="BF14" i="17"/>
  <c r="BE14" i="17"/>
  <c r="BC14" i="17"/>
  <c r="BB14" i="17"/>
  <c r="BA14" i="17"/>
  <c r="AZ14" i="17"/>
  <c r="AY14" i="17"/>
  <c r="AX14" i="17"/>
  <c r="AW14" i="17"/>
  <c r="AV14" i="17"/>
  <c r="AU14" i="17"/>
  <c r="AT14" i="17"/>
  <c r="AS14" i="17"/>
  <c r="AQ14" i="17"/>
  <c r="CC14" i="17" s="1"/>
  <c r="AP14" i="17"/>
  <c r="AN14" i="17"/>
  <c r="AM14" i="17"/>
  <c r="AL14" i="17"/>
  <c r="AJ14" i="17"/>
  <c r="AI14" i="17"/>
  <c r="AH14" i="17"/>
  <c r="V14" i="17"/>
  <c r="CP13" i="17"/>
  <c r="CC13" i="17"/>
  <c r="CB13" i="17"/>
  <c r="BX13" i="17"/>
  <c r="BW13" i="17"/>
  <c r="BU13" i="17"/>
  <c r="BT13" i="17"/>
  <c r="BS13" i="17"/>
  <c r="BR13" i="17"/>
  <c r="BQ13" i="17"/>
  <c r="BO13" i="17"/>
  <c r="BH13" i="17"/>
  <c r="BG13" i="17"/>
  <c r="BF13" i="17"/>
  <c r="BP13" i="17" s="1"/>
  <c r="BE13" i="17"/>
  <c r="BC13" i="17"/>
  <c r="BB13" i="17"/>
  <c r="BA13" i="17"/>
  <c r="AZ13" i="17"/>
  <c r="AY13" i="17"/>
  <c r="AX13" i="17"/>
  <c r="AW13" i="17"/>
  <c r="AV13" i="17"/>
  <c r="AU13" i="17"/>
  <c r="AT13" i="17"/>
  <c r="AS13" i="17"/>
  <c r="AQ13" i="17"/>
  <c r="AP13" i="17"/>
  <c r="AN13" i="17"/>
  <c r="AM13" i="17"/>
  <c r="AL13" i="17"/>
  <c r="AJ13" i="17"/>
  <c r="AI13" i="17"/>
  <c r="AH13" i="17"/>
  <c r="CT12" i="17"/>
  <c r="CP12" i="17"/>
  <c r="CB12" i="17"/>
  <c r="BT12" i="17"/>
  <c r="BQ12" i="17"/>
  <c r="BO12" i="17"/>
  <c r="BH12" i="17"/>
  <c r="BG12" i="17"/>
  <c r="BF12" i="17"/>
  <c r="BE12" i="17"/>
  <c r="CT11" i="17" s="1"/>
  <c r="BC12" i="17"/>
  <c r="BB12" i="17"/>
  <c r="AZ12" i="17"/>
  <c r="AY12" i="17"/>
  <c r="AX12" i="17"/>
  <c r="AW12" i="17"/>
  <c r="AV12" i="17"/>
  <c r="AU12" i="17"/>
  <c r="AT12" i="17"/>
  <c r="AS12" i="17"/>
  <c r="AQ12" i="17"/>
  <c r="AP12" i="17"/>
  <c r="AN12" i="17"/>
  <c r="AM12" i="17"/>
  <c r="AL12" i="17"/>
  <c r="AJ12" i="17"/>
  <c r="AI12" i="17"/>
  <c r="AH12" i="17"/>
  <c r="CP11" i="17"/>
  <c r="CC11" i="17"/>
  <c r="CB11" i="17"/>
  <c r="BX11" i="17"/>
  <c r="BW11" i="17"/>
  <c r="BU11" i="17"/>
  <c r="BT11" i="17"/>
  <c r="BS11" i="17"/>
  <c r="BR11" i="17"/>
  <c r="BQ11" i="17"/>
  <c r="BO11" i="17"/>
  <c r="BH11" i="17"/>
  <c r="BG11" i="17"/>
  <c r="BF11" i="17"/>
  <c r="BE11" i="17"/>
  <c r="BC11" i="17"/>
  <c r="BB11" i="17"/>
  <c r="BA11" i="17"/>
  <c r="AZ11" i="17"/>
  <c r="AY11" i="17"/>
  <c r="AX11" i="17"/>
  <c r="AW11" i="17"/>
  <c r="AV11" i="17"/>
  <c r="AU11" i="17"/>
  <c r="AT11" i="17"/>
  <c r="AS11" i="17"/>
  <c r="AQ11" i="17"/>
  <c r="AP11" i="17"/>
  <c r="AN11" i="17"/>
  <c r="AM11" i="17"/>
  <c r="AL11" i="17"/>
  <c r="AJ11" i="17"/>
  <c r="AI11" i="17"/>
  <c r="AH11" i="17"/>
  <c r="CP10" i="17"/>
  <c r="CB10" i="17"/>
  <c r="BQ10" i="17"/>
  <c r="BO10" i="17"/>
  <c r="BH10" i="17"/>
  <c r="BG10" i="17"/>
  <c r="BF10" i="17"/>
  <c r="BE10" i="17"/>
  <c r="BC10" i="17"/>
  <c r="BB10" i="17"/>
  <c r="AZ10" i="17"/>
  <c r="AY10" i="17"/>
  <c r="AX10" i="17"/>
  <c r="AW10" i="17"/>
  <c r="AV10" i="17"/>
  <c r="AU10" i="17"/>
  <c r="AT10" i="17"/>
  <c r="AS10" i="17"/>
  <c r="AQ10" i="17"/>
  <c r="CC10" i="17" s="1"/>
  <c r="AP10" i="17"/>
  <c r="AN10" i="17"/>
  <c r="AM10" i="17"/>
  <c r="AJ10" i="17"/>
  <c r="AI10" i="17"/>
  <c r="P6" i="17"/>
  <c r="P5" i="17"/>
  <c r="P4" i="17"/>
  <c r="P3" i="17"/>
  <c r="V2" i="17"/>
  <c r="D141" i="16"/>
  <c r="D117" i="16"/>
  <c r="D114" i="16"/>
  <c r="D106" i="16"/>
  <c r="D100" i="16"/>
  <c r="L95" i="16"/>
  <c r="V94" i="16"/>
  <c r="T94" i="16"/>
  <c r="N90" i="16"/>
  <c r="N89" i="16"/>
  <c r="D151" i="16" s="1"/>
  <c r="R87" i="16"/>
  <c r="F87" i="16"/>
  <c r="N87" i="16" s="1"/>
  <c r="N86" i="16"/>
  <c r="V84" i="16"/>
  <c r="D84" i="16"/>
  <c r="V83" i="16"/>
  <c r="D113" i="16" s="1"/>
  <c r="V82" i="16"/>
  <c r="D112" i="16" s="1"/>
  <c r="N80" i="16"/>
  <c r="L80" i="16"/>
  <c r="F78" i="16"/>
  <c r="V77" i="16"/>
  <c r="V76" i="16"/>
  <c r="F76" i="16"/>
  <c r="V75" i="16"/>
  <c r="F75" i="16"/>
  <c r="V74" i="16"/>
  <c r="N73" i="16"/>
  <c r="V71" i="16"/>
  <c r="N71" i="16"/>
  <c r="N67" i="16"/>
  <c r="K67" i="16"/>
  <c r="K66" i="16"/>
  <c r="D120" i="16" s="1"/>
  <c r="BK94" i="4" s="1"/>
  <c r="K65" i="16"/>
  <c r="K64" i="16"/>
  <c r="D118" i="16" s="1"/>
  <c r="T63" i="16"/>
  <c r="K63" i="16"/>
  <c r="D121" i="16" s="1"/>
  <c r="BK95" i="4" s="1"/>
  <c r="T62" i="16"/>
  <c r="K62" i="16"/>
  <c r="D119" i="16" s="1"/>
  <c r="BK93" i="4" s="1"/>
  <c r="K61" i="16"/>
  <c r="G61" i="16"/>
  <c r="R59" i="16"/>
  <c r="R60" i="16" s="1"/>
  <c r="K59" i="16"/>
  <c r="N59" i="16" s="1"/>
  <c r="R58" i="16"/>
  <c r="F57" i="16"/>
  <c r="R56" i="16"/>
  <c r="T55" i="16"/>
  <c r="R55" i="16"/>
  <c r="R54" i="16"/>
  <c r="R44" i="16" s="1"/>
  <c r="A54" i="16"/>
  <c r="B53" i="16"/>
  <c r="B52" i="16"/>
  <c r="B51" i="16"/>
  <c r="V50" i="16"/>
  <c r="B50" i="16"/>
  <c r="V49" i="16"/>
  <c r="B49" i="16"/>
  <c r="R48" i="16"/>
  <c r="B48" i="16"/>
  <c r="B47" i="16"/>
  <c r="M40" i="16"/>
  <c r="L39" i="16"/>
  <c r="V38" i="16"/>
  <c r="T38" i="16"/>
  <c r="V51" i="16" s="1"/>
  <c r="BN37" i="16"/>
  <c r="BC36" i="16"/>
  <c r="E36" i="16"/>
  <c r="BD35" i="16"/>
  <c r="BD37" i="16" s="1"/>
  <c r="I35" i="16"/>
  <c r="H66" i="16" s="1"/>
  <c r="N66" i="16" s="1"/>
  <c r="AY34" i="16" s="1"/>
  <c r="C35" i="16"/>
  <c r="F82" i="16" s="1"/>
  <c r="A35" i="16"/>
  <c r="DN34" i="16"/>
  <c r="DM34" i="16"/>
  <c r="DL34" i="16"/>
  <c r="DK34" i="16"/>
  <c r="DJ34" i="16"/>
  <c r="BS34" i="16"/>
  <c r="BK34" i="16" s="1"/>
  <c r="BM34" i="16"/>
  <c r="BI34" i="16"/>
  <c r="BH34" i="16"/>
  <c r="BG34" i="16"/>
  <c r="BF34" i="16"/>
  <c r="BE34" i="16"/>
  <c r="BC34" i="16"/>
  <c r="BB34" i="16"/>
  <c r="BA34" i="16"/>
  <c r="AZ34" i="16"/>
  <c r="AX34" i="16"/>
  <c r="AU34" i="16"/>
  <c r="AT34" i="16"/>
  <c r="AS34" i="16"/>
  <c r="AQ34" i="16"/>
  <c r="AP34" i="16"/>
  <c r="AO34" i="16"/>
  <c r="AN34" i="16"/>
  <c r="AM34" i="16"/>
  <c r="AL34" i="16"/>
  <c r="AK34" i="16"/>
  <c r="AJ34" i="16"/>
  <c r="AI34" i="16"/>
  <c r="AH34" i="16"/>
  <c r="AG34" i="16"/>
  <c r="T34" i="16"/>
  <c r="S34" i="16"/>
  <c r="R34" i="16"/>
  <c r="P34" i="16"/>
  <c r="DN33" i="16"/>
  <c r="DM33" i="16"/>
  <c r="DL33" i="16"/>
  <c r="DK33" i="16"/>
  <c r="DJ33" i="16"/>
  <c r="BS33" i="16"/>
  <c r="BM33" i="16"/>
  <c r="BK33" i="16"/>
  <c r="BI33" i="16"/>
  <c r="BH33" i="16"/>
  <c r="BG33" i="16"/>
  <c r="BF33" i="16"/>
  <c r="BE33" i="16"/>
  <c r="BC33" i="16"/>
  <c r="BA33" i="16"/>
  <c r="AZ33" i="16"/>
  <c r="AU33" i="16"/>
  <c r="AT33" i="16"/>
  <c r="AS33" i="16"/>
  <c r="AQ33" i="16"/>
  <c r="AP33" i="16"/>
  <c r="AO33" i="16"/>
  <c r="AN33" i="16"/>
  <c r="AM33" i="16"/>
  <c r="AL33" i="16"/>
  <c r="AK33" i="16"/>
  <c r="AJ33" i="16"/>
  <c r="AI33" i="16"/>
  <c r="AH33" i="16"/>
  <c r="AG33" i="16"/>
  <c r="T33" i="16"/>
  <c r="S33" i="16"/>
  <c r="R33" i="16"/>
  <c r="P33" i="16"/>
  <c r="DN32" i="16"/>
  <c r="DM32" i="16"/>
  <c r="DK32" i="16"/>
  <c r="BS32" i="16"/>
  <c r="BK32" i="16" s="1"/>
  <c r="BM32" i="16"/>
  <c r="BI32" i="16"/>
  <c r="BH32" i="16"/>
  <c r="BG32" i="16"/>
  <c r="BF32" i="16"/>
  <c r="BE32" i="16"/>
  <c r="BC32" i="16"/>
  <c r="BA32" i="16"/>
  <c r="AZ32" i="16"/>
  <c r="AU32" i="16"/>
  <c r="AT32" i="16"/>
  <c r="AS32" i="16"/>
  <c r="AQ32" i="16"/>
  <c r="AP32" i="16"/>
  <c r="AO32" i="16"/>
  <c r="AN32" i="16"/>
  <c r="AM32" i="16"/>
  <c r="AL32" i="16"/>
  <c r="AR32" i="16" s="1"/>
  <c r="AK32" i="16"/>
  <c r="AJ32" i="16"/>
  <c r="AI32" i="16"/>
  <c r="AH32" i="16"/>
  <c r="AG32" i="16"/>
  <c r="T32" i="16"/>
  <c r="S32" i="16"/>
  <c r="R32" i="16"/>
  <c r="P32" i="16"/>
  <c r="BJ32" i="16" s="1"/>
  <c r="DN31" i="16"/>
  <c r="DM31" i="16"/>
  <c r="DK31" i="16"/>
  <c r="BS31" i="16"/>
  <c r="BM31" i="16"/>
  <c r="BK31" i="16"/>
  <c r="BI31" i="16"/>
  <c r="BH31" i="16"/>
  <c r="BG31" i="16"/>
  <c r="BF31" i="16"/>
  <c r="BE31" i="16"/>
  <c r="BC31" i="16"/>
  <c r="BA31" i="16"/>
  <c r="AZ31" i="16"/>
  <c r="AU31" i="16"/>
  <c r="AT31" i="16"/>
  <c r="AS31" i="16"/>
  <c r="AQ31" i="16"/>
  <c r="AP31" i="16"/>
  <c r="AO31" i="16"/>
  <c r="AN31" i="16"/>
  <c r="AM31" i="16"/>
  <c r="AL31" i="16"/>
  <c r="AK31" i="16"/>
  <c r="AJ31" i="16"/>
  <c r="AI31" i="16"/>
  <c r="AH31" i="16"/>
  <c r="AG31" i="16"/>
  <c r="T31" i="16"/>
  <c r="S31" i="16"/>
  <c r="R31" i="16"/>
  <c r="DL31" i="16" s="1"/>
  <c r="P31" i="16"/>
  <c r="DN30" i="16"/>
  <c r="DM30" i="16"/>
  <c r="DL30" i="16"/>
  <c r="DK30" i="16"/>
  <c r="DJ30" i="16"/>
  <c r="BS30" i="16"/>
  <c r="BK30" i="16" s="1"/>
  <c r="BM30" i="16"/>
  <c r="BI30" i="16"/>
  <c r="BH30" i="16"/>
  <c r="BG30" i="16"/>
  <c r="BF30" i="16"/>
  <c r="BE30" i="16"/>
  <c r="BC30" i="16"/>
  <c r="BB30" i="16"/>
  <c r="BA30" i="16"/>
  <c r="AZ30" i="16"/>
  <c r="AX30" i="16"/>
  <c r="AU30" i="16"/>
  <c r="AT30" i="16"/>
  <c r="AS30" i="16"/>
  <c r="AR30" i="16"/>
  <c r="AQ30" i="16"/>
  <c r="AP30" i="16"/>
  <c r="AO30" i="16"/>
  <c r="AN30" i="16"/>
  <c r="AM30" i="16"/>
  <c r="AL30" i="16"/>
  <c r="AK30" i="16"/>
  <c r="AJ30" i="16"/>
  <c r="AI30" i="16"/>
  <c r="AH30" i="16"/>
  <c r="AG30" i="16"/>
  <c r="T30" i="16"/>
  <c r="S30" i="16"/>
  <c r="R30" i="16"/>
  <c r="P30" i="16"/>
  <c r="DN29" i="16"/>
  <c r="DM29" i="16"/>
  <c r="DL29" i="16"/>
  <c r="DK29" i="16"/>
  <c r="DJ29" i="16"/>
  <c r="BS29" i="16"/>
  <c r="BM29" i="16"/>
  <c r="BK29" i="16"/>
  <c r="BI29" i="16"/>
  <c r="BH29" i="16"/>
  <c r="BG29" i="16"/>
  <c r="BF29" i="16"/>
  <c r="BE29" i="16"/>
  <c r="BC29" i="16"/>
  <c r="BB29" i="16"/>
  <c r="BA29" i="16"/>
  <c r="AZ29" i="16"/>
  <c r="AY29" i="16"/>
  <c r="AU29" i="16"/>
  <c r="AT29" i="16"/>
  <c r="AS29" i="16"/>
  <c r="AQ29" i="16"/>
  <c r="AP29" i="16"/>
  <c r="AO29" i="16"/>
  <c r="AN29" i="16"/>
  <c r="AM29" i="16"/>
  <c r="AL29" i="16"/>
  <c r="AK29" i="16"/>
  <c r="AJ29" i="16"/>
  <c r="AI29" i="16"/>
  <c r="AH29" i="16"/>
  <c r="AG29" i="16"/>
  <c r="T29" i="16"/>
  <c r="S29" i="16"/>
  <c r="R29" i="16"/>
  <c r="P29" i="16"/>
  <c r="DN28" i="16"/>
  <c r="DM28" i="16"/>
  <c r="DL28" i="16"/>
  <c r="DK28" i="16"/>
  <c r="DJ28" i="16"/>
  <c r="BS28" i="16"/>
  <c r="BK28" i="16" s="1"/>
  <c r="BM28" i="16"/>
  <c r="BI28" i="16"/>
  <c r="BH28" i="16"/>
  <c r="BG28" i="16"/>
  <c r="BF28" i="16"/>
  <c r="BE28" i="16"/>
  <c r="BC28" i="16"/>
  <c r="BA28" i="16"/>
  <c r="AZ28" i="16"/>
  <c r="AY28" i="16"/>
  <c r="AU28" i="16"/>
  <c r="AT28" i="16"/>
  <c r="AS28" i="16"/>
  <c r="AQ28" i="16"/>
  <c r="AP28" i="16"/>
  <c r="AO28" i="16"/>
  <c r="AN28" i="16"/>
  <c r="AM28" i="16"/>
  <c r="AL28" i="16"/>
  <c r="AK28" i="16"/>
  <c r="AJ28" i="16"/>
  <c r="AI28" i="16"/>
  <c r="AH28" i="16"/>
  <c r="AG28" i="16"/>
  <c r="T28" i="16"/>
  <c r="S28" i="16"/>
  <c r="R28" i="16"/>
  <c r="P28" i="16"/>
  <c r="DN27" i="16"/>
  <c r="DM27" i="16"/>
  <c r="DL27" i="16"/>
  <c r="DK27" i="16"/>
  <c r="DJ27" i="16"/>
  <c r="BS27" i="16"/>
  <c r="BK27" i="16" s="1"/>
  <c r="BM27" i="16"/>
  <c r="BI27" i="16"/>
  <c r="BH27" i="16"/>
  <c r="BG27" i="16"/>
  <c r="BF27" i="16"/>
  <c r="BE27" i="16"/>
  <c r="BC27" i="16"/>
  <c r="BB27" i="16"/>
  <c r="BA27" i="16"/>
  <c r="AZ27" i="16"/>
  <c r="AY27" i="16"/>
  <c r="AU27" i="16"/>
  <c r="AT27" i="16"/>
  <c r="AS27" i="16"/>
  <c r="AQ27" i="16"/>
  <c r="AP27" i="16"/>
  <c r="AO27" i="16"/>
  <c r="AN27" i="16"/>
  <c r="AM27" i="16"/>
  <c r="AL27" i="16"/>
  <c r="AK27" i="16"/>
  <c r="AJ27" i="16"/>
  <c r="AR27" i="16" s="1"/>
  <c r="AI27" i="16"/>
  <c r="AH27" i="16"/>
  <c r="AG27" i="16"/>
  <c r="T27" i="16"/>
  <c r="S27" i="16"/>
  <c r="R27" i="16"/>
  <c r="P27" i="16"/>
  <c r="DN26" i="16"/>
  <c r="DM26" i="16"/>
  <c r="DK26" i="16"/>
  <c r="DJ26" i="16"/>
  <c r="BS26" i="16"/>
  <c r="BM26" i="16"/>
  <c r="BK26" i="16"/>
  <c r="BI26" i="16"/>
  <c r="BH26" i="16"/>
  <c r="BG26" i="16"/>
  <c r="BF26" i="16"/>
  <c r="BE26" i="16"/>
  <c r="BC26" i="16"/>
  <c r="BB26" i="16"/>
  <c r="BA26" i="16"/>
  <c r="AZ26" i="16"/>
  <c r="AY26" i="16"/>
  <c r="AX26" i="16"/>
  <c r="AU26" i="16"/>
  <c r="AT26" i="16"/>
  <c r="AS26" i="16"/>
  <c r="AQ26" i="16"/>
  <c r="AP26" i="16"/>
  <c r="AO26" i="16"/>
  <c r="AN26" i="16"/>
  <c r="AM26" i="16"/>
  <c r="AL26" i="16"/>
  <c r="AK26" i="16"/>
  <c r="AJ26" i="16"/>
  <c r="AI26" i="16"/>
  <c r="AH26" i="16"/>
  <c r="AG26" i="16"/>
  <c r="T26" i="16"/>
  <c r="S26" i="16"/>
  <c r="R26" i="16"/>
  <c r="DL26" i="16" s="1"/>
  <c r="P26" i="16"/>
  <c r="DN25" i="16"/>
  <c r="DM25" i="16"/>
  <c r="DK25" i="16"/>
  <c r="DJ25" i="16"/>
  <c r="BS25" i="16"/>
  <c r="BK25" i="16" s="1"/>
  <c r="BM25" i="16"/>
  <c r="BI25" i="16"/>
  <c r="BH25" i="16"/>
  <c r="BG25" i="16"/>
  <c r="BF25" i="16"/>
  <c r="BE25" i="16"/>
  <c r="BC25" i="16"/>
  <c r="BA25" i="16"/>
  <c r="AZ25" i="16"/>
  <c r="AY25" i="16"/>
  <c r="AU25" i="16"/>
  <c r="AT25" i="16"/>
  <c r="AS25" i="16"/>
  <c r="AQ25" i="16"/>
  <c r="AP25" i="16"/>
  <c r="AO25" i="16"/>
  <c r="AN25" i="16"/>
  <c r="AM25" i="16"/>
  <c r="AL25" i="16"/>
  <c r="AK25" i="16"/>
  <c r="AJ25" i="16"/>
  <c r="AI25" i="16"/>
  <c r="AH25" i="16"/>
  <c r="AG25" i="16"/>
  <c r="T25" i="16"/>
  <c r="S25" i="16"/>
  <c r="R25" i="16"/>
  <c r="P25" i="16"/>
  <c r="DN24" i="16"/>
  <c r="DM24" i="16"/>
  <c r="DL24" i="16"/>
  <c r="DK24" i="16"/>
  <c r="DJ24" i="16"/>
  <c r="BS24" i="16"/>
  <c r="BK24" i="16" s="1"/>
  <c r="BM24" i="16"/>
  <c r="BI24" i="16"/>
  <c r="BH24" i="16"/>
  <c r="BG24" i="16"/>
  <c r="BF24" i="16"/>
  <c r="BE24" i="16"/>
  <c r="BC24" i="16"/>
  <c r="BB24" i="16"/>
  <c r="BA24" i="16"/>
  <c r="AZ24" i="16"/>
  <c r="AY24" i="16"/>
  <c r="AU24" i="16"/>
  <c r="AT24" i="16"/>
  <c r="AS24" i="16"/>
  <c r="AQ24" i="16"/>
  <c r="AP24" i="16"/>
  <c r="AO24" i="16"/>
  <c r="AN24" i="16"/>
  <c r="AM24" i="16"/>
  <c r="AL24" i="16"/>
  <c r="AK24" i="16"/>
  <c r="AJ24" i="16"/>
  <c r="AI24" i="16"/>
  <c r="AH24" i="16"/>
  <c r="AG24" i="16"/>
  <c r="T24" i="16"/>
  <c r="S24" i="16"/>
  <c r="R24" i="16"/>
  <c r="P24" i="16"/>
  <c r="DN23" i="16"/>
  <c r="DM23" i="16"/>
  <c r="DK23" i="16"/>
  <c r="DJ23" i="16"/>
  <c r="BS23" i="16"/>
  <c r="BK23" i="16" s="1"/>
  <c r="BM23" i="16"/>
  <c r="BI23" i="16"/>
  <c r="BH23" i="16"/>
  <c r="BG23" i="16"/>
  <c r="BF23" i="16"/>
  <c r="BE23" i="16"/>
  <c r="BC23" i="16"/>
  <c r="BB23" i="16"/>
  <c r="BA23" i="16"/>
  <c r="AZ23" i="16"/>
  <c r="AY23" i="16"/>
  <c r="AU23" i="16"/>
  <c r="AT23" i="16"/>
  <c r="AS23" i="16"/>
  <c r="AR23" i="16"/>
  <c r="AQ23" i="16"/>
  <c r="AP23" i="16"/>
  <c r="AO23" i="16"/>
  <c r="AN23" i="16"/>
  <c r="AM23" i="16"/>
  <c r="AL23" i="16"/>
  <c r="AK23" i="16"/>
  <c r="AJ23" i="16"/>
  <c r="AI23" i="16"/>
  <c r="AH23" i="16"/>
  <c r="AG23" i="16"/>
  <c r="T23" i="16"/>
  <c r="S23" i="16"/>
  <c r="R23" i="16"/>
  <c r="DL23" i="16" s="1"/>
  <c r="P23" i="16"/>
  <c r="DN22" i="16"/>
  <c r="DM22" i="16"/>
  <c r="DK22" i="16"/>
  <c r="DJ22" i="16"/>
  <c r="BS22" i="16"/>
  <c r="BM22" i="16"/>
  <c r="BK22" i="16"/>
  <c r="BI22" i="16"/>
  <c r="BH22" i="16"/>
  <c r="BG22" i="16"/>
  <c r="BF22" i="16"/>
  <c r="BE22" i="16"/>
  <c r="BC22" i="16"/>
  <c r="BB22" i="16"/>
  <c r="BA22" i="16"/>
  <c r="AZ22" i="16"/>
  <c r="AU22" i="16"/>
  <c r="AT22" i="16"/>
  <c r="AS22" i="16"/>
  <c r="AQ22" i="16"/>
  <c r="AP22" i="16"/>
  <c r="AO22" i="16"/>
  <c r="AN22" i="16"/>
  <c r="AM22" i="16"/>
  <c r="AL22" i="16"/>
  <c r="AK22" i="16"/>
  <c r="AJ22" i="16"/>
  <c r="AI22" i="16"/>
  <c r="AH22" i="16"/>
  <c r="AG22" i="16"/>
  <c r="T22" i="16"/>
  <c r="S22" i="16"/>
  <c r="R22" i="16"/>
  <c r="P22" i="16"/>
  <c r="BJ22" i="16" s="1"/>
  <c r="DN21" i="16"/>
  <c r="DM21" i="16"/>
  <c r="DL21" i="16"/>
  <c r="DK21" i="16"/>
  <c r="DJ21" i="16"/>
  <c r="BS21" i="16"/>
  <c r="BK21" i="16" s="1"/>
  <c r="BM21" i="16"/>
  <c r="BI21" i="16"/>
  <c r="BH21" i="16"/>
  <c r="BG21" i="16"/>
  <c r="BF21" i="16"/>
  <c r="BE21" i="16"/>
  <c r="BC21" i="16"/>
  <c r="BB21" i="16"/>
  <c r="BA21" i="16"/>
  <c r="AZ21" i="16"/>
  <c r="AU21" i="16"/>
  <c r="AT21" i="16"/>
  <c r="AS21" i="16"/>
  <c r="AQ21" i="16"/>
  <c r="AP21" i="16"/>
  <c r="AO21" i="16"/>
  <c r="AN21" i="16"/>
  <c r="AM21" i="16"/>
  <c r="AL21" i="16"/>
  <c r="AK21" i="16"/>
  <c r="AJ21" i="16"/>
  <c r="AI21" i="16"/>
  <c r="AH21" i="16"/>
  <c r="AG21" i="16"/>
  <c r="T21" i="16"/>
  <c r="S21" i="16"/>
  <c r="R21" i="16"/>
  <c r="P21" i="16"/>
  <c r="BJ21" i="16" s="1"/>
  <c r="DN20" i="16"/>
  <c r="DM20" i="16"/>
  <c r="DL20" i="16"/>
  <c r="DK20" i="16"/>
  <c r="DJ20" i="16"/>
  <c r="BS20" i="16"/>
  <c r="BK20" i="16" s="1"/>
  <c r="BM20" i="16"/>
  <c r="BI20" i="16"/>
  <c r="BH20" i="16"/>
  <c r="BG20" i="16"/>
  <c r="BF20" i="16"/>
  <c r="BE20" i="16"/>
  <c r="BC20" i="16"/>
  <c r="BB20" i="16"/>
  <c r="BA20" i="16"/>
  <c r="AZ20" i="16"/>
  <c r="AU20" i="16"/>
  <c r="AT20" i="16"/>
  <c r="AS20" i="16"/>
  <c r="AQ20" i="16"/>
  <c r="AP20" i="16"/>
  <c r="AO20" i="16"/>
  <c r="AN20" i="16"/>
  <c r="AM20" i="16"/>
  <c r="AL20" i="16"/>
  <c r="AK20" i="16"/>
  <c r="AJ20" i="16"/>
  <c r="AI20" i="16"/>
  <c r="AH20" i="16"/>
  <c r="AG20" i="16"/>
  <c r="T20" i="16"/>
  <c r="S20" i="16"/>
  <c r="R20" i="16"/>
  <c r="P20" i="16"/>
  <c r="BJ20" i="16" s="1"/>
  <c r="DN19" i="16"/>
  <c r="DM19" i="16"/>
  <c r="DL19" i="16"/>
  <c r="DK19" i="16"/>
  <c r="DJ19" i="16"/>
  <c r="BS19" i="16"/>
  <c r="BM19" i="16"/>
  <c r="BI19" i="16"/>
  <c r="BH19" i="16"/>
  <c r="BG19" i="16"/>
  <c r="BF19" i="16"/>
  <c r="BE19" i="16"/>
  <c r="BC19" i="16"/>
  <c r="BA19" i="16"/>
  <c r="AZ19" i="16"/>
  <c r="AY19" i="16"/>
  <c r="AX19" i="16"/>
  <c r="AU19" i="16"/>
  <c r="AT19" i="16"/>
  <c r="AS19" i="16"/>
  <c r="AQ19" i="16"/>
  <c r="AP19" i="16"/>
  <c r="AO19" i="16"/>
  <c r="AN19" i="16"/>
  <c r="AM19" i="16"/>
  <c r="AL19" i="16"/>
  <c r="AK19" i="16"/>
  <c r="AJ19" i="16"/>
  <c r="AI19" i="16"/>
  <c r="AH19" i="16"/>
  <c r="AG19" i="16"/>
  <c r="T19" i="16"/>
  <c r="S19" i="16"/>
  <c r="R19" i="16"/>
  <c r="BB19" i="16" s="1"/>
  <c r="P19" i="16"/>
  <c r="DN18" i="16"/>
  <c r="DM18" i="16"/>
  <c r="DL18" i="16"/>
  <c r="DK18" i="16"/>
  <c r="DJ18" i="16"/>
  <c r="BS18" i="16"/>
  <c r="BK18" i="16" s="1"/>
  <c r="BM18" i="16"/>
  <c r="BI18" i="16"/>
  <c r="BH18" i="16"/>
  <c r="BG18" i="16"/>
  <c r="BF18" i="16"/>
  <c r="BE18" i="16"/>
  <c r="BC18" i="16"/>
  <c r="BB18" i="16"/>
  <c r="BA18" i="16"/>
  <c r="AZ18" i="16"/>
  <c r="AY18" i="16"/>
  <c r="AX18" i="16"/>
  <c r="AU18" i="16"/>
  <c r="AT18" i="16"/>
  <c r="AS18" i="16"/>
  <c r="AR18" i="16"/>
  <c r="AQ18" i="16"/>
  <c r="AP18" i="16"/>
  <c r="AO18" i="16"/>
  <c r="AN18" i="16"/>
  <c r="AM18" i="16"/>
  <c r="AL18" i="16"/>
  <c r="AK18" i="16"/>
  <c r="AJ18" i="16"/>
  <c r="AI18" i="16"/>
  <c r="AH18" i="16"/>
  <c r="AG18" i="16"/>
  <c r="T18" i="16"/>
  <c r="S18" i="16"/>
  <c r="R18" i="16"/>
  <c r="P18" i="16"/>
  <c r="DN17" i="16"/>
  <c r="DM17" i="16"/>
  <c r="DL17" i="16"/>
  <c r="DK17" i="16"/>
  <c r="DJ17" i="16"/>
  <c r="BS17" i="16"/>
  <c r="BM17" i="16"/>
  <c r="BK17" i="16"/>
  <c r="BI17" i="16"/>
  <c r="BH17" i="16"/>
  <c r="BG17" i="16"/>
  <c r="BF17" i="16"/>
  <c r="BE17" i="16"/>
  <c r="BC17" i="16"/>
  <c r="BB17" i="16"/>
  <c r="BA17" i="16"/>
  <c r="AZ17" i="16"/>
  <c r="AY17" i="16"/>
  <c r="AX17" i="16"/>
  <c r="AU17" i="16"/>
  <c r="AT17" i="16"/>
  <c r="AS17" i="16"/>
  <c r="AQ17" i="16"/>
  <c r="AP17" i="16"/>
  <c r="AO17" i="16"/>
  <c r="AN17" i="16"/>
  <c r="AM17" i="16"/>
  <c r="AL17" i="16"/>
  <c r="AK17" i="16"/>
  <c r="AJ17" i="16"/>
  <c r="AI17" i="16"/>
  <c r="AH17" i="16"/>
  <c r="AG17" i="16"/>
  <c r="T17" i="16"/>
  <c r="S17" i="16"/>
  <c r="R17" i="16"/>
  <c r="P17" i="16"/>
  <c r="DN16" i="16"/>
  <c r="DM16" i="16"/>
  <c r="DL16" i="16"/>
  <c r="DK16" i="16"/>
  <c r="DJ16" i="16"/>
  <c r="BS16" i="16"/>
  <c r="BM16" i="16"/>
  <c r="BK16" i="16"/>
  <c r="BI16" i="16"/>
  <c r="BH16" i="16"/>
  <c r="BG16" i="16"/>
  <c r="BF16" i="16"/>
  <c r="BE16" i="16"/>
  <c r="BC16" i="16"/>
  <c r="BA16" i="16"/>
  <c r="AZ16" i="16"/>
  <c r="AY16" i="16"/>
  <c r="AU16" i="16"/>
  <c r="AT16" i="16"/>
  <c r="AS16" i="16"/>
  <c r="AQ16" i="16"/>
  <c r="AP16" i="16"/>
  <c r="AO16" i="16"/>
  <c r="AN16" i="16"/>
  <c r="AM16" i="16"/>
  <c r="AL16" i="16"/>
  <c r="AK16" i="16"/>
  <c r="AJ16" i="16"/>
  <c r="AI16" i="16"/>
  <c r="AH16" i="16"/>
  <c r="AG16" i="16"/>
  <c r="T16" i="16"/>
  <c r="S16" i="16"/>
  <c r="R16" i="16"/>
  <c r="P16" i="16"/>
  <c r="DN15" i="16"/>
  <c r="DM15" i="16"/>
  <c r="DL15" i="16"/>
  <c r="DK15" i="16"/>
  <c r="DJ15" i="16"/>
  <c r="BS15" i="16"/>
  <c r="BM15" i="16"/>
  <c r="BK15" i="16"/>
  <c r="BI15" i="16"/>
  <c r="BH15" i="16"/>
  <c r="BG15" i="16"/>
  <c r="BF15" i="16"/>
  <c r="BE15" i="16"/>
  <c r="BC15" i="16"/>
  <c r="BB15" i="16"/>
  <c r="BA15" i="16"/>
  <c r="AZ15" i="16"/>
  <c r="AY15" i="16"/>
  <c r="AU15" i="16"/>
  <c r="AT15" i="16"/>
  <c r="AS15" i="16"/>
  <c r="AQ15" i="16"/>
  <c r="AP15" i="16"/>
  <c r="AO15" i="16"/>
  <c r="AN15" i="16"/>
  <c r="AM15" i="16"/>
  <c r="AL15" i="16"/>
  <c r="AK15" i="16"/>
  <c r="AJ15" i="16"/>
  <c r="AI15" i="16"/>
  <c r="AR15" i="16" s="1"/>
  <c r="AH15" i="16"/>
  <c r="AG15" i="16"/>
  <c r="T15" i="16"/>
  <c r="S15" i="16"/>
  <c r="R15" i="16"/>
  <c r="P15" i="16"/>
  <c r="DN14" i="16"/>
  <c r="DM14" i="16"/>
  <c r="DK14" i="16"/>
  <c r="DJ14" i="16"/>
  <c r="BS14" i="16"/>
  <c r="BM14" i="16"/>
  <c r="BK14" i="16"/>
  <c r="BI14" i="16"/>
  <c r="BH14" i="16"/>
  <c r="BG14" i="16"/>
  <c r="BF14" i="16"/>
  <c r="BE14" i="16"/>
  <c r="BC14" i="16"/>
  <c r="BB14" i="16"/>
  <c r="BA14" i="16"/>
  <c r="AZ14" i="16"/>
  <c r="AY14" i="16"/>
  <c r="AU14" i="16"/>
  <c r="AT14" i="16"/>
  <c r="AS14" i="16"/>
  <c r="AQ14" i="16"/>
  <c r="AP14" i="16"/>
  <c r="AO14" i="16"/>
  <c r="AN14" i="16"/>
  <c r="AM14" i="16"/>
  <c r="AL14" i="16"/>
  <c r="AK14" i="16"/>
  <c r="AJ14" i="16"/>
  <c r="AI14" i="16"/>
  <c r="AH14" i="16"/>
  <c r="AG14" i="16"/>
  <c r="T14" i="16"/>
  <c r="S14" i="16"/>
  <c r="R14" i="16"/>
  <c r="P14" i="16"/>
  <c r="DN13" i="16"/>
  <c r="DM13" i="16"/>
  <c r="DL13" i="16"/>
  <c r="DK13" i="16"/>
  <c r="DJ13" i="16"/>
  <c r="BS13" i="16"/>
  <c r="BM13" i="16"/>
  <c r="BK13" i="16"/>
  <c r="BI13" i="16"/>
  <c r="BH13" i="16"/>
  <c r="BG13" i="16"/>
  <c r="BF13" i="16"/>
  <c r="BE13" i="16"/>
  <c r="BC13" i="16"/>
  <c r="BA13" i="16"/>
  <c r="AZ13" i="16"/>
  <c r="AY13" i="16"/>
  <c r="AU13" i="16"/>
  <c r="AT13" i="16"/>
  <c r="AS13" i="16"/>
  <c r="AQ13" i="16"/>
  <c r="AP13" i="16"/>
  <c r="AO13" i="16"/>
  <c r="AN13" i="16"/>
  <c r="AM13" i="16"/>
  <c r="AL13" i="16"/>
  <c r="AK13" i="16"/>
  <c r="AJ13" i="16"/>
  <c r="AI13" i="16"/>
  <c r="AH13" i="16"/>
  <c r="AG13" i="16"/>
  <c r="T13" i="16"/>
  <c r="S13" i="16"/>
  <c r="R13" i="16"/>
  <c r="BB13" i="16" s="1"/>
  <c r="P13" i="16"/>
  <c r="DN12" i="16"/>
  <c r="DM12" i="16"/>
  <c r="DK12" i="16"/>
  <c r="DJ12" i="16"/>
  <c r="BS12" i="16"/>
  <c r="BK12" i="16" s="1"/>
  <c r="BM12" i="16"/>
  <c r="BJ12" i="16"/>
  <c r="BE12" i="16"/>
  <c r="BC12" i="16"/>
  <c r="BA12" i="16"/>
  <c r="AZ12" i="16"/>
  <c r="AY12" i="16"/>
  <c r="AU12" i="16"/>
  <c r="AT12" i="16"/>
  <c r="AS12" i="16"/>
  <c r="AQ12" i="16"/>
  <c r="AP12" i="16"/>
  <c r="AO12" i="16"/>
  <c r="AN12" i="16"/>
  <c r="AM12" i="16"/>
  <c r="AL12" i="16"/>
  <c r="AK12" i="16"/>
  <c r="AI12" i="16"/>
  <c r="AH12" i="16"/>
  <c r="AG12" i="16"/>
  <c r="S12" i="16"/>
  <c r="AJ12" i="16" s="1"/>
  <c r="R12" i="16"/>
  <c r="DL12" i="16" s="1"/>
  <c r="P12" i="16"/>
  <c r="DN11" i="16"/>
  <c r="DM11" i="16"/>
  <c r="DK11" i="16"/>
  <c r="DJ11" i="16"/>
  <c r="BS11" i="16"/>
  <c r="BK11" i="16" s="1"/>
  <c r="BM11" i="16"/>
  <c r="BE11" i="16"/>
  <c r="BC11" i="16"/>
  <c r="BA11" i="16"/>
  <c r="AZ11" i="16"/>
  <c r="AY11" i="16"/>
  <c r="AU11" i="16"/>
  <c r="AT11" i="16"/>
  <c r="AS11" i="16"/>
  <c r="AQ11" i="16"/>
  <c r="AP11" i="16"/>
  <c r="AO11" i="16"/>
  <c r="AN11" i="16"/>
  <c r="AM11" i="16"/>
  <c r="AL11" i="16"/>
  <c r="AK11" i="16"/>
  <c r="AI11" i="16"/>
  <c r="AH11" i="16"/>
  <c r="AG11" i="16"/>
  <c r="S11" i="16"/>
  <c r="AJ11" i="16" s="1"/>
  <c r="R11" i="16"/>
  <c r="DL11" i="16" s="1"/>
  <c r="P11" i="16"/>
  <c r="DN10" i="16"/>
  <c r="DM10" i="16"/>
  <c r="DK10" i="16"/>
  <c r="DJ10" i="16"/>
  <c r="BS10" i="16"/>
  <c r="BK10" i="16" s="1"/>
  <c r="BM10" i="16"/>
  <c r="BE10" i="16"/>
  <c r="BC10" i="16"/>
  <c r="BA10" i="16"/>
  <c r="BA35" i="16" s="1"/>
  <c r="AZ10" i="16"/>
  <c r="AY10" i="16"/>
  <c r="AU10" i="16"/>
  <c r="AT10" i="16"/>
  <c r="AS10" i="16"/>
  <c r="AQ10" i="16"/>
  <c r="AP10" i="16"/>
  <c r="AO10" i="16"/>
  <c r="AN10" i="16"/>
  <c r="AM10" i="16"/>
  <c r="AL10" i="16"/>
  <c r="AK10" i="16"/>
  <c r="AI10" i="16"/>
  <c r="AH10" i="16"/>
  <c r="AG10" i="16"/>
  <c r="S10" i="16"/>
  <c r="AJ10" i="16" s="1"/>
  <c r="R10" i="16"/>
  <c r="BB10" i="16" s="1"/>
  <c r="P10" i="16"/>
  <c r="BS9" i="16"/>
  <c r="BC9" i="16"/>
  <c r="BC6" i="16"/>
  <c r="P6" i="16"/>
  <c r="P5" i="16"/>
  <c r="P4" i="16"/>
  <c r="P3" i="16"/>
  <c r="U2" i="16"/>
  <c r="D172" i="15"/>
  <c r="D171" i="15"/>
  <c r="D161" i="15"/>
  <c r="D160" i="15"/>
  <c r="D122" i="15"/>
  <c r="L113" i="15"/>
  <c r="T112" i="15"/>
  <c r="D110" i="15"/>
  <c r="N109" i="15"/>
  <c r="U108" i="15"/>
  <c r="W108" i="15" s="1"/>
  <c r="S108" i="15"/>
  <c r="N108" i="15"/>
  <c r="D146" i="15" s="1"/>
  <c r="N107" i="15"/>
  <c r="N106" i="15"/>
  <c r="D147" i="15" s="1"/>
  <c r="N105" i="15"/>
  <c r="W103" i="15"/>
  <c r="U103" i="15"/>
  <c r="W102" i="15"/>
  <c r="D134" i="15" s="1"/>
  <c r="W101" i="15"/>
  <c r="D133" i="15" s="1"/>
  <c r="W100" i="15"/>
  <c r="D132" i="15" s="1"/>
  <c r="F100" i="15"/>
  <c r="W98" i="15"/>
  <c r="F98" i="15"/>
  <c r="U97" i="15"/>
  <c r="F97" i="15"/>
  <c r="W96" i="15"/>
  <c r="W95" i="15"/>
  <c r="W94" i="15"/>
  <c r="W93" i="15"/>
  <c r="U93" i="15"/>
  <c r="W90" i="15"/>
  <c r="W89" i="15"/>
  <c r="N89" i="15"/>
  <c r="K89" i="15"/>
  <c r="W88" i="15"/>
  <c r="N88" i="15"/>
  <c r="K88" i="15"/>
  <c r="U87" i="15"/>
  <c r="W87" i="15" s="1"/>
  <c r="K87" i="15"/>
  <c r="W86" i="15"/>
  <c r="K86" i="15"/>
  <c r="W85" i="15"/>
  <c r="K85" i="15"/>
  <c r="D141" i="15" s="1"/>
  <c r="AY95" i="4" s="1"/>
  <c r="W84" i="15"/>
  <c r="K84" i="15"/>
  <c r="D139" i="15" s="1"/>
  <c r="W83" i="15"/>
  <c r="K83" i="15"/>
  <c r="G83" i="15"/>
  <c r="W82" i="15"/>
  <c r="U82" i="15"/>
  <c r="K82" i="15"/>
  <c r="U81" i="15"/>
  <c r="S81" i="15"/>
  <c r="N74" i="15" s="1"/>
  <c r="D126" i="15" s="1"/>
  <c r="U80" i="15"/>
  <c r="S80" i="15"/>
  <c r="S79" i="15"/>
  <c r="K79" i="15"/>
  <c r="N79" i="15" s="1"/>
  <c r="AB78" i="15"/>
  <c r="AA78" i="15"/>
  <c r="K78" i="15"/>
  <c r="N78" i="15" s="1"/>
  <c r="AA77" i="15"/>
  <c r="AB77" i="15" s="1"/>
  <c r="N77" i="15"/>
  <c r="AA76" i="15"/>
  <c r="AB76" i="15" s="1"/>
  <c r="N76" i="15"/>
  <c r="D123" i="15" s="1"/>
  <c r="AA75" i="15"/>
  <c r="AB75" i="15" s="1"/>
  <c r="N75" i="15"/>
  <c r="K75" i="15"/>
  <c r="F75" i="15"/>
  <c r="AA74" i="15"/>
  <c r="AB74" i="15" s="1"/>
  <c r="AB73" i="15"/>
  <c r="AA73" i="15"/>
  <c r="S73" i="15"/>
  <c r="F73" i="15"/>
  <c r="N73" i="15" s="1"/>
  <c r="AA72" i="15"/>
  <c r="AB72" i="15" s="1"/>
  <c r="F72" i="15"/>
  <c r="BE21" i="15" s="1"/>
  <c r="A72" i="15"/>
  <c r="AB71" i="15"/>
  <c r="AA71" i="15"/>
  <c r="S71" i="15"/>
  <c r="B71" i="15"/>
  <c r="AA70" i="15"/>
  <c r="AB70" i="15" s="1"/>
  <c r="B70" i="15"/>
  <c r="AB69" i="15"/>
  <c r="AA69" i="15"/>
  <c r="W69" i="15"/>
  <c r="B69" i="15"/>
  <c r="AA68" i="15"/>
  <c r="AB68" i="15" s="1"/>
  <c r="B68" i="15"/>
  <c r="AB67" i="15"/>
  <c r="AA67" i="15"/>
  <c r="W67" i="15"/>
  <c r="U67" i="15"/>
  <c r="B67" i="15"/>
  <c r="U63" i="15"/>
  <c r="AB62" i="15"/>
  <c r="U62" i="15"/>
  <c r="AB61" i="15"/>
  <c r="M59" i="15"/>
  <c r="L58" i="15"/>
  <c r="V57" i="15"/>
  <c r="W80" i="15" s="1"/>
  <c r="T57" i="15"/>
  <c r="BK55" i="15"/>
  <c r="AA55" i="15"/>
  <c r="Z55" i="15"/>
  <c r="Y55" i="15"/>
  <c r="X55" i="15"/>
  <c r="BD54" i="15"/>
  <c r="BC54" i="15"/>
  <c r="BB54" i="15"/>
  <c r="AA54" i="15"/>
  <c r="Z54" i="15"/>
  <c r="Y54" i="15"/>
  <c r="X54" i="15"/>
  <c r="D54" i="15"/>
  <c r="BK49" i="15" s="1"/>
  <c r="BJ53" i="15"/>
  <c r="BE53" i="15"/>
  <c r="BA53" i="15"/>
  <c r="AZ53" i="15"/>
  <c r="AY53" i="15"/>
  <c r="AW53" i="15"/>
  <c r="AV53" i="15"/>
  <c r="AU53" i="15"/>
  <c r="AT53" i="15"/>
  <c r="AS53" i="15"/>
  <c r="AR53" i="15"/>
  <c r="AX53" i="15" s="1"/>
  <c r="AQ53" i="15"/>
  <c r="AP53" i="15"/>
  <c r="AO53" i="15"/>
  <c r="AN53" i="15"/>
  <c r="AA53" i="15"/>
  <c r="Y53" i="15"/>
  <c r="X53" i="15"/>
  <c r="W53" i="15"/>
  <c r="V53" i="15"/>
  <c r="BP53" i="15" s="1"/>
  <c r="U53" i="15"/>
  <c r="T53" i="15"/>
  <c r="BK52" i="15"/>
  <c r="BJ52" i="15"/>
  <c r="BE52" i="15"/>
  <c r="BA52" i="15"/>
  <c r="AZ52" i="15"/>
  <c r="AY52" i="15"/>
  <c r="AX52" i="15"/>
  <c r="AW52" i="15"/>
  <c r="AV52" i="15"/>
  <c r="AU52" i="15"/>
  <c r="AT52" i="15"/>
  <c r="AS52" i="15"/>
  <c r="AR52" i="15"/>
  <c r="AQ52" i="15"/>
  <c r="AP52" i="15"/>
  <c r="AO52" i="15"/>
  <c r="AN52" i="15"/>
  <c r="AA52" i="15"/>
  <c r="Y52" i="15"/>
  <c r="X52" i="15"/>
  <c r="W52" i="15"/>
  <c r="V52" i="15"/>
  <c r="BP52" i="15" s="1"/>
  <c r="U52" i="15"/>
  <c r="T52" i="15"/>
  <c r="BK51" i="15"/>
  <c r="BJ51" i="15"/>
  <c r="BH51" i="15"/>
  <c r="BE51" i="15"/>
  <c r="BA51" i="15"/>
  <c r="AZ51" i="15"/>
  <c r="Z51" i="15" s="1"/>
  <c r="BI51" i="15" s="1"/>
  <c r="AY51" i="15"/>
  <c r="AW51" i="15"/>
  <c r="AV51" i="15"/>
  <c r="AU51" i="15"/>
  <c r="AT51" i="15"/>
  <c r="AS51" i="15"/>
  <c r="AR51" i="15"/>
  <c r="AQ51" i="15"/>
  <c r="AP51" i="15"/>
  <c r="AX51" i="15" s="1"/>
  <c r="AO51" i="15"/>
  <c r="AN51" i="15"/>
  <c r="AA51" i="15"/>
  <c r="X51" i="15"/>
  <c r="W51" i="15"/>
  <c r="V51" i="15"/>
  <c r="BP51" i="15" s="1"/>
  <c r="U51" i="15"/>
  <c r="T51" i="15"/>
  <c r="Y51" i="15" s="1"/>
  <c r="BJ50" i="15"/>
  <c r="BH50" i="15"/>
  <c r="BE50" i="15"/>
  <c r="BA50" i="15"/>
  <c r="AZ50" i="15"/>
  <c r="Z50" i="15" s="1"/>
  <c r="BI50" i="15" s="1"/>
  <c r="AY50" i="15"/>
  <c r="AW50" i="15"/>
  <c r="AV50" i="15"/>
  <c r="AU50" i="15"/>
  <c r="AT50" i="15"/>
  <c r="AS50" i="15"/>
  <c r="AR50" i="15"/>
  <c r="AQ50" i="15"/>
  <c r="AP50" i="15"/>
  <c r="AO50" i="15"/>
  <c r="AN50" i="15"/>
  <c r="AA50" i="15"/>
  <c r="Y50" i="15"/>
  <c r="X50" i="15"/>
  <c r="W50" i="15"/>
  <c r="V50" i="15"/>
  <c r="BP50" i="15" s="1"/>
  <c r="U50" i="15"/>
  <c r="T50" i="15"/>
  <c r="BE49" i="15"/>
  <c r="BA49" i="15"/>
  <c r="AZ49" i="15"/>
  <c r="AW49" i="15"/>
  <c r="AV49" i="15"/>
  <c r="AU49" i="15"/>
  <c r="AT49" i="15"/>
  <c r="AS49" i="15"/>
  <c r="AR49" i="15"/>
  <c r="AQ49" i="15"/>
  <c r="AP49" i="15"/>
  <c r="AO49" i="15"/>
  <c r="AN49" i="15"/>
  <c r="AA49" i="15"/>
  <c r="X49" i="15"/>
  <c r="W49" i="15"/>
  <c r="V49" i="15"/>
  <c r="BP49" i="15" s="1"/>
  <c r="U49" i="15"/>
  <c r="T49" i="15"/>
  <c r="Y49" i="15" s="1"/>
  <c r="BK48" i="15"/>
  <c r="BJ48" i="15"/>
  <c r="BE48" i="15"/>
  <c r="BA48" i="15"/>
  <c r="AZ48" i="15"/>
  <c r="Z48" i="15" s="1"/>
  <c r="BI48" i="15" s="1"/>
  <c r="AY48" i="15"/>
  <c r="AW48" i="15"/>
  <c r="AV48" i="15"/>
  <c r="AU48" i="15"/>
  <c r="AT48" i="15"/>
  <c r="AS48" i="15"/>
  <c r="AR48" i="15"/>
  <c r="AQ48" i="15"/>
  <c r="AP48" i="15"/>
  <c r="AO48" i="15"/>
  <c r="AX48" i="15" s="1"/>
  <c r="AN48" i="15"/>
  <c r="AA48" i="15"/>
  <c r="X48" i="15"/>
  <c r="W48" i="15"/>
  <c r="V48" i="15"/>
  <c r="BP48" i="15" s="1"/>
  <c r="U48" i="15"/>
  <c r="T48" i="15"/>
  <c r="Y48" i="15" s="1"/>
  <c r="BJ47" i="15"/>
  <c r="BE47" i="15"/>
  <c r="BA47" i="15"/>
  <c r="AZ47" i="15"/>
  <c r="Z47" i="15" s="1"/>
  <c r="BI47" i="15" s="1"/>
  <c r="AY47" i="15"/>
  <c r="AX47" i="15"/>
  <c r="AW47" i="15"/>
  <c r="AV47" i="15"/>
  <c r="AU47" i="15"/>
  <c r="AT47" i="15"/>
  <c r="AS47" i="15"/>
  <c r="AR47" i="15"/>
  <c r="AQ47" i="15"/>
  <c r="AP47" i="15"/>
  <c r="AO47" i="15"/>
  <c r="AN47" i="15"/>
  <c r="AA47" i="15"/>
  <c r="Y47" i="15"/>
  <c r="X47" i="15"/>
  <c r="W47" i="15"/>
  <c r="V47" i="15"/>
  <c r="BP47" i="15" s="1"/>
  <c r="U47" i="15"/>
  <c r="T47" i="15"/>
  <c r="BI46" i="15"/>
  <c r="BA46" i="15"/>
  <c r="AZ46" i="15"/>
  <c r="Z46" i="15" s="1"/>
  <c r="AW46" i="15"/>
  <c r="AV46" i="15"/>
  <c r="AU46" i="15"/>
  <c r="AT46" i="15"/>
  <c r="AS46" i="15"/>
  <c r="AX46" i="15" s="1"/>
  <c r="AR46" i="15"/>
  <c r="AQ46" i="15"/>
  <c r="AP46" i="15"/>
  <c r="AO46" i="15"/>
  <c r="AN46" i="15"/>
  <c r="AA46" i="15"/>
  <c r="X46" i="15"/>
  <c r="W46" i="15"/>
  <c r="V46" i="15"/>
  <c r="BP46" i="15" s="1"/>
  <c r="U46" i="15"/>
  <c r="T46" i="15"/>
  <c r="BK45" i="15"/>
  <c r="BJ45" i="15"/>
  <c r="BI45" i="15"/>
  <c r="BE45" i="15"/>
  <c r="BA45" i="15"/>
  <c r="AZ45" i="15"/>
  <c r="Z45" i="15" s="1"/>
  <c r="AY45" i="15"/>
  <c r="AX45" i="15"/>
  <c r="AW45" i="15"/>
  <c r="AV45" i="15"/>
  <c r="AU45" i="15"/>
  <c r="AT45" i="15"/>
  <c r="AS45" i="15"/>
  <c r="AR45" i="15"/>
  <c r="AQ45" i="15"/>
  <c r="AP45" i="15"/>
  <c r="AO45" i="15"/>
  <c r="AN45" i="15"/>
  <c r="AA45" i="15"/>
  <c r="Y45" i="15"/>
  <c r="X45" i="15"/>
  <c r="W45" i="15"/>
  <c r="V45" i="15"/>
  <c r="BP45" i="15" s="1"/>
  <c r="U45" i="15"/>
  <c r="T45" i="15"/>
  <c r="BJ44" i="15"/>
  <c r="BI44" i="15"/>
  <c r="BE44" i="15"/>
  <c r="BA44" i="15"/>
  <c r="AZ44" i="15"/>
  <c r="Z44" i="15" s="1"/>
  <c r="AY44" i="15"/>
  <c r="AW44" i="15"/>
  <c r="AV44" i="15"/>
  <c r="AU44" i="15"/>
  <c r="AT44" i="15"/>
  <c r="AS44" i="15"/>
  <c r="AR44" i="15"/>
  <c r="AQ44" i="15"/>
  <c r="AP44" i="15"/>
  <c r="AO44" i="15"/>
  <c r="AN44" i="15"/>
  <c r="AA44" i="15"/>
  <c r="Y44" i="15"/>
  <c r="X44" i="15"/>
  <c r="W44" i="15"/>
  <c r="V44" i="15"/>
  <c r="BP44" i="15" s="1"/>
  <c r="U44" i="15"/>
  <c r="T44" i="15"/>
  <c r="BI43" i="15"/>
  <c r="BA43" i="15"/>
  <c r="AZ43" i="15"/>
  <c r="AW43" i="15"/>
  <c r="AV43" i="15"/>
  <c r="AU43" i="15"/>
  <c r="AT43" i="15"/>
  <c r="AS43" i="15"/>
  <c r="AR43" i="15"/>
  <c r="AQ43" i="15"/>
  <c r="AP43" i="15"/>
  <c r="AO43" i="15"/>
  <c r="AN43" i="15"/>
  <c r="AA43" i="15"/>
  <c r="Z43" i="15"/>
  <c r="Y43" i="15"/>
  <c r="X43" i="15"/>
  <c r="W43" i="15"/>
  <c r="V43" i="15"/>
  <c r="BP43" i="15" s="1"/>
  <c r="U43" i="15"/>
  <c r="T43" i="15"/>
  <c r="BK42" i="15"/>
  <c r="BI42" i="15"/>
  <c r="BA42" i="15"/>
  <c r="AZ42" i="15"/>
  <c r="Z42" i="15" s="1"/>
  <c r="AW42" i="15"/>
  <c r="AV42" i="15"/>
  <c r="AU42" i="15"/>
  <c r="AT42" i="15"/>
  <c r="AS42" i="15"/>
  <c r="AR42" i="15"/>
  <c r="AQ42" i="15"/>
  <c r="AP42" i="15"/>
  <c r="AO42" i="15"/>
  <c r="AN42" i="15"/>
  <c r="AA42" i="15"/>
  <c r="X42" i="15"/>
  <c r="W42" i="15"/>
  <c r="V42" i="15"/>
  <c r="BP42" i="15" s="1"/>
  <c r="U42" i="15"/>
  <c r="T42" i="15"/>
  <c r="BK41" i="15"/>
  <c r="BJ41" i="15"/>
  <c r="BE41" i="15"/>
  <c r="BA41" i="15"/>
  <c r="AZ41" i="15"/>
  <c r="AW41" i="15"/>
  <c r="AV41" i="15"/>
  <c r="AU41" i="15"/>
  <c r="AT41" i="15"/>
  <c r="AS41" i="15"/>
  <c r="AR41" i="15"/>
  <c r="AQ41" i="15"/>
  <c r="AP41" i="15"/>
  <c r="AO41" i="15"/>
  <c r="AN41" i="15"/>
  <c r="AA41" i="15"/>
  <c r="Z41" i="15"/>
  <c r="BI41" i="15" s="1"/>
  <c r="Y41" i="15"/>
  <c r="X41" i="15"/>
  <c r="W41" i="15"/>
  <c r="V41" i="15"/>
  <c r="BP41" i="15" s="1"/>
  <c r="U41" i="15"/>
  <c r="T41" i="15"/>
  <c r="AY41" i="15" s="1"/>
  <c r="BJ40" i="15"/>
  <c r="BH40" i="15"/>
  <c r="BA40" i="15"/>
  <c r="AZ40" i="15"/>
  <c r="AY40" i="15"/>
  <c r="AW40" i="15"/>
  <c r="AV40" i="15"/>
  <c r="AU40" i="15"/>
  <c r="AT40" i="15"/>
  <c r="AS40" i="15"/>
  <c r="AR40" i="15"/>
  <c r="AQ40" i="15"/>
  <c r="AP40" i="15"/>
  <c r="AO40" i="15"/>
  <c r="AN40" i="15"/>
  <c r="AA40" i="15"/>
  <c r="Z40" i="15"/>
  <c r="BI40" i="15" s="1"/>
  <c r="Y40" i="15"/>
  <c r="X40" i="15"/>
  <c r="W40" i="15"/>
  <c r="V40" i="15"/>
  <c r="BP40" i="15" s="1"/>
  <c r="U40" i="15"/>
  <c r="T40" i="15"/>
  <c r="BJ39" i="15"/>
  <c r="BA39" i="15"/>
  <c r="AZ39" i="15"/>
  <c r="AW39" i="15"/>
  <c r="AV39" i="15"/>
  <c r="AU39" i="15"/>
  <c r="AT39" i="15"/>
  <c r="AS39" i="15"/>
  <c r="AR39" i="15"/>
  <c r="AQ39" i="15"/>
  <c r="AP39" i="15"/>
  <c r="AO39" i="15"/>
  <c r="AN39" i="15"/>
  <c r="AA39" i="15"/>
  <c r="X39" i="15"/>
  <c r="W39" i="15"/>
  <c r="V39" i="15"/>
  <c r="BP39" i="15" s="1"/>
  <c r="U39" i="15"/>
  <c r="T39" i="15"/>
  <c r="BK38" i="15"/>
  <c r="BE38" i="15"/>
  <c r="BA38" i="15"/>
  <c r="AZ38" i="15"/>
  <c r="AY38" i="15"/>
  <c r="AW38" i="15"/>
  <c r="AV38" i="15"/>
  <c r="AU38" i="15"/>
  <c r="AT38" i="15"/>
  <c r="AS38" i="15"/>
  <c r="AR38" i="15"/>
  <c r="AQ38" i="15"/>
  <c r="AP38" i="15"/>
  <c r="AO38" i="15"/>
  <c r="AN38" i="15"/>
  <c r="AA38" i="15"/>
  <c r="X38" i="15"/>
  <c r="W38" i="15"/>
  <c r="V38" i="15"/>
  <c r="BP38" i="15" s="1"/>
  <c r="U38" i="15"/>
  <c r="T38" i="15"/>
  <c r="BK37" i="15"/>
  <c r="BJ37" i="15"/>
  <c r="BE37" i="15"/>
  <c r="BA37" i="15"/>
  <c r="AZ37" i="15"/>
  <c r="AY37" i="15"/>
  <c r="AW37" i="15"/>
  <c r="AV37" i="15"/>
  <c r="AU37" i="15"/>
  <c r="AT37" i="15"/>
  <c r="AS37" i="15"/>
  <c r="AR37" i="15"/>
  <c r="AQ37" i="15"/>
  <c r="AP37" i="15"/>
  <c r="AO37" i="15"/>
  <c r="AN37" i="15"/>
  <c r="AA37" i="15"/>
  <c r="Z37" i="15"/>
  <c r="BI37" i="15" s="1"/>
  <c r="Y37" i="15"/>
  <c r="X37" i="15"/>
  <c r="W37" i="15"/>
  <c r="V37" i="15"/>
  <c r="BP37" i="15" s="1"/>
  <c r="U37" i="15"/>
  <c r="T37" i="15"/>
  <c r="BJ36" i="15"/>
  <c r="BA36" i="15"/>
  <c r="AZ36" i="15"/>
  <c r="Z36" i="15" s="1"/>
  <c r="BI36" i="15" s="1"/>
  <c r="AY36" i="15"/>
  <c r="AW36" i="15"/>
  <c r="AV36" i="15"/>
  <c r="AU36" i="15"/>
  <c r="AT36" i="15"/>
  <c r="AS36" i="15"/>
  <c r="AR36" i="15"/>
  <c r="AQ36" i="15"/>
  <c r="AP36" i="15"/>
  <c r="AO36" i="15"/>
  <c r="AN36" i="15"/>
  <c r="AA36" i="15"/>
  <c r="Y36" i="15"/>
  <c r="X36" i="15"/>
  <c r="W36" i="15"/>
  <c r="V36" i="15"/>
  <c r="BP36" i="15" s="1"/>
  <c r="U36" i="15"/>
  <c r="T36" i="15"/>
  <c r="BK35" i="15"/>
  <c r="BJ35" i="15"/>
  <c r="BE35" i="15"/>
  <c r="BA35" i="15"/>
  <c r="AZ35" i="15"/>
  <c r="AY35" i="15"/>
  <c r="AW35" i="15"/>
  <c r="AV35" i="15"/>
  <c r="AU35" i="15"/>
  <c r="AT35" i="15"/>
  <c r="AS35" i="15"/>
  <c r="AR35" i="15"/>
  <c r="AQ35" i="15"/>
  <c r="AP35" i="15"/>
  <c r="AO35" i="15"/>
  <c r="AN35" i="15"/>
  <c r="AA35" i="15"/>
  <c r="Z35" i="15"/>
  <c r="BI35" i="15" s="1"/>
  <c r="Y35" i="15"/>
  <c r="X35" i="15"/>
  <c r="W35" i="15"/>
  <c r="V35" i="15"/>
  <c r="BP35" i="15" s="1"/>
  <c r="U35" i="15"/>
  <c r="T35" i="15"/>
  <c r="BK34" i="15"/>
  <c r="BJ34" i="15"/>
  <c r="BE34" i="15"/>
  <c r="BA34" i="15"/>
  <c r="AZ34" i="15"/>
  <c r="Z34" i="15" s="1"/>
  <c r="BI34" i="15" s="1"/>
  <c r="AY34" i="15"/>
  <c r="AW34" i="15"/>
  <c r="AV34" i="15"/>
  <c r="AU34" i="15"/>
  <c r="AT34" i="15"/>
  <c r="AS34" i="15"/>
  <c r="AR34" i="15"/>
  <c r="AQ34" i="15"/>
  <c r="AP34" i="15"/>
  <c r="AO34" i="15"/>
  <c r="AN34" i="15"/>
  <c r="AA34" i="15"/>
  <c r="Y34" i="15"/>
  <c r="X34" i="15"/>
  <c r="W34" i="15"/>
  <c r="V34" i="15"/>
  <c r="BP34" i="15" s="1"/>
  <c r="U34" i="15"/>
  <c r="T34" i="15"/>
  <c r="BK33" i="15"/>
  <c r="BJ33" i="15"/>
  <c r="BI33" i="15"/>
  <c r="BE33" i="15"/>
  <c r="BA33" i="15"/>
  <c r="AZ33" i="15"/>
  <c r="AY33" i="15"/>
  <c r="AW33" i="15"/>
  <c r="AV33" i="15"/>
  <c r="AU33" i="15"/>
  <c r="AT33" i="15"/>
  <c r="AS33" i="15"/>
  <c r="AR33" i="15"/>
  <c r="AQ33" i="15"/>
  <c r="AP33" i="15"/>
  <c r="AO33" i="15"/>
  <c r="AX33" i="15" s="1"/>
  <c r="AN33" i="15"/>
  <c r="AA33" i="15"/>
  <c r="Z33" i="15"/>
  <c r="X33" i="15"/>
  <c r="W33" i="15"/>
  <c r="V33" i="15"/>
  <c r="BP33" i="15" s="1"/>
  <c r="U33" i="15"/>
  <c r="T33" i="15"/>
  <c r="Y33" i="15" s="1"/>
  <c r="BJ32" i="15"/>
  <c r="BI32" i="15"/>
  <c r="BE32" i="15"/>
  <c r="BA32" i="15"/>
  <c r="AZ32" i="15"/>
  <c r="Z32" i="15" s="1"/>
  <c r="AY32" i="15"/>
  <c r="AX32" i="15"/>
  <c r="AW32" i="15"/>
  <c r="AV32" i="15"/>
  <c r="AU32" i="15"/>
  <c r="AT32" i="15"/>
  <c r="AS32" i="15"/>
  <c r="AR32" i="15"/>
  <c r="AQ32" i="15"/>
  <c r="AP32" i="15"/>
  <c r="AO32" i="15"/>
  <c r="AN32" i="15"/>
  <c r="AA32" i="15"/>
  <c r="Y32" i="15"/>
  <c r="X32" i="15"/>
  <c r="W32" i="15"/>
  <c r="V32" i="15"/>
  <c r="BP32" i="15" s="1"/>
  <c r="U32" i="15"/>
  <c r="T32" i="15"/>
  <c r="BK31" i="15"/>
  <c r="BJ31" i="15"/>
  <c r="BI31" i="15"/>
  <c r="BE31" i="15"/>
  <c r="BA31" i="15"/>
  <c r="AZ31" i="15"/>
  <c r="Z31" i="15" s="1"/>
  <c r="AY31" i="15"/>
  <c r="AX31" i="15"/>
  <c r="AW31" i="15"/>
  <c r="AV31" i="15"/>
  <c r="AU31" i="15"/>
  <c r="AT31" i="15"/>
  <c r="AS31" i="15"/>
  <c r="AR31" i="15"/>
  <c r="AQ31" i="15"/>
  <c r="AP31" i="15"/>
  <c r="AO31" i="15"/>
  <c r="AN31" i="15"/>
  <c r="AA31" i="15"/>
  <c r="Y31" i="15"/>
  <c r="X31" i="15"/>
  <c r="W31" i="15"/>
  <c r="V31" i="15"/>
  <c r="BP31" i="15" s="1"/>
  <c r="U31" i="15"/>
  <c r="T31" i="15"/>
  <c r="BK30" i="15"/>
  <c r="BA30" i="15"/>
  <c r="AZ30" i="15"/>
  <c r="AY30" i="15"/>
  <c r="AW30" i="15"/>
  <c r="AV30" i="15"/>
  <c r="AU30" i="15"/>
  <c r="AT30" i="15"/>
  <c r="AS30" i="15"/>
  <c r="AR30" i="15"/>
  <c r="AX30" i="15" s="1"/>
  <c r="AQ30" i="15"/>
  <c r="AP30" i="15"/>
  <c r="AO30" i="15"/>
  <c r="AN30" i="15"/>
  <c r="AA30" i="15"/>
  <c r="X30" i="15"/>
  <c r="W30" i="15"/>
  <c r="V30" i="15"/>
  <c r="BP30" i="15" s="1"/>
  <c r="U30" i="15"/>
  <c r="T30" i="15"/>
  <c r="BJ30" i="15" s="1"/>
  <c r="BE29" i="15"/>
  <c r="BA29" i="15"/>
  <c r="AZ29" i="15"/>
  <c r="AY29" i="15"/>
  <c r="AX29" i="15"/>
  <c r="AW29" i="15"/>
  <c r="AV29" i="15"/>
  <c r="AU29" i="15"/>
  <c r="AT29" i="15"/>
  <c r="AS29" i="15"/>
  <c r="AR29" i="15"/>
  <c r="AQ29" i="15"/>
  <c r="AP29" i="15"/>
  <c r="AO29" i="15"/>
  <c r="AN29" i="15"/>
  <c r="AA29" i="15"/>
  <c r="Y29" i="15"/>
  <c r="X29" i="15"/>
  <c r="W29" i="15"/>
  <c r="V29" i="15"/>
  <c r="BP29" i="15" s="1"/>
  <c r="U29" i="15"/>
  <c r="T29" i="15"/>
  <c r="BJ29" i="15" s="1"/>
  <c r="BK28" i="15"/>
  <c r="BJ28" i="15"/>
  <c r="BA28" i="15"/>
  <c r="AZ28" i="15"/>
  <c r="AY28" i="15"/>
  <c r="AW28" i="15"/>
  <c r="AV28" i="15"/>
  <c r="AU28" i="15"/>
  <c r="AT28" i="15"/>
  <c r="AS28" i="15"/>
  <c r="AR28" i="15"/>
  <c r="AQ28" i="15"/>
  <c r="AP28" i="15"/>
  <c r="AO28" i="15"/>
  <c r="AN28" i="15"/>
  <c r="AA28" i="15"/>
  <c r="Y28" i="15"/>
  <c r="X28" i="15"/>
  <c r="W28" i="15"/>
  <c r="V28" i="15"/>
  <c r="BP28" i="15" s="1"/>
  <c r="U28" i="15"/>
  <c r="T28" i="15"/>
  <c r="BE28" i="15" s="1"/>
  <c r="BK27" i="15"/>
  <c r="BJ27" i="15"/>
  <c r="BI27" i="15"/>
  <c r="BE27" i="15"/>
  <c r="BA27" i="15"/>
  <c r="AZ27" i="15"/>
  <c r="AY27" i="15"/>
  <c r="AW27" i="15"/>
  <c r="AV27" i="15"/>
  <c r="AU27" i="15"/>
  <c r="AT27" i="15"/>
  <c r="AS27" i="15"/>
  <c r="AR27" i="15"/>
  <c r="AQ27" i="15"/>
  <c r="AP27" i="15"/>
  <c r="AO27" i="15"/>
  <c r="AN27" i="15"/>
  <c r="AA27" i="15"/>
  <c r="Z27" i="15"/>
  <c r="X27" i="15"/>
  <c r="W27" i="15"/>
  <c r="V27" i="15"/>
  <c r="BP27" i="15" s="1"/>
  <c r="U27" i="15"/>
  <c r="T27" i="15"/>
  <c r="Y27" i="15" s="1"/>
  <c r="BA26" i="15"/>
  <c r="AZ26" i="15"/>
  <c r="AW26" i="15"/>
  <c r="AV26" i="15"/>
  <c r="AU26" i="15"/>
  <c r="AT26" i="15"/>
  <c r="AS26" i="15"/>
  <c r="AR26" i="15"/>
  <c r="AQ26" i="15"/>
  <c r="AP26" i="15"/>
  <c r="AO26" i="15"/>
  <c r="AN26" i="15"/>
  <c r="AA26" i="15"/>
  <c r="Z26" i="15"/>
  <c r="BI26" i="15" s="1"/>
  <c r="X26" i="15"/>
  <c r="W26" i="15"/>
  <c r="V26" i="15"/>
  <c r="BP26" i="15" s="1"/>
  <c r="U26" i="15"/>
  <c r="T26" i="15"/>
  <c r="BK25" i="15"/>
  <c r="BA25" i="15"/>
  <c r="AZ25" i="15"/>
  <c r="AW25" i="15"/>
  <c r="AV25" i="15"/>
  <c r="AU25" i="15"/>
  <c r="AT25" i="15"/>
  <c r="AS25" i="15"/>
  <c r="AR25" i="15"/>
  <c r="AQ25" i="15"/>
  <c r="AP25" i="15"/>
  <c r="AO25" i="15"/>
  <c r="AN25" i="15"/>
  <c r="AA25" i="15"/>
  <c r="Z25" i="15"/>
  <c r="BI25" i="15" s="1"/>
  <c r="X25" i="15"/>
  <c r="W25" i="15"/>
  <c r="V25" i="15"/>
  <c r="BP25" i="15" s="1"/>
  <c r="U25" i="15"/>
  <c r="T25" i="15"/>
  <c r="BK24" i="15"/>
  <c r="BA24" i="15"/>
  <c r="AZ24" i="15"/>
  <c r="AW24" i="15"/>
  <c r="AV24" i="15"/>
  <c r="AU24" i="15"/>
  <c r="AT24" i="15"/>
  <c r="AS24" i="15"/>
  <c r="AR24" i="15"/>
  <c r="AQ24" i="15"/>
  <c r="AP24" i="15"/>
  <c r="AO24" i="15"/>
  <c r="AN24" i="15"/>
  <c r="AA24" i="15"/>
  <c r="Z24" i="15"/>
  <c r="BI24" i="15" s="1"/>
  <c r="X24" i="15"/>
  <c r="W24" i="15"/>
  <c r="V24" i="15"/>
  <c r="BP24" i="15" s="1"/>
  <c r="U24" i="15"/>
  <c r="T24" i="15"/>
  <c r="BK23" i="15"/>
  <c r="BJ23" i="15"/>
  <c r="BA23" i="15"/>
  <c r="AZ23" i="15"/>
  <c r="AY23" i="15"/>
  <c r="AW23" i="15"/>
  <c r="AV23" i="15"/>
  <c r="AU23" i="15"/>
  <c r="AT23" i="15"/>
  <c r="AS23" i="15"/>
  <c r="AR23" i="15"/>
  <c r="AQ23" i="15"/>
  <c r="AP23" i="15"/>
  <c r="AO23" i="15"/>
  <c r="AN23" i="15"/>
  <c r="AA23" i="15"/>
  <c r="Y23" i="15"/>
  <c r="X23" i="15"/>
  <c r="W23" i="15"/>
  <c r="V23" i="15"/>
  <c r="BP23" i="15" s="1"/>
  <c r="U23" i="15"/>
  <c r="T23" i="15"/>
  <c r="BK22" i="15"/>
  <c r="BE22" i="15"/>
  <c r="BA22" i="15"/>
  <c r="AZ22" i="15"/>
  <c r="AY22" i="15"/>
  <c r="AW22" i="15"/>
  <c r="AV22" i="15"/>
  <c r="AU22" i="15"/>
  <c r="AT22" i="15"/>
  <c r="AS22" i="15"/>
  <c r="AR22" i="15"/>
  <c r="AQ22" i="15"/>
  <c r="AP22" i="15"/>
  <c r="AO22" i="15"/>
  <c r="AN22" i="15"/>
  <c r="AA22" i="15"/>
  <c r="Z22" i="15"/>
  <c r="BI22" i="15" s="1"/>
  <c r="Y22" i="15"/>
  <c r="X22" i="15"/>
  <c r="W22" i="15"/>
  <c r="V22" i="15"/>
  <c r="BP22" i="15" s="1"/>
  <c r="U22" i="15"/>
  <c r="T22" i="15"/>
  <c r="BJ22" i="15" s="1"/>
  <c r="BK21" i="15"/>
  <c r="BJ21" i="15"/>
  <c r="BH21" i="15"/>
  <c r="BA21" i="15"/>
  <c r="AZ21" i="15"/>
  <c r="AY21" i="15"/>
  <c r="AW21" i="15"/>
  <c r="AV21" i="15"/>
  <c r="AU21" i="15"/>
  <c r="AT21" i="15"/>
  <c r="AS21" i="15"/>
  <c r="AR21" i="15"/>
  <c r="AQ21" i="15"/>
  <c r="AP21" i="15"/>
  <c r="AO21" i="15"/>
  <c r="AN21" i="15"/>
  <c r="AA21" i="15"/>
  <c r="Z21" i="15"/>
  <c r="BI21" i="15" s="1"/>
  <c r="Y21" i="15"/>
  <c r="X21" i="15"/>
  <c r="W21" i="15"/>
  <c r="V21" i="15"/>
  <c r="BP21" i="15" s="1"/>
  <c r="U21" i="15"/>
  <c r="T21" i="15"/>
  <c r="BK20" i="15"/>
  <c r="BJ20" i="15"/>
  <c r="BA20" i="15"/>
  <c r="AZ20" i="15"/>
  <c r="Z20" i="15" s="1"/>
  <c r="BI20" i="15" s="1"/>
  <c r="AY20" i="15"/>
  <c r="AW20" i="15"/>
  <c r="AV20" i="15"/>
  <c r="AU20" i="15"/>
  <c r="AT20" i="15"/>
  <c r="AS20" i="15"/>
  <c r="AR20" i="15"/>
  <c r="AQ20" i="15"/>
  <c r="AP20" i="15"/>
  <c r="AO20" i="15"/>
  <c r="AN20" i="15"/>
  <c r="AA20" i="15"/>
  <c r="Y20" i="15"/>
  <c r="X20" i="15"/>
  <c r="W20" i="15"/>
  <c r="V20" i="15"/>
  <c r="BP20" i="15" s="1"/>
  <c r="U20" i="15"/>
  <c r="T20" i="15"/>
  <c r="BE20" i="15" s="1"/>
  <c r="BK19" i="15"/>
  <c r="BJ19" i="15"/>
  <c r="BE19" i="15"/>
  <c r="BA19" i="15"/>
  <c r="AZ19" i="15"/>
  <c r="AY19" i="15"/>
  <c r="AW19" i="15"/>
  <c r="AV19" i="15"/>
  <c r="AU19" i="15"/>
  <c r="AT19" i="15"/>
  <c r="AS19" i="15"/>
  <c r="AR19" i="15"/>
  <c r="AQ19" i="15"/>
  <c r="AP19" i="15"/>
  <c r="AO19" i="15"/>
  <c r="AN19" i="15"/>
  <c r="AA19" i="15"/>
  <c r="Z19" i="15"/>
  <c r="BI19" i="15" s="1"/>
  <c r="Y19" i="15"/>
  <c r="X19" i="15"/>
  <c r="W19" i="15"/>
  <c r="V19" i="15"/>
  <c r="BP19" i="15" s="1"/>
  <c r="U19" i="15"/>
  <c r="T19" i="15"/>
  <c r="BK18" i="15"/>
  <c r="BJ18" i="15"/>
  <c r="BE18" i="15"/>
  <c r="BA18" i="15"/>
  <c r="AZ18" i="15"/>
  <c r="AY18" i="15"/>
  <c r="AW18" i="15"/>
  <c r="AV18" i="15"/>
  <c r="AU18" i="15"/>
  <c r="AT18" i="15"/>
  <c r="AS18" i="15"/>
  <c r="AR18" i="15"/>
  <c r="AQ18" i="15"/>
  <c r="AP18" i="15"/>
  <c r="AO18" i="15"/>
  <c r="AN18" i="15"/>
  <c r="AA18" i="15"/>
  <c r="Y18" i="15"/>
  <c r="X18" i="15"/>
  <c r="W18" i="15"/>
  <c r="V18" i="15"/>
  <c r="BP18" i="15" s="1"/>
  <c r="U18" i="15"/>
  <c r="T18" i="15"/>
  <c r="BK17" i="15"/>
  <c r="BA17" i="15"/>
  <c r="AZ17" i="15"/>
  <c r="AW17" i="15"/>
  <c r="AV17" i="15"/>
  <c r="AU17" i="15"/>
  <c r="AT17" i="15"/>
  <c r="AS17" i="15"/>
  <c r="AR17" i="15"/>
  <c r="AQ17" i="15"/>
  <c r="AP17" i="15"/>
  <c r="AO17" i="15"/>
  <c r="AX17" i="15" s="1"/>
  <c r="AN17" i="15"/>
  <c r="AA17" i="15"/>
  <c r="Z17" i="15"/>
  <c r="BI17" i="15" s="1"/>
  <c r="X17" i="15"/>
  <c r="W17" i="15"/>
  <c r="V17" i="15"/>
  <c r="BP17" i="15" s="1"/>
  <c r="U17" i="15"/>
  <c r="T17" i="15"/>
  <c r="BK16" i="15"/>
  <c r="BA16" i="15"/>
  <c r="AZ16" i="15"/>
  <c r="Z16" i="15" s="1"/>
  <c r="BI16" i="15" s="1"/>
  <c r="AW16" i="15"/>
  <c r="AV16" i="15"/>
  <c r="AU16" i="15"/>
  <c r="AT16" i="15"/>
  <c r="AS16" i="15"/>
  <c r="AR16" i="15"/>
  <c r="AX16" i="15" s="1"/>
  <c r="AQ16" i="15"/>
  <c r="AP16" i="15"/>
  <c r="AO16" i="15"/>
  <c r="AN16" i="15"/>
  <c r="AA16" i="15"/>
  <c r="X16" i="15"/>
  <c r="W16" i="15"/>
  <c r="V16" i="15"/>
  <c r="BP16" i="15" s="1"/>
  <c r="U16" i="15"/>
  <c r="T16" i="15"/>
  <c r="BK15" i="15"/>
  <c r="BA15" i="15"/>
  <c r="AZ15" i="15"/>
  <c r="Z15" i="15" s="1"/>
  <c r="BI15" i="15" s="1"/>
  <c r="AW15" i="15"/>
  <c r="AV15" i="15"/>
  <c r="AU15" i="15"/>
  <c r="AT15" i="15"/>
  <c r="AS15" i="15"/>
  <c r="AR15" i="15"/>
  <c r="AQ15" i="15"/>
  <c r="AX15" i="15" s="1"/>
  <c r="AP15" i="15"/>
  <c r="AO15" i="15"/>
  <c r="AN15" i="15"/>
  <c r="AA15" i="15"/>
  <c r="X15" i="15"/>
  <c r="W15" i="15"/>
  <c r="V15" i="15"/>
  <c r="BP15" i="15" s="1"/>
  <c r="U15" i="15"/>
  <c r="T15" i="15"/>
  <c r="BK14" i="15"/>
  <c r="BA14" i="15"/>
  <c r="AZ14" i="15"/>
  <c r="AW14" i="15"/>
  <c r="AV14" i="15"/>
  <c r="AU14" i="15"/>
  <c r="AT14" i="15"/>
  <c r="AS14" i="15"/>
  <c r="AR14" i="15"/>
  <c r="AQ14" i="15"/>
  <c r="AP14" i="15"/>
  <c r="AO14" i="15"/>
  <c r="AN14" i="15"/>
  <c r="AA14" i="15"/>
  <c r="Z14" i="15"/>
  <c r="BI14" i="15" s="1"/>
  <c r="X14" i="15"/>
  <c r="W14" i="15"/>
  <c r="V14" i="15"/>
  <c r="BP14" i="15" s="1"/>
  <c r="U14" i="15"/>
  <c r="T14" i="15"/>
  <c r="BK13" i="15"/>
  <c r="BJ13" i="15"/>
  <c r="BA13" i="15"/>
  <c r="AZ13" i="15"/>
  <c r="BH13" i="15" s="1"/>
  <c r="AW13" i="15"/>
  <c r="AV13" i="15"/>
  <c r="AU13" i="15"/>
  <c r="AT13" i="15"/>
  <c r="AS13" i="15"/>
  <c r="AR13" i="15"/>
  <c r="AQ13" i="15"/>
  <c r="AP13" i="15"/>
  <c r="AO13" i="15"/>
  <c r="AN13" i="15"/>
  <c r="AA13" i="15"/>
  <c r="X13" i="15"/>
  <c r="U13" i="15"/>
  <c r="T13" i="15"/>
  <c r="Y13" i="15" s="1"/>
  <c r="BK12" i="15"/>
  <c r="BA12" i="15"/>
  <c r="AZ12" i="15"/>
  <c r="Z12" i="15" s="1"/>
  <c r="BI12" i="15" s="1"/>
  <c r="AW12" i="15"/>
  <c r="AV12" i="15"/>
  <c r="AT12" i="15"/>
  <c r="AS12" i="15"/>
  <c r="AR12" i="15"/>
  <c r="AQ12" i="15"/>
  <c r="AP12" i="15"/>
  <c r="AO12" i="15"/>
  <c r="AN12" i="15"/>
  <c r="AA12" i="15"/>
  <c r="X12" i="15"/>
  <c r="U12" i="15"/>
  <c r="AU12" i="15" s="1"/>
  <c r="T12" i="15"/>
  <c r="BJ12" i="15" s="1"/>
  <c r="BK11" i="15"/>
  <c r="BA11" i="15"/>
  <c r="AZ11" i="15"/>
  <c r="BH11" i="15" s="1"/>
  <c r="AY11" i="15"/>
  <c r="AW11" i="15"/>
  <c r="AV11" i="15"/>
  <c r="AT11" i="15"/>
  <c r="AS11" i="15"/>
  <c r="AR11" i="15"/>
  <c r="AQ11" i="15"/>
  <c r="AP11" i="15"/>
  <c r="AO11" i="15"/>
  <c r="AN11" i="15"/>
  <c r="AA11" i="15"/>
  <c r="X11" i="15"/>
  <c r="U11" i="15"/>
  <c r="AU11" i="15" s="1"/>
  <c r="T11" i="15"/>
  <c r="Y11" i="15" s="1"/>
  <c r="BK10" i="15"/>
  <c r="BA10" i="15"/>
  <c r="AZ10" i="15"/>
  <c r="Z10" i="15" s="1"/>
  <c r="AW10" i="15"/>
  <c r="AV10" i="15"/>
  <c r="AT10" i="15"/>
  <c r="AS10" i="15"/>
  <c r="AR10" i="15"/>
  <c r="AQ10" i="15"/>
  <c r="AP10" i="15"/>
  <c r="AO10" i="15"/>
  <c r="AN10" i="15"/>
  <c r="AA10" i="15"/>
  <c r="X10" i="15"/>
  <c r="H82" i="15" s="1"/>
  <c r="N82" i="15" s="1"/>
  <c r="U10" i="15"/>
  <c r="AU10" i="15" s="1"/>
  <c r="T10" i="15"/>
  <c r="BJ10" i="15" s="1"/>
  <c r="P6" i="15"/>
  <c r="F6" i="15"/>
  <c r="P5" i="15"/>
  <c r="P4" i="15"/>
  <c r="P3" i="15"/>
  <c r="V2" i="15"/>
  <c r="D146" i="14"/>
  <c r="D132" i="14"/>
  <c r="D131" i="14"/>
  <c r="D126" i="14"/>
  <c r="D121" i="14"/>
  <c r="D119" i="14"/>
  <c r="D118" i="14"/>
  <c r="D117" i="14"/>
  <c r="D105" i="14"/>
  <c r="L99" i="14"/>
  <c r="V98" i="14"/>
  <c r="T98" i="14"/>
  <c r="D96" i="14"/>
  <c r="N95" i="14"/>
  <c r="D156" i="14" s="1"/>
  <c r="U94" i="14"/>
  <c r="S94" i="14"/>
  <c r="W94" i="14" s="1"/>
  <c r="N94" i="14"/>
  <c r="N93" i="14"/>
  <c r="D157" i="14" s="1"/>
  <c r="N92" i="14"/>
  <c r="S91" i="14"/>
  <c r="D88" i="14"/>
  <c r="N88" i="14" s="1"/>
  <c r="D87" i="14"/>
  <c r="N87" i="14" s="1"/>
  <c r="D152" i="14" s="1"/>
  <c r="N86" i="14"/>
  <c r="D151" i="14" s="1"/>
  <c r="F86" i="14"/>
  <c r="D86" i="14"/>
  <c r="D85" i="14"/>
  <c r="U84" i="14"/>
  <c r="W84" i="14" s="1"/>
  <c r="F84" i="14"/>
  <c r="D84" i="14"/>
  <c r="W83" i="14"/>
  <c r="U83" i="14"/>
  <c r="F83" i="14"/>
  <c r="D83" i="14"/>
  <c r="W80" i="14"/>
  <c r="N80" i="14"/>
  <c r="D80" i="14"/>
  <c r="U79" i="14"/>
  <c r="D79" i="14"/>
  <c r="U78" i="14"/>
  <c r="N78" i="14"/>
  <c r="U77" i="14"/>
  <c r="W76" i="14"/>
  <c r="W75" i="14"/>
  <c r="N75" i="14"/>
  <c r="K75" i="14"/>
  <c r="W74" i="14"/>
  <c r="K74" i="14"/>
  <c r="W73" i="14"/>
  <c r="K73" i="14"/>
  <c r="W72" i="14"/>
  <c r="K72" i="14"/>
  <c r="W71" i="14"/>
  <c r="K71" i="14"/>
  <c r="W70" i="14"/>
  <c r="K70" i="14"/>
  <c r="D125" i="14" s="1"/>
  <c r="K69" i="14"/>
  <c r="K68" i="14"/>
  <c r="D124" i="14" s="1"/>
  <c r="K67" i="14"/>
  <c r="G67" i="14"/>
  <c r="U66" i="14"/>
  <c r="K66" i="14"/>
  <c r="D123" i="14" s="1"/>
  <c r="U65" i="14"/>
  <c r="S65" i="14"/>
  <c r="U64" i="14"/>
  <c r="S64" i="14"/>
  <c r="K63" i="14"/>
  <c r="N63" i="14" s="1"/>
  <c r="D113" i="14" s="1"/>
  <c r="DE62" i="14"/>
  <c r="K62" i="14"/>
  <c r="N62" i="14" s="1"/>
  <c r="DE61" i="14"/>
  <c r="N61" i="14"/>
  <c r="DE60" i="14"/>
  <c r="N60" i="14"/>
  <c r="D108" i="14" s="1"/>
  <c r="DE59" i="14"/>
  <c r="S59" i="14"/>
  <c r="DE58" i="14"/>
  <c r="N58" i="14"/>
  <c r="D111" i="14" s="1"/>
  <c r="DE57" i="14"/>
  <c r="S57" i="14"/>
  <c r="F57" i="14"/>
  <c r="DE56" i="14"/>
  <c r="F56" i="14"/>
  <c r="BJ25" i="14" s="1"/>
  <c r="A56" i="14"/>
  <c r="DE55" i="14"/>
  <c r="B55" i="14"/>
  <c r="B54" i="14"/>
  <c r="W53" i="14"/>
  <c r="B53" i="14"/>
  <c r="DE52" i="14"/>
  <c r="B52" i="14"/>
  <c r="DE51" i="14"/>
  <c r="U51" i="14"/>
  <c r="B51" i="14"/>
  <c r="DD48" i="14"/>
  <c r="T47" i="14"/>
  <c r="T46" i="14"/>
  <c r="DF42" i="14"/>
  <c r="M42" i="14"/>
  <c r="DF41" i="14"/>
  <c r="L40" i="14"/>
  <c r="V39" i="14"/>
  <c r="N85" i="14" s="1"/>
  <c r="D150" i="14" s="1"/>
  <c r="T39" i="14"/>
  <c r="DI36" i="14"/>
  <c r="BI36" i="14"/>
  <c r="AH36" i="14"/>
  <c r="E36" i="14"/>
  <c r="S78" i="14" s="1"/>
  <c r="W78" i="14" s="1"/>
  <c r="DJ35" i="14"/>
  <c r="DI35" i="14"/>
  <c r="DH35" i="14"/>
  <c r="DG35" i="14"/>
  <c r="DF35" i="14"/>
  <c r="DE35" i="14"/>
  <c r="DD35" i="14"/>
  <c r="BP35" i="14"/>
  <c r="BO35" i="14"/>
  <c r="BL35" i="14"/>
  <c r="BH35" i="14"/>
  <c r="BG35" i="14"/>
  <c r="BE35" i="14"/>
  <c r="BW35" i="14" s="1"/>
  <c r="BD35" i="14"/>
  <c r="BA35" i="14"/>
  <c r="AZ35" i="14"/>
  <c r="AY35" i="14"/>
  <c r="AX35" i="14"/>
  <c r="AW35" i="14"/>
  <c r="AV35" i="14"/>
  <c r="AU35" i="14"/>
  <c r="AT35" i="14"/>
  <c r="AS35" i="14"/>
  <c r="AR35" i="14"/>
  <c r="AQ35" i="14"/>
  <c r="AP35" i="14"/>
  <c r="AO35" i="14"/>
  <c r="AN35" i="14"/>
  <c r="AM35" i="14"/>
  <c r="AL35" i="14"/>
  <c r="AK35" i="14"/>
  <c r="AJ35" i="14"/>
  <c r="AI35" i="14"/>
  <c r="BB35" i="14" s="1"/>
  <c r="AH35" i="14"/>
  <c r="W35" i="14"/>
  <c r="DB35" i="14" s="1"/>
  <c r="V35" i="14"/>
  <c r="DJ34" i="14"/>
  <c r="DI34" i="14"/>
  <c r="DH34" i="14"/>
  <c r="DG34" i="14"/>
  <c r="DF34" i="14"/>
  <c r="DD34" i="14"/>
  <c r="BW34" i="14"/>
  <c r="BP34" i="14"/>
  <c r="BO34" i="14"/>
  <c r="BN34" i="14"/>
  <c r="BM34" i="14"/>
  <c r="BL34" i="14"/>
  <c r="BH34" i="14"/>
  <c r="BG34" i="14"/>
  <c r="BU34" i="14" s="1"/>
  <c r="BF34" i="14"/>
  <c r="BE34" i="14"/>
  <c r="BA34" i="14"/>
  <c r="AZ34" i="14"/>
  <c r="AY34" i="14"/>
  <c r="AX34" i="14"/>
  <c r="AW34" i="14"/>
  <c r="AV34" i="14"/>
  <c r="AU34" i="14"/>
  <c r="AT34" i="14"/>
  <c r="AS34" i="14"/>
  <c r="AR34" i="14"/>
  <c r="AQ34" i="14"/>
  <c r="AP34" i="14"/>
  <c r="AO34" i="14"/>
  <c r="AN34" i="14"/>
  <c r="AM34" i="14"/>
  <c r="AL34" i="14"/>
  <c r="AK34" i="14"/>
  <c r="AJ34" i="14"/>
  <c r="AI34" i="14"/>
  <c r="AH34" i="14"/>
  <c r="W34" i="14"/>
  <c r="DB34" i="14" s="1"/>
  <c r="V34" i="14"/>
  <c r="DJ33" i="14"/>
  <c r="DI33" i="14"/>
  <c r="DH33" i="14"/>
  <c r="DG33" i="14"/>
  <c r="DF33" i="14"/>
  <c r="DD33" i="14"/>
  <c r="BW33" i="14"/>
  <c r="BP33" i="14"/>
  <c r="BO33" i="14"/>
  <c r="BM33" i="14"/>
  <c r="BL33" i="14"/>
  <c r="BH33" i="14"/>
  <c r="BG33" i="14"/>
  <c r="BF33" i="14"/>
  <c r="BE33" i="14"/>
  <c r="BD33" i="14"/>
  <c r="BB33" i="14"/>
  <c r="BA33" i="14"/>
  <c r="AZ33" i="14"/>
  <c r="AY33" i="14"/>
  <c r="AX33" i="14"/>
  <c r="AW33" i="14"/>
  <c r="AV33" i="14"/>
  <c r="BC33" i="14" s="1"/>
  <c r="AU33" i="14"/>
  <c r="AT33" i="14"/>
  <c r="AS33" i="14"/>
  <c r="AR33" i="14"/>
  <c r="AQ33" i="14"/>
  <c r="AP33" i="14"/>
  <c r="AO33" i="14"/>
  <c r="AN33" i="14"/>
  <c r="AM33" i="14"/>
  <c r="AL33" i="14"/>
  <c r="AK33" i="14"/>
  <c r="AJ33" i="14"/>
  <c r="AI33" i="14"/>
  <c r="AH33" i="14"/>
  <c r="W33" i="14"/>
  <c r="DB33" i="14" s="1"/>
  <c r="V33" i="14"/>
  <c r="DJ32" i="14"/>
  <c r="DI32" i="14"/>
  <c r="DH32" i="14"/>
  <c r="DG32" i="14"/>
  <c r="DF32" i="14"/>
  <c r="DD32" i="14"/>
  <c r="BW32" i="14"/>
  <c r="BU32" i="14"/>
  <c r="BP32" i="14"/>
  <c r="BO32" i="14"/>
  <c r="BM32" i="14"/>
  <c r="BL32" i="14"/>
  <c r="BH32" i="14"/>
  <c r="BG32" i="14"/>
  <c r="BN32" i="14" s="1"/>
  <c r="BF32" i="14"/>
  <c r="BE32" i="14"/>
  <c r="BD32" i="14"/>
  <c r="BA32" i="14"/>
  <c r="AZ32" i="14"/>
  <c r="AY32" i="14"/>
  <c r="AX32" i="14"/>
  <c r="AW32" i="14"/>
  <c r="AV32" i="14"/>
  <c r="AU32" i="14"/>
  <c r="BC32" i="14" s="1"/>
  <c r="AT32" i="14"/>
  <c r="AS32" i="14"/>
  <c r="AR32" i="14"/>
  <c r="AQ32" i="14"/>
  <c r="AP32" i="14"/>
  <c r="AO32" i="14"/>
  <c r="AN32" i="14"/>
  <c r="AM32" i="14"/>
  <c r="AL32" i="14"/>
  <c r="AK32" i="14"/>
  <c r="AJ32" i="14"/>
  <c r="AI32" i="14"/>
  <c r="AH32" i="14"/>
  <c r="BB32" i="14" s="1"/>
  <c r="W32" i="14"/>
  <c r="DB32" i="14" s="1"/>
  <c r="V32" i="14"/>
  <c r="DE32" i="14" s="1"/>
  <c r="DJ31" i="14"/>
  <c r="DI31" i="14"/>
  <c r="DH31" i="14"/>
  <c r="DG31" i="14"/>
  <c r="DF31" i="14"/>
  <c r="DE31" i="14"/>
  <c r="DD31" i="14"/>
  <c r="DB31" i="14"/>
  <c r="BP31" i="14"/>
  <c r="BO31" i="14"/>
  <c r="BL31" i="14"/>
  <c r="BH31" i="14"/>
  <c r="BG31" i="14"/>
  <c r="BF31" i="14"/>
  <c r="BM31" i="14" s="1"/>
  <c r="BE31" i="14"/>
  <c r="BW31" i="14" s="1"/>
  <c r="BD31" i="14"/>
  <c r="BC31" i="14"/>
  <c r="BB31" i="14"/>
  <c r="BA31" i="14"/>
  <c r="AZ31" i="14"/>
  <c r="AY31" i="14"/>
  <c r="AX31" i="14"/>
  <c r="AW31" i="14"/>
  <c r="AV31" i="14"/>
  <c r="AU31" i="14"/>
  <c r="AT31" i="14"/>
  <c r="AS31" i="14"/>
  <c r="AR31" i="14"/>
  <c r="AQ31" i="14"/>
  <c r="AP31" i="14"/>
  <c r="AO31" i="14"/>
  <c r="AN31" i="14"/>
  <c r="AM31" i="14"/>
  <c r="AL31" i="14"/>
  <c r="AK31" i="14"/>
  <c r="AJ31" i="14"/>
  <c r="AI31" i="14"/>
  <c r="AH31" i="14"/>
  <c r="W31" i="14"/>
  <c r="V31" i="14"/>
  <c r="DJ30" i="14"/>
  <c r="DI30" i="14"/>
  <c r="DH30" i="14"/>
  <c r="DG30" i="14"/>
  <c r="DF30" i="14"/>
  <c r="DE30" i="14"/>
  <c r="DD30" i="14"/>
  <c r="DB30" i="14"/>
  <c r="BW30" i="14"/>
  <c r="BU30" i="14"/>
  <c r="BP30" i="14"/>
  <c r="BL30" i="14"/>
  <c r="BH30" i="14"/>
  <c r="BG30" i="14"/>
  <c r="BN30" i="14" s="1"/>
  <c r="BE30" i="14"/>
  <c r="BF30" i="14" s="1"/>
  <c r="BM30" i="14" s="1"/>
  <c r="BA30" i="14"/>
  <c r="AZ30" i="14"/>
  <c r="AY30" i="14"/>
  <c r="AX30" i="14"/>
  <c r="AW30" i="14"/>
  <c r="AV30" i="14"/>
  <c r="AU30" i="14"/>
  <c r="AT30" i="14"/>
  <c r="AS30" i="14"/>
  <c r="AR30" i="14"/>
  <c r="AQ30" i="14"/>
  <c r="AP30" i="14"/>
  <c r="AO30" i="14"/>
  <c r="AN30" i="14"/>
  <c r="AM30" i="14"/>
  <c r="AL30" i="14"/>
  <c r="AK30" i="14"/>
  <c r="AJ30" i="14"/>
  <c r="AI30" i="14"/>
  <c r="AH30" i="14"/>
  <c r="W30" i="14"/>
  <c r="V30" i="14"/>
  <c r="BO30" i="14" s="1"/>
  <c r="DJ29" i="14"/>
  <c r="DI29" i="14"/>
  <c r="DH29" i="14"/>
  <c r="DG29" i="14"/>
  <c r="DF29" i="14"/>
  <c r="DD29" i="14"/>
  <c r="DB29" i="14"/>
  <c r="BU29" i="14"/>
  <c r="BP29" i="14"/>
  <c r="BO29" i="14"/>
  <c r="BM29" i="14"/>
  <c r="BL29" i="14"/>
  <c r="BH29" i="14"/>
  <c r="BG29" i="14"/>
  <c r="BN29" i="14" s="1"/>
  <c r="BF29" i="14"/>
  <c r="BE29" i="14"/>
  <c r="BW29" i="14" s="1"/>
  <c r="BC29" i="14"/>
  <c r="BA29" i="14"/>
  <c r="AZ29" i="14"/>
  <c r="AY29" i="14"/>
  <c r="AX29" i="14"/>
  <c r="AW29" i="14"/>
  <c r="AV29" i="14"/>
  <c r="AU29" i="14"/>
  <c r="AT29" i="14"/>
  <c r="AS29" i="14"/>
  <c r="AR29" i="14"/>
  <c r="AQ29" i="14"/>
  <c r="AP29" i="14"/>
  <c r="AO29" i="14"/>
  <c r="AN29" i="14"/>
  <c r="AM29" i="14"/>
  <c r="AL29" i="14"/>
  <c r="AK29" i="14"/>
  <c r="AJ29" i="14"/>
  <c r="AI29" i="14"/>
  <c r="AH29" i="14"/>
  <c r="W29" i="14"/>
  <c r="V29" i="14"/>
  <c r="DJ28" i="14"/>
  <c r="DI28" i="14"/>
  <c r="DH28" i="14"/>
  <c r="DG28" i="14"/>
  <c r="DF28" i="14"/>
  <c r="DE28" i="14"/>
  <c r="DD28" i="14"/>
  <c r="DB28" i="14"/>
  <c r="BW28" i="14"/>
  <c r="BU28" i="14"/>
  <c r="BP28" i="14"/>
  <c r="BL28" i="14"/>
  <c r="BH28" i="14"/>
  <c r="BG28" i="14"/>
  <c r="BN28" i="14" s="1"/>
  <c r="BF28" i="14"/>
  <c r="BM28" i="14" s="1"/>
  <c r="BE28" i="14"/>
  <c r="BA28" i="14"/>
  <c r="AZ28" i="14"/>
  <c r="AY28" i="14"/>
  <c r="AX28" i="14"/>
  <c r="AW28" i="14"/>
  <c r="AV28" i="14"/>
  <c r="AU28" i="14"/>
  <c r="AT28" i="14"/>
  <c r="AS28" i="14"/>
  <c r="AR28" i="14"/>
  <c r="AQ28" i="14"/>
  <c r="AP28" i="14"/>
  <c r="AO28" i="14"/>
  <c r="AN28" i="14"/>
  <c r="AM28" i="14"/>
  <c r="AL28" i="14"/>
  <c r="AK28" i="14"/>
  <c r="AJ28" i="14"/>
  <c r="BB28" i="14" s="1"/>
  <c r="AI28" i="14"/>
  <c r="AH28" i="14"/>
  <c r="W28" i="14"/>
  <c r="V28" i="14"/>
  <c r="DJ27" i="14"/>
  <c r="DI27" i="14"/>
  <c r="DH27" i="14"/>
  <c r="DG27" i="14"/>
  <c r="DF27" i="14"/>
  <c r="DD27" i="14"/>
  <c r="DB27" i="14"/>
  <c r="BP27" i="14"/>
  <c r="BO27" i="14"/>
  <c r="BL27" i="14"/>
  <c r="BH27" i="14"/>
  <c r="BG27" i="14"/>
  <c r="BE27" i="14"/>
  <c r="BC27" i="14"/>
  <c r="BB27" i="14"/>
  <c r="BA27" i="14"/>
  <c r="AZ27" i="14"/>
  <c r="AY27" i="14"/>
  <c r="AX27" i="14"/>
  <c r="AW27" i="14"/>
  <c r="AV27" i="14"/>
  <c r="AU27" i="14"/>
  <c r="AT27" i="14"/>
  <c r="AS27" i="14"/>
  <c r="AR27" i="14"/>
  <c r="AQ27" i="14"/>
  <c r="AP27" i="14"/>
  <c r="AO27" i="14"/>
  <c r="AN27" i="14"/>
  <c r="AM27" i="14"/>
  <c r="AL27" i="14"/>
  <c r="AK27" i="14"/>
  <c r="AJ27" i="14"/>
  <c r="AI27" i="14"/>
  <c r="AH27" i="14"/>
  <c r="W27" i="14"/>
  <c r="V27" i="14"/>
  <c r="DJ26" i="14"/>
  <c r="DI26" i="14"/>
  <c r="DH26" i="14"/>
  <c r="DG26" i="14"/>
  <c r="DF26" i="14"/>
  <c r="DE26" i="14"/>
  <c r="DD26" i="14"/>
  <c r="DB26" i="14"/>
  <c r="BW26" i="14"/>
  <c r="BU26" i="14"/>
  <c r="BP26" i="14"/>
  <c r="BN26" i="14"/>
  <c r="BL26" i="14"/>
  <c r="BH26" i="14"/>
  <c r="BG26" i="14"/>
  <c r="BF26" i="14"/>
  <c r="BM26" i="14" s="1"/>
  <c r="BE26" i="14"/>
  <c r="BD26" i="14"/>
  <c r="BA26" i="14"/>
  <c r="AZ26" i="14"/>
  <c r="AY26" i="14"/>
  <c r="AX26" i="14"/>
  <c r="AW26" i="14"/>
  <c r="AV26" i="14"/>
  <c r="AU26" i="14"/>
  <c r="AT26" i="14"/>
  <c r="AS26" i="14"/>
  <c r="AR26" i="14"/>
  <c r="AQ26" i="14"/>
  <c r="AP26" i="14"/>
  <c r="AO26" i="14"/>
  <c r="AN26" i="14"/>
  <c r="AM26" i="14"/>
  <c r="AL26" i="14"/>
  <c r="AK26" i="14"/>
  <c r="AJ26" i="14"/>
  <c r="AI26" i="14"/>
  <c r="AH26" i="14"/>
  <c r="W26" i="14"/>
  <c r="V26" i="14"/>
  <c r="BO26" i="14" s="1"/>
  <c r="DJ25" i="14"/>
  <c r="DI25" i="14"/>
  <c r="DH25" i="14"/>
  <c r="DG25" i="14"/>
  <c r="DF25" i="14"/>
  <c r="DD25" i="14"/>
  <c r="BU25" i="14"/>
  <c r="BP25" i="14"/>
  <c r="BN25" i="14"/>
  <c r="BL25" i="14"/>
  <c r="BH25" i="14"/>
  <c r="BG25" i="14"/>
  <c r="BE25" i="14"/>
  <c r="BC25" i="14"/>
  <c r="BB25" i="14"/>
  <c r="BA25" i="14"/>
  <c r="AZ25" i="14"/>
  <c r="AY25" i="14"/>
  <c r="AX25" i="14"/>
  <c r="AW25" i="14"/>
  <c r="AV25" i="14"/>
  <c r="AU25" i="14"/>
  <c r="AT25" i="14"/>
  <c r="AS25" i="14"/>
  <c r="AR25" i="14"/>
  <c r="AQ25" i="14"/>
  <c r="AP25" i="14"/>
  <c r="AO25" i="14"/>
  <c r="AN25" i="14"/>
  <c r="AM25" i="14"/>
  <c r="AL25" i="14"/>
  <c r="AK25" i="14"/>
  <c r="AJ25" i="14"/>
  <c r="AI25" i="14"/>
  <c r="AH25" i="14"/>
  <c r="W25" i="14"/>
  <c r="DB25" i="14" s="1"/>
  <c r="V25" i="14"/>
  <c r="DE25" i="14" s="1"/>
  <c r="DJ24" i="14"/>
  <c r="DI24" i="14"/>
  <c r="DH24" i="14"/>
  <c r="DG24" i="14"/>
  <c r="DF24" i="14"/>
  <c r="DE24" i="14"/>
  <c r="DD24" i="14"/>
  <c r="DB24" i="14"/>
  <c r="BW24" i="14"/>
  <c r="BP24" i="14"/>
  <c r="BO24" i="14"/>
  <c r="BL24" i="14"/>
  <c r="BH24" i="14"/>
  <c r="BG24" i="14"/>
  <c r="BU24" i="14" s="1"/>
  <c r="BF24" i="14"/>
  <c r="BM24" i="14" s="1"/>
  <c r="BE24" i="14"/>
  <c r="BD24" i="14"/>
  <c r="BC24" i="14"/>
  <c r="BA24" i="14"/>
  <c r="AZ24" i="14"/>
  <c r="AY24" i="14"/>
  <c r="AX24" i="14"/>
  <c r="AW24" i="14"/>
  <c r="AV24" i="14"/>
  <c r="AU24" i="14"/>
  <c r="AT24" i="14"/>
  <c r="AS24" i="14"/>
  <c r="AR24" i="14"/>
  <c r="AQ24" i="14"/>
  <c r="AP24" i="14"/>
  <c r="AO24" i="14"/>
  <c r="AN24" i="14"/>
  <c r="AM24" i="14"/>
  <c r="AL24" i="14"/>
  <c r="BB24" i="14" s="1"/>
  <c r="AK24" i="14"/>
  <c r="AJ24" i="14"/>
  <c r="AI24" i="14"/>
  <c r="AH24" i="14"/>
  <c r="W24" i="14"/>
  <c r="V24" i="14"/>
  <c r="DJ23" i="14"/>
  <c r="DI23" i="14"/>
  <c r="DH23" i="14"/>
  <c r="DG23" i="14"/>
  <c r="DF23" i="14"/>
  <c r="DE23" i="14"/>
  <c r="DD23" i="14"/>
  <c r="DB23" i="14"/>
  <c r="BW23" i="14"/>
  <c r="BU23" i="14"/>
  <c r="BP23" i="14"/>
  <c r="BO23" i="14"/>
  <c r="BL23" i="14"/>
  <c r="BH23" i="14"/>
  <c r="BG23" i="14"/>
  <c r="BN23" i="14" s="1"/>
  <c r="BE23" i="14"/>
  <c r="BF23" i="14" s="1"/>
  <c r="BM23" i="14" s="1"/>
  <c r="BA23" i="14"/>
  <c r="AZ23" i="14"/>
  <c r="AY23" i="14"/>
  <c r="AX23" i="14"/>
  <c r="AW23" i="14"/>
  <c r="AV23" i="14"/>
  <c r="AU23" i="14"/>
  <c r="AT23" i="14"/>
  <c r="AS23" i="14"/>
  <c r="AR23" i="14"/>
  <c r="AQ23" i="14"/>
  <c r="AP23" i="14"/>
  <c r="AO23" i="14"/>
  <c r="AN23" i="14"/>
  <c r="AM23" i="14"/>
  <c r="AL23" i="14"/>
  <c r="S63" i="14" s="1"/>
  <c r="AK23" i="14"/>
  <c r="AJ23" i="14"/>
  <c r="AI23" i="14"/>
  <c r="AH23" i="14"/>
  <c r="W23" i="14"/>
  <c r="V23" i="14"/>
  <c r="BD23" i="14" s="1"/>
  <c r="DJ22" i="14"/>
  <c r="DI22" i="14"/>
  <c r="DH22" i="14"/>
  <c r="DG22" i="14"/>
  <c r="DF22" i="14"/>
  <c r="DE22" i="14"/>
  <c r="DD22" i="14"/>
  <c r="BW22" i="14"/>
  <c r="BU22" i="14"/>
  <c r="BP22" i="14"/>
  <c r="BL22" i="14"/>
  <c r="BH22" i="14"/>
  <c r="BG22" i="14"/>
  <c r="BN22" i="14" s="1"/>
  <c r="BF22" i="14"/>
  <c r="BM22" i="14" s="1"/>
  <c r="BE22" i="14"/>
  <c r="BA22" i="14"/>
  <c r="AZ22" i="14"/>
  <c r="AY22" i="14"/>
  <c r="AX22" i="14"/>
  <c r="AW22" i="14"/>
  <c r="AV22" i="14"/>
  <c r="AU22" i="14"/>
  <c r="AT22" i="14"/>
  <c r="AS22" i="14"/>
  <c r="AR22" i="14"/>
  <c r="AQ22" i="14"/>
  <c r="AP22" i="14"/>
  <c r="AO22" i="14"/>
  <c r="AN22" i="14"/>
  <c r="AM22" i="14"/>
  <c r="AL22" i="14"/>
  <c r="AK22" i="14"/>
  <c r="BB22" i="14" s="1"/>
  <c r="AJ22" i="14"/>
  <c r="AI22" i="14"/>
  <c r="AH22" i="14"/>
  <c r="W22" i="14"/>
  <c r="DB22" i="14" s="1"/>
  <c r="V22" i="14"/>
  <c r="BO22" i="14" s="1"/>
  <c r="DJ21" i="14"/>
  <c r="DI21" i="14"/>
  <c r="DH21" i="14"/>
  <c r="DG21" i="14"/>
  <c r="DF21" i="14"/>
  <c r="DE21" i="14"/>
  <c r="DD21" i="14"/>
  <c r="DD36" i="14" s="1"/>
  <c r="BP21" i="14"/>
  <c r="BO21" i="14"/>
  <c r="BL21" i="14"/>
  <c r="BH21" i="14"/>
  <c r="BG21" i="14"/>
  <c r="BF21" i="14"/>
  <c r="BM21" i="14" s="1"/>
  <c r="BE21" i="14"/>
  <c r="BW21" i="14" s="1"/>
  <c r="BD21" i="14"/>
  <c r="BC21" i="14"/>
  <c r="BA21" i="14"/>
  <c r="AZ21" i="14"/>
  <c r="AY21" i="14"/>
  <c r="AX21" i="14"/>
  <c r="AW21" i="14"/>
  <c r="AV21" i="14"/>
  <c r="AU21" i="14"/>
  <c r="AT21" i="14"/>
  <c r="AS21" i="14"/>
  <c r="AR21" i="14"/>
  <c r="AQ21" i="14"/>
  <c r="AP21" i="14"/>
  <c r="AO21" i="14"/>
  <c r="AN21" i="14"/>
  <c r="AM21" i="14"/>
  <c r="AL21" i="14"/>
  <c r="AK21" i="14"/>
  <c r="AJ21" i="14"/>
  <c r="BB21" i="14" s="1"/>
  <c r="AI21" i="14"/>
  <c r="AH21" i="14"/>
  <c r="W21" i="14"/>
  <c r="DB21" i="14" s="1"/>
  <c r="V21" i="14"/>
  <c r="DJ20" i="14"/>
  <c r="DJ36" i="14" s="1"/>
  <c r="DI20" i="14"/>
  <c r="DH20" i="14"/>
  <c r="DG20" i="14"/>
  <c r="DF20" i="14"/>
  <c r="DE20" i="14"/>
  <c r="DD20" i="14"/>
  <c r="DB20" i="14"/>
  <c r="BW20" i="14"/>
  <c r="BU20" i="14"/>
  <c r="BP20" i="14"/>
  <c r="BL20" i="14"/>
  <c r="BH20" i="14"/>
  <c r="BG20" i="14"/>
  <c r="BN20" i="14" s="1"/>
  <c r="BE20" i="14"/>
  <c r="BF20" i="14" s="1"/>
  <c r="BM20" i="14" s="1"/>
  <c r="BD20" i="14"/>
  <c r="BA20" i="14"/>
  <c r="AZ20" i="14"/>
  <c r="AY20" i="14"/>
  <c r="AX20" i="14"/>
  <c r="AW20" i="14"/>
  <c r="AV20" i="14"/>
  <c r="AU20" i="14"/>
  <c r="AT20" i="14"/>
  <c r="AS20" i="14"/>
  <c r="AR20" i="14"/>
  <c r="AQ20" i="14"/>
  <c r="AP20" i="14"/>
  <c r="AO20" i="14"/>
  <c r="AN20" i="14"/>
  <c r="AM20" i="14"/>
  <c r="AL20" i="14"/>
  <c r="AK20" i="14"/>
  <c r="AK36" i="14" s="1"/>
  <c r="AJ20" i="14"/>
  <c r="AI20" i="14"/>
  <c r="AH20" i="14"/>
  <c r="W20" i="14"/>
  <c r="V20" i="14"/>
  <c r="DJ19" i="14"/>
  <c r="DI19" i="14"/>
  <c r="DH19" i="14"/>
  <c r="DG19" i="14"/>
  <c r="DF19" i="14"/>
  <c r="DD19" i="14"/>
  <c r="DB19" i="14"/>
  <c r="BP19" i="14"/>
  <c r="BL19" i="14"/>
  <c r="BH19" i="14"/>
  <c r="BG19" i="14"/>
  <c r="BE19" i="14"/>
  <c r="BW19" i="14" s="1"/>
  <c r="BC19" i="14"/>
  <c r="BA19" i="14"/>
  <c r="AZ19" i="14"/>
  <c r="AY19" i="14"/>
  <c r="AX19" i="14"/>
  <c r="AW19" i="14"/>
  <c r="AV19" i="14"/>
  <c r="AU19" i="14"/>
  <c r="AT19" i="14"/>
  <c r="AS19" i="14"/>
  <c r="AR19" i="14"/>
  <c r="AQ19" i="14"/>
  <c r="AP19" i="14"/>
  <c r="AO19" i="14"/>
  <c r="AN19" i="14"/>
  <c r="AM19" i="14"/>
  <c r="AL19" i="14"/>
  <c r="AK19" i="14"/>
  <c r="BB19" i="14" s="1"/>
  <c r="AJ19" i="14"/>
  <c r="AI19" i="14"/>
  <c r="AH19" i="14"/>
  <c r="W19" i="14"/>
  <c r="V19" i="14"/>
  <c r="DE19" i="14" s="1"/>
  <c r="DJ18" i="14"/>
  <c r="DI18" i="14"/>
  <c r="DH18" i="14"/>
  <c r="DG18" i="14"/>
  <c r="DF18" i="14"/>
  <c r="DE18" i="14"/>
  <c r="DD18" i="14"/>
  <c r="DB18" i="14"/>
  <c r="BU18" i="14"/>
  <c r="BP18" i="14"/>
  <c r="BO18" i="14"/>
  <c r="BL18" i="14"/>
  <c r="BH18" i="14"/>
  <c r="BG18" i="14"/>
  <c r="BN18" i="14" s="1"/>
  <c r="BE18" i="14"/>
  <c r="BD18" i="14"/>
  <c r="BA18" i="14"/>
  <c r="AZ18" i="14"/>
  <c r="AY18" i="14"/>
  <c r="AX18" i="14"/>
  <c r="AW18" i="14"/>
  <c r="AV18" i="14"/>
  <c r="AU18" i="14"/>
  <c r="AT18" i="14"/>
  <c r="AS18" i="14"/>
  <c r="AR18" i="14"/>
  <c r="AQ18" i="14"/>
  <c r="AP18" i="14"/>
  <c r="AO18" i="14"/>
  <c r="AN18" i="14"/>
  <c r="AM18" i="14"/>
  <c r="AL18" i="14"/>
  <c r="AK18" i="14"/>
  <c r="AJ18" i="14"/>
  <c r="AI18" i="14"/>
  <c r="AH18" i="14"/>
  <c r="W18" i="14"/>
  <c r="V18" i="14"/>
  <c r="DJ17" i="14"/>
  <c r="DI17" i="14"/>
  <c r="DH17" i="14"/>
  <c r="DG17" i="14"/>
  <c r="DF17" i="14"/>
  <c r="DD17" i="14"/>
  <c r="BU17" i="14"/>
  <c r="BP17" i="14"/>
  <c r="BN17" i="14"/>
  <c r="BL17" i="14"/>
  <c r="BH17" i="14"/>
  <c r="BG17" i="14"/>
  <c r="BE17" i="14"/>
  <c r="BW17" i="14" s="1"/>
  <c r="BC17" i="14"/>
  <c r="BA17" i="14"/>
  <c r="AZ17" i="14"/>
  <c r="AY17" i="14"/>
  <c r="AX17" i="14"/>
  <c r="AW17" i="14"/>
  <c r="AV17" i="14"/>
  <c r="AU17" i="14"/>
  <c r="AT17" i="14"/>
  <c r="AS17" i="14"/>
  <c r="AR17" i="14"/>
  <c r="AQ17" i="14"/>
  <c r="AP17" i="14"/>
  <c r="AO17" i="14"/>
  <c r="AN17" i="14"/>
  <c r="AM17" i="14"/>
  <c r="AL17" i="14"/>
  <c r="AK17" i="14"/>
  <c r="AJ17" i="14"/>
  <c r="AI17" i="14"/>
  <c r="AH17" i="14"/>
  <c r="W17" i="14"/>
  <c r="DB17" i="14" s="1"/>
  <c r="V17" i="14"/>
  <c r="DJ16" i="14"/>
  <c r="DI16" i="14"/>
  <c r="DH16" i="14"/>
  <c r="DG16" i="14"/>
  <c r="DG36" i="14" s="1"/>
  <c r="DF16" i="14"/>
  <c r="DE16" i="14"/>
  <c r="DD16" i="14"/>
  <c r="DB16" i="14"/>
  <c r="BU16" i="14"/>
  <c r="BP16" i="14"/>
  <c r="BO16" i="14"/>
  <c r="BN16" i="14"/>
  <c r="BL16" i="14"/>
  <c r="BH16" i="14"/>
  <c r="BG16" i="14"/>
  <c r="BE16" i="14"/>
  <c r="BW16" i="14" s="1"/>
  <c r="BD16" i="14"/>
  <c r="BB16" i="14"/>
  <c r="BA16" i="14"/>
  <c r="AZ16" i="14"/>
  <c r="AY16" i="14"/>
  <c r="AX16" i="14"/>
  <c r="AW16" i="14"/>
  <c r="AV16" i="14"/>
  <c r="AU16" i="14"/>
  <c r="AT16" i="14"/>
  <c r="AS16" i="14"/>
  <c r="AR16" i="14"/>
  <c r="AQ16" i="14"/>
  <c r="AP16" i="14"/>
  <c r="AO16" i="14"/>
  <c r="AN16" i="14"/>
  <c r="AM16" i="14"/>
  <c r="AL16" i="14"/>
  <c r="AK16" i="14"/>
  <c r="AJ16" i="14"/>
  <c r="AI16" i="14"/>
  <c r="AH16" i="14"/>
  <c r="W16" i="14"/>
  <c r="V16" i="14"/>
  <c r="DJ15" i="14"/>
  <c r="DI15" i="14"/>
  <c r="DH15" i="14"/>
  <c r="DG15" i="14"/>
  <c r="DF15" i="14"/>
  <c r="DD15" i="14"/>
  <c r="BW15" i="14"/>
  <c r="BP15" i="14"/>
  <c r="BN15" i="14"/>
  <c r="BL15" i="14"/>
  <c r="BH15" i="14"/>
  <c r="BG15" i="14"/>
  <c r="BU15" i="14" s="1"/>
  <c r="BF15" i="14"/>
  <c r="BM15" i="14" s="1"/>
  <c r="BE15" i="14"/>
  <c r="BD15" i="14"/>
  <c r="BC15" i="14"/>
  <c r="BB15" i="14"/>
  <c r="BA15" i="14"/>
  <c r="AZ15" i="14"/>
  <c r="AY15" i="14"/>
  <c r="AX15" i="14"/>
  <c r="AW15" i="14"/>
  <c r="AV15" i="14"/>
  <c r="AU15" i="14"/>
  <c r="AT15" i="14"/>
  <c r="AS15" i="14"/>
  <c r="AR15" i="14"/>
  <c r="AQ15" i="14"/>
  <c r="AP15" i="14"/>
  <c r="AO15" i="14"/>
  <c r="AN15" i="14"/>
  <c r="AM15" i="14"/>
  <c r="AL15" i="14"/>
  <c r="AK15" i="14"/>
  <c r="AJ15" i="14"/>
  <c r="AI15" i="14"/>
  <c r="AH15" i="14"/>
  <c r="W15" i="14"/>
  <c r="DB15" i="14" s="1"/>
  <c r="V15" i="14"/>
  <c r="DJ14" i="14"/>
  <c r="DI14" i="14"/>
  <c r="DH14" i="14"/>
  <c r="DG14" i="14"/>
  <c r="DF14" i="14"/>
  <c r="DE14" i="14"/>
  <c r="DD14" i="14"/>
  <c r="DB14" i="14"/>
  <c r="BW14" i="14"/>
  <c r="BP14" i="14"/>
  <c r="BN14" i="14"/>
  <c r="BL14" i="14"/>
  <c r="BH14" i="14"/>
  <c r="BG14" i="14"/>
  <c r="BU14" i="14" s="1"/>
  <c r="BF14" i="14"/>
  <c r="BM14" i="14" s="1"/>
  <c r="BE14" i="14"/>
  <c r="BD14" i="14"/>
  <c r="BA14" i="14"/>
  <c r="AZ14" i="14"/>
  <c r="AY14" i="14"/>
  <c r="AX14" i="14"/>
  <c r="AW14" i="14"/>
  <c r="AV14" i="14"/>
  <c r="AU14" i="14"/>
  <c r="AT14" i="14"/>
  <c r="AS14" i="14"/>
  <c r="AR14" i="14"/>
  <c r="AQ14" i="14"/>
  <c r="AP14" i="14"/>
  <c r="AO14" i="14"/>
  <c r="AN14" i="14"/>
  <c r="AM14" i="14"/>
  <c r="BB14" i="14" s="1"/>
  <c r="AL14" i="14"/>
  <c r="AK14" i="14"/>
  <c r="AJ14" i="14"/>
  <c r="AI14" i="14"/>
  <c r="AH14" i="14"/>
  <c r="W14" i="14"/>
  <c r="V14" i="14"/>
  <c r="BO14" i="14" s="1"/>
  <c r="DJ13" i="14"/>
  <c r="DI13" i="14"/>
  <c r="DH13" i="14"/>
  <c r="DG13" i="14"/>
  <c r="DF13" i="14"/>
  <c r="DD13" i="14"/>
  <c r="BW13" i="14"/>
  <c r="BP13" i="14"/>
  <c r="BN13" i="14"/>
  <c r="BL13" i="14"/>
  <c r="BH13" i="14"/>
  <c r="BG13" i="14"/>
  <c r="BU13" i="14" s="1"/>
  <c r="BF13" i="14"/>
  <c r="BM13" i="14" s="1"/>
  <c r="BE13" i="14"/>
  <c r="BD13" i="14"/>
  <c r="BA13" i="14"/>
  <c r="AZ13" i="14"/>
  <c r="AY13" i="14"/>
  <c r="AX13" i="14"/>
  <c r="AW13" i="14"/>
  <c r="AV13" i="14"/>
  <c r="AU13" i="14"/>
  <c r="AT13" i="14"/>
  <c r="AS13" i="14"/>
  <c r="AR13" i="14"/>
  <c r="AQ13" i="14"/>
  <c r="AP13" i="14"/>
  <c r="AO13" i="14"/>
  <c r="AN13" i="14"/>
  <c r="AM13" i="14"/>
  <c r="AL13" i="14"/>
  <c r="AK13" i="14"/>
  <c r="AJ13" i="14"/>
  <c r="AI13" i="14"/>
  <c r="BB13" i="14" s="1"/>
  <c r="AH13" i="14"/>
  <c r="W13" i="14"/>
  <c r="DB13" i="14" s="1"/>
  <c r="V13" i="14"/>
  <c r="BO13" i="14" s="1"/>
  <c r="DJ12" i="14"/>
  <c r="DI12" i="14"/>
  <c r="DH12" i="14"/>
  <c r="DH36" i="14" s="1"/>
  <c r="D91" i="14" s="1"/>
  <c r="N91" i="14" s="1"/>
  <c r="D134" i="14" s="1"/>
  <c r="DG12" i="14"/>
  <c r="DF12" i="14"/>
  <c r="DD12" i="14"/>
  <c r="BW12" i="14"/>
  <c r="BP12" i="14"/>
  <c r="BM12" i="14"/>
  <c r="BL12" i="14"/>
  <c r="BH12" i="14"/>
  <c r="BG12" i="14"/>
  <c r="BF12" i="14"/>
  <c r="BE12" i="14"/>
  <c r="BA12" i="14"/>
  <c r="AZ12" i="14"/>
  <c r="AY12" i="14"/>
  <c r="AX12" i="14"/>
  <c r="AW12" i="14"/>
  <c r="AV12" i="14"/>
  <c r="AU12" i="14"/>
  <c r="AT12" i="14"/>
  <c r="AS12" i="14"/>
  <c r="AR12" i="14"/>
  <c r="BC12" i="14" s="1"/>
  <c r="AQ12" i="14"/>
  <c r="AP12" i="14"/>
  <c r="AP36" i="14" s="1"/>
  <c r="AO12" i="14"/>
  <c r="AN12" i="14"/>
  <c r="AM12" i="14"/>
  <c r="AL12" i="14"/>
  <c r="BB12" i="14" s="1"/>
  <c r="AK12" i="14"/>
  <c r="AJ12" i="14"/>
  <c r="AI12" i="14"/>
  <c r="AH12" i="14"/>
  <c r="W12" i="14"/>
  <c r="DB12" i="14" s="1"/>
  <c r="V12" i="14"/>
  <c r="DJ11" i="14"/>
  <c r="DI11" i="14"/>
  <c r="DH11" i="14"/>
  <c r="DG11" i="14"/>
  <c r="DF11" i="14"/>
  <c r="DE11" i="14"/>
  <c r="DD11" i="14"/>
  <c r="BW11" i="14"/>
  <c r="BU11" i="14"/>
  <c r="BP11" i="14"/>
  <c r="BN11" i="14"/>
  <c r="BL11" i="14"/>
  <c r="BH11" i="14"/>
  <c r="BG11" i="14"/>
  <c r="BE11" i="14"/>
  <c r="BF11" i="14" s="1"/>
  <c r="BM11" i="14" s="1"/>
  <c r="BA11" i="14"/>
  <c r="AZ11" i="14"/>
  <c r="AY11" i="14"/>
  <c r="AX11" i="14"/>
  <c r="AW11" i="14"/>
  <c r="AV11" i="14"/>
  <c r="AU11" i="14"/>
  <c r="AT11" i="14"/>
  <c r="AS11" i="14"/>
  <c r="AR11" i="14"/>
  <c r="AQ11" i="14"/>
  <c r="AP11" i="14"/>
  <c r="AO11" i="14"/>
  <c r="AN11" i="14"/>
  <c r="AM11" i="14"/>
  <c r="AL11" i="14"/>
  <c r="AK11" i="14"/>
  <c r="AJ11" i="14"/>
  <c r="AI11" i="14"/>
  <c r="AH11" i="14"/>
  <c r="W11" i="14"/>
  <c r="DB11" i="14" s="1"/>
  <c r="V11" i="14"/>
  <c r="BD11" i="14" s="1"/>
  <c r="DJ10" i="14"/>
  <c r="DI10" i="14"/>
  <c r="DH10" i="14"/>
  <c r="DG10" i="14"/>
  <c r="DF10" i="14"/>
  <c r="DD10" i="14"/>
  <c r="BU10" i="14"/>
  <c r="BP10" i="14"/>
  <c r="BO10" i="14"/>
  <c r="BN10" i="14"/>
  <c r="BL10" i="14"/>
  <c r="BH10" i="14"/>
  <c r="BG10" i="14"/>
  <c r="BE10" i="14"/>
  <c r="BC10" i="14"/>
  <c r="BB10" i="14"/>
  <c r="BA10" i="14"/>
  <c r="BA36" i="14" s="1"/>
  <c r="AZ10" i="14"/>
  <c r="AZ36" i="14" s="1"/>
  <c r="AY10" i="14"/>
  <c r="AX10" i="14"/>
  <c r="AW10" i="14"/>
  <c r="AV10" i="14"/>
  <c r="AU10" i="14"/>
  <c r="AT10" i="14"/>
  <c r="AS10" i="14"/>
  <c r="AR10" i="14"/>
  <c r="AQ10" i="14"/>
  <c r="AP10" i="14"/>
  <c r="AO10" i="14"/>
  <c r="AN10" i="14"/>
  <c r="AM10" i="14"/>
  <c r="AL10" i="14"/>
  <c r="AK10" i="14"/>
  <c r="AJ10" i="14"/>
  <c r="AI10" i="14"/>
  <c r="AH10" i="14"/>
  <c r="W10" i="14"/>
  <c r="V10" i="14"/>
  <c r="P6" i="14"/>
  <c r="P5" i="14"/>
  <c r="P4" i="14"/>
  <c r="P3" i="14"/>
  <c r="V2" i="14"/>
  <c r="AE1" i="14"/>
  <c r="S42" i="14" s="1"/>
  <c r="D157" i="13"/>
  <c r="D156" i="13"/>
  <c r="D150" i="13"/>
  <c r="D132" i="13"/>
  <c r="D131" i="13"/>
  <c r="D124" i="13"/>
  <c r="D123" i="13"/>
  <c r="D119" i="13"/>
  <c r="D118" i="13"/>
  <c r="D117" i="13"/>
  <c r="D105" i="13"/>
  <c r="L99" i="13"/>
  <c r="D96" i="13"/>
  <c r="N95" i="13"/>
  <c r="U94" i="13"/>
  <c r="W94" i="13" s="1"/>
  <c r="S94" i="13"/>
  <c r="N94" i="13"/>
  <c r="N93" i="13"/>
  <c r="N92" i="13"/>
  <c r="S91" i="13"/>
  <c r="D88" i="13"/>
  <c r="N88" i="13" s="1"/>
  <c r="N87" i="13"/>
  <c r="D152" i="13" s="1"/>
  <c r="D87" i="13"/>
  <c r="F86" i="13"/>
  <c r="D86" i="13"/>
  <c r="N86" i="13" s="1"/>
  <c r="D151" i="13" s="1"/>
  <c r="N85" i="13"/>
  <c r="D85" i="13"/>
  <c r="U84" i="13"/>
  <c r="W84" i="13" s="1"/>
  <c r="F84" i="13"/>
  <c r="D84" i="13"/>
  <c r="W83" i="13"/>
  <c r="U83" i="13"/>
  <c r="F83" i="13"/>
  <c r="D81" i="13"/>
  <c r="N81" i="13" s="1"/>
  <c r="D122" i="13" s="1"/>
  <c r="W80" i="13"/>
  <c r="N80" i="13"/>
  <c r="D121" i="13" s="1"/>
  <c r="D80" i="13"/>
  <c r="U79" i="13"/>
  <c r="N79" i="13"/>
  <c r="D79" i="13"/>
  <c r="U78" i="13"/>
  <c r="S78" i="13"/>
  <c r="W78" i="13" s="1"/>
  <c r="N78" i="13"/>
  <c r="U77" i="13"/>
  <c r="W76" i="13"/>
  <c r="W75" i="13"/>
  <c r="N75" i="13"/>
  <c r="D146" i="13" s="1"/>
  <c r="K75" i="13"/>
  <c r="W74" i="13"/>
  <c r="K74" i="13"/>
  <c r="W73" i="13"/>
  <c r="K73" i="13"/>
  <c r="W72" i="13"/>
  <c r="K72" i="13"/>
  <c r="W71" i="13"/>
  <c r="K71" i="13"/>
  <c r="W70" i="13"/>
  <c r="K70" i="13"/>
  <c r="D125" i="13" s="1"/>
  <c r="K69" i="13"/>
  <c r="D126" i="13" s="1"/>
  <c r="K68" i="13"/>
  <c r="S67" i="13"/>
  <c r="W67" i="13" s="1"/>
  <c r="K67" i="13"/>
  <c r="G67" i="13"/>
  <c r="U66" i="13"/>
  <c r="K66" i="13"/>
  <c r="U65" i="13"/>
  <c r="S65" i="13"/>
  <c r="U64" i="13"/>
  <c r="S64" i="13"/>
  <c r="S63" i="13"/>
  <c r="N63" i="13"/>
  <c r="K63" i="13"/>
  <c r="DE62" i="13"/>
  <c r="K62" i="13"/>
  <c r="N62" i="13" s="1"/>
  <c r="D113" i="13" s="1"/>
  <c r="DE61" i="13"/>
  <c r="N61" i="13"/>
  <c r="DE60" i="13"/>
  <c r="N60" i="13"/>
  <c r="D108" i="13" s="1"/>
  <c r="DE59" i="13"/>
  <c r="S59" i="13"/>
  <c r="DE58" i="13"/>
  <c r="N58" i="13"/>
  <c r="D111" i="13" s="1"/>
  <c r="DE57" i="13"/>
  <c r="S57" i="13"/>
  <c r="N57" i="13"/>
  <c r="F57" i="13"/>
  <c r="DE56" i="13"/>
  <c r="F56" i="13"/>
  <c r="A56" i="13"/>
  <c r="DE55" i="13"/>
  <c r="B55" i="13"/>
  <c r="W54" i="13"/>
  <c r="B54" i="13"/>
  <c r="W53" i="13"/>
  <c r="B53" i="13"/>
  <c r="DE52" i="13"/>
  <c r="B52" i="13"/>
  <c r="DE51" i="13"/>
  <c r="U51" i="13"/>
  <c r="B51" i="13"/>
  <c r="DD48" i="13"/>
  <c r="T47" i="13"/>
  <c r="T46" i="13"/>
  <c r="DF42" i="13"/>
  <c r="M42" i="13"/>
  <c r="DF41" i="13"/>
  <c r="L40" i="13"/>
  <c r="V39" i="13"/>
  <c r="V98" i="13" s="1"/>
  <c r="T39" i="13"/>
  <c r="DI36" i="13"/>
  <c r="BI36" i="13"/>
  <c r="E36" i="13"/>
  <c r="DJ35" i="13"/>
  <c r="DI35" i="13"/>
  <c r="DH35" i="13"/>
  <c r="DG35" i="13"/>
  <c r="DF35" i="13"/>
  <c r="DE35" i="13"/>
  <c r="DD35" i="13"/>
  <c r="DB35" i="13"/>
  <c r="BP35" i="13"/>
  <c r="BL35" i="13"/>
  <c r="BJ35" i="13"/>
  <c r="BH35" i="13"/>
  <c r="BG35" i="13"/>
  <c r="BE35" i="13"/>
  <c r="BD35" i="13"/>
  <c r="BA35" i="13"/>
  <c r="AZ35" i="13"/>
  <c r="AY35" i="13"/>
  <c r="AX35" i="13"/>
  <c r="AW35" i="13"/>
  <c r="AV35" i="13"/>
  <c r="AU35" i="13"/>
  <c r="AT35" i="13"/>
  <c r="AS35" i="13"/>
  <c r="AR35" i="13"/>
  <c r="AQ35" i="13"/>
  <c r="AP35" i="13"/>
  <c r="AO35" i="13"/>
  <c r="AN35" i="13"/>
  <c r="AM35" i="13"/>
  <c r="AL35" i="13"/>
  <c r="AK35" i="13"/>
  <c r="AJ35" i="13"/>
  <c r="AI35" i="13"/>
  <c r="BB35" i="13" s="1"/>
  <c r="AH35" i="13"/>
  <c r="W35" i="13"/>
  <c r="V35" i="13"/>
  <c r="BO35" i="13" s="1"/>
  <c r="DJ34" i="13"/>
  <c r="DI34" i="13"/>
  <c r="DH34" i="13"/>
  <c r="DG34" i="13"/>
  <c r="DF34" i="13"/>
  <c r="DE34" i="13"/>
  <c r="DD34" i="13"/>
  <c r="BW34" i="13"/>
  <c r="BU34" i="13"/>
  <c r="BP34" i="13"/>
  <c r="BL34" i="13"/>
  <c r="BH34" i="13"/>
  <c r="BG34" i="13"/>
  <c r="BN34" i="13" s="1"/>
  <c r="BE34" i="13"/>
  <c r="BF34" i="13" s="1"/>
  <c r="BM34" i="13" s="1"/>
  <c r="BD34" i="13"/>
  <c r="BC34" i="13"/>
  <c r="BA34" i="13"/>
  <c r="AZ34" i="13"/>
  <c r="AY34" i="13"/>
  <c r="AX34" i="13"/>
  <c r="AW34" i="13"/>
  <c r="AV34" i="13"/>
  <c r="AU34" i="13"/>
  <c r="AT34" i="13"/>
  <c r="AS34" i="13"/>
  <c r="AR34" i="13"/>
  <c r="AQ34" i="13"/>
  <c r="AP34" i="13"/>
  <c r="AO34" i="13"/>
  <c r="AN34" i="13"/>
  <c r="AM34" i="13"/>
  <c r="AL34" i="13"/>
  <c r="BB34" i="13" s="1"/>
  <c r="AK34" i="13"/>
  <c r="AJ34" i="13"/>
  <c r="AI34" i="13"/>
  <c r="AH34" i="13"/>
  <c r="W34" i="13"/>
  <c r="DB34" i="13" s="1"/>
  <c r="V34" i="13"/>
  <c r="BO34" i="13" s="1"/>
  <c r="DJ33" i="13"/>
  <c r="DI33" i="13"/>
  <c r="DH33" i="13"/>
  <c r="DG33" i="13"/>
  <c r="DF33" i="13"/>
  <c r="DD33" i="13"/>
  <c r="DB33" i="13"/>
  <c r="BP33" i="13"/>
  <c r="BN33" i="13"/>
  <c r="BL33" i="13"/>
  <c r="BH33" i="13"/>
  <c r="BG33" i="13"/>
  <c r="BU33" i="13" s="1"/>
  <c r="BE33" i="13"/>
  <c r="BW33" i="13" s="1"/>
  <c r="BC33" i="13"/>
  <c r="BB33" i="13"/>
  <c r="BA33" i="13"/>
  <c r="AZ33" i="13"/>
  <c r="AY33" i="13"/>
  <c r="AX33" i="13"/>
  <c r="AW33" i="13"/>
  <c r="AV33" i="13"/>
  <c r="AU33" i="13"/>
  <c r="AT33" i="13"/>
  <c r="AS33" i="13"/>
  <c r="AR33" i="13"/>
  <c r="AQ33" i="13"/>
  <c r="AP33" i="13"/>
  <c r="AO33" i="13"/>
  <c r="AN33" i="13"/>
  <c r="AM33" i="13"/>
  <c r="AL33" i="13"/>
  <c r="AK33" i="13"/>
  <c r="AJ33" i="13"/>
  <c r="AI33" i="13"/>
  <c r="AH33" i="13"/>
  <c r="W33" i="13"/>
  <c r="V33" i="13"/>
  <c r="DJ32" i="13"/>
  <c r="DI32" i="13"/>
  <c r="DH32" i="13"/>
  <c r="DG32" i="13"/>
  <c r="DF32" i="13"/>
  <c r="DE32" i="13"/>
  <c r="DD32" i="13"/>
  <c r="DB32" i="13"/>
  <c r="BW32" i="13"/>
  <c r="BU32" i="13"/>
  <c r="BP32" i="13"/>
  <c r="BO32" i="13"/>
  <c r="BN32" i="13"/>
  <c r="BL32" i="13"/>
  <c r="BH32" i="13"/>
  <c r="BG32" i="13"/>
  <c r="BE32" i="13"/>
  <c r="BF32" i="13" s="1"/>
  <c r="BM32" i="13" s="1"/>
  <c r="BD32" i="13"/>
  <c r="BA32" i="13"/>
  <c r="AZ32" i="13"/>
  <c r="AY32" i="13"/>
  <c r="AX32" i="13"/>
  <c r="AW32" i="13"/>
  <c r="AV32" i="13"/>
  <c r="AU32" i="13"/>
  <c r="AT32" i="13"/>
  <c r="AS32" i="13"/>
  <c r="AR32" i="13"/>
  <c r="AQ32" i="13"/>
  <c r="AP32" i="13"/>
  <c r="AO32" i="13"/>
  <c r="AN32" i="13"/>
  <c r="AM32" i="13"/>
  <c r="AL32" i="13"/>
  <c r="AK32" i="13"/>
  <c r="AJ32" i="13"/>
  <c r="AI32" i="13"/>
  <c r="AH32" i="13"/>
  <c r="W32" i="13"/>
  <c r="V32" i="13"/>
  <c r="DJ31" i="13"/>
  <c r="DI31" i="13"/>
  <c r="DH31" i="13"/>
  <c r="DG31" i="13"/>
  <c r="DF31" i="13"/>
  <c r="DD31" i="13"/>
  <c r="DB31" i="13"/>
  <c r="BP31" i="13"/>
  <c r="BO31" i="13"/>
  <c r="BL31" i="13"/>
  <c r="BJ31" i="13"/>
  <c r="BH31" i="13"/>
  <c r="BG31" i="13"/>
  <c r="BE31" i="13"/>
  <c r="BD31" i="13"/>
  <c r="BC31" i="13"/>
  <c r="BA31" i="13"/>
  <c r="AZ31" i="13"/>
  <c r="AY31" i="13"/>
  <c r="AX31" i="13"/>
  <c r="AW31" i="13"/>
  <c r="AV31" i="13"/>
  <c r="AU31" i="13"/>
  <c r="AT31" i="13"/>
  <c r="AS31" i="13"/>
  <c r="AR31" i="13"/>
  <c r="AQ31" i="13"/>
  <c r="AP31" i="13"/>
  <c r="AO31" i="13"/>
  <c r="AN31" i="13"/>
  <c r="AM31" i="13"/>
  <c r="AL31" i="13"/>
  <c r="AK31" i="13"/>
  <c r="AJ31" i="13"/>
  <c r="BB31" i="13" s="1"/>
  <c r="AI31" i="13"/>
  <c r="AH31" i="13"/>
  <c r="W31" i="13"/>
  <c r="V31" i="13"/>
  <c r="DE31" i="13" s="1"/>
  <c r="DJ30" i="13"/>
  <c r="DI30" i="13"/>
  <c r="DH30" i="13"/>
  <c r="DG30" i="13"/>
  <c r="DF30" i="13"/>
  <c r="DE30" i="13"/>
  <c r="DD30" i="13"/>
  <c r="DB30" i="13"/>
  <c r="BW30" i="13"/>
  <c r="BU30" i="13"/>
  <c r="BP30" i="13"/>
  <c r="BO30" i="13"/>
  <c r="BL30" i="13"/>
  <c r="BH30" i="13"/>
  <c r="BG30" i="13"/>
  <c r="BN30" i="13" s="1"/>
  <c r="BE30" i="13"/>
  <c r="BF30" i="13" s="1"/>
  <c r="BM30" i="13" s="1"/>
  <c r="BD30" i="13"/>
  <c r="BA30" i="13"/>
  <c r="AZ30" i="13"/>
  <c r="AY30" i="13"/>
  <c r="AX30" i="13"/>
  <c r="AW30" i="13"/>
  <c r="AV30" i="13"/>
  <c r="AU30" i="13"/>
  <c r="AT30" i="13"/>
  <c r="AS30" i="13"/>
  <c r="AR30" i="13"/>
  <c r="AQ30" i="13"/>
  <c r="AP30" i="13"/>
  <c r="AO30" i="13"/>
  <c r="AN30" i="13"/>
  <c r="AM30" i="13"/>
  <c r="AL30" i="13"/>
  <c r="AK30" i="13"/>
  <c r="AJ30" i="13"/>
  <c r="AI30" i="13"/>
  <c r="AH30" i="13"/>
  <c r="W30" i="13"/>
  <c r="V30" i="13"/>
  <c r="DJ29" i="13"/>
  <c r="DI29" i="13"/>
  <c r="DH29" i="13"/>
  <c r="DG29" i="13"/>
  <c r="DF29" i="13"/>
  <c r="DD29" i="13"/>
  <c r="BW29" i="13"/>
  <c r="BP29" i="13"/>
  <c r="BO29" i="13"/>
  <c r="BN29" i="13"/>
  <c r="BL29" i="13"/>
  <c r="BJ29" i="13"/>
  <c r="BH29" i="13"/>
  <c r="BG29" i="13"/>
  <c r="BU29" i="13" s="1"/>
  <c r="BF29" i="13"/>
  <c r="BM29" i="13" s="1"/>
  <c r="BE29" i="13"/>
  <c r="BD29" i="13"/>
  <c r="BC29" i="13"/>
  <c r="BA29" i="13"/>
  <c r="AZ29" i="13"/>
  <c r="AY29" i="13"/>
  <c r="AX29" i="13"/>
  <c r="AW29" i="13"/>
  <c r="AV29" i="13"/>
  <c r="AU29" i="13"/>
  <c r="AT29" i="13"/>
  <c r="AS29" i="13"/>
  <c r="AR29" i="13"/>
  <c r="AQ29" i="13"/>
  <c r="AP29" i="13"/>
  <c r="AO29" i="13"/>
  <c r="AN29" i="13"/>
  <c r="AM29" i="13"/>
  <c r="AL29" i="13"/>
  <c r="AK29" i="13"/>
  <c r="AJ29" i="13"/>
  <c r="AI29" i="13"/>
  <c r="AH29" i="13"/>
  <c r="W29" i="13"/>
  <c r="DB29" i="13" s="1"/>
  <c r="V29" i="13"/>
  <c r="DE29" i="13" s="1"/>
  <c r="DJ28" i="13"/>
  <c r="DI28" i="13"/>
  <c r="DH28" i="13"/>
  <c r="DG28" i="13"/>
  <c r="DF28" i="13"/>
  <c r="DE28" i="13"/>
  <c r="DD28" i="13"/>
  <c r="BW28" i="13"/>
  <c r="BP28" i="13"/>
  <c r="BO28" i="13"/>
  <c r="BM28" i="13"/>
  <c r="BL28" i="13"/>
  <c r="BH28" i="13"/>
  <c r="BG28" i="13"/>
  <c r="BU28" i="13" s="1"/>
  <c r="BE28" i="13"/>
  <c r="BF28" i="13" s="1"/>
  <c r="BD28" i="13"/>
  <c r="BA28" i="13"/>
  <c r="AZ28" i="13"/>
  <c r="AY28" i="13"/>
  <c r="AX28" i="13"/>
  <c r="AW28" i="13"/>
  <c r="AV28" i="13"/>
  <c r="AU28" i="13"/>
  <c r="AT28" i="13"/>
  <c r="AS28" i="13"/>
  <c r="AR28" i="13"/>
  <c r="AQ28" i="13"/>
  <c r="AP28" i="13"/>
  <c r="AO28" i="13"/>
  <c r="AN28" i="13"/>
  <c r="AM28" i="13"/>
  <c r="AL28" i="13"/>
  <c r="AK28" i="13"/>
  <c r="AJ28" i="13"/>
  <c r="AI28" i="13"/>
  <c r="AH28" i="13"/>
  <c r="W28" i="13"/>
  <c r="DB28" i="13" s="1"/>
  <c r="V28" i="13"/>
  <c r="DJ27" i="13"/>
  <c r="DI27" i="13"/>
  <c r="DH27" i="13"/>
  <c r="DG27" i="13"/>
  <c r="DF27" i="13"/>
  <c r="DD27" i="13"/>
  <c r="BW27" i="13"/>
  <c r="BP27" i="13"/>
  <c r="BL27" i="13"/>
  <c r="BH27" i="13"/>
  <c r="BG27" i="13"/>
  <c r="BU27" i="13" s="1"/>
  <c r="BE27" i="13"/>
  <c r="BF27" i="13" s="1"/>
  <c r="BM27" i="13" s="1"/>
  <c r="BB27" i="13"/>
  <c r="BA27" i="13"/>
  <c r="AZ27" i="13"/>
  <c r="AY27" i="13"/>
  <c r="AX27" i="13"/>
  <c r="AW27" i="13"/>
  <c r="AV27" i="13"/>
  <c r="AU27" i="13"/>
  <c r="AT27" i="13"/>
  <c r="AS27" i="13"/>
  <c r="AR27" i="13"/>
  <c r="AQ27" i="13"/>
  <c r="AP27" i="13"/>
  <c r="AO27" i="13"/>
  <c r="AN27" i="13"/>
  <c r="AM27" i="13"/>
  <c r="AL27" i="13"/>
  <c r="AK27" i="13"/>
  <c r="AJ27" i="13"/>
  <c r="AI27" i="13"/>
  <c r="AH27" i="13"/>
  <c r="W27" i="13"/>
  <c r="DB27" i="13" s="1"/>
  <c r="V27" i="13"/>
  <c r="BJ27" i="13" s="1"/>
  <c r="DJ26" i="13"/>
  <c r="DI26" i="13"/>
  <c r="DH26" i="13"/>
  <c r="DG26" i="13"/>
  <c r="DF26" i="13"/>
  <c r="DD26" i="13"/>
  <c r="BW26" i="13"/>
  <c r="BU26" i="13"/>
  <c r="BP26" i="13"/>
  <c r="BN26" i="13"/>
  <c r="BL26" i="13"/>
  <c r="BH26" i="13"/>
  <c r="BG26" i="13"/>
  <c r="BF26" i="13"/>
  <c r="BM26" i="13" s="1"/>
  <c r="BE26" i="13"/>
  <c r="BD26" i="13"/>
  <c r="BA26" i="13"/>
  <c r="AZ26" i="13"/>
  <c r="AY26" i="13"/>
  <c r="AX26" i="13"/>
  <c r="AW26" i="13"/>
  <c r="AV26" i="13"/>
  <c r="AU26" i="13"/>
  <c r="AT26" i="13"/>
  <c r="AS26" i="13"/>
  <c r="AR26" i="13"/>
  <c r="AQ26" i="13"/>
  <c r="AP26" i="13"/>
  <c r="AO26" i="13"/>
  <c r="AN26" i="13"/>
  <c r="AM26" i="13"/>
  <c r="AL26" i="13"/>
  <c r="AK26" i="13"/>
  <c r="AJ26" i="13"/>
  <c r="AI26" i="13"/>
  <c r="BB26" i="13" s="1"/>
  <c r="AH26" i="13"/>
  <c r="W26" i="13"/>
  <c r="DB26" i="13" s="1"/>
  <c r="V26" i="13"/>
  <c r="DE26" i="13" s="1"/>
  <c r="DJ25" i="13"/>
  <c r="DI25" i="13"/>
  <c r="DH25" i="13"/>
  <c r="DG25" i="13"/>
  <c r="DF25" i="13"/>
  <c r="DE25" i="13"/>
  <c r="DD25" i="13"/>
  <c r="BP25" i="13"/>
  <c r="BO25" i="13"/>
  <c r="BN25" i="13"/>
  <c r="BL25" i="13"/>
  <c r="BH25" i="13"/>
  <c r="BG25" i="13"/>
  <c r="BU25" i="13" s="1"/>
  <c r="BE25" i="13"/>
  <c r="BD25" i="13"/>
  <c r="BA25" i="13"/>
  <c r="AZ25" i="13"/>
  <c r="AY25" i="13"/>
  <c r="AX25" i="13"/>
  <c r="AW25" i="13"/>
  <c r="AV25" i="13"/>
  <c r="AU25" i="13"/>
  <c r="AT25" i="13"/>
  <c r="AS25" i="13"/>
  <c r="BC25" i="13" s="1"/>
  <c r="AR25" i="13"/>
  <c r="AQ25" i="13"/>
  <c r="AP25" i="13"/>
  <c r="AO25" i="13"/>
  <c r="AN25" i="13"/>
  <c r="AM25" i="13"/>
  <c r="AL25" i="13"/>
  <c r="AK25" i="13"/>
  <c r="AJ25" i="13"/>
  <c r="AI25" i="13"/>
  <c r="AH25" i="13"/>
  <c r="W25" i="13"/>
  <c r="DB25" i="13" s="1"/>
  <c r="V25" i="13"/>
  <c r="DJ24" i="13"/>
  <c r="DI24" i="13"/>
  <c r="DH24" i="13"/>
  <c r="DG24" i="13"/>
  <c r="DF24" i="13"/>
  <c r="DD24" i="13"/>
  <c r="BW24" i="13"/>
  <c r="BU24" i="13"/>
  <c r="BP24" i="13"/>
  <c r="BN24" i="13"/>
  <c r="BM24" i="13"/>
  <c r="BL24" i="13"/>
  <c r="BH24" i="13"/>
  <c r="BG24" i="13"/>
  <c r="BF24" i="13"/>
  <c r="BE24" i="13"/>
  <c r="BA24" i="13"/>
  <c r="AZ24" i="13"/>
  <c r="AY24" i="13"/>
  <c r="AX24" i="13"/>
  <c r="AW24" i="13"/>
  <c r="AV24" i="13"/>
  <c r="AU24" i="13"/>
  <c r="AT24" i="13"/>
  <c r="AS24" i="13"/>
  <c r="AR24" i="13"/>
  <c r="AQ24" i="13"/>
  <c r="AP24" i="13"/>
  <c r="AO24" i="13"/>
  <c r="AN24" i="13"/>
  <c r="AM24" i="13"/>
  <c r="AL24" i="13"/>
  <c r="AK24" i="13"/>
  <c r="AJ24" i="13"/>
  <c r="AI24" i="13"/>
  <c r="AH24" i="13"/>
  <c r="W24" i="13"/>
  <c r="DB24" i="13" s="1"/>
  <c r="V24" i="13"/>
  <c r="BO24" i="13" s="1"/>
  <c r="DJ23" i="13"/>
  <c r="DI23" i="13"/>
  <c r="DH23" i="13"/>
  <c r="DG23" i="13"/>
  <c r="DF23" i="13"/>
  <c r="DD23" i="13"/>
  <c r="BW23" i="13"/>
  <c r="BU23" i="13"/>
  <c r="BP23" i="13"/>
  <c r="BO23" i="13"/>
  <c r="BN23" i="13"/>
  <c r="BM23" i="13"/>
  <c r="BL23" i="13"/>
  <c r="BH23" i="13"/>
  <c r="BG23" i="13"/>
  <c r="BF23" i="13"/>
  <c r="BE23" i="13"/>
  <c r="BA23" i="13"/>
  <c r="AZ23" i="13"/>
  <c r="AY23" i="13"/>
  <c r="AX23" i="13"/>
  <c r="AW23" i="13"/>
  <c r="AV23" i="13"/>
  <c r="AU23" i="13"/>
  <c r="AT23" i="13"/>
  <c r="AS23" i="13"/>
  <c r="AR23" i="13"/>
  <c r="BC23" i="13" s="1"/>
  <c r="AQ23" i="13"/>
  <c r="AP23" i="13"/>
  <c r="AO23" i="13"/>
  <c r="AN23" i="13"/>
  <c r="AM23" i="13"/>
  <c r="AL23" i="13"/>
  <c r="AK23" i="13"/>
  <c r="AJ23" i="13"/>
  <c r="AI23" i="13"/>
  <c r="AH23" i="13"/>
  <c r="W23" i="13"/>
  <c r="DB23" i="13" s="1"/>
  <c r="V23" i="13"/>
  <c r="DJ22" i="13"/>
  <c r="DI22" i="13"/>
  <c r="DH22" i="13"/>
  <c r="DG22" i="13"/>
  <c r="DF22" i="13"/>
  <c r="DE22" i="13"/>
  <c r="DD22" i="13"/>
  <c r="DB22" i="13"/>
  <c r="BW22" i="13"/>
  <c r="BU22" i="13"/>
  <c r="BP22" i="13"/>
  <c r="BN22" i="13"/>
  <c r="BM22" i="13"/>
  <c r="BL22" i="13"/>
  <c r="BH22" i="13"/>
  <c r="BG22" i="13"/>
  <c r="BF22" i="13"/>
  <c r="BE22" i="13"/>
  <c r="BA22" i="13"/>
  <c r="AZ22" i="13"/>
  <c r="AY22" i="13"/>
  <c r="AX22" i="13"/>
  <c r="AW22" i="13"/>
  <c r="AV22" i="13"/>
  <c r="AU22" i="13"/>
  <c r="AT22" i="13"/>
  <c r="AS22" i="13"/>
  <c r="AR22" i="13"/>
  <c r="AQ22" i="13"/>
  <c r="AP22" i="13"/>
  <c r="AO22" i="13"/>
  <c r="AN22" i="13"/>
  <c r="AM22" i="13"/>
  <c r="AL22" i="13"/>
  <c r="AK22" i="13"/>
  <c r="AJ22" i="13"/>
  <c r="AI22" i="13"/>
  <c r="AH22" i="13"/>
  <c r="W22" i="13"/>
  <c r="V22" i="13"/>
  <c r="BO22" i="13" s="1"/>
  <c r="DJ21" i="13"/>
  <c r="DI21" i="13"/>
  <c r="DH21" i="13"/>
  <c r="DG21" i="13"/>
  <c r="DF21" i="13"/>
  <c r="DD21" i="13"/>
  <c r="BU21" i="13"/>
  <c r="BP21" i="13"/>
  <c r="BL21" i="13"/>
  <c r="BH21" i="13"/>
  <c r="BG21" i="13"/>
  <c r="BN21" i="13" s="1"/>
  <c r="BF21" i="13"/>
  <c r="BM21" i="13" s="1"/>
  <c r="BE21" i="13"/>
  <c r="BW21" i="13" s="1"/>
  <c r="BB21" i="13"/>
  <c r="BA21" i="13"/>
  <c r="AZ21" i="13"/>
  <c r="AY21" i="13"/>
  <c r="AX21" i="13"/>
  <c r="AW21" i="13"/>
  <c r="AV21" i="13"/>
  <c r="AU21" i="13"/>
  <c r="AT21" i="13"/>
  <c r="AS21" i="13"/>
  <c r="AR21" i="13"/>
  <c r="AQ21" i="13"/>
  <c r="AP21" i="13"/>
  <c r="AO21" i="13"/>
  <c r="AN21" i="13"/>
  <c r="AM21" i="13"/>
  <c r="AL21" i="13"/>
  <c r="AK21" i="13"/>
  <c r="AJ21" i="13"/>
  <c r="AI21" i="13"/>
  <c r="AH21" i="13"/>
  <c r="W21" i="13"/>
  <c r="DB21" i="13" s="1"/>
  <c r="V21" i="13"/>
  <c r="DJ20" i="13"/>
  <c r="DI20" i="13"/>
  <c r="DH20" i="13"/>
  <c r="DG20" i="13"/>
  <c r="DF20" i="13"/>
  <c r="DD20" i="13"/>
  <c r="BW20" i="13"/>
  <c r="BU20" i="13"/>
  <c r="BP20" i="13"/>
  <c r="BO20" i="13"/>
  <c r="BN20" i="13"/>
  <c r="BM20" i="13"/>
  <c r="BL20" i="13"/>
  <c r="BH20" i="13"/>
  <c r="BG20" i="13"/>
  <c r="BF20" i="13"/>
  <c r="BE20" i="13"/>
  <c r="BA20" i="13"/>
  <c r="AZ20" i="13"/>
  <c r="AY20" i="13"/>
  <c r="AX20" i="13"/>
  <c r="AW20" i="13"/>
  <c r="AV20" i="13"/>
  <c r="AU20" i="13"/>
  <c r="AT20" i="13"/>
  <c r="AS20" i="13"/>
  <c r="AR20" i="13"/>
  <c r="AQ20" i="13"/>
  <c r="AP20" i="13"/>
  <c r="AO20" i="13"/>
  <c r="AN20" i="13"/>
  <c r="AM20" i="13"/>
  <c r="AL20" i="13"/>
  <c r="AK20" i="13"/>
  <c r="AJ20" i="13"/>
  <c r="AI20" i="13"/>
  <c r="AH20" i="13"/>
  <c r="BB20" i="13" s="1"/>
  <c r="W20" i="13"/>
  <c r="DB20" i="13" s="1"/>
  <c r="V20" i="13"/>
  <c r="DJ19" i="13"/>
  <c r="DI19" i="13"/>
  <c r="DH19" i="13"/>
  <c r="DG19" i="13"/>
  <c r="DF19" i="13"/>
  <c r="DD19" i="13"/>
  <c r="DB19" i="13"/>
  <c r="BP19" i="13"/>
  <c r="BL19" i="13"/>
  <c r="BH19" i="13"/>
  <c r="BG19" i="13"/>
  <c r="BU19" i="13" s="1"/>
  <c r="BE19" i="13"/>
  <c r="BF19" i="13" s="1"/>
  <c r="BM19" i="13" s="1"/>
  <c r="BA19" i="13"/>
  <c r="AZ19" i="13"/>
  <c r="AY19" i="13"/>
  <c r="AX19" i="13"/>
  <c r="AW19" i="13"/>
  <c r="AV19" i="13"/>
  <c r="AU19" i="13"/>
  <c r="AT19" i="13"/>
  <c r="AS19" i="13"/>
  <c r="AR19" i="13"/>
  <c r="AQ19" i="13"/>
  <c r="AP19" i="13"/>
  <c r="AO19" i="13"/>
  <c r="AN19" i="13"/>
  <c r="AM19" i="13"/>
  <c r="AL19" i="13"/>
  <c r="BB19" i="13" s="1"/>
  <c r="AK19" i="13"/>
  <c r="AJ19" i="13"/>
  <c r="AI19" i="13"/>
  <c r="AH19" i="13"/>
  <c r="W19" i="13"/>
  <c r="V19" i="13"/>
  <c r="DJ18" i="13"/>
  <c r="DI18" i="13"/>
  <c r="DH18" i="13"/>
  <c r="DG18" i="13"/>
  <c r="DF18" i="13"/>
  <c r="DD18" i="13"/>
  <c r="BU18" i="13"/>
  <c r="BP18" i="13"/>
  <c r="BL18" i="13"/>
  <c r="BJ18" i="13"/>
  <c r="BH18" i="13"/>
  <c r="BG18" i="13"/>
  <c r="BN18" i="13" s="1"/>
  <c r="BE18" i="13"/>
  <c r="BC18" i="13"/>
  <c r="BA18" i="13"/>
  <c r="AZ18" i="13"/>
  <c r="AY18" i="13"/>
  <c r="AX18" i="13"/>
  <c r="AW18" i="13"/>
  <c r="AV18" i="13"/>
  <c r="AU18" i="13"/>
  <c r="AT18" i="13"/>
  <c r="AS18" i="13"/>
  <c r="AR18" i="13"/>
  <c r="AQ18" i="13"/>
  <c r="AP18" i="13"/>
  <c r="AO18" i="13"/>
  <c r="AN18" i="13"/>
  <c r="AM18" i="13"/>
  <c r="AL18" i="13"/>
  <c r="AK18" i="13"/>
  <c r="AJ18" i="13"/>
  <c r="AI18" i="13"/>
  <c r="AH18" i="13"/>
  <c r="W18" i="13"/>
  <c r="DB18" i="13" s="1"/>
  <c r="V18" i="13"/>
  <c r="DJ17" i="13"/>
  <c r="DI17" i="13"/>
  <c r="DH17" i="13"/>
  <c r="DG17" i="13"/>
  <c r="DF17" i="13"/>
  <c r="DD17" i="13"/>
  <c r="DB17" i="13"/>
  <c r="BP17" i="13"/>
  <c r="BL17" i="13"/>
  <c r="BH17" i="13"/>
  <c r="BG17" i="13"/>
  <c r="BF17" i="13"/>
  <c r="BM17" i="13" s="1"/>
  <c r="BE17" i="13"/>
  <c r="BW17" i="13" s="1"/>
  <c r="BA17" i="13"/>
  <c r="AZ17" i="13"/>
  <c r="AY17" i="13"/>
  <c r="AX17" i="13"/>
  <c r="AW17" i="13"/>
  <c r="AV17" i="13"/>
  <c r="AU17" i="13"/>
  <c r="AT17" i="13"/>
  <c r="AS17" i="13"/>
  <c r="AR17" i="13"/>
  <c r="AQ17" i="13"/>
  <c r="AP17" i="13"/>
  <c r="AO17" i="13"/>
  <c r="AN17" i="13"/>
  <c r="AM17" i="13"/>
  <c r="AL17" i="13"/>
  <c r="AK17" i="13"/>
  <c r="AJ17" i="13"/>
  <c r="AI17" i="13"/>
  <c r="AH17" i="13"/>
  <c r="W17" i="13"/>
  <c r="V17" i="13"/>
  <c r="DJ16" i="13"/>
  <c r="DI16" i="13"/>
  <c r="DH16" i="13"/>
  <c r="DG16" i="13"/>
  <c r="DF16" i="13"/>
  <c r="DE16" i="13"/>
  <c r="DD16" i="13"/>
  <c r="BU16" i="13"/>
  <c r="BP16" i="13"/>
  <c r="BO16" i="13"/>
  <c r="BN16" i="13"/>
  <c r="BL16" i="13"/>
  <c r="BH16" i="13"/>
  <c r="BG16" i="13"/>
  <c r="BF16" i="13"/>
  <c r="BM16" i="13" s="1"/>
  <c r="BE16" i="13"/>
  <c r="BW16" i="13" s="1"/>
  <c r="BD16" i="13"/>
  <c r="BA16" i="13"/>
  <c r="AZ16" i="13"/>
  <c r="AY16" i="13"/>
  <c r="AX16" i="13"/>
  <c r="AW16" i="13"/>
  <c r="AV16" i="13"/>
  <c r="AU16" i="13"/>
  <c r="AT16" i="13"/>
  <c r="AS16" i="13"/>
  <c r="AR16" i="13"/>
  <c r="AQ16" i="13"/>
  <c r="AP16" i="13"/>
  <c r="AO16" i="13"/>
  <c r="AN16" i="13"/>
  <c r="AM16" i="13"/>
  <c r="AL16" i="13"/>
  <c r="AK16" i="13"/>
  <c r="AJ16" i="13"/>
  <c r="AI16" i="13"/>
  <c r="AH16" i="13"/>
  <c r="W16" i="13"/>
  <c r="DB16" i="13" s="1"/>
  <c r="V16" i="13"/>
  <c r="DJ15" i="13"/>
  <c r="DI15" i="13"/>
  <c r="DH15" i="13"/>
  <c r="DG15" i="13"/>
  <c r="DF15" i="13"/>
  <c r="DE15" i="13"/>
  <c r="DD15" i="13"/>
  <c r="DB15" i="13"/>
  <c r="BW15" i="13"/>
  <c r="BU15" i="13"/>
  <c r="BP15" i="13"/>
  <c r="BN15" i="13"/>
  <c r="BL15" i="13"/>
  <c r="BH15" i="13"/>
  <c r="BG15" i="13"/>
  <c r="BE15" i="13"/>
  <c r="BF15" i="13" s="1"/>
  <c r="BM15" i="13" s="1"/>
  <c r="BD15" i="13"/>
  <c r="BB15" i="13"/>
  <c r="BA15" i="13"/>
  <c r="AZ15" i="13"/>
  <c r="AY15" i="13"/>
  <c r="AX15" i="13"/>
  <c r="AW15" i="13"/>
  <c r="AV15" i="13"/>
  <c r="AU15" i="13"/>
  <c r="AT15" i="13"/>
  <c r="AS15" i="13"/>
  <c r="AR15" i="13"/>
  <c r="AQ15" i="13"/>
  <c r="AP15" i="13"/>
  <c r="AO15" i="13"/>
  <c r="AO36" i="13" s="1"/>
  <c r="AN15" i="13"/>
  <c r="AM15" i="13"/>
  <c r="AL15" i="13"/>
  <c r="AK15" i="13"/>
  <c r="AJ15" i="13"/>
  <c r="AI15" i="13"/>
  <c r="AH15" i="13"/>
  <c r="W15" i="13"/>
  <c r="V15" i="13"/>
  <c r="DJ14" i="13"/>
  <c r="DI14" i="13"/>
  <c r="DH14" i="13"/>
  <c r="DG14" i="13"/>
  <c r="DF14" i="13"/>
  <c r="DD14" i="13"/>
  <c r="DB14" i="13"/>
  <c r="BW14" i="13"/>
  <c r="BP14" i="13"/>
  <c r="BL14" i="13"/>
  <c r="BJ14" i="13"/>
  <c r="BH14" i="13"/>
  <c r="BG14" i="13"/>
  <c r="BU14" i="13" s="1"/>
  <c r="BE14" i="13"/>
  <c r="BF14" i="13" s="1"/>
  <c r="BM14" i="13" s="1"/>
  <c r="BD14" i="13"/>
  <c r="BC14" i="13"/>
  <c r="BA14" i="13"/>
  <c r="AZ14" i="13"/>
  <c r="AY14" i="13"/>
  <c r="AX14" i="13"/>
  <c r="AW14" i="13"/>
  <c r="AV14" i="13"/>
  <c r="AU14" i="13"/>
  <c r="AT14" i="13"/>
  <c r="AS14" i="13"/>
  <c r="AR14" i="13"/>
  <c r="AQ14" i="13"/>
  <c r="AP14" i="13"/>
  <c r="AO14" i="13"/>
  <c r="AN14" i="13"/>
  <c r="AM14" i="13"/>
  <c r="AL14" i="13"/>
  <c r="AK14" i="13"/>
  <c r="AJ14" i="13"/>
  <c r="AI14" i="13"/>
  <c r="AH14" i="13"/>
  <c r="W14" i="13"/>
  <c r="V14" i="13"/>
  <c r="DJ13" i="13"/>
  <c r="DI13" i="13"/>
  <c r="DH13" i="13"/>
  <c r="DG13" i="13"/>
  <c r="DF13" i="13"/>
  <c r="DE13" i="13"/>
  <c r="DD13" i="13"/>
  <c r="DB13" i="13"/>
  <c r="BU13" i="13"/>
  <c r="BP13" i="13"/>
  <c r="BL13" i="13"/>
  <c r="BJ13" i="13"/>
  <c r="BH13" i="13"/>
  <c r="BG13" i="13"/>
  <c r="BN13" i="13" s="1"/>
  <c r="BF13" i="13"/>
  <c r="BM13" i="13" s="1"/>
  <c r="BE13" i="13"/>
  <c r="BW13" i="13" s="1"/>
  <c r="BA13" i="13"/>
  <c r="AZ13" i="13"/>
  <c r="AY13" i="13"/>
  <c r="AX13" i="13"/>
  <c r="AW13" i="13"/>
  <c r="AV13" i="13"/>
  <c r="AU13" i="13"/>
  <c r="AT13" i="13"/>
  <c r="AS13" i="13"/>
  <c r="AR13" i="13"/>
  <c r="AQ13" i="13"/>
  <c r="AP13" i="13"/>
  <c r="AO13" i="13"/>
  <c r="AN13" i="13"/>
  <c r="AM13" i="13"/>
  <c r="AL13" i="13"/>
  <c r="AK13" i="13"/>
  <c r="AJ13" i="13"/>
  <c r="AI13" i="13"/>
  <c r="AH13" i="13"/>
  <c r="W13" i="13"/>
  <c r="V13" i="13"/>
  <c r="DJ12" i="13"/>
  <c r="DI12" i="13"/>
  <c r="DH12" i="13"/>
  <c r="DH36" i="13" s="1"/>
  <c r="D91" i="13" s="1"/>
  <c r="N91" i="13" s="1"/>
  <c r="D134" i="13" s="1"/>
  <c r="DG12" i="13"/>
  <c r="DF12" i="13"/>
  <c r="DD12" i="13"/>
  <c r="BP12" i="13"/>
  <c r="BO12" i="13"/>
  <c r="BL12" i="13"/>
  <c r="BJ12" i="13"/>
  <c r="BH12" i="13"/>
  <c r="BG12" i="13"/>
  <c r="BF12" i="13"/>
  <c r="BM12" i="13" s="1"/>
  <c r="BE12" i="13"/>
  <c r="BW12" i="13" s="1"/>
  <c r="BA12" i="13"/>
  <c r="AZ12" i="13"/>
  <c r="AY12" i="13"/>
  <c r="AX12" i="13"/>
  <c r="AW12" i="13"/>
  <c r="AV12" i="13"/>
  <c r="AU12" i="13"/>
  <c r="AT12" i="13"/>
  <c r="AS12" i="13"/>
  <c r="AR12" i="13"/>
  <c r="AQ12" i="13"/>
  <c r="AP12" i="13"/>
  <c r="AO12" i="13"/>
  <c r="AN12" i="13"/>
  <c r="AM12" i="13"/>
  <c r="AL12" i="13"/>
  <c r="AK12" i="13"/>
  <c r="AJ12" i="13"/>
  <c r="AI12" i="13"/>
  <c r="AH12" i="13"/>
  <c r="BB12" i="13" s="1"/>
  <c r="W12" i="13"/>
  <c r="DB12" i="13" s="1"/>
  <c r="V12" i="13"/>
  <c r="DE12" i="13" s="1"/>
  <c r="DJ11" i="13"/>
  <c r="DI11" i="13"/>
  <c r="DH11" i="13"/>
  <c r="DG11" i="13"/>
  <c r="DF11" i="13"/>
  <c r="DD11" i="13"/>
  <c r="BP11" i="13"/>
  <c r="BO11" i="13"/>
  <c r="BN11" i="13"/>
  <c r="BL11" i="13"/>
  <c r="BH11" i="13"/>
  <c r="BG11" i="13"/>
  <c r="BU11" i="13" s="1"/>
  <c r="BF11" i="13"/>
  <c r="BM11" i="13" s="1"/>
  <c r="BE11" i="13"/>
  <c r="BW11" i="13" s="1"/>
  <c r="BA11" i="13"/>
  <c r="AZ11" i="13"/>
  <c r="AY11" i="13"/>
  <c r="AX11" i="13"/>
  <c r="AW11" i="13"/>
  <c r="AV11" i="13"/>
  <c r="AU11" i="13"/>
  <c r="AT11" i="13"/>
  <c r="AS11" i="13"/>
  <c r="AR11" i="13"/>
  <c r="AQ11" i="13"/>
  <c r="AP11" i="13"/>
  <c r="AO11" i="13"/>
  <c r="AN11" i="13"/>
  <c r="AM11" i="13"/>
  <c r="AL11" i="13"/>
  <c r="AK11" i="13"/>
  <c r="AJ11" i="13"/>
  <c r="AI11" i="13"/>
  <c r="AH11" i="13"/>
  <c r="W11" i="13"/>
  <c r="DB11" i="13" s="1"/>
  <c r="V11" i="13"/>
  <c r="DJ10" i="13"/>
  <c r="DI10" i="13"/>
  <c r="DH10" i="13"/>
  <c r="DG10" i="13"/>
  <c r="DF10" i="13"/>
  <c r="DD10" i="13"/>
  <c r="BU10" i="13"/>
  <c r="BP10" i="13"/>
  <c r="BN10" i="13"/>
  <c r="BL10" i="13"/>
  <c r="BH10" i="13"/>
  <c r="BG10" i="13"/>
  <c r="BE10" i="13"/>
  <c r="BD10" i="13"/>
  <c r="BA10" i="13"/>
  <c r="AZ10" i="13"/>
  <c r="AY10" i="13"/>
  <c r="AX10" i="13"/>
  <c r="AW10" i="13"/>
  <c r="AV10" i="13"/>
  <c r="AU10" i="13"/>
  <c r="AT10" i="13"/>
  <c r="AS10" i="13"/>
  <c r="AR10" i="13"/>
  <c r="AQ10" i="13"/>
  <c r="AP10" i="13"/>
  <c r="AO10" i="13"/>
  <c r="AN10" i="13"/>
  <c r="AM10" i="13"/>
  <c r="AL10" i="13"/>
  <c r="AK10" i="13"/>
  <c r="AJ10" i="13"/>
  <c r="AI10" i="13"/>
  <c r="AH10" i="13"/>
  <c r="W10" i="13"/>
  <c r="V10" i="13"/>
  <c r="P6" i="13"/>
  <c r="P5" i="13"/>
  <c r="P4" i="13"/>
  <c r="P3" i="13"/>
  <c r="V2" i="13"/>
  <c r="AE1" i="13"/>
  <c r="S42" i="13" s="1"/>
  <c r="D132" i="12"/>
  <c r="D126" i="12"/>
  <c r="D125" i="12"/>
  <c r="D122" i="12"/>
  <c r="D121" i="12"/>
  <c r="D119" i="12"/>
  <c r="D118" i="12"/>
  <c r="D117" i="12"/>
  <c r="D108" i="12"/>
  <c r="D105" i="12"/>
  <c r="L99" i="12"/>
  <c r="D96" i="12"/>
  <c r="N95" i="12"/>
  <c r="D156" i="12" s="1"/>
  <c r="U94" i="12"/>
  <c r="W94" i="12" s="1"/>
  <c r="S94" i="12"/>
  <c r="N94" i="12"/>
  <c r="D131" i="12" s="1"/>
  <c r="N93" i="12"/>
  <c r="D157" i="12" s="1"/>
  <c r="N92" i="12"/>
  <c r="S91" i="12"/>
  <c r="D88" i="12"/>
  <c r="N88" i="12" s="1"/>
  <c r="D87" i="12"/>
  <c r="N87" i="12" s="1"/>
  <c r="D152" i="12" s="1"/>
  <c r="F86" i="12"/>
  <c r="D86" i="12"/>
  <c r="N86" i="12" s="1"/>
  <c r="D151" i="12" s="1"/>
  <c r="D85" i="12"/>
  <c r="U84" i="12"/>
  <c r="W84" i="12" s="1"/>
  <c r="F84" i="12"/>
  <c r="D84" i="12"/>
  <c r="W83" i="12"/>
  <c r="U83" i="12"/>
  <c r="F83" i="12"/>
  <c r="D81" i="12"/>
  <c r="N81" i="12" s="1"/>
  <c r="W80" i="12"/>
  <c r="N80" i="12"/>
  <c r="D80" i="12"/>
  <c r="U79" i="12"/>
  <c r="N79" i="12"/>
  <c r="D120" i="12" s="1"/>
  <c r="L79" i="12"/>
  <c r="D79" i="12"/>
  <c r="U78" i="12"/>
  <c r="S78" i="12"/>
  <c r="W78" i="12" s="1"/>
  <c r="N78" i="12"/>
  <c r="U77" i="12"/>
  <c r="W76" i="12"/>
  <c r="W75" i="12"/>
  <c r="N75" i="12"/>
  <c r="D146" i="12" s="1"/>
  <c r="K75" i="12"/>
  <c r="W74" i="12"/>
  <c r="K74" i="12"/>
  <c r="W73" i="12"/>
  <c r="K73" i="12"/>
  <c r="W72" i="12"/>
  <c r="K72" i="12"/>
  <c r="W71" i="12"/>
  <c r="K71" i="12"/>
  <c r="W70" i="12"/>
  <c r="K70" i="12"/>
  <c r="K69" i="12"/>
  <c r="K68" i="12"/>
  <c r="D124" i="12" s="1"/>
  <c r="S67" i="12"/>
  <c r="K67" i="12"/>
  <c r="G67" i="12"/>
  <c r="U66" i="12"/>
  <c r="K66" i="12"/>
  <c r="D123" i="12" s="1"/>
  <c r="U65" i="12"/>
  <c r="U64" i="12"/>
  <c r="S64" i="12"/>
  <c r="S63" i="12"/>
  <c r="K63" i="12"/>
  <c r="N63" i="12" s="1"/>
  <c r="DE62" i="12"/>
  <c r="N62" i="12"/>
  <c r="K62" i="12"/>
  <c r="DE61" i="12"/>
  <c r="N61" i="12"/>
  <c r="DE60" i="12"/>
  <c r="N60" i="12"/>
  <c r="DE59" i="12"/>
  <c r="S59" i="12"/>
  <c r="DE58" i="12"/>
  <c r="N58" i="12"/>
  <c r="D111" i="12" s="1"/>
  <c r="DE57" i="12"/>
  <c r="S57" i="12"/>
  <c r="F57" i="12"/>
  <c r="DE56" i="12"/>
  <c r="F56" i="12"/>
  <c r="A56" i="12"/>
  <c r="DE55" i="12"/>
  <c r="B55" i="12"/>
  <c r="B54" i="12"/>
  <c r="B53" i="12"/>
  <c r="DE52" i="12"/>
  <c r="DB49" i="12" s="1"/>
  <c r="B52" i="12"/>
  <c r="DE51" i="12"/>
  <c r="U51" i="12"/>
  <c r="B51" i="12"/>
  <c r="DD48" i="12"/>
  <c r="T47" i="12"/>
  <c r="T46" i="12"/>
  <c r="DF42" i="12"/>
  <c r="M42" i="12"/>
  <c r="DF41" i="12"/>
  <c r="L40" i="12"/>
  <c r="V39" i="12"/>
  <c r="T39" i="12"/>
  <c r="DI36" i="12"/>
  <c r="BI36" i="12"/>
  <c r="AX36" i="12"/>
  <c r="E36" i="12"/>
  <c r="S65" i="12" s="1"/>
  <c r="DJ35" i="12"/>
  <c r="DI35" i="12"/>
  <c r="DH35" i="12"/>
  <c r="DG35" i="12"/>
  <c r="DF35" i="12"/>
  <c r="DE35" i="12"/>
  <c r="DD35" i="12"/>
  <c r="BU35" i="12"/>
  <c r="BP35" i="12"/>
  <c r="BN35" i="12"/>
  <c r="BL35" i="12"/>
  <c r="BH35" i="12"/>
  <c r="BG35" i="12"/>
  <c r="BE35" i="12"/>
  <c r="BW35" i="12" s="1"/>
  <c r="BA35" i="12"/>
  <c r="AZ35" i="12"/>
  <c r="AY35" i="12"/>
  <c r="AX35" i="12"/>
  <c r="AW35" i="12"/>
  <c r="AV35" i="12"/>
  <c r="AU35" i="12"/>
  <c r="AT35" i="12"/>
  <c r="AS35" i="12"/>
  <c r="AR35" i="12"/>
  <c r="BC35" i="12" s="1"/>
  <c r="AQ35" i="12"/>
  <c r="AP35" i="12"/>
  <c r="AO35" i="12"/>
  <c r="AN35" i="12"/>
  <c r="AM35" i="12"/>
  <c r="AL35" i="12"/>
  <c r="AK35" i="12"/>
  <c r="AJ35" i="12"/>
  <c r="AI35" i="12"/>
  <c r="AH35" i="12"/>
  <c r="BB35" i="12" s="1"/>
  <c r="W35" i="12"/>
  <c r="DB35" i="12" s="1"/>
  <c r="V35" i="12"/>
  <c r="BD35" i="12" s="1"/>
  <c r="DJ34" i="12"/>
  <c r="DI34" i="12"/>
  <c r="DH34" i="12"/>
  <c r="DG34" i="12"/>
  <c r="DF34" i="12"/>
  <c r="DE34" i="12"/>
  <c r="DD34" i="12"/>
  <c r="DB34" i="12"/>
  <c r="BP34" i="12"/>
  <c r="BL34" i="12"/>
  <c r="BH34" i="12"/>
  <c r="BG34" i="12"/>
  <c r="BU34" i="12" s="1"/>
  <c r="BE34" i="12"/>
  <c r="BW34" i="12" s="1"/>
  <c r="BD34" i="12"/>
  <c r="BA34" i="12"/>
  <c r="AZ34" i="12"/>
  <c r="AY34" i="12"/>
  <c r="AX34" i="12"/>
  <c r="AW34" i="12"/>
  <c r="AV34" i="12"/>
  <c r="AU34" i="12"/>
  <c r="AT34" i="12"/>
  <c r="AS34" i="12"/>
  <c r="AR34" i="12"/>
  <c r="AQ34" i="12"/>
  <c r="AP34" i="12"/>
  <c r="AO34" i="12"/>
  <c r="AN34" i="12"/>
  <c r="AM34" i="12"/>
  <c r="AL34" i="12"/>
  <c r="AK34" i="12"/>
  <c r="AJ34" i="12"/>
  <c r="BB34" i="12" s="1"/>
  <c r="AI34" i="12"/>
  <c r="AH34" i="12"/>
  <c r="W34" i="12"/>
  <c r="V34" i="12"/>
  <c r="BO34" i="12" s="1"/>
  <c r="DJ33" i="12"/>
  <c r="DI33" i="12"/>
  <c r="DH33" i="12"/>
  <c r="DG33" i="12"/>
  <c r="DF33" i="12"/>
  <c r="DD33" i="12"/>
  <c r="DB33" i="12"/>
  <c r="BW33" i="12"/>
  <c r="BU33" i="12"/>
  <c r="BP33" i="12"/>
  <c r="BO33" i="12"/>
  <c r="BL33" i="12"/>
  <c r="BH33" i="12"/>
  <c r="BG33" i="12"/>
  <c r="BN33" i="12" s="1"/>
  <c r="BE33" i="12"/>
  <c r="BF33" i="12" s="1"/>
  <c r="BM33" i="12" s="1"/>
  <c r="BB33" i="12"/>
  <c r="BA33" i="12"/>
  <c r="AZ33" i="12"/>
  <c r="AY33" i="12"/>
  <c r="AX33" i="12"/>
  <c r="AW33" i="12"/>
  <c r="AV33" i="12"/>
  <c r="AU33" i="12"/>
  <c r="AT33" i="12"/>
  <c r="AS33" i="12"/>
  <c r="AR33" i="12"/>
  <c r="AQ33" i="12"/>
  <c r="AP33" i="12"/>
  <c r="AO33" i="12"/>
  <c r="AN33" i="12"/>
  <c r="AM33" i="12"/>
  <c r="AL33" i="12"/>
  <c r="AK33" i="12"/>
  <c r="AJ33" i="12"/>
  <c r="AI33" i="12"/>
  <c r="AH33" i="12"/>
  <c r="W33" i="12"/>
  <c r="V33" i="12"/>
  <c r="DJ32" i="12"/>
  <c r="DI32" i="12"/>
  <c r="DH32" i="12"/>
  <c r="DG32" i="12"/>
  <c r="DF32" i="12"/>
  <c r="DD32" i="12"/>
  <c r="BU32" i="12"/>
  <c r="BP32" i="12"/>
  <c r="BN32" i="12"/>
  <c r="BL32" i="12"/>
  <c r="BH32" i="12"/>
  <c r="BG32" i="12"/>
  <c r="BE32" i="12"/>
  <c r="BW32" i="12" s="1"/>
  <c r="BA32" i="12"/>
  <c r="AZ32" i="12"/>
  <c r="AY32" i="12"/>
  <c r="AX32" i="12"/>
  <c r="AW32" i="12"/>
  <c r="BC32" i="12" s="1"/>
  <c r="AV32" i="12"/>
  <c r="AU32" i="12"/>
  <c r="AT32" i="12"/>
  <c r="AS32" i="12"/>
  <c r="AR32" i="12"/>
  <c r="AQ32" i="12"/>
  <c r="AP32" i="12"/>
  <c r="AO32" i="12"/>
  <c r="AN32" i="12"/>
  <c r="AM32" i="12"/>
  <c r="AL32" i="12"/>
  <c r="AK32" i="12"/>
  <c r="AJ32" i="12"/>
  <c r="AI32" i="12"/>
  <c r="AH32" i="12"/>
  <c r="W32" i="12"/>
  <c r="DB32" i="12" s="1"/>
  <c r="V32" i="12"/>
  <c r="DJ31" i="12"/>
  <c r="DI31" i="12"/>
  <c r="DH31" i="12"/>
  <c r="DG31" i="12"/>
  <c r="DF31" i="12"/>
  <c r="DE31" i="12"/>
  <c r="DD31" i="12"/>
  <c r="DB31" i="12"/>
  <c r="BP31" i="12"/>
  <c r="BL31" i="12"/>
  <c r="BH31" i="12"/>
  <c r="BG31" i="12"/>
  <c r="BE31" i="12"/>
  <c r="BW31" i="12" s="1"/>
  <c r="BD31" i="12"/>
  <c r="BA31" i="12"/>
  <c r="AZ31" i="12"/>
  <c r="AY31" i="12"/>
  <c r="AX31" i="12"/>
  <c r="AW31" i="12"/>
  <c r="AV31" i="12"/>
  <c r="AU31" i="12"/>
  <c r="AT31" i="12"/>
  <c r="AS31" i="12"/>
  <c r="AR31" i="12"/>
  <c r="AQ31" i="12"/>
  <c r="AP31" i="12"/>
  <c r="AO31" i="12"/>
  <c r="AN31" i="12"/>
  <c r="AM31" i="12"/>
  <c r="AL31" i="12"/>
  <c r="AK31" i="12"/>
  <c r="AJ31" i="12"/>
  <c r="AI31" i="12"/>
  <c r="AH31" i="12"/>
  <c r="W31" i="12"/>
  <c r="V31" i="12"/>
  <c r="BO31" i="12" s="1"/>
  <c r="DJ30" i="12"/>
  <c r="DI30" i="12"/>
  <c r="DH30" i="12"/>
  <c r="DG30" i="12"/>
  <c r="DF30" i="12"/>
  <c r="DE30" i="12"/>
  <c r="DD30" i="12"/>
  <c r="BP30" i="12"/>
  <c r="BL30" i="12"/>
  <c r="BH30" i="12"/>
  <c r="BG30" i="12"/>
  <c r="BE30" i="12"/>
  <c r="BD30" i="12"/>
  <c r="BC30" i="12"/>
  <c r="BB30" i="12"/>
  <c r="BA30" i="12"/>
  <c r="AZ30" i="12"/>
  <c r="AY30" i="12"/>
  <c r="AX30" i="12"/>
  <c r="AW30" i="12"/>
  <c r="AV30" i="12"/>
  <c r="AU30" i="12"/>
  <c r="AT30" i="12"/>
  <c r="AS30" i="12"/>
  <c r="AR30" i="12"/>
  <c r="AQ30" i="12"/>
  <c r="AP30" i="12"/>
  <c r="AO30" i="12"/>
  <c r="AN30" i="12"/>
  <c r="AM30" i="12"/>
  <c r="AL30" i="12"/>
  <c r="AK30" i="12"/>
  <c r="AJ30" i="12"/>
  <c r="AI30" i="12"/>
  <c r="AH30" i="12"/>
  <c r="W30" i="12"/>
  <c r="DB30" i="12" s="1"/>
  <c r="V30" i="12"/>
  <c r="BO30" i="12" s="1"/>
  <c r="DJ29" i="12"/>
  <c r="DI29" i="12"/>
  <c r="DH29" i="12"/>
  <c r="DG29" i="12"/>
  <c r="DF29" i="12"/>
  <c r="DD29" i="12"/>
  <c r="DB29" i="12"/>
  <c r="BW29" i="12"/>
  <c r="BP29" i="12"/>
  <c r="BO29" i="12"/>
  <c r="BN29" i="12"/>
  <c r="BL29" i="12"/>
  <c r="BH29" i="12"/>
  <c r="BG29" i="12"/>
  <c r="BU29" i="12" s="1"/>
  <c r="BE29" i="12"/>
  <c r="BF29" i="12" s="1"/>
  <c r="BM29" i="12" s="1"/>
  <c r="BD29" i="12"/>
  <c r="BA29" i="12"/>
  <c r="AZ29" i="12"/>
  <c r="AY29" i="12"/>
  <c r="AX29" i="12"/>
  <c r="AW29" i="12"/>
  <c r="AV29" i="12"/>
  <c r="AU29" i="12"/>
  <c r="AT29" i="12"/>
  <c r="AS29" i="12"/>
  <c r="AR29" i="12"/>
  <c r="AQ29" i="12"/>
  <c r="AP29" i="12"/>
  <c r="AO29" i="12"/>
  <c r="AN29" i="12"/>
  <c r="AM29" i="12"/>
  <c r="AL29" i="12"/>
  <c r="AK29" i="12"/>
  <c r="AJ29" i="12"/>
  <c r="AI29" i="12"/>
  <c r="AH29" i="12"/>
  <c r="BB29" i="12" s="1"/>
  <c r="W29" i="12"/>
  <c r="V29" i="12"/>
  <c r="DJ28" i="12"/>
  <c r="DI28" i="12"/>
  <c r="DH28" i="12"/>
  <c r="DG28" i="12"/>
  <c r="DF28" i="12"/>
  <c r="DE28" i="12"/>
  <c r="DD28" i="12"/>
  <c r="DB28" i="12"/>
  <c r="BW28" i="12"/>
  <c r="BU28" i="12"/>
  <c r="BP28" i="12"/>
  <c r="BO28" i="12"/>
  <c r="BN28" i="12"/>
  <c r="BL28" i="12"/>
  <c r="BH28" i="12"/>
  <c r="BG28" i="12"/>
  <c r="BE28" i="12"/>
  <c r="BF28" i="12" s="1"/>
  <c r="BD28" i="12"/>
  <c r="BC28" i="12"/>
  <c r="BA28" i="12"/>
  <c r="AZ28" i="12"/>
  <c r="AY28" i="12"/>
  <c r="AX28" i="12"/>
  <c r="AW28" i="12"/>
  <c r="AV28" i="12"/>
  <c r="AU28" i="12"/>
  <c r="AT28" i="12"/>
  <c r="AS28" i="12"/>
  <c r="AR28" i="12"/>
  <c r="AQ28" i="12"/>
  <c r="AP28" i="12"/>
  <c r="AO28" i="12"/>
  <c r="AN28" i="12"/>
  <c r="AM28" i="12"/>
  <c r="AL28" i="12"/>
  <c r="AK28" i="12"/>
  <c r="AJ28" i="12"/>
  <c r="AI28" i="12"/>
  <c r="AH28" i="12"/>
  <c r="W28" i="12"/>
  <c r="V28" i="12"/>
  <c r="DJ27" i="12"/>
  <c r="DI27" i="12"/>
  <c r="DH27" i="12"/>
  <c r="DG27" i="12"/>
  <c r="DF27" i="12"/>
  <c r="DD27" i="12"/>
  <c r="DB27" i="12"/>
  <c r="BW27" i="12"/>
  <c r="BU27" i="12"/>
  <c r="BP27" i="12"/>
  <c r="BO27" i="12"/>
  <c r="BL27" i="12"/>
  <c r="BH27" i="12"/>
  <c r="BG27" i="12"/>
  <c r="BN27" i="12" s="1"/>
  <c r="BF27" i="12"/>
  <c r="BM27" i="12" s="1"/>
  <c r="BE27" i="12"/>
  <c r="BD27" i="12"/>
  <c r="BC27" i="12"/>
  <c r="BA27" i="12"/>
  <c r="AZ27" i="12"/>
  <c r="AY27" i="12"/>
  <c r="AX27" i="12"/>
  <c r="AW27" i="12"/>
  <c r="AV27" i="12"/>
  <c r="AU27" i="12"/>
  <c r="AT27" i="12"/>
  <c r="AS27" i="12"/>
  <c r="AR27" i="12"/>
  <c r="AQ27" i="12"/>
  <c r="AP27" i="12"/>
  <c r="AO27" i="12"/>
  <c r="AN27" i="12"/>
  <c r="AM27" i="12"/>
  <c r="AL27" i="12"/>
  <c r="AK27" i="12"/>
  <c r="AJ27" i="12"/>
  <c r="AI27" i="12"/>
  <c r="AH27" i="12"/>
  <c r="BB27" i="12" s="1"/>
  <c r="W27" i="12"/>
  <c r="V27" i="12"/>
  <c r="DE27" i="12" s="1"/>
  <c r="DJ26" i="12"/>
  <c r="DI26" i="12"/>
  <c r="DH26" i="12"/>
  <c r="DG26" i="12"/>
  <c r="DF26" i="12"/>
  <c r="DE26" i="12"/>
  <c r="DD26" i="12"/>
  <c r="DB26" i="12"/>
  <c r="BP26" i="12"/>
  <c r="BO26" i="12"/>
  <c r="BL26" i="12"/>
  <c r="BH26" i="12"/>
  <c r="BG26" i="12"/>
  <c r="BE26" i="12"/>
  <c r="BW26" i="12" s="1"/>
  <c r="BD26" i="12"/>
  <c r="BC26" i="12"/>
  <c r="BA26" i="12"/>
  <c r="AZ26" i="12"/>
  <c r="AY26" i="12"/>
  <c r="AX26" i="12"/>
  <c r="AW26" i="12"/>
  <c r="AV26" i="12"/>
  <c r="AU26" i="12"/>
  <c r="AT26" i="12"/>
  <c r="AS26" i="12"/>
  <c r="AR26" i="12"/>
  <c r="AQ26" i="12"/>
  <c r="AP26" i="12"/>
  <c r="AO26" i="12"/>
  <c r="AN26" i="12"/>
  <c r="AM26" i="12"/>
  <c r="AL26" i="12"/>
  <c r="AK26" i="12"/>
  <c r="AJ26" i="12"/>
  <c r="AI26" i="12"/>
  <c r="AH26" i="12"/>
  <c r="W26" i="12"/>
  <c r="V26" i="12"/>
  <c r="DJ25" i="12"/>
  <c r="DI25" i="12"/>
  <c r="DH25" i="12"/>
  <c r="DG25" i="12"/>
  <c r="DF25" i="12"/>
  <c r="DE25" i="12"/>
  <c r="DD25" i="12"/>
  <c r="BW25" i="12"/>
  <c r="BP25" i="12"/>
  <c r="BO25" i="12"/>
  <c r="BN25" i="12"/>
  <c r="BL25" i="12"/>
  <c r="BH25" i="12"/>
  <c r="BG25" i="12"/>
  <c r="BU25" i="12" s="1"/>
  <c r="BF25" i="12"/>
  <c r="BE25" i="12"/>
  <c r="BA25" i="12"/>
  <c r="AZ25" i="12"/>
  <c r="AY25" i="12"/>
  <c r="AX25" i="12"/>
  <c r="AW25" i="12"/>
  <c r="AV25" i="12"/>
  <c r="AU25" i="12"/>
  <c r="AT25" i="12"/>
  <c r="AS25" i="12"/>
  <c r="AR25" i="12"/>
  <c r="AQ25" i="12"/>
  <c r="AP25" i="12"/>
  <c r="AO25" i="12"/>
  <c r="AN25" i="12"/>
  <c r="AM25" i="12"/>
  <c r="AL25" i="12"/>
  <c r="AK25" i="12"/>
  <c r="AJ25" i="12"/>
  <c r="AI25" i="12"/>
  <c r="AH25" i="12"/>
  <c r="W25" i="12"/>
  <c r="DB25" i="12" s="1"/>
  <c r="V25" i="12"/>
  <c r="DJ24" i="12"/>
  <c r="DI24" i="12"/>
  <c r="DH24" i="12"/>
  <c r="DG24" i="12"/>
  <c r="DF24" i="12"/>
  <c r="DD24" i="12"/>
  <c r="DB24" i="12"/>
  <c r="BP24" i="12"/>
  <c r="BL24" i="12"/>
  <c r="BH24" i="12"/>
  <c r="BG24" i="12"/>
  <c r="BE24" i="12"/>
  <c r="BB24" i="12"/>
  <c r="BA24" i="12"/>
  <c r="AZ24" i="12"/>
  <c r="AZ36" i="12" s="1"/>
  <c r="AY24" i="12"/>
  <c r="AX24" i="12"/>
  <c r="AW24" i="12"/>
  <c r="AV24" i="12"/>
  <c r="AU24" i="12"/>
  <c r="AT24" i="12"/>
  <c r="AS24" i="12"/>
  <c r="BC24" i="12" s="1"/>
  <c r="AR24" i="12"/>
  <c r="AQ24" i="12"/>
  <c r="AP24" i="12"/>
  <c r="AO24" i="12"/>
  <c r="AN24" i="12"/>
  <c r="AM24" i="12"/>
  <c r="AL24" i="12"/>
  <c r="AK24" i="12"/>
  <c r="AJ24" i="12"/>
  <c r="AI24" i="12"/>
  <c r="AH24" i="12"/>
  <c r="W24" i="12"/>
  <c r="V24" i="12"/>
  <c r="BD24" i="12" s="1"/>
  <c r="DJ23" i="12"/>
  <c r="DI23" i="12"/>
  <c r="DH23" i="12"/>
  <c r="DG23" i="12"/>
  <c r="DF23" i="12"/>
  <c r="DD23" i="12"/>
  <c r="BW23" i="12"/>
  <c r="BP23" i="12"/>
  <c r="BO23" i="12"/>
  <c r="BL23" i="12"/>
  <c r="BH23" i="12"/>
  <c r="BG23" i="12"/>
  <c r="BE23" i="12"/>
  <c r="BF23" i="12" s="1"/>
  <c r="BM23" i="12" s="1"/>
  <c r="BA23" i="12"/>
  <c r="AZ23" i="12"/>
  <c r="AY23" i="12"/>
  <c r="AX23" i="12"/>
  <c r="AW23" i="12"/>
  <c r="AV23" i="12"/>
  <c r="AU23" i="12"/>
  <c r="AT23" i="12"/>
  <c r="AS23" i="12"/>
  <c r="AR23" i="12"/>
  <c r="AQ23" i="12"/>
  <c r="AP23" i="12"/>
  <c r="AO23" i="12"/>
  <c r="AN23" i="12"/>
  <c r="AM23" i="12"/>
  <c r="AL23" i="12"/>
  <c r="AK23" i="12"/>
  <c r="AJ23" i="12"/>
  <c r="AI23" i="12"/>
  <c r="AH23" i="12"/>
  <c r="BB23" i="12" s="1"/>
  <c r="W23" i="12"/>
  <c r="DB23" i="12" s="1"/>
  <c r="V23" i="12"/>
  <c r="DJ22" i="12"/>
  <c r="DI22" i="12"/>
  <c r="DH22" i="12"/>
  <c r="DG22" i="12"/>
  <c r="DF22" i="12"/>
  <c r="DD22" i="12"/>
  <c r="BW22" i="12"/>
  <c r="BU22" i="12"/>
  <c r="BP22" i="12"/>
  <c r="BO22" i="12"/>
  <c r="BL22" i="12"/>
  <c r="BH22" i="12"/>
  <c r="BG22" i="12"/>
  <c r="BN22" i="12" s="1"/>
  <c r="BE22" i="12"/>
  <c r="BF22" i="12" s="1"/>
  <c r="BD22" i="12"/>
  <c r="BA22" i="12"/>
  <c r="AZ22" i="12"/>
  <c r="AY22" i="12"/>
  <c r="AX22" i="12"/>
  <c r="AW22" i="12"/>
  <c r="AV22" i="12"/>
  <c r="AU22" i="12"/>
  <c r="AT22" i="12"/>
  <c r="BC22" i="12" s="1"/>
  <c r="AS22" i="12"/>
  <c r="AR22" i="12"/>
  <c r="AQ22" i="12"/>
  <c r="AP22" i="12"/>
  <c r="AO22" i="12"/>
  <c r="AN22" i="12"/>
  <c r="AM22" i="12"/>
  <c r="AL22" i="12"/>
  <c r="AK22" i="12"/>
  <c r="AJ22" i="12"/>
  <c r="BB22" i="12" s="1"/>
  <c r="AI22" i="12"/>
  <c r="AH22" i="12"/>
  <c r="W22" i="12"/>
  <c r="DB22" i="12" s="1"/>
  <c r="V22" i="12"/>
  <c r="DE22" i="12" s="1"/>
  <c r="DJ21" i="12"/>
  <c r="DI21" i="12"/>
  <c r="DH21" i="12"/>
  <c r="DG21" i="12"/>
  <c r="DF21" i="12"/>
  <c r="DE21" i="12"/>
  <c r="DD21" i="12"/>
  <c r="BP21" i="12"/>
  <c r="BO21" i="12"/>
  <c r="BL21" i="12"/>
  <c r="BH21" i="12"/>
  <c r="BG21" i="12"/>
  <c r="BU21" i="12" s="1"/>
  <c r="BE21" i="12"/>
  <c r="BW21" i="12" s="1"/>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W21" i="12"/>
  <c r="DB21" i="12" s="1"/>
  <c r="V21" i="12"/>
  <c r="DJ20" i="12"/>
  <c r="DI20" i="12"/>
  <c r="DH20" i="12"/>
  <c r="DG20" i="12"/>
  <c r="DF20" i="12"/>
  <c r="DD20" i="12"/>
  <c r="DB20" i="12"/>
  <c r="BW20" i="12"/>
  <c r="BU20" i="12"/>
  <c r="BP20" i="12"/>
  <c r="BN20" i="12"/>
  <c r="BL20" i="12"/>
  <c r="BH20" i="12"/>
  <c r="BG20" i="12"/>
  <c r="BE20" i="12"/>
  <c r="BF20" i="12" s="1"/>
  <c r="BA20" i="12"/>
  <c r="AZ20" i="12"/>
  <c r="AY20" i="12"/>
  <c r="AX20" i="12"/>
  <c r="AW20" i="12"/>
  <c r="AV20" i="12"/>
  <c r="AU20" i="12"/>
  <c r="AT20" i="12"/>
  <c r="AS20" i="12"/>
  <c r="AR20" i="12"/>
  <c r="AQ20" i="12"/>
  <c r="AP20" i="12"/>
  <c r="AO20" i="12"/>
  <c r="AN20" i="12"/>
  <c r="AM20" i="12"/>
  <c r="AL20" i="12"/>
  <c r="AK20" i="12"/>
  <c r="AJ20" i="12"/>
  <c r="AI20" i="12"/>
  <c r="AH20" i="12"/>
  <c r="W20" i="12"/>
  <c r="V20" i="12"/>
  <c r="DJ19" i="12"/>
  <c r="DI19" i="12"/>
  <c r="DH19" i="12"/>
  <c r="DG19" i="12"/>
  <c r="DF19" i="12"/>
  <c r="DD19" i="12"/>
  <c r="DB19" i="12"/>
  <c r="BW19" i="12"/>
  <c r="BU19" i="12"/>
  <c r="BP19" i="12"/>
  <c r="BN19" i="12"/>
  <c r="BL19" i="12"/>
  <c r="BH19" i="12"/>
  <c r="BG19" i="12"/>
  <c r="BF19" i="12"/>
  <c r="BM19" i="12" s="1"/>
  <c r="BE19" i="12"/>
  <c r="BB19" i="12"/>
  <c r="BA19" i="12"/>
  <c r="AZ19" i="12"/>
  <c r="AY19" i="12"/>
  <c r="AX19" i="12"/>
  <c r="AW19" i="12"/>
  <c r="AV19" i="12"/>
  <c r="AU19" i="12"/>
  <c r="BC19" i="12" s="1"/>
  <c r="AT19" i="12"/>
  <c r="AS19" i="12"/>
  <c r="AR19" i="12"/>
  <c r="AQ19" i="12"/>
  <c r="AP19" i="12"/>
  <c r="AO19" i="12"/>
  <c r="AN19" i="12"/>
  <c r="AM19" i="12"/>
  <c r="AL19" i="12"/>
  <c r="AK19" i="12"/>
  <c r="AJ19" i="12"/>
  <c r="AI19" i="12"/>
  <c r="AH19" i="12"/>
  <c r="W19" i="12"/>
  <c r="V19" i="12"/>
  <c r="DJ18" i="12"/>
  <c r="DI18" i="12"/>
  <c r="DH18" i="12"/>
  <c r="DG18" i="12"/>
  <c r="DF18" i="12"/>
  <c r="DE18" i="12"/>
  <c r="DD18" i="12"/>
  <c r="BW18" i="12"/>
  <c r="BU18" i="12"/>
  <c r="BP18" i="12"/>
  <c r="BL18" i="12"/>
  <c r="BH18" i="12"/>
  <c r="BG18" i="12"/>
  <c r="BN18" i="12" s="1"/>
  <c r="BF18" i="12"/>
  <c r="BE18" i="12"/>
  <c r="BA18" i="12"/>
  <c r="AZ18" i="12"/>
  <c r="AY18" i="12"/>
  <c r="AX18" i="12"/>
  <c r="AW18" i="12"/>
  <c r="AV18" i="12"/>
  <c r="AU18" i="12"/>
  <c r="AT18" i="12"/>
  <c r="AS18" i="12"/>
  <c r="BC18" i="12" s="1"/>
  <c r="AR18" i="12"/>
  <c r="AQ18" i="12"/>
  <c r="AP18" i="12"/>
  <c r="AO18" i="12"/>
  <c r="AN18" i="12"/>
  <c r="AM18" i="12"/>
  <c r="AL18" i="12"/>
  <c r="AK18" i="12"/>
  <c r="AJ18" i="12"/>
  <c r="AI18" i="12"/>
  <c r="AH18" i="12"/>
  <c r="W18" i="12"/>
  <c r="DB18" i="12" s="1"/>
  <c r="V18" i="12"/>
  <c r="BO18" i="12" s="1"/>
  <c r="DJ17" i="12"/>
  <c r="DI17" i="12"/>
  <c r="DH17" i="12"/>
  <c r="DG17" i="12"/>
  <c r="DF17" i="12"/>
  <c r="DE17" i="12"/>
  <c r="DD17" i="12"/>
  <c r="BP17" i="12"/>
  <c r="BL17" i="12"/>
  <c r="BH17" i="12"/>
  <c r="BG17" i="12"/>
  <c r="BE17" i="12"/>
  <c r="BD17" i="12"/>
  <c r="BC17" i="12"/>
  <c r="BA17" i="12"/>
  <c r="AZ17" i="12"/>
  <c r="AY17" i="12"/>
  <c r="AX17" i="12"/>
  <c r="AW17" i="12"/>
  <c r="AV17" i="12"/>
  <c r="AU17" i="12"/>
  <c r="AT17" i="12"/>
  <c r="AS17" i="12"/>
  <c r="AR17" i="12"/>
  <c r="AQ17" i="12"/>
  <c r="AP17" i="12"/>
  <c r="AO17" i="12"/>
  <c r="AN17" i="12"/>
  <c r="AM17" i="12"/>
  <c r="AL17" i="12"/>
  <c r="AK17" i="12"/>
  <c r="AJ17" i="12"/>
  <c r="AI17" i="12"/>
  <c r="AH17" i="12"/>
  <c r="W17" i="12"/>
  <c r="DB17" i="12" s="1"/>
  <c r="V17" i="12"/>
  <c r="BO17" i="12" s="1"/>
  <c r="DJ16" i="12"/>
  <c r="DI16" i="12"/>
  <c r="DH16" i="12"/>
  <c r="DG16" i="12"/>
  <c r="DF16" i="12"/>
  <c r="DD16" i="12"/>
  <c r="DB16" i="12"/>
  <c r="BU16" i="12"/>
  <c r="BP16" i="12"/>
  <c r="BN16" i="12"/>
  <c r="BL16" i="12"/>
  <c r="BH16" i="12"/>
  <c r="BG16" i="12"/>
  <c r="BE16" i="12"/>
  <c r="BW16" i="12" s="1"/>
  <c r="BA16" i="12"/>
  <c r="AZ16" i="12"/>
  <c r="AY16" i="12"/>
  <c r="AX16" i="12"/>
  <c r="AW16" i="12"/>
  <c r="AV16" i="12"/>
  <c r="AU16" i="12"/>
  <c r="AT16" i="12"/>
  <c r="AS16" i="12"/>
  <c r="AR16" i="12"/>
  <c r="AQ16" i="12"/>
  <c r="AP16" i="12"/>
  <c r="AO16" i="12"/>
  <c r="AN16" i="12"/>
  <c r="AM16" i="12"/>
  <c r="AL16" i="12"/>
  <c r="AK16" i="12"/>
  <c r="AJ16" i="12"/>
  <c r="AI16" i="12"/>
  <c r="AH16" i="12"/>
  <c r="BB16" i="12" s="1"/>
  <c r="W16" i="12"/>
  <c r="V16" i="12"/>
  <c r="DJ15" i="12"/>
  <c r="DI15" i="12"/>
  <c r="DH15" i="12"/>
  <c r="DG15" i="12"/>
  <c r="DF15" i="12"/>
  <c r="DD15" i="12"/>
  <c r="BP15" i="12"/>
  <c r="BN15" i="12"/>
  <c r="BL15" i="12"/>
  <c r="BH15" i="12"/>
  <c r="BG15" i="12"/>
  <c r="BU15" i="12" s="1"/>
  <c r="BE15" i="12"/>
  <c r="BW15" i="12" s="1"/>
  <c r="BA15" i="12"/>
  <c r="AZ15" i="12"/>
  <c r="AY15" i="12"/>
  <c r="AX15" i="12"/>
  <c r="AW15" i="12"/>
  <c r="AV15" i="12"/>
  <c r="AU15" i="12"/>
  <c r="AT15" i="12"/>
  <c r="AS15" i="12"/>
  <c r="AR15" i="12"/>
  <c r="AQ15" i="12"/>
  <c r="AP15" i="12"/>
  <c r="AO15" i="12"/>
  <c r="AN15" i="12"/>
  <c r="AM15" i="12"/>
  <c r="AL15" i="12"/>
  <c r="AK15" i="12"/>
  <c r="AJ15" i="12"/>
  <c r="AI15" i="12"/>
  <c r="AH15" i="12"/>
  <c r="BB15" i="12" s="1"/>
  <c r="W15" i="12"/>
  <c r="DB15" i="12" s="1"/>
  <c r="V15" i="12"/>
  <c r="DJ14" i="12"/>
  <c r="DI14" i="12"/>
  <c r="DH14" i="12"/>
  <c r="DG14" i="12"/>
  <c r="DF14" i="12"/>
  <c r="DD14" i="12"/>
  <c r="BW14" i="12"/>
  <c r="BU14" i="12"/>
  <c r="BP14" i="12"/>
  <c r="BN14" i="12"/>
  <c r="BL14" i="12"/>
  <c r="BH14" i="12"/>
  <c r="BG14" i="12"/>
  <c r="BE14" i="12"/>
  <c r="BF14" i="12" s="1"/>
  <c r="BB14" i="12"/>
  <c r="BA14" i="12"/>
  <c r="AZ14" i="12"/>
  <c r="AY14" i="12"/>
  <c r="AX14" i="12"/>
  <c r="AW14" i="12"/>
  <c r="AV14" i="12"/>
  <c r="AU14" i="12"/>
  <c r="AT14" i="12"/>
  <c r="AS14" i="12"/>
  <c r="AR14" i="12"/>
  <c r="AQ14" i="12"/>
  <c r="AP14" i="12"/>
  <c r="AO14" i="12"/>
  <c r="AN14" i="12"/>
  <c r="AM14" i="12"/>
  <c r="AL14" i="12"/>
  <c r="AK14" i="12"/>
  <c r="AJ14" i="12"/>
  <c r="AI14" i="12"/>
  <c r="AH14" i="12"/>
  <c r="W14" i="12"/>
  <c r="DB14" i="12" s="1"/>
  <c r="V14" i="12"/>
  <c r="DJ13" i="12"/>
  <c r="DI13" i="12"/>
  <c r="DH13" i="12"/>
  <c r="DG13" i="12"/>
  <c r="DF13" i="12"/>
  <c r="DD13" i="12"/>
  <c r="BP13" i="12"/>
  <c r="BO13" i="12"/>
  <c r="BL13" i="12"/>
  <c r="BH13" i="12"/>
  <c r="BG13" i="12"/>
  <c r="BE13" i="12"/>
  <c r="BA13" i="12"/>
  <c r="AZ13" i="12"/>
  <c r="AY13" i="12"/>
  <c r="AX13" i="12"/>
  <c r="AW13" i="12"/>
  <c r="AV13" i="12"/>
  <c r="AU13" i="12"/>
  <c r="AT13" i="12"/>
  <c r="AS13" i="12"/>
  <c r="AR13" i="12"/>
  <c r="AQ13" i="12"/>
  <c r="AP13" i="12"/>
  <c r="AO13" i="12"/>
  <c r="AN13" i="12"/>
  <c r="AM13" i="12"/>
  <c r="AL13" i="12"/>
  <c r="AK13" i="12"/>
  <c r="AJ13" i="12"/>
  <c r="AI13" i="12"/>
  <c r="AH13" i="12"/>
  <c r="W13" i="12"/>
  <c r="DB13" i="12" s="1"/>
  <c r="V13" i="12"/>
  <c r="DJ12" i="12"/>
  <c r="DI12" i="12"/>
  <c r="DH12" i="12"/>
  <c r="DG12" i="12"/>
  <c r="DF12" i="12"/>
  <c r="DE12" i="12"/>
  <c r="DD12" i="12"/>
  <c r="BU12" i="12"/>
  <c r="BP12" i="12"/>
  <c r="BO12" i="12"/>
  <c r="BL12" i="12"/>
  <c r="BH12" i="12"/>
  <c r="BG12" i="12"/>
  <c r="BN12" i="12" s="1"/>
  <c r="BF12" i="12"/>
  <c r="BM12" i="12" s="1"/>
  <c r="BE12" i="12"/>
  <c r="BW12" i="12" s="1"/>
  <c r="BD12" i="12"/>
  <c r="BA12" i="12"/>
  <c r="AZ12" i="12"/>
  <c r="AY12" i="12"/>
  <c r="AX12" i="12"/>
  <c r="AW12" i="12"/>
  <c r="AV12" i="12"/>
  <c r="AU12" i="12"/>
  <c r="AT12" i="12"/>
  <c r="AS12" i="12"/>
  <c r="AR12" i="12"/>
  <c r="AQ12" i="12"/>
  <c r="AP12" i="12"/>
  <c r="AO12" i="12"/>
  <c r="AN12" i="12"/>
  <c r="AM12" i="12"/>
  <c r="AL12" i="12"/>
  <c r="AK12" i="12"/>
  <c r="AJ12" i="12"/>
  <c r="AI12" i="12"/>
  <c r="AH12" i="12"/>
  <c r="W12" i="12"/>
  <c r="DB12" i="12" s="1"/>
  <c r="V12" i="12"/>
  <c r="DJ11" i="12"/>
  <c r="DI11" i="12"/>
  <c r="DH11" i="12"/>
  <c r="DG11" i="12"/>
  <c r="DF11" i="12"/>
  <c r="DE11" i="12"/>
  <c r="DD11" i="12"/>
  <c r="BW11" i="12"/>
  <c r="BU11" i="12"/>
  <c r="BP11" i="12"/>
  <c r="BN11" i="12"/>
  <c r="BL11" i="12"/>
  <c r="BH11" i="12"/>
  <c r="BG11" i="12"/>
  <c r="BF11" i="12"/>
  <c r="BE11" i="12"/>
  <c r="BD11" i="12"/>
  <c r="BA11" i="12"/>
  <c r="AZ11" i="12"/>
  <c r="AY11" i="12"/>
  <c r="AX11" i="12"/>
  <c r="AW11" i="12"/>
  <c r="AV11" i="12"/>
  <c r="AU11" i="12"/>
  <c r="AT11" i="12"/>
  <c r="AT36" i="12" s="1"/>
  <c r="AS11" i="12"/>
  <c r="AR11" i="12"/>
  <c r="AQ11" i="12"/>
  <c r="AP11" i="12"/>
  <c r="AO11" i="12"/>
  <c r="AN11" i="12"/>
  <c r="AM11" i="12"/>
  <c r="BB11" i="12" s="1"/>
  <c r="AL11" i="12"/>
  <c r="AK11" i="12"/>
  <c r="AJ11" i="12"/>
  <c r="AI11" i="12"/>
  <c r="AH11" i="12"/>
  <c r="W11" i="12"/>
  <c r="DB11" i="12" s="1"/>
  <c r="V11" i="12"/>
  <c r="DJ10" i="12"/>
  <c r="DI10" i="12"/>
  <c r="DH10" i="12"/>
  <c r="DG10" i="12"/>
  <c r="DF10" i="12"/>
  <c r="DD10" i="12"/>
  <c r="BW10" i="12"/>
  <c r="BU10" i="12"/>
  <c r="BP10" i="12"/>
  <c r="BO10" i="12"/>
  <c r="BN10" i="12"/>
  <c r="BL10" i="12"/>
  <c r="BH10" i="12"/>
  <c r="BG10" i="12"/>
  <c r="BE10" i="12"/>
  <c r="BF10" i="12" s="1"/>
  <c r="BD10" i="12"/>
  <c r="BA10" i="12"/>
  <c r="AZ10" i="12"/>
  <c r="AY10" i="12"/>
  <c r="AX10" i="12"/>
  <c r="AW10" i="12"/>
  <c r="AV10" i="12"/>
  <c r="AU10" i="12"/>
  <c r="AT10" i="12"/>
  <c r="AS10" i="12"/>
  <c r="AR10" i="12"/>
  <c r="AQ10" i="12"/>
  <c r="AP10" i="12"/>
  <c r="AO10" i="12"/>
  <c r="AN10" i="12"/>
  <c r="AM10" i="12"/>
  <c r="AL10" i="12"/>
  <c r="AK10" i="12"/>
  <c r="AJ10" i="12"/>
  <c r="AI10" i="12"/>
  <c r="AH10" i="12"/>
  <c r="W10" i="12"/>
  <c r="V10" i="12"/>
  <c r="P6" i="12"/>
  <c r="P5" i="12"/>
  <c r="P4" i="12"/>
  <c r="P3" i="12"/>
  <c r="V2" i="12"/>
  <c r="AE1" i="12"/>
  <c r="S42" i="12" s="1"/>
  <c r="D156" i="11"/>
  <c r="D146" i="11"/>
  <c r="D132" i="11"/>
  <c r="D125" i="11"/>
  <c r="D124" i="11"/>
  <c r="D123" i="11"/>
  <c r="D120" i="11"/>
  <c r="D119" i="11"/>
  <c r="D118" i="11"/>
  <c r="D117" i="11"/>
  <c r="D108" i="11"/>
  <c r="D105" i="11"/>
  <c r="L99" i="11"/>
  <c r="D96" i="11"/>
  <c r="N95" i="11"/>
  <c r="U94" i="11"/>
  <c r="W94" i="11" s="1"/>
  <c r="N94" i="11"/>
  <c r="D131" i="11" s="1"/>
  <c r="N93" i="11"/>
  <c r="D157" i="11" s="1"/>
  <c r="N92" i="11"/>
  <c r="S91" i="11"/>
  <c r="N91" i="11"/>
  <c r="D134" i="11" s="1"/>
  <c r="N88" i="11"/>
  <c r="D88" i="11"/>
  <c r="F86" i="11"/>
  <c r="D86" i="11"/>
  <c r="D85" i="11"/>
  <c r="N85" i="11" s="1"/>
  <c r="D150" i="11" s="1"/>
  <c r="W84" i="11"/>
  <c r="U84" i="11"/>
  <c r="F84" i="11"/>
  <c r="D84" i="11"/>
  <c r="W83" i="11"/>
  <c r="U83" i="11"/>
  <c r="N83" i="11"/>
  <c r="F83" i="11"/>
  <c r="N81" i="11"/>
  <c r="D122" i="11" s="1"/>
  <c r="W80" i="11"/>
  <c r="N80" i="11"/>
  <c r="D121" i="11" s="1"/>
  <c r="U79" i="11"/>
  <c r="N79" i="11"/>
  <c r="U78" i="11"/>
  <c r="N78" i="11"/>
  <c r="U77" i="11"/>
  <c r="W76" i="11"/>
  <c r="W75" i="11"/>
  <c r="N75" i="11"/>
  <c r="K75" i="11"/>
  <c r="W74" i="11"/>
  <c r="K74" i="11"/>
  <c r="W73" i="11"/>
  <c r="K73" i="11"/>
  <c r="W72" i="11"/>
  <c r="K72" i="11"/>
  <c r="W71" i="11"/>
  <c r="K71" i="11"/>
  <c r="W70" i="11"/>
  <c r="K70" i="11"/>
  <c r="K69" i="11"/>
  <c r="D126" i="11" s="1"/>
  <c r="K68" i="11"/>
  <c r="K67" i="11"/>
  <c r="G67" i="11"/>
  <c r="U66" i="11"/>
  <c r="K66" i="11"/>
  <c r="U65" i="11"/>
  <c r="U64" i="11"/>
  <c r="S64" i="11"/>
  <c r="S94" i="11" s="1"/>
  <c r="K63" i="11"/>
  <c r="N63" i="11" s="1"/>
  <c r="DE62" i="11"/>
  <c r="K62" i="11"/>
  <c r="N62" i="11" s="1"/>
  <c r="DE61" i="11"/>
  <c r="N61" i="11"/>
  <c r="DE60" i="11"/>
  <c r="N60" i="11"/>
  <c r="DE59" i="11"/>
  <c r="DE58" i="11"/>
  <c r="DE57" i="11"/>
  <c r="F57" i="11"/>
  <c r="DE56" i="11"/>
  <c r="F56" i="11"/>
  <c r="BJ16" i="11" s="1"/>
  <c r="A56" i="11"/>
  <c r="DE55" i="11"/>
  <c r="B55" i="11"/>
  <c r="B54" i="11"/>
  <c r="B53" i="11"/>
  <c r="DE52" i="11"/>
  <c r="B52" i="11"/>
  <c r="DE51" i="11"/>
  <c r="U51" i="11"/>
  <c r="B51" i="11"/>
  <c r="DD48" i="11"/>
  <c r="T47" i="11"/>
  <c r="T46" i="11"/>
  <c r="DF42" i="11"/>
  <c r="M42" i="11"/>
  <c r="DF41" i="11"/>
  <c r="V39" i="11"/>
  <c r="T39" i="11"/>
  <c r="DI36" i="11"/>
  <c r="BI36" i="11"/>
  <c r="AU36" i="11"/>
  <c r="DJ35" i="11"/>
  <c r="DI35" i="11"/>
  <c r="DH35" i="11"/>
  <c r="DG35" i="11"/>
  <c r="DF35" i="11"/>
  <c r="DD35" i="11"/>
  <c r="BU35" i="11"/>
  <c r="BP35" i="11"/>
  <c r="BL35" i="11"/>
  <c r="BH35" i="11"/>
  <c r="BG35" i="11"/>
  <c r="BN35" i="11" s="1"/>
  <c r="BE35" i="11"/>
  <c r="BW35" i="11" s="1"/>
  <c r="BC35" i="11"/>
  <c r="BA35" i="11"/>
  <c r="AZ35" i="11"/>
  <c r="AY35" i="11"/>
  <c r="AX35" i="11"/>
  <c r="AW35" i="11"/>
  <c r="AV35" i="11"/>
  <c r="AU35" i="11"/>
  <c r="AT35" i="11"/>
  <c r="AS35" i="11"/>
  <c r="AR35" i="11"/>
  <c r="AQ35" i="11"/>
  <c r="AP35" i="11"/>
  <c r="AO35" i="11"/>
  <c r="AN35" i="11"/>
  <c r="AM35" i="11"/>
  <c r="AL35" i="11"/>
  <c r="AK35" i="11"/>
  <c r="AJ35" i="11"/>
  <c r="AI35" i="11"/>
  <c r="AH35" i="11"/>
  <c r="W35" i="11"/>
  <c r="DB35" i="11" s="1"/>
  <c r="V35" i="11"/>
  <c r="DJ34" i="11"/>
  <c r="DI34" i="11"/>
  <c r="DH34" i="11"/>
  <c r="DG34" i="11"/>
  <c r="DF34" i="11"/>
  <c r="DD34" i="11"/>
  <c r="DB34" i="11"/>
  <c r="BP34" i="11"/>
  <c r="BO34" i="11"/>
  <c r="BL34" i="11"/>
  <c r="BH34" i="11"/>
  <c r="BG34" i="11"/>
  <c r="BU34" i="11" s="1"/>
  <c r="BF34" i="11"/>
  <c r="BM34" i="11" s="1"/>
  <c r="BE34" i="11"/>
  <c r="BW34" i="11" s="1"/>
  <c r="BA34" i="11"/>
  <c r="AZ34" i="11"/>
  <c r="AY34" i="11"/>
  <c r="AX34" i="11"/>
  <c r="AW34" i="11"/>
  <c r="AV34" i="11"/>
  <c r="AU34" i="11"/>
  <c r="AT34" i="11"/>
  <c r="AS34" i="11"/>
  <c r="AR34" i="11"/>
  <c r="AQ34" i="11"/>
  <c r="AP34" i="11"/>
  <c r="AO34" i="11"/>
  <c r="AN34" i="11"/>
  <c r="AM34" i="11"/>
  <c r="AL34" i="11"/>
  <c r="AK34" i="11"/>
  <c r="AJ34" i="11"/>
  <c r="AI34" i="11"/>
  <c r="AH34" i="11"/>
  <c r="W34" i="11"/>
  <c r="V34" i="11"/>
  <c r="DJ33" i="11"/>
  <c r="DI33" i="11"/>
  <c r="DH33" i="11"/>
  <c r="DG33" i="11"/>
  <c r="DF33" i="11"/>
  <c r="DD33" i="11"/>
  <c r="BP33" i="11"/>
  <c r="BN33" i="11"/>
  <c r="BL33" i="11"/>
  <c r="BH33" i="11"/>
  <c r="BG33" i="11"/>
  <c r="BU33" i="11" s="1"/>
  <c r="BE33" i="11"/>
  <c r="BF33" i="11" s="1"/>
  <c r="BM33" i="11" s="1"/>
  <c r="BD33" i="11"/>
  <c r="BA33" i="11"/>
  <c r="AZ33" i="11"/>
  <c r="AY33" i="11"/>
  <c r="AX33" i="11"/>
  <c r="AW33" i="11"/>
  <c r="AV33" i="11"/>
  <c r="AU33" i="11"/>
  <c r="AT33" i="11"/>
  <c r="AS33" i="11"/>
  <c r="AR33" i="11"/>
  <c r="AQ33" i="11"/>
  <c r="AP33" i="11"/>
  <c r="AO33" i="11"/>
  <c r="AN33" i="11"/>
  <c r="AM33" i="11"/>
  <c r="AL33" i="11"/>
  <c r="AK33" i="11"/>
  <c r="AJ33" i="11"/>
  <c r="AI33" i="11"/>
  <c r="AH33" i="11"/>
  <c r="W33" i="11"/>
  <c r="DB33" i="11" s="1"/>
  <c r="V33" i="11"/>
  <c r="DE33" i="11" s="1"/>
  <c r="DJ32" i="11"/>
  <c r="DI32" i="11"/>
  <c r="DH32" i="11"/>
  <c r="DG32" i="11"/>
  <c r="DF32" i="11"/>
  <c r="DD32" i="11"/>
  <c r="BP32" i="11"/>
  <c r="BL32" i="11"/>
  <c r="BH32" i="11"/>
  <c r="BG32" i="11"/>
  <c r="BU32" i="11" s="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W32" i="11"/>
  <c r="DB32" i="11" s="1"/>
  <c r="V32" i="11"/>
  <c r="DJ31" i="11"/>
  <c r="DI31" i="11"/>
  <c r="DH31" i="11"/>
  <c r="DG31" i="11"/>
  <c r="DF31" i="11"/>
  <c r="DD31" i="11"/>
  <c r="DB31" i="11"/>
  <c r="BW31" i="11"/>
  <c r="BU31" i="11"/>
  <c r="BP31" i="11"/>
  <c r="BM31" i="11"/>
  <c r="BL31" i="11"/>
  <c r="BH31" i="11"/>
  <c r="BG31" i="11"/>
  <c r="BN31" i="11" s="1"/>
  <c r="BF31" i="11"/>
  <c r="BE31" i="11"/>
  <c r="BA31" i="11"/>
  <c r="AZ31" i="11"/>
  <c r="AY31" i="11"/>
  <c r="AX31" i="11"/>
  <c r="AW31" i="11"/>
  <c r="AV31" i="11"/>
  <c r="AU31" i="11"/>
  <c r="AT31" i="11"/>
  <c r="AS31" i="11"/>
  <c r="AR31" i="11"/>
  <c r="AQ31" i="11"/>
  <c r="AP31" i="11"/>
  <c r="AO31" i="11"/>
  <c r="AN31" i="11"/>
  <c r="AM31" i="11"/>
  <c r="AL31" i="11"/>
  <c r="AK31" i="11"/>
  <c r="AJ31" i="11"/>
  <c r="AI31" i="11"/>
  <c r="BB31" i="11" s="1"/>
  <c r="AH31" i="11"/>
  <c r="W31" i="11"/>
  <c r="V31" i="11"/>
  <c r="DJ30" i="11"/>
  <c r="DI30" i="11"/>
  <c r="DH30" i="11"/>
  <c r="DG30" i="11"/>
  <c r="DF30" i="11"/>
  <c r="DD30" i="11"/>
  <c r="BP30" i="11"/>
  <c r="BL30" i="11"/>
  <c r="BH30" i="11"/>
  <c r="BG30" i="11"/>
  <c r="BE30" i="11"/>
  <c r="BW30" i="11" s="1"/>
  <c r="BD30" i="11"/>
  <c r="BB30" i="11"/>
  <c r="BA30" i="11"/>
  <c r="AZ30" i="11"/>
  <c r="AY30" i="11"/>
  <c r="AX30" i="11"/>
  <c r="AW30" i="11"/>
  <c r="AV30" i="11"/>
  <c r="AU30" i="11"/>
  <c r="AT30" i="11"/>
  <c r="AS30" i="11"/>
  <c r="AR30" i="11"/>
  <c r="AQ30" i="11"/>
  <c r="AP30" i="11"/>
  <c r="AO30" i="11"/>
  <c r="AN30" i="11"/>
  <c r="AM30" i="11"/>
  <c r="AL30" i="11"/>
  <c r="AK30" i="11"/>
  <c r="AJ30" i="11"/>
  <c r="AI30" i="11"/>
  <c r="AH30" i="11"/>
  <c r="W30" i="11"/>
  <c r="DB30" i="11" s="1"/>
  <c r="V30" i="11"/>
  <c r="DE30" i="11" s="1"/>
  <c r="DJ29" i="11"/>
  <c r="DI29" i="11"/>
  <c r="DH29" i="11"/>
  <c r="DG29" i="11"/>
  <c r="DF29" i="11"/>
  <c r="DE29" i="11"/>
  <c r="DD29" i="11"/>
  <c r="BW29" i="11"/>
  <c r="BP29" i="11"/>
  <c r="BM29" i="11"/>
  <c r="BL29" i="11"/>
  <c r="BH29" i="11"/>
  <c r="BG29" i="11"/>
  <c r="BF29" i="11"/>
  <c r="BE29" i="11"/>
  <c r="BD29" i="11"/>
  <c r="BA29" i="11"/>
  <c r="AZ29" i="11"/>
  <c r="AY29" i="11"/>
  <c r="AX29" i="11"/>
  <c r="AW29" i="11"/>
  <c r="AV29" i="11"/>
  <c r="AU29" i="11"/>
  <c r="AT29" i="11"/>
  <c r="AS29" i="11"/>
  <c r="AR29" i="11"/>
  <c r="AQ29" i="11"/>
  <c r="AP29" i="11"/>
  <c r="AO29" i="11"/>
  <c r="AN29" i="11"/>
  <c r="AM29" i="11"/>
  <c r="AL29" i="11"/>
  <c r="AK29" i="11"/>
  <c r="AJ29" i="11"/>
  <c r="BB29" i="11" s="1"/>
  <c r="AI29" i="11"/>
  <c r="AH29" i="11"/>
  <c r="W29" i="11"/>
  <c r="DB29" i="11" s="1"/>
  <c r="V29" i="11"/>
  <c r="DJ28" i="11"/>
  <c r="DI28" i="11"/>
  <c r="DH28" i="11"/>
  <c r="DG28" i="11"/>
  <c r="DF28" i="11"/>
  <c r="DD28" i="11"/>
  <c r="BP28" i="11"/>
  <c r="BL28" i="11"/>
  <c r="BH28" i="11"/>
  <c r="BG28" i="11"/>
  <c r="BE28" i="11"/>
  <c r="BW28" i="11" s="1"/>
  <c r="BD28" i="11"/>
  <c r="BC28" i="11"/>
  <c r="BA28" i="11"/>
  <c r="AZ28" i="11"/>
  <c r="AY28" i="11"/>
  <c r="AX28" i="11"/>
  <c r="AW28" i="11"/>
  <c r="AV28" i="11"/>
  <c r="AU28" i="11"/>
  <c r="AT28" i="11"/>
  <c r="AS28" i="11"/>
  <c r="AR28" i="11"/>
  <c r="AQ28" i="11"/>
  <c r="AP28" i="11"/>
  <c r="AO28" i="11"/>
  <c r="AN28" i="11"/>
  <c r="AM28" i="11"/>
  <c r="AL28" i="11"/>
  <c r="AK28" i="11"/>
  <c r="AJ28" i="11"/>
  <c r="AI28" i="11"/>
  <c r="AH28" i="11"/>
  <c r="W28" i="11"/>
  <c r="DB28" i="11" s="1"/>
  <c r="V28" i="11"/>
  <c r="DE28" i="11" s="1"/>
  <c r="DJ27" i="11"/>
  <c r="DI27" i="11"/>
  <c r="DH27" i="11"/>
  <c r="DG27" i="11"/>
  <c r="DF27" i="11"/>
  <c r="DD27" i="11"/>
  <c r="BN27" i="11"/>
  <c r="BG27" i="11"/>
  <c r="BA27" i="11"/>
  <c r="AZ27" i="11"/>
  <c r="AY27" i="11"/>
  <c r="AX27" i="11"/>
  <c r="AW27" i="11"/>
  <c r="AU27" i="11"/>
  <c r="AT27" i="11"/>
  <c r="AS27" i="11"/>
  <c r="AR27" i="11"/>
  <c r="AQ27" i="11"/>
  <c r="AP27" i="11"/>
  <c r="AO27" i="11"/>
  <c r="AN27" i="11"/>
  <c r="AM27" i="11"/>
  <c r="AL27" i="11"/>
  <c r="BB27" i="11" s="1"/>
  <c r="AK27" i="11"/>
  <c r="AJ27" i="11"/>
  <c r="AI27" i="11"/>
  <c r="AH27" i="11"/>
  <c r="W27" i="11"/>
  <c r="G27" i="11"/>
  <c r="V27" i="11" s="1"/>
  <c r="DE27" i="11" s="1"/>
  <c r="DJ26" i="11"/>
  <c r="DI26" i="11"/>
  <c r="DH26" i="11"/>
  <c r="DG26" i="11"/>
  <c r="DF26" i="11"/>
  <c r="DD26" i="11"/>
  <c r="BN26" i="11"/>
  <c r="BM26" i="11"/>
  <c r="BG26" i="11"/>
  <c r="BF26" i="11"/>
  <c r="BH26" i="11" s="1"/>
  <c r="BA26" i="11"/>
  <c r="AZ26" i="11"/>
  <c r="AY26" i="11"/>
  <c r="AX26" i="11"/>
  <c r="AW26" i="11"/>
  <c r="AU26" i="11"/>
  <c r="AT26" i="11"/>
  <c r="AS26" i="11"/>
  <c r="AR26" i="11"/>
  <c r="AQ26" i="11"/>
  <c r="AP26" i="11"/>
  <c r="AO26" i="11"/>
  <c r="AN26" i="11"/>
  <c r="AM26" i="11"/>
  <c r="AL26" i="11"/>
  <c r="AK26" i="11"/>
  <c r="AJ26" i="11"/>
  <c r="AI26" i="11"/>
  <c r="AH26" i="11"/>
  <c r="W26" i="11"/>
  <c r="G26" i="11"/>
  <c r="BE26" i="11" s="1"/>
  <c r="DJ25" i="11"/>
  <c r="DI25" i="11"/>
  <c r="DG25" i="11"/>
  <c r="DF25" i="11"/>
  <c r="DD25" i="11"/>
  <c r="BN25" i="11"/>
  <c r="BG25" i="11"/>
  <c r="BD25" i="11"/>
  <c r="BB25" i="11"/>
  <c r="BA25" i="11"/>
  <c r="AZ25" i="11"/>
  <c r="AY25" i="11"/>
  <c r="AX25" i="11"/>
  <c r="AW25" i="11"/>
  <c r="AU25" i="11"/>
  <c r="AT25" i="11"/>
  <c r="AS25" i="11"/>
  <c r="AR25" i="11"/>
  <c r="AQ25" i="11"/>
  <c r="AP25" i="11"/>
  <c r="AO25" i="11"/>
  <c r="AN25" i="11"/>
  <c r="AM25" i="11"/>
  <c r="AL25" i="11"/>
  <c r="AK25" i="11"/>
  <c r="AJ25" i="11"/>
  <c r="AI25" i="11"/>
  <c r="AH25" i="11"/>
  <c r="V25" i="11"/>
  <c r="G25" i="11"/>
  <c r="DH25" i="11" s="1"/>
  <c r="DJ24" i="11"/>
  <c r="DI24" i="11"/>
  <c r="DH24" i="11"/>
  <c r="DG24" i="11"/>
  <c r="DF24" i="11"/>
  <c r="DE24" i="11"/>
  <c r="DD24" i="11"/>
  <c r="BO24" i="11"/>
  <c r="BJ24" i="11"/>
  <c r="BG24" i="11"/>
  <c r="BE24" i="11"/>
  <c r="BA24" i="11"/>
  <c r="AZ24" i="11"/>
  <c r="AY24" i="11"/>
  <c r="AX24" i="11"/>
  <c r="AW24" i="11"/>
  <c r="AU24" i="11"/>
  <c r="AT24" i="11"/>
  <c r="AS24" i="11"/>
  <c r="AR24" i="11"/>
  <c r="AQ24" i="11"/>
  <c r="AP24" i="11"/>
  <c r="AO24" i="11"/>
  <c r="AN24" i="11"/>
  <c r="AM24" i="11"/>
  <c r="AL24" i="11"/>
  <c r="AK24" i="11"/>
  <c r="AJ24" i="11"/>
  <c r="AI24" i="11"/>
  <c r="AH24" i="11"/>
  <c r="W24" i="11"/>
  <c r="G24" i="11"/>
  <c r="V24" i="11" s="1"/>
  <c r="BD24" i="11" s="1"/>
  <c r="DJ23" i="11"/>
  <c r="DI23" i="11"/>
  <c r="DH23" i="11"/>
  <c r="DG23" i="11"/>
  <c r="DF23" i="11"/>
  <c r="DE23" i="11"/>
  <c r="DD23" i="11"/>
  <c r="BH23" i="11"/>
  <c r="BG23" i="11"/>
  <c r="BN23" i="11" s="1"/>
  <c r="BA23" i="11"/>
  <c r="AZ23" i="11"/>
  <c r="AY23" i="11"/>
  <c r="AX23" i="11"/>
  <c r="AW23" i="11"/>
  <c r="AU23" i="11"/>
  <c r="AT23" i="11"/>
  <c r="AS23" i="11"/>
  <c r="AR23" i="11"/>
  <c r="AQ23" i="11"/>
  <c r="AP23" i="11"/>
  <c r="AO23" i="11"/>
  <c r="AN23" i="11"/>
  <c r="AM23" i="11"/>
  <c r="AL23" i="11"/>
  <c r="S63" i="11" s="1"/>
  <c r="AK23" i="11"/>
  <c r="AJ23" i="11"/>
  <c r="AI23" i="11"/>
  <c r="AH23" i="11"/>
  <c r="V23" i="11"/>
  <c r="BD23" i="11" s="1"/>
  <c r="G23" i="11"/>
  <c r="BE23" i="11" s="1"/>
  <c r="BF23" i="11" s="1"/>
  <c r="BM23" i="11" s="1"/>
  <c r="DJ22" i="11"/>
  <c r="DI22" i="11"/>
  <c r="DD22" i="11"/>
  <c r="BG22" i="11"/>
  <c r="BE22" i="11"/>
  <c r="BB22" i="11"/>
  <c r="BA22" i="11"/>
  <c r="AZ22" i="11"/>
  <c r="AY22" i="11"/>
  <c r="AX22" i="11"/>
  <c r="AW22" i="11"/>
  <c r="AU22" i="11"/>
  <c r="AT22" i="11"/>
  <c r="AS22" i="11"/>
  <c r="AR22" i="11"/>
  <c r="AQ22" i="11"/>
  <c r="AP22" i="11"/>
  <c r="AO22" i="11"/>
  <c r="AN22" i="11"/>
  <c r="AM22" i="11"/>
  <c r="AL22" i="11"/>
  <c r="AK22" i="11"/>
  <c r="AJ22" i="11"/>
  <c r="AI22" i="11"/>
  <c r="AH22" i="11"/>
  <c r="W22" i="11"/>
  <c r="G22" i="11"/>
  <c r="DJ21" i="11"/>
  <c r="DI21" i="11"/>
  <c r="DH21" i="11"/>
  <c r="DG21" i="11"/>
  <c r="DF21" i="11"/>
  <c r="DD21" i="11"/>
  <c r="BG21" i="11"/>
  <c r="BN21" i="11" s="1"/>
  <c r="BF21" i="11"/>
  <c r="BE21" i="11"/>
  <c r="BA21" i="11"/>
  <c r="AZ21" i="11"/>
  <c r="AY21" i="11"/>
  <c r="AX21" i="11"/>
  <c r="AW21" i="11"/>
  <c r="AU21" i="11"/>
  <c r="AT21" i="11"/>
  <c r="AS21" i="11"/>
  <c r="AR21" i="11"/>
  <c r="AQ21" i="11"/>
  <c r="AP21" i="11"/>
  <c r="AO21" i="11"/>
  <c r="AN21" i="11"/>
  <c r="AM21" i="11"/>
  <c r="AL21" i="11"/>
  <c r="AK21" i="11"/>
  <c r="AJ21" i="11"/>
  <c r="AI21" i="11"/>
  <c r="AH21" i="11"/>
  <c r="G21" i="11"/>
  <c r="DJ20" i="11"/>
  <c r="DI20" i="11"/>
  <c r="DE20" i="11"/>
  <c r="DD20" i="11"/>
  <c r="BG20" i="11"/>
  <c r="BE20" i="11"/>
  <c r="BD20" i="11"/>
  <c r="BB20" i="11"/>
  <c r="BA20" i="11"/>
  <c r="AZ20" i="11"/>
  <c r="AY20" i="11"/>
  <c r="AX20" i="11"/>
  <c r="AW20" i="11"/>
  <c r="AU20" i="11"/>
  <c r="AT20" i="11"/>
  <c r="AS20" i="11"/>
  <c r="AR20" i="11"/>
  <c r="AQ20" i="11"/>
  <c r="AP20" i="11"/>
  <c r="AO20" i="11"/>
  <c r="AN20" i="11"/>
  <c r="AM20" i="11"/>
  <c r="AL20" i="11"/>
  <c r="AK20" i="11"/>
  <c r="AJ20" i="11"/>
  <c r="AI20" i="11"/>
  <c r="AH20" i="11"/>
  <c r="V20" i="11"/>
  <c r="BO20" i="11" s="1"/>
  <c r="G20" i="11"/>
  <c r="DJ19" i="11"/>
  <c r="DI19" i="11"/>
  <c r="DH19" i="11"/>
  <c r="DG19" i="11"/>
  <c r="DF19" i="11"/>
  <c r="DD19" i="11"/>
  <c r="BN19" i="11"/>
  <c r="BG19" i="11"/>
  <c r="BE19" i="11"/>
  <c r="BA19" i="11"/>
  <c r="AZ19" i="11"/>
  <c r="AY19" i="11"/>
  <c r="AX19" i="11"/>
  <c r="AW19" i="11"/>
  <c r="AU19" i="11"/>
  <c r="AT19" i="11"/>
  <c r="AS19" i="11"/>
  <c r="AR19" i="11"/>
  <c r="AQ19" i="11"/>
  <c r="AP19" i="11"/>
  <c r="AO19" i="11"/>
  <c r="AN19" i="11"/>
  <c r="AM19" i="11"/>
  <c r="AL19" i="11"/>
  <c r="AK19" i="11"/>
  <c r="AJ19" i="11"/>
  <c r="AI19" i="11"/>
  <c r="AH19" i="11"/>
  <c r="BB19" i="11" s="1"/>
  <c r="W19" i="11"/>
  <c r="AV19" i="11" s="1"/>
  <c r="BC19" i="11" s="1"/>
  <c r="G19" i="11"/>
  <c r="V19" i="11" s="1"/>
  <c r="DJ18" i="11"/>
  <c r="DI18" i="11"/>
  <c r="DG18" i="11"/>
  <c r="DF18" i="11"/>
  <c r="DD18" i="11"/>
  <c r="BG18" i="11"/>
  <c r="BN18" i="11" s="1"/>
  <c r="BA18" i="11"/>
  <c r="AZ18" i="11"/>
  <c r="AY18" i="11"/>
  <c r="AX18" i="11"/>
  <c r="AW18" i="11"/>
  <c r="AU18" i="11"/>
  <c r="AT18" i="11"/>
  <c r="AS18" i="11"/>
  <c r="AR18" i="11"/>
  <c r="AQ18" i="11"/>
  <c r="AP18" i="11"/>
  <c r="AO18" i="11"/>
  <c r="AN18" i="11"/>
  <c r="AM18" i="11"/>
  <c r="AL18" i="11"/>
  <c r="AK18" i="11"/>
  <c r="AJ18" i="11"/>
  <c r="AI18" i="11"/>
  <c r="AH18" i="11"/>
  <c r="G18" i="11"/>
  <c r="DJ17" i="11"/>
  <c r="DI17" i="11"/>
  <c r="DG17" i="11"/>
  <c r="DF17" i="11"/>
  <c r="DD17" i="11"/>
  <c r="BO17" i="11"/>
  <c r="BG17" i="11"/>
  <c r="BE17" i="11"/>
  <c r="BD17" i="11"/>
  <c r="BA17" i="11"/>
  <c r="AZ17" i="11"/>
  <c r="AY17" i="11"/>
  <c r="AX17" i="11"/>
  <c r="AW17" i="11"/>
  <c r="AU17" i="11"/>
  <c r="AT17" i="11"/>
  <c r="AS17" i="11"/>
  <c r="AR17" i="11"/>
  <c r="AQ17" i="11"/>
  <c r="AP17" i="11"/>
  <c r="AO17" i="11"/>
  <c r="AN17" i="11"/>
  <c r="AM17" i="11"/>
  <c r="AL17" i="11"/>
  <c r="AK17" i="11"/>
  <c r="AJ17" i="11"/>
  <c r="AI17" i="11"/>
  <c r="AH17" i="11"/>
  <c r="W17" i="11"/>
  <c r="V17" i="11"/>
  <c r="G17" i="11"/>
  <c r="DH17" i="11" s="1"/>
  <c r="DJ16" i="11"/>
  <c r="DI16" i="11"/>
  <c r="DH16" i="11"/>
  <c r="DG16" i="11"/>
  <c r="DF16" i="11"/>
  <c r="DE16" i="11"/>
  <c r="DD16" i="11"/>
  <c r="BO16" i="11"/>
  <c r="BG16" i="11"/>
  <c r="BE16" i="11"/>
  <c r="BD16" i="11"/>
  <c r="BC16" i="11"/>
  <c r="BB16" i="11"/>
  <c r="BA16" i="11"/>
  <c r="AZ16" i="11"/>
  <c r="AY16" i="11"/>
  <c r="AX16" i="11"/>
  <c r="AW16" i="11"/>
  <c r="AU16" i="11"/>
  <c r="AT16" i="11"/>
  <c r="AS16" i="11"/>
  <c r="AR16" i="11"/>
  <c r="AQ16" i="11"/>
  <c r="AP16" i="11"/>
  <c r="AO16" i="11"/>
  <c r="AN16" i="11"/>
  <c r="AM16" i="11"/>
  <c r="AL16" i="11"/>
  <c r="AK16" i="11"/>
  <c r="AJ16" i="11"/>
  <c r="AI16" i="11"/>
  <c r="AH16" i="11"/>
  <c r="AV16" i="11" s="1"/>
  <c r="W16" i="11"/>
  <c r="G16" i="11"/>
  <c r="V16" i="11" s="1"/>
  <c r="DJ15" i="11"/>
  <c r="DI15" i="11"/>
  <c r="DH15" i="11"/>
  <c r="DG15" i="11"/>
  <c r="DF15" i="11"/>
  <c r="DE15" i="11"/>
  <c r="DD15" i="11"/>
  <c r="BO15" i="11"/>
  <c r="BH15" i="11"/>
  <c r="BG15" i="11"/>
  <c r="BN15" i="11" s="1"/>
  <c r="BF15" i="11"/>
  <c r="BM15" i="11" s="1"/>
  <c r="BA15" i="11"/>
  <c r="AZ15" i="11"/>
  <c r="AY15" i="11"/>
  <c r="AX15" i="11"/>
  <c r="AW15" i="11"/>
  <c r="AU15" i="11"/>
  <c r="AT15" i="11"/>
  <c r="AS15" i="11"/>
  <c r="AR15" i="11"/>
  <c r="AQ15" i="11"/>
  <c r="AP15" i="11"/>
  <c r="AO15" i="11"/>
  <c r="AN15" i="11"/>
  <c r="AM15" i="11"/>
  <c r="AL15" i="11"/>
  <c r="AK15" i="11"/>
  <c r="AJ15" i="11"/>
  <c r="AI15" i="11"/>
  <c r="AH15" i="11"/>
  <c r="W15" i="11"/>
  <c r="AV15" i="11" s="1"/>
  <c r="V15" i="11"/>
  <c r="G15" i="11"/>
  <c r="BE15" i="11" s="1"/>
  <c r="DJ14" i="11"/>
  <c r="DI14" i="11"/>
  <c r="DD14" i="11"/>
  <c r="BG14" i="11"/>
  <c r="BE14" i="11"/>
  <c r="BB14" i="11"/>
  <c r="BA14" i="11"/>
  <c r="AZ14" i="11"/>
  <c r="AY14" i="11"/>
  <c r="AX14" i="11"/>
  <c r="AW14" i="11"/>
  <c r="AU14" i="11"/>
  <c r="AT14" i="11"/>
  <c r="AS14" i="11"/>
  <c r="AR14" i="11"/>
  <c r="AQ14" i="11"/>
  <c r="AP14" i="11"/>
  <c r="AO14" i="11"/>
  <c r="AN14" i="11"/>
  <c r="AM14" i="11"/>
  <c r="AL14" i="11"/>
  <c r="AK14" i="11"/>
  <c r="AJ14" i="11"/>
  <c r="AI14" i="11"/>
  <c r="AH14" i="11"/>
  <c r="G14" i="11"/>
  <c r="DJ13" i="11"/>
  <c r="DI13" i="11"/>
  <c r="DF13" i="11"/>
  <c r="DD13" i="11"/>
  <c r="BG13" i="11"/>
  <c r="BN13" i="11" s="1"/>
  <c r="BA13" i="11"/>
  <c r="AZ13" i="11"/>
  <c r="AY13" i="11"/>
  <c r="AX13" i="11"/>
  <c r="AW13" i="11"/>
  <c r="AU13" i="11"/>
  <c r="AT13" i="11"/>
  <c r="AS13" i="11"/>
  <c r="AR13" i="11"/>
  <c r="AQ13" i="11"/>
  <c r="AP13" i="11"/>
  <c r="AO13" i="11"/>
  <c r="AN13" i="11"/>
  <c r="AM13" i="11"/>
  <c r="AL13" i="11"/>
  <c r="AK13" i="11"/>
  <c r="AJ13" i="11"/>
  <c r="AI13" i="11"/>
  <c r="AH13" i="11"/>
  <c r="G13" i="11"/>
  <c r="DH13" i="11" s="1"/>
  <c r="DJ12" i="11"/>
  <c r="DI12" i="11"/>
  <c r="DH12" i="11"/>
  <c r="DG12" i="11"/>
  <c r="DF12" i="11"/>
  <c r="DD12" i="11"/>
  <c r="DB12" i="11"/>
  <c r="BP12" i="11"/>
  <c r="BL12" i="11"/>
  <c r="BH12" i="11"/>
  <c r="BG12" i="11"/>
  <c r="BU12" i="11" s="1"/>
  <c r="BE12" i="11"/>
  <c r="BW12" i="11" s="1"/>
  <c r="BD12" i="11"/>
  <c r="BB12" i="11"/>
  <c r="BA12" i="11"/>
  <c r="AZ12" i="11"/>
  <c r="AY12" i="11"/>
  <c r="AX12" i="11"/>
  <c r="AW12" i="11"/>
  <c r="AV12" i="11"/>
  <c r="AU12" i="11"/>
  <c r="AT12" i="11"/>
  <c r="AS12" i="11"/>
  <c r="AR12" i="11"/>
  <c r="AQ12" i="11"/>
  <c r="AP12" i="11"/>
  <c r="AO12" i="11"/>
  <c r="AN12" i="11"/>
  <c r="AM12" i="11"/>
  <c r="AL12" i="11"/>
  <c r="AK12" i="11"/>
  <c r="AJ12" i="11"/>
  <c r="AI12" i="11"/>
  <c r="AH12" i="11"/>
  <c r="W12" i="11"/>
  <c r="V12" i="11"/>
  <c r="DE12" i="11" s="1"/>
  <c r="DD11" i="11"/>
  <c r="BA11" i="11"/>
  <c r="AZ11" i="11"/>
  <c r="AY11" i="11"/>
  <c r="AX11" i="11"/>
  <c r="AW11" i="11"/>
  <c r="AU11" i="11"/>
  <c r="AT11" i="11"/>
  <c r="AS11" i="11"/>
  <c r="AR11" i="11"/>
  <c r="AQ11" i="11"/>
  <c r="AP11" i="11"/>
  <c r="AO11" i="11"/>
  <c r="AN11" i="11"/>
  <c r="AM11" i="11"/>
  <c r="AL11" i="11"/>
  <c r="AK11" i="11"/>
  <c r="AI11" i="11"/>
  <c r="AH11" i="11"/>
  <c r="V11" i="11"/>
  <c r="E11" i="11"/>
  <c r="DJ10" i="11"/>
  <c r="DI10" i="11"/>
  <c r="DH10" i="11"/>
  <c r="DG10" i="11"/>
  <c r="DF10" i="11"/>
  <c r="DE10" i="11"/>
  <c r="DD10" i="11"/>
  <c r="DB10" i="11"/>
  <c r="BW10" i="11"/>
  <c r="BU10" i="11"/>
  <c r="BP10" i="11"/>
  <c r="BO10" i="11"/>
  <c r="BN10" i="11"/>
  <c r="BL10" i="11"/>
  <c r="BH10" i="11"/>
  <c r="BG10" i="11"/>
  <c r="BE10" i="11"/>
  <c r="BF10" i="11" s="1"/>
  <c r="BA10" i="11"/>
  <c r="AZ10" i="11"/>
  <c r="AY10" i="11"/>
  <c r="AX10" i="11"/>
  <c r="AW10" i="11"/>
  <c r="AW36" i="11" s="1"/>
  <c r="AV10" i="11"/>
  <c r="AU10" i="11"/>
  <c r="AT10" i="11"/>
  <c r="AS10" i="11"/>
  <c r="AR10" i="11"/>
  <c r="AQ10" i="11"/>
  <c r="AP10" i="11"/>
  <c r="AP36" i="11" s="1"/>
  <c r="AO10" i="11"/>
  <c r="AN10" i="11"/>
  <c r="AM10" i="11"/>
  <c r="AL10" i="11"/>
  <c r="AK10" i="11"/>
  <c r="AJ10" i="11"/>
  <c r="AI10" i="11"/>
  <c r="AH10" i="11"/>
  <c r="W10" i="11"/>
  <c r="V10" i="11"/>
  <c r="BD10" i="11" s="1"/>
  <c r="P6" i="11"/>
  <c r="P5" i="11"/>
  <c r="P4" i="11"/>
  <c r="P3" i="11"/>
  <c r="V2" i="11"/>
  <c r="AE1" i="11"/>
  <c r="S42" i="11" s="1"/>
  <c r="D156" i="10"/>
  <c r="D151" i="10"/>
  <c r="D146" i="10"/>
  <c r="D128" i="10"/>
  <c r="D125" i="10"/>
  <c r="D124" i="10"/>
  <c r="D123" i="10"/>
  <c r="D122" i="10"/>
  <c r="D121" i="10"/>
  <c r="D119" i="10"/>
  <c r="D118" i="10"/>
  <c r="D117" i="10"/>
  <c r="D108" i="10"/>
  <c r="D105" i="10"/>
  <c r="L99" i="10"/>
  <c r="V98" i="10"/>
  <c r="T98" i="10"/>
  <c r="D96" i="10"/>
  <c r="N95" i="10"/>
  <c r="U94" i="10"/>
  <c r="W94" i="10" s="1"/>
  <c r="S94" i="10"/>
  <c r="N94" i="10"/>
  <c r="D131" i="10" s="1"/>
  <c r="N93" i="10"/>
  <c r="D157" i="10" s="1"/>
  <c r="N92" i="10"/>
  <c r="D132" i="10" s="1"/>
  <c r="S91" i="10"/>
  <c r="N91" i="10"/>
  <c r="D134" i="10" s="1"/>
  <c r="N90" i="10"/>
  <c r="D88" i="10"/>
  <c r="N88" i="10" s="1"/>
  <c r="D87" i="10"/>
  <c r="N86" i="10"/>
  <c r="F86" i="10"/>
  <c r="D86" i="10"/>
  <c r="D85" i="10"/>
  <c r="N85" i="10" s="1"/>
  <c r="D150" i="10" s="1"/>
  <c r="U84" i="10"/>
  <c r="W84" i="10" s="1"/>
  <c r="F84" i="10"/>
  <c r="D84" i="10"/>
  <c r="N84" i="10" s="1"/>
  <c r="D149" i="10" s="1"/>
  <c r="W83" i="10"/>
  <c r="U83" i="10"/>
  <c r="F83" i="10"/>
  <c r="D81" i="10"/>
  <c r="N81" i="10" s="1"/>
  <c r="W80" i="10"/>
  <c r="D80" i="10"/>
  <c r="N80" i="10" s="1"/>
  <c r="U79" i="10"/>
  <c r="N79" i="10"/>
  <c r="D79" i="10"/>
  <c r="U78" i="10"/>
  <c r="N78" i="10"/>
  <c r="U77" i="10"/>
  <c r="W76" i="10"/>
  <c r="W75" i="10"/>
  <c r="N75" i="10"/>
  <c r="K75" i="10"/>
  <c r="W74" i="10"/>
  <c r="K74" i="10"/>
  <c r="W73" i="10"/>
  <c r="K73" i="10"/>
  <c r="W72" i="10"/>
  <c r="K72" i="10"/>
  <c r="W71" i="10"/>
  <c r="K71" i="10"/>
  <c r="W70" i="10"/>
  <c r="K70" i="10"/>
  <c r="K69" i="10"/>
  <c r="D126" i="10" s="1"/>
  <c r="K68" i="10"/>
  <c r="S67" i="10"/>
  <c r="K67" i="10"/>
  <c r="G67" i="10"/>
  <c r="BM14" i="10" s="1"/>
  <c r="U66" i="10"/>
  <c r="K66" i="10"/>
  <c r="U65" i="10"/>
  <c r="U64" i="10"/>
  <c r="W64" i="10" s="1"/>
  <c r="S64" i="10"/>
  <c r="K63" i="10"/>
  <c r="N63" i="10" s="1"/>
  <c r="DE62" i="10"/>
  <c r="K62" i="10"/>
  <c r="N62" i="10" s="1"/>
  <c r="DE61" i="10"/>
  <c r="N61" i="10"/>
  <c r="DE60" i="10"/>
  <c r="N60" i="10"/>
  <c r="DE59" i="10"/>
  <c r="S59" i="10"/>
  <c r="F59" i="10"/>
  <c r="DE58" i="10"/>
  <c r="DE57" i="10"/>
  <c r="F57" i="10"/>
  <c r="DE56" i="10"/>
  <c r="F56" i="10"/>
  <c r="A56" i="10"/>
  <c r="DE55" i="10"/>
  <c r="B55" i="10"/>
  <c r="W54" i="10"/>
  <c r="B54" i="10"/>
  <c r="W53" i="10"/>
  <c r="B53" i="10"/>
  <c r="DE52" i="10"/>
  <c r="B52" i="10"/>
  <c r="DE51" i="10"/>
  <c r="W51" i="10"/>
  <c r="U51" i="10"/>
  <c r="B51" i="10"/>
  <c r="DB49" i="10"/>
  <c r="DD48" i="10"/>
  <c r="T47" i="10"/>
  <c r="T46" i="10"/>
  <c r="DF42" i="10"/>
  <c r="M42" i="10"/>
  <c r="DF41" i="10"/>
  <c r="L40" i="10"/>
  <c r="V39" i="10"/>
  <c r="N87" i="10" s="1"/>
  <c r="T39" i="10"/>
  <c r="DI36" i="10"/>
  <c r="BI36" i="10"/>
  <c r="E36" i="10"/>
  <c r="DJ35" i="10"/>
  <c r="DI35" i="10"/>
  <c r="DH35" i="10"/>
  <c r="DG35" i="10"/>
  <c r="DF35" i="10"/>
  <c r="DD35" i="10"/>
  <c r="BW35" i="10"/>
  <c r="BP35" i="10"/>
  <c r="BL35" i="10"/>
  <c r="BH35" i="10"/>
  <c r="BG35" i="10"/>
  <c r="BF35" i="10"/>
  <c r="BE35" i="10"/>
  <c r="BA35" i="10"/>
  <c r="AZ35" i="10"/>
  <c r="AY35" i="10"/>
  <c r="AX35" i="10"/>
  <c r="AW35" i="10"/>
  <c r="AV35" i="10"/>
  <c r="AU35" i="10"/>
  <c r="AT35" i="10"/>
  <c r="AS35" i="10"/>
  <c r="AR35" i="10"/>
  <c r="BC35" i="10" s="1"/>
  <c r="AQ35" i="10"/>
  <c r="AP35" i="10"/>
  <c r="AO35" i="10"/>
  <c r="AN35" i="10"/>
  <c r="AM35" i="10"/>
  <c r="AL35" i="10"/>
  <c r="AK35" i="10"/>
  <c r="AJ35" i="10"/>
  <c r="AI35" i="10"/>
  <c r="AH35" i="10"/>
  <c r="W35" i="10"/>
  <c r="DB35" i="10" s="1"/>
  <c r="V35" i="10"/>
  <c r="DJ34" i="10"/>
  <c r="DI34" i="10"/>
  <c r="DH34" i="10"/>
  <c r="DG34" i="10"/>
  <c r="DF34" i="10"/>
  <c r="DE34" i="10"/>
  <c r="DD34" i="10"/>
  <c r="BU34" i="10"/>
  <c r="BP34" i="10"/>
  <c r="BO34" i="10"/>
  <c r="BN34" i="10"/>
  <c r="BL34" i="10"/>
  <c r="BH34" i="10"/>
  <c r="BG34" i="10"/>
  <c r="BE34" i="10"/>
  <c r="BF34" i="10" s="1"/>
  <c r="BD34" i="10"/>
  <c r="BA34" i="10"/>
  <c r="AZ34" i="10"/>
  <c r="AY34" i="10"/>
  <c r="AX34" i="10"/>
  <c r="AW34" i="10"/>
  <c r="AV34" i="10"/>
  <c r="AU34" i="10"/>
  <c r="AT34" i="10"/>
  <c r="AS34" i="10"/>
  <c r="AR34" i="10"/>
  <c r="AQ34" i="10"/>
  <c r="AP34" i="10"/>
  <c r="BB34" i="10" s="1"/>
  <c r="AO34" i="10"/>
  <c r="AN34" i="10"/>
  <c r="AM34" i="10"/>
  <c r="AL34" i="10"/>
  <c r="AK34" i="10"/>
  <c r="AJ34" i="10"/>
  <c r="AI34" i="10"/>
  <c r="AH34" i="10"/>
  <c r="W34" i="10"/>
  <c r="DB34" i="10" s="1"/>
  <c r="V34" i="10"/>
  <c r="DJ33" i="10"/>
  <c r="DI33" i="10"/>
  <c r="DH33" i="10"/>
  <c r="DG33" i="10"/>
  <c r="DF33" i="10"/>
  <c r="DD33" i="10"/>
  <c r="DB33" i="10"/>
  <c r="BW33" i="10"/>
  <c r="BP33" i="10"/>
  <c r="BO33" i="10"/>
  <c r="BL33" i="10"/>
  <c r="BJ33" i="10"/>
  <c r="BH33" i="10"/>
  <c r="BG33" i="10"/>
  <c r="BE33" i="10"/>
  <c r="BF33" i="10" s="1"/>
  <c r="BM33" i="10" s="1"/>
  <c r="BA33" i="10"/>
  <c r="AZ33" i="10"/>
  <c r="AY33" i="10"/>
  <c r="AX33" i="10"/>
  <c r="AW33" i="10"/>
  <c r="AV33" i="10"/>
  <c r="AU33" i="10"/>
  <c r="AT33" i="10"/>
  <c r="AS33" i="10"/>
  <c r="AR33" i="10"/>
  <c r="BC33" i="10" s="1"/>
  <c r="AQ33" i="10"/>
  <c r="AP33" i="10"/>
  <c r="AO33" i="10"/>
  <c r="AN33" i="10"/>
  <c r="AM33" i="10"/>
  <c r="AL33" i="10"/>
  <c r="AK33" i="10"/>
  <c r="AJ33" i="10"/>
  <c r="AI33" i="10"/>
  <c r="AH33" i="10"/>
  <c r="W33" i="10"/>
  <c r="V33" i="10"/>
  <c r="DJ32" i="10"/>
  <c r="DI32" i="10"/>
  <c r="DH32" i="10"/>
  <c r="DG32" i="10"/>
  <c r="DF32" i="10"/>
  <c r="DE32" i="10"/>
  <c r="DD32" i="10"/>
  <c r="DB32" i="10"/>
  <c r="BP32" i="10"/>
  <c r="BO32" i="10"/>
  <c r="BL32" i="10"/>
  <c r="BH32" i="10"/>
  <c r="BG32" i="10"/>
  <c r="BE32" i="10"/>
  <c r="BF32" i="10" s="1"/>
  <c r="BD32" i="10"/>
  <c r="BC32" i="10"/>
  <c r="BA32" i="10"/>
  <c r="AZ32" i="10"/>
  <c r="AY32" i="10"/>
  <c r="AX32" i="10"/>
  <c r="AW32" i="10"/>
  <c r="AV32" i="10"/>
  <c r="AU32" i="10"/>
  <c r="AT32" i="10"/>
  <c r="AS32" i="10"/>
  <c r="AR32" i="10"/>
  <c r="AQ32" i="10"/>
  <c r="AP32" i="10"/>
  <c r="AO32" i="10"/>
  <c r="AN32" i="10"/>
  <c r="AM32" i="10"/>
  <c r="AL32" i="10"/>
  <c r="AK32" i="10"/>
  <c r="AJ32" i="10"/>
  <c r="AI32" i="10"/>
  <c r="AH32" i="10"/>
  <c r="W32" i="10"/>
  <c r="V32" i="10"/>
  <c r="DJ31" i="10"/>
  <c r="DI31" i="10"/>
  <c r="DH31" i="10"/>
  <c r="DG31" i="10"/>
  <c r="DF31" i="10"/>
  <c r="DD31" i="10"/>
  <c r="BU31" i="10"/>
  <c r="BP31" i="10"/>
  <c r="BL31" i="10"/>
  <c r="BH31" i="10"/>
  <c r="BG31" i="10"/>
  <c r="BN31" i="10" s="1"/>
  <c r="BF31" i="10"/>
  <c r="BM31" i="10" s="1"/>
  <c r="BE31" i="10"/>
  <c r="BW31" i="10" s="1"/>
  <c r="BA31" i="10"/>
  <c r="AZ31" i="10"/>
  <c r="AY31" i="10"/>
  <c r="AX31" i="10"/>
  <c r="AW31" i="10"/>
  <c r="AV31" i="10"/>
  <c r="AU31" i="10"/>
  <c r="AT31" i="10"/>
  <c r="AS31" i="10"/>
  <c r="AR31" i="10"/>
  <c r="BC31" i="10" s="1"/>
  <c r="AQ31" i="10"/>
  <c r="AP31" i="10"/>
  <c r="AO31" i="10"/>
  <c r="AN31" i="10"/>
  <c r="AM31" i="10"/>
  <c r="AL31" i="10"/>
  <c r="AK31" i="10"/>
  <c r="AJ31" i="10"/>
  <c r="AI31" i="10"/>
  <c r="AH31" i="10"/>
  <c r="BB31" i="10" s="1"/>
  <c r="W31" i="10"/>
  <c r="DB31" i="10" s="1"/>
  <c r="V31" i="10"/>
  <c r="DJ30" i="10"/>
  <c r="DI30" i="10"/>
  <c r="DH30" i="10"/>
  <c r="DG30" i="10"/>
  <c r="DF30" i="10"/>
  <c r="DE30" i="10"/>
  <c r="DD30" i="10"/>
  <c r="BP30" i="10"/>
  <c r="BO30" i="10"/>
  <c r="BN30" i="10"/>
  <c r="BL30" i="10"/>
  <c r="BH30" i="10"/>
  <c r="BG30" i="10"/>
  <c r="BU30" i="10" s="1"/>
  <c r="BE30" i="10"/>
  <c r="BW30" i="10" s="1"/>
  <c r="BD30" i="10"/>
  <c r="BA30" i="10"/>
  <c r="AZ30" i="10"/>
  <c r="AY30" i="10"/>
  <c r="AX30" i="10"/>
  <c r="AW30" i="10"/>
  <c r="AV30" i="10"/>
  <c r="AU30" i="10"/>
  <c r="AT30" i="10"/>
  <c r="AS30" i="10"/>
  <c r="AR30" i="10"/>
  <c r="AQ30" i="10"/>
  <c r="AP30" i="10"/>
  <c r="AO30" i="10"/>
  <c r="AN30" i="10"/>
  <c r="AM30" i="10"/>
  <c r="AL30" i="10"/>
  <c r="AK30" i="10"/>
  <c r="AJ30" i="10"/>
  <c r="AI30" i="10"/>
  <c r="AH30" i="10"/>
  <c r="W30" i="10"/>
  <c r="DB30" i="10" s="1"/>
  <c r="V30" i="10"/>
  <c r="DJ29" i="10"/>
  <c r="DI29" i="10"/>
  <c r="DH29" i="10"/>
  <c r="DG29" i="10"/>
  <c r="DF29" i="10"/>
  <c r="DD29" i="10"/>
  <c r="DB29" i="10"/>
  <c r="BW29" i="10"/>
  <c r="BP29" i="10"/>
  <c r="BL29" i="10"/>
  <c r="BH29" i="10"/>
  <c r="BG29" i="10"/>
  <c r="BU29" i="10" s="1"/>
  <c r="BE29" i="10"/>
  <c r="BF29" i="10" s="1"/>
  <c r="BM29" i="10" s="1"/>
  <c r="BD29" i="10"/>
  <c r="BC29" i="10"/>
  <c r="BA29" i="10"/>
  <c r="AZ29" i="10"/>
  <c r="AY29" i="10"/>
  <c r="AX29" i="10"/>
  <c r="AW29" i="10"/>
  <c r="AV29" i="10"/>
  <c r="AU29" i="10"/>
  <c r="AT29" i="10"/>
  <c r="AS29" i="10"/>
  <c r="AR29" i="10"/>
  <c r="AQ29" i="10"/>
  <c r="AP29" i="10"/>
  <c r="AO29" i="10"/>
  <c r="AN29" i="10"/>
  <c r="AM29" i="10"/>
  <c r="AL29" i="10"/>
  <c r="AK29" i="10"/>
  <c r="AJ29" i="10"/>
  <c r="AI29" i="10"/>
  <c r="AH29" i="10"/>
  <c r="W29" i="10"/>
  <c r="V29" i="10"/>
  <c r="BO29" i="10" s="1"/>
  <c r="DJ28" i="10"/>
  <c r="DI28" i="10"/>
  <c r="DH28" i="10"/>
  <c r="DG28" i="10"/>
  <c r="DF28" i="10"/>
  <c r="DD28" i="10"/>
  <c r="DB28" i="10"/>
  <c r="BW28" i="10"/>
  <c r="BP28" i="10"/>
  <c r="BN28" i="10"/>
  <c r="BL28" i="10"/>
  <c r="BH28" i="10"/>
  <c r="BG28" i="10"/>
  <c r="BU28" i="10" s="1"/>
  <c r="BE28" i="10"/>
  <c r="BF28" i="10" s="1"/>
  <c r="BD28" i="10"/>
  <c r="BA28" i="10"/>
  <c r="AZ28" i="10"/>
  <c r="AY28" i="10"/>
  <c r="AX28" i="10"/>
  <c r="AW28" i="10"/>
  <c r="AV28" i="10"/>
  <c r="AU28" i="10"/>
  <c r="AT28" i="10"/>
  <c r="BC28" i="10" s="1"/>
  <c r="AS28" i="10"/>
  <c r="AR28" i="10"/>
  <c r="AQ28" i="10"/>
  <c r="AP28" i="10"/>
  <c r="AO28" i="10"/>
  <c r="AN28" i="10"/>
  <c r="AM28" i="10"/>
  <c r="AL28" i="10"/>
  <c r="AK28" i="10"/>
  <c r="AJ28" i="10"/>
  <c r="AI28" i="10"/>
  <c r="AH28" i="10"/>
  <c r="W28" i="10"/>
  <c r="V28" i="10"/>
  <c r="BJ28" i="10" s="1"/>
  <c r="DJ27" i="10"/>
  <c r="DI27" i="10"/>
  <c r="DH27" i="10"/>
  <c r="DG27" i="10"/>
  <c r="DF27" i="10"/>
  <c r="DE27" i="10"/>
  <c r="DD27" i="10"/>
  <c r="DB27" i="10"/>
  <c r="BW27" i="10"/>
  <c r="BP27" i="10"/>
  <c r="BL27" i="10"/>
  <c r="BH27" i="10"/>
  <c r="BG27" i="10"/>
  <c r="BU27" i="10" s="1"/>
  <c r="BF27" i="10"/>
  <c r="BE27" i="10"/>
  <c r="BD27" i="10"/>
  <c r="BA27" i="10"/>
  <c r="AZ27" i="10"/>
  <c r="AY27" i="10"/>
  <c r="AX27" i="10"/>
  <c r="AW27" i="10"/>
  <c r="AV27" i="10"/>
  <c r="AU27" i="10"/>
  <c r="AT27" i="10"/>
  <c r="AS27" i="10"/>
  <c r="AR27" i="10"/>
  <c r="BC27" i="10" s="1"/>
  <c r="AQ27" i="10"/>
  <c r="AP27" i="10"/>
  <c r="AO27" i="10"/>
  <c r="AN27" i="10"/>
  <c r="AM27" i="10"/>
  <c r="AL27" i="10"/>
  <c r="AK27" i="10"/>
  <c r="AJ27" i="10"/>
  <c r="BB27" i="10" s="1"/>
  <c r="AI27" i="10"/>
  <c r="AH27" i="10"/>
  <c r="W27" i="10"/>
  <c r="V27" i="10"/>
  <c r="BO27" i="10" s="1"/>
  <c r="DJ26" i="10"/>
  <c r="DI26" i="10"/>
  <c r="DH26" i="10"/>
  <c r="DG26" i="10"/>
  <c r="DF26" i="10"/>
  <c r="DE26" i="10"/>
  <c r="DD26" i="10"/>
  <c r="BP26" i="10"/>
  <c r="BL26" i="10"/>
  <c r="BH26" i="10"/>
  <c r="BG26" i="10"/>
  <c r="BF26" i="10"/>
  <c r="BM26" i="10" s="1"/>
  <c r="BE26" i="10"/>
  <c r="BW26" i="10" s="1"/>
  <c r="BD26" i="10"/>
  <c r="BA26" i="10"/>
  <c r="AZ26" i="10"/>
  <c r="AY26" i="10"/>
  <c r="AX26" i="10"/>
  <c r="AW26" i="10"/>
  <c r="AV26" i="10"/>
  <c r="BC26" i="10" s="1"/>
  <c r="AU26" i="10"/>
  <c r="AT26" i="10"/>
  <c r="AS26" i="10"/>
  <c r="AR26" i="10"/>
  <c r="AQ26" i="10"/>
  <c r="AP26" i="10"/>
  <c r="AO26" i="10"/>
  <c r="AN26" i="10"/>
  <c r="AM26" i="10"/>
  <c r="AL26" i="10"/>
  <c r="AK26" i="10"/>
  <c r="AJ26" i="10"/>
  <c r="AI26" i="10"/>
  <c r="AH26" i="10"/>
  <c r="W26" i="10"/>
  <c r="DB26" i="10" s="1"/>
  <c r="V26" i="10"/>
  <c r="BO26" i="10" s="1"/>
  <c r="DJ25" i="10"/>
  <c r="DI25" i="10"/>
  <c r="DH25" i="10"/>
  <c r="DG25" i="10"/>
  <c r="DF25" i="10"/>
  <c r="DD25" i="10"/>
  <c r="BU25" i="10"/>
  <c r="BP25" i="10"/>
  <c r="BO25" i="10"/>
  <c r="BN25" i="10"/>
  <c r="BL25" i="10"/>
  <c r="BH25" i="10"/>
  <c r="BG25" i="10"/>
  <c r="BE25" i="10"/>
  <c r="BW25" i="10" s="1"/>
  <c r="BA25" i="10"/>
  <c r="AZ25" i="10"/>
  <c r="AY25" i="10"/>
  <c r="AX25" i="10"/>
  <c r="AW25" i="10"/>
  <c r="AV25" i="10"/>
  <c r="AU25" i="10"/>
  <c r="AT25" i="10"/>
  <c r="AS25" i="10"/>
  <c r="AR25" i="10"/>
  <c r="BC25" i="10" s="1"/>
  <c r="AQ25" i="10"/>
  <c r="AP25" i="10"/>
  <c r="AO25" i="10"/>
  <c r="AN25" i="10"/>
  <c r="AM25" i="10"/>
  <c r="AL25" i="10"/>
  <c r="AK25" i="10"/>
  <c r="AJ25" i="10"/>
  <c r="AI25" i="10"/>
  <c r="AH25" i="10"/>
  <c r="W25" i="10"/>
  <c r="DB25" i="10" s="1"/>
  <c r="V25" i="10"/>
  <c r="DJ24" i="10"/>
  <c r="DI24" i="10"/>
  <c r="DH24" i="10"/>
  <c r="DG24" i="10"/>
  <c r="DF24" i="10"/>
  <c r="DE24" i="10"/>
  <c r="DD24" i="10"/>
  <c r="BW24" i="10"/>
  <c r="BU24" i="10"/>
  <c r="BP24" i="10"/>
  <c r="BO24" i="10"/>
  <c r="BN24" i="10"/>
  <c r="BL24" i="10"/>
  <c r="BH24" i="10"/>
  <c r="BG24" i="10"/>
  <c r="BF24" i="10"/>
  <c r="BE24" i="10"/>
  <c r="BB24" i="10"/>
  <c r="BA24" i="10"/>
  <c r="AZ24" i="10"/>
  <c r="AY24" i="10"/>
  <c r="AX24" i="10"/>
  <c r="AW24" i="10"/>
  <c r="AV24" i="10"/>
  <c r="AU24" i="10"/>
  <c r="AT24" i="10"/>
  <c r="AS24" i="10"/>
  <c r="AR24" i="10"/>
  <c r="AQ24" i="10"/>
  <c r="AP24" i="10"/>
  <c r="AO24" i="10"/>
  <c r="AN24" i="10"/>
  <c r="AM24" i="10"/>
  <c r="AL24" i="10"/>
  <c r="AK24" i="10"/>
  <c r="AJ24" i="10"/>
  <c r="AI24" i="10"/>
  <c r="AH24" i="10"/>
  <c r="W24" i="10"/>
  <c r="DB24" i="10" s="1"/>
  <c r="V24" i="10"/>
  <c r="BD24" i="10" s="1"/>
  <c r="DJ23" i="10"/>
  <c r="DI23" i="10"/>
  <c r="DH23" i="10"/>
  <c r="DG23" i="10"/>
  <c r="DF23" i="10"/>
  <c r="DD23" i="10"/>
  <c r="DB23" i="10"/>
  <c r="BW23" i="10"/>
  <c r="BP23" i="10"/>
  <c r="BM23" i="10"/>
  <c r="BL23" i="10"/>
  <c r="BH23" i="10"/>
  <c r="BG23" i="10"/>
  <c r="BF23" i="10"/>
  <c r="BE23" i="10"/>
  <c r="BA23" i="10"/>
  <c r="AZ23" i="10"/>
  <c r="AY23" i="10"/>
  <c r="AX23" i="10"/>
  <c r="AW23" i="10"/>
  <c r="AV23" i="10"/>
  <c r="AU23" i="10"/>
  <c r="AT23" i="10"/>
  <c r="AS23" i="10"/>
  <c r="BC23" i="10" s="1"/>
  <c r="AR23" i="10"/>
  <c r="AQ23" i="10"/>
  <c r="AP23" i="10"/>
  <c r="AO23" i="10"/>
  <c r="AN23" i="10"/>
  <c r="AM23" i="10"/>
  <c r="AL23" i="10"/>
  <c r="S63" i="10" s="1"/>
  <c r="AK23" i="10"/>
  <c r="AJ23" i="10"/>
  <c r="AI23" i="10"/>
  <c r="AH23" i="10"/>
  <c r="W23" i="10"/>
  <c r="V23" i="10"/>
  <c r="BO23" i="10" s="1"/>
  <c r="DJ22" i="10"/>
  <c r="DI22" i="10"/>
  <c r="DH22" i="10"/>
  <c r="DG22" i="10"/>
  <c r="DF22" i="10"/>
  <c r="DE22" i="10"/>
  <c r="DD22" i="10"/>
  <c r="DB22" i="10"/>
  <c r="BP22" i="10"/>
  <c r="BL22" i="10"/>
  <c r="BH22" i="10"/>
  <c r="BG22" i="10"/>
  <c r="BF22" i="10"/>
  <c r="BM22" i="10" s="1"/>
  <c r="BE22" i="10"/>
  <c r="BW22" i="10" s="1"/>
  <c r="BA22" i="10"/>
  <c r="AZ22" i="10"/>
  <c r="AY22" i="10"/>
  <c r="AX22" i="10"/>
  <c r="AW22" i="10"/>
  <c r="AV22" i="10"/>
  <c r="AU22" i="10"/>
  <c r="AT22" i="10"/>
  <c r="AS22" i="10"/>
  <c r="AR22" i="10"/>
  <c r="AQ22" i="10"/>
  <c r="AP22" i="10"/>
  <c r="AO22" i="10"/>
  <c r="BB22" i="10" s="1"/>
  <c r="AN22" i="10"/>
  <c r="AM22" i="10"/>
  <c r="AL22" i="10"/>
  <c r="AK22" i="10"/>
  <c r="AJ22" i="10"/>
  <c r="AI22" i="10"/>
  <c r="AH22" i="10"/>
  <c r="W22" i="10"/>
  <c r="V22" i="10"/>
  <c r="DJ21" i="10"/>
  <c r="DI21" i="10"/>
  <c r="DH21" i="10"/>
  <c r="DG21" i="10"/>
  <c r="DF21" i="10"/>
  <c r="DE21" i="10"/>
  <c r="DD21" i="10"/>
  <c r="BW21" i="10"/>
  <c r="BP21" i="10"/>
  <c r="BL21" i="10"/>
  <c r="BH21" i="10"/>
  <c r="BG21" i="10"/>
  <c r="BF21" i="10"/>
  <c r="BM21" i="10" s="1"/>
  <c r="BE21" i="10"/>
  <c r="BA21" i="10"/>
  <c r="AZ21" i="10"/>
  <c r="AY21" i="10"/>
  <c r="AX21" i="10"/>
  <c r="AW21" i="10"/>
  <c r="AV21" i="10"/>
  <c r="AU21" i="10"/>
  <c r="AT21" i="10"/>
  <c r="AS21" i="10"/>
  <c r="AR21" i="10"/>
  <c r="BC21" i="10" s="1"/>
  <c r="AQ21" i="10"/>
  <c r="AP21" i="10"/>
  <c r="AO21" i="10"/>
  <c r="AN21" i="10"/>
  <c r="AM21" i="10"/>
  <c r="AL21" i="10"/>
  <c r="AK21" i="10"/>
  <c r="AJ21" i="10"/>
  <c r="AI21" i="10"/>
  <c r="AH21" i="10"/>
  <c r="W21" i="10"/>
  <c r="DB21" i="10" s="1"/>
  <c r="V21" i="10"/>
  <c r="BD21" i="10" s="1"/>
  <c r="DJ20" i="10"/>
  <c r="DI20" i="10"/>
  <c r="DH20" i="10"/>
  <c r="DG20" i="10"/>
  <c r="DF20" i="10"/>
  <c r="DE20" i="10"/>
  <c r="DD20" i="10"/>
  <c r="BP20" i="10"/>
  <c r="BL20" i="10"/>
  <c r="BH20" i="10"/>
  <c r="BG20" i="10"/>
  <c r="BU20" i="10" s="1"/>
  <c r="BE20" i="10"/>
  <c r="BF20" i="10" s="1"/>
  <c r="BM20" i="10" s="1"/>
  <c r="BD20" i="10"/>
  <c r="BC20" i="10"/>
  <c r="BA20" i="10"/>
  <c r="AZ20" i="10"/>
  <c r="AY20" i="10"/>
  <c r="AX20" i="10"/>
  <c r="AW20" i="10"/>
  <c r="AV20" i="10"/>
  <c r="AU20" i="10"/>
  <c r="AT20" i="10"/>
  <c r="AS20" i="10"/>
  <c r="AR20" i="10"/>
  <c r="AQ20" i="10"/>
  <c r="AP20" i="10"/>
  <c r="AO20" i="10"/>
  <c r="AN20" i="10"/>
  <c r="AM20" i="10"/>
  <c r="AL20" i="10"/>
  <c r="AK20" i="10"/>
  <c r="AJ20" i="10"/>
  <c r="AI20" i="10"/>
  <c r="AH20" i="10"/>
  <c r="W20" i="10"/>
  <c r="DB20" i="10" s="1"/>
  <c r="V20" i="10"/>
  <c r="BO20" i="10" s="1"/>
  <c r="DJ19" i="10"/>
  <c r="DI19" i="10"/>
  <c r="DH19" i="10"/>
  <c r="DG19" i="10"/>
  <c r="DF19" i="10"/>
  <c r="DD19" i="10"/>
  <c r="BU19" i="10"/>
  <c r="BP19" i="10"/>
  <c r="BN19" i="10"/>
  <c r="BL19" i="10"/>
  <c r="BH19" i="10"/>
  <c r="BG19" i="10"/>
  <c r="BE19" i="10"/>
  <c r="BA19" i="10"/>
  <c r="AZ19" i="10"/>
  <c r="AY19" i="10"/>
  <c r="AX19" i="10"/>
  <c r="AW19" i="10"/>
  <c r="AV19" i="10"/>
  <c r="AU19" i="10"/>
  <c r="AT19" i="10"/>
  <c r="AS19" i="10"/>
  <c r="AR19" i="10"/>
  <c r="AQ19" i="10"/>
  <c r="AP19" i="10"/>
  <c r="AO19" i="10"/>
  <c r="AN19" i="10"/>
  <c r="AM19" i="10"/>
  <c r="AL19" i="10"/>
  <c r="AK19" i="10"/>
  <c r="AJ19" i="10"/>
  <c r="AI19" i="10"/>
  <c r="AH19" i="10"/>
  <c r="BB19" i="10" s="1"/>
  <c r="W19" i="10"/>
  <c r="DB19" i="10" s="1"/>
  <c r="V19" i="10"/>
  <c r="DJ18" i="10"/>
  <c r="DI18" i="10"/>
  <c r="DH18" i="10"/>
  <c r="DG18" i="10"/>
  <c r="DF18" i="10"/>
  <c r="DD18" i="10"/>
  <c r="BW18" i="10"/>
  <c r="BU18" i="10"/>
  <c r="BP18" i="10"/>
  <c r="BO18" i="10"/>
  <c r="BL18" i="10"/>
  <c r="BH18" i="10"/>
  <c r="BG18" i="10"/>
  <c r="BN18" i="10" s="1"/>
  <c r="BE18" i="10"/>
  <c r="BF18" i="10" s="1"/>
  <c r="BD18" i="10"/>
  <c r="BA18" i="10"/>
  <c r="AZ18" i="10"/>
  <c r="AY18" i="10"/>
  <c r="AX18" i="10"/>
  <c r="AW18" i="10"/>
  <c r="AV18" i="10"/>
  <c r="AU18" i="10"/>
  <c r="AT18" i="10"/>
  <c r="AS18" i="10"/>
  <c r="AR18" i="10"/>
  <c r="AQ18" i="10"/>
  <c r="AP18" i="10"/>
  <c r="AO18" i="10"/>
  <c r="AN18" i="10"/>
  <c r="AM18" i="10"/>
  <c r="AL18" i="10"/>
  <c r="AK18" i="10"/>
  <c r="AJ18" i="10"/>
  <c r="AI18" i="10"/>
  <c r="AH18" i="10"/>
  <c r="W18" i="10"/>
  <c r="DB18" i="10" s="1"/>
  <c r="V18" i="10"/>
  <c r="DE18" i="10" s="1"/>
  <c r="DJ17" i="10"/>
  <c r="DI17" i="10"/>
  <c r="DH17" i="10"/>
  <c r="DG17" i="10"/>
  <c r="DF17" i="10"/>
  <c r="DE17" i="10"/>
  <c r="DD17" i="10"/>
  <c r="DB17" i="10"/>
  <c r="BP17" i="10"/>
  <c r="BO17" i="10"/>
  <c r="BL17" i="10"/>
  <c r="BH17" i="10"/>
  <c r="BG17" i="10"/>
  <c r="BN17" i="10" s="1"/>
  <c r="BF17" i="10"/>
  <c r="BM17" i="10" s="1"/>
  <c r="BE17" i="10"/>
  <c r="BW17" i="10" s="1"/>
  <c r="BD17" i="10"/>
  <c r="BB17" i="10"/>
  <c r="BA17" i="10"/>
  <c r="AZ17" i="10"/>
  <c r="AY17" i="10"/>
  <c r="AX17" i="10"/>
  <c r="AW17" i="10"/>
  <c r="AV17" i="10"/>
  <c r="AU17" i="10"/>
  <c r="AT17" i="10"/>
  <c r="AS17" i="10"/>
  <c r="AR17" i="10"/>
  <c r="AQ17" i="10"/>
  <c r="AP17" i="10"/>
  <c r="AO17" i="10"/>
  <c r="AN17" i="10"/>
  <c r="AM17" i="10"/>
  <c r="AL17" i="10"/>
  <c r="AK17" i="10"/>
  <c r="AJ17" i="10"/>
  <c r="AI17" i="10"/>
  <c r="AH17" i="10"/>
  <c r="W17" i="10"/>
  <c r="V17" i="10"/>
  <c r="DJ16" i="10"/>
  <c r="DI16" i="10"/>
  <c r="DH16" i="10"/>
  <c r="DG16" i="10"/>
  <c r="DF16" i="10"/>
  <c r="DE16" i="10"/>
  <c r="DD16" i="10"/>
  <c r="BW16" i="10"/>
  <c r="BU16" i="10"/>
  <c r="BP16" i="10"/>
  <c r="BL16" i="10"/>
  <c r="BH16" i="10"/>
  <c r="BG16" i="10"/>
  <c r="BN16" i="10" s="1"/>
  <c r="BF16" i="10"/>
  <c r="BM16" i="10" s="1"/>
  <c r="BE16" i="10"/>
  <c r="BD16" i="10"/>
  <c r="BA16" i="10"/>
  <c r="AZ16" i="10"/>
  <c r="AY16" i="10"/>
  <c r="AX16" i="10"/>
  <c r="AW16" i="10"/>
  <c r="AV16" i="10"/>
  <c r="AU16" i="10"/>
  <c r="AT16" i="10"/>
  <c r="AS16" i="10"/>
  <c r="AR16" i="10"/>
  <c r="AQ16" i="10"/>
  <c r="AP16" i="10"/>
  <c r="AO16" i="10"/>
  <c r="AN16" i="10"/>
  <c r="AM16" i="10"/>
  <c r="AL16" i="10"/>
  <c r="AK16" i="10"/>
  <c r="AJ16" i="10"/>
  <c r="AI16" i="10"/>
  <c r="AH16" i="10"/>
  <c r="W16" i="10"/>
  <c r="DB16" i="10" s="1"/>
  <c r="V16" i="10"/>
  <c r="BO16" i="10" s="1"/>
  <c r="DJ15" i="10"/>
  <c r="DI15" i="10"/>
  <c r="DH15" i="10"/>
  <c r="DG15" i="10"/>
  <c r="DF15" i="10"/>
  <c r="DD15" i="10"/>
  <c r="BW15" i="10"/>
  <c r="BP15" i="10"/>
  <c r="BN15" i="10"/>
  <c r="BM15" i="10"/>
  <c r="BL15" i="10"/>
  <c r="BL36" i="10" s="1"/>
  <c r="BH15" i="10"/>
  <c r="BG15" i="10"/>
  <c r="BU15" i="10" s="1"/>
  <c r="BF15" i="10"/>
  <c r="BE15" i="10"/>
  <c r="BC15" i="10"/>
  <c r="BA15" i="10"/>
  <c r="AZ15" i="10"/>
  <c r="AY15" i="10"/>
  <c r="AX15" i="10"/>
  <c r="AW15" i="10"/>
  <c r="AW36" i="10" s="1"/>
  <c r="AV15" i="10"/>
  <c r="AU15" i="10"/>
  <c r="AT15" i="10"/>
  <c r="AS15" i="10"/>
  <c r="AR15" i="10"/>
  <c r="AQ15" i="10"/>
  <c r="AP15" i="10"/>
  <c r="AO15" i="10"/>
  <c r="AN15" i="10"/>
  <c r="AM15" i="10"/>
  <c r="AL15" i="10"/>
  <c r="AK15" i="10"/>
  <c r="AJ15" i="10"/>
  <c r="AI15" i="10"/>
  <c r="AH15" i="10"/>
  <c r="W15" i="10"/>
  <c r="DB15" i="10" s="1"/>
  <c r="V15" i="10"/>
  <c r="DJ14" i="10"/>
  <c r="DI14" i="10"/>
  <c r="DH14" i="10"/>
  <c r="DG14" i="10"/>
  <c r="DF14" i="10"/>
  <c r="DE14" i="10"/>
  <c r="DD14" i="10"/>
  <c r="BW14" i="10"/>
  <c r="BU14" i="10"/>
  <c r="BP14" i="10"/>
  <c r="BO14" i="10"/>
  <c r="BL14" i="10"/>
  <c r="BH14" i="10"/>
  <c r="BG14" i="10"/>
  <c r="BN14" i="10" s="1"/>
  <c r="BE14" i="10"/>
  <c r="BF14" i="10" s="1"/>
  <c r="BD14" i="10"/>
  <c r="BA14" i="10"/>
  <c r="AZ14" i="10"/>
  <c r="AY14" i="10"/>
  <c r="AX14" i="10"/>
  <c r="AW14" i="10"/>
  <c r="AV14" i="10"/>
  <c r="AU14" i="10"/>
  <c r="AT14" i="10"/>
  <c r="AS14" i="10"/>
  <c r="AR14" i="10"/>
  <c r="AQ14" i="10"/>
  <c r="AP14" i="10"/>
  <c r="AO14" i="10"/>
  <c r="AN14" i="10"/>
  <c r="AM14" i="10"/>
  <c r="AL14" i="10"/>
  <c r="AK14" i="10"/>
  <c r="AJ14" i="10"/>
  <c r="AI14" i="10"/>
  <c r="AH14" i="10"/>
  <c r="W14" i="10"/>
  <c r="DB14" i="10" s="1"/>
  <c r="V14" i="10"/>
  <c r="DJ13" i="10"/>
  <c r="DI13" i="10"/>
  <c r="DH13" i="10"/>
  <c r="DG13" i="10"/>
  <c r="DF13" i="10"/>
  <c r="DD13" i="10"/>
  <c r="BP13" i="10"/>
  <c r="BL13" i="10"/>
  <c r="BH13" i="10"/>
  <c r="BG13" i="10"/>
  <c r="BE13" i="10"/>
  <c r="BW13" i="10" s="1"/>
  <c r="BC13" i="10"/>
  <c r="BA13" i="10"/>
  <c r="AZ13" i="10"/>
  <c r="AY13" i="10"/>
  <c r="AX13" i="10"/>
  <c r="AW13" i="10"/>
  <c r="AV13" i="10"/>
  <c r="AU13" i="10"/>
  <c r="AT13" i="10"/>
  <c r="AS13" i="10"/>
  <c r="AR13" i="10"/>
  <c r="AQ13" i="10"/>
  <c r="AP13" i="10"/>
  <c r="AO13" i="10"/>
  <c r="AN13" i="10"/>
  <c r="AM13" i="10"/>
  <c r="AL13" i="10"/>
  <c r="AK13" i="10"/>
  <c r="AJ13" i="10"/>
  <c r="AI13" i="10"/>
  <c r="AH13" i="10"/>
  <c r="W13" i="10"/>
  <c r="DB13" i="10" s="1"/>
  <c r="V13" i="10"/>
  <c r="DJ12" i="10"/>
  <c r="DI12" i="10"/>
  <c r="DH12" i="10"/>
  <c r="DG12" i="10"/>
  <c r="DF12" i="10"/>
  <c r="DE12" i="10"/>
  <c r="DD12" i="10"/>
  <c r="BW12" i="10"/>
  <c r="BU12" i="10"/>
  <c r="BP12" i="10"/>
  <c r="BO12" i="10"/>
  <c r="BL12" i="10"/>
  <c r="BH12" i="10"/>
  <c r="BG12" i="10"/>
  <c r="BN12" i="10" s="1"/>
  <c r="BF12" i="10"/>
  <c r="BE12" i="10"/>
  <c r="BD12" i="10"/>
  <c r="BA12" i="10"/>
  <c r="AZ12" i="10"/>
  <c r="AY12" i="10"/>
  <c r="AX12" i="10"/>
  <c r="AW12" i="10"/>
  <c r="AV12" i="10"/>
  <c r="AV36" i="10" s="1"/>
  <c r="AU12" i="10"/>
  <c r="AU36" i="10" s="1"/>
  <c r="AT12" i="10"/>
  <c r="AS12" i="10"/>
  <c r="AR12" i="10"/>
  <c r="AQ12" i="10"/>
  <c r="AP12" i="10"/>
  <c r="AO12" i="10"/>
  <c r="AN12" i="10"/>
  <c r="AM12" i="10"/>
  <c r="AL12" i="10"/>
  <c r="AK12" i="10"/>
  <c r="AJ12" i="10"/>
  <c r="AI12" i="10"/>
  <c r="AH12" i="10"/>
  <c r="W12" i="10"/>
  <c r="DB12" i="10" s="1"/>
  <c r="V12" i="10"/>
  <c r="DJ11" i="10"/>
  <c r="DI11" i="10"/>
  <c r="DH11" i="10"/>
  <c r="DG11" i="10"/>
  <c r="DF11" i="10"/>
  <c r="DD11" i="10"/>
  <c r="BP11" i="10"/>
  <c r="BL11" i="10"/>
  <c r="BH11" i="10"/>
  <c r="BG11" i="10"/>
  <c r="BU11" i="10" s="1"/>
  <c r="BF11" i="10"/>
  <c r="BE11" i="10"/>
  <c r="BW11" i="10" s="1"/>
  <c r="BD11" i="10"/>
  <c r="BC11" i="10"/>
  <c r="BB11" i="10"/>
  <c r="BA11" i="10"/>
  <c r="BA36" i="10" s="1"/>
  <c r="AZ11" i="10"/>
  <c r="AY11" i="10"/>
  <c r="AX11" i="10"/>
  <c r="AW11" i="10"/>
  <c r="AV11" i="10"/>
  <c r="AU11" i="10"/>
  <c r="AT11" i="10"/>
  <c r="AS11" i="10"/>
  <c r="AR11" i="10"/>
  <c r="AQ11" i="10"/>
  <c r="AP11" i="10"/>
  <c r="AO11" i="10"/>
  <c r="AN11" i="10"/>
  <c r="AM11" i="10"/>
  <c r="AL11" i="10"/>
  <c r="AK11" i="10"/>
  <c r="AJ11" i="10"/>
  <c r="AI11" i="10"/>
  <c r="AH11" i="10"/>
  <c r="W11" i="10"/>
  <c r="DB11" i="10" s="1"/>
  <c r="V11" i="10"/>
  <c r="DJ10" i="10"/>
  <c r="DI10" i="10"/>
  <c r="DH10" i="10"/>
  <c r="DG10" i="10"/>
  <c r="DF10" i="10"/>
  <c r="DE10" i="10"/>
  <c r="DD10" i="10"/>
  <c r="DB10" i="10"/>
  <c r="BW10" i="10"/>
  <c r="BU10" i="10"/>
  <c r="BP10" i="10"/>
  <c r="BL10" i="10"/>
  <c r="BH10" i="10"/>
  <c r="BG10" i="10"/>
  <c r="BN10" i="10" s="1"/>
  <c r="BF10" i="10"/>
  <c r="BE10" i="10"/>
  <c r="BA10" i="10"/>
  <c r="AZ10" i="10"/>
  <c r="AY10" i="10"/>
  <c r="AX10" i="10"/>
  <c r="AW10" i="10"/>
  <c r="AV10" i="10"/>
  <c r="AU10" i="10"/>
  <c r="AT10" i="10"/>
  <c r="AS10" i="10"/>
  <c r="AR10" i="10"/>
  <c r="AQ10" i="10"/>
  <c r="AP10" i="10"/>
  <c r="AO10" i="10"/>
  <c r="AN10" i="10"/>
  <c r="AM10" i="10"/>
  <c r="AL10" i="10"/>
  <c r="AK10" i="10"/>
  <c r="AJ10" i="10"/>
  <c r="AI10" i="10"/>
  <c r="AH10" i="10"/>
  <c r="W10" i="10"/>
  <c r="W36" i="10" s="1"/>
  <c r="V10" i="10"/>
  <c r="P6" i="10"/>
  <c r="P5" i="10"/>
  <c r="P4" i="10"/>
  <c r="P3" i="10"/>
  <c r="V2" i="10"/>
  <c r="AE1" i="10"/>
  <c r="S42" i="10" s="1"/>
  <c r="C165" i="9"/>
  <c r="E162" i="9"/>
  <c r="N151" i="9"/>
  <c r="L151" i="9"/>
  <c r="J151" i="9"/>
  <c r="H151" i="9"/>
  <c r="N150" i="9"/>
  <c r="L150" i="9"/>
  <c r="J150" i="9"/>
  <c r="H150" i="9"/>
  <c r="N149" i="9"/>
  <c r="L149" i="9"/>
  <c r="J149" i="9"/>
  <c r="H149" i="9"/>
  <c r="N148" i="9"/>
  <c r="L148" i="9"/>
  <c r="J148" i="9"/>
  <c r="H148" i="9"/>
  <c r="N147" i="9"/>
  <c r="L147" i="9"/>
  <c r="J147" i="9"/>
  <c r="H147" i="9"/>
  <c r="E147" i="9"/>
  <c r="N146" i="9"/>
  <c r="L146" i="9"/>
  <c r="J146" i="9"/>
  <c r="H146" i="9"/>
  <c r="N145" i="9"/>
  <c r="L145" i="9"/>
  <c r="J145" i="9"/>
  <c r="H145" i="9"/>
  <c r="N144" i="9"/>
  <c r="L144" i="9"/>
  <c r="J144" i="9"/>
  <c r="H144" i="9"/>
  <c r="N143" i="9"/>
  <c r="L143" i="9"/>
  <c r="J143" i="9"/>
  <c r="H143" i="9"/>
  <c r="N142" i="9"/>
  <c r="L142" i="9"/>
  <c r="J142" i="9"/>
  <c r="H142" i="9"/>
  <c r="N141" i="9"/>
  <c r="L141" i="9"/>
  <c r="J141" i="9"/>
  <c r="H141" i="9"/>
  <c r="N140" i="9"/>
  <c r="L140" i="9"/>
  <c r="J140" i="9"/>
  <c r="H140" i="9"/>
  <c r="E140" i="9"/>
  <c r="N139" i="9"/>
  <c r="L139" i="9"/>
  <c r="J139" i="9"/>
  <c r="H139" i="9"/>
  <c r="N138" i="9"/>
  <c r="L138" i="9"/>
  <c r="J138" i="9"/>
  <c r="H138" i="9"/>
  <c r="E138" i="9"/>
  <c r="N137" i="9"/>
  <c r="L137" i="9"/>
  <c r="J137" i="9"/>
  <c r="H137" i="9"/>
  <c r="N136" i="9"/>
  <c r="L136" i="9"/>
  <c r="J136" i="9"/>
  <c r="H136" i="9"/>
  <c r="N135" i="9"/>
  <c r="L135" i="9"/>
  <c r="J135" i="9"/>
  <c r="H135" i="9"/>
  <c r="N134" i="9"/>
  <c r="L134" i="9"/>
  <c r="J134" i="9"/>
  <c r="H134" i="9"/>
  <c r="N133" i="9"/>
  <c r="L133" i="9"/>
  <c r="J133" i="9"/>
  <c r="H133" i="9"/>
  <c r="N132" i="9"/>
  <c r="L132" i="9"/>
  <c r="J132" i="9"/>
  <c r="H132" i="9"/>
  <c r="N131" i="9"/>
  <c r="L131" i="9"/>
  <c r="J131" i="9"/>
  <c r="H131" i="9"/>
  <c r="N130" i="9"/>
  <c r="L130" i="9"/>
  <c r="J130" i="9"/>
  <c r="H130" i="9"/>
  <c r="N129" i="9"/>
  <c r="L129" i="9"/>
  <c r="J129" i="9"/>
  <c r="H129" i="9"/>
  <c r="N128" i="9"/>
  <c r="L128" i="9"/>
  <c r="J128" i="9"/>
  <c r="H128" i="9"/>
  <c r="N127" i="9"/>
  <c r="L127" i="9"/>
  <c r="J127" i="9"/>
  <c r="H127" i="9"/>
  <c r="N126" i="9"/>
  <c r="L126" i="9"/>
  <c r="J126" i="9"/>
  <c r="H126" i="9"/>
  <c r="N125" i="9"/>
  <c r="L125" i="9"/>
  <c r="J125" i="9"/>
  <c r="H125" i="9"/>
  <c r="N124" i="9"/>
  <c r="L124" i="9"/>
  <c r="J124" i="9"/>
  <c r="H124" i="9"/>
  <c r="N123" i="9"/>
  <c r="L123" i="9"/>
  <c r="J123" i="9"/>
  <c r="H123" i="9"/>
  <c r="N122" i="9"/>
  <c r="L122" i="9"/>
  <c r="J122" i="9"/>
  <c r="H122" i="9"/>
  <c r="N121" i="9"/>
  <c r="L121" i="9"/>
  <c r="J121" i="9"/>
  <c r="H121" i="9"/>
  <c r="N120" i="9"/>
  <c r="L120" i="9"/>
  <c r="J120" i="9"/>
  <c r="H120" i="9"/>
  <c r="B119" i="9"/>
  <c r="AE118" i="9"/>
  <c r="Y113" i="9"/>
  <c r="W113" i="9"/>
  <c r="E110" i="9"/>
  <c r="U109" i="9"/>
  <c r="O109" i="9"/>
  <c r="E173" i="9" s="1"/>
  <c r="O108" i="9"/>
  <c r="E172" i="9" s="1"/>
  <c r="O107" i="9"/>
  <c r="E104" i="9"/>
  <c r="O104" i="9" s="1"/>
  <c r="O103" i="9"/>
  <c r="E175" i="9" s="1"/>
  <c r="E101" i="9"/>
  <c r="O101" i="9" s="1"/>
  <c r="E100" i="9"/>
  <c r="O100" i="9" s="1"/>
  <c r="E168" i="9" s="1"/>
  <c r="O99" i="9"/>
  <c r="E167" i="9" s="1"/>
  <c r="X98" i="9"/>
  <c r="O98" i="9"/>
  <c r="E166" i="9" s="1"/>
  <c r="G98" i="9"/>
  <c r="G97" i="9"/>
  <c r="E97" i="9"/>
  <c r="G96" i="9"/>
  <c r="E94" i="9"/>
  <c r="O94" i="9" s="1"/>
  <c r="E137" i="9" s="1"/>
  <c r="E93" i="9"/>
  <c r="O93" i="9" s="1"/>
  <c r="E136" i="9" s="1"/>
  <c r="E92" i="9"/>
  <c r="O92" i="9" s="1"/>
  <c r="O91" i="9"/>
  <c r="V90" i="9"/>
  <c r="X89" i="9"/>
  <c r="V89" i="9"/>
  <c r="Z89" i="9" s="1"/>
  <c r="L89" i="9"/>
  <c r="X88" i="9"/>
  <c r="O88" i="9"/>
  <c r="L88" i="9"/>
  <c r="X87" i="9"/>
  <c r="V87" i="9"/>
  <c r="L87" i="9"/>
  <c r="Z86" i="9"/>
  <c r="L86" i="9"/>
  <c r="E142" i="9" s="1"/>
  <c r="Z85" i="9"/>
  <c r="L85" i="9"/>
  <c r="Z84" i="9"/>
  <c r="V83" i="9"/>
  <c r="L83" i="9"/>
  <c r="L82" i="9"/>
  <c r="E141" i="9" s="1"/>
  <c r="L81" i="9"/>
  <c r="E139" i="9" s="1"/>
  <c r="X80" i="9"/>
  <c r="L80" i="9"/>
  <c r="X79" i="9"/>
  <c r="L79" i="9"/>
  <c r="H79" i="9"/>
  <c r="V77" i="9"/>
  <c r="O77" i="9"/>
  <c r="L76" i="9"/>
  <c r="O76" i="9" s="1"/>
  <c r="V75" i="9"/>
  <c r="L75" i="9"/>
  <c r="O75" i="9" s="1"/>
  <c r="X72" i="9"/>
  <c r="V72" i="9"/>
  <c r="V70" i="9"/>
  <c r="G70" i="9"/>
  <c r="CO23" i="9" s="1"/>
  <c r="I133" i="9" s="1"/>
  <c r="B70" i="9"/>
  <c r="C69" i="9"/>
  <c r="C68" i="9"/>
  <c r="C67" i="9"/>
  <c r="C66" i="9"/>
  <c r="C65" i="9"/>
  <c r="AS59" i="9"/>
  <c r="R59" i="9"/>
  <c r="P59" i="9"/>
  <c r="AS58" i="9"/>
  <c r="Z58" i="9"/>
  <c r="R58" i="9"/>
  <c r="P58" i="9"/>
  <c r="AS57" i="9"/>
  <c r="Z57" i="9"/>
  <c r="R57" i="9"/>
  <c r="P57" i="9"/>
  <c r="AS56" i="9"/>
  <c r="Z56" i="9"/>
  <c r="U56" i="9"/>
  <c r="R56" i="9"/>
  <c r="P56" i="9"/>
  <c r="AS55" i="9"/>
  <c r="Z55" i="9"/>
  <c r="R55" i="9"/>
  <c r="P55" i="9"/>
  <c r="AS54" i="9"/>
  <c r="Z54" i="9"/>
  <c r="R54" i="9"/>
  <c r="P54" i="9"/>
  <c r="AS53" i="9"/>
  <c r="Z53" i="9"/>
  <c r="W47" i="9" s="1"/>
  <c r="R53" i="9"/>
  <c r="P53" i="9"/>
  <c r="AS52" i="9"/>
  <c r="Z52" i="9"/>
  <c r="R52" i="9"/>
  <c r="P52" i="9"/>
  <c r="AS51" i="9"/>
  <c r="Z51" i="9"/>
  <c r="R51" i="9"/>
  <c r="P51" i="9"/>
  <c r="AS50" i="9"/>
  <c r="Z50" i="9"/>
  <c r="R50" i="9"/>
  <c r="P50" i="9"/>
  <c r="AS49" i="9"/>
  <c r="Z49" i="9"/>
  <c r="R49" i="9"/>
  <c r="P49" i="9"/>
  <c r="N46" i="9"/>
  <c r="M45" i="9"/>
  <c r="M114" i="9" s="1"/>
  <c r="Y44" i="9"/>
  <c r="Z101" i="9" s="1"/>
  <c r="E132" i="9" s="1"/>
  <c r="W44" i="9"/>
  <c r="DF43" i="9"/>
  <c r="CS42" i="9"/>
  <c r="CS44" i="9" s="1"/>
  <c r="K42" i="9"/>
  <c r="V69" i="9" s="1"/>
  <c r="G42" i="9"/>
  <c r="DP41" i="9"/>
  <c r="DO41" i="9"/>
  <c r="DN41" i="9"/>
  <c r="DM41" i="9"/>
  <c r="DL41" i="9"/>
  <c r="DK41" i="9"/>
  <c r="DJ41" i="9"/>
  <c r="DI41" i="9"/>
  <c r="DH41" i="9"/>
  <c r="DG41" i="9"/>
  <c r="DF41" i="9"/>
  <c r="DC41" i="9"/>
  <c r="CR41" i="9"/>
  <c r="CP41" i="9"/>
  <c r="CO41" i="9"/>
  <c r="I151" i="9" s="1"/>
  <c r="CM41" i="9"/>
  <c r="CK41" i="9"/>
  <c r="DB41" i="9" s="1"/>
  <c r="CJ41" i="9"/>
  <c r="CH41" i="9"/>
  <c r="CG41" i="9"/>
  <c r="CF41" i="9"/>
  <c r="BU41" i="9"/>
  <c r="BS41" i="9"/>
  <c r="BR41" i="9"/>
  <c r="BQ41" i="9"/>
  <c r="BP41" i="9"/>
  <c r="BO41" i="9"/>
  <c r="BM41" i="9"/>
  <c r="BN41" i="9" s="1"/>
  <c r="BL41" i="9"/>
  <c r="BK41" i="9"/>
  <c r="BJ41" i="9"/>
  <c r="BI41" i="9"/>
  <c r="BH41" i="9"/>
  <c r="BG41" i="9"/>
  <c r="BF41" i="9"/>
  <c r="BE41" i="9"/>
  <c r="BD41" i="9"/>
  <c r="BC41" i="9"/>
  <c r="BA41" i="9"/>
  <c r="AZ41" i="9"/>
  <c r="AY41" i="9"/>
  <c r="AX41" i="9"/>
  <c r="AW41" i="9"/>
  <c r="AV41" i="9"/>
  <c r="AU41" i="9"/>
  <c r="AT41" i="9"/>
  <c r="AS41" i="9"/>
  <c r="AR41" i="9"/>
  <c r="BB41" i="9" s="1"/>
  <c r="V41" i="9"/>
  <c r="T41" i="9"/>
  <c r="R41" i="9"/>
  <c r="Q41" i="9"/>
  <c r="DP40" i="9"/>
  <c r="DO40" i="9"/>
  <c r="DN40" i="9"/>
  <c r="DM40" i="9"/>
  <c r="DL40" i="9"/>
  <c r="DK40" i="9"/>
  <c r="DJ40" i="9"/>
  <c r="DI40" i="9"/>
  <c r="DH40" i="9"/>
  <c r="DG40" i="9"/>
  <c r="DF40" i="9"/>
  <c r="CP40" i="9"/>
  <c r="CM40" i="9"/>
  <c r="CL40" i="9"/>
  <c r="CK40" i="9"/>
  <c r="DB40" i="9" s="1"/>
  <c r="CJ40" i="9"/>
  <c r="DD40" i="9" s="1"/>
  <c r="CI40" i="9"/>
  <c r="CH40" i="9"/>
  <c r="CR40" i="9" s="1"/>
  <c r="CG40" i="9"/>
  <c r="CF40" i="9"/>
  <c r="CE40" i="9"/>
  <c r="CD40" i="9"/>
  <c r="CB40" i="9"/>
  <c r="CA40" i="9"/>
  <c r="BZ40" i="9"/>
  <c r="BY40" i="9"/>
  <c r="BX40" i="9"/>
  <c r="BT40" i="9"/>
  <c r="BS40" i="9"/>
  <c r="BR40" i="9"/>
  <c r="BQ40" i="9"/>
  <c r="BW40" i="9" s="1"/>
  <c r="BP40" i="9"/>
  <c r="DC40" i="9" s="1"/>
  <c r="BO40" i="9"/>
  <c r="BL40" i="9"/>
  <c r="BK40" i="9"/>
  <c r="BJ40" i="9"/>
  <c r="BI40" i="9"/>
  <c r="BH40" i="9"/>
  <c r="BG40" i="9"/>
  <c r="BF40" i="9"/>
  <c r="BE40" i="9"/>
  <c r="BD40" i="9"/>
  <c r="BC40" i="9"/>
  <c r="BA40" i="9"/>
  <c r="AZ40" i="9"/>
  <c r="AY40" i="9"/>
  <c r="AX40" i="9"/>
  <c r="AW40" i="9"/>
  <c r="BB40" i="9" s="1"/>
  <c r="Q40" i="9" s="1"/>
  <c r="AV40" i="9"/>
  <c r="AU40" i="9"/>
  <c r="AT40" i="9"/>
  <c r="AS40" i="9"/>
  <c r="AR40" i="9"/>
  <c r="V40" i="9"/>
  <c r="R40" i="9"/>
  <c r="P40" i="9"/>
  <c r="U40" i="9" s="1"/>
  <c r="CT40" i="9" s="1"/>
  <c r="DP39" i="9"/>
  <c r="DO39" i="9"/>
  <c r="DN39" i="9"/>
  <c r="DM39" i="9"/>
  <c r="DL39" i="9"/>
  <c r="DK39" i="9"/>
  <c r="DJ39" i="9"/>
  <c r="DI39" i="9"/>
  <c r="DH39" i="9"/>
  <c r="DG39" i="9"/>
  <c r="DF39" i="9"/>
  <c r="DD39" i="9"/>
  <c r="DB39" i="9"/>
  <c r="CR39" i="9"/>
  <c r="CP39" i="9"/>
  <c r="CK39" i="9"/>
  <c r="CJ39" i="9"/>
  <c r="CH39" i="9"/>
  <c r="CG39" i="9"/>
  <c r="CF39" i="9"/>
  <c r="BR39" i="9"/>
  <c r="BQ39" i="9"/>
  <c r="BP39" i="9"/>
  <c r="DC39" i="9" s="1"/>
  <c r="BO39" i="9"/>
  <c r="BL39" i="9"/>
  <c r="BK39" i="9"/>
  <c r="BM39" i="9" s="1"/>
  <c r="BN39" i="9" s="1"/>
  <c r="CO39" i="9" s="1"/>
  <c r="I149" i="9" s="1"/>
  <c r="BJ39" i="9"/>
  <c r="BI39" i="9"/>
  <c r="BH39" i="9"/>
  <c r="BG39" i="9"/>
  <c r="BF39" i="9"/>
  <c r="BE39" i="9"/>
  <c r="BD39" i="9"/>
  <c r="BC39" i="9"/>
  <c r="BA39" i="9"/>
  <c r="AZ39" i="9"/>
  <c r="AY39" i="9"/>
  <c r="AX39" i="9"/>
  <c r="AW39" i="9"/>
  <c r="AV39" i="9"/>
  <c r="AU39" i="9"/>
  <c r="AT39" i="9"/>
  <c r="AS39" i="9"/>
  <c r="AR39" i="9"/>
  <c r="BB39" i="9" s="1"/>
  <c r="Q39" i="9" s="1"/>
  <c r="V39" i="9"/>
  <c r="T39" i="9"/>
  <c r="R39" i="9"/>
  <c r="P39" i="9"/>
  <c r="CL39" i="9" s="1"/>
  <c r="DP38" i="9"/>
  <c r="DO38" i="9"/>
  <c r="DN38" i="9"/>
  <c r="DM38" i="9"/>
  <c r="DL38" i="9"/>
  <c r="DK38" i="9"/>
  <c r="DJ38" i="9"/>
  <c r="DI38" i="9"/>
  <c r="DH38" i="9"/>
  <c r="DG38" i="9"/>
  <c r="DF38" i="9"/>
  <c r="CP38" i="9"/>
  <c r="CK38" i="9"/>
  <c r="DB38" i="9" s="1"/>
  <c r="CJ38" i="9"/>
  <c r="DD38" i="9" s="1"/>
  <c r="CH38" i="9"/>
  <c r="CG38" i="9"/>
  <c r="CF38" i="9"/>
  <c r="BR38" i="9"/>
  <c r="BQ38" i="9"/>
  <c r="BP38" i="9"/>
  <c r="DC38" i="9" s="1"/>
  <c r="BO38" i="9"/>
  <c r="BL38" i="9"/>
  <c r="BK38" i="9"/>
  <c r="BJ38" i="9"/>
  <c r="BI38" i="9"/>
  <c r="BH38" i="9"/>
  <c r="BG38" i="9"/>
  <c r="BF38" i="9"/>
  <c r="BE38" i="9"/>
  <c r="BD38" i="9"/>
  <c r="BC38" i="9"/>
  <c r="BA38" i="9"/>
  <c r="AZ38" i="9"/>
  <c r="AY38" i="9"/>
  <c r="AX38" i="9"/>
  <c r="BB38" i="9" s="1"/>
  <c r="AW38" i="9"/>
  <c r="AV38" i="9"/>
  <c r="AU38" i="9"/>
  <c r="AT38" i="9"/>
  <c r="AS38" i="9"/>
  <c r="AR38" i="9"/>
  <c r="V38" i="9"/>
  <c r="R38" i="9"/>
  <c r="Q38" i="9"/>
  <c r="DP37" i="9"/>
  <c r="DO37" i="9"/>
  <c r="DN37" i="9"/>
  <c r="DM37" i="9"/>
  <c r="DL37" i="9"/>
  <c r="DK37" i="9"/>
  <c r="DJ37" i="9"/>
  <c r="DI37" i="9"/>
  <c r="DH37" i="9"/>
  <c r="DG37" i="9"/>
  <c r="DF37" i="9"/>
  <c r="CP37" i="9"/>
  <c r="CK37" i="9"/>
  <c r="DB37" i="9" s="1"/>
  <c r="CJ37" i="9"/>
  <c r="DD37" i="9" s="1"/>
  <c r="CH37" i="9"/>
  <c r="CG37" i="9"/>
  <c r="CF37" i="9"/>
  <c r="CD37" i="9"/>
  <c r="DA37" i="9" s="1"/>
  <c r="K147" i="9" s="1"/>
  <c r="CB37" i="9"/>
  <c r="CA37" i="9"/>
  <c r="BX37" i="9"/>
  <c r="BV37" i="9"/>
  <c r="BU37" i="9"/>
  <c r="BT37" i="9"/>
  <c r="BS37" i="9"/>
  <c r="BR37" i="9"/>
  <c r="BQ37" i="9"/>
  <c r="BP37" i="9"/>
  <c r="BL37" i="9"/>
  <c r="BK37" i="9"/>
  <c r="BJ37" i="9"/>
  <c r="BI37" i="9"/>
  <c r="BH37" i="9"/>
  <c r="BG37" i="9"/>
  <c r="BF37" i="9"/>
  <c r="BE37" i="9"/>
  <c r="BD37" i="9"/>
  <c r="BC37" i="9"/>
  <c r="BA37" i="9"/>
  <c r="AZ37" i="9"/>
  <c r="AY37" i="9"/>
  <c r="AX37" i="9"/>
  <c r="AW37" i="9"/>
  <c r="AV37" i="9"/>
  <c r="AU37" i="9"/>
  <c r="AT37" i="9"/>
  <c r="AS37" i="9"/>
  <c r="AR37" i="9"/>
  <c r="V37" i="9"/>
  <c r="R37" i="9"/>
  <c r="P37" i="9"/>
  <c r="CL37" i="9" s="1"/>
  <c r="DP36" i="9"/>
  <c r="DO36" i="9"/>
  <c r="DN36" i="9"/>
  <c r="DM36" i="9"/>
  <c r="DL36" i="9"/>
  <c r="DK36" i="9"/>
  <c r="DJ36" i="9"/>
  <c r="DI36" i="9"/>
  <c r="DH36" i="9"/>
  <c r="DG36" i="9"/>
  <c r="DF36" i="9"/>
  <c r="DC36" i="9"/>
  <c r="CR36" i="9"/>
  <c r="CP36" i="9"/>
  <c r="CM36" i="9"/>
  <c r="CK36" i="9"/>
  <c r="DB36" i="9" s="1"/>
  <c r="CJ36" i="9"/>
  <c r="DD36" i="9" s="1"/>
  <c r="CH36" i="9"/>
  <c r="CG36" i="9"/>
  <c r="CF36" i="9"/>
  <c r="CE36" i="9"/>
  <c r="BX36" i="9"/>
  <c r="BW36" i="9"/>
  <c r="BR36" i="9"/>
  <c r="BQ36" i="9"/>
  <c r="BP36" i="9"/>
  <c r="BO36" i="9"/>
  <c r="BL36" i="9"/>
  <c r="BK36" i="9"/>
  <c r="BJ36" i="9"/>
  <c r="BI36" i="9"/>
  <c r="BH36" i="9"/>
  <c r="BG36" i="9"/>
  <c r="BF36" i="9"/>
  <c r="BE36" i="9"/>
  <c r="BD36" i="9"/>
  <c r="BM36" i="9" s="1"/>
  <c r="BN36" i="9" s="1"/>
  <c r="BC36" i="9"/>
  <c r="BA36" i="9"/>
  <c r="AZ36" i="9"/>
  <c r="AY36" i="9"/>
  <c r="AX36" i="9"/>
  <c r="AW36" i="9"/>
  <c r="AV36" i="9"/>
  <c r="AU36" i="9"/>
  <c r="AT36" i="9"/>
  <c r="AS36" i="9"/>
  <c r="AR36" i="9"/>
  <c r="V36" i="9"/>
  <c r="T36" i="9"/>
  <c r="R36" i="9"/>
  <c r="DP35" i="9"/>
  <c r="DO35" i="9"/>
  <c r="DN35" i="9"/>
  <c r="DM35" i="9"/>
  <c r="DL35" i="9"/>
  <c r="DK35" i="9"/>
  <c r="DJ35" i="9"/>
  <c r="DI35" i="9"/>
  <c r="DH35" i="9"/>
  <c r="DG35" i="9"/>
  <c r="DF35" i="9"/>
  <c r="CP35" i="9"/>
  <c r="CM35" i="9"/>
  <c r="CL35" i="9"/>
  <c r="CK35" i="9"/>
  <c r="DB35" i="9" s="1"/>
  <c r="CJ35" i="9"/>
  <c r="DD35" i="9" s="1"/>
  <c r="CI35" i="9"/>
  <c r="CH35" i="9"/>
  <c r="CG35" i="9"/>
  <c r="CF35" i="9"/>
  <c r="CE35" i="9"/>
  <c r="CD35" i="9"/>
  <c r="CB35" i="9"/>
  <c r="CA35" i="9"/>
  <c r="BZ35" i="9"/>
  <c r="BY35" i="9"/>
  <c r="BX35" i="9"/>
  <c r="BW35" i="9"/>
  <c r="BS35" i="9"/>
  <c r="BR35" i="9"/>
  <c r="BQ35" i="9"/>
  <c r="BV35" i="9" s="1"/>
  <c r="BP35" i="9"/>
  <c r="DC35" i="9" s="1"/>
  <c r="BL35" i="9"/>
  <c r="BK35" i="9"/>
  <c r="BJ35" i="9"/>
  <c r="BI35" i="9"/>
  <c r="BH35" i="9"/>
  <c r="BG35" i="9"/>
  <c r="BF35" i="9"/>
  <c r="BE35" i="9"/>
  <c r="BD35" i="9"/>
  <c r="BC35" i="9"/>
  <c r="BA35" i="9"/>
  <c r="AZ35" i="9"/>
  <c r="AY35" i="9"/>
  <c r="AX35" i="9"/>
  <c r="AW35" i="9"/>
  <c r="AV35" i="9"/>
  <c r="AU35" i="9"/>
  <c r="AT35" i="9"/>
  <c r="AS35" i="9"/>
  <c r="AR35" i="9"/>
  <c r="V35" i="9"/>
  <c r="R35" i="9"/>
  <c r="P35" i="9"/>
  <c r="U35" i="9" s="1"/>
  <c r="CT35" i="9" s="1"/>
  <c r="DP34" i="9"/>
  <c r="DO34" i="9"/>
  <c r="DN34" i="9"/>
  <c r="DM34" i="9"/>
  <c r="DL34" i="9"/>
  <c r="DK34" i="9"/>
  <c r="DJ34" i="9"/>
  <c r="DI34" i="9"/>
  <c r="DH34" i="9"/>
  <c r="DG34" i="9"/>
  <c r="DF34" i="9"/>
  <c r="DD34" i="9"/>
  <c r="CR34" i="9"/>
  <c r="CP34" i="9"/>
  <c r="CK34" i="9"/>
  <c r="DB34" i="9" s="1"/>
  <c r="CJ34" i="9"/>
  <c r="CH34" i="9"/>
  <c r="CG34" i="9"/>
  <c r="CF34" i="9"/>
  <c r="BV34" i="9"/>
  <c r="BT34" i="9"/>
  <c r="BR34" i="9"/>
  <c r="BQ34" i="9"/>
  <c r="BP34" i="9"/>
  <c r="DC34" i="9" s="1"/>
  <c r="BL34" i="9"/>
  <c r="BK34" i="9"/>
  <c r="BJ34" i="9"/>
  <c r="BI34" i="9"/>
  <c r="BH34" i="9"/>
  <c r="BG34" i="9"/>
  <c r="BF34" i="9"/>
  <c r="BE34" i="9"/>
  <c r="BD34" i="9"/>
  <c r="BC34" i="9"/>
  <c r="BA34" i="9"/>
  <c r="AZ34" i="9"/>
  <c r="AY34" i="9"/>
  <c r="AX34" i="9"/>
  <c r="AW34" i="9"/>
  <c r="AV34" i="9"/>
  <c r="AU34" i="9"/>
  <c r="AT34" i="9"/>
  <c r="AS34" i="9"/>
  <c r="AR34" i="9"/>
  <c r="V34" i="9"/>
  <c r="T34" i="9"/>
  <c r="R34" i="9"/>
  <c r="DP33" i="9"/>
  <c r="DO33" i="9"/>
  <c r="DN33" i="9"/>
  <c r="DM33" i="9"/>
  <c r="DL33" i="9"/>
  <c r="DK33" i="9"/>
  <c r="DJ33" i="9"/>
  <c r="DI33" i="9"/>
  <c r="DH33" i="9"/>
  <c r="DG33" i="9"/>
  <c r="DF33" i="9"/>
  <c r="CP33" i="9"/>
  <c r="CK33" i="9"/>
  <c r="DB33" i="9" s="1"/>
  <c r="CJ33" i="9"/>
  <c r="DD33" i="9" s="1"/>
  <c r="CH33" i="9"/>
  <c r="CG33" i="9"/>
  <c r="CF33" i="9"/>
  <c r="CR33" i="9" s="1"/>
  <c r="BR33" i="9"/>
  <c r="BQ33" i="9"/>
  <c r="BP33" i="9"/>
  <c r="DC33" i="9" s="1"/>
  <c r="BO33" i="9"/>
  <c r="BN33" i="9" s="1"/>
  <c r="BM33" i="9"/>
  <c r="BL33" i="9"/>
  <c r="BK33" i="9"/>
  <c r="BJ33" i="9"/>
  <c r="BI33" i="9"/>
  <c r="BH33" i="9"/>
  <c r="BG33" i="9"/>
  <c r="BF33" i="9"/>
  <c r="BE33" i="9"/>
  <c r="BD33" i="9"/>
  <c r="BC33" i="9"/>
  <c r="BA33" i="9"/>
  <c r="AZ33" i="9"/>
  <c r="AY33" i="9"/>
  <c r="AX33" i="9"/>
  <c r="AW33" i="9"/>
  <c r="AV33" i="9"/>
  <c r="AU33" i="9"/>
  <c r="AT33" i="9"/>
  <c r="AS33" i="9"/>
  <c r="AR33" i="9"/>
  <c r="BB33" i="9" s="1"/>
  <c r="Q33" i="9" s="1"/>
  <c r="V33" i="9"/>
  <c r="T33" i="9"/>
  <c r="R33" i="9"/>
  <c r="DP32" i="9"/>
  <c r="DO32" i="9"/>
  <c r="DN32" i="9"/>
  <c r="DM32" i="9"/>
  <c r="DL32" i="9"/>
  <c r="DK32" i="9"/>
  <c r="DJ32" i="9"/>
  <c r="DI32" i="9"/>
  <c r="DH32" i="9"/>
  <c r="DG32" i="9"/>
  <c r="DF32" i="9"/>
  <c r="CT32" i="9"/>
  <c r="CP32" i="9"/>
  <c r="CM32" i="9"/>
  <c r="CL32" i="9"/>
  <c r="CK32" i="9"/>
  <c r="DB32" i="9" s="1"/>
  <c r="CJ32" i="9"/>
  <c r="DD32" i="9" s="1"/>
  <c r="CI32" i="9"/>
  <c r="CH32" i="9"/>
  <c r="CG32" i="9"/>
  <c r="CF32" i="9"/>
  <c r="CE32" i="9"/>
  <c r="CD32" i="9"/>
  <c r="DA32" i="9" s="1"/>
  <c r="K142" i="9" s="1"/>
  <c r="BV32" i="9"/>
  <c r="BR32" i="9"/>
  <c r="BQ32" i="9"/>
  <c r="CB32" i="9" s="1"/>
  <c r="BP32" i="9"/>
  <c r="DC32" i="9" s="1"/>
  <c r="BO32" i="9"/>
  <c r="BL32" i="9"/>
  <c r="BK32" i="9"/>
  <c r="BJ32" i="9"/>
  <c r="BI32" i="9"/>
  <c r="BH32" i="9"/>
  <c r="BG32" i="9"/>
  <c r="BF32" i="9"/>
  <c r="BE32" i="9"/>
  <c r="BD32" i="9"/>
  <c r="BC32" i="9"/>
  <c r="BA32" i="9"/>
  <c r="AZ32" i="9"/>
  <c r="AY32" i="9"/>
  <c r="AX32" i="9"/>
  <c r="BB32" i="9" s="1"/>
  <c r="Q32" i="9" s="1"/>
  <c r="AW32" i="9"/>
  <c r="AV32" i="9"/>
  <c r="AU32" i="9"/>
  <c r="AT32" i="9"/>
  <c r="AS32" i="9"/>
  <c r="AR32" i="9"/>
  <c r="V32" i="9"/>
  <c r="U32" i="9"/>
  <c r="R32" i="9"/>
  <c r="P32" i="9"/>
  <c r="DP31" i="9"/>
  <c r="DO31" i="9"/>
  <c r="DN31" i="9"/>
  <c r="DM31" i="9"/>
  <c r="DL31" i="9"/>
  <c r="DK31" i="9"/>
  <c r="DJ31" i="9"/>
  <c r="DI31" i="9"/>
  <c r="DH31" i="9"/>
  <c r="DG31" i="9"/>
  <c r="DF31" i="9"/>
  <c r="DD31" i="9"/>
  <c r="DC31" i="9"/>
  <c r="DB31" i="9"/>
  <c r="CP31" i="9"/>
  <c r="CK31" i="9"/>
  <c r="CJ31" i="9"/>
  <c r="CH31" i="9"/>
  <c r="CG31" i="9"/>
  <c r="CF31" i="9"/>
  <c r="CB31" i="9"/>
  <c r="CA31" i="9"/>
  <c r="BY31" i="9"/>
  <c r="BX31" i="9"/>
  <c r="BW31" i="9"/>
  <c r="BV31" i="9"/>
  <c r="BR31" i="9"/>
  <c r="BQ31" i="9"/>
  <c r="BP31" i="9"/>
  <c r="BL31" i="9"/>
  <c r="BK31" i="9"/>
  <c r="BJ31" i="9"/>
  <c r="BI31" i="9"/>
  <c r="BH31" i="9"/>
  <c r="BG31" i="9"/>
  <c r="BF31" i="9"/>
  <c r="BE31" i="9"/>
  <c r="BD31" i="9"/>
  <c r="BC31" i="9"/>
  <c r="BA31" i="9"/>
  <c r="AZ31" i="9"/>
  <c r="AY31" i="9"/>
  <c r="AX31" i="9"/>
  <c r="AW31" i="9"/>
  <c r="AV31" i="9"/>
  <c r="AU31" i="9"/>
  <c r="AT31" i="9"/>
  <c r="AS31" i="9"/>
  <c r="AR31" i="9"/>
  <c r="BB31" i="9" s="1"/>
  <c r="Q31" i="9" s="1"/>
  <c r="V31" i="9"/>
  <c r="T31" i="9"/>
  <c r="R31" i="9"/>
  <c r="P31" i="9"/>
  <c r="DP30" i="9"/>
  <c r="DO30" i="9"/>
  <c r="DN30" i="9"/>
  <c r="DM30" i="9"/>
  <c r="DL30" i="9"/>
  <c r="DK30" i="9"/>
  <c r="DJ30" i="9"/>
  <c r="DI30" i="9"/>
  <c r="DH30" i="9"/>
  <c r="DG30" i="9"/>
  <c r="DF30" i="9"/>
  <c r="CR30" i="9"/>
  <c r="CP30" i="9"/>
  <c r="CK30" i="9"/>
  <c r="DB30" i="9" s="1"/>
  <c r="CJ30" i="9"/>
  <c r="DD30" i="9" s="1"/>
  <c r="CH30" i="9"/>
  <c r="CG30" i="9"/>
  <c r="CF30" i="9"/>
  <c r="BR30" i="9"/>
  <c r="BQ30" i="9"/>
  <c r="BP30" i="9"/>
  <c r="DC30" i="9" s="1"/>
  <c r="BO30" i="9"/>
  <c r="BL30" i="9"/>
  <c r="BK30" i="9"/>
  <c r="BJ30" i="9"/>
  <c r="BI30" i="9"/>
  <c r="BH30" i="9"/>
  <c r="BG30" i="9"/>
  <c r="BF30" i="9"/>
  <c r="BE30" i="9"/>
  <c r="BD30" i="9"/>
  <c r="BC30" i="9"/>
  <c r="BA30" i="9"/>
  <c r="AZ30" i="9"/>
  <c r="AY30" i="9"/>
  <c r="AX30" i="9"/>
  <c r="AW30" i="9"/>
  <c r="AV30" i="9"/>
  <c r="AU30" i="9"/>
  <c r="AT30" i="9"/>
  <c r="AS30" i="9"/>
  <c r="AR30" i="9"/>
  <c r="BB30" i="9" s="1"/>
  <c r="V30" i="9"/>
  <c r="T30" i="9"/>
  <c r="R30" i="9"/>
  <c r="Q30" i="9"/>
  <c r="P30" i="9"/>
  <c r="DP29" i="9"/>
  <c r="DO29" i="9"/>
  <c r="DN29" i="9"/>
  <c r="DM29" i="9"/>
  <c r="DL29" i="9"/>
  <c r="DK29" i="9"/>
  <c r="DJ29" i="9"/>
  <c r="DI29" i="9"/>
  <c r="DH29" i="9"/>
  <c r="DG29" i="9"/>
  <c r="DF29" i="9"/>
  <c r="DD29" i="9"/>
  <c r="CP29" i="9"/>
  <c r="CM29" i="9"/>
  <c r="CL29" i="9"/>
  <c r="CK29" i="9"/>
  <c r="DB29" i="9" s="1"/>
  <c r="CJ29" i="9"/>
  <c r="CI29" i="9"/>
  <c r="CH29" i="9"/>
  <c r="CG29" i="9"/>
  <c r="CF29" i="9"/>
  <c r="CE29" i="9"/>
  <c r="CD29" i="9"/>
  <c r="DA29" i="9" s="1"/>
  <c r="K139" i="9" s="1"/>
  <c r="CB29" i="9"/>
  <c r="CA29" i="9"/>
  <c r="BZ29" i="9"/>
  <c r="BY29" i="9"/>
  <c r="BX29" i="9"/>
  <c r="BW29" i="9"/>
  <c r="BR29" i="9"/>
  <c r="BQ29" i="9"/>
  <c r="BV29" i="9" s="1"/>
  <c r="BP29" i="9"/>
  <c r="DC29" i="9" s="1"/>
  <c r="BO29" i="9"/>
  <c r="BL29" i="9"/>
  <c r="BK29" i="9"/>
  <c r="BJ29" i="9"/>
  <c r="BI29" i="9"/>
  <c r="BH29" i="9"/>
  <c r="BG29" i="9"/>
  <c r="BF29" i="9"/>
  <c r="BE29" i="9"/>
  <c r="BD29" i="9"/>
  <c r="BC29" i="9"/>
  <c r="BA29" i="9"/>
  <c r="AZ29" i="9"/>
  <c r="AY29" i="9"/>
  <c r="AX29" i="9"/>
  <c r="AW29" i="9"/>
  <c r="AV29" i="9"/>
  <c r="AU29" i="9"/>
  <c r="AT29" i="9"/>
  <c r="AS29" i="9"/>
  <c r="AR29" i="9"/>
  <c r="V29" i="9"/>
  <c r="R29" i="9"/>
  <c r="P29" i="9"/>
  <c r="U29" i="9" s="1"/>
  <c r="CT29" i="9" s="1"/>
  <c r="DP28" i="9"/>
  <c r="DO28" i="9"/>
  <c r="DN28" i="9"/>
  <c r="DM28" i="9"/>
  <c r="DL28" i="9"/>
  <c r="DK28" i="9"/>
  <c r="DJ28" i="9"/>
  <c r="DI28" i="9"/>
  <c r="DH28" i="9"/>
  <c r="DG28" i="9"/>
  <c r="DF28" i="9"/>
  <c r="DD28" i="9"/>
  <c r="DB28" i="9"/>
  <c r="CR28" i="9"/>
  <c r="CP28" i="9"/>
  <c r="CK28" i="9"/>
  <c r="CJ28" i="9"/>
  <c r="CH28" i="9"/>
  <c r="CG28" i="9"/>
  <c r="CF28" i="9"/>
  <c r="BZ28" i="9"/>
  <c r="BW28" i="9"/>
  <c r="BV28" i="9"/>
  <c r="BU28" i="9"/>
  <c r="BR28" i="9"/>
  <c r="BQ28" i="9"/>
  <c r="BP28" i="9"/>
  <c r="DC28" i="9" s="1"/>
  <c r="BL28" i="9"/>
  <c r="BK28" i="9"/>
  <c r="BJ28" i="9"/>
  <c r="BI28" i="9"/>
  <c r="BH28" i="9"/>
  <c r="BG28" i="9"/>
  <c r="BF28" i="9"/>
  <c r="BE28" i="9"/>
  <c r="BD28" i="9"/>
  <c r="BC28" i="9"/>
  <c r="BA28" i="9"/>
  <c r="AZ28" i="9"/>
  <c r="AY28" i="9"/>
  <c r="AX28" i="9"/>
  <c r="AW28" i="9"/>
  <c r="AV28" i="9"/>
  <c r="AU28" i="9"/>
  <c r="AT28" i="9"/>
  <c r="AS28" i="9"/>
  <c r="AR28" i="9"/>
  <c r="BB28" i="9" s="1"/>
  <c r="V28" i="9"/>
  <c r="T28" i="9"/>
  <c r="R28" i="9"/>
  <c r="Q28" i="9"/>
  <c r="P28" i="9"/>
  <c r="CL28" i="9" s="1"/>
  <c r="DP27" i="9"/>
  <c r="DO27" i="9"/>
  <c r="DN27" i="9"/>
  <c r="DM27" i="9"/>
  <c r="DL27" i="9"/>
  <c r="DK27" i="9"/>
  <c r="DJ27" i="9"/>
  <c r="DI27" i="9"/>
  <c r="DH27" i="9"/>
  <c r="DG27" i="9"/>
  <c r="DF27" i="9"/>
  <c r="CP27" i="9"/>
  <c r="CM27" i="9"/>
  <c r="CL27" i="9"/>
  <c r="CK27" i="9"/>
  <c r="DB27" i="9" s="1"/>
  <c r="CJ27" i="9"/>
  <c r="DD27" i="9" s="1"/>
  <c r="CI27" i="9"/>
  <c r="CH27" i="9"/>
  <c r="CG27" i="9"/>
  <c r="CF27" i="9"/>
  <c r="CE27" i="9"/>
  <c r="CD27" i="9"/>
  <c r="DA27" i="9" s="1"/>
  <c r="K137" i="9" s="1"/>
  <c r="BU27" i="9"/>
  <c r="BR27" i="9"/>
  <c r="BQ27" i="9"/>
  <c r="CB27" i="9" s="1"/>
  <c r="BP27" i="9"/>
  <c r="DC27" i="9" s="1"/>
  <c r="BO27" i="9"/>
  <c r="BM27" i="9"/>
  <c r="BL27" i="9"/>
  <c r="BK27" i="9"/>
  <c r="BJ27" i="9"/>
  <c r="BI27" i="9"/>
  <c r="BH27" i="9"/>
  <c r="BG27" i="9"/>
  <c r="BF27" i="9"/>
  <c r="BE27" i="9"/>
  <c r="BD27" i="9"/>
  <c r="BC27" i="9"/>
  <c r="BA27" i="9"/>
  <c r="AZ27" i="9"/>
  <c r="AY27" i="9"/>
  <c r="AX27" i="9"/>
  <c r="AW27" i="9"/>
  <c r="BB27" i="9" s="1"/>
  <c r="Q27" i="9" s="1"/>
  <c r="AV27" i="9"/>
  <c r="AU27" i="9"/>
  <c r="AT27" i="9"/>
  <c r="AS27" i="9"/>
  <c r="AR27" i="9"/>
  <c r="V27" i="9"/>
  <c r="R27" i="9"/>
  <c r="P27" i="9"/>
  <c r="U27" i="9" s="1"/>
  <c r="CT27" i="9" s="1"/>
  <c r="DP26" i="9"/>
  <c r="DO26" i="9"/>
  <c r="DN26" i="9"/>
  <c r="DM26" i="9"/>
  <c r="DL26" i="9"/>
  <c r="DK26" i="9"/>
  <c r="DJ26" i="9"/>
  <c r="DI26" i="9"/>
  <c r="DH26" i="9"/>
  <c r="DG26" i="9"/>
  <c r="DF26" i="9"/>
  <c r="DD26" i="9"/>
  <c r="DC26" i="9"/>
  <c r="DB26" i="9"/>
  <c r="CP26" i="9"/>
  <c r="CK26" i="9"/>
  <c r="CJ26" i="9"/>
  <c r="CH26" i="9"/>
  <c r="CG26" i="9"/>
  <c r="CF26" i="9"/>
  <c r="CR26" i="9" s="1"/>
  <c r="BZ26" i="9"/>
  <c r="BY26" i="9"/>
  <c r="BX26" i="9"/>
  <c r="BW26" i="9"/>
  <c r="BV26" i="9"/>
  <c r="BU26" i="9"/>
  <c r="BR26" i="9"/>
  <c r="BQ26" i="9"/>
  <c r="BP26" i="9"/>
  <c r="BL26" i="9"/>
  <c r="BK26" i="9"/>
  <c r="BJ26" i="9"/>
  <c r="BI26" i="9"/>
  <c r="BH26" i="9"/>
  <c r="BG26" i="9"/>
  <c r="BF26" i="9"/>
  <c r="BE26" i="9"/>
  <c r="BD26" i="9"/>
  <c r="BC26" i="9"/>
  <c r="BA26" i="9"/>
  <c r="AZ26" i="9"/>
  <c r="AY26" i="9"/>
  <c r="AX26" i="9"/>
  <c r="AW26" i="9"/>
  <c r="AV26" i="9"/>
  <c r="AU26" i="9"/>
  <c r="AT26" i="9"/>
  <c r="AS26" i="9"/>
  <c r="AR26" i="9"/>
  <c r="V26" i="9"/>
  <c r="T26" i="9"/>
  <c r="R26" i="9"/>
  <c r="P26" i="9"/>
  <c r="DP25" i="9"/>
  <c r="DO25" i="9"/>
  <c r="DN25" i="9"/>
  <c r="DM25" i="9"/>
  <c r="DL25" i="9"/>
  <c r="DK25" i="9"/>
  <c r="DJ25" i="9"/>
  <c r="DI25" i="9"/>
  <c r="DH25" i="9"/>
  <c r="DG25" i="9"/>
  <c r="DF25" i="9"/>
  <c r="CR25" i="9"/>
  <c r="CP25" i="9"/>
  <c r="CK25" i="9"/>
  <c r="DB25" i="9" s="1"/>
  <c r="CJ25" i="9"/>
  <c r="DD25" i="9" s="1"/>
  <c r="CH25" i="9"/>
  <c r="CG25" i="9"/>
  <c r="CF25" i="9"/>
  <c r="BR25" i="9"/>
  <c r="BQ25" i="9"/>
  <c r="BP25" i="9"/>
  <c r="DC25" i="9" s="1"/>
  <c r="BL25" i="9"/>
  <c r="BK25" i="9"/>
  <c r="BJ25" i="9"/>
  <c r="BI25" i="9"/>
  <c r="BH25" i="9"/>
  <c r="BG25" i="9"/>
  <c r="BF25" i="9"/>
  <c r="BE25" i="9"/>
  <c r="BD25" i="9"/>
  <c r="BC25" i="9"/>
  <c r="BA25" i="9"/>
  <c r="AZ25" i="9"/>
  <c r="AY25" i="9"/>
  <c r="AX25" i="9"/>
  <c r="AW25" i="9"/>
  <c r="AV25" i="9"/>
  <c r="AU25" i="9"/>
  <c r="AT25" i="9"/>
  <c r="AS25" i="9"/>
  <c r="AR25" i="9"/>
  <c r="BB25" i="9" s="1"/>
  <c r="V25" i="9"/>
  <c r="T25" i="9"/>
  <c r="R25" i="9"/>
  <c r="Q25" i="9"/>
  <c r="DP24" i="9"/>
  <c r="DO24" i="9"/>
  <c r="DN24" i="9"/>
  <c r="DM24" i="9"/>
  <c r="DL24" i="9"/>
  <c r="DK24" i="9"/>
  <c r="DJ24" i="9"/>
  <c r="DI24" i="9"/>
  <c r="DH24" i="9"/>
  <c r="DG24" i="9"/>
  <c r="DF24" i="9"/>
  <c r="DC24" i="9"/>
  <c r="CP24" i="9"/>
  <c r="CM24" i="9"/>
  <c r="CL24" i="9"/>
  <c r="CK24" i="9"/>
  <c r="DB24" i="9" s="1"/>
  <c r="CJ24" i="9"/>
  <c r="DD24" i="9" s="1"/>
  <c r="CI24" i="9"/>
  <c r="CH24" i="9"/>
  <c r="CG24" i="9"/>
  <c r="CF24" i="9"/>
  <c r="CE24" i="9"/>
  <c r="CD24" i="9"/>
  <c r="DA24" i="9" s="1"/>
  <c r="K134" i="9" s="1"/>
  <c r="CB24" i="9"/>
  <c r="CA24" i="9"/>
  <c r="BZ24" i="9"/>
  <c r="BY24" i="9"/>
  <c r="BX24" i="9"/>
  <c r="BW24" i="9"/>
  <c r="BV24" i="9"/>
  <c r="BR24" i="9"/>
  <c r="BQ24" i="9"/>
  <c r="BU24" i="9" s="1"/>
  <c r="BP24" i="9"/>
  <c r="BL24" i="9"/>
  <c r="BK24" i="9"/>
  <c r="BJ24" i="9"/>
  <c r="BI24" i="9"/>
  <c r="BH24" i="9"/>
  <c r="BG24" i="9"/>
  <c r="BF24" i="9"/>
  <c r="BE24" i="9"/>
  <c r="BD24" i="9"/>
  <c r="BC24" i="9"/>
  <c r="BA24" i="9"/>
  <c r="AZ24" i="9"/>
  <c r="AY24" i="9"/>
  <c r="AX24" i="9"/>
  <c r="AW24" i="9"/>
  <c r="AV24" i="9"/>
  <c r="AU24" i="9"/>
  <c r="AT24" i="9"/>
  <c r="AS24" i="9"/>
  <c r="AR24" i="9"/>
  <c r="V24" i="9"/>
  <c r="U24" i="9"/>
  <c r="CT24" i="9" s="1"/>
  <c r="R24" i="9"/>
  <c r="P24" i="9"/>
  <c r="DP23" i="9"/>
  <c r="DO23" i="9"/>
  <c r="DN23" i="9"/>
  <c r="DM23" i="9"/>
  <c r="DL23" i="9"/>
  <c r="DK23" i="9"/>
  <c r="DJ23" i="9"/>
  <c r="DI23" i="9"/>
  <c r="DH23" i="9"/>
  <c r="DG23" i="9"/>
  <c r="DF23" i="9"/>
  <c r="DD23" i="9"/>
  <c r="DC23" i="9"/>
  <c r="DB23" i="9"/>
  <c r="CR23" i="9"/>
  <c r="CP23" i="9"/>
  <c r="CK23" i="9"/>
  <c r="CJ23" i="9"/>
  <c r="CH23" i="9"/>
  <c r="CG23" i="9"/>
  <c r="CF23" i="9"/>
  <c r="CA23" i="9"/>
  <c r="BY23" i="9"/>
  <c r="BX23" i="9"/>
  <c r="BW23" i="9"/>
  <c r="BV23" i="9"/>
  <c r="BR23" i="9"/>
  <c r="BQ23" i="9"/>
  <c r="BP23" i="9"/>
  <c r="BO23" i="9"/>
  <c r="BM23" i="9"/>
  <c r="BN23" i="9" s="1"/>
  <c r="BL23" i="9"/>
  <c r="BK23" i="9"/>
  <c r="BJ23" i="9"/>
  <c r="BI23" i="9"/>
  <c r="BH23" i="9"/>
  <c r="BG23" i="9"/>
  <c r="BF23" i="9"/>
  <c r="BE23" i="9"/>
  <c r="BD23" i="9"/>
  <c r="BC23" i="9"/>
  <c r="BA23" i="9"/>
  <c r="AZ23" i="9"/>
  <c r="AY23" i="9"/>
  <c r="AX23" i="9"/>
  <c r="AW23" i="9"/>
  <c r="AV23" i="9"/>
  <c r="AU23" i="9"/>
  <c r="AT23" i="9"/>
  <c r="AS23" i="9"/>
  <c r="AR23" i="9"/>
  <c r="V23" i="9"/>
  <c r="T23" i="9"/>
  <c r="R23" i="9"/>
  <c r="DP22" i="9"/>
  <c r="DO22" i="9"/>
  <c r="DN22" i="9"/>
  <c r="DM22" i="9"/>
  <c r="DL22" i="9"/>
  <c r="DK22" i="9"/>
  <c r="DJ22" i="9"/>
  <c r="DI22" i="9"/>
  <c r="DH22" i="9"/>
  <c r="DG22" i="9"/>
  <c r="DF22" i="9"/>
  <c r="CT22" i="9"/>
  <c r="CP22" i="9"/>
  <c r="CM22" i="9"/>
  <c r="CL22" i="9"/>
  <c r="CK22" i="9"/>
  <c r="DB22" i="9" s="1"/>
  <c r="CJ22" i="9"/>
  <c r="DD22" i="9" s="1"/>
  <c r="CI22" i="9"/>
  <c r="CH22" i="9"/>
  <c r="CG22" i="9"/>
  <c r="CF22" i="9"/>
  <c r="T22" i="9" s="1"/>
  <c r="CE22" i="9"/>
  <c r="CD22" i="9"/>
  <c r="DA22" i="9" s="1"/>
  <c r="K132" i="9" s="1"/>
  <c r="CB22" i="9"/>
  <c r="BW22" i="9"/>
  <c r="BV22" i="9"/>
  <c r="BU22" i="9"/>
  <c r="BT22" i="9"/>
  <c r="BR22" i="9"/>
  <c r="BQ22" i="9"/>
  <c r="CA22" i="9" s="1"/>
  <c r="BP22" i="9"/>
  <c r="DC22" i="9" s="1"/>
  <c r="BO22" i="9"/>
  <c r="BL22" i="9"/>
  <c r="BK22" i="9"/>
  <c r="BJ22" i="9"/>
  <c r="BI22" i="9"/>
  <c r="BH22" i="9"/>
  <c r="BG22" i="9"/>
  <c r="BF22" i="9"/>
  <c r="BE22" i="9"/>
  <c r="BD22" i="9"/>
  <c r="BC22" i="9"/>
  <c r="BA22" i="9"/>
  <c r="AZ22" i="9"/>
  <c r="AY22" i="9"/>
  <c r="AX22" i="9"/>
  <c r="AW22" i="9"/>
  <c r="AV22" i="9"/>
  <c r="AU22" i="9"/>
  <c r="AT22" i="9"/>
  <c r="AS22" i="9"/>
  <c r="AR22" i="9"/>
  <c r="V22" i="9"/>
  <c r="U22" i="9"/>
  <c r="R22" i="9"/>
  <c r="P22" i="9"/>
  <c r="DP21" i="9"/>
  <c r="DO21" i="9"/>
  <c r="DN21" i="9"/>
  <c r="DM21" i="9"/>
  <c r="DL21" i="9"/>
  <c r="DK21" i="9"/>
  <c r="DJ21" i="9"/>
  <c r="DI21" i="9"/>
  <c r="DH21" i="9"/>
  <c r="DG21" i="9"/>
  <c r="DF21" i="9"/>
  <c r="DD21" i="9"/>
  <c r="DB21" i="9"/>
  <c r="CP21" i="9"/>
  <c r="CK21" i="9"/>
  <c r="CJ21" i="9"/>
  <c r="CH21" i="9"/>
  <c r="CG21" i="9"/>
  <c r="CF21" i="9"/>
  <c r="BR21" i="9"/>
  <c r="BQ21" i="9"/>
  <c r="BP21" i="9"/>
  <c r="DC21" i="9" s="1"/>
  <c r="BO21" i="9"/>
  <c r="BL21" i="9"/>
  <c r="BK21" i="9"/>
  <c r="BJ21" i="9"/>
  <c r="BI21" i="9"/>
  <c r="BH21" i="9"/>
  <c r="BG21" i="9"/>
  <c r="BF21" i="9"/>
  <c r="BE21" i="9"/>
  <c r="BD21" i="9"/>
  <c r="BC21" i="9"/>
  <c r="BA21" i="9"/>
  <c r="AZ21" i="9"/>
  <c r="AY21" i="9"/>
  <c r="AX21" i="9"/>
  <c r="AW21" i="9"/>
  <c r="AV21" i="9"/>
  <c r="AU21" i="9"/>
  <c r="AT21" i="9"/>
  <c r="AS21" i="9"/>
  <c r="AR21" i="9"/>
  <c r="V21" i="9"/>
  <c r="R21" i="9"/>
  <c r="DP20" i="9"/>
  <c r="DO20" i="9"/>
  <c r="DN20" i="9"/>
  <c r="DM20" i="9"/>
  <c r="DL20" i="9"/>
  <c r="DK20" i="9"/>
  <c r="DJ20" i="9"/>
  <c r="DI20" i="9"/>
  <c r="DH20" i="9"/>
  <c r="DG20" i="9"/>
  <c r="DF20" i="9"/>
  <c r="CR20" i="9"/>
  <c r="CP20" i="9"/>
  <c r="CK20" i="9"/>
  <c r="DB20" i="9" s="1"/>
  <c r="CJ20" i="9"/>
  <c r="DD20" i="9" s="1"/>
  <c r="CH20" i="9"/>
  <c r="T20" i="9" s="1"/>
  <c r="CG20" i="9"/>
  <c r="CF20" i="9"/>
  <c r="BR20" i="9"/>
  <c r="BQ20" i="9"/>
  <c r="BO20" i="9" s="1"/>
  <c r="BP20" i="9"/>
  <c r="DC20" i="9" s="1"/>
  <c r="BL20" i="9"/>
  <c r="BK20" i="9"/>
  <c r="BJ20" i="9"/>
  <c r="BI20" i="9"/>
  <c r="BH20" i="9"/>
  <c r="BM20" i="9" s="1"/>
  <c r="BN20" i="9" s="1"/>
  <c r="BG20" i="9"/>
  <c r="BF20" i="9"/>
  <c r="BE20" i="9"/>
  <c r="BD20" i="9"/>
  <c r="BC20" i="9"/>
  <c r="BB20" i="9"/>
  <c r="Q20" i="9" s="1"/>
  <c r="BA20" i="9"/>
  <c r="AZ20" i="9"/>
  <c r="AY20" i="9"/>
  <c r="AX20" i="9"/>
  <c r="AW20" i="9"/>
  <c r="AV20" i="9"/>
  <c r="AU20" i="9"/>
  <c r="AT20" i="9"/>
  <c r="AS20" i="9"/>
  <c r="AR20" i="9"/>
  <c r="V20" i="9"/>
  <c r="R20" i="9"/>
  <c r="DP19" i="9"/>
  <c r="DO19" i="9"/>
  <c r="DN19" i="9"/>
  <c r="DM19" i="9"/>
  <c r="DL19" i="9"/>
  <c r="DK19" i="9"/>
  <c r="DJ19" i="9"/>
  <c r="DI19" i="9"/>
  <c r="DH19" i="9"/>
  <c r="DG19" i="9"/>
  <c r="DF19" i="9"/>
  <c r="DD19" i="9"/>
  <c r="DC19" i="9"/>
  <c r="DB19" i="9"/>
  <c r="CP19" i="9"/>
  <c r="CM19" i="9"/>
  <c r="CL19" i="9"/>
  <c r="CK19" i="9"/>
  <c r="CJ19" i="9"/>
  <c r="CI19" i="9"/>
  <c r="CH19" i="9"/>
  <c r="CG19" i="9"/>
  <c r="CF19" i="9"/>
  <c r="CR19" i="9" s="1"/>
  <c r="CE19" i="9"/>
  <c r="CD19" i="9"/>
  <c r="DA19" i="9" s="1"/>
  <c r="K129" i="9" s="1"/>
  <c r="CB19" i="9"/>
  <c r="CA19" i="9"/>
  <c r="BZ19" i="9"/>
  <c r="BY19" i="9"/>
  <c r="BX19" i="9"/>
  <c r="BW19" i="9"/>
  <c r="BV19" i="9"/>
  <c r="BU19" i="9"/>
  <c r="BR19" i="9"/>
  <c r="BQ19" i="9"/>
  <c r="BT19" i="9" s="1"/>
  <c r="BP19" i="9"/>
  <c r="BO19" i="9"/>
  <c r="BL19" i="9"/>
  <c r="BK19" i="9"/>
  <c r="BJ19" i="9"/>
  <c r="BI19" i="9"/>
  <c r="BH19" i="9"/>
  <c r="BG19" i="9"/>
  <c r="BF19" i="9"/>
  <c r="BE19" i="9"/>
  <c r="BD19" i="9"/>
  <c r="BC19" i="9"/>
  <c r="BB19" i="9"/>
  <c r="Q19" i="9" s="1"/>
  <c r="BA19" i="9"/>
  <c r="AZ19" i="9"/>
  <c r="AY19" i="9"/>
  <c r="AX19" i="9"/>
  <c r="AW19" i="9"/>
  <c r="AV19" i="9"/>
  <c r="AU19" i="9"/>
  <c r="AT19" i="9"/>
  <c r="AS19" i="9"/>
  <c r="AR19" i="9"/>
  <c r="V19" i="9"/>
  <c r="U19" i="9"/>
  <c r="CT19" i="9" s="1"/>
  <c r="T19" i="9"/>
  <c r="R19" i="9"/>
  <c r="P19" i="9"/>
  <c r="DP18" i="9"/>
  <c r="DO18" i="9"/>
  <c r="DN18" i="9"/>
  <c r="DM18" i="9"/>
  <c r="DL18" i="9"/>
  <c r="DK18" i="9"/>
  <c r="DJ18" i="9"/>
  <c r="DI18" i="9"/>
  <c r="DH18" i="9"/>
  <c r="DG18" i="9"/>
  <c r="DF18" i="9"/>
  <c r="DD18" i="9"/>
  <c r="DC18" i="9"/>
  <c r="DB18" i="9"/>
  <c r="CR18" i="9"/>
  <c r="CP18" i="9"/>
  <c r="CK18" i="9"/>
  <c r="CJ18" i="9"/>
  <c r="CH18" i="9"/>
  <c r="CG18" i="9"/>
  <c r="CF18" i="9"/>
  <c r="BW18" i="9"/>
  <c r="BV18" i="9"/>
  <c r="BU18" i="9"/>
  <c r="BR18" i="9"/>
  <c r="BQ18" i="9"/>
  <c r="BP18" i="9"/>
  <c r="BO18" i="9"/>
  <c r="BM18" i="9"/>
  <c r="BN18" i="9" s="1"/>
  <c r="BL18" i="9"/>
  <c r="BK18" i="9"/>
  <c r="BJ18" i="9"/>
  <c r="BI18" i="9"/>
  <c r="BH18" i="9"/>
  <c r="BG18" i="9"/>
  <c r="BF18" i="9"/>
  <c r="BE18" i="9"/>
  <c r="BD18" i="9"/>
  <c r="BC18" i="9"/>
  <c r="BA18" i="9"/>
  <c r="AZ18" i="9"/>
  <c r="AY18" i="9"/>
  <c r="AX18" i="9"/>
  <c r="AW18" i="9"/>
  <c r="AV18" i="9"/>
  <c r="AU18" i="9"/>
  <c r="AT18" i="9"/>
  <c r="AS18" i="9"/>
  <c r="AR18" i="9"/>
  <c r="BB18" i="9" s="1"/>
  <c r="Q18" i="9" s="1"/>
  <c r="V18" i="9"/>
  <c r="T18" i="9"/>
  <c r="R18" i="9"/>
  <c r="DP17" i="9"/>
  <c r="DO17" i="9"/>
  <c r="DN17" i="9"/>
  <c r="DM17" i="9"/>
  <c r="DL17" i="9"/>
  <c r="DK17" i="9"/>
  <c r="DJ17" i="9"/>
  <c r="DI17" i="9"/>
  <c r="DH17" i="9"/>
  <c r="DG17" i="9"/>
  <c r="DF17" i="9"/>
  <c r="DC17" i="9"/>
  <c r="CP17" i="9"/>
  <c r="CM17" i="9"/>
  <c r="CL17" i="9"/>
  <c r="CK17" i="9"/>
  <c r="DB17" i="9" s="1"/>
  <c r="CJ17" i="9"/>
  <c r="DD17" i="9" s="1"/>
  <c r="CI17" i="9"/>
  <c r="CH17" i="9"/>
  <c r="CG17" i="9"/>
  <c r="CF17" i="9"/>
  <c r="CE17" i="9"/>
  <c r="CD17" i="9"/>
  <c r="DA17" i="9" s="1"/>
  <c r="K127" i="9" s="1"/>
  <c r="CB17" i="9"/>
  <c r="CA17" i="9"/>
  <c r="BU17" i="9"/>
  <c r="BS17" i="9"/>
  <c r="BR17" i="9"/>
  <c r="BQ17" i="9"/>
  <c r="BZ17" i="9" s="1"/>
  <c r="BP17" i="9"/>
  <c r="BO17" i="9"/>
  <c r="BL17" i="9"/>
  <c r="BM17" i="9" s="1"/>
  <c r="BN17" i="9" s="1"/>
  <c r="CO17" i="9" s="1"/>
  <c r="I127" i="9" s="1"/>
  <c r="BK17" i="9"/>
  <c r="BJ17" i="9"/>
  <c r="BI17" i="9"/>
  <c r="BH17" i="9"/>
  <c r="BG17" i="9"/>
  <c r="BF17" i="9"/>
  <c r="BE17" i="9"/>
  <c r="BD17" i="9"/>
  <c r="BC17" i="9"/>
  <c r="BA17" i="9"/>
  <c r="AZ17" i="9"/>
  <c r="AY17" i="9"/>
  <c r="AX17" i="9"/>
  <c r="AW17" i="9"/>
  <c r="AV17" i="9"/>
  <c r="AU17" i="9"/>
  <c r="BB17" i="9" s="1"/>
  <c r="Q17" i="9" s="1"/>
  <c r="AT17" i="9"/>
  <c r="AS17" i="9"/>
  <c r="AR17" i="9"/>
  <c r="V17" i="9"/>
  <c r="R17" i="9"/>
  <c r="P17" i="9"/>
  <c r="U17" i="9" s="1"/>
  <c r="CT17" i="9" s="1"/>
  <c r="DP16" i="9"/>
  <c r="DO16" i="9"/>
  <c r="DN16" i="9"/>
  <c r="DM16" i="9"/>
  <c r="DL16" i="9"/>
  <c r="DK16" i="9"/>
  <c r="DJ16" i="9"/>
  <c r="DI16" i="9"/>
  <c r="DH16" i="9"/>
  <c r="DG16" i="9"/>
  <c r="DF16" i="9"/>
  <c r="DD16" i="9"/>
  <c r="DC16" i="9"/>
  <c r="DB16" i="9"/>
  <c r="CP16" i="9"/>
  <c r="CK16" i="9"/>
  <c r="CJ16" i="9"/>
  <c r="CH16" i="9"/>
  <c r="CG16" i="9"/>
  <c r="CF16" i="9"/>
  <c r="CR16" i="9" s="1"/>
  <c r="CE16" i="9"/>
  <c r="CD16" i="9"/>
  <c r="DA16" i="9" s="1"/>
  <c r="K126" i="9" s="1"/>
  <c r="CC16" i="9"/>
  <c r="CB16" i="9"/>
  <c r="CA16" i="9"/>
  <c r="BZ16" i="9"/>
  <c r="BY16" i="9"/>
  <c r="BX16" i="9"/>
  <c r="BW16" i="9"/>
  <c r="BV16" i="9"/>
  <c r="BU16" i="9"/>
  <c r="BT16" i="9"/>
  <c r="BS16" i="9"/>
  <c r="BR16" i="9"/>
  <c r="BQ16" i="9"/>
  <c r="BO16" i="9" s="1"/>
  <c r="BP16" i="9"/>
  <c r="BL16" i="9"/>
  <c r="BK16" i="9"/>
  <c r="BJ16" i="9"/>
  <c r="BI16" i="9"/>
  <c r="BH16" i="9"/>
  <c r="BG16" i="9"/>
  <c r="BF16" i="9"/>
  <c r="BE16" i="9"/>
  <c r="BD16" i="9"/>
  <c r="BC16" i="9"/>
  <c r="BA16" i="9"/>
  <c r="AZ16" i="9"/>
  <c r="AY16" i="9"/>
  <c r="AX16" i="9"/>
  <c r="AW16" i="9"/>
  <c r="AV16" i="9"/>
  <c r="AU16" i="9"/>
  <c r="AT16" i="9"/>
  <c r="AS16" i="9"/>
  <c r="AR16" i="9"/>
  <c r="V16" i="9"/>
  <c r="U16" i="9"/>
  <c r="CT16" i="9" s="1"/>
  <c r="T16" i="9"/>
  <c r="R16" i="9"/>
  <c r="P16" i="9"/>
  <c r="CL16" i="9" s="1"/>
  <c r="DP15" i="9"/>
  <c r="DO15" i="9"/>
  <c r="DN15" i="9"/>
  <c r="DM15" i="9"/>
  <c r="DL15" i="9"/>
  <c r="DK15" i="9"/>
  <c r="DJ15" i="9"/>
  <c r="DI15" i="9"/>
  <c r="DH15" i="9"/>
  <c r="DG15" i="9"/>
  <c r="DF15" i="9"/>
  <c r="CP15" i="9"/>
  <c r="CO15" i="9"/>
  <c r="I125" i="9" s="1"/>
  <c r="CM15" i="9"/>
  <c r="CK15" i="9"/>
  <c r="DB15" i="9" s="1"/>
  <c r="CJ15" i="9"/>
  <c r="DD15" i="9" s="1"/>
  <c r="CI15" i="9"/>
  <c r="CH15" i="9"/>
  <c r="CG15" i="9"/>
  <c r="CF15" i="9"/>
  <c r="BS15" i="9"/>
  <c r="BR15" i="9"/>
  <c r="BQ15" i="9"/>
  <c r="BO15" i="9" s="1"/>
  <c r="BP15" i="9"/>
  <c r="DC15" i="9" s="1"/>
  <c r="BL15" i="9"/>
  <c r="BK15" i="9"/>
  <c r="BJ15" i="9"/>
  <c r="BI15" i="9"/>
  <c r="BH15" i="9"/>
  <c r="BG15" i="9"/>
  <c r="BF15" i="9"/>
  <c r="BE15" i="9"/>
  <c r="BD15" i="9"/>
  <c r="BC15" i="9"/>
  <c r="BM15" i="9" s="1"/>
  <c r="BN15" i="9" s="1"/>
  <c r="BA15" i="9"/>
  <c r="BB15" i="9" s="1"/>
  <c r="AZ15" i="9"/>
  <c r="AY15" i="9"/>
  <c r="AX15" i="9"/>
  <c r="AW15" i="9"/>
  <c r="AV15" i="9"/>
  <c r="AU15" i="9"/>
  <c r="AT15" i="9"/>
  <c r="AS15" i="9"/>
  <c r="AR15" i="9"/>
  <c r="V15" i="9"/>
  <c r="R15" i="9"/>
  <c r="Q15" i="9"/>
  <c r="P15" i="9"/>
  <c r="U15" i="9" s="1"/>
  <c r="CT15" i="9" s="1"/>
  <c r="DP14" i="9"/>
  <c r="DO14" i="9"/>
  <c r="DN14" i="9"/>
  <c r="DM14" i="9"/>
  <c r="DL14" i="9"/>
  <c r="DK14" i="9"/>
  <c r="DJ14" i="9"/>
  <c r="DI14" i="9"/>
  <c r="DH14" i="9"/>
  <c r="DG14" i="9"/>
  <c r="DF14" i="9"/>
  <c r="DC14" i="9"/>
  <c r="CP14" i="9"/>
  <c r="CM14" i="9"/>
  <c r="CL14" i="9"/>
  <c r="CK14" i="9"/>
  <c r="DB14" i="9" s="1"/>
  <c r="CJ14" i="9"/>
  <c r="DD14" i="9" s="1"/>
  <c r="CI14" i="9"/>
  <c r="CH14" i="9"/>
  <c r="CG14" i="9"/>
  <c r="CF14" i="9"/>
  <c r="CE14" i="9"/>
  <c r="CD14" i="9"/>
  <c r="DA14" i="9" s="1"/>
  <c r="K124" i="9" s="1"/>
  <c r="CB14" i="9"/>
  <c r="CA14" i="9"/>
  <c r="BZ14" i="9"/>
  <c r="BY14" i="9"/>
  <c r="BX14" i="9"/>
  <c r="CC14" i="9" s="1"/>
  <c r="BW14" i="9"/>
  <c r="BV14" i="9"/>
  <c r="BU14" i="9"/>
  <c r="BT14" i="9"/>
  <c r="BS14" i="9"/>
  <c r="BR14" i="9"/>
  <c r="BQ14" i="9"/>
  <c r="BP14" i="9"/>
  <c r="BO14" i="9"/>
  <c r="BL14" i="9"/>
  <c r="BK14" i="9"/>
  <c r="BJ14" i="9"/>
  <c r="BI14" i="9"/>
  <c r="BH14" i="9"/>
  <c r="BG14" i="9"/>
  <c r="BF14" i="9"/>
  <c r="BE14" i="9"/>
  <c r="BD14" i="9"/>
  <c r="BC14" i="9"/>
  <c r="BA14" i="9"/>
  <c r="AZ14" i="9"/>
  <c r="AY14" i="9"/>
  <c r="AX14" i="9"/>
  <c r="AW14" i="9"/>
  <c r="AV14" i="9"/>
  <c r="AU14" i="9"/>
  <c r="AT14" i="9"/>
  <c r="AS14" i="9"/>
  <c r="AR14" i="9"/>
  <c r="BB14" i="9" s="1"/>
  <c r="Q14" i="9" s="1"/>
  <c r="V14" i="9"/>
  <c r="U14" i="9"/>
  <c r="CT14" i="9" s="1"/>
  <c r="R14" i="9"/>
  <c r="P14" i="9"/>
  <c r="DP13" i="9"/>
  <c r="DO13" i="9"/>
  <c r="DN13" i="9"/>
  <c r="DM13" i="9"/>
  <c r="DL13" i="9"/>
  <c r="DK13" i="9"/>
  <c r="DJ13" i="9"/>
  <c r="DI13" i="9"/>
  <c r="DH13" i="9"/>
  <c r="DG13" i="9"/>
  <c r="DF13" i="9"/>
  <c r="DD13" i="9"/>
  <c r="DB13" i="9"/>
  <c r="CR13" i="9"/>
  <c r="CP13" i="9"/>
  <c r="CK13" i="9"/>
  <c r="CJ13" i="9"/>
  <c r="CH13" i="9"/>
  <c r="CG13" i="9"/>
  <c r="CF13" i="9"/>
  <c r="BY13" i="9"/>
  <c r="BR13" i="9"/>
  <c r="BQ13" i="9"/>
  <c r="BP13" i="9"/>
  <c r="DC13" i="9" s="1"/>
  <c r="BO13" i="9"/>
  <c r="BL13" i="9"/>
  <c r="BK13" i="9"/>
  <c r="BJ13" i="9"/>
  <c r="BI13" i="9"/>
  <c r="BH13" i="9"/>
  <c r="BG13" i="9"/>
  <c r="BF13" i="9"/>
  <c r="BE13" i="9"/>
  <c r="BD13" i="9"/>
  <c r="BC13" i="9"/>
  <c r="BA13" i="9"/>
  <c r="AZ13" i="9"/>
  <c r="AY13" i="9"/>
  <c r="AX13" i="9"/>
  <c r="AW13" i="9"/>
  <c r="AV13" i="9"/>
  <c r="AU13" i="9"/>
  <c r="AT13" i="9"/>
  <c r="AS13" i="9"/>
  <c r="AR13" i="9"/>
  <c r="BB13" i="9" s="1"/>
  <c r="Q13" i="9" s="1"/>
  <c r="V13" i="9"/>
  <c r="T13" i="9"/>
  <c r="R13" i="9"/>
  <c r="DP12" i="9"/>
  <c r="DO12" i="9"/>
  <c r="DN12" i="9"/>
  <c r="DM12" i="9"/>
  <c r="DL12" i="9"/>
  <c r="DK12" i="9"/>
  <c r="DJ12" i="9"/>
  <c r="DI12" i="9"/>
  <c r="DH12" i="9"/>
  <c r="DG12" i="9"/>
  <c r="DF12" i="9"/>
  <c r="CR12" i="9"/>
  <c r="CP12" i="9"/>
  <c r="CM12" i="9"/>
  <c r="CL12" i="9"/>
  <c r="CK12" i="9"/>
  <c r="DB12" i="9" s="1"/>
  <c r="CJ12" i="9"/>
  <c r="DD12" i="9" s="1"/>
  <c r="CI12" i="9"/>
  <c r="CH12" i="9"/>
  <c r="CG12" i="9"/>
  <c r="CF12" i="9"/>
  <c r="T12" i="9" s="1"/>
  <c r="CE12" i="9"/>
  <c r="CD12" i="9"/>
  <c r="DA12" i="9" s="1"/>
  <c r="K122" i="9" s="1"/>
  <c r="CB12" i="9"/>
  <c r="CA12" i="9"/>
  <c r="BZ12" i="9"/>
  <c r="BY12" i="9"/>
  <c r="BU12" i="9"/>
  <c r="BT12" i="9"/>
  <c r="BS12" i="9"/>
  <c r="BR12" i="9"/>
  <c r="BQ12" i="9"/>
  <c r="BX12" i="9" s="1"/>
  <c r="BP12" i="9"/>
  <c r="DC12" i="9" s="1"/>
  <c r="BO12" i="9"/>
  <c r="BL12" i="9"/>
  <c r="BK12" i="9"/>
  <c r="BJ12" i="9"/>
  <c r="BI12" i="9"/>
  <c r="BH12" i="9"/>
  <c r="BG12" i="9"/>
  <c r="BF12" i="9"/>
  <c r="BE12" i="9"/>
  <c r="BD12" i="9"/>
  <c r="BC12" i="9"/>
  <c r="BA12" i="9"/>
  <c r="BB12" i="9" s="1"/>
  <c r="Q12" i="9" s="1"/>
  <c r="AZ12" i="9"/>
  <c r="AY12" i="9"/>
  <c r="AX12" i="9"/>
  <c r="AW12" i="9"/>
  <c r="AV12" i="9"/>
  <c r="AU12" i="9"/>
  <c r="AT12" i="9"/>
  <c r="AS12" i="9"/>
  <c r="AR12" i="9"/>
  <c r="V12" i="9"/>
  <c r="R12" i="9"/>
  <c r="P12" i="9"/>
  <c r="U12" i="9" s="1"/>
  <c r="CT12" i="9" s="1"/>
  <c r="DP11" i="9"/>
  <c r="DO11" i="9"/>
  <c r="DN11" i="9"/>
  <c r="DM11" i="9"/>
  <c r="DL11" i="9"/>
  <c r="DK11" i="9"/>
  <c r="DJ11" i="9"/>
  <c r="DI11" i="9"/>
  <c r="DH11" i="9"/>
  <c r="DG11" i="9"/>
  <c r="DF11" i="9"/>
  <c r="DD11" i="9"/>
  <c r="DB11" i="9"/>
  <c r="CP11" i="9"/>
  <c r="CK11" i="9"/>
  <c r="CJ11" i="9"/>
  <c r="CH11" i="9"/>
  <c r="CG11" i="9"/>
  <c r="CF11" i="9"/>
  <c r="CR11" i="9" s="1"/>
  <c r="BR11" i="9"/>
  <c r="BQ11" i="9"/>
  <c r="BP11" i="9"/>
  <c r="DC11" i="9" s="1"/>
  <c r="BO11" i="9"/>
  <c r="BL11" i="9"/>
  <c r="BK11" i="9"/>
  <c r="BJ11" i="9"/>
  <c r="BI11" i="9"/>
  <c r="BH11" i="9"/>
  <c r="BG11" i="9"/>
  <c r="BF11" i="9"/>
  <c r="BE11" i="9"/>
  <c r="BD11" i="9"/>
  <c r="BC11" i="9"/>
  <c r="BA11" i="9"/>
  <c r="AZ11" i="9"/>
  <c r="AY11" i="9"/>
  <c r="AX11" i="9"/>
  <c r="AW11" i="9"/>
  <c r="AV11" i="9"/>
  <c r="AU11" i="9"/>
  <c r="AT11" i="9"/>
  <c r="AS11" i="9"/>
  <c r="AR11" i="9"/>
  <c r="BB11" i="9" s="1"/>
  <c r="Q11" i="9" s="1"/>
  <c r="V11" i="9"/>
  <c r="T11" i="9"/>
  <c r="R11" i="9"/>
  <c r="DP10" i="9"/>
  <c r="DO10" i="9"/>
  <c r="DO42" i="9" s="1"/>
  <c r="DN10" i="9"/>
  <c r="DN42" i="9" s="1"/>
  <c r="DM10" i="9"/>
  <c r="DM42" i="9" s="1"/>
  <c r="DL10" i="9"/>
  <c r="DK10" i="9"/>
  <c r="DJ10" i="9"/>
  <c r="DI10" i="9"/>
  <c r="DH10" i="9"/>
  <c r="DG10" i="9"/>
  <c r="DF10" i="9"/>
  <c r="CP10" i="9"/>
  <c r="CK10" i="9"/>
  <c r="CJ10" i="9"/>
  <c r="CH10" i="9"/>
  <c r="CG10" i="9"/>
  <c r="CF10" i="9"/>
  <c r="BX10" i="9"/>
  <c r="BR10" i="9"/>
  <c r="BQ10" i="9"/>
  <c r="BP10" i="9"/>
  <c r="BO10" i="9"/>
  <c r="BL10" i="9"/>
  <c r="BK10" i="9"/>
  <c r="BJ10" i="9"/>
  <c r="BM10" i="9" s="1"/>
  <c r="BI10" i="9"/>
  <c r="BH10" i="9"/>
  <c r="BG10" i="9"/>
  <c r="BF10" i="9"/>
  <c r="BE10" i="9"/>
  <c r="BD10" i="9"/>
  <c r="BC10" i="9"/>
  <c r="BA10" i="9"/>
  <c r="AZ10" i="9"/>
  <c r="AY10" i="9"/>
  <c r="AX10" i="9"/>
  <c r="AW10" i="9"/>
  <c r="AV10" i="9"/>
  <c r="AU10" i="9"/>
  <c r="AT10" i="9"/>
  <c r="AS10" i="9"/>
  <c r="AR10" i="9"/>
  <c r="BB10" i="9" s="1"/>
  <c r="V10" i="9"/>
  <c r="R10" i="9"/>
  <c r="Q10" i="9"/>
  <c r="P10" i="9"/>
  <c r="U10" i="9" s="1"/>
  <c r="CT10" i="9" s="1"/>
  <c r="DH9" i="9"/>
  <c r="DG9" i="9"/>
  <c r="BE8" i="9"/>
  <c r="BD8" i="9"/>
  <c r="Q6" i="9"/>
  <c r="Q5" i="9"/>
  <c r="Q4" i="9"/>
  <c r="Q3" i="9"/>
  <c r="W2" i="9"/>
  <c r="C165" i="8"/>
  <c r="N151" i="8"/>
  <c r="L151" i="8"/>
  <c r="J151" i="8"/>
  <c r="H151" i="8"/>
  <c r="N150" i="8"/>
  <c r="L150" i="8"/>
  <c r="J150" i="8"/>
  <c r="H150" i="8"/>
  <c r="N149" i="8"/>
  <c r="L149" i="8"/>
  <c r="J149" i="8"/>
  <c r="H149" i="8"/>
  <c r="N148" i="8"/>
  <c r="L148" i="8"/>
  <c r="J148" i="8"/>
  <c r="H148" i="8"/>
  <c r="N147" i="8"/>
  <c r="L147" i="8"/>
  <c r="J147" i="8"/>
  <c r="H147" i="8"/>
  <c r="N146" i="8"/>
  <c r="L146" i="8"/>
  <c r="J146" i="8"/>
  <c r="H146" i="8"/>
  <c r="N145" i="8"/>
  <c r="L145" i="8"/>
  <c r="J145" i="8"/>
  <c r="H145" i="8"/>
  <c r="N144" i="8"/>
  <c r="L144" i="8"/>
  <c r="J144" i="8"/>
  <c r="H144" i="8"/>
  <c r="N143" i="8"/>
  <c r="L143" i="8"/>
  <c r="J143" i="8"/>
  <c r="H143" i="8"/>
  <c r="N142" i="8"/>
  <c r="L142" i="8"/>
  <c r="J142" i="8"/>
  <c r="H142" i="8"/>
  <c r="N141" i="8"/>
  <c r="L141" i="8"/>
  <c r="J141" i="8"/>
  <c r="H141" i="8"/>
  <c r="N140" i="8"/>
  <c r="L140" i="8"/>
  <c r="J140" i="8"/>
  <c r="H140" i="8"/>
  <c r="E140" i="8"/>
  <c r="N139" i="8"/>
  <c r="L139" i="8"/>
  <c r="J139" i="8"/>
  <c r="H139" i="8"/>
  <c r="E139" i="8"/>
  <c r="N138" i="8"/>
  <c r="L138" i="8"/>
  <c r="J138" i="8"/>
  <c r="H138" i="8"/>
  <c r="E138" i="8"/>
  <c r="N137" i="8"/>
  <c r="L137" i="8"/>
  <c r="J137" i="8"/>
  <c r="H137" i="8"/>
  <c r="N136" i="8"/>
  <c r="L136" i="8"/>
  <c r="J136" i="8"/>
  <c r="H136" i="8"/>
  <c r="N135" i="8"/>
  <c r="L135" i="8"/>
  <c r="J135" i="8"/>
  <c r="H135" i="8"/>
  <c r="N134" i="8"/>
  <c r="L134" i="8"/>
  <c r="J134" i="8"/>
  <c r="H134" i="8"/>
  <c r="N133" i="8"/>
  <c r="L133" i="8"/>
  <c r="J133" i="8"/>
  <c r="H133" i="8"/>
  <c r="N132" i="8"/>
  <c r="L132" i="8"/>
  <c r="J132" i="8"/>
  <c r="H132" i="8"/>
  <c r="N131" i="8"/>
  <c r="L131" i="8"/>
  <c r="J131" i="8"/>
  <c r="H131" i="8"/>
  <c r="N130" i="8"/>
  <c r="L130" i="8"/>
  <c r="J130" i="8"/>
  <c r="H130" i="8"/>
  <c r="N129" i="8"/>
  <c r="L129" i="8"/>
  <c r="J129" i="8"/>
  <c r="H129" i="8"/>
  <c r="N128" i="8"/>
  <c r="L128" i="8"/>
  <c r="J128" i="8"/>
  <c r="H128" i="8"/>
  <c r="N127" i="8"/>
  <c r="L127" i="8"/>
  <c r="J127" i="8"/>
  <c r="H127" i="8"/>
  <c r="N126" i="8"/>
  <c r="L126" i="8"/>
  <c r="J126" i="8"/>
  <c r="H126" i="8"/>
  <c r="N125" i="8"/>
  <c r="L125" i="8"/>
  <c r="J125" i="8"/>
  <c r="H125" i="8"/>
  <c r="N124" i="8"/>
  <c r="L124" i="8"/>
  <c r="J124" i="8"/>
  <c r="H124" i="8"/>
  <c r="N123" i="8"/>
  <c r="L123" i="8"/>
  <c r="J123" i="8"/>
  <c r="H123" i="8"/>
  <c r="N122" i="8"/>
  <c r="L122" i="8"/>
  <c r="J122" i="8"/>
  <c r="H122" i="8"/>
  <c r="N121" i="8"/>
  <c r="L121" i="8"/>
  <c r="J121" i="8"/>
  <c r="H121" i="8"/>
  <c r="N120" i="8"/>
  <c r="L120" i="8"/>
  <c r="J120" i="8"/>
  <c r="H120" i="8"/>
  <c r="B119" i="8"/>
  <c r="AE118" i="8"/>
  <c r="W113" i="8"/>
  <c r="E110" i="8"/>
  <c r="U109" i="8"/>
  <c r="Z109" i="8" s="1"/>
  <c r="O109" i="8"/>
  <c r="E173" i="8" s="1"/>
  <c r="O108" i="8"/>
  <c r="E172" i="8" s="1"/>
  <c r="E104" i="8"/>
  <c r="E105" i="8" s="1"/>
  <c r="O105" i="8" s="1"/>
  <c r="O103" i="8"/>
  <c r="E175" i="8" s="1"/>
  <c r="X98" i="8"/>
  <c r="G98" i="8"/>
  <c r="G97" i="8"/>
  <c r="G96" i="8"/>
  <c r="U92" i="8"/>
  <c r="X92" i="8" s="1"/>
  <c r="Z92" i="8" s="1"/>
  <c r="O92" i="8"/>
  <c r="X91" i="8"/>
  <c r="Z91" i="8" s="1"/>
  <c r="U91" i="8"/>
  <c r="V90" i="8"/>
  <c r="Z90" i="8" s="1"/>
  <c r="X89" i="8"/>
  <c r="V89" i="8"/>
  <c r="Z89" i="8" s="1"/>
  <c r="L89" i="8"/>
  <c r="O88" i="8"/>
  <c r="E162" i="8" s="1"/>
  <c r="L88" i="8"/>
  <c r="X87" i="8"/>
  <c r="V87" i="8"/>
  <c r="Z87" i="8" s="1"/>
  <c r="L87" i="8"/>
  <c r="L86" i="8"/>
  <c r="E142" i="8" s="1"/>
  <c r="Z85" i="8"/>
  <c r="L85" i="8"/>
  <c r="Z84" i="8"/>
  <c r="Z83" i="8"/>
  <c r="L83" i="8"/>
  <c r="L82" i="8"/>
  <c r="E141" i="8" s="1"/>
  <c r="L81" i="8"/>
  <c r="X80" i="8"/>
  <c r="L80" i="8"/>
  <c r="X79" i="8"/>
  <c r="L79" i="8"/>
  <c r="H79" i="8"/>
  <c r="V77" i="8"/>
  <c r="O77" i="8"/>
  <c r="V76" i="8"/>
  <c r="O76" i="8"/>
  <c r="L76" i="8"/>
  <c r="V75" i="8"/>
  <c r="L75" i="8"/>
  <c r="O75" i="8" s="1"/>
  <c r="G73" i="8"/>
  <c r="X72" i="8"/>
  <c r="V72" i="8"/>
  <c r="G71" i="8"/>
  <c r="DC38" i="8" s="1"/>
  <c r="V70" i="8"/>
  <c r="G70" i="8"/>
  <c r="B70" i="8"/>
  <c r="V69" i="8"/>
  <c r="C69" i="8"/>
  <c r="C68" i="8"/>
  <c r="C67" i="8"/>
  <c r="C66" i="8"/>
  <c r="C65" i="8"/>
  <c r="S62" i="8"/>
  <c r="S61" i="8"/>
  <c r="S60" i="8"/>
  <c r="T62" i="8" s="1"/>
  <c r="AS59" i="8"/>
  <c r="T59" i="8"/>
  <c r="S59" i="8"/>
  <c r="R59" i="8"/>
  <c r="P59" i="8"/>
  <c r="AS58" i="8"/>
  <c r="Z58" i="8"/>
  <c r="T58" i="8"/>
  <c r="S58" i="8"/>
  <c r="R58" i="8"/>
  <c r="P58" i="8"/>
  <c r="AS57" i="8"/>
  <c r="Z57" i="8"/>
  <c r="T57" i="8"/>
  <c r="S57" i="8"/>
  <c r="R57" i="8"/>
  <c r="P57" i="8"/>
  <c r="AS56" i="8"/>
  <c r="Z56" i="8"/>
  <c r="U56" i="8"/>
  <c r="T56" i="8"/>
  <c r="S56" i="8"/>
  <c r="R56" i="8"/>
  <c r="P56" i="8"/>
  <c r="AS55" i="8"/>
  <c r="Z55" i="8"/>
  <c r="T55" i="8"/>
  <c r="S55" i="8"/>
  <c r="R55" i="8"/>
  <c r="P55" i="8"/>
  <c r="AS54" i="8"/>
  <c r="Z54" i="8"/>
  <c r="T54" i="8"/>
  <c r="S54" i="8"/>
  <c r="R54" i="8"/>
  <c r="P54" i="8"/>
  <c r="AS53" i="8"/>
  <c r="Z53" i="8"/>
  <c r="T53" i="8"/>
  <c r="S53" i="8"/>
  <c r="R53" i="8"/>
  <c r="P53" i="8"/>
  <c r="AS52" i="8"/>
  <c r="Z52" i="8"/>
  <c r="T52" i="8"/>
  <c r="S52" i="8"/>
  <c r="R52" i="8"/>
  <c r="P52" i="8"/>
  <c r="AS51" i="8"/>
  <c r="Z51" i="8"/>
  <c r="AA49" i="8" s="1"/>
  <c r="T51" i="8"/>
  <c r="S51" i="8"/>
  <c r="R51" i="8"/>
  <c r="P51" i="8"/>
  <c r="AS50" i="8"/>
  <c r="Z50" i="8"/>
  <c r="T50" i="8"/>
  <c r="S50" i="8"/>
  <c r="R50" i="8"/>
  <c r="P50" i="8"/>
  <c r="AS49" i="8"/>
  <c r="Z49" i="8"/>
  <c r="T49" i="8"/>
  <c r="S49" i="8"/>
  <c r="R49" i="8"/>
  <c r="P49" i="8"/>
  <c r="N46" i="8"/>
  <c r="M45" i="8"/>
  <c r="M114" i="8" s="1"/>
  <c r="Y44" i="8"/>
  <c r="O96" i="8" s="1"/>
  <c r="E164" i="8" s="1"/>
  <c r="W44" i="8"/>
  <c r="O74" i="8" s="1"/>
  <c r="DF43" i="8"/>
  <c r="CS42" i="8"/>
  <c r="CS44" i="8" s="1"/>
  <c r="O42" i="8"/>
  <c r="L71" i="8" s="1"/>
  <c r="K42" i="8"/>
  <c r="G42" i="8"/>
  <c r="EF41" i="8"/>
  <c r="DX41" i="8" s="1"/>
  <c r="EE41" i="8"/>
  <c r="ED41" i="8"/>
  <c r="EC41" i="8"/>
  <c r="EB41" i="8"/>
  <c r="EA41" i="8"/>
  <c r="DZ41" i="8"/>
  <c r="DY41" i="8"/>
  <c r="DW41" i="8"/>
  <c r="DV41" i="8"/>
  <c r="DU41" i="8"/>
  <c r="DT41" i="8"/>
  <c r="DS41" i="8"/>
  <c r="DR41" i="8"/>
  <c r="DQ41" i="8"/>
  <c r="DP41" i="8"/>
  <c r="DO41" i="8"/>
  <c r="DN41" i="8"/>
  <c r="DM41" i="8"/>
  <c r="DL41" i="8"/>
  <c r="DK41" i="8"/>
  <c r="DJ41" i="8"/>
  <c r="DI41" i="8"/>
  <c r="DH41" i="8"/>
  <c r="DG41" i="8"/>
  <c r="DF41" i="8"/>
  <c r="DD41" i="8"/>
  <c r="DC41" i="8"/>
  <c r="DB41" i="8"/>
  <c r="CP41" i="8"/>
  <c r="CK41" i="8"/>
  <c r="CJ41" i="8"/>
  <c r="CH41" i="8"/>
  <c r="CG41" i="8"/>
  <c r="CF41" i="8"/>
  <c r="CE41" i="8"/>
  <c r="CB41" i="8"/>
  <c r="CA41" i="8"/>
  <c r="BZ41" i="8"/>
  <c r="BR41" i="8"/>
  <c r="BQ41" i="8"/>
  <c r="BP41" i="8"/>
  <c r="BL41" i="8"/>
  <c r="BK41" i="8"/>
  <c r="BJ41" i="8"/>
  <c r="BI41" i="8"/>
  <c r="BH41" i="8"/>
  <c r="BG41" i="8"/>
  <c r="BF41" i="8"/>
  <c r="BE41" i="8"/>
  <c r="BD41" i="8"/>
  <c r="BC41" i="8"/>
  <c r="BA41" i="8"/>
  <c r="AZ41" i="8"/>
  <c r="AY41" i="8"/>
  <c r="AX41" i="8"/>
  <c r="AW41" i="8"/>
  <c r="AV41" i="8"/>
  <c r="AU41" i="8"/>
  <c r="AT41" i="8"/>
  <c r="AS41" i="8"/>
  <c r="AR41" i="8"/>
  <c r="V41" i="8"/>
  <c r="R41" i="8"/>
  <c r="EE40" i="8"/>
  <c r="ED40" i="8"/>
  <c r="EC40" i="8"/>
  <c r="EB40" i="8"/>
  <c r="EA40" i="8"/>
  <c r="DZ40" i="8"/>
  <c r="DY40" i="8"/>
  <c r="EF40" i="8" s="1"/>
  <c r="DW40" i="8"/>
  <c r="DV40" i="8"/>
  <c r="DU40" i="8"/>
  <c r="DT40" i="8"/>
  <c r="DS40" i="8"/>
  <c r="DR40" i="8"/>
  <c r="DQ40" i="8"/>
  <c r="DP40" i="8"/>
  <c r="DO40" i="8"/>
  <c r="DN40" i="8"/>
  <c r="DM40" i="8"/>
  <c r="DL40" i="8"/>
  <c r="DK40" i="8"/>
  <c r="DJ40" i="8"/>
  <c r="DI40" i="8"/>
  <c r="DH40" i="8"/>
  <c r="DG40" i="8"/>
  <c r="DF40" i="8"/>
  <c r="DD40" i="8"/>
  <c r="CP40" i="8"/>
  <c r="CM40" i="8"/>
  <c r="CL40" i="8"/>
  <c r="CK40" i="8"/>
  <c r="DB40" i="8" s="1"/>
  <c r="CJ40" i="8"/>
  <c r="CI40" i="8"/>
  <c r="CH40" i="8"/>
  <c r="CG40" i="8"/>
  <c r="CF40" i="8"/>
  <c r="CE40" i="8"/>
  <c r="CD40" i="8"/>
  <c r="DA40" i="8" s="1"/>
  <c r="K150" i="8" s="1"/>
  <c r="CB40" i="8"/>
  <c r="CA40" i="8"/>
  <c r="BZ40" i="8"/>
  <c r="BY40" i="8"/>
  <c r="BX40" i="8"/>
  <c r="BW40" i="8"/>
  <c r="BV40" i="8"/>
  <c r="BU40" i="8"/>
  <c r="BR40" i="8"/>
  <c r="BQ40" i="8"/>
  <c r="BT40" i="8" s="1"/>
  <c r="BP40" i="8"/>
  <c r="BO40" i="8"/>
  <c r="BL40" i="8"/>
  <c r="BK40" i="8"/>
  <c r="BJ40" i="8"/>
  <c r="BI40" i="8"/>
  <c r="BH40" i="8"/>
  <c r="BG40" i="8"/>
  <c r="BF40" i="8"/>
  <c r="BE40" i="8"/>
  <c r="BD40" i="8"/>
  <c r="BC40" i="8"/>
  <c r="BA40" i="8"/>
  <c r="AZ40" i="8"/>
  <c r="AY40" i="8"/>
  <c r="AX40" i="8"/>
  <c r="AW40" i="8"/>
  <c r="AV40" i="8"/>
  <c r="AU40" i="8"/>
  <c r="AT40" i="8"/>
  <c r="AS40" i="8"/>
  <c r="AR40" i="8"/>
  <c r="BB40" i="8" s="1"/>
  <c r="Q40" i="8" s="1"/>
  <c r="AQ40" i="8" s="1"/>
  <c r="V40" i="8"/>
  <c r="U40" i="8"/>
  <c r="CT40" i="8" s="1"/>
  <c r="R40" i="8"/>
  <c r="P40" i="8"/>
  <c r="EE39" i="8"/>
  <c r="ED39" i="8"/>
  <c r="EC39" i="8"/>
  <c r="EB39" i="8"/>
  <c r="EA39" i="8"/>
  <c r="DZ39" i="8"/>
  <c r="DY39" i="8"/>
  <c r="EF39" i="8" s="1"/>
  <c r="DX39" i="8" s="1"/>
  <c r="DW39" i="8"/>
  <c r="DV39" i="8"/>
  <c r="DU39" i="8"/>
  <c r="DT39" i="8"/>
  <c r="DS39" i="8"/>
  <c r="DR39" i="8"/>
  <c r="DQ39" i="8"/>
  <c r="DP39" i="8"/>
  <c r="DO39" i="8"/>
  <c r="DN39" i="8"/>
  <c r="DM39" i="8"/>
  <c r="DL39" i="8"/>
  <c r="DK39" i="8"/>
  <c r="DJ39" i="8"/>
  <c r="DI39" i="8"/>
  <c r="DH39" i="8"/>
  <c r="DG39" i="8"/>
  <c r="DF39" i="8"/>
  <c r="CP39" i="8"/>
  <c r="CM39" i="8"/>
  <c r="CL39" i="8"/>
  <c r="CK39" i="8"/>
  <c r="DB39" i="8" s="1"/>
  <c r="CJ39" i="8"/>
  <c r="DD39" i="8" s="1"/>
  <c r="CI39" i="8"/>
  <c r="CH39" i="8"/>
  <c r="CG39" i="8"/>
  <c r="CF39" i="8"/>
  <c r="CE39" i="8"/>
  <c r="CD39" i="8"/>
  <c r="DA39" i="8" s="1"/>
  <c r="K149" i="8" s="1"/>
  <c r="CB39" i="8"/>
  <c r="CA39" i="8"/>
  <c r="BZ39" i="8"/>
  <c r="BY39" i="8"/>
  <c r="BV39" i="8"/>
  <c r="BU39" i="8"/>
  <c r="BT39" i="8"/>
  <c r="BS39" i="8"/>
  <c r="BR39" i="8"/>
  <c r="BQ39" i="8"/>
  <c r="BX39" i="8" s="1"/>
  <c r="BP39" i="8"/>
  <c r="DC39" i="8" s="1"/>
  <c r="BO39" i="8"/>
  <c r="BL39" i="8"/>
  <c r="BK39" i="8"/>
  <c r="BJ39" i="8"/>
  <c r="BI39" i="8"/>
  <c r="BH39" i="8"/>
  <c r="BG39" i="8"/>
  <c r="BF39" i="8"/>
  <c r="BE39" i="8"/>
  <c r="BD39" i="8"/>
  <c r="BC39" i="8"/>
  <c r="BA39" i="8"/>
  <c r="AZ39" i="8"/>
  <c r="AY39" i="8"/>
  <c r="AX39" i="8"/>
  <c r="AW39" i="8"/>
  <c r="AV39" i="8"/>
  <c r="AU39" i="8"/>
  <c r="AT39" i="8"/>
  <c r="AS39" i="8"/>
  <c r="BB39" i="8" s="1"/>
  <c r="Q39" i="8" s="1"/>
  <c r="AQ39" i="8" s="1"/>
  <c r="AR39" i="8"/>
  <c r="V39" i="8"/>
  <c r="R39" i="8"/>
  <c r="P39" i="8"/>
  <c r="U39" i="8" s="1"/>
  <c r="CT39" i="8" s="1"/>
  <c r="EE38" i="8"/>
  <c r="ED38" i="8"/>
  <c r="EC38" i="8"/>
  <c r="EB38" i="8"/>
  <c r="EA38" i="8"/>
  <c r="DZ38" i="8"/>
  <c r="DY38" i="8"/>
  <c r="EF38" i="8" s="1"/>
  <c r="DW38" i="8"/>
  <c r="DV38" i="8"/>
  <c r="DU38" i="8"/>
  <c r="DT38" i="8"/>
  <c r="DS38" i="8"/>
  <c r="DR38" i="8"/>
  <c r="DQ38" i="8"/>
  <c r="DP38" i="8"/>
  <c r="DO38" i="8"/>
  <c r="DN38" i="8"/>
  <c r="DM38" i="8"/>
  <c r="DL38" i="8"/>
  <c r="DK38" i="8"/>
  <c r="DJ38" i="8"/>
  <c r="DI38" i="8"/>
  <c r="DH38" i="8"/>
  <c r="DG38" i="8"/>
  <c r="DF38" i="8"/>
  <c r="CP38" i="8"/>
  <c r="CM38" i="8"/>
  <c r="CK38" i="8"/>
  <c r="DB38" i="8" s="1"/>
  <c r="CJ38" i="8"/>
  <c r="DD38" i="8" s="1"/>
  <c r="CI38" i="8"/>
  <c r="CH38" i="8"/>
  <c r="CG38" i="8"/>
  <c r="CR38" i="8" s="1"/>
  <c r="CF38" i="8"/>
  <c r="CE38" i="8"/>
  <c r="CD38" i="8"/>
  <c r="DA38" i="8" s="1"/>
  <c r="K148" i="8" s="1"/>
  <c r="BV38" i="8"/>
  <c r="BT38" i="8"/>
  <c r="BR38" i="8"/>
  <c r="BQ38" i="8"/>
  <c r="CB38" i="8" s="1"/>
  <c r="BP38" i="8"/>
  <c r="BL38" i="8"/>
  <c r="BK38" i="8"/>
  <c r="BJ38" i="8"/>
  <c r="BI38" i="8"/>
  <c r="BH38" i="8"/>
  <c r="BG38" i="8"/>
  <c r="BF38" i="8"/>
  <c r="BE38" i="8"/>
  <c r="BD38" i="8"/>
  <c r="BC38" i="8"/>
  <c r="BM38" i="8" s="1"/>
  <c r="BA38" i="8"/>
  <c r="AZ38" i="8"/>
  <c r="BB38" i="8" s="1"/>
  <c r="Q38" i="8" s="1"/>
  <c r="AQ38" i="8" s="1"/>
  <c r="AY38" i="8"/>
  <c r="AX38" i="8"/>
  <c r="AW38" i="8"/>
  <c r="AV38" i="8"/>
  <c r="AU38" i="8"/>
  <c r="AT38" i="8"/>
  <c r="AS38" i="8"/>
  <c r="AR38" i="8"/>
  <c r="V38" i="8"/>
  <c r="R38" i="8"/>
  <c r="EE37" i="8"/>
  <c r="ED37" i="8"/>
  <c r="EC37" i="8"/>
  <c r="EB37" i="8"/>
  <c r="EA37" i="8"/>
  <c r="DZ37" i="8"/>
  <c r="DY37" i="8"/>
  <c r="EF37" i="8" s="1"/>
  <c r="DX37" i="8" s="1"/>
  <c r="DW37" i="8"/>
  <c r="DV37" i="8"/>
  <c r="DU37" i="8"/>
  <c r="DT37" i="8"/>
  <c r="DS37" i="8"/>
  <c r="DR37" i="8"/>
  <c r="DQ37" i="8"/>
  <c r="DP37" i="8"/>
  <c r="DO37" i="8"/>
  <c r="DN37" i="8"/>
  <c r="DM37" i="8"/>
  <c r="DL37" i="8"/>
  <c r="DK37" i="8"/>
  <c r="DJ37" i="8"/>
  <c r="DI37" i="8"/>
  <c r="DH37" i="8"/>
  <c r="DG37" i="8"/>
  <c r="DF37" i="8"/>
  <c r="CP37" i="8"/>
  <c r="CK37" i="8"/>
  <c r="DB37" i="8" s="1"/>
  <c r="CJ37" i="8"/>
  <c r="DD37" i="8" s="1"/>
  <c r="CI37" i="8"/>
  <c r="CH37" i="8"/>
  <c r="CG37" i="8"/>
  <c r="CR37" i="8" s="1"/>
  <c r="CF37" i="8"/>
  <c r="BX37" i="8"/>
  <c r="BR37" i="8"/>
  <c r="BQ37" i="8"/>
  <c r="BP37" i="8"/>
  <c r="BO37" i="8"/>
  <c r="BL37" i="8"/>
  <c r="BK37" i="8"/>
  <c r="BJ37" i="8"/>
  <c r="BM37" i="8" s="1"/>
  <c r="BN37" i="8" s="1"/>
  <c r="CO37" i="8" s="1"/>
  <c r="I147" i="8" s="1"/>
  <c r="BI37" i="8"/>
  <c r="BH37" i="8"/>
  <c r="BG37" i="8"/>
  <c r="BF37" i="8"/>
  <c r="BE37" i="8"/>
  <c r="BD37" i="8"/>
  <c r="BC37" i="8"/>
  <c r="BA37" i="8"/>
  <c r="AZ37" i="8"/>
  <c r="AY37" i="8"/>
  <c r="AX37" i="8"/>
  <c r="AW37" i="8"/>
  <c r="AV37" i="8"/>
  <c r="AU37" i="8"/>
  <c r="AT37" i="8"/>
  <c r="AS37" i="8"/>
  <c r="AR37" i="8"/>
  <c r="BB37" i="8" s="1"/>
  <c r="Q37" i="8" s="1"/>
  <c r="AQ37" i="8" s="1"/>
  <c r="V37" i="8"/>
  <c r="R37" i="8"/>
  <c r="EE36" i="8"/>
  <c r="ED36" i="8"/>
  <c r="EC36" i="8"/>
  <c r="EB36" i="8"/>
  <c r="EA36" i="8"/>
  <c r="DZ36" i="8"/>
  <c r="DY36" i="8"/>
  <c r="DW36" i="8"/>
  <c r="DV36" i="8"/>
  <c r="DU36" i="8"/>
  <c r="DT36" i="8"/>
  <c r="DS36" i="8"/>
  <c r="DR36" i="8"/>
  <c r="DQ36" i="8"/>
  <c r="DP36" i="8"/>
  <c r="DO36" i="8"/>
  <c r="DN36" i="8"/>
  <c r="DM36" i="8"/>
  <c r="DL36" i="8"/>
  <c r="DK36" i="8"/>
  <c r="DJ36" i="8"/>
  <c r="DI36" i="8"/>
  <c r="DH36" i="8"/>
  <c r="DG36" i="8"/>
  <c r="DF36" i="8"/>
  <c r="DB36" i="8"/>
  <c r="CR36" i="8"/>
  <c r="CP36" i="8"/>
  <c r="CM36" i="8"/>
  <c r="CK36" i="8"/>
  <c r="CJ36" i="8"/>
  <c r="DD36" i="8" s="1"/>
  <c r="CH36" i="8"/>
  <c r="CG36" i="8"/>
  <c r="CF36" i="8"/>
  <c r="BU36" i="8"/>
  <c r="BS36" i="8"/>
  <c r="BR36" i="8"/>
  <c r="BQ36" i="8"/>
  <c r="BP36" i="8"/>
  <c r="BO36" i="8"/>
  <c r="BL36" i="8"/>
  <c r="BM36" i="8" s="1"/>
  <c r="BN36" i="8" s="1"/>
  <c r="CO36" i="8" s="1"/>
  <c r="I146" i="8" s="1"/>
  <c r="BK36" i="8"/>
  <c r="BJ36" i="8"/>
  <c r="BI36" i="8"/>
  <c r="BH36" i="8"/>
  <c r="BG36" i="8"/>
  <c r="BF36" i="8"/>
  <c r="BE36" i="8"/>
  <c r="BD36" i="8"/>
  <c r="BC36" i="8"/>
  <c r="BA36" i="8"/>
  <c r="AZ36" i="8"/>
  <c r="AY36" i="8"/>
  <c r="AX36" i="8"/>
  <c r="AW36" i="8"/>
  <c r="AV36" i="8"/>
  <c r="AU36" i="8"/>
  <c r="AT36" i="8"/>
  <c r="AS36" i="8"/>
  <c r="AR36" i="8"/>
  <c r="V36" i="8"/>
  <c r="T36" i="8"/>
  <c r="R36" i="8"/>
  <c r="P36" i="8"/>
  <c r="EE35" i="8"/>
  <c r="ED35" i="8"/>
  <c r="EC35" i="8"/>
  <c r="EB35" i="8"/>
  <c r="EA35" i="8"/>
  <c r="DZ35" i="8"/>
  <c r="DY35" i="8"/>
  <c r="DW35" i="8"/>
  <c r="DV35" i="8"/>
  <c r="DU35" i="8"/>
  <c r="DT35" i="8"/>
  <c r="DS35" i="8"/>
  <c r="DR35" i="8"/>
  <c r="DQ35" i="8"/>
  <c r="DP35" i="8"/>
  <c r="DO35" i="8"/>
  <c r="DN35" i="8"/>
  <c r="DM35" i="8"/>
  <c r="DL35" i="8"/>
  <c r="DK35" i="8"/>
  <c r="DJ35" i="8"/>
  <c r="DI35" i="8"/>
  <c r="DH35" i="8"/>
  <c r="DG35" i="8"/>
  <c r="DF35" i="8"/>
  <c r="DD35" i="8"/>
  <c r="DB35" i="8"/>
  <c r="CP35" i="8"/>
  <c r="CK35" i="8"/>
  <c r="CJ35" i="8"/>
  <c r="CH35" i="8"/>
  <c r="CG35" i="8"/>
  <c r="CF35" i="8"/>
  <c r="BY35" i="8"/>
  <c r="BR35" i="8"/>
  <c r="BQ35" i="8"/>
  <c r="BP35" i="8"/>
  <c r="BL35" i="8"/>
  <c r="BK35" i="8"/>
  <c r="BJ35" i="8"/>
  <c r="BI35" i="8"/>
  <c r="BH35" i="8"/>
  <c r="BG35" i="8"/>
  <c r="BF35" i="8"/>
  <c r="BE35" i="8"/>
  <c r="BD35" i="8"/>
  <c r="BC35" i="8"/>
  <c r="BA35" i="8"/>
  <c r="AZ35" i="8"/>
  <c r="AY35" i="8"/>
  <c r="AX35" i="8"/>
  <c r="AW35" i="8"/>
  <c r="AV35" i="8"/>
  <c r="AU35" i="8"/>
  <c r="AT35" i="8"/>
  <c r="AS35" i="8"/>
  <c r="AR35" i="8"/>
  <c r="BB35" i="8" s="1"/>
  <c r="Q35" i="8" s="1"/>
  <c r="AQ35" i="8" s="1"/>
  <c r="V35" i="8"/>
  <c r="U35" i="8"/>
  <c r="CT35" i="8" s="1"/>
  <c r="R35" i="8"/>
  <c r="P35" i="8"/>
  <c r="CL35" i="8" s="1"/>
  <c r="EE34" i="8"/>
  <c r="ED34" i="8"/>
  <c r="EC34" i="8"/>
  <c r="EB34" i="8"/>
  <c r="EA34" i="8"/>
  <c r="DZ34" i="8"/>
  <c r="DY34" i="8"/>
  <c r="DW34" i="8"/>
  <c r="DV34" i="8"/>
  <c r="DU34" i="8"/>
  <c r="DT34" i="8"/>
  <c r="DS34" i="8"/>
  <c r="DR34" i="8"/>
  <c r="DQ34" i="8"/>
  <c r="DP34" i="8"/>
  <c r="DO34" i="8"/>
  <c r="DN34" i="8"/>
  <c r="DM34" i="8"/>
  <c r="DL34" i="8"/>
  <c r="DK34" i="8"/>
  <c r="DJ34" i="8"/>
  <c r="DI34" i="8"/>
  <c r="DH34" i="8"/>
  <c r="DG34" i="8"/>
  <c r="DF34" i="8"/>
  <c r="DD34" i="8"/>
  <c r="DB34" i="8"/>
  <c r="CR34" i="8"/>
  <c r="CP34" i="8"/>
  <c r="CK34" i="8"/>
  <c r="CJ34" i="8"/>
  <c r="CH34" i="8"/>
  <c r="CG34" i="8"/>
  <c r="CF34" i="8"/>
  <c r="BR34" i="8"/>
  <c r="BQ34" i="8"/>
  <c r="BP34" i="8"/>
  <c r="DC34" i="8" s="1"/>
  <c r="BL34" i="8"/>
  <c r="BK34" i="8"/>
  <c r="BJ34" i="8"/>
  <c r="BI34" i="8"/>
  <c r="BH34" i="8"/>
  <c r="BG34" i="8"/>
  <c r="BF34" i="8"/>
  <c r="BE34" i="8"/>
  <c r="BD34" i="8"/>
  <c r="BC34" i="8"/>
  <c r="BA34" i="8"/>
  <c r="AZ34" i="8"/>
  <c r="AY34" i="8"/>
  <c r="AX34" i="8"/>
  <c r="AW34" i="8"/>
  <c r="AV34" i="8"/>
  <c r="AU34" i="8"/>
  <c r="AT34" i="8"/>
  <c r="AS34" i="8"/>
  <c r="AR34" i="8"/>
  <c r="V34" i="8"/>
  <c r="T34" i="8"/>
  <c r="R34" i="8"/>
  <c r="EF33" i="8"/>
  <c r="EE33" i="8"/>
  <c r="ED33" i="8"/>
  <c r="EC33" i="8"/>
  <c r="EB33" i="8"/>
  <c r="EA33" i="8"/>
  <c r="DZ33" i="8"/>
  <c r="DY33" i="8"/>
  <c r="DW33" i="8"/>
  <c r="DV33" i="8"/>
  <c r="DU33" i="8"/>
  <c r="DT33" i="8"/>
  <c r="DS33" i="8"/>
  <c r="DR33" i="8"/>
  <c r="DQ33" i="8"/>
  <c r="DP33" i="8"/>
  <c r="DO33" i="8"/>
  <c r="DN33" i="8"/>
  <c r="DM33" i="8"/>
  <c r="DL33" i="8"/>
  <c r="DK33" i="8"/>
  <c r="DJ33" i="8"/>
  <c r="DI33" i="8"/>
  <c r="DH33" i="8"/>
  <c r="DG33" i="8"/>
  <c r="DF33" i="8"/>
  <c r="DD33" i="8"/>
  <c r="DC33" i="8"/>
  <c r="DB33" i="8"/>
  <c r="CP33" i="8"/>
  <c r="CK33" i="8"/>
  <c r="CJ33" i="8"/>
  <c r="CH33" i="8"/>
  <c r="CG33" i="8"/>
  <c r="CF33" i="8"/>
  <c r="CR33" i="8" s="1"/>
  <c r="CE33" i="8"/>
  <c r="CD33" i="8"/>
  <c r="DA33" i="8" s="1"/>
  <c r="K143" i="8" s="1"/>
  <c r="BX33" i="8"/>
  <c r="BW33" i="8"/>
  <c r="BV33" i="8"/>
  <c r="BR33" i="8"/>
  <c r="BQ33" i="8"/>
  <c r="BP33" i="8"/>
  <c r="BL33" i="8"/>
  <c r="BK33" i="8"/>
  <c r="BJ33" i="8"/>
  <c r="BI33" i="8"/>
  <c r="BH33" i="8"/>
  <c r="BG33" i="8"/>
  <c r="BF33" i="8"/>
  <c r="BE33" i="8"/>
  <c r="BD33" i="8"/>
  <c r="BC33" i="8"/>
  <c r="BA33" i="8"/>
  <c r="AZ33" i="8"/>
  <c r="AY33" i="8"/>
  <c r="AX33" i="8"/>
  <c r="AW33" i="8"/>
  <c r="AV33" i="8"/>
  <c r="AU33" i="8"/>
  <c r="AT33" i="8"/>
  <c r="AS33" i="8"/>
  <c r="AR33" i="8"/>
  <c r="V33" i="8"/>
  <c r="T33" i="8"/>
  <c r="R33" i="8"/>
  <c r="EE32" i="8"/>
  <c r="ED32" i="8"/>
  <c r="EC32" i="8"/>
  <c r="EB32" i="8"/>
  <c r="EA32" i="8"/>
  <c r="DZ32" i="8"/>
  <c r="DY32" i="8"/>
  <c r="EF32" i="8" s="1"/>
  <c r="DX32" i="8" s="1"/>
  <c r="DW32" i="8"/>
  <c r="DV32" i="8"/>
  <c r="DU32" i="8"/>
  <c r="DT32" i="8"/>
  <c r="DS32" i="8"/>
  <c r="DR32" i="8"/>
  <c r="DQ32" i="8"/>
  <c r="DP32" i="8"/>
  <c r="DO32" i="8"/>
  <c r="DN32" i="8"/>
  <c r="DM32" i="8"/>
  <c r="DL32" i="8"/>
  <c r="DK32" i="8"/>
  <c r="DJ32" i="8"/>
  <c r="DI32" i="8"/>
  <c r="DH32" i="8"/>
  <c r="DG32" i="8"/>
  <c r="DF32" i="8"/>
  <c r="DB32" i="8"/>
  <c r="CP32" i="8"/>
  <c r="CM32" i="8"/>
  <c r="CK32" i="8"/>
  <c r="CJ32" i="8"/>
  <c r="DD32" i="8" s="1"/>
  <c r="CI32" i="8"/>
  <c r="CH32" i="8"/>
  <c r="CG32" i="8"/>
  <c r="CF32" i="8"/>
  <c r="T32" i="8" s="1"/>
  <c r="CE32" i="8"/>
  <c r="CD32" i="8"/>
  <c r="DA32" i="8" s="1"/>
  <c r="K142" i="8" s="1"/>
  <c r="CB32" i="8"/>
  <c r="CA32" i="8"/>
  <c r="BZ32" i="8"/>
  <c r="BY32" i="8"/>
  <c r="BX32" i="8"/>
  <c r="BW32" i="8"/>
  <c r="BV32" i="8"/>
  <c r="BU32" i="8"/>
  <c r="BR32" i="8"/>
  <c r="BQ32" i="8"/>
  <c r="BT32" i="8" s="1"/>
  <c r="BP32" i="8"/>
  <c r="BL32" i="8"/>
  <c r="BM32" i="8" s="1"/>
  <c r="BK32" i="8"/>
  <c r="BJ32" i="8"/>
  <c r="BI32" i="8"/>
  <c r="BH32" i="8"/>
  <c r="BG32" i="8"/>
  <c r="BF32" i="8"/>
  <c r="BE32" i="8"/>
  <c r="BD32" i="8"/>
  <c r="BC32" i="8"/>
  <c r="BA32" i="8"/>
  <c r="AZ32" i="8"/>
  <c r="AY32" i="8"/>
  <c r="AX32" i="8"/>
  <c r="AW32" i="8"/>
  <c r="AV32" i="8"/>
  <c r="AU32" i="8"/>
  <c r="AT32" i="8"/>
  <c r="AS32" i="8"/>
  <c r="AR32" i="8"/>
  <c r="V32" i="8"/>
  <c r="R32" i="8"/>
  <c r="EE31" i="8"/>
  <c r="ED31" i="8"/>
  <c r="EC31" i="8"/>
  <c r="EB31" i="8"/>
  <c r="EA31" i="8"/>
  <c r="DZ31" i="8"/>
  <c r="DY31" i="8"/>
  <c r="EF31" i="8" s="1"/>
  <c r="DX31" i="8" s="1"/>
  <c r="DW31" i="8"/>
  <c r="DV31" i="8"/>
  <c r="DU31" i="8"/>
  <c r="DT31" i="8"/>
  <c r="DS31" i="8"/>
  <c r="DR31" i="8"/>
  <c r="DQ31" i="8"/>
  <c r="DP31" i="8"/>
  <c r="DO31" i="8"/>
  <c r="DN31" i="8"/>
  <c r="DM31" i="8"/>
  <c r="DL31" i="8"/>
  <c r="DK31" i="8"/>
  <c r="DJ31" i="8"/>
  <c r="DI31" i="8"/>
  <c r="DH31" i="8"/>
  <c r="DG31" i="8"/>
  <c r="DF31" i="8"/>
  <c r="CP31" i="8"/>
  <c r="CK31" i="8"/>
  <c r="DB31" i="8" s="1"/>
  <c r="CJ31" i="8"/>
  <c r="DD31" i="8" s="1"/>
  <c r="CH31" i="8"/>
  <c r="CG31" i="8"/>
  <c r="CF31" i="8"/>
  <c r="BR31" i="8"/>
  <c r="BQ31" i="8"/>
  <c r="BP31" i="8"/>
  <c r="DC31" i="8" s="1"/>
  <c r="BL31" i="8"/>
  <c r="BK31" i="8"/>
  <c r="BJ31" i="8"/>
  <c r="BI31" i="8"/>
  <c r="BH31" i="8"/>
  <c r="BG31" i="8"/>
  <c r="BF31" i="8"/>
  <c r="BE31" i="8"/>
  <c r="BD31" i="8"/>
  <c r="BC31" i="8"/>
  <c r="BA31" i="8"/>
  <c r="AZ31" i="8"/>
  <c r="AY31" i="8"/>
  <c r="AX31" i="8"/>
  <c r="AW31" i="8"/>
  <c r="AV31" i="8"/>
  <c r="AU31" i="8"/>
  <c r="BB31" i="8" s="1"/>
  <c r="Q31" i="8" s="1"/>
  <c r="AQ31" i="8" s="1"/>
  <c r="AT31" i="8"/>
  <c r="AS31" i="8"/>
  <c r="AR31" i="8"/>
  <c r="V31" i="8"/>
  <c r="R31" i="8"/>
  <c r="P31" i="8"/>
  <c r="EE30" i="8"/>
  <c r="ED30" i="8"/>
  <c r="EC30" i="8"/>
  <c r="EB30" i="8"/>
  <c r="EA30" i="8"/>
  <c r="DZ30" i="8"/>
  <c r="DY30" i="8"/>
  <c r="EF30" i="8" s="1"/>
  <c r="DX30" i="8" s="1"/>
  <c r="DW30" i="8"/>
  <c r="DV30" i="8"/>
  <c r="DU30" i="8"/>
  <c r="DT30" i="8"/>
  <c r="DS30" i="8"/>
  <c r="DR30" i="8"/>
  <c r="DQ30" i="8"/>
  <c r="DP30" i="8"/>
  <c r="DO30" i="8"/>
  <c r="DN30" i="8"/>
  <c r="DM30" i="8"/>
  <c r="DL30" i="8"/>
  <c r="DK30" i="8"/>
  <c r="DJ30" i="8"/>
  <c r="DI30" i="8"/>
  <c r="DH30" i="8"/>
  <c r="DG30" i="8"/>
  <c r="DF30" i="8"/>
  <c r="CP30" i="8"/>
  <c r="CM30" i="8"/>
  <c r="CK30" i="8"/>
  <c r="DB30" i="8" s="1"/>
  <c r="CJ30" i="8"/>
  <c r="DD30" i="8" s="1"/>
  <c r="CI30" i="8"/>
  <c r="CH30" i="8"/>
  <c r="CG30" i="8"/>
  <c r="CF30" i="8"/>
  <c r="T30" i="8" s="1"/>
  <c r="CE30" i="8"/>
  <c r="CD30" i="8"/>
  <c r="DA30" i="8" s="1"/>
  <c r="K140" i="8" s="1"/>
  <c r="BU30" i="8"/>
  <c r="BT30" i="8"/>
  <c r="BR30" i="8"/>
  <c r="BQ30" i="8"/>
  <c r="CB30" i="8" s="1"/>
  <c r="BP30" i="8"/>
  <c r="DC30" i="8" s="1"/>
  <c r="BO30" i="8"/>
  <c r="BL30" i="8"/>
  <c r="BK30" i="8"/>
  <c r="BJ30" i="8"/>
  <c r="BI30" i="8"/>
  <c r="BH30" i="8"/>
  <c r="BG30" i="8"/>
  <c r="BF30" i="8"/>
  <c r="BE30" i="8"/>
  <c r="BD30" i="8"/>
  <c r="BC30" i="8"/>
  <c r="BA30" i="8"/>
  <c r="AZ30" i="8"/>
  <c r="AY30" i="8"/>
  <c r="AX30" i="8"/>
  <c r="AW30" i="8"/>
  <c r="BB30" i="8" s="1"/>
  <c r="Q30" i="8" s="1"/>
  <c r="AQ30" i="8" s="1"/>
  <c r="AV30" i="8"/>
  <c r="AU30" i="8"/>
  <c r="AT30" i="8"/>
  <c r="AS30" i="8"/>
  <c r="AR30" i="8"/>
  <c r="V30" i="8"/>
  <c r="R30" i="8"/>
  <c r="EE29" i="8"/>
  <c r="ED29" i="8"/>
  <c r="EC29" i="8"/>
  <c r="EB29" i="8"/>
  <c r="EF29" i="8" s="1"/>
  <c r="DX29" i="8" s="1"/>
  <c r="EA29" i="8"/>
  <c r="DZ29" i="8"/>
  <c r="DY29" i="8"/>
  <c r="DW29" i="8"/>
  <c r="DV29" i="8"/>
  <c r="DU29" i="8"/>
  <c r="DT29" i="8"/>
  <c r="DS29" i="8"/>
  <c r="DR29" i="8"/>
  <c r="DQ29" i="8"/>
  <c r="DP29" i="8"/>
  <c r="DO29" i="8"/>
  <c r="DN29" i="8"/>
  <c r="DM29" i="8"/>
  <c r="DL29" i="8"/>
  <c r="DK29" i="8"/>
  <c r="DJ29" i="8"/>
  <c r="DI29" i="8"/>
  <c r="DH29" i="8"/>
  <c r="DG29" i="8"/>
  <c r="DF29" i="8"/>
  <c r="DB29" i="8"/>
  <c r="CR29" i="8"/>
  <c r="CP29" i="8"/>
  <c r="CK29" i="8"/>
  <c r="CJ29" i="8"/>
  <c r="DD29" i="8" s="1"/>
  <c r="CI29" i="8"/>
  <c r="CH29" i="8"/>
  <c r="CG29" i="8"/>
  <c r="T29" i="8" s="1"/>
  <c r="CF29" i="8"/>
  <c r="BR29" i="8"/>
  <c r="BQ29" i="8"/>
  <c r="BP29" i="8"/>
  <c r="DC29" i="8" s="1"/>
  <c r="BL29" i="8"/>
  <c r="BK29" i="8"/>
  <c r="BJ29" i="8"/>
  <c r="BI29" i="8"/>
  <c r="BH29" i="8"/>
  <c r="BG29" i="8"/>
  <c r="BF29" i="8"/>
  <c r="BE29" i="8"/>
  <c r="BD29" i="8"/>
  <c r="BC29" i="8"/>
  <c r="BA29" i="8"/>
  <c r="AZ29" i="8"/>
  <c r="AY29" i="8"/>
  <c r="AX29" i="8"/>
  <c r="AW29" i="8"/>
  <c r="AV29" i="8"/>
  <c r="AU29" i="8"/>
  <c r="AT29" i="8"/>
  <c r="AS29" i="8"/>
  <c r="AR29" i="8"/>
  <c r="V29" i="8"/>
  <c r="R29" i="8"/>
  <c r="P29" i="8"/>
  <c r="EE28" i="8"/>
  <c r="ED28" i="8"/>
  <c r="EC28" i="8"/>
  <c r="EB28" i="8"/>
  <c r="EA28" i="8"/>
  <c r="EF28" i="8" s="1"/>
  <c r="DX28" i="8" s="1"/>
  <c r="DZ28" i="8"/>
  <c r="DY28" i="8"/>
  <c r="DW28" i="8"/>
  <c r="DV28" i="8"/>
  <c r="DU28" i="8"/>
  <c r="DT28" i="8"/>
  <c r="DS28" i="8"/>
  <c r="DR28" i="8"/>
  <c r="DQ28" i="8"/>
  <c r="DP28" i="8"/>
  <c r="DO28" i="8"/>
  <c r="DN28" i="8"/>
  <c r="DM28" i="8"/>
  <c r="DL28" i="8"/>
  <c r="DK28" i="8"/>
  <c r="DJ28" i="8"/>
  <c r="DI28" i="8"/>
  <c r="DH28" i="8"/>
  <c r="DG28" i="8"/>
  <c r="DF28" i="8"/>
  <c r="CP28" i="8"/>
  <c r="CM28" i="8"/>
  <c r="CK28" i="8"/>
  <c r="DB28" i="8" s="1"/>
  <c r="CJ28" i="8"/>
  <c r="DD28" i="8" s="1"/>
  <c r="CI28" i="8"/>
  <c r="CH28" i="8"/>
  <c r="CG28" i="8"/>
  <c r="CF28" i="8"/>
  <c r="CB28" i="8"/>
  <c r="BY28" i="8"/>
  <c r="BX28" i="8"/>
  <c r="BW28" i="8"/>
  <c r="BV28" i="8"/>
  <c r="BU28" i="8"/>
  <c r="BS28" i="8"/>
  <c r="BR28" i="8"/>
  <c r="BQ28" i="8"/>
  <c r="BP28" i="8"/>
  <c r="DC28" i="8" s="1"/>
  <c r="BO28" i="8"/>
  <c r="BL28" i="8"/>
  <c r="BK28" i="8"/>
  <c r="BJ28" i="8"/>
  <c r="BI28" i="8"/>
  <c r="BH28" i="8"/>
  <c r="BG28" i="8"/>
  <c r="BF28" i="8"/>
  <c r="BE28" i="8"/>
  <c r="BD28" i="8"/>
  <c r="BC28" i="8"/>
  <c r="BA28" i="8"/>
  <c r="AZ28" i="8"/>
  <c r="AY28" i="8"/>
  <c r="AX28" i="8"/>
  <c r="AW28" i="8"/>
  <c r="AV28" i="8"/>
  <c r="AU28" i="8"/>
  <c r="AT28" i="8"/>
  <c r="AS28" i="8"/>
  <c r="AR28" i="8"/>
  <c r="BB28" i="8" s="1"/>
  <c r="Q28" i="8" s="1"/>
  <c r="AQ28" i="8" s="1"/>
  <c r="V28" i="8"/>
  <c r="R28" i="8"/>
  <c r="P28" i="8"/>
  <c r="EE27" i="8"/>
  <c r="ED27" i="8"/>
  <c r="EC27" i="8"/>
  <c r="EB27" i="8"/>
  <c r="EA27" i="8"/>
  <c r="DZ27" i="8"/>
  <c r="EF27" i="8" s="1"/>
  <c r="DX27" i="8" s="1"/>
  <c r="DY27" i="8"/>
  <c r="DW27" i="8"/>
  <c r="DV27" i="8"/>
  <c r="DU27" i="8"/>
  <c r="DT27" i="8"/>
  <c r="DS27" i="8"/>
  <c r="DR27" i="8"/>
  <c r="DQ27" i="8"/>
  <c r="DP27" i="8"/>
  <c r="DO27" i="8"/>
  <c r="DN27" i="8"/>
  <c r="DM27" i="8"/>
  <c r="DL27" i="8"/>
  <c r="DK27" i="8"/>
  <c r="DJ27" i="8"/>
  <c r="DI27" i="8"/>
  <c r="DH27" i="8"/>
  <c r="DG27" i="8"/>
  <c r="DF27" i="8"/>
  <c r="DD27" i="8"/>
  <c r="CP27" i="8"/>
  <c r="CM27" i="8"/>
  <c r="CK27" i="8"/>
  <c r="DB27" i="8" s="1"/>
  <c r="CJ27" i="8"/>
  <c r="CH27" i="8"/>
  <c r="CG27" i="8"/>
  <c r="CF27" i="8"/>
  <c r="CD27" i="8"/>
  <c r="DA27" i="8" s="1"/>
  <c r="K137" i="8" s="1"/>
  <c r="CB27" i="8"/>
  <c r="CA27" i="8"/>
  <c r="BZ27" i="8"/>
  <c r="BY27" i="8"/>
  <c r="BT27" i="8"/>
  <c r="BS27" i="8"/>
  <c r="BR27" i="8"/>
  <c r="BQ27" i="8"/>
  <c r="CE27" i="8" s="1"/>
  <c r="BP27" i="8"/>
  <c r="DC27" i="8" s="1"/>
  <c r="BO27" i="8"/>
  <c r="BL27" i="8"/>
  <c r="BK27" i="8"/>
  <c r="BJ27" i="8"/>
  <c r="BI27" i="8"/>
  <c r="BH27" i="8"/>
  <c r="BG27" i="8"/>
  <c r="BF27" i="8"/>
  <c r="BE27" i="8"/>
  <c r="BD27" i="8"/>
  <c r="BC27" i="8"/>
  <c r="BA27" i="8"/>
  <c r="AZ27" i="8"/>
  <c r="AY27" i="8"/>
  <c r="AX27" i="8"/>
  <c r="AW27" i="8"/>
  <c r="AV27" i="8"/>
  <c r="AU27" i="8"/>
  <c r="AT27" i="8"/>
  <c r="AS27" i="8"/>
  <c r="AR27" i="8"/>
  <c r="V27" i="8"/>
  <c r="R27" i="8"/>
  <c r="EE26" i="8"/>
  <c r="ED26" i="8"/>
  <c r="EC26" i="8"/>
  <c r="EB26" i="8"/>
  <c r="EA26" i="8"/>
  <c r="EF26" i="8" s="1"/>
  <c r="DZ26" i="8"/>
  <c r="DY26" i="8"/>
  <c r="DW26" i="8"/>
  <c r="DV26" i="8"/>
  <c r="DU26" i="8"/>
  <c r="DT26" i="8"/>
  <c r="DS26" i="8"/>
  <c r="DR26" i="8"/>
  <c r="DQ26" i="8"/>
  <c r="DP26" i="8"/>
  <c r="DO26" i="8"/>
  <c r="DN26" i="8"/>
  <c r="DM26" i="8"/>
  <c r="DL26" i="8"/>
  <c r="DK26" i="8"/>
  <c r="DJ26" i="8"/>
  <c r="DI26" i="8"/>
  <c r="DH26" i="8"/>
  <c r="DG26" i="8"/>
  <c r="DF26" i="8"/>
  <c r="DD26" i="8"/>
  <c r="DC26" i="8"/>
  <c r="CP26" i="8"/>
  <c r="CK26" i="8"/>
  <c r="DB26" i="8" s="1"/>
  <c r="CJ26" i="8"/>
  <c r="CH26" i="8"/>
  <c r="CG26" i="8"/>
  <c r="CF26" i="8"/>
  <c r="BX26" i="8"/>
  <c r="BW26" i="8"/>
  <c r="BV26" i="8"/>
  <c r="BR26" i="8"/>
  <c r="BQ26" i="8"/>
  <c r="BP26" i="8"/>
  <c r="BL26" i="8"/>
  <c r="BK26" i="8"/>
  <c r="BJ26" i="8"/>
  <c r="BI26" i="8"/>
  <c r="BH26" i="8"/>
  <c r="BG26" i="8"/>
  <c r="BF26" i="8"/>
  <c r="BE26" i="8"/>
  <c r="BD26" i="8"/>
  <c r="BC26" i="8"/>
  <c r="BA26" i="8"/>
  <c r="AZ26" i="8"/>
  <c r="AY26" i="8"/>
  <c r="AX26" i="8"/>
  <c r="AW26" i="8"/>
  <c r="AV26" i="8"/>
  <c r="AU26" i="8"/>
  <c r="AT26" i="8"/>
  <c r="AS26" i="8"/>
  <c r="AR26" i="8"/>
  <c r="BB26" i="8" s="1"/>
  <c r="V26" i="8"/>
  <c r="R26" i="8"/>
  <c r="Q26" i="8"/>
  <c r="AQ26" i="8" s="1"/>
  <c r="EE25" i="8"/>
  <c r="ED25" i="8"/>
  <c r="EC25" i="8"/>
  <c r="EB25" i="8"/>
  <c r="EA25" i="8"/>
  <c r="DZ25" i="8"/>
  <c r="DY25" i="8"/>
  <c r="DW25" i="8"/>
  <c r="DV25" i="8"/>
  <c r="DU25" i="8"/>
  <c r="DT25" i="8"/>
  <c r="DS25" i="8"/>
  <c r="DR25" i="8"/>
  <c r="DQ25" i="8"/>
  <c r="DP25" i="8"/>
  <c r="DO25" i="8"/>
  <c r="DN25" i="8"/>
  <c r="DM25" i="8"/>
  <c r="DL25" i="8"/>
  <c r="DK25" i="8"/>
  <c r="DJ25" i="8"/>
  <c r="DI25" i="8"/>
  <c r="DH25" i="8"/>
  <c r="DG25" i="8"/>
  <c r="DF25" i="8"/>
  <c r="DD25" i="8"/>
  <c r="DB25" i="8"/>
  <c r="CP25" i="8"/>
  <c r="CO25" i="8"/>
  <c r="I135" i="8" s="1"/>
  <c r="CK25" i="8"/>
  <c r="CJ25" i="8"/>
  <c r="CH25" i="8"/>
  <c r="CG25" i="8"/>
  <c r="CR25" i="8" s="1"/>
  <c r="CF25" i="8"/>
  <c r="BR25" i="8"/>
  <c r="BQ25" i="8"/>
  <c r="BP25" i="8"/>
  <c r="DC25" i="8" s="1"/>
  <c r="BO25" i="8"/>
  <c r="BM25" i="8"/>
  <c r="BN25" i="8" s="1"/>
  <c r="BL25" i="8"/>
  <c r="BK25" i="8"/>
  <c r="BJ25" i="8"/>
  <c r="BI25" i="8"/>
  <c r="BH25" i="8"/>
  <c r="BG25" i="8"/>
  <c r="BF25" i="8"/>
  <c r="BE25" i="8"/>
  <c r="BD25" i="8"/>
  <c r="BC25" i="8"/>
  <c r="BB25" i="8"/>
  <c r="Q25" i="8" s="1"/>
  <c r="AQ25" i="8" s="1"/>
  <c r="BA25" i="8"/>
  <c r="AZ25" i="8"/>
  <c r="AY25" i="8"/>
  <c r="AX25" i="8"/>
  <c r="AW25" i="8"/>
  <c r="AV25" i="8"/>
  <c r="AU25" i="8"/>
  <c r="AT25" i="8"/>
  <c r="AS25" i="8"/>
  <c r="AR25" i="8"/>
  <c r="V25" i="8"/>
  <c r="R25" i="8"/>
  <c r="EE24" i="8"/>
  <c r="ED24" i="8"/>
  <c r="EC24" i="8"/>
  <c r="EB24" i="8"/>
  <c r="EA24" i="8"/>
  <c r="DZ24" i="8"/>
  <c r="DY24" i="8"/>
  <c r="DW24" i="8"/>
  <c r="DV24" i="8"/>
  <c r="DU24" i="8"/>
  <c r="DT24" i="8"/>
  <c r="DS24" i="8"/>
  <c r="DR24" i="8"/>
  <c r="DQ24" i="8"/>
  <c r="DP24" i="8"/>
  <c r="DO24" i="8"/>
  <c r="DN24" i="8"/>
  <c r="DM24" i="8"/>
  <c r="DL24" i="8"/>
  <c r="DK24" i="8"/>
  <c r="DJ24" i="8"/>
  <c r="DI24" i="8"/>
  <c r="DH24" i="8"/>
  <c r="DG24" i="8"/>
  <c r="DF24" i="8"/>
  <c r="DD24" i="8"/>
  <c r="DC24" i="8"/>
  <c r="DB24" i="8"/>
  <c r="CR24" i="8"/>
  <c r="CP24" i="8"/>
  <c r="CM24" i="8"/>
  <c r="CK24" i="8"/>
  <c r="CJ24" i="8"/>
  <c r="CH24" i="8"/>
  <c r="CG24" i="8"/>
  <c r="CF24" i="8"/>
  <c r="BZ24" i="8"/>
  <c r="BY24" i="8"/>
  <c r="BX24" i="8"/>
  <c r="BR24" i="8"/>
  <c r="BQ24" i="8"/>
  <c r="BP24" i="8"/>
  <c r="BL24" i="8"/>
  <c r="BK24" i="8"/>
  <c r="BJ24" i="8"/>
  <c r="BI24" i="8"/>
  <c r="BH24" i="8"/>
  <c r="BG24" i="8"/>
  <c r="BF24" i="8"/>
  <c r="BE24" i="8"/>
  <c r="BM24" i="8" s="1"/>
  <c r="BD24" i="8"/>
  <c r="BC24" i="8"/>
  <c r="BA24" i="8"/>
  <c r="AZ24" i="8"/>
  <c r="AY24" i="8"/>
  <c r="AX24" i="8"/>
  <c r="AW24" i="8"/>
  <c r="AV24" i="8"/>
  <c r="AU24" i="8"/>
  <c r="AT24" i="8"/>
  <c r="AS24" i="8"/>
  <c r="AR24" i="8"/>
  <c r="V24" i="8"/>
  <c r="T24" i="8"/>
  <c r="R24" i="8"/>
  <c r="EE23" i="8"/>
  <c r="ED23" i="8"/>
  <c r="EC23" i="8"/>
  <c r="EB23" i="8"/>
  <c r="EA23" i="8"/>
  <c r="DZ23" i="8"/>
  <c r="DY23" i="8"/>
  <c r="DW23" i="8"/>
  <c r="DV23" i="8"/>
  <c r="DU23" i="8"/>
  <c r="DT23" i="8"/>
  <c r="DS23" i="8"/>
  <c r="DR23" i="8"/>
  <c r="DQ23" i="8"/>
  <c r="DP23" i="8"/>
  <c r="DO23" i="8"/>
  <c r="DN23" i="8"/>
  <c r="DM23" i="8"/>
  <c r="DL23" i="8"/>
  <c r="DK23" i="8"/>
  <c r="DJ23" i="8"/>
  <c r="DI23" i="8"/>
  <c r="DH23" i="8"/>
  <c r="DG23" i="8"/>
  <c r="DF23" i="8"/>
  <c r="DC23" i="8"/>
  <c r="DB23" i="8"/>
  <c r="CP23" i="8"/>
  <c r="CK23" i="8"/>
  <c r="CJ23" i="8"/>
  <c r="DD23" i="8" s="1"/>
  <c r="CI23" i="8"/>
  <c r="CH23" i="8"/>
  <c r="CG23" i="8"/>
  <c r="CF23" i="8"/>
  <c r="CE23" i="8"/>
  <c r="CD23" i="8"/>
  <c r="DA23" i="8" s="1"/>
  <c r="K133" i="8" s="1"/>
  <c r="CB23" i="8"/>
  <c r="BZ23" i="8"/>
  <c r="BY23" i="8"/>
  <c r="BX23" i="8"/>
  <c r="BW23" i="8"/>
  <c r="BV23" i="8"/>
  <c r="BR23" i="8"/>
  <c r="BQ23" i="8"/>
  <c r="BP23" i="8"/>
  <c r="BO23" i="8"/>
  <c r="BL23" i="8"/>
  <c r="BK23" i="8"/>
  <c r="BJ23" i="8"/>
  <c r="BI23" i="8"/>
  <c r="BH23" i="8"/>
  <c r="BG23" i="8"/>
  <c r="BF23" i="8"/>
  <c r="BE23" i="8"/>
  <c r="BD23" i="8"/>
  <c r="BC23" i="8"/>
  <c r="BM23" i="8" s="1"/>
  <c r="BN23" i="8" s="1"/>
  <c r="CO23" i="8" s="1"/>
  <c r="I133" i="8" s="1"/>
  <c r="BA23" i="8"/>
  <c r="AZ23" i="8"/>
  <c r="AY23" i="8"/>
  <c r="AX23" i="8"/>
  <c r="AW23" i="8"/>
  <c r="AV23" i="8"/>
  <c r="AU23" i="8"/>
  <c r="AT23" i="8"/>
  <c r="AS23" i="8"/>
  <c r="AR23" i="8"/>
  <c r="V23" i="8"/>
  <c r="R23" i="8"/>
  <c r="EE22" i="8"/>
  <c r="ED22" i="8"/>
  <c r="EC22" i="8"/>
  <c r="EB22" i="8"/>
  <c r="EA22" i="8"/>
  <c r="EF22" i="8" s="1"/>
  <c r="DZ22" i="8"/>
  <c r="DY22" i="8"/>
  <c r="DW22" i="8"/>
  <c r="DV22" i="8"/>
  <c r="DU22" i="8"/>
  <c r="DT22" i="8"/>
  <c r="DS22" i="8"/>
  <c r="DR22" i="8"/>
  <c r="DQ22" i="8"/>
  <c r="DP22" i="8"/>
  <c r="DO22" i="8"/>
  <c r="DN22" i="8"/>
  <c r="DM22" i="8"/>
  <c r="DL22" i="8"/>
  <c r="DK22" i="8"/>
  <c r="DJ22" i="8"/>
  <c r="DI22" i="8"/>
  <c r="DH22" i="8"/>
  <c r="DG22" i="8"/>
  <c r="DF22" i="8"/>
  <c r="DB22" i="8"/>
  <c r="CP22" i="8"/>
  <c r="CK22" i="8"/>
  <c r="CJ22" i="8"/>
  <c r="DD22" i="8" s="1"/>
  <c r="CH22" i="8"/>
  <c r="CG22" i="8"/>
  <c r="CF22" i="8"/>
  <c r="CR22" i="8" s="1"/>
  <c r="BR22" i="8"/>
  <c r="BQ22" i="8"/>
  <c r="BP22" i="8"/>
  <c r="DC22" i="8" s="1"/>
  <c r="BO22" i="8"/>
  <c r="BL22" i="8"/>
  <c r="BK22" i="8"/>
  <c r="BJ22" i="8"/>
  <c r="BI22" i="8"/>
  <c r="BH22" i="8"/>
  <c r="BG22" i="8"/>
  <c r="BF22" i="8"/>
  <c r="BE22" i="8"/>
  <c r="BD22" i="8"/>
  <c r="BC22" i="8"/>
  <c r="BA22" i="8"/>
  <c r="AZ22" i="8"/>
  <c r="AY22" i="8"/>
  <c r="AX22" i="8"/>
  <c r="AW22" i="8"/>
  <c r="AV22" i="8"/>
  <c r="AU22" i="8"/>
  <c r="AT22" i="8"/>
  <c r="AS22" i="8"/>
  <c r="BB22" i="8" s="1"/>
  <c r="Q22" i="8" s="1"/>
  <c r="AQ22" i="8" s="1"/>
  <c r="AR22" i="8"/>
  <c r="V22" i="8"/>
  <c r="T22" i="8"/>
  <c r="R22" i="8"/>
  <c r="EF21" i="8"/>
  <c r="DX21" i="8" s="1"/>
  <c r="EE21" i="8"/>
  <c r="ED21" i="8"/>
  <c r="EC21" i="8"/>
  <c r="EB21" i="8"/>
  <c r="EA21" i="8"/>
  <c r="DZ21" i="8"/>
  <c r="DY21" i="8"/>
  <c r="DW21" i="8"/>
  <c r="DV21" i="8"/>
  <c r="DU21" i="8"/>
  <c r="DT21" i="8"/>
  <c r="DS21" i="8"/>
  <c r="DR21" i="8"/>
  <c r="DQ21" i="8"/>
  <c r="DP21" i="8"/>
  <c r="DO21" i="8"/>
  <c r="DN21" i="8"/>
  <c r="DM21" i="8"/>
  <c r="DL21" i="8"/>
  <c r="DK21" i="8"/>
  <c r="DJ21" i="8"/>
  <c r="DI21" i="8"/>
  <c r="DH21" i="8"/>
  <c r="DG21" i="8"/>
  <c r="DF21" i="8"/>
  <c r="DD21" i="8"/>
  <c r="DC21" i="8"/>
  <c r="DB21" i="8"/>
  <c r="CR21" i="8"/>
  <c r="CP21" i="8"/>
  <c r="CK21" i="8"/>
  <c r="CJ21" i="8"/>
  <c r="CH21" i="8"/>
  <c r="CG21" i="8"/>
  <c r="CF21" i="8"/>
  <c r="BR21" i="8"/>
  <c r="BQ21" i="8"/>
  <c r="BP21" i="8"/>
  <c r="BL21" i="8"/>
  <c r="BK21" i="8"/>
  <c r="BJ21" i="8"/>
  <c r="BI21" i="8"/>
  <c r="BH21" i="8"/>
  <c r="BG21" i="8"/>
  <c r="BF21" i="8"/>
  <c r="BE21" i="8"/>
  <c r="BD21" i="8"/>
  <c r="BC21" i="8"/>
  <c r="BA21" i="8"/>
  <c r="AZ21" i="8"/>
  <c r="AY21" i="8"/>
  <c r="AX21" i="8"/>
  <c r="AW21" i="8"/>
  <c r="AV21" i="8"/>
  <c r="AU21" i="8"/>
  <c r="AT21" i="8"/>
  <c r="AS21" i="8"/>
  <c r="AR21" i="8"/>
  <c r="BB21" i="8" s="1"/>
  <c r="Q21" i="8" s="1"/>
  <c r="AQ21" i="8" s="1"/>
  <c r="V21" i="8"/>
  <c r="T21" i="8"/>
  <c r="R21" i="8"/>
  <c r="EE20" i="8"/>
  <c r="ED20" i="8"/>
  <c r="EC20" i="8"/>
  <c r="EB20" i="8"/>
  <c r="EA20" i="8"/>
  <c r="DZ20" i="8"/>
  <c r="DY20" i="8"/>
  <c r="EF20" i="8" s="1"/>
  <c r="DW20" i="8"/>
  <c r="DV20" i="8"/>
  <c r="DU20" i="8"/>
  <c r="DT20" i="8"/>
  <c r="DS20" i="8"/>
  <c r="DR20" i="8"/>
  <c r="DQ20" i="8"/>
  <c r="DP20" i="8"/>
  <c r="DO20" i="8"/>
  <c r="DN20" i="8"/>
  <c r="DM20" i="8"/>
  <c r="DL20" i="8"/>
  <c r="DK20" i="8"/>
  <c r="DJ20" i="8"/>
  <c r="DI20" i="8"/>
  <c r="DH20" i="8"/>
  <c r="DG20" i="8"/>
  <c r="DF20" i="8"/>
  <c r="DB20" i="8"/>
  <c r="CP20" i="8"/>
  <c r="CM20" i="8"/>
  <c r="CL20" i="8"/>
  <c r="CK20" i="8"/>
  <c r="CJ20" i="8"/>
  <c r="DD20" i="8" s="1"/>
  <c r="CI20" i="8"/>
  <c r="CH20" i="8"/>
  <c r="CR20" i="8" s="1"/>
  <c r="CG20" i="8"/>
  <c r="CF20" i="8"/>
  <c r="CE20" i="8"/>
  <c r="CD20" i="8"/>
  <c r="DA20" i="8" s="1"/>
  <c r="K130" i="8" s="1"/>
  <c r="CB20" i="8"/>
  <c r="CA20" i="8"/>
  <c r="BZ20" i="8"/>
  <c r="BY20" i="8"/>
  <c r="BX20" i="8"/>
  <c r="BW20" i="8"/>
  <c r="BV20" i="8"/>
  <c r="BU20" i="8"/>
  <c r="BS20" i="8"/>
  <c r="BR20" i="8"/>
  <c r="BQ20" i="8"/>
  <c r="BT20" i="8" s="1"/>
  <c r="CC20" i="8" s="1"/>
  <c r="BP20" i="8"/>
  <c r="DC20" i="8" s="1"/>
  <c r="BO20" i="8"/>
  <c r="BL20" i="8"/>
  <c r="BK20" i="8"/>
  <c r="BJ20" i="8"/>
  <c r="BI20" i="8"/>
  <c r="BH20" i="8"/>
  <c r="BG20" i="8"/>
  <c r="BF20" i="8"/>
  <c r="BE20" i="8"/>
  <c r="BM20" i="8" s="1"/>
  <c r="BN20" i="8" s="1"/>
  <c r="CO20" i="8" s="1"/>
  <c r="I130" i="8" s="1"/>
  <c r="BD20" i="8"/>
  <c r="BC20" i="8"/>
  <c r="BA20" i="8"/>
  <c r="BB20" i="8" s="1"/>
  <c r="Q20" i="8" s="1"/>
  <c r="AQ20" i="8" s="1"/>
  <c r="AZ20" i="8"/>
  <c r="AY20" i="8"/>
  <c r="AX20" i="8"/>
  <c r="AW20" i="8"/>
  <c r="AV20" i="8"/>
  <c r="AU20" i="8"/>
  <c r="AT20" i="8"/>
  <c r="AS20" i="8"/>
  <c r="AR20" i="8"/>
  <c r="V20" i="8"/>
  <c r="R20" i="8"/>
  <c r="P20" i="8"/>
  <c r="U20" i="8" s="1"/>
  <c r="CT20" i="8" s="1"/>
  <c r="EE19" i="8"/>
  <c r="ED19" i="8"/>
  <c r="EC19" i="8"/>
  <c r="EB19" i="8"/>
  <c r="EA19" i="8"/>
  <c r="DZ19" i="8"/>
  <c r="DY19" i="8"/>
  <c r="DW19" i="8"/>
  <c r="DV19" i="8"/>
  <c r="DU19" i="8"/>
  <c r="DT19" i="8"/>
  <c r="DS19" i="8"/>
  <c r="DR19" i="8"/>
  <c r="DQ19" i="8"/>
  <c r="DP19" i="8"/>
  <c r="DO19" i="8"/>
  <c r="DN19" i="8"/>
  <c r="DM19" i="8"/>
  <c r="DL19" i="8"/>
  <c r="DK19" i="8"/>
  <c r="DJ19" i="8"/>
  <c r="DI19" i="8"/>
  <c r="DH19" i="8"/>
  <c r="DG19" i="8"/>
  <c r="DF19" i="8"/>
  <c r="DD19" i="8"/>
  <c r="CT19" i="8"/>
  <c r="CR19" i="8"/>
  <c r="CP19" i="8"/>
  <c r="CM19" i="8"/>
  <c r="CL19" i="8"/>
  <c r="CK19" i="8"/>
  <c r="DB19" i="8" s="1"/>
  <c r="CJ19" i="8"/>
  <c r="CI19" i="8"/>
  <c r="CH19" i="8"/>
  <c r="CG19" i="8"/>
  <c r="CF19" i="8"/>
  <c r="CE19" i="8"/>
  <c r="CB19" i="8"/>
  <c r="CA19" i="8"/>
  <c r="BZ19" i="8"/>
  <c r="BY19" i="8"/>
  <c r="BT19" i="8"/>
  <c r="BS19" i="8"/>
  <c r="BR19" i="8"/>
  <c r="BQ19" i="8"/>
  <c r="BP19" i="8"/>
  <c r="DC19" i="8" s="1"/>
  <c r="BO19" i="8"/>
  <c r="BL19" i="8"/>
  <c r="BK19" i="8"/>
  <c r="BJ19" i="8"/>
  <c r="BI19" i="8"/>
  <c r="BH19" i="8"/>
  <c r="BG19" i="8"/>
  <c r="BF19" i="8"/>
  <c r="BE19" i="8"/>
  <c r="BD19" i="8"/>
  <c r="BC19" i="8"/>
  <c r="BA19" i="8"/>
  <c r="AZ19" i="8"/>
  <c r="AY19" i="8"/>
  <c r="BB19" i="8" s="1"/>
  <c r="Q19" i="8" s="1"/>
  <c r="AQ19" i="8" s="1"/>
  <c r="AX19" i="8"/>
  <c r="AW19" i="8"/>
  <c r="AV19" i="8"/>
  <c r="AU19" i="8"/>
  <c r="AT19" i="8"/>
  <c r="AS19" i="8"/>
  <c r="AR19" i="8"/>
  <c r="V19" i="8"/>
  <c r="R19" i="8"/>
  <c r="P19" i="8"/>
  <c r="U19" i="8" s="1"/>
  <c r="EE18" i="8"/>
  <c r="ED18" i="8"/>
  <c r="EC18" i="8"/>
  <c r="EB18" i="8"/>
  <c r="EA18" i="8"/>
  <c r="DZ18" i="8"/>
  <c r="DY18" i="8"/>
  <c r="DW18" i="8"/>
  <c r="DV18" i="8"/>
  <c r="DU18" i="8"/>
  <c r="DT18" i="8"/>
  <c r="DS18" i="8"/>
  <c r="DR18" i="8"/>
  <c r="DQ18" i="8"/>
  <c r="DP18" i="8"/>
  <c r="DO18" i="8"/>
  <c r="DN18" i="8"/>
  <c r="DM18" i="8"/>
  <c r="DL18" i="8"/>
  <c r="DK18" i="8"/>
  <c r="DJ18" i="8"/>
  <c r="DI18" i="8"/>
  <c r="DH18" i="8"/>
  <c r="DG18" i="8"/>
  <c r="DF18" i="8"/>
  <c r="CP18" i="8"/>
  <c r="CM18" i="8"/>
  <c r="CL18" i="8"/>
  <c r="CK18" i="8"/>
  <c r="DB18" i="8" s="1"/>
  <c r="CJ18" i="8"/>
  <c r="DD18" i="8" s="1"/>
  <c r="CI18" i="8"/>
  <c r="CH18" i="8"/>
  <c r="CG18" i="8"/>
  <c r="CR18" i="8" s="1"/>
  <c r="CF18" i="8"/>
  <c r="CE18" i="8"/>
  <c r="CD18" i="8"/>
  <c r="DA18" i="8" s="1"/>
  <c r="K128" i="8" s="1"/>
  <c r="BX18" i="8"/>
  <c r="BR18" i="8"/>
  <c r="BQ18" i="8"/>
  <c r="BO18" i="8" s="1"/>
  <c r="BP18" i="8"/>
  <c r="DC18" i="8" s="1"/>
  <c r="BL18" i="8"/>
  <c r="BK18" i="8"/>
  <c r="BJ18" i="8"/>
  <c r="BI18" i="8"/>
  <c r="BH18" i="8"/>
  <c r="BG18" i="8"/>
  <c r="BF18" i="8"/>
  <c r="BE18" i="8"/>
  <c r="BD18" i="8"/>
  <c r="BC18" i="8"/>
  <c r="BA18" i="8"/>
  <c r="AZ18" i="8"/>
  <c r="AY18" i="8"/>
  <c r="AX18" i="8"/>
  <c r="AW18" i="8"/>
  <c r="AV18" i="8"/>
  <c r="AU18" i="8"/>
  <c r="AT18" i="8"/>
  <c r="AS18" i="8"/>
  <c r="AR18" i="8"/>
  <c r="V18" i="8"/>
  <c r="R18" i="8"/>
  <c r="P18" i="8"/>
  <c r="U18" i="8" s="1"/>
  <c r="CT18" i="8" s="1"/>
  <c r="EE17" i="8"/>
  <c r="ED17" i="8"/>
  <c r="EC17" i="8"/>
  <c r="EB17" i="8"/>
  <c r="EA17" i="8"/>
  <c r="DZ17" i="8"/>
  <c r="EF17" i="8" s="1"/>
  <c r="DY17" i="8"/>
  <c r="DW17" i="8"/>
  <c r="DV17" i="8"/>
  <c r="DU17" i="8"/>
  <c r="DT17" i="8"/>
  <c r="DS17" i="8"/>
  <c r="DR17" i="8"/>
  <c r="DQ17" i="8"/>
  <c r="DP17" i="8"/>
  <c r="DO17" i="8"/>
  <c r="DN17" i="8"/>
  <c r="DM17" i="8"/>
  <c r="DL17" i="8"/>
  <c r="DK17" i="8"/>
  <c r="DJ17" i="8"/>
  <c r="DI17" i="8"/>
  <c r="DH17" i="8"/>
  <c r="DG17" i="8"/>
  <c r="DF17" i="8"/>
  <c r="CP17" i="8"/>
  <c r="CM17" i="8"/>
  <c r="CL17" i="8"/>
  <c r="CK17" i="8"/>
  <c r="DB17" i="8" s="1"/>
  <c r="CJ17" i="8"/>
  <c r="DD17" i="8" s="1"/>
  <c r="CI17" i="8"/>
  <c r="CH17" i="8"/>
  <c r="CG17" i="8"/>
  <c r="CF17" i="8"/>
  <c r="CB17" i="8"/>
  <c r="CA17" i="8"/>
  <c r="BZ17" i="8"/>
  <c r="BY17" i="8"/>
  <c r="BX17" i="8"/>
  <c r="BR17" i="8"/>
  <c r="BQ17" i="8"/>
  <c r="BO17" i="8" s="1"/>
  <c r="BP17" i="8"/>
  <c r="DC17" i="8" s="1"/>
  <c r="BL17" i="8"/>
  <c r="BK17" i="8"/>
  <c r="BJ17" i="8"/>
  <c r="BI17" i="8"/>
  <c r="BH17" i="8"/>
  <c r="BG17" i="8"/>
  <c r="BF17" i="8"/>
  <c r="BE17" i="8"/>
  <c r="BD17" i="8"/>
  <c r="BC17" i="8"/>
  <c r="BA17" i="8"/>
  <c r="AZ17" i="8"/>
  <c r="AY17" i="8"/>
  <c r="AX17" i="8"/>
  <c r="AW17" i="8"/>
  <c r="AV17" i="8"/>
  <c r="AU17" i="8"/>
  <c r="AT17" i="8"/>
  <c r="AS17" i="8"/>
  <c r="AR17" i="8"/>
  <c r="V17" i="8"/>
  <c r="R17" i="8"/>
  <c r="P17" i="8"/>
  <c r="U17" i="8" s="1"/>
  <c r="CT17" i="8" s="1"/>
  <c r="EE16" i="8"/>
  <c r="ED16" i="8"/>
  <c r="EC16" i="8"/>
  <c r="EB16" i="8"/>
  <c r="EA16" i="8"/>
  <c r="DZ16" i="8"/>
  <c r="DY16" i="8"/>
  <c r="EF16" i="8" s="1"/>
  <c r="DW16" i="8"/>
  <c r="DV16" i="8"/>
  <c r="DU16" i="8"/>
  <c r="DT16" i="8"/>
  <c r="DS16" i="8"/>
  <c r="DR16" i="8"/>
  <c r="DQ16" i="8"/>
  <c r="DP16" i="8"/>
  <c r="DO16" i="8"/>
  <c r="DN16" i="8"/>
  <c r="DM16" i="8"/>
  <c r="DL16" i="8"/>
  <c r="DK16" i="8"/>
  <c r="DJ16" i="8"/>
  <c r="DI16" i="8"/>
  <c r="DH16" i="8"/>
  <c r="DG16" i="8"/>
  <c r="DF16" i="8"/>
  <c r="DD16" i="8"/>
  <c r="DC16" i="8"/>
  <c r="CP16" i="8"/>
  <c r="CM16" i="8"/>
  <c r="CK16" i="8"/>
  <c r="DB16" i="8" s="1"/>
  <c r="CJ16" i="8"/>
  <c r="CH16" i="8"/>
  <c r="CG16" i="8"/>
  <c r="CF16" i="8"/>
  <c r="CE16" i="8"/>
  <c r="CD16" i="8"/>
  <c r="DA16" i="8" s="1"/>
  <c r="K126" i="8" s="1"/>
  <c r="CB16" i="8"/>
  <c r="CA16" i="8"/>
  <c r="BZ16" i="8"/>
  <c r="BW16" i="8"/>
  <c r="BV16" i="8"/>
  <c r="BU16" i="8"/>
  <c r="BT16" i="8"/>
  <c r="BS16" i="8"/>
  <c r="BR16" i="8"/>
  <c r="BQ16" i="8"/>
  <c r="BP16" i="8"/>
  <c r="BO16" i="8"/>
  <c r="BL16" i="8"/>
  <c r="BK16" i="8"/>
  <c r="BJ16" i="8"/>
  <c r="BI16" i="8"/>
  <c r="BH16" i="8"/>
  <c r="BG16" i="8"/>
  <c r="BF16" i="8"/>
  <c r="BE16" i="8"/>
  <c r="BD16" i="8"/>
  <c r="BC16" i="8"/>
  <c r="BA16" i="8"/>
  <c r="AZ16" i="8"/>
  <c r="AY16" i="8"/>
  <c r="AX16" i="8"/>
  <c r="AW16" i="8"/>
  <c r="AV16" i="8"/>
  <c r="AU16" i="8"/>
  <c r="AT16" i="8"/>
  <c r="AS16" i="8"/>
  <c r="AR16" i="8"/>
  <c r="V16" i="8"/>
  <c r="R16" i="8"/>
  <c r="EE15" i="8"/>
  <c r="ED15" i="8"/>
  <c r="EC15" i="8"/>
  <c r="EB15" i="8"/>
  <c r="EA15" i="8"/>
  <c r="DZ15" i="8"/>
  <c r="DY15" i="8"/>
  <c r="EF15" i="8" s="1"/>
  <c r="DW15" i="8"/>
  <c r="DV15" i="8"/>
  <c r="DU15" i="8"/>
  <c r="DT15" i="8"/>
  <c r="DS15" i="8"/>
  <c r="DR15" i="8"/>
  <c r="DQ15" i="8"/>
  <c r="DP15" i="8"/>
  <c r="DO15" i="8"/>
  <c r="DN15" i="8"/>
  <c r="DM15" i="8"/>
  <c r="DL15" i="8"/>
  <c r="DK15" i="8"/>
  <c r="DJ15" i="8"/>
  <c r="DI15" i="8"/>
  <c r="DH15" i="8"/>
  <c r="DG15" i="8"/>
  <c r="DF15" i="8"/>
  <c r="DB15" i="8"/>
  <c r="CP15" i="8"/>
  <c r="CO15" i="8"/>
  <c r="I125" i="8" s="1"/>
  <c r="CK15" i="8"/>
  <c r="CJ15" i="8"/>
  <c r="DD15" i="8" s="1"/>
  <c r="CI15" i="8"/>
  <c r="CH15" i="8"/>
  <c r="CG15" i="8"/>
  <c r="CF15" i="8"/>
  <c r="CE15" i="8"/>
  <c r="CD15" i="8"/>
  <c r="DA15" i="8" s="1"/>
  <c r="K125" i="8" s="1"/>
  <c r="CB15" i="8"/>
  <c r="CA15" i="8"/>
  <c r="BZ15" i="8"/>
  <c r="BY15" i="8"/>
  <c r="BX15" i="8"/>
  <c r="BR15" i="8"/>
  <c r="BQ15" i="8"/>
  <c r="BM15" i="8" s="1"/>
  <c r="BN15" i="8" s="1"/>
  <c r="BP15" i="8"/>
  <c r="DC15" i="8" s="1"/>
  <c r="BO15" i="8"/>
  <c r="BL15" i="8"/>
  <c r="BK15" i="8"/>
  <c r="BJ15" i="8"/>
  <c r="BI15" i="8"/>
  <c r="BH15" i="8"/>
  <c r="BG15" i="8"/>
  <c r="BF15" i="8"/>
  <c r="BE15" i="8"/>
  <c r="BD15" i="8"/>
  <c r="BC15" i="8"/>
  <c r="BA15" i="8"/>
  <c r="AZ15" i="8"/>
  <c r="AY15" i="8"/>
  <c r="AX15" i="8"/>
  <c r="AW15" i="8"/>
  <c r="BB15" i="8" s="1"/>
  <c r="Q15" i="8" s="1"/>
  <c r="AV15" i="8"/>
  <c r="AU15" i="8"/>
  <c r="AT15" i="8"/>
  <c r="AS15" i="8"/>
  <c r="AR15" i="8"/>
  <c r="AQ15" i="8"/>
  <c r="V15" i="8"/>
  <c r="R15" i="8"/>
  <c r="P15" i="8"/>
  <c r="CL15" i="8" s="1"/>
  <c r="EE14" i="8"/>
  <c r="ED14" i="8"/>
  <c r="EC14" i="8"/>
  <c r="EB14" i="8"/>
  <c r="EF14" i="8" s="1"/>
  <c r="EA14" i="8"/>
  <c r="DZ14" i="8"/>
  <c r="DY14" i="8"/>
  <c r="DW14" i="8"/>
  <c r="DV14" i="8"/>
  <c r="DU14" i="8"/>
  <c r="DT14" i="8"/>
  <c r="DS14" i="8"/>
  <c r="DR14" i="8"/>
  <c r="DQ14" i="8"/>
  <c r="DP14" i="8"/>
  <c r="DO14" i="8"/>
  <c r="DN14" i="8"/>
  <c r="DM14" i="8"/>
  <c r="DL14" i="8"/>
  <c r="DK14" i="8"/>
  <c r="DJ14" i="8"/>
  <c r="DI14" i="8"/>
  <c r="DH14" i="8"/>
  <c r="DG14" i="8"/>
  <c r="DF14" i="8"/>
  <c r="CP14" i="8"/>
  <c r="CM14" i="8"/>
  <c r="CL14" i="8"/>
  <c r="CK14" i="8"/>
  <c r="DB14" i="8" s="1"/>
  <c r="CJ14" i="8"/>
  <c r="DD14" i="8" s="1"/>
  <c r="CI14" i="8"/>
  <c r="CH14" i="8"/>
  <c r="CG14" i="8"/>
  <c r="T14" i="8" s="1"/>
  <c r="CF14" i="8"/>
  <c r="CE14" i="8"/>
  <c r="CD14" i="8"/>
  <c r="DA14" i="8" s="1"/>
  <c r="K124" i="8" s="1"/>
  <c r="CB14" i="8"/>
  <c r="CA14" i="8"/>
  <c r="BZ14" i="8"/>
  <c r="BY14" i="8"/>
  <c r="BW14" i="8"/>
  <c r="BV14" i="8"/>
  <c r="BU14" i="8"/>
  <c r="BT14" i="8"/>
  <c r="BR14" i="8"/>
  <c r="BQ14" i="8"/>
  <c r="BX14" i="8" s="1"/>
  <c r="BP14" i="8"/>
  <c r="DC14" i="8" s="1"/>
  <c r="BO14" i="8"/>
  <c r="BL14" i="8"/>
  <c r="BK14" i="8"/>
  <c r="BJ14" i="8"/>
  <c r="BI14" i="8"/>
  <c r="BH14" i="8"/>
  <c r="BG14" i="8"/>
  <c r="BF14" i="8"/>
  <c r="BE14" i="8"/>
  <c r="BD14" i="8"/>
  <c r="BC14" i="8"/>
  <c r="BA14" i="8"/>
  <c r="AZ14" i="8"/>
  <c r="AY14" i="8"/>
  <c r="AX14" i="8"/>
  <c r="AW14" i="8"/>
  <c r="AV14" i="8"/>
  <c r="AU14" i="8"/>
  <c r="AT14" i="8"/>
  <c r="AS14" i="8"/>
  <c r="AR14" i="8"/>
  <c r="V14" i="8"/>
  <c r="U14" i="8"/>
  <c r="CT14" i="8" s="1"/>
  <c r="R14" i="8"/>
  <c r="P14" i="8"/>
  <c r="EE13" i="8"/>
  <c r="ED13" i="8"/>
  <c r="EC13" i="8"/>
  <c r="EB13" i="8"/>
  <c r="EA13" i="8"/>
  <c r="DZ13" i="8"/>
  <c r="DY13" i="8"/>
  <c r="EF13" i="8" s="1"/>
  <c r="DW13" i="8"/>
  <c r="DV13" i="8"/>
  <c r="DU13" i="8"/>
  <c r="DT13" i="8"/>
  <c r="DS13" i="8"/>
  <c r="DR13" i="8"/>
  <c r="DQ13" i="8"/>
  <c r="DP13" i="8"/>
  <c r="DO13" i="8"/>
  <c r="DN13" i="8"/>
  <c r="DM13" i="8"/>
  <c r="DL13" i="8"/>
  <c r="DK13" i="8"/>
  <c r="DJ13" i="8"/>
  <c r="DI13" i="8"/>
  <c r="DH13" i="8"/>
  <c r="DG13" i="8"/>
  <c r="DF13" i="8"/>
  <c r="DC13" i="8"/>
  <c r="CP13" i="8"/>
  <c r="CM13" i="8"/>
  <c r="CK13" i="8"/>
  <c r="DB13" i="8" s="1"/>
  <c r="CJ13" i="8"/>
  <c r="DD13" i="8" s="1"/>
  <c r="CI13" i="8"/>
  <c r="CH13" i="8"/>
  <c r="CG13" i="8"/>
  <c r="CF13" i="8"/>
  <c r="CR13" i="8" s="1"/>
  <c r="CE13" i="8"/>
  <c r="CD13" i="8"/>
  <c r="DA13" i="8" s="1"/>
  <c r="K123" i="8" s="1"/>
  <c r="CA13" i="8"/>
  <c r="BZ13" i="8"/>
  <c r="BY13" i="8"/>
  <c r="BX13" i="8"/>
  <c r="CC13" i="8" s="1"/>
  <c r="BW13" i="8"/>
  <c r="BV13" i="8"/>
  <c r="BU13" i="8"/>
  <c r="BT13" i="8"/>
  <c r="BS13" i="8"/>
  <c r="BR13" i="8"/>
  <c r="BQ13" i="8"/>
  <c r="BP13" i="8"/>
  <c r="BL13" i="8"/>
  <c r="BK13" i="8"/>
  <c r="BJ13" i="8"/>
  <c r="BI13" i="8"/>
  <c r="BH13" i="8"/>
  <c r="BG13" i="8"/>
  <c r="BF13" i="8"/>
  <c r="BE13" i="8"/>
  <c r="BD13" i="8"/>
  <c r="BC13" i="8"/>
  <c r="BA13" i="8"/>
  <c r="AZ13" i="8"/>
  <c r="AY13" i="8"/>
  <c r="AX13" i="8"/>
  <c r="AW13" i="8"/>
  <c r="AV13" i="8"/>
  <c r="AU13" i="8"/>
  <c r="AT13" i="8"/>
  <c r="AS13" i="8"/>
  <c r="AR13" i="8"/>
  <c r="V13" i="8"/>
  <c r="T13" i="8"/>
  <c r="R13" i="8"/>
  <c r="EE12" i="8"/>
  <c r="ED12" i="8"/>
  <c r="EC12" i="8"/>
  <c r="EB12" i="8"/>
  <c r="EA12" i="8"/>
  <c r="DZ12" i="8"/>
  <c r="DY12" i="8"/>
  <c r="EF12" i="8" s="1"/>
  <c r="DW12" i="8"/>
  <c r="DV12" i="8"/>
  <c r="DU12" i="8"/>
  <c r="DT12" i="8"/>
  <c r="DX12" i="8" s="1"/>
  <c r="DS12" i="8"/>
  <c r="DR12" i="8"/>
  <c r="DQ12" i="8"/>
  <c r="DP12" i="8"/>
  <c r="DO12" i="8"/>
  <c r="DN12" i="8"/>
  <c r="DM12" i="8"/>
  <c r="DL12" i="8"/>
  <c r="DK12" i="8"/>
  <c r="DJ12" i="8"/>
  <c r="DI12" i="8"/>
  <c r="DH12" i="8"/>
  <c r="DG12" i="8"/>
  <c r="DF12" i="8"/>
  <c r="DD12" i="8"/>
  <c r="DC12" i="8"/>
  <c r="DB12" i="8"/>
  <c r="CP12" i="8"/>
  <c r="CM12" i="8"/>
  <c r="CK12" i="8"/>
  <c r="CJ12" i="8"/>
  <c r="CI12" i="8"/>
  <c r="CH12" i="8"/>
  <c r="CG12" i="8"/>
  <c r="T12" i="8" s="1"/>
  <c r="CF12" i="8"/>
  <c r="CE12" i="8"/>
  <c r="CD12" i="8"/>
  <c r="DA12" i="8" s="1"/>
  <c r="K122" i="8" s="1"/>
  <c r="CB12" i="8"/>
  <c r="CA12" i="8"/>
  <c r="BZ12" i="8"/>
  <c r="BY12" i="8"/>
  <c r="BX12" i="8"/>
  <c r="BW12" i="8"/>
  <c r="BV12" i="8"/>
  <c r="BU12" i="8"/>
  <c r="BS12" i="8"/>
  <c r="BR12" i="8"/>
  <c r="BQ12" i="8"/>
  <c r="BT12" i="8" s="1"/>
  <c r="BP12" i="8"/>
  <c r="BO12" i="8"/>
  <c r="BM12" i="8"/>
  <c r="BN12" i="8" s="1"/>
  <c r="CO12" i="8" s="1"/>
  <c r="I122" i="8" s="1"/>
  <c r="BL12" i="8"/>
  <c r="BK12" i="8"/>
  <c r="BJ12" i="8"/>
  <c r="BI12" i="8"/>
  <c r="BH12" i="8"/>
  <c r="BG12" i="8"/>
  <c r="BF12" i="8"/>
  <c r="BE12" i="8"/>
  <c r="BD12" i="8"/>
  <c r="BC12" i="8"/>
  <c r="BA12" i="8"/>
  <c r="AZ12" i="8"/>
  <c r="AY12" i="8"/>
  <c r="AX12" i="8"/>
  <c r="AW12" i="8"/>
  <c r="AV12" i="8"/>
  <c r="AU12" i="8"/>
  <c r="AT12" i="8"/>
  <c r="AS12" i="8"/>
  <c r="AR12" i="8"/>
  <c r="V12" i="8"/>
  <c r="R12" i="8"/>
  <c r="P12" i="8"/>
  <c r="CL12" i="8" s="1"/>
  <c r="EE11" i="8"/>
  <c r="ED11" i="8"/>
  <c r="EC11" i="8"/>
  <c r="EB11" i="8"/>
  <c r="EA11" i="8"/>
  <c r="DZ11" i="8"/>
  <c r="DY11" i="8"/>
  <c r="DW11" i="8"/>
  <c r="DV11" i="8"/>
  <c r="DU11" i="8"/>
  <c r="DT11" i="8"/>
  <c r="DS11" i="8"/>
  <c r="DR11" i="8"/>
  <c r="DQ11" i="8"/>
  <c r="DP11" i="8"/>
  <c r="DO11" i="8"/>
  <c r="DN11" i="8"/>
  <c r="DM11" i="8"/>
  <c r="DL11" i="8"/>
  <c r="DK11" i="8"/>
  <c r="DJ11" i="8"/>
  <c r="DI11" i="8"/>
  <c r="DH11" i="8"/>
  <c r="DG11" i="8"/>
  <c r="DF11" i="8"/>
  <c r="DD11" i="8"/>
  <c r="CR11" i="8"/>
  <c r="CP11" i="8"/>
  <c r="CK11" i="8"/>
  <c r="DB11" i="8" s="1"/>
  <c r="CJ11" i="8"/>
  <c r="CH11" i="8"/>
  <c r="CG11" i="8"/>
  <c r="CF11" i="8"/>
  <c r="T11" i="8" s="1"/>
  <c r="CA11" i="8"/>
  <c r="BZ11" i="8"/>
  <c r="BY11" i="8"/>
  <c r="BT11" i="8"/>
  <c r="BR11" i="8"/>
  <c r="BQ11" i="8"/>
  <c r="BO11" i="8" s="1"/>
  <c r="BP11" i="8"/>
  <c r="DC11" i="8" s="1"/>
  <c r="BL11" i="8"/>
  <c r="BK11" i="8"/>
  <c r="BJ11" i="8"/>
  <c r="BI11" i="8"/>
  <c r="BH11" i="8"/>
  <c r="BG11" i="8"/>
  <c r="BM11" i="8" s="1"/>
  <c r="BN11" i="8" s="1"/>
  <c r="CO11" i="8" s="1"/>
  <c r="I121" i="8" s="1"/>
  <c r="BF11" i="8"/>
  <c r="BE11" i="8"/>
  <c r="BD11" i="8"/>
  <c r="BC11" i="8"/>
  <c r="BA11" i="8"/>
  <c r="AZ11" i="8"/>
  <c r="AY11" i="8"/>
  <c r="AX11" i="8"/>
  <c r="AW11" i="8"/>
  <c r="AV11" i="8"/>
  <c r="AU11" i="8"/>
  <c r="AT11" i="8"/>
  <c r="AS11" i="8"/>
  <c r="AR11" i="8"/>
  <c r="V11" i="8"/>
  <c r="R11" i="8"/>
  <c r="EF10" i="8"/>
  <c r="DX10" i="8" s="1"/>
  <c r="EE10" i="8"/>
  <c r="ED10" i="8"/>
  <c r="EC10" i="8"/>
  <c r="EB10" i="8"/>
  <c r="EA10" i="8"/>
  <c r="DZ10" i="8"/>
  <c r="DY10" i="8"/>
  <c r="DW10" i="8"/>
  <c r="DV10" i="8"/>
  <c r="DU10" i="8"/>
  <c r="DT10" i="8"/>
  <c r="DS10" i="8"/>
  <c r="DR10" i="8"/>
  <c r="DQ10" i="8"/>
  <c r="DP10" i="8"/>
  <c r="DO10" i="8"/>
  <c r="DN10" i="8"/>
  <c r="DM10" i="8"/>
  <c r="DL10" i="8"/>
  <c r="DK10" i="8"/>
  <c r="DJ10" i="8"/>
  <c r="DI10" i="8"/>
  <c r="DH10" i="8"/>
  <c r="DG10" i="8"/>
  <c r="DF10" i="8"/>
  <c r="DD10" i="8"/>
  <c r="DB10" i="8"/>
  <c r="CR10" i="8"/>
  <c r="CP10" i="8"/>
  <c r="CK10" i="8"/>
  <c r="CJ10" i="8"/>
  <c r="CH10" i="8"/>
  <c r="CG10" i="8"/>
  <c r="CF10" i="8"/>
  <c r="BR10" i="8"/>
  <c r="BQ10" i="8"/>
  <c r="BP10" i="8"/>
  <c r="BO10" i="8"/>
  <c r="BL10" i="8"/>
  <c r="BK10" i="8"/>
  <c r="BJ10" i="8"/>
  <c r="BI10" i="8"/>
  <c r="BH10" i="8"/>
  <c r="BG10" i="8"/>
  <c r="BF10" i="8"/>
  <c r="BE10" i="8"/>
  <c r="BD10" i="8"/>
  <c r="BC10" i="8"/>
  <c r="BA10" i="8"/>
  <c r="AZ10" i="8"/>
  <c r="AY10" i="8"/>
  <c r="AX10" i="8"/>
  <c r="AW10" i="8"/>
  <c r="AV10" i="8"/>
  <c r="AU10" i="8"/>
  <c r="AT10" i="8"/>
  <c r="AS10" i="8"/>
  <c r="AR10" i="8"/>
  <c r="BB10" i="8" s="1"/>
  <c r="V10" i="8"/>
  <c r="T10" i="8"/>
  <c r="R10" i="8"/>
  <c r="DH9" i="8"/>
  <c r="DG9" i="8"/>
  <c r="BE8" i="8"/>
  <c r="BD8" i="8"/>
  <c r="Q6" i="8"/>
  <c r="DX5" i="8"/>
  <c r="Q5" i="8"/>
  <c r="DS4" i="8"/>
  <c r="Q4" i="8"/>
  <c r="Q3" i="8"/>
  <c r="W2" i="8"/>
  <c r="C174" i="7"/>
  <c r="E173" i="7"/>
  <c r="E172" i="7"/>
  <c r="C171" i="7"/>
  <c r="C168" i="7"/>
  <c r="C165" i="7"/>
  <c r="N151" i="7"/>
  <c r="L151" i="7"/>
  <c r="J151" i="7"/>
  <c r="H151" i="7"/>
  <c r="N150" i="7"/>
  <c r="L150" i="7"/>
  <c r="J150" i="7"/>
  <c r="H150" i="7"/>
  <c r="N149" i="7"/>
  <c r="L149" i="7"/>
  <c r="J149" i="7"/>
  <c r="H149" i="7"/>
  <c r="N148" i="7"/>
  <c r="L148" i="7"/>
  <c r="J148" i="7"/>
  <c r="H148" i="7"/>
  <c r="N147" i="7"/>
  <c r="L147" i="7"/>
  <c r="J147" i="7"/>
  <c r="H147" i="7"/>
  <c r="N146" i="7"/>
  <c r="L146" i="7"/>
  <c r="J146" i="7"/>
  <c r="H146" i="7"/>
  <c r="N145" i="7"/>
  <c r="L145" i="7"/>
  <c r="J145" i="7"/>
  <c r="H145" i="7"/>
  <c r="N144" i="7"/>
  <c r="L144" i="7"/>
  <c r="K144" i="7"/>
  <c r="J144" i="7"/>
  <c r="H144" i="7"/>
  <c r="N143" i="7"/>
  <c r="L143" i="7"/>
  <c r="J143" i="7"/>
  <c r="H143" i="7"/>
  <c r="N142" i="7"/>
  <c r="L142" i="7"/>
  <c r="J142" i="7"/>
  <c r="H142" i="7"/>
  <c r="N141" i="7"/>
  <c r="L141" i="7"/>
  <c r="J141" i="7"/>
  <c r="H141" i="7"/>
  <c r="E141" i="7"/>
  <c r="N140" i="7"/>
  <c r="L140" i="7"/>
  <c r="J140" i="7"/>
  <c r="H140" i="7"/>
  <c r="E140" i="7"/>
  <c r="N139" i="7"/>
  <c r="L139" i="7"/>
  <c r="J139" i="7"/>
  <c r="H139" i="7"/>
  <c r="N138" i="7"/>
  <c r="L138" i="7"/>
  <c r="J138" i="7"/>
  <c r="H138" i="7"/>
  <c r="N137" i="7"/>
  <c r="L137" i="7"/>
  <c r="J137" i="7"/>
  <c r="H137" i="7"/>
  <c r="B137" i="7"/>
  <c r="N136" i="7"/>
  <c r="L136" i="7"/>
  <c r="J136" i="7"/>
  <c r="H136" i="7"/>
  <c r="N135" i="7"/>
  <c r="L135" i="7"/>
  <c r="J135" i="7"/>
  <c r="H135" i="7"/>
  <c r="N134" i="7"/>
  <c r="L134" i="7"/>
  <c r="J134" i="7"/>
  <c r="H134" i="7"/>
  <c r="N133" i="7"/>
  <c r="L133" i="7"/>
  <c r="J133" i="7"/>
  <c r="H133" i="7"/>
  <c r="N132" i="7"/>
  <c r="L132" i="7"/>
  <c r="J132" i="7"/>
  <c r="H132" i="7"/>
  <c r="N131" i="7"/>
  <c r="L131" i="7"/>
  <c r="J131" i="7"/>
  <c r="H131" i="7"/>
  <c r="N130" i="7"/>
  <c r="L130" i="7"/>
  <c r="J130" i="7"/>
  <c r="H130" i="7"/>
  <c r="N129" i="7"/>
  <c r="L129" i="7"/>
  <c r="J129" i="7"/>
  <c r="H129" i="7"/>
  <c r="N128" i="7"/>
  <c r="L128" i="7"/>
  <c r="J128" i="7"/>
  <c r="H128" i="7"/>
  <c r="N127" i="7"/>
  <c r="L127" i="7"/>
  <c r="J127" i="7"/>
  <c r="H127" i="7"/>
  <c r="N126" i="7"/>
  <c r="L126" i="7"/>
  <c r="J126" i="7"/>
  <c r="H126" i="7"/>
  <c r="N125" i="7"/>
  <c r="L125" i="7"/>
  <c r="J125" i="7"/>
  <c r="H125" i="7"/>
  <c r="N124" i="7"/>
  <c r="L124" i="7"/>
  <c r="J124" i="7"/>
  <c r="H124" i="7"/>
  <c r="N123" i="7"/>
  <c r="L123" i="7"/>
  <c r="J123" i="7"/>
  <c r="H123" i="7"/>
  <c r="N122" i="7"/>
  <c r="L122" i="7"/>
  <c r="J122" i="7"/>
  <c r="H122" i="7"/>
  <c r="N121" i="7"/>
  <c r="L121" i="7"/>
  <c r="J121" i="7"/>
  <c r="H121" i="7"/>
  <c r="C121" i="7"/>
  <c r="N120" i="7"/>
  <c r="L120" i="7"/>
  <c r="J120" i="7"/>
  <c r="H120" i="7"/>
  <c r="B119" i="7"/>
  <c r="AE118" i="7"/>
  <c r="M114" i="7"/>
  <c r="W113" i="7"/>
  <c r="E110" i="7"/>
  <c r="Z109" i="7"/>
  <c r="U109" i="7"/>
  <c r="O109" i="7"/>
  <c r="O108" i="7"/>
  <c r="O105" i="7"/>
  <c r="E105" i="7"/>
  <c r="Z104" i="7"/>
  <c r="E104" i="7"/>
  <c r="O104" i="7" s="1"/>
  <c r="O103" i="7"/>
  <c r="E175" i="7" s="1"/>
  <c r="X98" i="7"/>
  <c r="G98" i="7"/>
  <c r="Z97" i="7"/>
  <c r="G97" i="7"/>
  <c r="Z96" i="7"/>
  <c r="O96" i="7"/>
  <c r="G96" i="7"/>
  <c r="Z94" i="7"/>
  <c r="U92" i="7"/>
  <c r="X92" i="7" s="1"/>
  <c r="Z92" i="7" s="1"/>
  <c r="O92" i="7"/>
  <c r="X91" i="7"/>
  <c r="Z91" i="7" s="1"/>
  <c r="U91" i="7"/>
  <c r="V90" i="7"/>
  <c r="X89" i="7"/>
  <c r="V89" i="7"/>
  <c r="Z89" i="7" s="1"/>
  <c r="O88" i="7"/>
  <c r="E162" i="7" s="1"/>
  <c r="L88" i="7"/>
  <c r="X87" i="7"/>
  <c r="V87" i="7"/>
  <c r="Z87" i="7" s="1"/>
  <c r="L87" i="7"/>
  <c r="Z86" i="7"/>
  <c r="L86" i="7"/>
  <c r="E142" i="7" s="1"/>
  <c r="L85" i="7"/>
  <c r="Z84" i="7"/>
  <c r="L83" i="7"/>
  <c r="L82" i="7"/>
  <c r="L81" i="7"/>
  <c r="E139" i="7" s="1"/>
  <c r="Z80" i="7"/>
  <c r="X80" i="7"/>
  <c r="L80" i="7"/>
  <c r="Z79" i="7"/>
  <c r="X79" i="7"/>
  <c r="L79" i="7"/>
  <c r="H79" i="7"/>
  <c r="L76" i="7"/>
  <c r="V75" i="7"/>
  <c r="O75" i="7"/>
  <c r="L75" i="7"/>
  <c r="G73" i="7"/>
  <c r="X72" i="7"/>
  <c r="Z72" i="7" s="1"/>
  <c r="V72" i="7"/>
  <c r="O71" i="7"/>
  <c r="G71" i="7"/>
  <c r="V70" i="7"/>
  <c r="G70" i="7"/>
  <c r="B70" i="7"/>
  <c r="C69" i="7"/>
  <c r="Z68" i="7"/>
  <c r="C68" i="7"/>
  <c r="Z67" i="7"/>
  <c r="C67" i="7"/>
  <c r="C66" i="7"/>
  <c r="C65" i="7"/>
  <c r="S62" i="7"/>
  <c r="S61" i="7"/>
  <c r="S60" i="7"/>
  <c r="T62" i="7" s="1"/>
  <c r="AS59" i="7"/>
  <c r="T59" i="7"/>
  <c r="S59" i="7"/>
  <c r="R59" i="7"/>
  <c r="P59" i="7"/>
  <c r="AS58" i="7"/>
  <c r="Z58" i="7"/>
  <c r="T58" i="7"/>
  <c r="S58" i="7"/>
  <c r="R58" i="7"/>
  <c r="P58" i="7"/>
  <c r="AS57" i="7"/>
  <c r="Z57" i="7"/>
  <c r="T57" i="7"/>
  <c r="S57" i="7"/>
  <c r="R57" i="7"/>
  <c r="P57" i="7"/>
  <c r="AS56" i="7"/>
  <c r="Z56" i="7"/>
  <c r="U56" i="7"/>
  <c r="T56" i="7"/>
  <c r="S56" i="7"/>
  <c r="R56" i="7"/>
  <c r="P56" i="7"/>
  <c r="AS55" i="7"/>
  <c r="Z55" i="7"/>
  <c r="T55" i="7"/>
  <c r="S55" i="7"/>
  <c r="R55" i="7"/>
  <c r="P55" i="7"/>
  <c r="AS54" i="7"/>
  <c r="Z54" i="7"/>
  <c r="T54" i="7"/>
  <c r="S54" i="7"/>
  <c r="R54" i="7"/>
  <c r="P54" i="7"/>
  <c r="AS53" i="7"/>
  <c r="Z53" i="7"/>
  <c r="T53" i="7"/>
  <c r="S53" i="7"/>
  <c r="R53" i="7"/>
  <c r="P53" i="7"/>
  <c r="AS52" i="7"/>
  <c r="Z52" i="7"/>
  <c r="T52" i="7"/>
  <c r="S52" i="7"/>
  <c r="R52" i="7"/>
  <c r="P52" i="7"/>
  <c r="AS51" i="7"/>
  <c r="Z51" i="7"/>
  <c r="T51" i="7"/>
  <c r="EA16" i="7" s="1"/>
  <c r="S51" i="7"/>
  <c r="R51" i="7"/>
  <c r="P51" i="7"/>
  <c r="AS50" i="7"/>
  <c r="Z50" i="7"/>
  <c r="T50" i="7"/>
  <c r="S50" i="7"/>
  <c r="R50" i="7"/>
  <c r="P50" i="7"/>
  <c r="AS49" i="7"/>
  <c r="Z49" i="7"/>
  <c r="T49" i="7"/>
  <c r="S49" i="7"/>
  <c r="R49" i="7"/>
  <c r="P49" i="7"/>
  <c r="N46" i="7"/>
  <c r="Y44" i="7"/>
  <c r="Z90" i="7" s="1"/>
  <c r="W44" i="7"/>
  <c r="DF43" i="7"/>
  <c r="DC43" i="7"/>
  <c r="CS42" i="7"/>
  <c r="CS44" i="7" s="1"/>
  <c r="O42" i="7"/>
  <c r="L71" i="7" s="1"/>
  <c r="K42" i="7"/>
  <c r="G42" i="7"/>
  <c r="EE41" i="7"/>
  <c r="ED41" i="7"/>
  <c r="EC41" i="7"/>
  <c r="EB41" i="7"/>
  <c r="EA41" i="7"/>
  <c r="DZ41" i="7"/>
  <c r="DY41" i="7"/>
  <c r="DW41" i="7"/>
  <c r="DV41" i="7"/>
  <c r="DU41" i="7"/>
  <c r="DT41" i="7"/>
  <c r="DS41" i="7"/>
  <c r="DR41" i="7"/>
  <c r="DQ41" i="7"/>
  <c r="DP41" i="7"/>
  <c r="DO41" i="7"/>
  <c r="DN41" i="7"/>
  <c r="DM41" i="7"/>
  <c r="DL41" i="7"/>
  <c r="DK41" i="7"/>
  <c r="DJ41" i="7"/>
  <c r="DI41" i="7"/>
  <c r="DH41" i="7"/>
  <c r="DG41" i="7"/>
  <c r="DF41" i="7"/>
  <c r="DB41" i="7"/>
  <c r="CT41" i="7"/>
  <c r="CR41" i="7"/>
  <c r="CP41" i="7"/>
  <c r="CK41" i="7"/>
  <c r="CJ41" i="7"/>
  <c r="CH41" i="7"/>
  <c r="CG41" i="7"/>
  <c r="CF41" i="7"/>
  <c r="BV41" i="7"/>
  <c r="BU41" i="7"/>
  <c r="BT41" i="7"/>
  <c r="BS41" i="7"/>
  <c r="BR41" i="7"/>
  <c r="BQ41" i="7"/>
  <c r="BP41" i="7"/>
  <c r="DC41" i="7" s="1"/>
  <c r="BO41" i="7"/>
  <c r="BL41" i="7"/>
  <c r="BM41" i="7" s="1"/>
  <c r="BN41" i="7" s="1"/>
  <c r="CO41" i="7" s="1"/>
  <c r="I151" i="7" s="1"/>
  <c r="BK41" i="7"/>
  <c r="BJ41" i="7"/>
  <c r="BI41" i="7"/>
  <c r="BH41" i="7"/>
  <c r="BG41" i="7"/>
  <c r="BF41" i="7"/>
  <c r="BE41" i="7"/>
  <c r="BD41" i="7"/>
  <c r="BC41" i="7"/>
  <c r="BA41" i="7"/>
  <c r="AZ41" i="7"/>
  <c r="AY41" i="7"/>
  <c r="AX41" i="7"/>
  <c r="AW41" i="7"/>
  <c r="AV41" i="7"/>
  <c r="AU41" i="7"/>
  <c r="AT41" i="7"/>
  <c r="AS41" i="7"/>
  <c r="AR41" i="7"/>
  <c r="BB41" i="7" s="1"/>
  <c r="V41" i="7"/>
  <c r="U41" i="7"/>
  <c r="T41" i="7"/>
  <c r="R41" i="7"/>
  <c r="Q41" i="7"/>
  <c r="AQ41" i="7" s="1"/>
  <c r="P41" i="7"/>
  <c r="CL41" i="7" s="1"/>
  <c r="EE40" i="7"/>
  <c r="ED40" i="7"/>
  <c r="EC40" i="7"/>
  <c r="EB40" i="7"/>
  <c r="EA40" i="7"/>
  <c r="DZ40" i="7"/>
  <c r="DY40" i="7"/>
  <c r="DW40" i="7"/>
  <c r="DV40" i="7"/>
  <c r="DU40" i="7"/>
  <c r="DT40" i="7"/>
  <c r="DS40" i="7"/>
  <c r="DR40" i="7"/>
  <c r="DQ40" i="7"/>
  <c r="DP40" i="7"/>
  <c r="DO40" i="7"/>
  <c r="DN40" i="7"/>
  <c r="DM40" i="7"/>
  <c r="DL40" i="7"/>
  <c r="DK40" i="7"/>
  <c r="DJ40" i="7"/>
  <c r="DI40" i="7"/>
  <c r="DH40" i="7"/>
  <c r="DG40" i="7"/>
  <c r="DF40" i="7"/>
  <c r="DD40" i="7"/>
  <c r="DB40" i="7"/>
  <c r="CP40" i="7"/>
  <c r="CK40" i="7"/>
  <c r="CJ40" i="7"/>
  <c r="CH40" i="7"/>
  <c r="CG40" i="7"/>
  <c r="CF40" i="7"/>
  <c r="CR40" i="7" s="1"/>
  <c r="CA40" i="7"/>
  <c r="BV40" i="7"/>
  <c r="BU40" i="7"/>
  <c r="BT40" i="7"/>
  <c r="BS40" i="7"/>
  <c r="BR40" i="7"/>
  <c r="BQ40" i="7"/>
  <c r="BP40" i="7"/>
  <c r="DC40" i="7" s="1"/>
  <c r="BO40" i="7"/>
  <c r="BL40" i="7"/>
  <c r="BK40" i="7"/>
  <c r="BJ40" i="7"/>
  <c r="BI40" i="7"/>
  <c r="BH40" i="7"/>
  <c r="BG40" i="7"/>
  <c r="BF40" i="7"/>
  <c r="BE40" i="7"/>
  <c r="BD40" i="7"/>
  <c r="BC40" i="7"/>
  <c r="BA40" i="7"/>
  <c r="AZ40" i="7"/>
  <c r="AY40" i="7"/>
  <c r="AX40" i="7"/>
  <c r="AW40" i="7"/>
  <c r="AV40" i="7"/>
  <c r="AU40" i="7"/>
  <c r="AT40" i="7"/>
  <c r="AS40" i="7"/>
  <c r="AR40" i="7"/>
  <c r="BB40" i="7" s="1"/>
  <c r="Q40" i="7" s="1"/>
  <c r="AQ40" i="7" s="1"/>
  <c r="V40" i="7"/>
  <c r="T40" i="7"/>
  <c r="R40" i="7"/>
  <c r="P40" i="7"/>
  <c r="CL40" i="7" s="1"/>
  <c r="EE39" i="7"/>
  <c r="ED39" i="7"/>
  <c r="EC39" i="7"/>
  <c r="EB39" i="7"/>
  <c r="EA39" i="7"/>
  <c r="DZ39" i="7"/>
  <c r="DY39" i="7"/>
  <c r="EF39" i="7" s="1"/>
  <c r="DX39" i="7" s="1"/>
  <c r="DW39" i="7"/>
  <c r="DV39" i="7"/>
  <c r="DU39" i="7"/>
  <c r="DT39" i="7"/>
  <c r="DS39" i="7"/>
  <c r="DR39" i="7"/>
  <c r="DQ39" i="7"/>
  <c r="DP39" i="7"/>
  <c r="DO39" i="7"/>
  <c r="DN39" i="7"/>
  <c r="DM39" i="7"/>
  <c r="DL39" i="7"/>
  <c r="DK39" i="7"/>
  <c r="DJ39" i="7"/>
  <c r="DI39" i="7"/>
  <c r="DH39" i="7"/>
  <c r="DG39" i="7"/>
  <c r="DF39" i="7"/>
  <c r="DC39" i="7"/>
  <c r="DB39" i="7"/>
  <c r="CT39" i="7"/>
  <c r="CP39" i="7"/>
  <c r="CK39" i="7"/>
  <c r="CJ39" i="7"/>
  <c r="CH39" i="7"/>
  <c r="CG39" i="7"/>
  <c r="CF39" i="7"/>
  <c r="CR39" i="7" s="1"/>
  <c r="BX39" i="7"/>
  <c r="BW39" i="7"/>
  <c r="BV39" i="7"/>
  <c r="BR39" i="7"/>
  <c r="BQ39" i="7"/>
  <c r="BP39" i="7"/>
  <c r="BL39" i="7"/>
  <c r="BK39" i="7"/>
  <c r="BJ39" i="7"/>
  <c r="BI39" i="7"/>
  <c r="BH39" i="7"/>
  <c r="BG39" i="7"/>
  <c r="BM39" i="7" s="1"/>
  <c r="BF39" i="7"/>
  <c r="BE39" i="7"/>
  <c r="BD39" i="7"/>
  <c r="BC39" i="7"/>
  <c r="BA39" i="7"/>
  <c r="AZ39" i="7"/>
  <c r="AY39" i="7"/>
  <c r="AX39" i="7"/>
  <c r="AW39" i="7"/>
  <c r="AV39" i="7"/>
  <c r="AU39" i="7"/>
  <c r="AT39" i="7"/>
  <c r="AS39" i="7"/>
  <c r="AR39" i="7"/>
  <c r="V39" i="7"/>
  <c r="U39" i="7"/>
  <c r="R39" i="7"/>
  <c r="P39" i="7"/>
  <c r="CL39" i="7" s="1"/>
  <c r="EE38" i="7"/>
  <c r="ED38" i="7"/>
  <c r="EC38" i="7"/>
  <c r="EB38" i="7"/>
  <c r="EA38" i="7"/>
  <c r="DZ38" i="7"/>
  <c r="DY38" i="7"/>
  <c r="DW38" i="7"/>
  <c r="DV38" i="7"/>
  <c r="DU38" i="7"/>
  <c r="DT38" i="7"/>
  <c r="DS38" i="7"/>
  <c r="DR38" i="7"/>
  <c r="DQ38" i="7"/>
  <c r="DP38" i="7"/>
  <c r="DO38" i="7"/>
  <c r="DN38" i="7"/>
  <c r="DM38" i="7"/>
  <c r="DL38" i="7"/>
  <c r="DK38" i="7"/>
  <c r="DJ38" i="7"/>
  <c r="DI38" i="7"/>
  <c r="DH38" i="7"/>
  <c r="DG38" i="7"/>
  <c r="DF38" i="7"/>
  <c r="DB38" i="7"/>
  <c r="CP38" i="7"/>
  <c r="CK38" i="7"/>
  <c r="CJ38" i="7"/>
  <c r="CH38" i="7"/>
  <c r="CG38" i="7"/>
  <c r="CF38" i="7"/>
  <c r="CR38" i="7" s="1"/>
  <c r="BR38" i="7"/>
  <c r="BQ38" i="7"/>
  <c r="BP38" i="7"/>
  <c r="BL38" i="7"/>
  <c r="BK38" i="7"/>
  <c r="BJ38" i="7"/>
  <c r="BI38" i="7"/>
  <c r="BH38" i="7"/>
  <c r="BG38" i="7"/>
  <c r="BF38" i="7"/>
  <c r="BE38" i="7"/>
  <c r="BD38" i="7"/>
  <c r="BC38" i="7"/>
  <c r="BA38" i="7"/>
  <c r="AZ38" i="7"/>
  <c r="AY38" i="7"/>
  <c r="AX38" i="7"/>
  <c r="AW38" i="7"/>
  <c r="AV38" i="7"/>
  <c r="AU38" i="7"/>
  <c r="AT38" i="7"/>
  <c r="AS38" i="7"/>
  <c r="AR38" i="7"/>
  <c r="V38" i="7"/>
  <c r="R38" i="7"/>
  <c r="EE37" i="7"/>
  <c r="ED37" i="7"/>
  <c r="EC37" i="7"/>
  <c r="EB37" i="7"/>
  <c r="EA37" i="7"/>
  <c r="DZ37" i="7"/>
  <c r="DY37" i="7"/>
  <c r="EF37" i="7" s="1"/>
  <c r="DX37" i="7" s="1"/>
  <c r="DW37" i="7"/>
  <c r="DV37" i="7"/>
  <c r="DU37" i="7"/>
  <c r="DT37" i="7"/>
  <c r="DS37" i="7"/>
  <c r="DR37" i="7"/>
  <c r="DQ37" i="7"/>
  <c r="DP37" i="7"/>
  <c r="DO37" i="7"/>
  <c r="DN37" i="7"/>
  <c r="DM37" i="7"/>
  <c r="DL37" i="7"/>
  <c r="DK37" i="7"/>
  <c r="DJ37" i="7"/>
  <c r="DI37" i="7"/>
  <c r="DH37" i="7"/>
  <c r="DG37" i="7"/>
  <c r="DF37" i="7"/>
  <c r="DC37" i="7"/>
  <c r="DB37" i="7"/>
  <c r="CR37" i="7"/>
  <c r="CP37" i="7"/>
  <c r="CK37" i="7"/>
  <c r="CJ37" i="7"/>
  <c r="CH37" i="7"/>
  <c r="CG37" i="7"/>
  <c r="CF37" i="7"/>
  <c r="CD37" i="7"/>
  <c r="DA37" i="7" s="1"/>
  <c r="K147" i="7" s="1"/>
  <c r="CA37" i="7"/>
  <c r="BU37" i="7"/>
  <c r="BT37" i="7"/>
  <c r="BS37" i="7"/>
  <c r="BR37" i="7"/>
  <c r="BQ37" i="7"/>
  <c r="BP37" i="7"/>
  <c r="BL37" i="7"/>
  <c r="BK37" i="7"/>
  <c r="BJ37" i="7"/>
  <c r="BI37" i="7"/>
  <c r="BH37" i="7"/>
  <c r="BG37" i="7"/>
  <c r="BF37" i="7"/>
  <c r="BE37" i="7"/>
  <c r="BD37" i="7"/>
  <c r="BC37" i="7"/>
  <c r="BA37" i="7"/>
  <c r="AZ37" i="7"/>
  <c r="AY37" i="7"/>
  <c r="AX37" i="7"/>
  <c r="AW37" i="7"/>
  <c r="AV37" i="7"/>
  <c r="AU37" i="7"/>
  <c r="AT37" i="7"/>
  <c r="AS37" i="7"/>
  <c r="AR37" i="7"/>
  <c r="V37" i="7"/>
  <c r="T37" i="7"/>
  <c r="R37" i="7"/>
  <c r="P37" i="7"/>
  <c r="EE36" i="7"/>
  <c r="EF36" i="7" s="1"/>
  <c r="DX36" i="7" s="1"/>
  <c r="ED36" i="7"/>
  <c r="EC36" i="7"/>
  <c r="EB36" i="7"/>
  <c r="EA36" i="7"/>
  <c r="DZ36" i="7"/>
  <c r="DY36" i="7"/>
  <c r="DW36" i="7"/>
  <c r="DV36" i="7"/>
  <c r="DU36" i="7"/>
  <c r="DT36" i="7"/>
  <c r="DS36" i="7"/>
  <c r="DR36" i="7"/>
  <c r="DQ36" i="7"/>
  <c r="DP36" i="7"/>
  <c r="DO36" i="7"/>
  <c r="DN36" i="7"/>
  <c r="DM36" i="7"/>
  <c r="DL36" i="7"/>
  <c r="DK36" i="7"/>
  <c r="DJ36" i="7"/>
  <c r="DI36" i="7"/>
  <c r="DH36" i="7"/>
  <c r="DG36" i="7"/>
  <c r="DF36" i="7"/>
  <c r="DD36" i="7"/>
  <c r="DC36" i="7"/>
  <c r="DB36" i="7"/>
  <c r="DA36" i="7"/>
  <c r="K146" i="7" s="1"/>
  <c r="CR36" i="7"/>
  <c r="CP36" i="7"/>
  <c r="CK36" i="7"/>
  <c r="CJ36" i="7"/>
  <c r="CH36" i="7"/>
  <c r="CG36" i="7"/>
  <c r="CF36" i="7"/>
  <c r="CD36" i="7"/>
  <c r="BU36" i="7"/>
  <c r="BT36" i="7"/>
  <c r="BS36" i="7"/>
  <c r="BR36" i="7"/>
  <c r="BQ36" i="7"/>
  <c r="BP36" i="7"/>
  <c r="BL36" i="7"/>
  <c r="BK36" i="7"/>
  <c r="BJ36" i="7"/>
  <c r="BI36" i="7"/>
  <c r="BH36" i="7"/>
  <c r="BG36" i="7"/>
  <c r="BF36" i="7"/>
  <c r="BE36" i="7"/>
  <c r="BD36" i="7"/>
  <c r="BC36" i="7"/>
  <c r="BA36" i="7"/>
  <c r="AZ36" i="7"/>
  <c r="AY36" i="7"/>
  <c r="AX36" i="7"/>
  <c r="AW36" i="7"/>
  <c r="AV36" i="7"/>
  <c r="AU36" i="7"/>
  <c r="AT36" i="7"/>
  <c r="AS36" i="7"/>
  <c r="AR36" i="7"/>
  <c r="BB36" i="7" s="1"/>
  <c r="Q36" i="7" s="1"/>
  <c r="AQ36" i="7" s="1"/>
  <c r="V36" i="7"/>
  <c r="T36" i="7"/>
  <c r="R36" i="7"/>
  <c r="P36" i="7"/>
  <c r="U36" i="7" s="1"/>
  <c r="CT36" i="7" s="1"/>
  <c r="EE35" i="7"/>
  <c r="ED35" i="7"/>
  <c r="EC35" i="7"/>
  <c r="EB35" i="7"/>
  <c r="EA35" i="7"/>
  <c r="DZ35" i="7"/>
  <c r="DY35" i="7"/>
  <c r="DW35" i="7"/>
  <c r="DV35" i="7"/>
  <c r="DU35" i="7"/>
  <c r="DT35" i="7"/>
  <c r="DS35" i="7"/>
  <c r="DR35" i="7"/>
  <c r="DQ35" i="7"/>
  <c r="DP35" i="7"/>
  <c r="DO35" i="7"/>
  <c r="DN35" i="7"/>
  <c r="DM35" i="7"/>
  <c r="DL35" i="7"/>
  <c r="DK35" i="7"/>
  <c r="DJ35" i="7"/>
  <c r="DI35" i="7"/>
  <c r="DH35" i="7"/>
  <c r="DG35" i="7"/>
  <c r="DF35" i="7"/>
  <c r="DC35" i="7"/>
  <c r="CR35" i="7"/>
  <c r="CP35" i="7"/>
  <c r="CL35" i="7"/>
  <c r="CK35" i="7"/>
  <c r="DB35" i="7" s="1"/>
  <c r="CJ35" i="7"/>
  <c r="CH35" i="7"/>
  <c r="CG35" i="7"/>
  <c r="CF35" i="7"/>
  <c r="CB35" i="7"/>
  <c r="BY35" i="7"/>
  <c r="BR35" i="7"/>
  <c r="BQ35" i="7"/>
  <c r="BP35" i="7"/>
  <c r="BL35" i="7"/>
  <c r="BK35" i="7"/>
  <c r="BJ35" i="7"/>
  <c r="BI35" i="7"/>
  <c r="BH35" i="7"/>
  <c r="BG35" i="7"/>
  <c r="BF35" i="7"/>
  <c r="BE35" i="7"/>
  <c r="BD35" i="7"/>
  <c r="BC35" i="7"/>
  <c r="BA35" i="7"/>
  <c r="AZ35" i="7"/>
  <c r="AY35" i="7"/>
  <c r="AX35" i="7"/>
  <c r="AW35" i="7"/>
  <c r="AV35" i="7"/>
  <c r="AU35" i="7"/>
  <c r="AT35" i="7"/>
  <c r="AS35" i="7"/>
  <c r="AR35" i="7"/>
  <c r="BB35" i="7" s="1"/>
  <c r="Q35" i="7" s="1"/>
  <c r="AQ35" i="7" s="1"/>
  <c r="V35" i="7"/>
  <c r="T35" i="7"/>
  <c r="R35" i="7"/>
  <c r="P35" i="7"/>
  <c r="U35" i="7" s="1"/>
  <c r="CT35" i="7" s="1"/>
  <c r="EE34" i="7"/>
  <c r="ED34" i="7"/>
  <c r="EC34" i="7"/>
  <c r="EB34" i="7"/>
  <c r="EA34" i="7"/>
  <c r="DZ34" i="7"/>
  <c r="DY34" i="7"/>
  <c r="EF34" i="7" s="1"/>
  <c r="DW34" i="7"/>
  <c r="DV34" i="7"/>
  <c r="DU34" i="7"/>
  <c r="DT34" i="7"/>
  <c r="DS34" i="7"/>
  <c r="DR34" i="7"/>
  <c r="DQ34" i="7"/>
  <c r="DP34" i="7"/>
  <c r="DO34" i="7"/>
  <c r="DN34" i="7"/>
  <c r="DM34" i="7"/>
  <c r="DL34" i="7"/>
  <c r="DK34" i="7"/>
  <c r="DJ34" i="7"/>
  <c r="DI34" i="7"/>
  <c r="DH34" i="7"/>
  <c r="DG34" i="7"/>
  <c r="DF34" i="7"/>
  <c r="DB34" i="7"/>
  <c r="CR34" i="7"/>
  <c r="CP34" i="7"/>
  <c r="CK34" i="7"/>
  <c r="CJ34" i="7"/>
  <c r="CH34" i="7"/>
  <c r="CG34" i="7"/>
  <c r="CF34" i="7"/>
  <c r="CD34" i="7"/>
  <c r="DA34" i="7" s="1"/>
  <c r="CA34" i="7"/>
  <c r="BU34" i="7"/>
  <c r="BT34" i="7"/>
  <c r="BR34" i="7"/>
  <c r="BQ34" i="7"/>
  <c r="BP34" i="7"/>
  <c r="DC34" i="7" s="1"/>
  <c r="BO34" i="7"/>
  <c r="BM34" i="7"/>
  <c r="BN34" i="7" s="1"/>
  <c r="BL34" i="7"/>
  <c r="BK34" i="7"/>
  <c r="BJ34" i="7"/>
  <c r="BI34" i="7"/>
  <c r="BH34" i="7"/>
  <c r="BG34" i="7"/>
  <c r="BF34" i="7"/>
  <c r="BE34" i="7"/>
  <c r="BD34" i="7"/>
  <c r="BC34" i="7"/>
  <c r="BA34" i="7"/>
  <c r="AZ34" i="7"/>
  <c r="AY34" i="7"/>
  <c r="AX34" i="7"/>
  <c r="AW34" i="7"/>
  <c r="AV34" i="7"/>
  <c r="AU34" i="7"/>
  <c r="AT34" i="7"/>
  <c r="AS34" i="7"/>
  <c r="AR34" i="7"/>
  <c r="BB34" i="7" s="1"/>
  <c r="Q34" i="7" s="1"/>
  <c r="V34" i="7"/>
  <c r="T34" i="7"/>
  <c r="EE33" i="7"/>
  <c r="ED33" i="7"/>
  <c r="EC33" i="7"/>
  <c r="EB33" i="7"/>
  <c r="EA33" i="7"/>
  <c r="DZ33" i="7"/>
  <c r="DY33" i="7"/>
  <c r="DW33" i="7"/>
  <c r="DV33" i="7"/>
  <c r="DU33" i="7"/>
  <c r="DT33" i="7"/>
  <c r="DS33" i="7"/>
  <c r="DR33" i="7"/>
  <c r="DQ33" i="7"/>
  <c r="DP33" i="7"/>
  <c r="DO33" i="7"/>
  <c r="DN33" i="7"/>
  <c r="DM33" i="7"/>
  <c r="DL33" i="7"/>
  <c r="DK33" i="7"/>
  <c r="DJ33" i="7"/>
  <c r="DI33" i="7"/>
  <c r="DH33" i="7"/>
  <c r="DG33" i="7"/>
  <c r="DF33" i="7"/>
  <c r="DB33" i="7"/>
  <c r="CR33" i="7"/>
  <c r="CP33" i="7"/>
  <c r="CK33" i="7"/>
  <c r="CJ33" i="7"/>
  <c r="CH33" i="7"/>
  <c r="T33" i="7" s="1"/>
  <c r="CG33" i="7"/>
  <c r="CF33" i="7"/>
  <c r="CE33" i="7"/>
  <c r="BY33" i="7"/>
  <c r="BW33" i="7"/>
  <c r="BV33" i="7"/>
  <c r="BS33" i="7"/>
  <c r="BR33" i="7"/>
  <c r="BQ33" i="7"/>
  <c r="BO33" i="7" s="1"/>
  <c r="BP33" i="7"/>
  <c r="DC33" i="7" s="1"/>
  <c r="BL33" i="7"/>
  <c r="BK33" i="7"/>
  <c r="BJ33" i="7"/>
  <c r="BI33" i="7"/>
  <c r="BH33" i="7"/>
  <c r="BG33" i="7"/>
  <c r="BF33" i="7"/>
  <c r="BE33" i="7"/>
  <c r="BD33" i="7"/>
  <c r="BC33" i="7"/>
  <c r="BA33" i="7"/>
  <c r="AZ33" i="7"/>
  <c r="AY33" i="7"/>
  <c r="AX33" i="7"/>
  <c r="AW33" i="7"/>
  <c r="AV33" i="7"/>
  <c r="AU33" i="7"/>
  <c r="AT33" i="7"/>
  <c r="AS33" i="7"/>
  <c r="AR33" i="7"/>
  <c r="BB33" i="7" s="1"/>
  <c r="Q33" i="7" s="1"/>
  <c r="AQ33" i="7" s="1"/>
  <c r="V33" i="7"/>
  <c r="R33" i="7"/>
  <c r="P33" i="7"/>
  <c r="CL33" i="7" s="1"/>
  <c r="EE32" i="7"/>
  <c r="EF32" i="7" s="1"/>
  <c r="DX32" i="7" s="1"/>
  <c r="ED32" i="7"/>
  <c r="EC32" i="7"/>
  <c r="EB32" i="7"/>
  <c r="EA32" i="7"/>
  <c r="DZ32" i="7"/>
  <c r="DY32" i="7"/>
  <c r="DW32" i="7"/>
  <c r="DV32" i="7"/>
  <c r="DU32" i="7"/>
  <c r="DT32" i="7"/>
  <c r="DS32" i="7"/>
  <c r="DR32" i="7"/>
  <c r="DQ32" i="7"/>
  <c r="DP32" i="7"/>
  <c r="DO32" i="7"/>
  <c r="DN32" i="7"/>
  <c r="DM32" i="7"/>
  <c r="DL32" i="7"/>
  <c r="DK32" i="7"/>
  <c r="DJ32" i="7"/>
  <c r="DI32" i="7"/>
  <c r="DH32" i="7"/>
  <c r="DG32" i="7"/>
  <c r="DF32" i="7"/>
  <c r="DB32" i="7"/>
  <c r="CP32" i="7"/>
  <c r="CK32" i="7"/>
  <c r="CJ32" i="7"/>
  <c r="CI32" i="7"/>
  <c r="CH32" i="7"/>
  <c r="CG32" i="7"/>
  <c r="CF32" i="7"/>
  <c r="CR32" i="7" s="1"/>
  <c r="CD32" i="7"/>
  <c r="DA32" i="7" s="1"/>
  <c r="K142" i="7" s="1"/>
  <c r="CB32" i="7"/>
  <c r="CA32" i="7"/>
  <c r="BZ32" i="7"/>
  <c r="BY32" i="7"/>
  <c r="BX32" i="7"/>
  <c r="BW32" i="7"/>
  <c r="BV32" i="7"/>
  <c r="BU32" i="7"/>
  <c r="BT32" i="7"/>
  <c r="BS32" i="7"/>
  <c r="BR32" i="7"/>
  <c r="BQ32" i="7"/>
  <c r="BM32" i="7" s="1"/>
  <c r="BN32" i="7" s="1"/>
  <c r="CO32" i="7" s="1"/>
  <c r="I142" i="7" s="1"/>
  <c r="BP32" i="7"/>
  <c r="DC32" i="7" s="1"/>
  <c r="BO32" i="7"/>
  <c r="BL32" i="7"/>
  <c r="BK32" i="7"/>
  <c r="BJ32" i="7"/>
  <c r="BI32" i="7"/>
  <c r="BH32" i="7"/>
  <c r="BG32" i="7"/>
  <c r="BF32" i="7"/>
  <c r="BE32" i="7"/>
  <c r="BD32" i="7"/>
  <c r="BC32" i="7"/>
  <c r="BA32" i="7"/>
  <c r="AZ32" i="7"/>
  <c r="AY32" i="7"/>
  <c r="AX32" i="7"/>
  <c r="AW32" i="7"/>
  <c r="AV32" i="7"/>
  <c r="AU32" i="7"/>
  <c r="AT32" i="7"/>
  <c r="AS32" i="7"/>
  <c r="AR32" i="7"/>
  <c r="V32" i="7"/>
  <c r="T32" i="7"/>
  <c r="R32" i="7"/>
  <c r="P32" i="7"/>
  <c r="EE31" i="7"/>
  <c r="EF31" i="7" s="1"/>
  <c r="ED31" i="7"/>
  <c r="EC31" i="7"/>
  <c r="EB31" i="7"/>
  <c r="EA31" i="7"/>
  <c r="DZ31" i="7"/>
  <c r="DY31" i="7"/>
  <c r="DW31" i="7"/>
  <c r="DV31" i="7"/>
  <c r="DU31" i="7"/>
  <c r="DT31" i="7"/>
  <c r="DS31" i="7"/>
  <c r="DR31" i="7"/>
  <c r="DQ31" i="7"/>
  <c r="DP31" i="7"/>
  <c r="DO31" i="7"/>
  <c r="DN31" i="7"/>
  <c r="DM31" i="7"/>
  <c r="DL31" i="7"/>
  <c r="DK31" i="7"/>
  <c r="DJ31" i="7"/>
  <c r="DI31" i="7"/>
  <c r="DH31" i="7"/>
  <c r="DG31" i="7"/>
  <c r="DF31" i="7"/>
  <c r="DB31" i="7"/>
  <c r="CP31" i="7"/>
  <c r="CM31" i="7"/>
  <c r="CL31" i="7"/>
  <c r="CK31" i="7"/>
  <c r="CJ31" i="7"/>
  <c r="CI31" i="7"/>
  <c r="CH31" i="7"/>
  <c r="CG31" i="7"/>
  <c r="CF31" i="7"/>
  <c r="CR31" i="7" s="1"/>
  <c r="CE31" i="7"/>
  <c r="CD31" i="7"/>
  <c r="DA31" i="7" s="1"/>
  <c r="K141" i="7" s="1"/>
  <c r="CB31" i="7"/>
  <c r="CA31" i="7"/>
  <c r="BZ31" i="7"/>
  <c r="BY31" i="7"/>
  <c r="BX31" i="7"/>
  <c r="BW31" i="7"/>
  <c r="BV31" i="7"/>
  <c r="BU31" i="7"/>
  <c r="BT31" i="7"/>
  <c r="BS31" i="7"/>
  <c r="BR31" i="7"/>
  <c r="BQ31" i="7"/>
  <c r="BP31" i="7"/>
  <c r="BO31" i="7"/>
  <c r="BL31" i="7"/>
  <c r="BK31" i="7"/>
  <c r="BJ31" i="7"/>
  <c r="BI31" i="7"/>
  <c r="BH31" i="7"/>
  <c r="BG31" i="7"/>
  <c r="BF31" i="7"/>
  <c r="BE31" i="7"/>
  <c r="BD31" i="7"/>
  <c r="BC31" i="7"/>
  <c r="BA31" i="7"/>
  <c r="AZ31" i="7"/>
  <c r="AY31" i="7"/>
  <c r="AX31" i="7"/>
  <c r="BB31" i="7" s="1"/>
  <c r="Q31" i="7" s="1"/>
  <c r="AW31" i="7"/>
  <c r="AV31" i="7"/>
  <c r="AU31" i="7"/>
  <c r="AT31" i="7"/>
  <c r="AS31" i="7"/>
  <c r="AR31" i="7"/>
  <c r="AQ31" i="7"/>
  <c r="V31" i="7"/>
  <c r="U31" i="7"/>
  <c r="CT31" i="7" s="1"/>
  <c r="T31" i="7"/>
  <c r="R31" i="7"/>
  <c r="P31" i="7"/>
  <c r="EE30" i="7"/>
  <c r="ED30" i="7"/>
  <c r="EC30" i="7"/>
  <c r="EB30" i="7"/>
  <c r="EA30" i="7"/>
  <c r="DZ30" i="7"/>
  <c r="DY30" i="7"/>
  <c r="EF30" i="7" s="1"/>
  <c r="DX30" i="7" s="1"/>
  <c r="DW30" i="7"/>
  <c r="DV30" i="7"/>
  <c r="DU30" i="7"/>
  <c r="DT30" i="7"/>
  <c r="DS30" i="7"/>
  <c r="DR30" i="7"/>
  <c r="DQ30" i="7"/>
  <c r="DP30" i="7"/>
  <c r="DO30" i="7"/>
  <c r="DN30" i="7"/>
  <c r="DM30" i="7"/>
  <c r="DL30" i="7"/>
  <c r="DK30" i="7"/>
  <c r="DJ30" i="7"/>
  <c r="DI30" i="7"/>
  <c r="DH30" i="7"/>
  <c r="DG30" i="7"/>
  <c r="DF30" i="7"/>
  <c r="DD30" i="7"/>
  <c r="DC30" i="7"/>
  <c r="CP30" i="7"/>
  <c r="CM30" i="7"/>
  <c r="CL30" i="7"/>
  <c r="CK30" i="7"/>
  <c r="DB30" i="7" s="1"/>
  <c r="CJ30" i="7"/>
  <c r="CI30" i="7"/>
  <c r="CH30" i="7"/>
  <c r="CG30" i="7"/>
  <c r="CF30" i="7"/>
  <c r="CE30" i="7"/>
  <c r="CD30" i="7"/>
  <c r="DA30" i="7" s="1"/>
  <c r="K140" i="7" s="1"/>
  <c r="CB30" i="7"/>
  <c r="CA30" i="7"/>
  <c r="BZ30" i="7"/>
  <c r="BY30" i="7"/>
  <c r="BX30" i="7"/>
  <c r="BW30" i="7"/>
  <c r="BV30" i="7"/>
  <c r="BR30" i="7"/>
  <c r="BQ30" i="7"/>
  <c r="BU30" i="7" s="1"/>
  <c r="BP30" i="7"/>
  <c r="BO30" i="7"/>
  <c r="BL30" i="7"/>
  <c r="BK30" i="7"/>
  <c r="BJ30" i="7"/>
  <c r="BI30" i="7"/>
  <c r="BH30" i="7"/>
  <c r="BG30" i="7"/>
  <c r="BF30" i="7"/>
  <c r="BE30" i="7"/>
  <c r="BD30" i="7"/>
  <c r="BC30" i="7"/>
  <c r="BA30" i="7"/>
  <c r="AZ30" i="7"/>
  <c r="AY30" i="7"/>
  <c r="AX30" i="7"/>
  <c r="AW30" i="7"/>
  <c r="AV30" i="7"/>
  <c r="AU30" i="7"/>
  <c r="AT30" i="7"/>
  <c r="AS30" i="7"/>
  <c r="AR30" i="7"/>
  <c r="V30" i="7"/>
  <c r="R30" i="7"/>
  <c r="P30" i="7"/>
  <c r="U30" i="7" s="1"/>
  <c r="CT30" i="7" s="1"/>
  <c r="EE29" i="7"/>
  <c r="ED29" i="7"/>
  <c r="EC29" i="7"/>
  <c r="EB29" i="7"/>
  <c r="EA29" i="7"/>
  <c r="DZ29" i="7"/>
  <c r="DY29" i="7"/>
  <c r="DW29" i="7"/>
  <c r="DV29" i="7"/>
  <c r="DU29" i="7"/>
  <c r="DT29" i="7"/>
  <c r="DS29" i="7"/>
  <c r="DR29" i="7"/>
  <c r="DQ29" i="7"/>
  <c r="DP29" i="7"/>
  <c r="DO29" i="7"/>
  <c r="DN29" i="7"/>
  <c r="DM29" i="7"/>
  <c r="DL29" i="7"/>
  <c r="DK29" i="7"/>
  <c r="DJ29" i="7"/>
  <c r="DI29" i="7"/>
  <c r="DH29" i="7"/>
  <c r="DG29" i="7"/>
  <c r="DF29" i="7"/>
  <c r="CP29" i="7"/>
  <c r="CM29" i="7"/>
  <c r="CK29" i="7"/>
  <c r="DB29" i="7" s="1"/>
  <c r="CJ29" i="7"/>
  <c r="DD29" i="7" s="1"/>
  <c r="CI29" i="7"/>
  <c r="CH29" i="7"/>
  <c r="CG29" i="7"/>
  <c r="CF29" i="7"/>
  <c r="CE29" i="7"/>
  <c r="CD29" i="7"/>
  <c r="DA29" i="7" s="1"/>
  <c r="K139" i="7" s="1"/>
  <c r="CB29" i="7"/>
  <c r="CA29" i="7"/>
  <c r="BZ29" i="7"/>
  <c r="BT29" i="7"/>
  <c r="BS29" i="7"/>
  <c r="BR29" i="7"/>
  <c r="BQ29" i="7"/>
  <c r="BY29" i="7" s="1"/>
  <c r="BP29" i="7"/>
  <c r="BO29" i="7"/>
  <c r="BL29" i="7"/>
  <c r="BK29" i="7"/>
  <c r="BJ29" i="7"/>
  <c r="BI29" i="7"/>
  <c r="BH29" i="7"/>
  <c r="BG29" i="7"/>
  <c r="BF29" i="7"/>
  <c r="BE29" i="7"/>
  <c r="BD29" i="7"/>
  <c r="BC29" i="7"/>
  <c r="BA29" i="7"/>
  <c r="AZ29" i="7"/>
  <c r="AY29" i="7"/>
  <c r="AX29" i="7"/>
  <c r="AW29" i="7"/>
  <c r="AV29" i="7"/>
  <c r="AU29" i="7"/>
  <c r="AT29" i="7"/>
  <c r="AS29" i="7"/>
  <c r="AR29" i="7"/>
  <c r="V29" i="7"/>
  <c r="R29" i="7"/>
  <c r="EE28" i="7"/>
  <c r="ED28" i="7"/>
  <c r="EC28" i="7"/>
  <c r="EB28" i="7"/>
  <c r="EA28" i="7"/>
  <c r="DZ28" i="7"/>
  <c r="EF28" i="7" s="1"/>
  <c r="DY28" i="7"/>
  <c r="DW28" i="7"/>
  <c r="DV28" i="7"/>
  <c r="DU28" i="7"/>
  <c r="DT28" i="7"/>
  <c r="DS28" i="7"/>
  <c r="DR28" i="7"/>
  <c r="DQ28" i="7"/>
  <c r="DP28" i="7"/>
  <c r="DO28" i="7"/>
  <c r="DN28" i="7"/>
  <c r="DM28" i="7"/>
  <c r="DL28" i="7"/>
  <c r="DK28" i="7"/>
  <c r="DJ28" i="7"/>
  <c r="DI28" i="7"/>
  <c r="DH28" i="7"/>
  <c r="DG28" i="7"/>
  <c r="DF28" i="7"/>
  <c r="CP28" i="7"/>
  <c r="CM28" i="7"/>
  <c r="CK28" i="7"/>
  <c r="DB28" i="7" s="1"/>
  <c r="CJ28" i="7"/>
  <c r="DD28" i="7" s="1"/>
  <c r="CI28" i="7"/>
  <c r="CH28" i="7"/>
  <c r="CG28" i="7"/>
  <c r="CF28" i="7"/>
  <c r="CE28" i="7"/>
  <c r="CD28" i="7"/>
  <c r="DA28" i="7" s="1"/>
  <c r="K138" i="7" s="1"/>
  <c r="BW28" i="7"/>
  <c r="BV28" i="7"/>
  <c r="BS28" i="7"/>
  <c r="BR28" i="7"/>
  <c r="BQ28" i="7"/>
  <c r="CB28" i="7" s="1"/>
  <c r="BP28" i="7"/>
  <c r="BO28" i="7"/>
  <c r="BL28" i="7"/>
  <c r="BK28" i="7"/>
  <c r="BJ28" i="7"/>
  <c r="BI28" i="7"/>
  <c r="BH28" i="7"/>
  <c r="BG28" i="7"/>
  <c r="BF28" i="7"/>
  <c r="BE28" i="7"/>
  <c r="BD28" i="7"/>
  <c r="BC28" i="7"/>
  <c r="BB28" i="7"/>
  <c r="Q28" i="7" s="1"/>
  <c r="AQ28" i="7" s="1"/>
  <c r="BA28" i="7"/>
  <c r="AZ28" i="7"/>
  <c r="AY28" i="7"/>
  <c r="AX28" i="7"/>
  <c r="AW28" i="7"/>
  <c r="AV28" i="7"/>
  <c r="AU28" i="7"/>
  <c r="AT28" i="7"/>
  <c r="AS28" i="7"/>
  <c r="AR28" i="7"/>
  <c r="V28" i="7"/>
  <c r="R28" i="7"/>
  <c r="EE27" i="7"/>
  <c r="ED27" i="7"/>
  <c r="EC27" i="7"/>
  <c r="EB27" i="7"/>
  <c r="EA27" i="7"/>
  <c r="DZ27" i="7"/>
  <c r="DY27" i="7"/>
  <c r="DW27" i="7"/>
  <c r="DV27" i="7"/>
  <c r="DU27" i="7"/>
  <c r="DT27" i="7"/>
  <c r="DS27" i="7"/>
  <c r="DR27" i="7"/>
  <c r="DQ27" i="7"/>
  <c r="DP27" i="7"/>
  <c r="DO27" i="7"/>
  <c r="DN27" i="7"/>
  <c r="DM27" i="7"/>
  <c r="DL27" i="7"/>
  <c r="DK27" i="7"/>
  <c r="DJ27" i="7"/>
  <c r="DI27" i="7"/>
  <c r="DH27" i="7"/>
  <c r="DG27" i="7"/>
  <c r="DF27" i="7"/>
  <c r="CP27" i="7"/>
  <c r="CK27" i="7"/>
  <c r="DB27" i="7" s="1"/>
  <c r="CJ27" i="7"/>
  <c r="DD27" i="7" s="1"/>
  <c r="CH27" i="7"/>
  <c r="T27" i="7" s="1"/>
  <c r="CG27" i="7"/>
  <c r="CF27" i="7"/>
  <c r="BR27" i="7"/>
  <c r="BQ27" i="7"/>
  <c r="BP27" i="7"/>
  <c r="DC27" i="7" s="1"/>
  <c r="BO27" i="7"/>
  <c r="BM27" i="7"/>
  <c r="BN27" i="7" s="1"/>
  <c r="CO27" i="7" s="1"/>
  <c r="I137" i="7" s="1"/>
  <c r="BL27" i="7"/>
  <c r="BK27" i="7"/>
  <c r="BJ27" i="7"/>
  <c r="BI27" i="7"/>
  <c r="BH27" i="7"/>
  <c r="BG27" i="7"/>
  <c r="BF27" i="7"/>
  <c r="BE27" i="7"/>
  <c r="BD27" i="7"/>
  <c r="BC27" i="7"/>
  <c r="BA27" i="7"/>
  <c r="AZ27" i="7"/>
  <c r="AY27" i="7"/>
  <c r="AX27" i="7"/>
  <c r="AW27" i="7"/>
  <c r="AV27" i="7"/>
  <c r="AU27" i="7"/>
  <c r="AT27" i="7"/>
  <c r="BB27" i="7" s="1"/>
  <c r="Q27" i="7" s="1"/>
  <c r="AQ27" i="7" s="1"/>
  <c r="AS27" i="7"/>
  <c r="AR27" i="7"/>
  <c r="V27" i="7"/>
  <c r="R27" i="7"/>
  <c r="EE26" i="7"/>
  <c r="ED26" i="7"/>
  <c r="EC26" i="7"/>
  <c r="EB26" i="7"/>
  <c r="EA26" i="7"/>
  <c r="DZ26" i="7"/>
  <c r="DY26" i="7"/>
  <c r="EF26" i="7" s="1"/>
  <c r="DX26" i="7"/>
  <c r="DW26" i="7"/>
  <c r="DV26" i="7"/>
  <c r="DU26" i="7"/>
  <c r="DT26" i="7"/>
  <c r="DS26" i="7"/>
  <c r="DR26" i="7"/>
  <c r="DQ26" i="7"/>
  <c r="DP26" i="7"/>
  <c r="DO26" i="7"/>
  <c r="DN26" i="7"/>
  <c r="DM26" i="7"/>
  <c r="DL26" i="7"/>
  <c r="DK26" i="7"/>
  <c r="DJ26" i="7"/>
  <c r="DI26" i="7"/>
  <c r="DH26" i="7"/>
  <c r="DG26" i="7"/>
  <c r="DF26" i="7"/>
  <c r="DB26" i="7"/>
  <c r="CR26" i="7"/>
  <c r="CP26" i="7"/>
  <c r="CK26" i="7"/>
  <c r="CJ26" i="7"/>
  <c r="CH26" i="7"/>
  <c r="CG26" i="7"/>
  <c r="CF26" i="7"/>
  <c r="CA26" i="7"/>
  <c r="BV26" i="7"/>
  <c r="BS26" i="7"/>
  <c r="BR26" i="7"/>
  <c r="BQ26" i="7"/>
  <c r="BP26" i="7"/>
  <c r="DC26" i="7" s="1"/>
  <c r="BO26" i="7"/>
  <c r="BL26" i="7"/>
  <c r="BK26" i="7"/>
  <c r="BJ26" i="7"/>
  <c r="BI26" i="7"/>
  <c r="BH26" i="7"/>
  <c r="BG26" i="7"/>
  <c r="BF26" i="7"/>
  <c r="BE26" i="7"/>
  <c r="BD26" i="7"/>
  <c r="BC26" i="7"/>
  <c r="BA26" i="7"/>
  <c r="AZ26" i="7"/>
  <c r="AY26" i="7"/>
  <c r="AX26" i="7"/>
  <c r="AW26" i="7"/>
  <c r="AV26" i="7"/>
  <c r="AU26" i="7"/>
  <c r="AT26" i="7"/>
  <c r="AS26" i="7"/>
  <c r="AR26" i="7"/>
  <c r="BB26" i="7" s="1"/>
  <c r="V26" i="7"/>
  <c r="T26" i="7"/>
  <c r="R26" i="7"/>
  <c r="Q26" i="7"/>
  <c r="AQ26" i="7" s="1"/>
  <c r="EE25" i="7"/>
  <c r="ED25" i="7"/>
  <c r="EC25" i="7"/>
  <c r="EB25" i="7"/>
  <c r="DZ25" i="7"/>
  <c r="DY25" i="7"/>
  <c r="DW25" i="7"/>
  <c r="DV25" i="7"/>
  <c r="DT25" i="7"/>
  <c r="DS25" i="7"/>
  <c r="DR25" i="7"/>
  <c r="DP25" i="7"/>
  <c r="DO25" i="7"/>
  <c r="DN25" i="7"/>
  <c r="DM25" i="7"/>
  <c r="DL25" i="7"/>
  <c r="DJ25" i="7"/>
  <c r="DI25" i="7"/>
  <c r="DH25" i="7"/>
  <c r="DG25" i="7"/>
  <c r="DC25" i="7"/>
  <c r="DB25" i="7"/>
  <c r="CP25" i="7"/>
  <c r="CK25" i="7"/>
  <c r="CJ25" i="7"/>
  <c r="CH25" i="7"/>
  <c r="CG25" i="7"/>
  <c r="CF25" i="7"/>
  <c r="CE25" i="7"/>
  <c r="BZ25" i="7"/>
  <c r="BW25" i="7"/>
  <c r="BR25" i="7"/>
  <c r="BQ25" i="7"/>
  <c r="BO25" i="7" s="1"/>
  <c r="BP25" i="7"/>
  <c r="BL25" i="7"/>
  <c r="BK25" i="7"/>
  <c r="BJ25" i="7"/>
  <c r="BI25" i="7"/>
  <c r="BH25" i="7"/>
  <c r="BG25" i="7"/>
  <c r="BF25" i="7"/>
  <c r="BE25" i="7"/>
  <c r="BD25" i="7"/>
  <c r="BA25" i="7"/>
  <c r="AZ25" i="7"/>
  <c r="AX25" i="7"/>
  <c r="AW25" i="7"/>
  <c r="AV25" i="7"/>
  <c r="AU25" i="7"/>
  <c r="AT25" i="7"/>
  <c r="AS25" i="7"/>
  <c r="AR25" i="7"/>
  <c r="EE24" i="7"/>
  <c r="ED24" i="7"/>
  <c r="EC24" i="7"/>
  <c r="EB24" i="7"/>
  <c r="DZ24" i="7"/>
  <c r="DY24" i="7"/>
  <c r="DW24" i="7"/>
  <c r="DV24" i="7"/>
  <c r="DT24" i="7"/>
  <c r="DS24" i="7"/>
  <c r="DR24" i="7"/>
  <c r="DP24" i="7"/>
  <c r="DO24" i="7"/>
  <c r="DN24" i="7"/>
  <c r="DM24" i="7"/>
  <c r="DL24" i="7"/>
  <c r="DK24" i="7"/>
  <c r="DJ24" i="7"/>
  <c r="DI24" i="7"/>
  <c r="DH24" i="7"/>
  <c r="DG24" i="7"/>
  <c r="DF24" i="7"/>
  <c r="DD24" i="7"/>
  <c r="DB24" i="7"/>
  <c r="CP24" i="7"/>
  <c r="CK24" i="7"/>
  <c r="CJ24" i="7"/>
  <c r="CI24" i="7"/>
  <c r="CH24" i="7"/>
  <c r="CG24" i="7"/>
  <c r="CF24" i="7"/>
  <c r="CR24" i="7" s="1"/>
  <c r="BW24" i="7"/>
  <c r="BV24" i="7"/>
  <c r="BT24" i="7"/>
  <c r="BR24" i="7"/>
  <c r="BQ24" i="7"/>
  <c r="BP24" i="7"/>
  <c r="DC24" i="7" s="1"/>
  <c r="BL24" i="7"/>
  <c r="BK24" i="7"/>
  <c r="BJ24" i="7"/>
  <c r="BI24" i="7"/>
  <c r="BH24" i="7"/>
  <c r="BG24" i="7"/>
  <c r="BF24" i="7"/>
  <c r="BE24" i="7"/>
  <c r="BD24" i="7"/>
  <c r="BA24" i="7"/>
  <c r="AZ24" i="7"/>
  <c r="AX24" i="7"/>
  <c r="AW24" i="7"/>
  <c r="AV24" i="7"/>
  <c r="AU24" i="7"/>
  <c r="AT24" i="7"/>
  <c r="AS24" i="7"/>
  <c r="AR24" i="7"/>
  <c r="T24" i="7"/>
  <c r="EE23" i="7"/>
  <c r="ED23" i="7"/>
  <c r="EC23" i="7"/>
  <c r="EB23" i="7"/>
  <c r="DZ23" i="7"/>
  <c r="DY23" i="7"/>
  <c r="DW23" i="7"/>
  <c r="DV23" i="7"/>
  <c r="DT23" i="7"/>
  <c r="DS23" i="7"/>
  <c r="DR23" i="7"/>
  <c r="DP23" i="7"/>
  <c r="DO23" i="7"/>
  <c r="DN23" i="7"/>
  <c r="DM23" i="7"/>
  <c r="DL23" i="7"/>
  <c r="DK23" i="7"/>
  <c r="DJ23" i="7"/>
  <c r="DI23" i="7"/>
  <c r="DH23" i="7"/>
  <c r="DG23" i="7"/>
  <c r="DF23" i="7"/>
  <c r="DB23" i="7"/>
  <c r="DA23" i="7"/>
  <c r="K133" i="7" s="1"/>
  <c r="CP23" i="7"/>
  <c r="CK23" i="7"/>
  <c r="CJ23" i="7"/>
  <c r="CH23" i="7"/>
  <c r="CG23" i="7"/>
  <c r="CF23" i="7"/>
  <c r="CD23" i="7"/>
  <c r="CB23" i="7"/>
  <c r="BZ23" i="7"/>
  <c r="BY23" i="7"/>
  <c r="BV23" i="7"/>
  <c r="BT23" i="7"/>
  <c r="BR23" i="7"/>
  <c r="BQ23" i="7"/>
  <c r="BP23" i="7"/>
  <c r="BL23" i="7"/>
  <c r="BK23" i="7"/>
  <c r="BJ23" i="7"/>
  <c r="BI23" i="7"/>
  <c r="BH23" i="7"/>
  <c r="BG23" i="7"/>
  <c r="BF23" i="7"/>
  <c r="BE23" i="7"/>
  <c r="BD23" i="7"/>
  <c r="BA23" i="7"/>
  <c r="AZ23" i="7"/>
  <c r="AX23" i="7"/>
  <c r="AW23" i="7"/>
  <c r="AV23" i="7"/>
  <c r="AU23" i="7"/>
  <c r="AT23" i="7"/>
  <c r="AS23" i="7"/>
  <c r="AR23" i="7"/>
  <c r="EE22" i="7"/>
  <c r="ED22" i="7"/>
  <c r="EC22" i="7"/>
  <c r="EB22" i="7"/>
  <c r="DZ22" i="7"/>
  <c r="DY22" i="7"/>
  <c r="DW22" i="7"/>
  <c r="DV22" i="7"/>
  <c r="DT22" i="7"/>
  <c r="DS22" i="7"/>
  <c r="DR22" i="7"/>
  <c r="DQ22" i="7"/>
  <c r="DP22" i="7"/>
  <c r="DO22" i="7"/>
  <c r="DN22" i="7"/>
  <c r="DM22" i="7"/>
  <c r="DL22" i="7"/>
  <c r="DK22" i="7"/>
  <c r="DJ22" i="7"/>
  <c r="DI22" i="7"/>
  <c r="DH22" i="7"/>
  <c r="DG22" i="7"/>
  <c r="DF22" i="7"/>
  <c r="DD22" i="7"/>
  <c r="DC22" i="7"/>
  <c r="CP22" i="7"/>
  <c r="CK22" i="7"/>
  <c r="DB22" i="7" s="1"/>
  <c r="CJ22" i="7"/>
  <c r="CI22" i="7"/>
  <c r="CH22" i="7"/>
  <c r="CG22" i="7"/>
  <c r="CF22" i="7"/>
  <c r="CE22" i="7"/>
  <c r="CD22" i="7"/>
  <c r="DA22" i="7" s="1"/>
  <c r="K132" i="7" s="1"/>
  <c r="CB22" i="7"/>
  <c r="CA22" i="7"/>
  <c r="BZ22" i="7"/>
  <c r="BY22" i="7"/>
  <c r="BX22" i="7"/>
  <c r="BW22" i="7"/>
  <c r="BV22" i="7"/>
  <c r="BU22" i="7"/>
  <c r="BR22" i="7"/>
  <c r="BQ22" i="7"/>
  <c r="BT22" i="7" s="1"/>
  <c r="BP22" i="7"/>
  <c r="BO22" i="7"/>
  <c r="BL22" i="7"/>
  <c r="BK22" i="7"/>
  <c r="BJ22" i="7"/>
  <c r="BI22" i="7"/>
  <c r="BH22" i="7"/>
  <c r="BG22" i="7"/>
  <c r="BF22" i="7"/>
  <c r="BE22" i="7"/>
  <c r="BD22" i="7"/>
  <c r="BA22" i="7"/>
  <c r="AZ22" i="7"/>
  <c r="AX22" i="7"/>
  <c r="AW22" i="7"/>
  <c r="AV22" i="7"/>
  <c r="AU22" i="7"/>
  <c r="AT22" i="7"/>
  <c r="AS22" i="7"/>
  <c r="AR22" i="7"/>
  <c r="EE21" i="7"/>
  <c r="ED21" i="7"/>
  <c r="EC21" i="7"/>
  <c r="EB21" i="7"/>
  <c r="DZ21" i="7"/>
  <c r="DY21" i="7"/>
  <c r="DW21" i="7"/>
  <c r="DV21" i="7"/>
  <c r="DT21" i="7"/>
  <c r="DS21" i="7"/>
  <c r="DR21" i="7"/>
  <c r="DP21" i="7"/>
  <c r="DO21" i="7"/>
  <c r="DN21" i="7"/>
  <c r="DM21" i="7"/>
  <c r="DL21" i="7"/>
  <c r="DK21" i="7"/>
  <c r="DJ21" i="7"/>
  <c r="DI21" i="7"/>
  <c r="DH21" i="7"/>
  <c r="DG21" i="7"/>
  <c r="DF21" i="7"/>
  <c r="CP21" i="7"/>
  <c r="CK21" i="7"/>
  <c r="DB21" i="7" s="1"/>
  <c r="CJ21" i="7"/>
  <c r="CI21" i="7"/>
  <c r="CH21" i="7"/>
  <c r="CG21" i="7"/>
  <c r="CF21" i="7"/>
  <c r="CE21" i="7"/>
  <c r="CD21" i="7"/>
  <c r="DA21" i="7" s="1"/>
  <c r="K131" i="7" s="1"/>
  <c r="CB21" i="7"/>
  <c r="CA21" i="7"/>
  <c r="BZ21" i="7"/>
  <c r="BR21" i="7"/>
  <c r="BQ21" i="7"/>
  <c r="BP21" i="7"/>
  <c r="DC21" i="7" s="1"/>
  <c r="BO21" i="7"/>
  <c r="BL21" i="7"/>
  <c r="BK21" i="7"/>
  <c r="BJ21" i="7"/>
  <c r="BI21" i="7"/>
  <c r="BH21" i="7"/>
  <c r="BG21" i="7"/>
  <c r="BF21" i="7"/>
  <c r="BE21" i="7"/>
  <c r="BD21" i="7"/>
  <c r="BA21" i="7"/>
  <c r="AZ21" i="7"/>
  <c r="AX21" i="7"/>
  <c r="AW21" i="7"/>
  <c r="AV21" i="7"/>
  <c r="AU21" i="7"/>
  <c r="AT21" i="7"/>
  <c r="AS21" i="7"/>
  <c r="EE20" i="7"/>
  <c r="ED20" i="7"/>
  <c r="EC20" i="7"/>
  <c r="EB20" i="7"/>
  <c r="DZ20" i="7"/>
  <c r="DY20" i="7"/>
  <c r="DW20" i="7"/>
  <c r="DV20" i="7"/>
  <c r="DT20" i="7"/>
  <c r="DS20" i="7"/>
  <c r="DR20" i="7"/>
  <c r="DQ20" i="7"/>
  <c r="DP20" i="7"/>
  <c r="DO20" i="7"/>
  <c r="DO42" i="7" s="1"/>
  <c r="DN20" i="7"/>
  <c r="DN42" i="7" s="1"/>
  <c r="DM20" i="7"/>
  <c r="DL20" i="7"/>
  <c r="DK20" i="7"/>
  <c r="DJ20" i="7"/>
  <c r="DI20" i="7"/>
  <c r="DH20" i="7"/>
  <c r="DG20" i="7"/>
  <c r="CP20" i="7"/>
  <c r="CK20" i="7"/>
  <c r="DB20" i="7" s="1"/>
  <c r="CJ20" i="7"/>
  <c r="CI20" i="7"/>
  <c r="CH20" i="7"/>
  <c r="CG20" i="7"/>
  <c r="CF20" i="7"/>
  <c r="CE20" i="7"/>
  <c r="CD20" i="7"/>
  <c r="DA20" i="7" s="1"/>
  <c r="K130" i="7" s="1"/>
  <c r="CB20" i="7"/>
  <c r="BY20" i="7"/>
  <c r="BV20" i="7"/>
  <c r="BU20" i="7"/>
  <c r="BR20" i="7"/>
  <c r="BQ20" i="7"/>
  <c r="CA20" i="7" s="1"/>
  <c r="BP20" i="7"/>
  <c r="BL20" i="7"/>
  <c r="BK20" i="7"/>
  <c r="BJ20" i="7"/>
  <c r="BI20" i="7"/>
  <c r="BH20" i="7"/>
  <c r="BG20" i="7"/>
  <c r="BF20" i="7"/>
  <c r="BE20" i="7"/>
  <c r="BD20" i="7"/>
  <c r="BA20" i="7"/>
  <c r="AZ20" i="7"/>
  <c r="AX20" i="7"/>
  <c r="AW20" i="7"/>
  <c r="AV20" i="7"/>
  <c r="AU20" i="7"/>
  <c r="AT20" i="7"/>
  <c r="AS20" i="7"/>
  <c r="EE19" i="7"/>
  <c r="ED19" i="7"/>
  <c r="EC19" i="7"/>
  <c r="EB19" i="7"/>
  <c r="DZ19" i="7"/>
  <c r="DY19" i="7"/>
  <c r="DW19" i="7"/>
  <c r="DV19" i="7"/>
  <c r="DT19" i="7"/>
  <c r="DS19" i="7"/>
  <c r="DR19" i="7"/>
  <c r="DQ19" i="7"/>
  <c r="DP19" i="7"/>
  <c r="DO19" i="7"/>
  <c r="DN19" i="7"/>
  <c r="DM19" i="7"/>
  <c r="DL19" i="7"/>
  <c r="DJ19" i="7"/>
  <c r="DI19" i="7"/>
  <c r="DH19" i="7"/>
  <c r="DG19" i="7"/>
  <c r="DF19" i="7"/>
  <c r="CP19" i="7"/>
  <c r="CK19" i="7"/>
  <c r="DB19" i="7" s="1"/>
  <c r="CJ19" i="7"/>
  <c r="DD19" i="7" s="1"/>
  <c r="CI19" i="7"/>
  <c r="CH19" i="7"/>
  <c r="CG19" i="7"/>
  <c r="CR19" i="7" s="1"/>
  <c r="CF19" i="7"/>
  <c r="BY19" i="7"/>
  <c r="BW19" i="7"/>
  <c r="BR19" i="7"/>
  <c r="BQ19" i="7"/>
  <c r="BP19" i="7"/>
  <c r="DC19" i="7" s="1"/>
  <c r="BO19" i="7"/>
  <c r="BL19" i="7"/>
  <c r="BK19" i="7"/>
  <c r="BJ19" i="7"/>
  <c r="BI19" i="7"/>
  <c r="BH19" i="7"/>
  <c r="BG19" i="7"/>
  <c r="BF19" i="7"/>
  <c r="BE19" i="7"/>
  <c r="BD19" i="7"/>
  <c r="BA19" i="7"/>
  <c r="AZ19" i="7"/>
  <c r="AX19" i="7"/>
  <c r="AW19" i="7"/>
  <c r="AV19" i="7"/>
  <c r="AU19" i="7"/>
  <c r="AT19" i="7"/>
  <c r="AS19" i="7"/>
  <c r="AR19" i="7"/>
  <c r="EE18" i="7"/>
  <c r="ED18" i="7"/>
  <c r="EC18" i="7"/>
  <c r="EB18" i="7"/>
  <c r="DZ18" i="7"/>
  <c r="DY18" i="7"/>
  <c r="DW18" i="7"/>
  <c r="DV18" i="7"/>
  <c r="DT18" i="7"/>
  <c r="DS18" i="7"/>
  <c r="DR18" i="7"/>
  <c r="DP18" i="7"/>
  <c r="DO18" i="7"/>
  <c r="DN18" i="7"/>
  <c r="DM18" i="7"/>
  <c r="DL18" i="7"/>
  <c r="DK18" i="7"/>
  <c r="DJ18" i="7"/>
  <c r="DI18" i="7"/>
  <c r="DH18" i="7"/>
  <c r="DG18" i="7"/>
  <c r="CP18" i="7"/>
  <c r="CK18" i="7"/>
  <c r="DB18" i="7" s="1"/>
  <c r="CJ18" i="7"/>
  <c r="DD18" i="7" s="1"/>
  <c r="CH18" i="7"/>
  <c r="CG18" i="7"/>
  <c r="CR18" i="7" s="1"/>
  <c r="CF18" i="7"/>
  <c r="BV18" i="7"/>
  <c r="BU18" i="7"/>
  <c r="BT18" i="7"/>
  <c r="BR18" i="7"/>
  <c r="BQ18" i="7"/>
  <c r="BO18" i="7" s="1"/>
  <c r="BP18" i="7"/>
  <c r="DC18" i="7" s="1"/>
  <c r="BL18" i="7"/>
  <c r="BK18" i="7"/>
  <c r="BJ18" i="7"/>
  <c r="BI18" i="7"/>
  <c r="BH18" i="7"/>
  <c r="BG18" i="7"/>
  <c r="BF18" i="7"/>
  <c r="BE18" i="7"/>
  <c r="BD18" i="7"/>
  <c r="BA18" i="7"/>
  <c r="AZ18" i="7"/>
  <c r="AX18" i="7"/>
  <c r="AW18" i="7"/>
  <c r="AV18" i="7"/>
  <c r="AU18" i="7"/>
  <c r="AT18" i="7"/>
  <c r="AS18" i="7"/>
  <c r="T18" i="7"/>
  <c r="EE17" i="7"/>
  <c r="ED17" i="7"/>
  <c r="EC17" i="7"/>
  <c r="EB17" i="7"/>
  <c r="DZ17" i="7"/>
  <c r="DY17" i="7"/>
  <c r="DW17" i="7"/>
  <c r="DV17" i="7"/>
  <c r="DT17" i="7"/>
  <c r="DS17" i="7"/>
  <c r="DR17" i="7"/>
  <c r="DQ17" i="7"/>
  <c r="DP17" i="7"/>
  <c r="DO17" i="7"/>
  <c r="DN17" i="7"/>
  <c r="DM17" i="7"/>
  <c r="DL17" i="7"/>
  <c r="DJ17" i="7"/>
  <c r="DI17" i="7"/>
  <c r="DH17" i="7"/>
  <c r="DG17" i="7"/>
  <c r="DF17" i="7"/>
  <c r="CP17" i="7"/>
  <c r="CK17" i="7"/>
  <c r="DB17" i="7" s="1"/>
  <c r="CJ17" i="7"/>
  <c r="CH17" i="7"/>
  <c r="CG17" i="7"/>
  <c r="CF17" i="7"/>
  <c r="CR17" i="7" s="1"/>
  <c r="CE17" i="7"/>
  <c r="BY17" i="7"/>
  <c r="BW17" i="7"/>
  <c r="BV17" i="7"/>
  <c r="BU17" i="7"/>
  <c r="BR17" i="7"/>
  <c r="BQ17" i="7"/>
  <c r="BO17" i="7" s="1"/>
  <c r="BP17" i="7"/>
  <c r="DC17" i="7" s="1"/>
  <c r="BL17" i="7"/>
  <c r="BK17" i="7"/>
  <c r="BJ17" i="7"/>
  <c r="BI17" i="7"/>
  <c r="BH17" i="7"/>
  <c r="BG17" i="7"/>
  <c r="BF17" i="7"/>
  <c r="BE17" i="7"/>
  <c r="BD17" i="7"/>
  <c r="BA17" i="7"/>
  <c r="AZ17" i="7"/>
  <c r="AX17" i="7"/>
  <c r="AW17" i="7"/>
  <c r="AV17" i="7"/>
  <c r="AU17" i="7"/>
  <c r="AT17" i="7"/>
  <c r="AS17" i="7"/>
  <c r="AR17" i="7"/>
  <c r="EE16" i="7"/>
  <c r="ED16" i="7"/>
  <c r="EC16" i="7"/>
  <c r="EB16" i="7"/>
  <c r="DZ16" i="7"/>
  <c r="DY16" i="7"/>
  <c r="DW16" i="7"/>
  <c r="DV16" i="7"/>
  <c r="DT16" i="7"/>
  <c r="DS16" i="7"/>
  <c r="DR16" i="7"/>
  <c r="DQ16" i="7"/>
  <c r="DP16" i="7"/>
  <c r="DO16" i="7"/>
  <c r="DN16" i="7"/>
  <c r="DM16" i="7"/>
  <c r="DL16" i="7"/>
  <c r="DK16" i="7"/>
  <c r="DJ16" i="7"/>
  <c r="DI16" i="7"/>
  <c r="DH16" i="7"/>
  <c r="DG16" i="7"/>
  <c r="DF16" i="7"/>
  <c r="DB16" i="7"/>
  <c r="CP16" i="7"/>
  <c r="CK16" i="7"/>
  <c r="CJ16" i="7"/>
  <c r="DD16" i="7" s="1"/>
  <c r="CH16" i="7"/>
  <c r="CR16" i="7" s="1"/>
  <c r="CG16" i="7"/>
  <c r="CF16" i="7"/>
  <c r="CE16" i="7"/>
  <c r="CB16" i="7"/>
  <c r="BX16" i="7"/>
  <c r="BR16" i="7"/>
  <c r="BQ16" i="7"/>
  <c r="BO16" i="7" s="1"/>
  <c r="BP16" i="7"/>
  <c r="DC16" i="7" s="1"/>
  <c r="BL16" i="7"/>
  <c r="BK16" i="7"/>
  <c r="BJ16" i="7"/>
  <c r="BI16" i="7"/>
  <c r="BH16" i="7"/>
  <c r="BG16" i="7"/>
  <c r="BF16" i="7"/>
  <c r="BE16" i="7"/>
  <c r="BD16" i="7"/>
  <c r="BA16" i="7"/>
  <c r="AZ16" i="7"/>
  <c r="AX16" i="7"/>
  <c r="AW16" i="7"/>
  <c r="AV16" i="7"/>
  <c r="AU16" i="7"/>
  <c r="AT16" i="7"/>
  <c r="AS16" i="7"/>
  <c r="AR16" i="7"/>
  <c r="EE15" i="7"/>
  <c r="ED15" i="7"/>
  <c r="EC15" i="7"/>
  <c r="EB15" i="7"/>
  <c r="DZ15" i="7"/>
  <c r="DY15" i="7"/>
  <c r="DW15" i="7"/>
  <c r="DV15" i="7"/>
  <c r="DT15" i="7"/>
  <c r="DS15" i="7"/>
  <c r="DR15" i="7"/>
  <c r="DQ15" i="7"/>
  <c r="DP15" i="7"/>
  <c r="DO15" i="7"/>
  <c r="DN15" i="7"/>
  <c r="DM15" i="7"/>
  <c r="DL15" i="7"/>
  <c r="DK15" i="7"/>
  <c r="DJ15" i="7"/>
  <c r="DI15" i="7"/>
  <c r="DH15" i="7"/>
  <c r="DG15" i="7"/>
  <c r="DF15" i="7"/>
  <c r="DB15" i="7"/>
  <c r="CP15" i="7"/>
  <c r="CK15" i="7"/>
  <c r="CJ15" i="7"/>
  <c r="DD15" i="7" s="1"/>
  <c r="CH15" i="7"/>
  <c r="CG15" i="7"/>
  <c r="CF15" i="7"/>
  <c r="CR15" i="7" s="1"/>
  <c r="BR15" i="7"/>
  <c r="BQ15" i="7"/>
  <c r="BP15" i="7"/>
  <c r="DC15" i="7" s="1"/>
  <c r="BO15" i="7"/>
  <c r="BL15" i="7"/>
  <c r="BK15" i="7"/>
  <c r="BJ15" i="7"/>
  <c r="BI15" i="7"/>
  <c r="BH15" i="7"/>
  <c r="BG15" i="7"/>
  <c r="BF15" i="7"/>
  <c r="BE15" i="7"/>
  <c r="BD15" i="7"/>
  <c r="BA15" i="7"/>
  <c r="AZ15" i="7"/>
  <c r="AX15" i="7"/>
  <c r="AW15" i="7"/>
  <c r="AV15" i="7"/>
  <c r="AU15" i="7"/>
  <c r="AT15" i="7"/>
  <c r="AS15" i="7"/>
  <c r="AR15" i="7"/>
  <c r="T15" i="7"/>
  <c r="EE14" i="7"/>
  <c r="ED14" i="7"/>
  <c r="EC14" i="7"/>
  <c r="EB14" i="7"/>
  <c r="DZ14" i="7"/>
  <c r="DY14" i="7"/>
  <c r="DW14" i="7"/>
  <c r="DV14" i="7"/>
  <c r="DT14" i="7"/>
  <c r="DS14" i="7"/>
  <c r="DR14" i="7"/>
  <c r="DQ14" i="7"/>
  <c r="DP14" i="7"/>
  <c r="DO14" i="7"/>
  <c r="DN14" i="7"/>
  <c r="DM14" i="7"/>
  <c r="DL14" i="7"/>
  <c r="DK14" i="7"/>
  <c r="DJ14" i="7"/>
  <c r="DI14" i="7"/>
  <c r="DH14" i="7"/>
  <c r="DG14" i="7"/>
  <c r="DF14" i="7"/>
  <c r="DC14" i="7"/>
  <c r="DB14" i="7"/>
  <c r="DA14" i="7"/>
  <c r="K124" i="7" s="1"/>
  <c r="CP14" i="7"/>
  <c r="CK14" i="7"/>
  <c r="CJ14" i="7"/>
  <c r="DD14" i="7" s="1"/>
  <c r="CH14" i="7"/>
  <c r="CG14" i="7"/>
  <c r="CF14" i="7"/>
  <c r="CE14" i="7"/>
  <c r="CD14" i="7"/>
  <c r="CB14" i="7"/>
  <c r="CA14" i="7"/>
  <c r="BZ14" i="7"/>
  <c r="BY14" i="7"/>
  <c r="BX14" i="7"/>
  <c r="BW14" i="7"/>
  <c r="BV14" i="7"/>
  <c r="BU14" i="7"/>
  <c r="BT14" i="7"/>
  <c r="BR14" i="7"/>
  <c r="BQ14" i="7"/>
  <c r="BP14" i="7"/>
  <c r="BO14" i="7"/>
  <c r="BL14" i="7"/>
  <c r="BK14" i="7"/>
  <c r="BJ14" i="7"/>
  <c r="BI14" i="7"/>
  <c r="BH14" i="7"/>
  <c r="BG14" i="7"/>
  <c r="BF14" i="7"/>
  <c r="BE14" i="7"/>
  <c r="BD14" i="7"/>
  <c r="BA14" i="7"/>
  <c r="AZ14" i="7"/>
  <c r="AX14" i="7"/>
  <c r="AW14" i="7"/>
  <c r="AV14" i="7"/>
  <c r="AU14" i="7"/>
  <c r="AT14" i="7"/>
  <c r="AS14" i="7"/>
  <c r="AR14" i="7"/>
  <c r="EE13" i="7"/>
  <c r="ED13" i="7"/>
  <c r="EC13" i="7"/>
  <c r="EB13" i="7"/>
  <c r="DZ13" i="7"/>
  <c r="DY13" i="7"/>
  <c r="DW13" i="7"/>
  <c r="DV13" i="7"/>
  <c r="DT13" i="7"/>
  <c r="DS13" i="7"/>
  <c r="DR13" i="7"/>
  <c r="DQ13" i="7"/>
  <c r="DP13" i="7"/>
  <c r="DO13" i="7"/>
  <c r="DN13" i="7"/>
  <c r="DM13" i="7"/>
  <c r="DL13" i="7"/>
  <c r="DK13" i="7"/>
  <c r="DJ13" i="7"/>
  <c r="DI13" i="7"/>
  <c r="DH13" i="7"/>
  <c r="DG13" i="7"/>
  <c r="DF13" i="7"/>
  <c r="DD13" i="7"/>
  <c r="DA13" i="7"/>
  <c r="K123" i="7" s="1"/>
  <c r="CR13" i="7"/>
  <c r="CP13" i="7"/>
  <c r="CK13" i="7"/>
  <c r="DB13" i="7" s="1"/>
  <c r="CJ13" i="7"/>
  <c r="CI13" i="7"/>
  <c r="CH13" i="7"/>
  <c r="CG13" i="7"/>
  <c r="CF13" i="7"/>
  <c r="T13" i="7" s="1"/>
  <c r="CE13" i="7"/>
  <c r="CD13" i="7"/>
  <c r="CB13" i="7"/>
  <c r="CA13" i="7"/>
  <c r="BZ13" i="7"/>
  <c r="BY13" i="7"/>
  <c r="BX13" i="7"/>
  <c r="BW13" i="7"/>
  <c r="BV13" i="7"/>
  <c r="BU13" i="7"/>
  <c r="BT13" i="7"/>
  <c r="BR13" i="7"/>
  <c r="BQ13" i="7"/>
  <c r="BP13" i="7"/>
  <c r="DC13" i="7" s="1"/>
  <c r="BO13" i="7"/>
  <c r="BL13" i="7"/>
  <c r="BK13" i="7"/>
  <c r="BJ13" i="7"/>
  <c r="BI13" i="7"/>
  <c r="BH13" i="7"/>
  <c r="BG13" i="7"/>
  <c r="BF13" i="7"/>
  <c r="BE13" i="7"/>
  <c r="BD13" i="7"/>
  <c r="BA13" i="7"/>
  <c r="AZ13" i="7"/>
  <c r="AX13" i="7"/>
  <c r="AW13" i="7"/>
  <c r="AV13" i="7"/>
  <c r="AU13" i="7"/>
  <c r="AT13" i="7"/>
  <c r="AS13" i="7"/>
  <c r="AR13" i="7"/>
  <c r="EE12" i="7"/>
  <c r="ED12" i="7"/>
  <c r="EC12" i="7"/>
  <c r="EB12" i="7"/>
  <c r="DZ12" i="7"/>
  <c r="DY12" i="7"/>
  <c r="DW12" i="7"/>
  <c r="DV12" i="7"/>
  <c r="DU12" i="7"/>
  <c r="DT12" i="7"/>
  <c r="DS12" i="7"/>
  <c r="DR12" i="7"/>
  <c r="DQ12" i="7"/>
  <c r="DP12" i="7"/>
  <c r="DO12" i="7"/>
  <c r="DN12" i="7"/>
  <c r="DM12" i="7"/>
  <c r="DL12" i="7"/>
  <c r="DK12" i="7"/>
  <c r="DJ12" i="7"/>
  <c r="DI12" i="7"/>
  <c r="DH12" i="7"/>
  <c r="DG12" i="7"/>
  <c r="CP12" i="7"/>
  <c r="CK12" i="7"/>
  <c r="DB12" i="7" s="1"/>
  <c r="CJ12" i="7"/>
  <c r="DD12" i="7" s="1"/>
  <c r="CI12" i="7"/>
  <c r="CH12" i="7"/>
  <c r="CG12" i="7"/>
  <c r="CF12" i="7"/>
  <c r="CR12" i="7" s="1"/>
  <c r="CE12" i="7"/>
  <c r="CD12" i="7"/>
  <c r="DA12" i="7" s="1"/>
  <c r="K122" i="7" s="1"/>
  <c r="CB12" i="7"/>
  <c r="CA12" i="7"/>
  <c r="BZ12" i="7"/>
  <c r="BY12" i="7"/>
  <c r="BX12" i="7"/>
  <c r="BW12" i="7"/>
  <c r="BV12" i="7"/>
  <c r="BT12" i="7"/>
  <c r="BR12" i="7"/>
  <c r="BQ12" i="7"/>
  <c r="BU12" i="7" s="1"/>
  <c r="BP12" i="7"/>
  <c r="DC12" i="7" s="1"/>
  <c r="BO12" i="7"/>
  <c r="BL12" i="7"/>
  <c r="BK12" i="7"/>
  <c r="BJ12" i="7"/>
  <c r="BI12" i="7"/>
  <c r="BH12" i="7"/>
  <c r="BG12" i="7"/>
  <c r="BF12" i="7"/>
  <c r="BE12" i="7"/>
  <c r="BD12" i="7"/>
  <c r="BA12" i="7"/>
  <c r="AZ12" i="7"/>
  <c r="AX12" i="7"/>
  <c r="AW12" i="7"/>
  <c r="AV12" i="7"/>
  <c r="AU12" i="7"/>
  <c r="AT12" i="7"/>
  <c r="AS12" i="7"/>
  <c r="AR12" i="7"/>
  <c r="T12" i="7"/>
  <c r="EE11" i="7"/>
  <c r="ED11" i="7"/>
  <c r="EC11" i="7"/>
  <c r="EB11" i="7"/>
  <c r="DZ11" i="7"/>
  <c r="DY11" i="7"/>
  <c r="DW11" i="7"/>
  <c r="DV11" i="7"/>
  <c r="DT11" i="7"/>
  <c r="DS11" i="7"/>
  <c r="DR11" i="7"/>
  <c r="DQ11" i="7"/>
  <c r="DP11" i="7"/>
  <c r="DO11" i="7"/>
  <c r="DN11" i="7"/>
  <c r="DM11" i="7"/>
  <c r="DL11" i="7"/>
  <c r="DK11" i="7"/>
  <c r="DJ11" i="7"/>
  <c r="DI11" i="7"/>
  <c r="DH11" i="7"/>
  <c r="DG11" i="7"/>
  <c r="DA11" i="7"/>
  <c r="K121" i="7" s="1"/>
  <c r="CP11" i="7"/>
  <c r="CK11" i="7"/>
  <c r="DB11" i="7" s="1"/>
  <c r="CJ11" i="7"/>
  <c r="DD11" i="7" s="1"/>
  <c r="CI11" i="7"/>
  <c r="CH11" i="7"/>
  <c r="CR11" i="7" s="1"/>
  <c r="CG11" i="7"/>
  <c r="CF11" i="7"/>
  <c r="CE11" i="7"/>
  <c r="CD11" i="7"/>
  <c r="CB11" i="7"/>
  <c r="CA11" i="7"/>
  <c r="BZ11" i="7"/>
  <c r="BY11" i="7"/>
  <c r="BX11" i="7"/>
  <c r="BW11" i="7"/>
  <c r="BV11" i="7"/>
  <c r="BU11" i="7"/>
  <c r="BT11" i="7"/>
  <c r="BR11" i="7"/>
  <c r="BQ11" i="7"/>
  <c r="BP11" i="7"/>
  <c r="DC11" i="7" s="1"/>
  <c r="BO11" i="7"/>
  <c r="BL11" i="7"/>
  <c r="BK11" i="7"/>
  <c r="BJ11" i="7"/>
  <c r="BI11" i="7"/>
  <c r="BH11" i="7"/>
  <c r="BG11" i="7"/>
  <c r="BF11" i="7"/>
  <c r="BE11" i="7"/>
  <c r="BD11" i="7"/>
  <c r="BA11" i="7"/>
  <c r="AZ11" i="7"/>
  <c r="AX11" i="7"/>
  <c r="AW11" i="7"/>
  <c r="AV11" i="7"/>
  <c r="AU11" i="7"/>
  <c r="AT11" i="7"/>
  <c r="AS11" i="7"/>
  <c r="AR11" i="7"/>
  <c r="EE10" i="7"/>
  <c r="ED10" i="7"/>
  <c r="EC10" i="7"/>
  <c r="EB10" i="7"/>
  <c r="DZ10" i="7"/>
  <c r="DY10" i="7"/>
  <c r="DW10" i="7"/>
  <c r="DV10" i="7"/>
  <c r="DT10" i="7"/>
  <c r="DS10" i="7"/>
  <c r="DR10" i="7"/>
  <c r="DQ10" i="7"/>
  <c r="DP10" i="7"/>
  <c r="DO10" i="7"/>
  <c r="DN10" i="7"/>
  <c r="DM10" i="7"/>
  <c r="DL10" i="7"/>
  <c r="DK10" i="7"/>
  <c r="DJ10" i="7"/>
  <c r="DI10" i="7"/>
  <c r="DH10" i="7"/>
  <c r="DG10" i="7"/>
  <c r="CP10" i="7"/>
  <c r="CK10" i="7"/>
  <c r="CJ10" i="7"/>
  <c r="CH10" i="7"/>
  <c r="CG10" i="7"/>
  <c r="CF10" i="7"/>
  <c r="BR10" i="7"/>
  <c r="BQ10" i="7"/>
  <c r="BP10" i="7"/>
  <c r="BL10" i="7"/>
  <c r="BK10" i="7"/>
  <c r="BJ10" i="7"/>
  <c r="BI10" i="7"/>
  <c r="BH10" i="7"/>
  <c r="BG10" i="7"/>
  <c r="BF10" i="7"/>
  <c r="BE10" i="7"/>
  <c r="BD10" i="7"/>
  <c r="BA10" i="7"/>
  <c r="AZ10" i="7"/>
  <c r="AX10" i="7"/>
  <c r="AW10" i="7"/>
  <c r="AV10" i="7"/>
  <c r="AU10" i="7"/>
  <c r="AT10" i="7"/>
  <c r="AS10" i="7"/>
  <c r="AR10" i="7"/>
  <c r="T10" i="7"/>
  <c r="DH9" i="7"/>
  <c r="DG9" i="7"/>
  <c r="BE8" i="7"/>
  <c r="BD8" i="7"/>
  <c r="Q6" i="7"/>
  <c r="DX5" i="7"/>
  <c r="Q5" i="7"/>
  <c r="DS4" i="7"/>
  <c r="Q4" i="7"/>
  <c r="Q3" i="7"/>
  <c r="W2" i="7"/>
  <c r="C151" i="6"/>
  <c r="B151" i="6"/>
  <c r="B148" i="6"/>
  <c r="C144" i="6"/>
  <c r="B144" i="6"/>
  <c r="E143" i="6"/>
  <c r="B129" i="6"/>
  <c r="B127" i="6"/>
  <c r="C126" i="6"/>
  <c r="B124" i="6"/>
  <c r="B122" i="6"/>
  <c r="B121" i="6"/>
  <c r="E119" i="6"/>
  <c r="E105" i="6"/>
  <c r="E102" i="6"/>
  <c r="U93" i="6"/>
  <c r="E91" i="6"/>
  <c r="O90" i="6"/>
  <c r="E153" i="6" s="1"/>
  <c r="V89" i="6"/>
  <c r="X89" i="6" s="1"/>
  <c r="T89" i="6"/>
  <c r="O88" i="6"/>
  <c r="E154" i="6" s="1"/>
  <c r="O87" i="6"/>
  <c r="E129" i="6" s="1"/>
  <c r="V86" i="6"/>
  <c r="T86" i="6"/>
  <c r="V84" i="6"/>
  <c r="O83" i="6"/>
  <c r="E83" i="6"/>
  <c r="E82" i="6"/>
  <c r="G81" i="6"/>
  <c r="E81" i="6"/>
  <c r="G80" i="6"/>
  <c r="E80" i="6"/>
  <c r="G79" i="6"/>
  <c r="E79" i="6"/>
  <c r="V78" i="6"/>
  <c r="G78" i="6"/>
  <c r="E78" i="6"/>
  <c r="E76" i="6"/>
  <c r="O76" i="6" s="1"/>
  <c r="V75" i="6"/>
  <c r="T75" i="6"/>
  <c r="O75" i="6"/>
  <c r="E118" i="6" s="1"/>
  <c r="E75" i="6"/>
  <c r="V74" i="6"/>
  <c r="E74" i="6"/>
  <c r="O74" i="6" s="1"/>
  <c r="M74" i="6" s="1"/>
  <c r="V73" i="6"/>
  <c r="T73" i="6"/>
  <c r="O73" i="6"/>
  <c r="E117" i="6" s="1"/>
  <c r="V71" i="6"/>
  <c r="O70" i="6"/>
  <c r="L70" i="6"/>
  <c r="V69" i="6"/>
  <c r="T69" i="6"/>
  <c r="L69" i="6"/>
  <c r="E120" i="6" s="1"/>
  <c r="L68" i="6"/>
  <c r="V67" i="6"/>
  <c r="T67" i="6"/>
  <c r="L67" i="6"/>
  <c r="V66" i="6"/>
  <c r="T66" i="6"/>
  <c r="L66" i="6"/>
  <c r="L65" i="6"/>
  <c r="E123" i="6" s="1"/>
  <c r="L64" i="6"/>
  <c r="E121" i="6" s="1"/>
  <c r="T63" i="6"/>
  <c r="L63" i="6"/>
  <c r="H63" i="6"/>
  <c r="BH29" i="6" s="1"/>
  <c r="V62" i="6"/>
  <c r="L62" i="6"/>
  <c r="V61" i="6"/>
  <c r="V60" i="6"/>
  <c r="T60" i="6"/>
  <c r="X60" i="6" s="1"/>
  <c r="T59" i="6"/>
  <c r="FT58" i="6"/>
  <c r="L58" i="6"/>
  <c r="O58" i="6" s="1"/>
  <c r="FT57" i="6"/>
  <c r="O57" i="6"/>
  <c r="FT56" i="6"/>
  <c r="O56" i="6"/>
  <c r="FT55" i="6"/>
  <c r="L55" i="6"/>
  <c r="O55" i="6" s="1"/>
  <c r="E104" i="6" s="1"/>
  <c r="G55" i="6"/>
  <c r="FT54" i="6"/>
  <c r="FT53" i="6"/>
  <c r="O53" i="6"/>
  <c r="G53" i="6"/>
  <c r="FT52" i="6"/>
  <c r="V52" i="6"/>
  <c r="X52" i="6" s="1"/>
  <c r="G52" i="6"/>
  <c r="B52" i="6"/>
  <c r="FT51" i="6"/>
  <c r="FQ46" i="6" s="1"/>
  <c r="C51" i="6"/>
  <c r="FT50" i="6"/>
  <c r="C50" i="6"/>
  <c r="C49" i="6"/>
  <c r="FT48" i="6"/>
  <c r="C48" i="6"/>
  <c r="T46" i="6"/>
  <c r="T45" i="6"/>
  <c r="FT43" i="6"/>
  <c r="FT42" i="6"/>
  <c r="U41" i="6"/>
  <c r="N41" i="6"/>
  <c r="M40" i="6"/>
  <c r="M94" i="6" s="1"/>
  <c r="W39" i="6"/>
  <c r="BE36" i="6"/>
  <c r="BD36" i="6"/>
  <c r="F36" i="6"/>
  <c r="FW35" i="6"/>
  <c r="FV35" i="6"/>
  <c r="FU35" i="6"/>
  <c r="BJ35" i="6"/>
  <c r="BI35" i="6"/>
  <c r="BC35" i="6"/>
  <c r="BB35" i="6"/>
  <c r="BH35" i="6" s="1"/>
  <c r="BA35" i="6"/>
  <c r="AZ35" i="6"/>
  <c r="AX35" i="6"/>
  <c r="AW35" i="6"/>
  <c r="AV35" i="6"/>
  <c r="AU35" i="6"/>
  <c r="AY35" i="6" s="1"/>
  <c r="AT35" i="6"/>
  <c r="AS35" i="6"/>
  <c r="AR35" i="6"/>
  <c r="AQ35" i="6"/>
  <c r="AP35" i="6"/>
  <c r="AO35" i="6"/>
  <c r="X35" i="6"/>
  <c r="W35" i="6"/>
  <c r="FW34" i="6"/>
  <c r="FV34" i="6"/>
  <c r="BJ34" i="6"/>
  <c r="BI34" i="6"/>
  <c r="BC34" i="6"/>
  <c r="BB34" i="6"/>
  <c r="BH34" i="6" s="1"/>
  <c r="BA34" i="6"/>
  <c r="AZ34" i="6"/>
  <c r="AX34" i="6"/>
  <c r="AW34" i="6"/>
  <c r="AV34" i="6"/>
  <c r="AU34" i="6"/>
  <c r="AT34" i="6"/>
  <c r="AS34" i="6"/>
  <c r="AR34" i="6"/>
  <c r="AQ34" i="6"/>
  <c r="AP34" i="6"/>
  <c r="AO34" i="6"/>
  <c r="X34" i="6"/>
  <c r="W34" i="6"/>
  <c r="FU34" i="6" s="1"/>
  <c r="FW33" i="6"/>
  <c r="FV33" i="6"/>
  <c r="FU33" i="6"/>
  <c r="FT33" i="6"/>
  <c r="BK33" i="6" s="1"/>
  <c r="BI33" i="6"/>
  <c r="BH33" i="6"/>
  <c r="BC33" i="6"/>
  <c r="BB33" i="6"/>
  <c r="BA33" i="6"/>
  <c r="AZ33" i="6"/>
  <c r="AX33" i="6"/>
  <c r="AW33" i="6"/>
  <c r="AV33" i="6"/>
  <c r="AU33" i="6"/>
  <c r="AT33" i="6"/>
  <c r="AS33" i="6"/>
  <c r="AR33" i="6"/>
  <c r="AQ33" i="6"/>
  <c r="AP33" i="6"/>
  <c r="AO33" i="6"/>
  <c r="AY33" i="6" s="1"/>
  <c r="X33" i="6"/>
  <c r="Y33" i="6" s="1"/>
  <c r="W33" i="6"/>
  <c r="BJ33" i="6" s="1"/>
  <c r="FW32" i="6"/>
  <c r="FV32" i="6"/>
  <c r="FU32" i="6"/>
  <c r="BI32" i="6"/>
  <c r="BC32" i="6"/>
  <c r="BB32" i="6"/>
  <c r="BH32" i="6" s="1"/>
  <c r="BA32" i="6"/>
  <c r="AX32" i="6"/>
  <c r="AW32" i="6"/>
  <c r="AV32" i="6"/>
  <c r="AU32" i="6"/>
  <c r="AT32" i="6"/>
  <c r="AS32" i="6"/>
  <c r="AR32" i="6"/>
  <c r="AQ32" i="6"/>
  <c r="AP32" i="6"/>
  <c r="AO32" i="6"/>
  <c r="X32" i="6"/>
  <c r="FT32" i="6" s="1"/>
  <c r="BK32" i="6" s="1"/>
  <c r="W32" i="6"/>
  <c r="BJ32" i="6" s="1"/>
  <c r="FW31" i="6"/>
  <c r="FV31" i="6"/>
  <c r="FU31" i="6"/>
  <c r="BK31" i="6"/>
  <c r="BJ31" i="6"/>
  <c r="BI31" i="6"/>
  <c r="BC31" i="6"/>
  <c r="BB31" i="6"/>
  <c r="BH31" i="6" s="1"/>
  <c r="BA31" i="6"/>
  <c r="AZ31" i="6"/>
  <c r="AX31" i="6"/>
  <c r="AW31" i="6"/>
  <c r="AV31" i="6"/>
  <c r="AU31" i="6"/>
  <c r="AT31" i="6"/>
  <c r="AS31" i="6"/>
  <c r="AR31" i="6"/>
  <c r="AQ31" i="6"/>
  <c r="AP31" i="6"/>
  <c r="AO31" i="6"/>
  <c r="AY31" i="6" s="1"/>
  <c r="X31" i="6"/>
  <c r="FT31" i="6" s="1"/>
  <c r="W31" i="6"/>
  <c r="FW30" i="6"/>
  <c r="FV30" i="6"/>
  <c r="BI30" i="6"/>
  <c r="BH30" i="6"/>
  <c r="BC30" i="6"/>
  <c r="BB30" i="6"/>
  <c r="BA30" i="6"/>
  <c r="AX30" i="6"/>
  <c r="AW30" i="6"/>
  <c r="AV30" i="6"/>
  <c r="AU30" i="6"/>
  <c r="AT30" i="6"/>
  <c r="AS30" i="6"/>
  <c r="AR30" i="6"/>
  <c r="AQ30" i="6"/>
  <c r="AP30" i="6"/>
  <c r="AO30" i="6"/>
  <c r="X30" i="6"/>
  <c r="FT30" i="6" s="1"/>
  <c r="BK30" i="6" s="1"/>
  <c r="W30" i="6"/>
  <c r="FW29" i="6"/>
  <c r="FV29" i="6"/>
  <c r="BK29" i="6"/>
  <c r="BI29" i="6"/>
  <c r="BC29" i="6"/>
  <c r="BB29" i="6"/>
  <c r="BA29" i="6"/>
  <c r="AX29" i="6"/>
  <c r="AW29" i="6"/>
  <c r="AV29" i="6"/>
  <c r="AU29" i="6"/>
  <c r="AT29" i="6"/>
  <c r="AS29" i="6"/>
  <c r="AR29" i="6"/>
  <c r="AQ29" i="6"/>
  <c r="AP29" i="6"/>
  <c r="AO29" i="6"/>
  <c r="AY29" i="6" s="1"/>
  <c r="X29" i="6"/>
  <c r="FT29" i="6" s="1"/>
  <c r="W29" i="6"/>
  <c r="FW28" i="6"/>
  <c r="FV28" i="6"/>
  <c r="FU28" i="6"/>
  <c r="BI28" i="6"/>
  <c r="BC28" i="6"/>
  <c r="BB28" i="6"/>
  <c r="BH28" i="6" s="1"/>
  <c r="BA28" i="6"/>
  <c r="AX28" i="6"/>
  <c r="AW28" i="6"/>
  <c r="AV28" i="6"/>
  <c r="AU28" i="6"/>
  <c r="AY28" i="6" s="1"/>
  <c r="AT28" i="6"/>
  <c r="AS28" i="6"/>
  <c r="AR28" i="6"/>
  <c r="AQ28" i="6"/>
  <c r="AP28" i="6"/>
  <c r="AO28" i="6"/>
  <c r="Y28" i="6"/>
  <c r="X28" i="6"/>
  <c r="FT28" i="6" s="1"/>
  <c r="W28" i="6"/>
  <c r="FW27" i="6"/>
  <c r="FV27" i="6"/>
  <c r="FT27" i="6"/>
  <c r="BK27" i="6" s="1"/>
  <c r="BI27" i="6"/>
  <c r="BC27" i="6"/>
  <c r="BB27" i="6"/>
  <c r="BH27" i="6" s="1"/>
  <c r="BA27" i="6"/>
  <c r="AX27" i="6"/>
  <c r="AW27" i="6"/>
  <c r="AV27" i="6"/>
  <c r="AU27" i="6"/>
  <c r="AT27" i="6"/>
  <c r="AS27" i="6"/>
  <c r="AR27" i="6"/>
  <c r="AQ27" i="6"/>
  <c r="AP27" i="6"/>
  <c r="AO27" i="6"/>
  <c r="Y27" i="6"/>
  <c r="X27" i="6"/>
  <c r="W27" i="6"/>
  <c r="FW26" i="6"/>
  <c r="FV26" i="6"/>
  <c r="FU26" i="6"/>
  <c r="FT26" i="6"/>
  <c r="BK26" i="6"/>
  <c r="BI26" i="6"/>
  <c r="BH26" i="6"/>
  <c r="BC26" i="6"/>
  <c r="BB26" i="6"/>
  <c r="BA26" i="6"/>
  <c r="AX26" i="6"/>
  <c r="AW26" i="6"/>
  <c r="AV26" i="6"/>
  <c r="AU26" i="6"/>
  <c r="AT26" i="6"/>
  <c r="AS26" i="6"/>
  <c r="AR26" i="6"/>
  <c r="AQ26" i="6"/>
  <c r="AP26" i="6"/>
  <c r="AO26" i="6"/>
  <c r="X26" i="6"/>
  <c r="Y26" i="6" s="1"/>
  <c r="W26" i="6"/>
  <c r="FW25" i="6"/>
  <c r="FV25" i="6"/>
  <c r="BK25" i="6" s="1"/>
  <c r="FU25" i="6"/>
  <c r="FT25" i="6"/>
  <c r="BJ25" i="6"/>
  <c r="BI25" i="6"/>
  <c r="BC25" i="6"/>
  <c r="BB25" i="6"/>
  <c r="BA25" i="6"/>
  <c r="AX25" i="6"/>
  <c r="AW25" i="6"/>
  <c r="AV25" i="6"/>
  <c r="AU25" i="6"/>
  <c r="AT25" i="6"/>
  <c r="AS25" i="6"/>
  <c r="AR25" i="6"/>
  <c r="AQ25" i="6"/>
  <c r="AP25" i="6"/>
  <c r="AO25" i="6"/>
  <c r="X25" i="6"/>
  <c r="Y25" i="6" s="1"/>
  <c r="W25" i="6"/>
  <c r="AZ25" i="6" s="1"/>
  <c r="FW24" i="6"/>
  <c r="FV24" i="6"/>
  <c r="FU24" i="6"/>
  <c r="FT24" i="6"/>
  <c r="BK24" i="6"/>
  <c r="BJ24" i="6"/>
  <c r="BI24" i="6"/>
  <c r="BH24" i="6"/>
  <c r="BC24" i="6"/>
  <c r="BB24" i="6"/>
  <c r="BA24" i="6"/>
  <c r="AX24" i="6"/>
  <c r="AW24" i="6"/>
  <c r="AV24" i="6"/>
  <c r="AU24" i="6"/>
  <c r="AT24" i="6"/>
  <c r="AS24" i="6"/>
  <c r="AR24" i="6"/>
  <c r="AQ24" i="6"/>
  <c r="AP24" i="6"/>
  <c r="AO24" i="6"/>
  <c r="AY24" i="6" s="1"/>
  <c r="X24" i="6"/>
  <c r="Y24" i="6" s="1"/>
  <c r="W24" i="6"/>
  <c r="AZ24" i="6" s="1"/>
  <c r="FW23" i="6"/>
  <c r="FV23" i="6"/>
  <c r="BI23" i="6"/>
  <c r="BH23" i="6"/>
  <c r="BC23" i="6"/>
  <c r="BB23" i="6"/>
  <c r="BA23" i="6"/>
  <c r="AX23" i="6"/>
  <c r="AW23" i="6"/>
  <c r="AV23" i="6"/>
  <c r="AU23" i="6"/>
  <c r="AT23" i="6"/>
  <c r="AS23" i="6"/>
  <c r="AR23" i="6"/>
  <c r="AQ23" i="6"/>
  <c r="AP23" i="6"/>
  <c r="AO23" i="6"/>
  <c r="X23" i="6"/>
  <c r="W23" i="6"/>
  <c r="BJ23" i="6" s="1"/>
  <c r="FW22" i="6"/>
  <c r="FV22" i="6"/>
  <c r="FU22" i="6"/>
  <c r="BJ22" i="6"/>
  <c r="BI22" i="6"/>
  <c r="BC22" i="6"/>
  <c r="BB22" i="6"/>
  <c r="BH22" i="6" s="1"/>
  <c r="BA22" i="6"/>
  <c r="AZ22" i="6"/>
  <c r="AX22" i="6"/>
  <c r="AW22" i="6"/>
  <c r="AV22" i="6"/>
  <c r="AU22" i="6"/>
  <c r="AT22" i="6"/>
  <c r="AS22" i="6"/>
  <c r="AR22" i="6"/>
  <c r="AQ22" i="6"/>
  <c r="AP22" i="6"/>
  <c r="AO22" i="6"/>
  <c r="X22" i="6"/>
  <c r="W22" i="6"/>
  <c r="FW21" i="6"/>
  <c r="FV21" i="6"/>
  <c r="BK21" i="6" s="1"/>
  <c r="FU21" i="6"/>
  <c r="FT21" i="6"/>
  <c r="BJ21" i="6"/>
  <c r="BI21" i="6"/>
  <c r="BH21" i="6"/>
  <c r="BC21" i="6"/>
  <c r="BB21" i="6"/>
  <c r="BA21" i="6"/>
  <c r="AZ21" i="6"/>
  <c r="AX21" i="6"/>
  <c r="AW21" i="6"/>
  <c r="AV21" i="6"/>
  <c r="AU21" i="6"/>
  <c r="AT21" i="6"/>
  <c r="AS21" i="6"/>
  <c r="AR21" i="6"/>
  <c r="AQ21" i="6"/>
  <c r="AP21" i="6"/>
  <c r="AO21" i="6"/>
  <c r="Y21" i="6"/>
  <c r="X21" i="6"/>
  <c r="W21" i="6"/>
  <c r="FW20" i="6"/>
  <c r="FV20" i="6"/>
  <c r="BI20" i="6"/>
  <c r="BC20" i="6"/>
  <c r="BB20" i="6"/>
  <c r="BH20" i="6" s="1"/>
  <c r="BA20" i="6"/>
  <c r="AX20" i="6"/>
  <c r="AW20" i="6"/>
  <c r="AV20" i="6"/>
  <c r="AU20" i="6"/>
  <c r="AT20" i="6"/>
  <c r="AS20" i="6"/>
  <c r="AR20" i="6"/>
  <c r="AQ20" i="6"/>
  <c r="AP20" i="6"/>
  <c r="AO20" i="6"/>
  <c r="X20" i="6"/>
  <c r="Y20" i="6" s="1"/>
  <c r="W20" i="6"/>
  <c r="FW19" i="6"/>
  <c r="FV19" i="6"/>
  <c r="FU19" i="6"/>
  <c r="BJ19" i="6"/>
  <c r="BI19" i="6"/>
  <c r="BC19" i="6"/>
  <c r="BB19" i="6"/>
  <c r="BH19" i="6" s="1"/>
  <c r="BA19" i="6"/>
  <c r="AZ19" i="6"/>
  <c r="AX19" i="6"/>
  <c r="AW19" i="6"/>
  <c r="AY19" i="6" s="1"/>
  <c r="AV19" i="6"/>
  <c r="AU19" i="6"/>
  <c r="AT19" i="6"/>
  <c r="AS19" i="6"/>
  <c r="AR19" i="6"/>
  <c r="AQ19" i="6"/>
  <c r="AP19" i="6"/>
  <c r="AO19" i="6"/>
  <c r="X19" i="6"/>
  <c r="W19" i="6"/>
  <c r="FW18" i="6"/>
  <c r="FV18" i="6"/>
  <c r="BJ18" i="6"/>
  <c r="BI18" i="6"/>
  <c r="BC18" i="6"/>
  <c r="BB18" i="6"/>
  <c r="BH18" i="6" s="1"/>
  <c r="BA18" i="6"/>
  <c r="AZ18" i="6"/>
  <c r="AY18" i="6"/>
  <c r="AX18" i="6"/>
  <c r="AW18" i="6"/>
  <c r="AV18" i="6"/>
  <c r="AU18" i="6"/>
  <c r="AT18" i="6"/>
  <c r="AS18" i="6"/>
  <c r="AR18" i="6"/>
  <c r="AQ18" i="6"/>
  <c r="AP18" i="6"/>
  <c r="AO18" i="6"/>
  <c r="X18" i="6"/>
  <c r="W18" i="6"/>
  <c r="FU18" i="6" s="1"/>
  <c r="FW17" i="6"/>
  <c r="FV17" i="6"/>
  <c r="FU17" i="6"/>
  <c r="FT17" i="6"/>
  <c r="BK17" i="6"/>
  <c r="BJ17" i="6"/>
  <c r="BI17" i="6"/>
  <c r="BH17" i="6"/>
  <c r="BC17" i="6"/>
  <c r="BB17" i="6"/>
  <c r="BA17" i="6"/>
  <c r="AZ17" i="6"/>
  <c r="AX17" i="6"/>
  <c r="AW17" i="6"/>
  <c r="AV17" i="6"/>
  <c r="AU17" i="6"/>
  <c r="AT17" i="6"/>
  <c r="AS17" i="6"/>
  <c r="AR17" i="6"/>
  <c r="AQ17" i="6"/>
  <c r="AP17" i="6"/>
  <c r="AO17" i="6"/>
  <c r="X17" i="6"/>
  <c r="Y17" i="6" s="1"/>
  <c r="W17" i="6"/>
  <c r="FW16" i="6"/>
  <c r="FV16" i="6"/>
  <c r="FU16" i="6"/>
  <c r="BI16" i="6"/>
  <c r="BC16" i="6"/>
  <c r="BB16" i="6"/>
  <c r="BH16" i="6" s="1"/>
  <c r="BA16" i="6"/>
  <c r="AX16" i="6"/>
  <c r="AW16" i="6"/>
  <c r="AV16" i="6"/>
  <c r="AU16" i="6"/>
  <c r="AT16" i="6"/>
  <c r="AS16" i="6"/>
  <c r="AR16" i="6"/>
  <c r="AQ16" i="6"/>
  <c r="AP16" i="6"/>
  <c r="AO16" i="6"/>
  <c r="X16" i="6"/>
  <c r="FT16" i="6" s="1"/>
  <c r="BK16" i="6" s="1"/>
  <c r="W16" i="6"/>
  <c r="BJ16" i="6" s="1"/>
  <c r="FW15" i="6"/>
  <c r="FV15" i="6"/>
  <c r="FU15" i="6"/>
  <c r="BK15" i="6"/>
  <c r="BJ15" i="6"/>
  <c r="BI15" i="6"/>
  <c r="BC15" i="6"/>
  <c r="BB15" i="6"/>
  <c r="BH15" i="6" s="1"/>
  <c r="BA15" i="6"/>
  <c r="AZ15" i="6"/>
  <c r="AX15" i="6"/>
  <c r="AW15" i="6"/>
  <c r="AV15" i="6"/>
  <c r="AU15" i="6"/>
  <c r="AT15" i="6"/>
  <c r="AS15" i="6"/>
  <c r="AR15" i="6"/>
  <c r="AQ15" i="6"/>
  <c r="AP15" i="6"/>
  <c r="AO15" i="6"/>
  <c r="X15" i="6"/>
  <c r="FT15" i="6" s="1"/>
  <c r="W15" i="6"/>
  <c r="FW14" i="6"/>
  <c r="FV14" i="6"/>
  <c r="BI14" i="6"/>
  <c r="BH14" i="6"/>
  <c r="BC14" i="6"/>
  <c r="BB14" i="6"/>
  <c r="BA14" i="6"/>
  <c r="AZ14" i="6"/>
  <c r="AY14" i="6"/>
  <c r="AX14" i="6"/>
  <c r="AW14" i="6"/>
  <c r="AV14" i="6"/>
  <c r="AU14" i="6"/>
  <c r="AT14" i="6"/>
  <c r="AS14" i="6"/>
  <c r="AR14" i="6"/>
  <c r="AQ14" i="6"/>
  <c r="AP14" i="6"/>
  <c r="AO14" i="6"/>
  <c r="Y14" i="6"/>
  <c r="X14" i="6"/>
  <c r="FT14" i="6" s="1"/>
  <c r="BK14" i="6" s="1"/>
  <c r="W14" i="6"/>
  <c r="FW13" i="6"/>
  <c r="FV13" i="6"/>
  <c r="BI13" i="6"/>
  <c r="BC13" i="6"/>
  <c r="BB13" i="6"/>
  <c r="BA13" i="6"/>
  <c r="AX13" i="6"/>
  <c r="AW13" i="6"/>
  <c r="AV13" i="6"/>
  <c r="AU13" i="6"/>
  <c r="AT13" i="6"/>
  <c r="AS13" i="6"/>
  <c r="AR13" i="6"/>
  <c r="AQ13" i="6"/>
  <c r="AP13" i="6"/>
  <c r="AP36" i="6" s="1"/>
  <c r="L49" i="6" s="1"/>
  <c r="AO13" i="6"/>
  <c r="X13" i="6"/>
  <c r="FT13" i="6" s="1"/>
  <c r="BK13" i="6" s="1"/>
  <c r="W13" i="6"/>
  <c r="FW12" i="6"/>
  <c r="FV12" i="6"/>
  <c r="FU12" i="6"/>
  <c r="BI12" i="6"/>
  <c r="BC12" i="6"/>
  <c r="BB12" i="6"/>
  <c r="BH12" i="6" s="1"/>
  <c r="BA12" i="6"/>
  <c r="AX12" i="6"/>
  <c r="AW12" i="6"/>
  <c r="AV12" i="6"/>
  <c r="AU12" i="6"/>
  <c r="AY12" i="6" s="1"/>
  <c r="AT12" i="6"/>
  <c r="AS12" i="6"/>
  <c r="AR12" i="6"/>
  <c r="AQ12" i="6"/>
  <c r="AP12" i="6"/>
  <c r="AO12" i="6"/>
  <c r="Y12" i="6"/>
  <c r="X12" i="6"/>
  <c r="FT12" i="6" s="1"/>
  <c r="W12" i="6"/>
  <c r="FW11" i="6"/>
  <c r="FV11" i="6"/>
  <c r="FU11" i="6"/>
  <c r="FT11" i="6"/>
  <c r="BI11" i="6"/>
  <c r="BC11" i="6"/>
  <c r="BC36" i="6" s="1"/>
  <c r="I62" i="6" s="1"/>
  <c r="O62" i="6" s="1"/>
  <c r="BB11" i="6"/>
  <c r="BH11" i="6" s="1"/>
  <c r="BA11" i="6"/>
  <c r="AZ11" i="6"/>
  <c r="AX11" i="6"/>
  <c r="AW11" i="6"/>
  <c r="AW36" i="6" s="1"/>
  <c r="AV11" i="6"/>
  <c r="AU11" i="6"/>
  <c r="AT11" i="6"/>
  <c r="AS11" i="6"/>
  <c r="AR11" i="6"/>
  <c r="AQ11" i="6"/>
  <c r="AP11" i="6"/>
  <c r="AO11" i="6"/>
  <c r="Y11" i="6"/>
  <c r="X11" i="6"/>
  <c r="W11" i="6"/>
  <c r="FW10" i="6"/>
  <c r="FV10" i="6"/>
  <c r="FU10" i="6"/>
  <c r="FT10" i="6"/>
  <c r="BJ10" i="6"/>
  <c r="BI10" i="6"/>
  <c r="BC10" i="6"/>
  <c r="BB10" i="6"/>
  <c r="BH10" i="6" s="1"/>
  <c r="BA10" i="6"/>
  <c r="AZ10" i="6"/>
  <c r="AX10" i="6"/>
  <c r="AW10" i="6"/>
  <c r="AV10" i="6"/>
  <c r="AU10" i="6"/>
  <c r="AT10" i="6"/>
  <c r="AS10" i="6"/>
  <c r="AR10" i="6"/>
  <c r="AR36" i="6" s="1"/>
  <c r="AQ10" i="6"/>
  <c r="AQ36" i="6" s="1"/>
  <c r="L50" i="6" s="1"/>
  <c r="AP10" i="6"/>
  <c r="AO10" i="6"/>
  <c r="Y10" i="6"/>
  <c r="X10" i="6"/>
  <c r="W10" i="6"/>
  <c r="W2" i="6"/>
  <c r="C151" i="5"/>
  <c r="C150" i="5"/>
  <c r="C149" i="5"/>
  <c r="C148" i="5"/>
  <c r="B148" i="5"/>
  <c r="C147" i="5"/>
  <c r="E146" i="5"/>
  <c r="C146" i="5"/>
  <c r="C145" i="5"/>
  <c r="C144" i="5"/>
  <c r="B144" i="5"/>
  <c r="C143" i="5"/>
  <c r="B143" i="5"/>
  <c r="C142" i="5"/>
  <c r="C141" i="5"/>
  <c r="C140" i="5"/>
  <c r="C139" i="5"/>
  <c r="C138" i="5"/>
  <c r="C137" i="5"/>
  <c r="E136" i="5"/>
  <c r="C135" i="5"/>
  <c r="C134" i="5"/>
  <c r="C133" i="5"/>
  <c r="C132" i="5"/>
  <c r="B132" i="5"/>
  <c r="C131" i="5"/>
  <c r="B131" i="5"/>
  <c r="C130" i="5"/>
  <c r="C129" i="5"/>
  <c r="C128" i="5"/>
  <c r="C127" i="5"/>
  <c r="C126" i="5"/>
  <c r="C125" i="5"/>
  <c r="C124" i="5"/>
  <c r="E123" i="5"/>
  <c r="C123" i="5"/>
  <c r="C122" i="5"/>
  <c r="C121" i="5"/>
  <c r="C120" i="5"/>
  <c r="C119" i="5"/>
  <c r="C118" i="5"/>
  <c r="C117" i="5"/>
  <c r="C116" i="5"/>
  <c r="B116" i="5"/>
  <c r="C115" i="5"/>
  <c r="E114" i="5"/>
  <c r="K94" i="4" s="1"/>
  <c r="C114" i="5"/>
  <c r="C113" i="5"/>
  <c r="C112" i="5"/>
  <c r="B112" i="5"/>
  <c r="E111" i="5"/>
  <c r="C111" i="5"/>
  <c r="C110" i="5"/>
  <c r="C109" i="5"/>
  <c r="C108" i="5"/>
  <c r="C107" i="5"/>
  <c r="C106" i="5"/>
  <c r="C105" i="5"/>
  <c r="C104" i="5"/>
  <c r="C103" i="5"/>
  <c r="C102" i="5"/>
  <c r="C101" i="5"/>
  <c r="C100" i="5"/>
  <c r="C99" i="5"/>
  <c r="C98" i="5"/>
  <c r="C97" i="5"/>
  <c r="B97" i="5"/>
  <c r="C96" i="5"/>
  <c r="C95" i="5"/>
  <c r="B95" i="5"/>
  <c r="C94" i="5"/>
  <c r="M88" i="5"/>
  <c r="U84" i="5"/>
  <c r="E84" i="5"/>
  <c r="O83" i="5"/>
  <c r="E147" i="5" s="1"/>
  <c r="O82" i="5"/>
  <c r="S81" i="5"/>
  <c r="O79" i="5"/>
  <c r="W76" i="5"/>
  <c r="G74" i="5"/>
  <c r="G73" i="5"/>
  <c r="E73" i="5"/>
  <c r="W72" i="5"/>
  <c r="E108" i="5" s="1"/>
  <c r="K88" i="4" s="1"/>
  <c r="O72" i="5"/>
  <c r="E139" i="5" s="1"/>
  <c r="K119" i="4" s="1"/>
  <c r="G72" i="5"/>
  <c r="W71" i="5"/>
  <c r="E107" i="5" s="1"/>
  <c r="K87" i="4" s="1"/>
  <c r="O71" i="5"/>
  <c r="G71" i="5"/>
  <c r="E69" i="5"/>
  <c r="O69" i="5" s="1"/>
  <c r="O68" i="5"/>
  <c r="E110" i="5" s="1"/>
  <c r="K90" i="4" s="1"/>
  <c r="O67" i="5"/>
  <c r="O66" i="5"/>
  <c r="U64" i="5"/>
  <c r="W63" i="5"/>
  <c r="O63" i="5"/>
  <c r="U62" i="5"/>
  <c r="S62" i="5"/>
  <c r="O62" i="5"/>
  <c r="L62" i="5"/>
  <c r="E115" i="5" s="1"/>
  <c r="L61" i="5"/>
  <c r="L60" i="5"/>
  <c r="L59" i="5"/>
  <c r="L58" i="5"/>
  <c r="E113" i="5" s="1"/>
  <c r="L57" i="5"/>
  <c r="L64" i="5" s="1"/>
  <c r="H57" i="5"/>
  <c r="AT56" i="5"/>
  <c r="AS56" i="5"/>
  <c r="AR56" i="5"/>
  <c r="AQ56" i="5"/>
  <c r="AP56" i="5"/>
  <c r="AO56" i="5"/>
  <c r="AN56" i="5"/>
  <c r="AM56" i="5"/>
  <c r="AM55" i="5"/>
  <c r="S55" i="5"/>
  <c r="AT54" i="5"/>
  <c r="AS54" i="5"/>
  <c r="AR54" i="5"/>
  <c r="AQ54" i="5"/>
  <c r="AP54" i="5"/>
  <c r="AO54" i="5"/>
  <c r="AN54" i="5"/>
  <c r="AM54" i="5"/>
  <c r="W54" i="5"/>
  <c r="U54" i="5"/>
  <c r="AM53" i="5"/>
  <c r="B53" i="5"/>
  <c r="AT52" i="5"/>
  <c r="AS52" i="5"/>
  <c r="AR52" i="5"/>
  <c r="AQ52" i="5"/>
  <c r="AP52" i="5"/>
  <c r="AO52" i="5"/>
  <c r="AN52" i="5"/>
  <c r="AM52" i="5"/>
  <c r="S52" i="5"/>
  <c r="C52" i="5"/>
  <c r="C51" i="5"/>
  <c r="AT50" i="5"/>
  <c r="BK10" i="5" s="1"/>
  <c r="AS50" i="5"/>
  <c r="AR50" i="5"/>
  <c r="BI10" i="5" s="1"/>
  <c r="BJ38" i="5" s="1"/>
  <c r="BT38" i="5" s="1"/>
  <c r="AQ50" i="5"/>
  <c r="AM31" i="5" s="1"/>
  <c r="AP50" i="5"/>
  <c r="AO50" i="5"/>
  <c r="AN50" i="5"/>
  <c r="BE10" i="5" s="1"/>
  <c r="AM50" i="5"/>
  <c r="AM35" i="5" s="1"/>
  <c r="C50" i="5"/>
  <c r="AM49" i="5"/>
  <c r="U49" i="5"/>
  <c r="C49" i="5"/>
  <c r="AR45" i="5"/>
  <c r="N43" i="5"/>
  <c r="M42" i="5"/>
  <c r="T37" i="5" s="1"/>
  <c r="AB37" i="5" s="1"/>
  <c r="V41" i="5"/>
  <c r="T41" i="5"/>
  <c r="W60" i="5" s="1"/>
  <c r="CL40" i="5"/>
  <c r="BA39" i="5"/>
  <c r="E39" i="5"/>
  <c r="CR38" i="5"/>
  <c r="CP38" i="5"/>
  <c r="CO38" i="5"/>
  <c r="CN38" i="5"/>
  <c r="CM38" i="5"/>
  <c r="CJ38" i="5"/>
  <c r="CH38" i="5"/>
  <c r="CG38" i="5"/>
  <c r="BV38" i="5"/>
  <c r="BL38" i="5"/>
  <c r="BG38" i="5"/>
  <c r="BQ38" i="5" s="1"/>
  <c r="BD38" i="5"/>
  <c r="BC38" i="5"/>
  <c r="BB38" i="5"/>
  <c r="CE38" i="5" s="1"/>
  <c r="BA38" i="5"/>
  <c r="AZ38" i="5"/>
  <c r="AY38" i="5"/>
  <c r="CB38" i="5" s="1"/>
  <c r="AX38" i="5"/>
  <c r="AW38" i="5"/>
  <c r="AV38" i="5"/>
  <c r="AU38" i="5"/>
  <c r="AT38" i="5"/>
  <c r="AS38" i="5"/>
  <c r="AQ38" i="5"/>
  <c r="AO38" i="5"/>
  <c r="AK38" i="5"/>
  <c r="AJ38" i="5"/>
  <c r="AI38" i="5"/>
  <c r="AH38" i="5"/>
  <c r="AG38" i="5"/>
  <c r="AA38" i="5"/>
  <c r="Y38" i="5"/>
  <c r="X38" i="5"/>
  <c r="W38" i="5"/>
  <c r="I91" i="3" s="1"/>
  <c r="U38" i="5"/>
  <c r="G91" i="3" s="1"/>
  <c r="S38" i="5"/>
  <c r="Z38" i="5" s="1"/>
  <c r="CI38" i="5" s="1"/>
  <c r="R38" i="5"/>
  <c r="J38" i="5"/>
  <c r="CR37" i="5"/>
  <c r="CP37" i="5"/>
  <c r="CO37" i="5"/>
  <c r="CN37" i="5"/>
  <c r="CM37" i="5"/>
  <c r="CJ37" i="5"/>
  <c r="CI37" i="5"/>
  <c r="CG37" i="5"/>
  <c r="BL37" i="5"/>
  <c r="BV37" i="5" s="1"/>
  <c r="BJ37" i="5"/>
  <c r="BG37" i="5"/>
  <c r="BQ37" i="5" s="1"/>
  <c r="BD37" i="5"/>
  <c r="BN37" i="5" s="1"/>
  <c r="BC37" i="5"/>
  <c r="BB37" i="5"/>
  <c r="BA37" i="5"/>
  <c r="AZ37" i="5"/>
  <c r="AY37" i="5"/>
  <c r="AX37" i="5"/>
  <c r="AW37" i="5"/>
  <c r="AV37" i="5"/>
  <c r="AU37" i="5"/>
  <c r="AR37" i="5" s="1"/>
  <c r="AT37" i="5"/>
  <c r="AS37" i="5"/>
  <c r="AQ37" i="5"/>
  <c r="AO37" i="5"/>
  <c r="AJ37" i="5"/>
  <c r="AI37" i="5"/>
  <c r="AH37" i="5"/>
  <c r="AK37" i="5" s="1"/>
  <c r="AG37" i="5"/>
  <c r="AA37" i="5"/>
  <c r="Y37" i="5"/>
  <c r="X37" i="5"/>
  <c r="W37" i="5"/>
  <c r="I90" i="3" s="1"/>
  <c r="U37" i="5"/>
  <c r="G90" i="3" s="1"/>
  <c r="S37" i="5"/>
  <c r="Z37" i="5" s="1"/>
  <c r="R37" i="5"/>
  <c r="J37" i="5"/>
  <c r="CR36" i="5"/>
  <c r="CP36" i="5"/>
  <c r="CO36" i="5"/>
  <c r="CN36" i="5"/>
  <c r="CM36" i="5"/>
  <c r="CJ36" i="5"/>
  <c r="CG36" i="5"/>
  <c r="BL36" i="5"/>
  <c r="BV36" i="5" s="1"/>
  <c r="BD36" i="5"/>
  <c r="BN36" i="5" s="1"/>
  <c r="BC36" i="5"/>
  <c r="BB36" i="5"/>
  <c r="BA36" i="5"/>
  <c r="AZ36" i="5"/>
  <c r="AY36" i="5"/>
  <c r="AX36" i="5"/>
  <c r="AW36" i="5"/>
  <c r="AV36" i="5"/>
  <c r="AU36" i="5"/>
  <c r="AT36" i="5"/>
  <c r="AQ36" i="5"/>
  <c r="AO36" i="5"/>
  <c r="AM36" i="5"/>
  <c r="AJ36" i="5"/>
  <c r="AI36" i="5"/>
  <c r="AS36" i="5" s="1"/>
  <c r="AH36" i="5"/>
  <c r="AK36" i="5" s="1"/>
  <c r="AG36" i="5"/>
  <c r="AA36" i="5"/>
  <c r="X36" i="5"/>
  <c r="W36" i="5"/>
  <c r="I89" i="3" s="1"/>
  <c r="U36" i="5"/>
  <c r="G89" i="3" s="1"/>
  <c r="S36" i="5"/>
  <c r="Z36" i="5" s="1"/>
  <c r="CI36" i="5" s="1"/>
  <c r="R36" i="5"/>
  <c r="Y36" i="5" s="1"/>
  <c r="J36" i="5"/>
  <c r="CR35" i="5"/>
  <c r="CP35" i="5"/>
  <c r="CO35" i="5"/>
  <c r="CN35" i="5"/>
  <c r="CM35" i="5"/>
  <c r="CJ35" i="5"/>
  <c r="CH35" i="5"/>
  <c r="CG35" i="5"/>
  <c r="BV35" i="5"/>
  <c r="BU35" i="5"/>
  <c r="BQ35" i="5"/>
  <c r="BN35" i="5"/>
  <c r="BL35" i="5"/>
  <c r="BK35" i="5"/>
  <c r="BG35" i="5"/>
  <c r="BD35" i="5"/>
  <c r="BC35" i="5"/>
  <c r="BB35" i="5"/>
  <c r="BA35" i="5"/>
  <c r="AZ35" i="5"/>
  <c r="AY35" i="5"/>
  <c r="AX35" i="5"/>
  <c r="AW35" i="5"/>
  <c r="AV35" i="5"/>
  <c r="AU35" i="5"/>
  <c r="AT35" i="5"/>
  <c r="AR35" i="5" s="1"/>
  <c r="V35" i="5" s="1"/>
  <c r="H88" i="3" s="1"/>
  <c r="AS35" i="5"/>
  <c r="AQ35" i="5"/>
  <c r="AO35" i="5"/>
  <c r="AL35" i="5"/>
  <c r="AJ35" i="5"/>
  <c r="AI35" i="5"/>
  <c r="AH35" i="5"/>
  <c r="AK35" i="5" s="1"/>
  <c r="AG35" i="5"/>
  <c r="AA35" i="5"/>
  <c r="Z35" i="5"/>
  <c r="CI35" i="5" s="1"/>
  <c r="X35" i="5"/>
  <c r="W35" i="5"/>
  <c r="I88" i="3" s="1"/>
  <c r="U35" i="5"/>
  <c r="G88" i="3" s="1"/>
  <c r="T35" i="5"/>
  <c r="AB35" i="5" s="1"/>
  <c r="S35" i="5"/>
  <c r="R35" i="5"/>
  <c r="Y35" i="5" s="1"/>
  <c r="J35" i="5"/>
  <c r="CR34" i="5"/>
  <c r="CP34" i="5"/>
  <c r="CO34" i="5"/>
  <c r="CN34" i="5"/>
  <c r="CM34" i="5"/>
  <c r="CJ34" i="5"/>
  <c r="CH34" i="5"/>
  <c r="CG34" i="5"/>
  <c r="BO34" i="5"/>
  <c r="BN34" i="5"/>
  <c r="BL34" i="5"/>
  <c r="BV34" i="5" s="1"/>
  <c r="BK34" i="5"/>
  <c r="BU34" i="5" s="1"/>
  <c r="BJ34" i="5"/>
  <c r="BT34" i="5" s="1"/>
  <c r="BI34" i="5"/>
  <c r="BS34" i="5" s="1"/>
  <c r="BH34" i="5"/>
  <c r="BR34" i="5" s="1"/>
  <c r="BG34" i="5"/>
  <c r="BQ34" i="5" s="1"/>
  <c r="BF34" i="5"/>
  <c r="BP34" i="5" s="1"/>
  <c r="BE34" i="5"/>
  <c r="BD34" i="5"/>
  <c r="BC34" i="5"/>
  <c r="BB34" i="5"/>
  <c r="BA34" i="5"/>
  <c r="AZ34" i="5"/>
  <c r="AY34" i="5"/>
  <c r="AX34" i="5"/>
  <c r="AW34" i="5"/>
  <c r="AV34" i="5"/>
  <c r="AU34" i="5"/>
  <c r="AT34" i="5"/>
  <c r="AS34" i="5"/>
  <c r="AQ34" i="5"/>
  <c r="AO34" i="5"/>
  <c r="AM34" i="5"/>
  <c r="AL34" i="5"/>
  <c r="AJ34" i="5"/>
  <c r="AI34" i="5"/>
  <c r="AH34" i="5"/>
  <c r="AK34" i="5" s="1"/>
  <c r="AG34" i="5"/>
  <c r="AA34" i="5"/>
  <c r="Y34" i="5"/>
  <c r="X34" i="5"/>
  <c r="W34" i="5"/>
  <c r="I87" i="3" s="1"/>
  <c r="U34" i="5"/>
  <c r="G87" i="3" s="1"/>
  <c r="T34" i="5"/>
  <c r="AB34" i="5" s="1"/>
  <c r="S34" i="5"/>
  <c r="Z34" i="5" s="1"/>
  <c r="CI34" i="5" s="1"/>
  <c r="R34" i="5"/>
  <c r="J34" i="5"/>
  <c r="CR33" i="5"/>
  <c r="CP33" i="5"/>
  <c r="CO33" i="5"/>
  <c r="CN33" i="5"/>
  <c r="CM33" i="5"/>
  <c r="CJ33" i="5"/>
  <c r="CG33" i="5"/>
  <c r="BL33" i="5"/>
  <c r="BV33" i="5" s="1"/>
  <c r="BK33" i="5"/>
  <c r="BU33" i="5" s="1"/>
  <c r="BI33" i="5"/>
  <c r="BS33" i="5" s="1"/>
  <c r="BG33" i="5"/>
  <c r="BQ33" i="5" s="1"/>
  <c r="BE33" i="5"/>
  <c r="BD33" i="5"/>
  <c r="BN33" i="5" s="1"/>
  <c r="BC33" i="5"/>
  <c r="BB33" i="5"/>
  <c r="BA33" i="5"/>
  <c r="AZ33" i="5"/>
  <c r="AY33" i="5"/>
  <c r="AX33" i="5"/>
  <c r="AW33" i="5"/>
  <c r="AV33" i="5"/>
  <c r="AU33" i="5"/>
  <c r="AT33" i="5"/>
  <c r="AR33" i="5"/>
  <c r="V33" i="5" s="1"/>
  <c r="H86" i="3" s="1"/>
  <c r="AQ33" i="5"/>
  <c r="AO33" i="5"/>
  <c r="AM33" i="5"/>
  <c r="AL33" i="5"/>
  <c r="AJ33" i="5"/>
  <c r="AI33" i="5"/>
  <c r="AS33" i="5" s="1"/>
  <c r="AH33" i="5"/>
  <c r="AK33" i="5" s="1"/>
  <c r="AG33" i="5"/>
  <c r="AA33" i="5"/>
  <c r="X33" i="5"/>
  <c r="W33" i="5"/>
  <c r="I86" i="3" s="1"/>
  <c r="U33" i="5"/>
  <c r="G86" i="3" s="1"/>
  <c r="T33" i="5"/>
  <c r="AB33" i="5" s="1"/>
  <c r="S33" i="5"/>
  <c r="Z33" i="5" s="1"/>
  <c r="CI33" i="5" s="1"/>
  <c r="R33" i="5"/>
  <c r="Y33" i="5" s="1"/>
  <c r="J33" i="5"/>
  <c r="CR32" i="5"/>
  <c r="CP32" i="5"/>
  <c r="CO32" i="5"/>
  <c r="CN32" i="5"/>
  <c r="CM32" i="5"/>
  <c r="CJ32" i="5"/>
  <c r="CH32" i="5"/>
  <c r="CG32" i="5"/>
  <c r="BV32" i="5"/>
  <c r="BL32" i="5"/>
  <c r="BJ32" i="5"/>
  <c r="BD32" i="5"/>
  <c r="BC32" i="5"/>
  <c r="BB32" i="5"/>
  <c r="BA32" i="5"/>
  <c r="AZ32" i="5"/>
  <c r="AY32" i="5"/>
  <c r="AX32" i="5"/>
  <c r="AW32" i="5"/>
  <c r="AV32" i="5"/>
  <c r="AU32" i="5"/>
  <c r="AT32" i="5"/>
  <c r="AR32" i="5"/>
  <c r="AQ32" i="5"/>
  <c r="AO32" i="5"/>
  <c r="AM32" i="5"/>
  <c r="AJ32" i="5"/>
  <c r="AI32" i="5"/>
  <c r="AS32" i="5" s="1"/>
  <c r="AH32" i="5"/>
  <c r="AK32" i="5" s="1"/>
  <c r="AG32" i="5"/>
  <c r="AA32" i="5"/>
  <c r="Y32" i="5"/>
  <c r="X32" i="5"/>
  <c r="W32" i="5"/>
  <c r="I85" i="3" s="1"/>
  <c r="U32" i="5"/>
  <c r="G85" i="3" s="1"/>
  <c r="T32" i="5"/>
  <c r="AB32" i="5" s="1"/>
  <c r="S32" i="5"/>
  <c r="Z32" i="5" s="1"/>
  <c r="CI32" i="5" s="1"/>
  <c r="R32" i="5"/>
  <c r="J32" i="5"/>
  <c r="CR31" i="5"/>
  <c r="CP31" i="5"/>
  <c r="CO31" i="5"/>
  <c r="CN31" i="5"/>
  <c r="CM31" i="5"/>
  <c r="CJ31" i="5"/>
  <c r="CH31" i="5"/>
  <c r="CG31" i="5"/>
  <c r="BT31" i="5"/>
  <c r="BS31" i="5"/>
  <c r="BO31" i="5"/>
  <c r="BN31" i="5"/>
  <c r="BL31" i="5"/>
  <c r="BV31" i="5" s="1"/>
  <c r="BK31" i="5"/>
  <c r="BU31" i="5" s="1"/>
  <c r="BJ31" i="5"/>
  <c r="BI31" i="5"/>
  <c r="BH31" i="5"/>
  <c r="BR31" i="5" s="1"/>
  <c r="BG31" i="5"/>
  <c r="BQ31" i="5" s="1"/>
  <c r="BE31" i="5"/>
  <c r="BD31" i="5"/>
  <c r="BC31" i="5"/>
  <c r="BB31" i="5"/>
  <c r="BA31" i="5"/>
  <c r="AZ31" i="5"/>
  <c r="AY31" i="5"/>
  <c r="AX31" i="5"/>
  <c r="AW31" i="5"/>
  <c r="AV31" i="5"/>
  <c r="AU31" i="5"/>
  <c r="AT31" i="5"/>
  <c r="AQ31" i="5"/>
  <c r="AO31" i="5"/>
  <c r="AL31" i="5"/>
  <c r="AJ31" i="5"/>
  <c r="AI31" i="5"/>
  <c r="AS31" i="5" s="1"/>
  <c r="AH31" i="5"/>
  <c r="AK31" i="5" s="1"/>
  <c r="AG31" i="5"/>
  <c r="AA31" i="5"/>
  <c r="Z31" i="5"/>
  <c r="CI31" i="5" s="1"/>
  <c r="X31" i="5"/>
  <c r="W31" i="5"/>
  <c r="I84" i="3" s="1"/>
  <c r="U31" i="5"/>
  <c r="G84" i="3" s="1"/>
  <c r="T31" i="5"/>
  <c r="AB31" i="5" s="1"/>
  <c r="S31" i="5"/>
  <c r="R31" i="5"/>
  <c r="Y31" i="5" s="1"/>
  <c r="J31" i="5"/>
  <c r="CR30" i="5"/>
  <c r="CP30" i="5"/>
  <c r="CO30" i="5"/>
  <c r="CN30" i="5"/>
  <c r="CM30" i="5"/>
  <c r="CJ30" i="5"/>
  <c r="CH30" i="5"/>
  <c r="CG30" i="5"/>
  <c r="BN30" i="5"/>
  <c r="BL30" i="5"/>
  <c r="BV30" i="5" s="1"/>
  <c r="BJ30" i="5"/>
  <c r="BT30" i="5" s="1"/>
  <c r="BH30" i="5"/>
  <c r="BR30" i="5" s="1"/>
  <c r="BF30" i="5"/>
  <c r="BP30" i="5" s="1"/>
  <c r="BE30" i="5"/>
  <c r="BO30" i="5" s="1"/>
  <c r="BD30" i="5"/>
  <c r="BC30" i="5"/>
  <c r="BB30" i="5"/>
  <c r="BA30" i="5"/>
  <c r="AZ30" i="5"/>
  <c r="AY30" i="5"/>
  <c r="AX30" i="5"/>
  <c r="AW30" i="5"/>
  <c r="AV30" i="5"/>
  <c r="AU30" i="5"/>
  <c r="AT30" i="5"/>
  <c r="AR30" i="5"/>
  <c r="AQ30" i="5"/>
  <c r="AO30" i="5"/>
  <c r="AM30" i="5"/>
  <c r="V30" i="5" s="1"/>
  <c r="H83" i="3" s="1"/>
  <c r="AL30" i="5"/>
  <c r="AK30" i="5"/>
  <c r="AJ30" i="5"/>
  <c r="AI30" i="5"/>
  <c r="AS30" i="5" s="1"/>
  <c r="AH30" i="5"/>
  <c r="AG30" i="5"/>
  <c r="AA30" i="5"/>
  <c r="Y30" i="5"/>
  <c r="X30" i="5"/>
  <c r="W30" i="5"/>
  <c r="I83" i="3" s="1"/>
  <c r="U30" i="5"/>
  <c r="G83" i="3" s="1"/>
  <c r="T30" i="5"/>
  <c r="AB30" i="5" s="1"/>
  <c r="S30" i="5"/>
  <c r="Z30" i="5" s="1"/>
  <c r="CI30" i="5" s="1"/>
  <c r="R30" i="5"/>
  <c r="J30" i="5"/>
  <c r="CR29" i="5"/>
  <c r="CP29" i="5"/>
  <c r="CO29" i="5"/>
  <c r="CN29" i="5"/>
  <c r="CM29" i="5"/>
  <c r="CJ29" i="5"/>
  <c r="CH29" i="5"/>
  <c r="CG29" i="5"/>
  <c r="BU29" i="5"/>
  <c r="BL29" i="5"/>
  <c r="BV29" i="5" s="1"/>
  <c r="BK29" i="5"/>
  <c r="BJ29" i="5"/>
  <c r="BG29" i="5"/>
  <c r="BQ29" i="5" s="1"/>
  <c r="BD29" i="5"/>
  <c r="BN29" i="5" s="1"/>
  <c r="BC29" i="5"/>
  <c r="BB29" i="5"/>
  <c r="BA29" i="5"/>
  <c r="AZ29" i="5"/>
  <c r="AY29" i="5"/>
  <c r="AX29" i="5"/>
  <c r="AW29" i="5"/>
  <c r="AV29" i="5"/>
  <c r="AU29" i="5"/>
  <c r="AL29" i="5" s="1"/>
  <c r="AT29" i="5"/>
  <c r="AR29" i="5"/>
  <c r="AQ29" i="5"/>
  <c r="AO29" i="5"/>
  <c r="AK29" i="5"/>
  <c r="AJ29" i="5"/>
  <c r="AI29" i="5"/>
  <c r="AS29" i="5" s="1"/>
  <c r="AH29" i="5"/>
  <c r="AG29" i="5"/>
  <c r="AA29" i="5"/>
  <c r="Z29" i="5"/>
  <c r="CI29" i="5" s="1"/>
  <c r="Y29" i="5"/>
  <c r="X29" i="5"/>
  <c r="W29" i="5"/>
  <c r="I82" i="3" s="1"/>
  <c r="U29" i="5"/>
  <c r="G82" i="3" s="1"/>
  <c r="T29" i="5"/>
  <c r="AB29" i="5" s="1"/>
  <c r="S29" i="5"/>
  <c r="R29" i="5"/>
  <c r="J29" i="5"/>
  <c r="CR28" i="5"/>
  <c r="CP28" i="5"/>
  <c r="CO28" i="5"/>
  <c r="CN28" i="5"/>
  <c r="CM28" i="5"/>
  <c r="CJ28" i="5"/>
  <c r="CH28" i="5"/>
  <c r="CG28" i="5"/>
  <c r="BV28" i="5"/>
  <c r="BU28" i="5"/>
  <c r="BT28" i="5"/>
  <c r="BQ28" i="5"/>
  <c r="BN28" i="5"/>
  <c r="BL28" i="5"/>
  <c r="BK28" i="5"/>
  <c r="BJ28" i="5"/>
  <c r="BG28" i="5"/>
  <c r="BD28" i="5"/>
  <c r="BC28" i="5"/>
  <c r="BB28" i="5"/>
  <c r="BA28" i="5"/>
  <c r="AZ28" i="5"/>
  <c r="AY28" i="5"/>
  <c r="AX28" i="5"/>
  <c r="AW28" i="5"/>
  <c r="AV28" i="5"/>
  <c r="AU28" i="5"/>
  <c r="AT28" i="5"/>
  <c r="AR28" i="5"/>
  <c r="AQ28" i="5"/>
  <c r="AO28" i="5"/>
  <c r="AM28" i="5"/>
  <c r="AJ28" i="5"/>
  <c r="AI28" i="5"/>
  <c r="AS28" i="5" s="1"/>
  <c r="AH28" i="5"/>
  <c r="AK28" i="5" s="1"/>
  <c r="AG28" i="5"/>
  <c r="AA28" i="5"/>
  <c r="Z28" i="5"/>
  <c r="CI28" i="5" s="1"/>
  <c r="Y28" i="5"/>
  <c r="X28" i="5"/>
  <c r="W28" i="5"/>
  <c r="I81" i="3" s="1"/>
  <c r="U28" i="5"/>
  <c r="G81" i="3" s="1"/>
  <c r="S28" i="5"/>
  <c r="R28" i="5"/>
  <c r="J28" i="5"/>
  <c r="CR27" i="5"/>
  <c r="CP27" i="5"/>
  <c r="CO27" i="5"/>
  <c r="CN27" i="5"/>
  <c r="CM27" i="5"/>
  <c r="CJ27" i="5"/>
  <c r="CG27" i="5"/>
  <c r="BV27" i="5"/>
  <c r="BQ27" i="5"/>
  <c r="BN27" i="5"/>
  <c r="BL27" i="5"/>
  <c r="BG27" i="5"/>
  <c r="BD27" i="5"/>
  <c r="BC27" i="5"/>
  <c r="BB27" i="5"/>
  <c r="BA27" i="5"/>
  <c r="AZ27" i="5"/>
  <c r="AY27" i="5"/>
  <c r="AX27" i="5"/>
  <c r="AW27" i="5"/>
  <c r="AV27" i="5"/>
  <c r="AU27" i="5"/>
  <c r="AT27" i="5"/>
  <c r="AS27" i="5"/>
  <c r="AR27" i="5"/>
  <c r="AQ27" i="5"/>
  <c r="AO27" i="5"/>
  <c r="AM27" i="5"/>
  <c r="AL27" i="5"/>
  <c r="AK27" i="5"/>
  <c r="AJ27" i="5"/>
  <c r="AI27" i="5"/>
  <c r="AH27" i="5"/>
  <c r="AG27" i="5"/>
  <c r="AA27" i="5"/>
  <c r="Z27" i="5"/>
  <c r="CI27" i="5" s="1"/>
  <c r="X27" i="5"/>
  <c r="W27" i="5"/>
  <c r="I80" i="3" s="1"/>
  <c r="U27" i="5"/>
  <c r="G80" i="3" s="1"/>
  <c r="S27" i="5"/>
  <c r="R27" i="5"/>
  <c r="Y27" i="5" s="1"/>
  <c r="J27" i="5"/>
  <c r="CR26" i="5"/>
  <c r="CP26" i="5"/>
  <c r="CO26" i="5"/>
  <c r="CN26" i="5"/>
  <c r="CM26" i="5"/>
  <c r="CJ26" i="5"/>
  <c r="CH26" i="5"/>
  <c r="CG26" i="5"/>
  <c r="BV26" i="5"/>
  <c r="BT26" i="5"/>
  <c r="BQ26" i="5"/>
  <c r="BN26" i="5"/>
  <c r="BL26" i="5"/>
  <c r="BJ26" i="5"/>
  <c r="BG26" i="5"/>
  <c r="BD26" i="5"/>
  <c r="BC26" i="5"/>
  <c r="BB26" i="5"/>
  <c r="BA26" i="5"/>
  <c r="AZ26" i="5"/>
  <c r="AY26" i="5"/>
  <c r="AX26" i="5"/>
  <c r="AW26" i="5"/>
  <c r="AV26" i="5"/>
  <c r="AU26" i="5"/>
  <c r="AT26" i="5"/>
  <c r="AL26" i="5" s="1"/>
  <c r="AS26" i="5"/>
  <c r="AR26" i="5"/>
  <c r="AQ26" i="5"/>
  <c r="AO26" i="5"/>
  <c r="AM26" i="5"/>
  <c r="AK26" i="5"/>
  <c r="AJ26" i="5"/>
  <c r="AI26" i="5"/>
  <c r="AH26" i="5"/>
  <c r="AG26" i="5"/>
  <c r="AA26" i="5"/>
  <c r="Z26" i="5"/>
  <c r="CI26" i="5" s="1"/>
  <c r="Y26" i="5"/>
  <c r="X26" i="5"/>
  <c r="W26" i="5"/>
  <c r="I79" i="3" s="1"/>
  <c r="U26" i="5"/>
  <c r="G79" i="3" s="1"/>
  <c r="S26" i="5"/>
  <c r="R26" i="5"/>
  <c r="J26" i="5"/>
  <c r="CR25" i="5"/>
  <c r="CP25" i="5"/>
  <c r="CO25" i="5"/>
  <c r="CN25" i="5"/>
  <c r="CM25" i="5"/>
  <c r="CJ25" i="5"/>
  <c r="CI25" i="5"/>
  <c r="CH25" i="5"/>
  <c r="CG25" i="5"/>
  <c r="BV25" i="5"/>
  <c r="BN25" i="5"/>
  <c r="BL25" i="5"/>
  <c r="BJ25" i="5"/>
  <c r="BG25" i="5"/>
  <c r="BD25" i="5"/>
  <c r="BC25" i="5"/>
  <c r="BB25" i="5"/>
  <c r="BA25" i="5"/>
  <c r="AZ25" i="5"/>
  <c r="AY25" i="5"/>
  <c r="AX25" i="5"/>
  <c r="AW25" i="5"/>
  <c r="AV25" i="5"/>
  <c r="AU25" i="5"/>
  <c r="AT25" i="5"/>
  <c r="AQ25" i="5"/>
  <c r="AO25" i="5"/>
  <c r="AK25" i="5"/>
  <c r="AJ25" i="5"/>
  <c r="AI25" i="5"/>
  <c r="AS25" i="5" s="1"/>
  <c r="AH25" i="5"/>
  <c r="AG25" i="5"/>
  <c r="AA25" i="5"/>
  <c r="Z25" i="5"/>
  <c r="Y25" i="5"/>
  <c r="X25" i="5"/>
  <c r="W25" i="5"/>
  <c r="I78" i="3" s="1"/>
  <c r="U25" i="5"/>
  <c r="G78" i="3" s="1"/>
  <c r="T25" i="5"/>
  <c r="AB25" i="5" s="1"/>
  <c r="S25" i="5"/>
  <c r="R25" i="5"/>
  <c r="J25" i="5"/>
  <c r="CR24" i="5"/>
  <c r="CP24" i="5"/>
  <c r="CO24" i="5"/>
  <c r="CN24" i="5"/>
  <c r="CM24" i="5"/>
  <c r="CJ24" i="5"/>
  <c r="CH24" i="5"/>
  <c r="CG24" i="5"/>
  <c r="CB24" i="5"/>
  <c r="CA24" i="5"/>
  <c r="BX24" i="5"/>
  <c r="BV24" i="5"/>
  <c r="BL24" i="5"/>
  <c r="BJ24" i="5"/>
  <c r="BG24" i="5"/>
  <c r="BD24" i="5"/>
  <c r="BN24" i="5" s="1"/>
  <c r="BC24" i="5"/>
  <c r="BB24" i="5"/>
  <c r="BA24" i="5"/>
  <c r="AZ24" i="5"/>
  <c r="AY24" i="5"/>
  <c r="AX24" i="5"/>
  <c r="AW24" i="5"/>
  <c r="AV24" i="5"/>
  <c r="AU24" i="5"/>
  <c r="AT24" i="5"/>
  <c r="AS24" i="5"/>
  <c r="AQ24" i="5"/>
  <c r="AO24" i="5"/>
  <c r="AM24" i="5"/>
  <c r="AL24" i="5"/>
  <c r="AJ24" i="5"/>
  <c r="AI24" i="5"/>
  <c r="AH24" i="5"/>
  <c r="AK24" i="5" s="1"/>
  <c r="AG24" i="5"/>
  <c r="AA24" i="5"/>
  <c r="Y24" i="5"/>
  <c r="X24" i="5"/>
  <c r="W24" i="5"/>
  <c r="I77" i="3" s="1"/>
  <c r="U24" i="5"/>
  <c r="G77" i="3" s="1"/>
  <c r="S24" i="5"/>
  <c r="Z24" i="5" s="1"/>
  <c r="CI24" i="5" s="1"/>
  <c r="R24" i="5"/>
  <c r="J24" i="5"/>
  <c r="CR23" i="5"/>
  <c r="CP23" i="5"/>
  <c r="CO23" i="5"/>
  <c r="CN23" i="5"/>
  <c r="CM23" i="5"/>
  <c r="CJ23" i="5"/>
  <c r="CH23" i="5"/>
  <c r="CG23" i="5"/>
  <c r="BL23" i="5"/>
  <c r="BV23" i="5" s="1"/>
  <c r="BG23" i="5"/>
  <c r="BD23" i="5"/>
  <c r="BN23" i="5" s="1"/>
  <c r="BC23" i="5"/>
  <c r="BB23" i="5"/>
  <c r="BA23" i="5"/>
  <c r="AZ23" i="5"/>
  <c r="AY23" i="5"/>
  <c r="AX23" i="5"/>
  <c r="AW23" i="5"/>
  <c r="AV23" i="5"/>
  <c r="AU23" i="5"/>
  <c r="AR23" i="5" s="1"/>
  <c r="AT23" i="5"/>
  <c r="AS23" i="5"/>
  <c r="AQ23" i="5"/>
  <c r="AO23" i="5"/>
  <c r="AL23" i="5"/>
  <c r="AK23" i="5"/>
  <c r="AJ23" i="5"/>
  <c r="AI23" i="5"/>
  <c r="AH23" i="5"/>
  <c r="AG23" i="5"/>
  <c r="AA23" i="5"/>
  <c r="X23" i="5"/>
  <c r="W23" i="5"/>
  <c r="I76" i="3" s="1"/>
  <c r="U23" i="5"/>
  <c r="G76" i="3" s="1"/>
  <c r="T23" i="5"/>
  <c r="AB23" i="5" s="1"/>
  <c r="S23" i="5"/>
  <c r="Z23" i="5" s="1"/>
  <c r="CI23" i="5" s="1"/>
  <c r="R23" i="5"/>
  <c r="Y23" i="5" s="1"/>
  <c r="J23" i="5"/>
  <c r="CR22" i="5"/>
  <c r="CP22" i="5"/>
  <c r="CO22" i="5"/>
  <c r="CN22" i="5"/>
  <c r="CM22" i="5"/>
  <c r="CJ22" i="5"/>
  <c r="CH22" i="5"/>
  <c r="CG22" i="5"/>
  <c r="BV22" i="5"/>
  <c r="BT22" i="5"/>
  <c r="BN22" i="5"/>
  <c r="BL22" i="5"/>
  <c r="BJ22" i="5"/>
  <c r="BD22" i="5"/>
  <c r="BC22" i="5"/>
  <c r="BB22" i="5"/>
  <c r="BA22" i="5"/>
  <c r="AZ22" i="5"/>
  <c r="AY22" i="5"/>
  <c r="AX22" i="5"/>
  <c r="AW22" i="5"/>
  <c r="AV22" i="5"/>
  <c r="AU22" i="5"/>
  <c r="AT22" i="5"/>
  <c r="AR22" i="5" s="1"/>
  <c r="AQ22" i="5"/>
  <c r="AO22" i="5"/>
  <c r="AM22" i="5"/>
  <c r="AJ22" i="5"/>
  <c r="AI22" i="5"/>
  <c r="AS22" i="5" s="1"/>
  <c r="AH22" i="5"/>
  <c r="AK22" i="5" s="1"/>
  <c r="AG22" i="5"/>
  <c r="AA22" i="5"/>
  <c r="Z22" i="5"/>
  <c r="CI22" i="5" s="1"/>
  <c r="X22" i="5"/>
  <c r="W22" i="5"/>
  <c r="I75" i="3" s="1"/>
  <c r="U22" i="5"/>
  <c r="G75" i="3" s="1"/>
  <c r="T22" i="5"/>
  <c r="AB22" i="5" s="1"/>
  <c r="S22" i="5"/>
  <c r="R22" i="5"/>
  <c r="Y22" i="5" s="1"/>
  <c r="J22" i="5"/>
  <c r="CR21" i="5"/>
  <c r="CP21" i="5"/>
  <c r="CO21" i="5"/>
  <c r="CN21" i="5"/>
  <c r="CM21" i="5"/>
  <c r="CJ21" i="5"/>
  <c r="CI21" i="5"/>
  <c r="CH21" i="5"/>
  <c r="CG21" i="5"/>
  <c r="BV21" i="5"/>
  <c r="BN21" i="5"/>
  <c r="BL21" i="5"/>
  <c r="BD21" i="5"/>
  <c r="BC21" i="5"/>
  <c r="BB21" i="5"/>
  <c r="BA21" i="5"/>
  <c r="AZ21" i="5"/>
  <c r="AY21" i="5"/>
  <c r="AX21" i="5"/>
  <c r="AW21" i="5"/>
  <c r="AV21" i="5"/>
  <c r="AU21" i="5"/>
  <c r="AT21" i="5"/>
  <c r="AS21" i="5"/>
  <c r="AQ21" i="5"/>
  <c r="AO21" i="5"/>
  <c r="AM21" i="5"/>
  <c r="AJ21" i="5"/>
  <c r="AI21" i="5"/>
  <c r="AH21" i="5"/>
  <c r="AK21" i="5" s="1"/>
  <c r="AG21" i="5"/>
  <c r="AA21" i="5"/>
  <c r="Z21" i="5"/>
  <c r="X21" i="5"/>
  <c r="W21" i="5"/>
  <c r="U21" i="5"/>
  <c r="G74" i="3" s="1"/>
  <c r="T21" i="5"/>
  <c r="AB21" i="5" s="1"/>
  <c r="S21" i="5"/>
  <c r="R21" i="5"/>
  <c r="Y21" i="5" s="1"/>
  <c r="J21" i="5"/>
  <c r="CR20" i="5"/>
  <c r="CP20" i="5"/>
  <c r="CO20" i="5"/>
  <c r="CN20" i="5"/>
  <c r="CM20" i="5"/>
  <c r="CJ20" i="5"/>
  <c r="CI20" i="5"/>
  <c r="CH20" i="5"/>
  <c r="CG20" i="5"/>
  <c r="BN20" i="5"/>
  <c r="BL20" i="5"/>
  <c r="BV20" i="5" s="1"/>
  <c r="BJ20" i="5"/>
  <c r="BG20" i="5"/>
  <c r="BD20" i="5"/>
  <c r="BC20" i="5"/>
  <c r="BB20" i="5"/>
  <c r="BA20" i="5"/>
  <c r="AZ20" i="5"/>
  <c r="AY20" i="5"/>
  <c r="AX20" i="5"/>
  <c r="AW20" i="5"/>
  <c r="AV20" i="5"/>
  <c r="AU20" i="5"/>
  <c r="AR20" i="5" s="1"/>
  <c r="AT20" i="5"/>
  <c r="AQ20" i="5"/>
  <c r="AO20" i="5"/>
  <c r="AM20" i="5"/>
  <c r="AL20" i="5"/>
  <c r="AJ20" i="5"/>
  <c r="AI20" i="5"/>
  <c r="AS20" i="5" s="1"/>
  <c r="AH20" i="5"/>
  <c r="AK20" i="5" s="1"/>
  <c r="AG20" i="5"/>
  <c r="AA20" i="5"/>
  <c r="Y20" i="5"/>
  <c r="X20" i="5"/>
  <c r="W20" i="5"/>
  <c r="I73" i="3" s="1"/>
  <c r="U20" i="5"/>
  <c r="G73" i="3" s="1"/>
  <c r="T20" i="5"/>
  <c r="AB20" i="5" s="1"/>
  <c r="S20" i="5"/>
  <c r="Z20" i="5" s="1"/>
  <c r="R20" i="5"/>
  <c r="J20" i="5"/>
  <c r="CR19" i="5"/>
  <c r="CP19" i="5"/>
  <c r="CO19" i="5"/>
  <c r="CN19" i="5"/>
  <c r="CM19" i="5"/>
  <c r="CJ19" i="5"/>
  <c r="CG19" i="5"/>
  <c r="BT19" i="5"/>
  <c r="BL19" i="5"/>
  <c r="BV19" i="5" s="1"/>
  <c r="BJ19" i="5"/>
  <c r="BG19" i="5"/>
  <c r="BD19" i="5"/>
  <c r="BN19" i="5" s="1"/>
  <c r="BC19" i="5"/>
  <c r="BB19" i="5"/>
  <c r="BA19" i="5"/>
  <c r="CD19" i="5" s="1"/>
  <c r="AZ19" i="5"/>
  <c r="AY19" i="5"/>
  <c r="AX19" i="5"/>
  <c r="AW19" i="5"/>
  <c r="AV19" i="5"/>
  <c r="AU19" i="5"/>
  <c r="AT19" i="5"/>
  <c r="AS19" i="5"/>
  <c r="AQ19" i="5"/>
  <c r="AO19" i="5"/>
  <c r="AM19" i="5"/>
  <c r="AK19" i="5"/>
  <c r="AJ19" i="5"/>
  <c r="AI19" i="5"/>
  <c r="AH19" i="5"/>
  <c r="AG19" i="5"/>
  <c r="AA19" i="5"/>
  <c r="X19" i="5"/>
  <c r="W19" i="5"/>
  <c r="I72" i="3" s="1"/>
  <c r="U19" i="5"/>
  <c r="G72" i="3" s="1"/>
  <c r="T19" i="5"/>
  <c r="AB19" i="5" s="1"/>
  <c r="S19" i="5"/>
  <c r="Z19" i="5" s="1"/>
  <c r="CI19" i="5" s="1"/>
  <c r="R19" i="5"/>
  <c r="Y19" i="5" s="1"/>
  <c r="J19" i="5"/>
  <c r="CJ18" i="5"/>
  <c r="CI18" i="5"/>
  <c r="CH18" i="5"/>
  <c r="BV18" i="5"/>
  <c r="BL18" i="5"/>
  <c r="BJ18" i="5"/>
  <c r="BC18" i="5"/>
  <c r="BB18" i="5"/>
  <c r="BA18" i="5"/>
  <c r="AZ18" i="5"/>
  <c r="AY18" i="5"/>
  <c r="AX18" i="5"/>
  <c r="AW18" i="5"/>
  <c r="AV18" i="5"/>
  <c r="AU18" i="5"/>
  <c r="AT18" i="5"/>
  <c r="AS18" i="5"/>
  <c r="AQ18" i="5"/>
  <c r="AM18" i="5"/>
  <c r="AK18" i="5"/>
  <c r="AI18" i="5"/>
  <c r="AH18" i="5"/>
  <c r="AA18" i="5"/>
  <c r="Y18" i="5"/>
  <c r="X18" i="5"/>
  <c r="S18" i="5"/>
  <c r="Z18" i="5" s="1"/>
  <c r="R18" i="5"/>
  <c r="CG18" i="5" s="1"/>
  <c r="J18" i="5"/>
  <c r="AG18" i="5" s="1"/>
  <c r="CH17" i="5"/>
  <c r="CG17" i="5"/>
  <c r="BT17" i="5"/>
  <c r="BL17" i="5"/>
  <c r="BV17" i="5" s="1"/>
  <c r="BJ17" i="5"/>
  <c r="BG17" i="5"/>
  <c r="BQ17" i="5" s="1"/>
  <c r="BC17" i="5"/>
  <c r="BB17" i="5"/>
  <c r="BA17" i="5"/>
  <c r="AZ17" i="5"/>
  <c r="AY17" i="5"/>
  <c r="AW17" i="5"/>
  <c r="AV17" i="5"/>
  <c r="AU17" i="5"/>
  <c r="AT17" i="5"/>
  <c r="AS17" i="5"/>
  <c r="AQ17" i="5"/>
  <c r="AM17" i="5"/>
  <c r="AJ17" i="5"/>
  <c r="AI17" i="5"/>
  <c r="AH17" i="5"/>
  <c r="AK17" i="5" s="1"/>
  <c r="AG17" i="5"/>
  <c r="AA17" i="5"/>
  <c r="X17" i="5"/>
  <c r="R17" i="5"/>
  <c r="Y17" i="5" s="1"/>
  <c r="J17" i="5"/>
  <c r="S17" i="5" s="1"/>
  <c r="CR16" i="5"/>
  <c r="CP16" i="5"/>
  <c r="CO16" i="5"/>
  <c r="CN16" i="5"/>
  <c r="CM16" i="5"/>
  <c r="CJ16" i="5"/>
  <c r="CH16" i="5"/>
  <c r="CG16" i="5"/>
  <c r="BV16" i="5"/>
  <c r="BT16" i="5"/>
  <c r="BL16" i="5"/>
  <c r="BJ16" i="5"/>
  <c r="BG16" i="5"/>
  <c r="BQ16" i="5" s="1"/>
  <c r="BD16" i="5"/>
  <c r="BN16" i="5" s="1"/>
  <c r="BC16" i="5"/>
  <c r="BB16" i="5"/>
  <c r="BA16" i="5"/>
  <c r="AZ16" i="5"/>
  <c r="AY16" i="5"/>
  <c r="AW16" i="5"/>
  <c r="AV16" i="5"/>
  <c r="AR16" i="5" s="1"/>
  <c r="AU16" i="5"/>
  <c r="AT16" i="5"/>
  <c r="AQ16" i="5"/>
  <c r="AO16" i="5"/>
  <c r="AM16" i="5"/>
  <c r="AL16" i="5"/>
  <c r="AK16" i="5"/>
  <c r="AJ16" i="5"/>
  <c r="AI16" i="5"/>
  <c r="AS16" i="5" s="1"/>
  <c r="AH16" i="5"/>
  <c r="AG16" i="5"/>
  <c r="AA16" i="5"/>
  <c r="Z16" i="5"/>
  <c r="CI16" i="5" s="1"/>
  <c r="Y16" i="5"/>
  <c r="X16" i="5"/>
  <c r="W16" i="5"/>
  <c r="I69" i="3" s="1"/>
  <c r="U16" i="5"/>
  <c r="G69" i="3" s="1"/>
  <c r="T16" i="5"/>
  <c r="AB16" i="5" s="1"/>
  <c r="S16" i="5"/>
  <c r="AX16" i="5" s="1"/>
  <c r="R16" i="5"/>
  <c r="J16" i="5"/>
  <c r="CR15" i="5"/>
  <c r="CP15" i="5"/>
  <c r="CO15" i="5"/>
  <c r="CN15" i="5"/>
  <c r="CM15" i="5"/>
  <c r="CJ15" i="5"/>
  <c r="CG15" i="5"/>
  <c r="BV15" i="5"/>
  <c r="BL15" i="5"/>
  <c r="BJ15" i="5"/>
  <c r="BG15" i="5"/>
  <c r="BE15" i="5"/>
  <c r="BO15" i="5" s="1"/>
  <c r="BD15" i="5"/>
  <c r="BN15" i="5" s="1"/>
  <c r="BC15" i="5"/>
  <c r="BB15" i="5"/>
  <c r="BA15" i="5"/>
  <c r="AZ15" i="5"/>
  <c r="AY15" i="5"/>
  <c r="AX15" i="5"/>
  <c r="AW15" i="5"/>
  <c r="AV15" i="5"/>
  <c r="AU15" i="5"/>
  <c r="AT15" i="5"/>
  <c r="AR15" i="5" s="1"/>
  <c r="AS15" i="5"/>
  <c r="AQ15" i="5"/>
  <c r="AO15" i="5"/>
  <c r="AK15" i="5"/>
  <c r="AJ15" i="5"/>
  <c r="AI15" i="5"/>
  <c r="AH15" i="5"/>
  <c r="AG15" i="5"/>
  <c r="AA15" i="5"/>
  <c r="X15" i="5"/>
  <c r="W15" i="5"/>
  <c r="I68" i="3" s="1"/>
  <c r="U15" i="5"/>
  <c r="G68" i="3" s="1"/>
  <c r="T15" i="5"/>
  <c r="AB15" i="5" s="1"/>
  <c r="S15" i="5"/>
  <c r="Z15" i="5" s="1"/>
  <c r="CI15" i="5" s="1"/>
  <c r="R15" i="5"/>
  <c r="Y15" i="5" s="1"/>
  <c r="J15" i="5"/>
  <c r="CN14" i="5"/>
  <c r="CI14" i="5"/>
  <c r="CH14" i="5"/>
  <c r="BV14" i="5"/>
  <c r="BL14" i="5"/>
  <c r="BJ14" i="5"/>
  <c r="BG14" i="5"/>
  <c r="BQ14" i="5" s="1"/>
  <c r="BC14" i="5"/>
  <c r="BB14" i="5"/>
  <c r="BA14" i="5"/>
  <c r="AZ14" i="5"/>
  <c r="AY14" i="5"/>
  <c r="AX14" i="5"/>
  <c r="AW14" i="5"/>
  <c r="AV14" i="5"/>
  <c r="BY14" i="5" s="1"/>
  <c r="AU14" i="5"/>
  <c r="AT14" i="5"/>
  <c r="AI14" i="5"/>
  <c r="AS14" i="5" s="1"/>
  <c r="AH14" i="5"/>
  <c r="AK14" i="5" s="1"/>
  <c r="AA14" i="5"/>
  <c r="X14" i="5"/>
  <c r="S14" i="5"/>
  <c r="Z14" i="5" s="1"/>
  <c r="J14" i="5"/>
  <c r="AG14" i="5" s="1"/>
  <c r="CI13" i="5"/>
  <c r="CG13" i="5"/>
  <c r="BV13" i="5"/>
  <c r="BL13" i="5"/>
  <c r="BC13" i="5"/>
  <c r="BB13" i="5"/>
  <c r="BA13" i="5"/>
  <c r="AZ13" i="5"/>
  <c r="AY13" i="5"/>
  <c r="AW13" i="5"/>
  <c r="AV13" i="5"/>
  <c r="AU13" i="5"/>
  <c r="AT13" i="5"/>
  <c r="AS13" i="5"/>
  <c r="AQ13" i="5"/>
  <c r="AM13" i="5"/>
  <c r="AK13" i="5"/>
  <c r="AJ13" i="5"/>
  <c r="AI13" i="5"/>
  <c r="AH13" i="5"/>
  <c r="AG13" i="5"/>
  <c r="AA13" i="5"/>
  <c r="Z13" i="5"/>
  <c r="X13" i="5"/>
  <c r="S13" i="5"/>
  <c r="AX13" i="5" s="1"/>
  <c r="R13" i="5"/>
  <c r="J13" i="5"/>
  <c r="CJ12" i="5"/>
  <c r="CH12" i="5"/>
  <c r="CG12" i="5"/>
  <c r="BL12" i="5"/>
  <c r="BV12" i="5" s="1"/>
  <c r="BD12" i="5"/>
  <c r="BC12" i="5"/>
  <c r="BB12" i="5"/>
  <c r="BA12" i="5"/>
  <c r="AZ12" i="5"/>
  <c r="AY12" i="5"/>
  <c r="AW12" i="5"/>
  <c r="AV12" i="5"/>
  <c r="AU12" i="5"/>
  <c r="AT12" i="5"/>
  <c r="AQ12" i="5"/>
  <c r="AM12" i="5"/>
  <c r="AJ12" i="5"/>
  <c r="AI12" i="5"/>
  <c r="AH12" i="5" s="1"/>
  <c r="AK12" i="5" s="1"/>
  <c r="AA12" i="5"/>
  <c r="X12" i="5"/>
  <c r="J12" i="5"/>
  <c r="R12" i="5" s="1"/>
  <c r="Y12" i="5" s="1"/>
  <c r="CJ11" i="5"/>
  <c r="CH11" i="5"/>
  <c r="CG11" i="5"/>
  <c r="BY11" i="5"/>
  <c r="BV11" i="5"/>
  <c r="BQ11" i="5"/>
  <c r="BL11" i="5"/>
  <c r="BJ11" i="5"/>
  <c r="BG11" i="5"/>
  <c r="BC11" i="5"/>
  <c r="BB11" i="5"/>
  <c r="BA11" i="5"/>
  <c r="AZ11" i="5"/>
  <c r="AY11" i="5"/>
  <c r="AX11" i="5"/>
  <c r="AW11" i="5"/>
  <c r="AV11" i="5"/>
  <c r="AU11" i="5"/>
  <c r="AT11" i="5"/>
  <c r="AQ11" i="5"/>
  <c r="AJ11" i="5"/>
  <c r="AI11" i="5"/>
  <c r="AS11" i="5" s="1"/>
  <c r="AA11" i="5"/>
  <c r="Z11" i="5"/>
  <c r="CI11" i="5" s="1"/>
  <c r="Y11" i="5"/>
  <c r="X11" i="5"/>
  <c r="S11" i="5"/>
  <c r="R11" i="5"/>
  <c r="J11" i="5"/>
  <c r="AG11" i="5" s="1"/>
  <c r="BU10" i="5"/>
  <c r="BP10" i="5"/>
  <c r="BN10" i="5"/>
  <c r="BJ10" i="5"/>
  <c r="BH10" i="5"/>
  <c r="BI35" i="5" s="1"/>
  <c r="BS35" i="5" s="1"/>
  <c r="BG10" i="5"/>
  <c r="BH35" i="5" s="1"/>
  <c r="BR35" i="5" s="1"/>
  <c r="BF10" i="5"/>
  <c r="BG36" i="5" s="1"/>
  <c r="BQ36" i="5" s="1"/>
  <c r="BD10" i="5"/>
  <c r="AM7" i="5"/>
  <c r="Q6" i="5"/>
  <c r="Q5" i="5"/>
  <c r="Q4" i="5"/>
  <c r="Q3" i="5"/>
  <c r="V2" i="5"/>
  <c r="BX131" i="4"/>
  <c r="BT131" i="4"/>
  <c r="BS131" i="4"/>
  <c r="BQ131" i="4"/>
  <c r="B171" i="21" s="1"/>
  <c r="BP131" i="4"/>
  <c r="A171" i="21" s="1"/>
  <c r="BM131" i="4"/>
  <c r="BL131" i="4"/>
  <c r="A153" i="19" s="1"/>
  <c r="BI131" i="4"/>
  <c r="BH131" i="4"/>
  <c r="A156" i="16" s="1"/>
  <c r="BE131" i="4"/>
  <c r="BD131" i="4"/>
  <c r="B175" i="18" s="1"/>
  <c r="BA131" i="4"/>
  <c r="B209" i="17" s="1"/>
  <c r="AZ131" i="4"/>
  <c r="A209" i="17" s="1"/>
  <c r="AW131" i="4"/>
  <c r="B176" i="15" s="1"/>
  <c r="AV131" i="4"/>
  <c r="A176" i="15" s="1"/>
  <c r="AN131" i="4"/>
  <c r="AJ131" i="4"/>
  <c r="AF131" i="4"/>
  <c r="AB131" i="4"/>
  <c r="Y131" i="4"/>
  <c r="X131" i="4"/>
  <c r="U131" i="4"/>
  <c r="T131" i="4"/>
  <c r="Q131" i="4"/>
  <c r="M131" i="4" s="1"/>
  <c r="P131" i="4"/>
  <c r="L131" i="4"/>
  <c r="B158" i="6" s="1"/>
  <c r="I131" i="4"/>
  <c r="H131" i="4"/>
  <c r="B151" i="5" s="1"/>
  <c r="BY130" i="4"/>
  <c r="BX130" i="4"/>
  <c r="BW130" i="4"/>
  <c r="BU130" i="4"/>
  <c r="BT130" i="4"/>
  <c r="BS130" i="4"/>
  <c r="BQ130" i="4"/>
  <c r="B170" i="21" s="1"/>
  <c r="BP130" i="4"/>
  <c r="A170" i="21" s="1"/>
  <c r="BO130" i="4"/>
  <c r="BM130" i="4"/>
  <c r="B152" i="19" s="1"/>
  <c r="BL130" i="4"/>
  <c r="A152" i="19" s="1"/>
  <c r="BK130" i="4"/>
  <c r="BI130" i="4"/>
  <c r="B155" i="16" s="1"/>
  <c r="BH130" i="4"/>
  <c r="A155" i="16" s="1"/>
  <c r="BG130" i="4"/>
  <c r="BE130" i="4"/>
  <c r="C174" i="18" s="1"/>
  <c r="BD130" i="4"/>
  <c r="B174" i="18" s="1"/>
  <c r="BC130" i="4"/>
  <c r="BA130" i="4"/>
  <c r="B208" i="17" s="1"/>
  <c r="AZ130" i="4"/>
  <c r="A208" i="17" s="1"/>
  <c r="AY130" i="4"/>
  <c r="AW130" i="4"/>
  <c r="B175" i="15" s="1"/>
  <c r="AV130" i="4"/>
  <c r="A175" i="15" s="1"/>
  <c r="AU130" i="4"/>
  <c r="AS130" i="4"/>
  <c r="AQ130" i="4"/>
  <c r="AO130" i="4"/>
  <c r="AN130" i="4"/>
  <c r="AM130" i="4"/>
  <c r="AK130" i="4"/>
  <c r="AJ130" i="4"/>
  <c r="AI130" i="4"/>
  <c r="AG130" i="4"/>
  <c r="AF130" i="4"/>
  <c r="AE130" i="4"/>
  <c r="AC130" i="4"/>
  <c r="AB130" i="4"/>
  <c r="AA130" i="4"/>
  <c r="Y130" i="4"/>
  <c r="X130" i="4"/>
  <c r="W130" i="4"/>
  <c r="U130" i="4"/>
  <c r="T130" i="4"/>
  <c r="S130" i="4"/>
  <c r="Q130" i="4"/>
  <c r="P130" i="4"/>
  <c r="O130" i="4"/>
  <c r="M130" i="4"/>
  <c r="C157" i="6" s="1"/>
  <c r="L130" i="4"/>
  <c r="B157" i="6" s="1"/>
  <c r="K130" i="4"/>
  <c r="I130" i="4"/>
  <c r="H130" i="4"/>
  <c r="B150" i="5" s="1"/>
  <c r="BX129" i="4"/>
  <c r="BT129" i="4"/>
  <c r="BQ129" i="4"/>
  <c r="B169" i="21" s="1"/>
  <c r="BP129" i="4"/>
  <c r="A169" i="21" s="1"/>
  <c r="BO129" i="4"/>
  <c r="BM129" i="4"/>
  <c r="B151" i="19" s="1"/>
  <c r="BL129" i="4"/>
  <c r="A151" i="19" s="1"/>
  <c r="BK129" i="4"/>
  <c r="BI129" i="4"/>
  <c r="B154" i="16" s="1"/>
  <c r="BH129" i="4"/>
  <c r="A154" i="16" s="1"/>
  <c r="BG129" i="4"/>
  <c r="BE129" i="4"/>
  <c r="C173" i="18" s="1"/>
  <c r="BD129" i="4"/>
  <c r="B173" i="18" s="1"/>
  <c r="BC129" i="4"/>
  <c r="AZ129" i="4"/>
  <c r="A207" i="17" s="1"/>
  <c r="AY129" i="4"/>
  <c r="AW129" i="4"/>
  <c r="B174" i="15" s="1"/>
  <c r="AV129" i="4"/>
  <c r="A174" i="15" s="1"/>
  <c r="AU129" i="4"/>
  <c r="AQ129" i="4"/>
  <c r="AN129" i="4"/>
  <c r="AM129" i="4"/>
  <c r="AJ129" i="4"/>
  <c r="AI129" i="4"/>
  <c r="AF129" i="4"/>
  <c r="AE129" i="4"/>
  <c r="AB129" i="4"/>
  <c r="AA129" i="4"/>
  <c r="Y129" i="4"/>
  <c r="X129" i="4"/>
  <c r="W129" i="4"/>
  <c r="U129" i="4"/>
  <c r="T129" i="4"/>
  <c r="S129" i="4"/>
  <c r="Q129" i="4"/>
  <c r="P129" i="4"/>
  <c r="O129" i="4"/>
  <c r="M129" i="4"/>
  <c r="C156" i="6" s="1"/>
  <c r="L129" i="4"/>
  <c r="B156" i="6" s="1"/>
  <c r="K129" i="4"/>
  <c r="I129" i="4"/>
  <c r="H129" i="4"/>
  <c r="B149" i="5" s="1"/>
  <c r="BY128" i="4"/>
  <c r="BX128" i="4"/>
  <c r="BT128" i="4"/>
  <c r="BS128" i="4"/>
  <c r="BQ128" i="4"/>
  <c r="B168" i="21" s="1"/>
  <c r="BP128" i="4"/>
  <c r="A168" i="21" s="1"/>
  <c r="BO128" i="4"/>
  <c r="BM128" i="4"/>
  <c r="B150" i="19" s="1"/>
  <c r="BL128" i="4"/>
  <c r="A150" i="19" s="1"/>
  <c r="BK128" i="4"/>
  <c r="BI128" i="4"/>
  <c r="B153" i="16" s="1"/>
  <c r="BH128" i="4"/>
  <c r="A153" i="16" s="1"/>
  <c r="BG128" i="4"/>
  <c r="BE128" i="4"/>
  <c r="C172" i="18" s="1"/>
  <c r="BD128" i="4"/>
  <c r="B172" i="18" s="1"/>
  <c r="BC128" i="4"/>
  <c r="AZ128" i="4"/>
  <c r="A206" i="17" s="1"/>
  <c r="AY128" i="4"/>
  <c r="AW128" i="4"/>
  <c r="B173" i="15" s="1"/>
  <c r="AV128" i="4"/>
  <c r="A173" i="15" s="1"/>
  <c r="AU128" i="4"/>
  <c r="AS128" i="4"/>
  <c r="AQ128" i="4"/>
  <c r="AO128" i="4"/>
  <c r="AN128" i="4"/>
  <c r="AM128" i="4"/>
  <c r="AK128" i="4"/>
  <c r="AJ128" i="4"/>
  <c r="AI128" i="4"/>
  <c r="AG128" i="4"/>
  <c r="AF128" i="4"/>
  <c r="AE128" i="4"/>
  <c r="AC128" i="4"/>
  <c r="AB128" i="4"/>
  <c r="AA128" i="4"/>
  <c r="Y128" i="4"/>
  <c r="X128" i="4"/>
  <c r="W128" i="4"/>
  <c r="U128" i="4"/>
  <c r="T128" i="4"/>
  <c r="S128" i="4"/>
  <c r="Q128" i="4"/>
  <c r="P128" i="4"/>
  <c r="O128" i="4"/>
  <c r="M128" i="4"/>
  <c r="BU128" i="4" s="1"/>
  <c r="L128" i="4"/>
  <c r="B155" i="6" s="1"/>
  <c r="K128" i="4"/>
  <c r="I128" i="4"/>
  <c r="H128" i="4"/>
  <c r="BY127" i="4"/>
  <c r="BX127" i="4"/>
  <c r="BW127" i="4"/>
  <c r="BU127" i="4"/>
  <c r="BT127" i="4"/>
  <c r="BS127" i="4"/>
  <c r="BQ127" i="4"/>
  <c r="BP127" i="4"/>
  <c r="BM127" i="4"/>
  <c r="BL127" i="4"/>
  <c r="A149" i="19" s="1"/>
  <c r="BK127" i="4"/>
  <c r="BI127" i="4"/>
  <c r="B152" i="16" s="1"/>
  <c r="BH127" i="4"/>
  <c r="A152" i="16" s="1"/>
  <c r="BG127" i="4"/>
  <c r="BE127" i="4"/>
  <c r="C171" i="18" s="1"/>
  <c r="BD127" i="4"/>
  <c r="B171" i="18" s="1"/>
  <c r="BC127" i="4"/>
  <c r="BA127" i="4"/>
  <c r="B205" i="17" s="1"/>
  <c r="AZ127" i="4"/>
  <c r="A205" i="17" s="1"/>
  <c r="AY127" i="4"/>
  <c r="AW127" i="4"/>
  <c r="B172" i="15" s="1"/>
  <c r="AV127" i="4"/>
  <c r="A172" i="15" s="1"/>
  <c r="AU127" i="4"/>
  <c r="AQ127" i="4"/>
  <c r="AO127" i="4"/>
  <c r="AN127" i="4"/>
  <c r="AM127" i="4"/>
  <c r="AK127" i="4"/>
  <c r="AJ127" i="4"/>
  <c r="AI127" i="4"/>
  <c r="AG127" i="4"/>
  <c r="AF127" i="4"/>
  <c r="AE127" i="4"/>
  <c r="AC127" i="4"/>
  <c r="AB127" i="4"/>
  <c r="AA127" i="4"/>
  <c r="Y127" i="4"/>
  <c r="X127" i="4"/>
  <c r="W127" i="4"/>
  <c r="U127" i="4"/>
  <c r="T127" i="4"/>
  <c r="S127" i="4"/>
  <c r="Q127" i="4"/>
  <c r="P127" i="4"/>
  <c r="O127" i="4"/>
  <c r="M127" i="4"/>
  <c r="C154" i="6" s="1"/>
  <c r="L127" i="4"/>
  <c r="B154" i="6" s="1"/>
  <c r="K127" i="4"/>
  <c r="I127" i="4"/>
  <c r="H127" i="4"/>
  <c r="B147" i="5" s="1"/>
  <c r="BX126" i="4"/>
  <c r="BW126" i="4"/>
  <c r="BT126" i="4"/>
  <c r="BS126" i="4"/>
  <c r="BQ126" i="4"/>
  <c r="BP126" i="4"/>
  <c r="BO126" i="4"/>
  <c r="BM126" i="4"/>
  <c r="BL126" i="4"/>
  <c r="A148" i="19" s="1"/>
  <c r="BK126" i="4"/>
  <c r="BI126" i="4"/>
  <c r="BH126" i="4"/>
  <c r="A151" i="16" s="1"/>
  <c r="BG126" i="4"/>
  <c r="BE126" i="4"/>
  <c r="BD126" i="4"/>
  <c r="B170" i="18" s="1"/>
  <c r="BC126" i="4"/>
  <c r="BA126" i="4"/>
  <c r="B204" i="17" s="1"/>
  <c r="AZ126" i="4"/>
  <c r="A204" i="17" s="1"/>
  <c r="AY126" i="4"/>
  <c r="G126" i="4" s="1"/>
  <c r="AR126" i="4" s="1"/>
  <c r="AW126" i="4"/>
  <c r="B171" i="15" s="1"/>
  <c r="AV126" i="4"/>
  <c r="A171" i="15" s="1"/>
  <c r="AU126" i="4"/>
  <c r="AQ126" i="4"/>
  <c r="AN126" i="4"/>
  <c r="AM126" i="4"/>
  <c r="AJ126" i="4"/>
  <c r="AI126" i="4"/>
  <c r="AF126" i="4"/>
  <c r="AE126" i="4"/>
  <c r="AB126" i="4"/>
  <c r="AA126" i="4"/>
  <c r="Y126" i="4"/>
  <c r="X126" i="4"/>
  <c r="W126" i="4"/>
  <c r="U126" i="4"/>
  <c r="C172" i="7" s="1"/>
  <c r="T126" i="4"/>
  <c r="S126" i="4"/>
  <c r="Q126" i="4"/>
  <c r="P126" i="4"/>
  <c r="O126" i="4"/>
  <c r="M126" i="4"/>
  <c r="L126" i="4"/>
  <c r="B153" i="6" s="1"/>
  <c r="K126" i="4"/>
  <c r="I126" i="4"/>
  <c r="H126" i="4"/>
  <c r="B146" i="5" s="1"/>
  <c r="BX125" i="4"/>
  <c r="BW125" i="4"/>
  <c r="BT125" i="4"/>
  <c r="BS125" i="4"/>
  <c r="BQ125" i="4"/>
  <c r="BP125" i="4"/>
  <c r="BO125" i="4"/>
  <c r="BM125" i="4"/>
  <c r="B147" i="19" s="1"/>
  <c r="BL125" i="4"/>
  <c r="A147" i="19" s="1"/>
  <c r="BK125" i="4"/>
  <c r="BI125" i="4"/>
  <c r="B150" i="16" s="1"/>
  <c r="BH125" i="4"/>
  <c r="A150" i="16" s="1"/>
  <c r="BG125" i="4"/>
  <c r="BE125" i="4"/>
  <c r="C169" i="18" s="1"/>
  <c r="BD125" i="4"/>
  <c r="B169" i="18" s="1"/>
  <c r="BC125" i="4"/>
  <c r="BA125" i="4"/>
  <c r="B203" i="17" s="1"/>
  <c r="AZ125" i="4"/>
  <c r="A203" i="17" s="1"/>
  <c r="AY125" i="4"/>
  <c r="G125" i="4" s="1"/>
  <c r="AR125" i="4" s="1"/>
  <c r="AW125" i="4"/>
  <c r="AO125" i="4" s="1"/>
  <c r="AV125" i="4"/>
  <c r="A170" i="15" s="1"/>
  <c r="AU125" i="4"/>
  <c r="AS125" i="4"/>
  <c r="AC125" i="4" s="1"/>
  <c r="AQ125" i="4"/>
  <c r="AN125" i="4"/>
  <c r="AM125" i="4"/>
  <c r="AK125" i="4"/>
  <c r="AJ125" i="4"/>
  <c r="AI125" i="4"/>
  <c r="AF125" i="4"/>
  <c r="AE125" i="4"/>
  <c r="AB125" i="4"/>
  <c r="AA125" i="4"/>
  <c r="Y125" i="4"/>
  <c r="X125" i="4"/>
  <c r="W125" i="4"/>
  <c r="U125" i="4"/>
  <c r="T125" i="4"/>
  <c r="S125" i="4"/>
  <c r="Q125" i="4"/>
  <c r="P125" i="4"/>
  <c r="O125" i="4"/>
  <c r="M125" i="4"/>
  <c r="L125" i="4"/>
  <c r="B152" i="6" s="1"/>
  <c r="K125" i="4"/>
  <c r="I125" i="4"/>
  <c r="H125" i="4"/>
  <c r="B145" i="5" s="1"/>
  <c r="BY124" i="4"/>
  <c r="BX124" i="4"/>
  <c r="BW124" i="4"/>
  <c r="BU124" i="4"/>
  <c r="BT124" i="4"/>
  <c r="BS124" i="4"/>
  <c r="BQ124" i="4"/>
  <c r="BP124" i="4"/>
  <c r="BO124" i="4"/>
  <c r="BM124" i="4"/>
  <c r="B146" i="19" s="1"/>
  <c r="BL124" i="4"/>
  <c r="A146" i="19" s="1"/>
  <c r="BK124" i="4"/>
  <c r="BI124" i="4"/>
  <c r="B149" i="16" s="1"/>
  <c r="BH124" i="4"/>
  <c r="A149" i="16" s="1"/>
  <c r="BG124" i="4"/>
  <c r="BE124" i="4"/>
  <c r="C168" i="18" s="1"/>
  <c r="BD124" i="4"/>
  <c r="B168" i="18" s="1"/>
  <c r="BC124" i="4"/>
  <c r="BA124" i="4"/>
  <c r="B202" i="17" s="1"/>
  <c r="AZ124" i="4"/>
  <c r="A202" i="17" s="1"/>
  <c r="AY124" i="4"/>
  <c r="AW124" i="4"/>
  <c r="B169" i="15" s="1"/>
  <c r="AV124" i="4"/>
  <c r="A169" i="15" s="1"/>
  <c r="AU124" i="4"/>
  <c r="AS124" i="4"/>
  <c r="AQ124" i="4"/>
  <c r="AO124" i="4"/>
  <c r="AN124" i="4"/>
  <c r="AM124" i="4"/>
  <c r="AK124" i="4"/>
  <c r="AJ124" i="4"/>
  <c r="AI124" i="4"/>
  <c r="AG124" i="4"/>
  <c r="AF124" i="4"/>
  <c r="AE124" i="4"/>
  <c r="AC124" i="4"/>
  <c r="AB124" i="4"/>
  <c r="AA124" i="4"/>
  <c r="Y124" i="4"/>
  <c r="X124" i="4"/>
  <c r="W124" i="4"/>
  <c r="U124" i="4"/>
  <c r="T124" i="4"/>
  <c r="S124" i="4"/>
  <c r="Q124" i="4"/>
  <c r="P124" i="4"/>
  <c r="O124" i="4"/>
  <c r="M124" i="4"/>
  <c r="L124" i="4"/>
  <c r="K124" i="4"/>
  <c r="I124" i="4"/>
  <c r="H124" i="4"/>
  <c r="BX123" i="4"/>
  <c r="BW123" i="4"/>
  <c r="BT123" i="4"/>
  <c r="BQ123" i="4"/>
  <c r="BP123" i="4"/>
  <c r="BO123" i="4"/>
  <c r="BM123" i="4"/>
  <c r="BL123" i="4"/>
  <c r="A145" i="19" s="1"/>
  <c r="BI123" i="4"/>
  <c r="BH123" i="4"/>
  <c r="A148" i="16" s="1"/>
  <c r="BE123" i="4"/>
  <c r="C167" i="18" s="1"/>
  <c r="BD123" i="4"/>
  <c r="B167" i="18" s="1"/>
  <c r="BA123" i="4"/>
  <c r="B201" i="17" s="1"/>
  <c r="AZ123" i="4"/>
  <c r="A201" i="17" s="1"/>
  <c r="AW123" i="4"/>
  <c r="B168" i="15" s="1"/>
  <c r="AV123" i="4"/>
  <c r="A168" i="15" s="1"/>
  <c r="AN123" i="4"/>
  <c r="AJ123" i="4"/>
  <c r="AF123" i="4"/>
  <c r="AC123" i="4"/>
  <c r="AB123" i="4"/>
  <c r="Y123" i="4"/>
  <c r="X123" i="4"/>
  <c r="U123" i="4"/>
  <c r="T123" i="4"/>
  <c r="Q123" i="4"/>
  <c r="P123" i="4"/>
  <c r="L123" i="4"/>
  <c r="B150" i="6" s="1"/>
  <c r="I123" i="4"/>
  <c r="H123" i="4"/>
  <c r="BX122" i="4"/>
  <c r="BW122" i="4"/>
  <c r="BT122" i="4"/>
  <c r="BQ122" i="4"/>
  <c r="BP122" i="4"/>
  <c r="BO122" i="4"/>
  <c r="BM122" i="4"/>
  <c r="B144" i="19" s="1"/>
  <c r="BL122" i="4"/>
  <c r="A144" i="19" s="1"/>
  <c r="BI122" i="4"/>
  <c r="B147" i="16" s="1"/>
  <c r="BH122" i="4"/>
  <c r="A147" i="16" s="1"/>
  <c r="BG122" i="4"/>
  <c r="BE122" i="4"/>
  <c r="BD122" i="4"/>
  <c r="B166" i="18" s="1"/>
  <c r="BA122" i="4"/>
  <c r="B200" i="17" s="1"/>
  <c r="AZ122" i="4"/>
  <c r="A200" i="17" s="1"/>
  <c r="AW122" i="4"/>
  <c r="B167" i="15" s="1"/>
  <c r="AV122" i="4"/>
  <c r="A167" i="15" s="1"/>
  <c r="AU122" i="4"/>
  <c r="AS122" i="4"/>
  <c r="AQ122" i="4"/>
  <c r="AO122" i="4"/>
  <c r="AN122" i="4"/>
  <c r="AM122" i="4"/>
  <c r="AJ122" i="4"/>
  <c r="AF122" i="4"/>
  <c r="AB122" i="4"/>
  <c r="AA122" i="4"/>
  <c r="Y122" i="4"/>
  <c r="X122" i="4"/>
  <c r="U122" i="4"/>
  <c r="T122" i="4"/>
  <c r="Q122" i="4"/>
  <c r="P122" i="4"/>
  <c r="L122" i="4"/>
  <c r="B149" i="6" s="1"/>
  <c r="I122" i="4"/>
  <c r="H122" i="4"/>
  <c r="B142" i="5" s="1"/>
  <c r="BY121" i="4"/>
  <c r="BX121" i="4"/>
  <c r="BT121" i="4"/>
  <c r="BQ121" i="4"/>
  <c r="BP121" i="4"/>
  <c r="BO121" i="4"/>
  <c r="BM121" i="4"/>
  <c r="B143" i="19" s="1"/>
  <c r="BL121" i="4"/>
  <c r="A143" i="19" s="1"/>
  <c r="BI121" i="4"/>
  <c r="B146" i="16" s="1"/>
  <c r="BH121" i="4"/>
  <c r="A146" i="16" s="1"/>
  <c r="BG121" i="4"/>
  <c r="BE121" i="4"/>
  <c r="C165" i="18" s="1"/>
  <c r="BD121" i="4"/>
  <c r="B165" i="18" s="1"/>
  <c r="BA121" i="4"/>
  <c r="B199" i="17" s="1"/>
  <c r="AZ121" i="4"/>
  <c r="A199" i="17" s="1"/>
  <c r="AW121" i="4"/>
  <c r="B166" i="15" s="1"/>
  <c r="AV121" i="4"/>
  <c r="A166" i="15" s="1"/>
  <c r="AU121" i="4"/>
  <c r="AS121" i="4"/>
  <c r="AQ121" i="4"/>
  <c r="AO121" i="4"/>
  <c r="AN121" i="4"/>
  <c r="AM121" i="4"/>
  <c r="AK121" i="4"/>
  <c r="AJ121" i="4"/>
  <c r="AG121" i="4"/>
  <c r="AF121" i="4"/>
  <c r="AE121" i="4"/>
  <c r="AC121" i="4"/>
  <c r="AB121" i="4"/>
  <c r="AA121" i="4"/>
  <c r="Y121" i="4"/>
  <c r="X121" i="4"/>
  <c r="U121" i="4"/>
  <c r="T121" i="4"/>
  <c r="Q121" i="4"/>
  <c r="M121" i="4" s="1"/>
  <c r="C148" i="6" s="1"/>
  <c r="P121" i="4"/>
  <c r="L121" i="4"/>
  <c r="I121" i="4"/>
  <c r="H121" i="4"/>
  <c r="B141" i="5" s="1"/>
  <c r="BX120" i="4"/>
  <c r="BW120" i="4"/>
  <c r="BU120" i="4"/>
  <c r="BT120" i="4"/>
  <c r="BQ120" i="4"/>
  <c r="BP120" i="4"/>
  <c r="BM120" i="4"/>
  <c r="BL120" i="4"/>
  <c r="A142" i="19" s="1"/>
  <c r="BI120" i="4"/>
  <c r="BH120" i="4"/>
  <c r="A145" i="16" s="1"/>
  <c r="BE120" i="4"/>
  <c r="BD120" i="4"/>
  <c r="B164" i="18" s="1"/>
  <c r="BC120" i="4"/>
  <c r="BA120" i="4"/>
  <c r="B198" i="17" s="1"/>
  <c r="AZ120" i="4"/>
  <c r="A198" i="17" s="1"/>
  <c r="AW120" i="4"/>
  <c r="B165" i="15" s="1"/>
  <c r="AV120" i="4"/>
  <c r="A165" i="15" s="1"/>
  <c r="AU120" i="4"/>
  <c r="AQ120" i="4"/>
  <c r="AN120" i="4"/>
  <c r="AJ120" i="4"/>
  <c r="AI120" i="4"/>
  <c r="AG120" i="4"/>
  <c r="AF120" i="4"/>
  <c r="AE120" i="4"/>
  <c r="AB120" i="4"/>
  <c r="AA120" i="4"/>
  <c r="Y120" i="4"/>
  <c r="X120" i="4"/>
  <c r="U120" i="4"/>
  <c r="T120" i="4"/>
  <c r="Q120" i="4"/>
  <c r="P120" i="4"/>
  <c r="M120" i="4"/>
  <c r="C147" i="6" s="1"/>
  <c r="L120" i="4"/>
  <c r="B147" i="6" s="1"/>
  <c r="I120" i="4"/>
  <c r="H120" i="4"/>
  <c r="B140" i="5" s="1"/>
  <c r="BX119" i="4"/>
  <c r="BW119" i="4"/>
  <c r="BT119" i="4"/>
  <c r="BQ119" i="4"/>
  <c r="BP119" i="4"/>
  <c r="BM119" i="4"/>
  <c r="B141" i="19" s="1"/>
  <c r="BL119" i="4"/>
  <c r="A141" i="19" s="1"/>
  <c r="BI119" i="4"/>
  <c r="BH119" i="4"/>
  <c r="A144" i="16" s="1"/>
  <c r="BG119" i="4"/>
  <c r="BE119" i="4"/>
  <c r="BD119" i="4"/>
  <c r="B163" i="18" s="1"/>
  <c r="BC119" i="4"/>
  <c r="BA119" i="4"/>
  <c r="B197" i="17" s="1"/>
  <c r="AZ119" i="4"/>
  <c r="A197" i="17" s="1"/>
  <c r="AW119" i="4"/>
  <c r="B164" i="15" s="1"/>
  <c r="AV119" i="4"/>
  <c r="A164" i="15" s="1"/>
  <c r="AS119" i="4"/>
  <c r="AO119" i="4"/>
  <c r="AN119" i="4"/>
  <c r="AJ119" i="4"/>
  <c r="AF119" i="4"/>
  <c r="AE119" i="4"/>
  <c r="AB119" i="4"/>
  <c r="Y119" i="4"/>
  <c r="X119" i="4"/>
  <c r="T119" i="4"/>
  <c r="Q119" i="4"/>
  <c r="M119" i="4" s="1"/>
  <c r="P119" i="4"/>
  <c r="L119" i="4"/>
  <c r="B146" i="6" s="1"/>
  <c r="I119" i="4"/>
  <c r="H119" i="4"/>
  <c r="B139" i="5" s="1"/>
  <c r="BY118" i="4"/>
  <c r="BX118" i="4"/>
  <c r="BW118" i="4"/>
  <c r="BU118" i="4"/>
  <c r="BT118" i="4"/>
  <c r="BQ118" i="4"/>
  <c r="BP118" i="4"/>
  <c r="BM118" i="4"/>
  <c r="B140" i="19" s="1"/>
  <c r="BL118" i="4"/>
  <c r="A140" i="19" s="1"/>
  <c r="BI118" i="4"/>
  <c r="B143" i="16" s="1"/>
  <c r="BH118" i="4"/>
  <c r="A143" i="16" s="1"/>
  <c r="BG118" i="4"/>
  <c r="BE118" i="4"/>
  <c r="C162" i="18" s="1"/>
  <c r="BD118" i="4"/>
  <c r="B162" i="18" s="1"/>
  <c r="BA118" i="4"/>
  <c r="B196" i="17" s="1"/>
  <c r="AZ118" i="4"/>
  <c r="A196" i="17" s="1"/>
  <c r="AW118" i="4"/>
  <c r="B163" i="15" s="1"/>
  <c r="AV118" i="4"/>
  <c r="A163" i="15" s="1"/>
  <c r="AS118" i="4"/>
  <c r="AO118" i="4"/>
  <c r="AN118" i="4"/>
  <c r="AK118" i="4"/>
  <c r="AJ118" i="4"/>
  <c r="AG118" i="4"/>
  <c r="AF118" i="4"/>
  <c r="AC118" i="4"/>
  <c r="AB118" i="4"/>
  <c r="Y118" i="4"/>
  <c r="X118" i="4"/>
  <c r="U118" i="4"/>
  <c r="T118" i="4"/>
  <c r="S118" i="4"/>
  <c r="Q118" i="4"/>
  <c r="M118" i="4" s="1"/>
  <c r="C145" i="6" s="1"/>
  <c r="P118" i="4"/>
  <c r="L118" i="4"/>
  <c r="B145" i="6" s="1"/>
  <c r="I118" i="4"/>
  <c r="H118" i="4"/>
  <c r="B138" i="5" s="1"/>
  <c r="BX117" i="4"/>
  <c r="BT117" i="4"/>
  <c r="BP117" i="4"/>
  <c r="A157" i="21" s="1"/>
  <c r="BL117" i="4"/>
  <c r="A139" i="19" s="1"/>
  <c r="BH117" i="4"/>
  <c r="A142" i="16" s="1"/>
  <c r="BD117" i="4"/>
  <c r="B161" i="18" s="1"/>
  <c r="AZ117" i="4"/>
  <c r="A195" i="17" s="1"/>
  <c r="AV117" i="4"/>
  <c r="A162" i="15" s="1"/>
  <c r="AO117" i="4"/>
  <c r="AN117" i="4"/>
  <c r="AK117" i="4"/>
  <c r="AJ117" i="4"/>
  <c r="AG117" i="4"/>
  <c r="AW117" i="4" s="1"/>
  <c r="AF117" i="4"/>
  <c r="AC117" i="4"/>
  <c r="AB117" i="4"/>
  <c r="Y117" i="4"/>
  <c r="X117" i="4"/>
  <c r="U117" i="4"/>
  <c r="T117" i="4"/>
  <c r="Q117" i="4"/>
  <c r="P117" i="4"/>
  <c r="M117" i="4"/>
  <c r="L117" i="4"/>
  <c r="I117" i="4"/>
  <c r="H117" i="4"/>
  <c r="AS117" i="4" s="1"/>
  <c r="BY116" i="4"/>
  <c r="BX116" i="4"/>
  <c r="BW116" i="4"/>
  <c r="BT116" i="4"/>
  <c r="BS116" i="4"/>
  <c r="BQ116" i="4"/>
  <c r="BP116" i="4"/>
  <c r="BM116" i="4"/>
  <c r="B138" i="19" s="1"/>
  <c r="BL116" i="4"/>
  <c r="A138" i="19" s="1"/>
  <c r="BK116" i="4"/>
  <c r="BI116" i="4"/>
  <c r="BH116" i="4"/>
  <c r="A141" i="16" s="1"/>
  <c r="BG116" i="4"/>
  <c r="BE116" i="4"/>
  <c r="BD116" i="4"/>
  <c r="B160" i="18" s="1"/>
  <c r="BC116" i="4"/>
  <c r="BA116" i="4"/>
  <c r="B194" i="17" s="1"/>
  <c r="AZ116" i="4"/>
  <c r="A194" i="17" s="1"/>
  <c r="AY116" i="4"/>
  <c r="AW116" i="4"/>
  <c r="B161" i="15" s="1"/>
  <c r="AV116" i="4"/>
  <c r="A161" i="15" s="1"/>
  <c r="AU116" i="4"/>
  <c r="AS116" i="4"/>
  <c r="AQ116" i="4"/>
  <c r="AN116" i="4"/>
  <c r="AM116" i="4"/>
  <c r="AJ116" i="4"/>
  <c r="AI116" i="4"/>
  <c r="AF116" i="4"/>
  <c r="AE116" i="4"/>
  <c r="AB116" i="4"/>
  <c r="AA116" i="4"/>
  <c r="Y116" i="4"/>
  <c r="X116" i="4"/>
  <c r="W116" i="4"/>
  <c r="U116" i="4"/>
  <c r="T116" i="4"/>
  <c r="S116" i="4"/>
  <c r="Q116" i="4"/>
  <c r="P116" i="4"/>
  <c r="O116" i="4"/>
  <c r="M116" i="4"/>
  <c r="L116" i="4"/>
  <c r="B143" i="6" s="1"/>
  <c r="K116" i="4"/>
  <c r="I116" i="4"/>
  <c r="H116" i="4"/>
  <c r="B136" i="5" s="1"/>
  <c r="BY115" i="4"/>
  <c r="BX115" i="4"/>
  <c r="BU115" i="4"/>
  <c r="BT115" i="4"/>
  <c r="BS115" i="4"/>
  <c r="BQ115" i="4"/>
  <c r="BP115" i="4"/>
  <c r="BO115" i="4"/>
  <c r="BM115" i="4"/>
  <c r="B137" i="19" s="1"/>
  <c r="BL115" i="4"/>
  <c r="A137" i="19" s="1"/>
  <c r="BK115" i="4"/>
  <c r="BI115" i="4"/>
  <c r="B140" i="16" s="1"/>
  <c r="BH115" i="4"/>
  <c r="A140" i="16" s="1"/>
  <c r="BE115" i="4"/>
  <c r="C159" i="18" s="1"/>
  <c r="BD115" i="4"/>
  <c r="B159" i="18" s="1"/>
  <c r="BA115" i="4"/>
  <c r="B193" i="17" s="1"/>
  <c r="AZ115" i="4"/>
  <c r="A193" i="17" s="1"/>
  <c r="AY115" i="4"/>
  <c r="AW115" i="4"/>
  <c r="B160" i="15" s="1"/>
  <c r="AV115" i="4"/>
  <c r="A160" i="15" s="1"/>
  <c r="AU115" i="4"/>
  <c r="AS115" i="4"/>
  <c r="AQ115" i="4"/>
  <c r="AO115" i="4"/>
  <c r="AN115" i="4"/>
  <c r="AM115" i="4"/>
  <c r="AK115" i="4"/>
  <c r="AJ115" i="4"/>
  <c r="AI115" i="4"/>
  <c r="AG115" i="4"/>
  <c r="AF115" i="4"/>
  <c r="AE115" i="4"/>
  <c r="AC115" i="4"/>
  <c r="AB115" i="4"/>
  <c r="Y115" i="4"/>
  <c r="X115" i="4"/>
  <c r="U115" i="4"/>
  <c r="T115" i="4"/>
  <c r="Q115" i="4"/>
  <c r="P115" i="4"/>
  <c r="O115" i="4"/>
  <c r="M115" i="4"/>
  <c r="C142" i="6" s="1"/>
  <c r="L115" i="4"/>
  <c r="B142" i="6" s="1"/>
  <c r="K115" i="4"/>
  <c r="I115" i="4"/>
  <c r="H115" i="4"/>
  <c r="B135" i="5" s="1"/>
  <c r="BX114" i="4"/>
  <c r="BT114" i="4"/>
  <c r="BQ114" i="4"/>
  <c r="BP114" i="4"/>
  <c r="BO114" i="4"/>
  <c r="BM114" i="4"/>
  <c r="BL114" i="4"/>
  <c r="A136" i="19" s="1"/>
  <c r="BI114" i="4"/>
  <c r="BH114" i="4"/>
  <c r="A139" i="16" s="1"/>
  <c r="BE114" i="4"/>
  <c r="C158" i="18" s="1"/>
  <c r="BD114" i="4"/>
  <c r="B158" i="18" s="1"/>
  <c r="BA114" i="4"/>
  <c r="B192" i="17" s="1"/>
  <c r="AZ114" i="4"/>
  <c r="A192" i="17" s="1"/>
  <c r="AW114" i="4"/>
  <c r="B159" i="15" s="1"/>
  <c r="AV114" i="4"/>
  <c r="A159" i="15" s="1"/>
  <c r="AN114" i="4"/>
  <c r="AJ114" i="4"/>
  <c r="AF114" i="4"/>
  <c r="AC114" i="4"/>
  <c r="AB114" i="4"/>
  <c r="Y114" i="4"/>
  <c r="X114" i="4"/>
  <c r="U114" i="4"/>
  <c r="T114" i="4"/>
  <c r="Q114" i="4"/>
  <c r="P114" i="4"/>
  <c r="L114" i="4"/>
  <c r="B141" i="6" s="1"/>
  <c r="K114" i="4"/>
  <c r="I114" i="4"/>
  <c r="H114" i="4"/>
  <c r="B134" i="5" s="1"/>
  <c r="BX113" i="4"/>
  <c r="BT113" i="4"/>
  <c r="BQ113" i="4"/>
  <c r="BP113" i="4"/>
  <c r="BM113" i="4"/>
  <c r="B135" i="19" s="1"/>
  <c r="BL113" i="4"/>
  <c r="A135" i="19" s="1"/>
  <c r="BI113" i="4"/>
  <c r="BH113" i="4"/>
  <c r="A138" i="16" s="1"/>
  <c r="BE113" i="4"/>
  <c r="C157" i="18" s="1"/>
  <c r="BD113" i="4"/>
  <c r="B157" i="18" s="1"/>
  <c r="BA113" i="4"/>
  <c r="B191" i="17" s="1"/>
  <c r="AZ113" i="4"/>
  <c r="A191" i="17" s="1"/>
  <c r="AW113" i="4"/>
  <c r="B158" i="15" s="1"/>
  <c r="AV113" i="4"/>
  <c r="A158" i="15" s="1"/>
  <c r="AS113" i="4"/>
  <c r="AO113" i="4"/>
  <c r="AN113" i="4"/>
  <c r="AK113" i="4"/>
  <c r="AJ113" i="4"/>
  <c r="AF113" i="4"/>
  <c r="AC113" i="4"/>
  <c r="AB113" i="4"/>
  <c r="Y113" i="4"/>
  <c r="X113" i="4"/>
  <c r="U113" i="4"/>
  <c r="T113" i="4"/>
  <c r="Q113" i="4"/>
  <c r="P113" i="4"/>
  <c r="L113" i="4"/>
  <c r="B140" i="6" s="1"/>
  <c r="I113" i="4"/>
  <c r="H113" i="4"/>
  <c r="B133" i="5" s="1"/>
  <c r="BX112" i="4"/>
  <c r="BT112" i="4"/>
  <c r="BQ112" i="4"/>
  <c r="BP112" i="4"/>
  <c r="BM112" i="4"/>
  <c r="B134" i="19" s="1"/>
  <c r="BL112" i="4"/>
  <c r="A134" i="19" s="1"/>
  <c r="BK112" i="4"/>
  <c r="BI112" i="4"/>
  <c r="B137" i="16" s="1"/>
  <c r="BH112" i="4"/>
  <c r="A137" i="16" s="1"/>
  <c r="BE112" i="4"/>
  <c r="BD112" i="4"/>
  <c r="B156" i="18" s="1"/>
  <c r="BA112" i="4"/>
  <c r="B190" i="17" s="1"/>
  <c r="AZ112" i="4"/>
  <c r="A190" i="17" s="1"/>
  <c r="AW112" i="4"/>
  <c r="B157" i="15" s="1"/>
  <c r="AV112" i="4"/>
  <c r="A157" i="15" s="1"/>
  <c r="AS112" i="4"/>
  <c r="AO112" i="4"/>
  <c r="AN112" i="4"/>
  <c r="AK112" i="4"/>
  <c r="AJ112" i="4"/>
  <c r="AG112" i="4"/>
  <c r="AF112" i="4"/>
  <c r="AB112" i="4"/>
  <c r="Y112" i="4"/>
  <c r="X112" i="4"/>
  <c r="U112" i="4"/>
  <c r="T112" i="4"/>
  <c r="Q112" i="4"/>
  <c r="P112" i="4"/>
  <c r="M112" i="4"/>
  <c r="L112" i="4"/>
  <c r="B139" i="6" s="1"/>
  <c r="K112" i="4"/>
  <c r="I112" i="4"/>
  <c r="H112" i="4"/>
  <c r="BY111" i="4"/>
  <c r="BX111" i="4"/>
  <c r="BT111" i="4"/>
  <c r="BS111" i="4"/>
  <c r="BQ111" i="4"/>
  <c r="BP111" i="4"/>
  <c r="BO111" i="4"/>
  <c r="BM111" i="4"/>
  <c r="B133" i="19" s="1"/>
  <c r="BL111" i="4"/>
  <c r="A133" i="19" s="1"/>
  <c r="BI111" i="4"/>
  <c r="B136" i="16" s="1"/>
  <c r="BH111" i="4"/>
  <c r="A136" i="16" s="1"/>
  <c r="BE111" i="4"/>
  <c r="C155" i="18" s="1"/>
  <c r="BD111" i="4"/>
  <c r="B155" i="18" s="1"/>
  <c r="BA111" i="4"/>
  <c r="B189" i="17" s="1"/>
  <c r="AZ111" i="4"/>
  <c r="A189" i="17" s="1"/>
  <c r="AY111" i="4"/>
  <c r="AW111" i="4"/>
  <c r="B156" i="15" s="1"/>
  <c r="AV111" i="4"/>
  <c r="A156" i="15" s="1"/>
  <c r="AU111" i="4"/>
  <c r="AS111" i="4"/>
  <c r="AQ111" i="4"/>
  <c r="AO111" i="4"/>
  <c r="AN111" i="4"/>
  <c r="AM111" i="4"/>
  <c r="AK111" i="4"/>
  <c r="AJ111" i="4"/>
  <c r="AI111" i="4"/>
  <c r="AG111" i="4"/>
  <c r="AF111" i="4"/>
  <c r="AE111" i="4"/>
  <c r="AC111" i="4"/>
  <c r="AB111" i="4"/>
  <c r="Y111" i="4"/>
  <c r="X111" i="4"/>
  <c r="U111" i="4"/>
  <c r="T111" i="4"/>
  <c r="Q111" i="4"/>
  <c r="M111" i="4" s="1"/>
  <c r="C138" i="6" s="1"/>
  <c r="P111" i="4"/>
  <c r="O111" i="4"/>
  <c r="L111" i="4"/>
  <c r="B138" i="6" s="1"/>
  <c r="I111" i="4"/>
  <c r="H111" i="4"/>
  <c r="BX110" i="4"/>
  <c r="BT110" i="4"/>
  <c r="BQ110" i="4"/>
  <c r="BP110" i="4"/>
  <c r="BM110" i="4"/>
  <c r="BL110" i="4"/>
  <c r="A132" i="19" s="1"/>
  <c r="BI110" i="4"/>
  <c r="BH110" i="4"/>
  <c r="A135" i="16" s="1"/>
  <c r="BE110" i="4"/>
  <c r="BD110" i="4"/>
  <c r="B154" i="18" s="1"/>
  <c r="BA110" i="4"/>
  <c r="B188" i="17" s="1"/>
  <c r="AZ110" i="4"/>
  <c r="A188" i="17" s="1"/>
  <c r="AW110" i="4"/>
  <c r="B155" i="15" s="1"/>
  <c r="AV110" i="4"/>
  <c r="A155" i="15" s="1"/>
  <c r="AN110" i="4"/>
  <c r="AJ110" i="4"/>
  <c r="AF110" i="4"/>
  <c r="AB110" i="4"/>
  <c r="Y110" i="4"/>
  <c r="X110" i="4"/>
  <c r="U110" i="4"/>
  <c r="T110" i="4"/>
  <c r="Q110" i="4"/>
  <c r="P110" i="4"/>
  <c r="M110" i="4"/>
  <c r="L110" i="4"/>
  <c r="B137" i="6" s="1"/>
  <c r="I110" i="4"/>
  <c r="H110" i="4"/>
  <c r="B130" i="5" s="1"/>
  <c r="BY109" i="4"/>
  <c r="BX109" i="4"/>
  <c r="BU109" i="4"/>
  <c r="BT109" i="4"/>
  <c r="BS109" i="4"/>
  <c r="BQ109" i="4"/>
  <c r="BP109" i="4"/>
  <c r="BO109" i="4"/>
  <c r="BM109" i="4"/>
  <c r="B131" i="19" s="1"/>
  <c r="BL109" i="4"/>
  <c r="A131" i="19" s="1"/>
  <c r="BI109" i="4"/>
  <c r="B134" i="16" s="1"/>
  <c r="BH109" i="4"/>
  <c r="A134" i="16" s="1"/>
  <c r="BE109" i="4"/>
  <c r="C153" i="18" s="1"/>
  <c r="BD109" i="4"/>
  <c r="B153" i="18" s="1"/>
  <c r="BC109" i="4"/>
  <c r="BA109" i="4"/>
  <c r="B187" i="17" s="1"/>
  <c r="AZ109" i="4"/>
  <c r="A187" i="17" s="1"/>
  <c r="AY109" i="4"/>
  <c r="AW109" i="4"/>
  <c r="B154" i="15" s="1"/>
  <c r="AV109" i="4"/>
  <c r="A154" i="15" s="1"/>
  <c r="AS109" i="4"/>
  <c r="AO109" i="4"/>
  <c r="AN109" i="4"/>
  <c r="AK109" i="4"/>
  <c r="AJ109" i="4"/>
  <c r="AG109" i="4"/>
  <c r="AF109" i="4"/>
  <c r="AB109" i="4"/>
  <c r="Y109" i="4"/>
  <c r="X109" i="4"/>
  <c r="U109" i="4"/>
  <c r="T109" i="4"/>
  <c r="Q109" i="4"/>
  <c r="P109" i="4"/>
  <c r="O109" i="4"/>
  <c r="M109" i="4"/>
  <c r="C136" i="6" s="1"/>
  <c r="L109" i="4"/>
  <c r="B136" i="6" s="1"/>
  <c r="I109" i="4"/>
  <c r="H109" i="4"/>
  <c r="B129" i="5" s="1"/>
  <c r="BY108" i="4"/>
  <c r="BX108" i="4"/>
  <c r="BT108" i="4"/>
  <c r="BQ108" i="4"/>
  <c r="BP108" i="4"/>
  <c r="BM108" i="4"/>
  <c r="BL108" i="4"/>
  <c r="A130" i="19" s="1"/>
  <c r="BI108" i="4"/>
  <c r="BH108" i="4"/>
  <c r="A133" i="16" s="1"/>
  <c r="BE108" i="4"/>
  <c r="C152" i="18" s="1"/>
  <c r="BD108" i="4"/>
  <c r="B152" i="18" s="1"/>
  <c r="BA108" i="4"/>
  <c r="B186" i="17" s="1"/>
  <c r="AZ108" i="4"/>
  <c r="A186" i="17" s="1"/>
  <c r="AW108" i="4"/>
  <c r="B153" i="15" s="1"/>
  <c r="AV108" i="4"/>
  <c r="A153" i="15" s="1"/>
  <c r="AN108" i="4"/>
  <c r="AJ108" i="4"/>
  <c r="AG108" i="4"/>
  <c r="AF108" i="4"/>
  <c r="AC108" i="4"/>
  <c r="AB108" i="4"/>
  <c r="Y108" i="4"/>
  <c r="X108" i="4"/>
  <c r="U108" i="4"/>
  <c r="T108" i="4"/>
  <c r="Q108" i="4"/>
  <c r="P108" i="4"/>
  <c r="L108" i="4"/>
  <c r="B135" i="6" s="1"/>
  <c r="I108" i="4"/>
  <c r="H108" i="4"/>
  <c r="B128" i="5" s="1"/>
  <c r="BX107" i="4"/>
  <c r="BT107" i="4"/>
  <c r="BQ107" i="4"/>
  <c r="B147" i="21" s="1"/>
  <c r="BP107" i="4"/>
  <c r="A147" i="21" s="1"/>
  <c r="BM107" i="4"/>
  <c r="B129" i="19" s="1"/>
  <c r="BL107" i="4"/>
  <c r="A129" i="19" s="1"/>
  <c r="BI107" i="4"/>
  <c r="B132" i="16" s="1"/>
  <c r="BH107" i="4"/>
  <c r="A132" i="16" s="1"/>
  <c r="BE107" i="4"/>
  <c r="BD107" i="4"/>
  <c r="B151" i="18" s="1"/>
  <c r="BA107" i="4"/>
  <c r="B185" i="17" s="1"/>
  <c r="AZ107" i="4"/>
  <c r="A185" i="17" s="1"/>
  <c r="AW107" i="4"/>
  <c r="B152" i="15" s="1"/>
  <c r="AV107" i="4"/>
  <c r="A152" i="15" s="1"/>
  <c r="AN107" i="4"/>
  <c r="AJ107" i="4"/>
  <c r="AF107" i="4"/>
  <c r="AB107" i="4"/>
  <c r="Y107" i="4"/>
  <c r="X107" i="4"/>
  <c r="U107" i="4"/>
  <c r="C153" i="9" s="1"/>
  <c r="T107" i="4"/>
  <c r="Q107" i="4"/>
  <c r="P107" i="4"/>
  <c r="L107" i="4"/>
  <c r="B134" i="6" s="1"/>
  <c r="I107" i="4"/>
  <c r="H107" i="4"/>
  <c r="B127" i="5" s="1"/>
  <c r="BY106" i="4"/>
  <c r="BX106" i="4"/>
  <c r="BW106" i="4"/>
  <c r="BT106" i="4"/>
  <c r="BQ106" i="4"/>
  <c r="BP106" i="4"/>
  <c r="BO106" i="4"/>
  <c r="BM106" i="4"/>
  <c r="B128" i="19" s="1"/>
  <c r="BL106" i="4"/>
  <c r="A128" i="19" s="1"/>
  <c r="BI106" i="4"/>
  <c r="B131" i="16" s="1"/>
  <c r="BH106" i="4"/>
  <c r="A131" i="16" s="1"/>
  <c r="BG106" i="4"/>
  <c r="BE106" i="4"/>
  <c r="C150" i="18" s="1"/>
  <c r="BD106" i="4"/>
  <c r="B150" i="18" s="1"/>
  <c r="BA106" i="4"/>
  <c r="B184" i="17" s="1"/>
  <c r="AZ106" i="4"/>
  <c r="A184" i="17" s="1"/>
  <c r="AW106" i="4"/>
  <c r="B151" i="15" s="1"/>
  <c r="AV106" i="4"/>
  <c r="A151" i="15" s="1"/>
  <c r="AS106" i="4"/>
  <c r="AO106" i="4"/>
  <c r="AN106" i="4"/>
  <c r="AK106" i="4"/>
  <c r="AJ106" i="4"/>
  <c r="AG106" i="4"/>
  <c r="AF106" i="4"/>
  <c r="AB106" i="4"/>
  <c r="AA106" i="4"/>
  <c r="Y106" i="4"/>
  <c r="X106" i="4"/>
  <c r="W106" i="4"/>
  <c r="U106" i="4"/>
  <c r="T106" i="4"/>
  <c r="S106" i="4"/>
  <c r="Q106" i="4"/>
  <c r="P106" i="4"/>
  <c r="M106" i="4"/>
  <c r="C133" i="6" s="1"/>
  <c r="L106" i="4"/>
  <c r="B133" i="6" s="1"/>
  <c r="K106" i="4"/>
  <c r="I106" i="4"/>
  <c r="H106" i="4"/>
  <c r="B126" i="5" s="1"/>
  <c r="BY105" i="4"/>
  <c r="BX105" i="4"/>
  <c r="BW105" i="4"/>
  <c r="BU105" i="4"/>
  <c r="BT105" i="4"/>
  <c r="BS105" i="4"/>
  <c r="BQ105" i="4"/>
  <c r="BP105" i="4"/>
  <c r="BO105" i="4"/>
  <c r="BM105" i="4"/>
  <c r="B127" i="19" s="1"/>
  <c r="BL105" i="4"/>
  <c r="A127" i="19" s="1"/>
  <c r="BK105" i="4"/>
  <c r="BI105" i="4"/>
  <c r="B130" i="16" s="1"/>
  <c r="BH105" i="4"/>
  <c r="A130" i="16" s="1"/>
  <c r="BG105" i="4"/>
  <c r="BE105" i="4"/>
  <c r="C149" i="18" s="1"/>
  <c r="BD105" i="4"/>
  <c r="B149" i="18" s="1"/>
  <c r="BA105" i="4"/>
  <c r="B183" i="17" s="1"/>
  <c r="AZ105" i="4"/>
  <c r="A183" i="17" s="1"/>
  <c r="AY105" i="4"/>
  <c r="AW105" i="4"/>
  <c r="B150" i="15" s="1"/>
  <c r="AV105" i="4"/>
  <c r="A150" i="15" s="1"/>
  <c r="AU105" i="4"/>
  <c r="AQ105" i="4"/>
  <c r="AO105" i="4"/>
  <c r="AN105" i="4"/>
  <c r="AM105" i="4"/>
  <c r="AK105" i="4"/>
  <c r="AJ105" i="4"/>
  <c r="AI105" i="4"/>
  <c r="AG105" i="4"/>
  <c r="AF105" i="4"/>
  <c r="AE105" i="4"/>
  <c r="AC105" i="4"/>
  <c r="AB105" i="4"/>
  <c r="AA105" i="4"/>
  <c r="Y105" i="4"/>
  <c r="X105" i="4"/>
  <c r="W105" i="4"/>
  <c r="U105" i="4"/>
  <c r="T105" i="4"/>
  <c r="S105" i="4"/>
  <c r="Q105" i="4"/>
  <c r="P105" i="4"/>
  <c r="O105" i="4"/>
  <c r="M105" i="4"/>
  <c r="C132" i="6" s="1"/>
  <c r="L105" i="4"/>
  <c r="B132" i="6" s="1"/>
  <c r="K105" i="4"/>
  <c r="I105" i="4"/>
  <c r="H105" i="4"/>
  <c r="B125" i="5" s="1"/>
  <c r="BX104" i="4"/>
  <c r="BW104" i="4"/>
  <c r="BT104" i="4"/>
  <c r="BS104" i="4"/>
  <c r="BQ104" i="4"/>
  <c r="BP104" i="4"/>
  <c r="BO104" i="4"/>
  <c r="BM104" i="4"/>
  <c r="BL104" i="4"/>
  <c r="A126" i="19" s="1"/>
  <c r="BK104" i="4"/>
  <c r="BI104" i="4"/>
  <c r="B129" i="16" s="1"/>
  <c r="BH104" i="4"/>
  <c r="A129" i="16" s="1"/>
  <c r="BG104" i="4"/>
  <c r="BE104" i="4"/>
  <c r="BD104" i="4"/>
  <c r="B148" i="18" s="1"/>
  <c r="BC104" i="4"/>
  <c r="BA104" i="4"/>
  <c r="B182" i="17" s="1"/>
  <c r="AZ104" i="4"/>
  <c r="A182" i="17" s="1"/>
  <c r="AY104" i="4"/>
  <c r="AW104" i="4"/>
  <c r="B149" i="15" s="1"/>
  <c r="AV104" i="4"/>
  <c r="A149" i="15" s="1"/>
  <c r="AU104" i="4"/>
  <c r="AQ104" i="4"/>
  <c r="AN104" i="4"/>
  <c r="AJ104" i="4"/>
  <c r="AI104" i="4"/>
  <c r="AF104" i="4"/>
  <c r="AE104" i="4"/>
  <c r="AB104" i="4"/>
  <c r="AA104" i="4"/>
  <c r="Y104" i="4"/>
  <c r="X104" i="4"/>
  <c r="W104" i="4"/>
  <c r="U104" i="4"/>
  <c r="T104" i="4"/>
  <c r="S104" i="4"/>
  <c r="Q104" i="4"/>
  <c r="P104" i="4"/>
  <c r="M104" i="4"/>
  <c r="C131" i="6" s="1"/>
  <c r="L104" i="4"/>
  <c r="B131" i="6" s="1"/>
  <c r="K104" i="4"/>
  <c r="I104" i="4"/>
  <c r="H104" i="4"/>
  <c r="B124" i="5" s="1"/>
  <c r="BX103" i="4"/>
  <c r="BW103" i="4"/>
  <c r="BT103" i="4"/>
  <c r="BS103" i="4"/>
  <c r="BQ103" i="4"/>
  <c r="BP103" i="4"/>
  <c r="BO103" i="4"/>
  <c r="BM103" i="4"/>
  <c r="B125" i="19" s="1"/>
  <c r="BL103" i="4"/>
  <c r="A125" i="19" s="1"/>
  <c r="BI103" i="4"/>
  <c r="B128" i="16" s="1"/>
  <c r="BH103" i="4"/>
  <c r="A128" i="16" s="1"/>
  <c r="BE103" i="4"/>
  <c r="C147" i="18" s="1"/>
  <c r="BD103" i="4"/>
  <c r="B147" i="18" s="1"/>
  <c r="BC103" i="4"/>
  <c r="BA103" i="4"/>
  <c r="B181" i="17" s="1"/>
  <c r="AZ103" i="4"/>
  <c r="A181" i="17" s="1"/>
  <c r="AY103" i="4"/>
  <c r="AW103" i="4"/>
  <c r="B148" i="15" s="1"/>
  <c r="AV103" i="4"/>
  <c r="A148" i="15" s="1"/>
  <c r="AU103" i="4"/>
  <c r="AS103" i="4"/>
  <c r="AQ103" i="4"/>
  <c r="AO103" i="4"/>
  <c r="AN103" i="4"/>
  <c r="AM103" i="4"/>
  <c r="AK103" i="4"/>
  <c r="AJ103" i="4"/>
  <c r="AI103" i="4"/>
  <c r="AF103" i="4"/>
  <c r="AE103" i="4"/>
  <c r="AC103" i="4"/>
  <c r="AB103" i="4"/>
  <c r="AA103" i="4"/>
  <c r="Y103" i="4"/>
  <c r="X103" i="4"/>
  <c r="W103" i="4"/>
  <c r="U103" i="4"/>
  <c r="T103" i="4"/>
  <c r="S103" i="4"/>
  <c r="Q103" i="4"/>
  <c r="P103" i="4"/>
  <c r="O103" i="4"/>
  <c r="L103" i="4"/>
  <c r="B130" i="6" s="1"/>
  <c r="K103" i="4"/>
  <c r="I103" i="4"/>
  <c r="H103" i="4"/>
  <c r="B123" i="5" s="1"/>
  <c r="BY102" i="4"/>
  <c r="BX102" i="4"/>
  <c r="BW102" i="4"/>
  <c r="BT102" i="4"/>
  <c r="BQ102" i="4"/>
  <c r="BP102" i="4"/>
  <c r="BM102" i="4"/>
  <c r="BL102" i="4"/>
  <c r="A124" i="19" s="1"/>
  <c r="BI102" i="4"/>
  <c r="B127" i="16" s="1"/>
  <c r="BH102" i="4"/>
  <c r="A127" i="16" s="1"/>
  <c r="BG102" i="4"/>
  <c r="BE102" i="4"/>
  <c r="C146" i="18" s="1"/>
  <c r="BD102" i="4"/>
  <c r="B146" i="18" s="1"/>
  <c r="BC102" i="4"/>
  <c r="BA102" i="4"/>
  <c r="B180" i="17" s="1"/>
  <c r="AZ102" i="4"/>
  <c r="A180" i="17" s="1"/>
  <c r="AY102" i="4"/>
  <c r="AW102" i="4"/>
  <c r="B147" i="15" s="1"/>
  <c r="AV102" i="4"/>
  <c r="A147" i="15" s="1"/>
  <c r="AU102" i="4"/>
  <c r="AQ102" i="4"/>
  <c r="AO102" i="4"/>
  <c r="AN102" i="4"/>
  <c r="AM102" i="4"/>
  <c r="AK102" i="4"/>
  <c r="AJ102" i="4"/>
  <c r="AI102" i="4"/>
  <c r="AG102" i="4"/>
  <c r="AF102" i="4"/>
  <c r="AE102" i="4"/>
  <c r="AC102" i="4"/>
  <c r="AB102" i="4"/>
  <c r="Y102" i="4"/>
  <c r="X102" i="4"/>
  <c r="U102" i="4"/>
  <c r="T102" i="4"/>
  <c r="Q102" i="4"/>
  <c r="M102" i="4" s="1"/>
  <c r="C129" i="6" s="1"/>
  <c r="P102" i="4"/>
  <c r="O102" i="4"/>
  <c r="L102" i="4"/>
  <c r="K102" i="4"/>
  <c r="I102" i="4"/>
  <c r="H102" i="4"/>
  <c r="B122" i="5" s="1"/>
  <c r="BX101" i="4"/>
  <c r="BW101" i="4"/>
  <c r="BT101" i="4"/>
  <c r="BS101" i="4"/>
  <c r="BQ101" i="4"/>
  <c r="BP101" i="4"/>
  <c r="BO101" i="4"/>
  <c r="BM101" i="4"/>
  <c r="B123" i="19" s="1"/>
  <c r="BL101" i="4"/>
  <c r="A123" i="19" s="1"/>
  <c r="BK101" i="4"/>
  <c r="BI101" i="4"/>
  <c r="BH101" i="4"/>
  <c r="A126" i="16" s="1"/>
  <c r="BG101" i="4"/>
  <c r="BE101" i="4"/>
  <c r="BD101" i="4"/>
  <c r="B145" i="18" s="1"/>
  <c r="BC101" i="4"/>
  <c r="BA101" i="4"/>
  <c r="B179" i="17" s="1"/>
  <c r="AZ101" i="4"/>
  <c r="A179" i="17" s="1"/>
  <c r="AY101" i="4"/>
  <c r="AW101" i="4"/>
  <c r="B146" i="15" s="1"/>
  <c r="AV101" i="4"/>
  <c r="A146" i="15" s="1"/>
  <c r="AU101" i="4"/>
  <c r="AQ101" i="4"/>
  <c r="AN101" i="4"/>
  <c r="AM101" i="4"/>
  <c r="AJ101" i="4"/>
  <c r="AI101" i="4"/>
  <c r="AG101" i="4"/>
  <c r="AF101" i="4"/>
  <c r="AE101" i="4"/>
  <c r="AB101" i="4"/>
  <c r="AA101" i="4"/>
  <c r="Y101" i="4"/>
  <c r="X101" i="4"/>
  <c r="U101" i="4"/>
  <c r="T101" i="4"/>
  <c r="Q101" i="4"/>
  <c r="P101" i="4"/>
  <c r="L101" i="4"/>
  <c r="B128" i="6" s="1"/>
  <c r="I101" i="4"/>
  <c r="H101" i="4"/>
  <c r="B121" i="5" s="1"/>
  <c r="BX100" i="4"/>
  <c r="BW100" i="4"/>
  <c r="BT100" i="4"/>
  <c r="BS100" i="4"/>
  <c r="BQ100" i="4"/>
  <c r="BP100" i="4"/>
  <c r="BO100" i="4"/>
  <c r="BM100" i="4"/>
  <c r="B122" i="19" s="1"/>
  <c r="BL100" i="4"/>
  <c r="A122" i="19" s="1"/>
  <c r="BK100" i="4"/>
  <c r="BI100" i="4"/>
  <c r="B125" i="16" s="1"/>
  <c r="BH100" i="4"/>
  <c r="A125" i="16" s="1"/>
  <c r="BG100" i="4"/>
  <c r="BE100" i="4"/>
  <c r="BD100" i="4"/>
  <c r="B144" i="18" s="1"/>
  <c r="BC100" i="4"/>
  <c r="BA100" i="4"/>
  <c r="B178" i="17" s="1"/>
  <c r="AZ100" i="4"/>
  <c r="A178" i="17" s="1"/>
  <c r="AY100" i="4"/>
  <c r="AW100" i="4"/>
  <c r="B145" i="15" s="1"/>
  <c r="AV100" i="4"/>
  <c r="A145" i="15" s="1"/>
  <c r="AU100" i="4"/>
  <c r="AS100" i="4"/>
  <c r="AQ100" i="4"/>
  <c r="AO100" i="4"/>
  <c r="AN100" i="4"/>
  <c r="AM100" i="4"/>
  <c r="AJ100" i="4"/>
  <c r="AI100" i="4"/>
  <c r="AG100" i="4"/>
  <c r="AF100" i="4"/>
  <c r="AE100" i="4"/>
  <c r="AB100" i="4"/>
  <c r="AA100" i="4"/>
  <c r="Y100" i="4"/>
  <c r="X100" i="4"/>
  <c r="W100" i="4"/>
  <c r="U100" i="4"/>
  <c r="T100" i="4"/>
  <c r="S100" i="4"/>
  <c r="Q100" i="4"/>
  <c r="P100" i="4"/>
  <c r="O100" i="4"/>
  <c r="M100" i="4"/>
  <c r="L100" i="4"/>
  <c r="I100" i="4"/>
  <c r="H100" i="4"/>
  <c r="B120" i="5" s="1"/>
  <c r="BY99" i="4"/>
  <c r="BX99" i="4"/>
  <c r="BW99" i="4"/>
  <c r="BU99" i="4"/>
  <c r="BT99" i="4"/>
  <c r="BS99" i="4"/>
  <c r="BQ99" i="4"/>
  <c r="BP99" i="4"/>
  <c r="BO99" i="4"/>
  <c r="BM99" i="4"/>
  <c r="B121" i="19" s="1"/>
  <c r="BL99" i="4"/>
  <c r="A121" i="19" s="1"/>
  <c r="BK99" i="4"/>
  <c r="BI99" i="4"/>
  <c r="B124" i="16" s="1"/>
  <c r="BH99" i="4"/>
  <c r="A124" i="16" s="1"/>
  <c r="BG99" i="4"/>
  <c r="BE99" i="4"/>
  <c r="C143" i="18" s="1"/>
  <c r="BD99" i="4"/>
  <c r="B143" i="18" s="1"/>
  <c r="BC99" i="4"/>
  <c r="BA99" i="4"/>
  <c r="B177" i="17" s="1"/>
  <c r="AZ99" i="4"/>
  <c r="A177" i="17" s="1"/>
  <c r="AY99" i="4"/>
  <c r="AW99" i="4"/>
  <c r="B144" i="15" s="1"/>
  <c r="AV99" i="4"/>
  <c r="A144" i="15" s="1"/>
  <c r="AU99" i="4"/>
  <c r="AS99" i="4"/>
  <c r="AQ99" i="4"/>
  <c r="AO99" i="4"/>
  <c r="AN99" i="4"/>
  <c r="AM99" i="4"/>
  <c r="AK99" i="4"/>
  <c r="AJ99" i="4"/>
  <c r="AI99" i="4"/>
  <c r="G99" i="4" s="1"/>
  <c r="AR99" i="4" s="1"/>
  <c r="AG99" i="4"/>
  <c r="AF99" i="4"/>
  <c r="AE99" i="4"/>
  <c r="AC99" i="4"/>
  <c r="AB99" i="4"/>
  <c r="AA99" i="4"/>
  <c r="Y99" i="4"/>
  <c r="X99" i="4"/>
  <c r="W99" i="4"/>
  <c r="U99" i="4"/>
  <c r="T99" i="4"/>
  <c r="S99" i="4"/>
  <c r="Q99" i="4"/>
  <c r="P99" i="4"/>
  <c r="O99" i="4"/>
  <c r="M99" i="4"/>
  <c r="L99" i="4"/>
  <c r="B126" i="6" s="1"/>
  <c r="K99" i="4"/>
  <c r="I99" i="4"/>
  <c r="H99" i="4"/>
  <c r="B119" i="5" s="1"/>
  <c r="BX98" i="4"/>
  <c r="BW98" i="4"/>
  <c r="BT98" i="4"/>
  <c r="BQ98" i="4"/>
  <c r="BP98" i="4"/>
  <c r="BO98" i="4"/>
  <c r="BM98" i="4"/>
  <c r="BL98" i="4"/>
  <c r="A120" i="19" s="1"/>
  <c r="BI98" i="4"/>
  <c r="BH98" i="4"/>
  <c r="A123" i="16" s="1"/>
  <c r="BE98" i="4"/>
  <c r="C142" i="18" s="1"/>
  <c r="BD98" i="4"/>
  <c r="B142" i="18" s="1"/>
  <c r="BA98" i="4"/>
  <c r="AZ98" i="4"/>
  <c r="AW98" i="4"/>
  <c r="B143" i="15" s="1"/>
  <c r="AV98" i="4"/>
  <c r="A143" i="15" s="1"/>
  <c r="AN98" i="4"/>
  <c r="AJ98" i="4"/>
  <c r="AF98" i="4"/>
  <c r="AE98" i="4"/>
  <c r="AB98" i="4"/>
  <c r="Y98" i="4"/>
  <c r="X98" i="4"/>
  <c r="U98" i="4"/>
  <c r="T98" i="4"/>
  <c r="Q98" i="4"/>
  <c r="P98" i="4"/>
  <c r="M98" i="4"/>
  <c r="C125" i="6" s="1"/>
  <c r="L98" i="4"/>
  <c r="B125" i="6" s="1"/>
  <c r="I98" i="4"/>
  <c r="H98" i="4"/>
  <c r="B118" i="5" s="1"/>
  <c r="BY97" i="4"/>
  <c r="BX97" i="4"/>
  <c r="BT97" i="4"/>
  <c r="BQ97" i="4"/>
  <c r="BP97" i="4"/>
  <c r="BM97" i="4"/>
  <c r="BL97" i="4"/>
  <c r="BI97" i="4"/>
  <c r="BH97" i="4"/>
  <c r="BE97" i="4"/>
  <c r="BD97" i="4"/>
  <c r="BA97" i="4"/>
  <c r="AZ97" i="4"/>
  <c r="AW97" i="4"/>
  <c r="AV97" i="4"/>
  <c r="AS97" i="4"/>
  <c r="AO97" i="4"/>
  <c r="AN97" i="4"/>
  <c r="AK97" i="4"/>
  <c r="AJ97" i="4"/>
  <c r="AG97" i="4"/>
  <c r="AF97" i="4"/>
  <c r="AC97" i="4"/>
  <c r="AB97" i="4"/>
  <c r="AA97" i="4"/>
  <c r="Y97" i="4"/>
  <c r="X97" i="4"/>
  <c r="W97" i="4"/>
  <c r="U97" i="4"/>
  <c r="T97" i="4"/>
  <c r="B143" i="7" s="1"/>
  <c r="S97" i="4"/>
  <c r="Q97" i="4"/>
  <c r="P97" i="4"/>
  <c r="M97" i="4"/>
  <c r="BU97" i="4" s="1"/>
  <c r="L97" i="4"/>
  <c r="I97" i="4"/>
  <c r="H97" i="4"/>
  <c r="B117" i="5" s="1"/>
  <c r="BY96" i="4"/>
  <c r="BX96" i="4"/>
  <c r="BW96" i="4"/>
  <c r="BT96" i="4"/>
  <c r="BQ96" i="4"/>
  <c r="BP96" i="4"/>
  <c r="BO96" i="4"/>
  <c r="BM96" i="4"/>
  <c r="BL96" i="4"/>
  <c r="A119" i="19" s="1"/>
  <c r="BK96" i="4"/>
  <c r="BI96" i="4"/>
  <c r="BH96" i="4"/>
  <c r="A122" i="16" s="1"/>
  <c r="BG96" i="4"/>
  <c r="BE96" i="4"/>
  <c r="C141" i="18" s="1"/>
  <c r="BD96" i="4"/>
  <c r="B141" i="18" s="1"/>
  <c r="BC96" i="4"/>
  <c r="BA96" i="4"/>
  <c r="B175" i="17" s="1"/>
  <c r="AZ96" i="4"/>
  <c r="A175" i="17" s="1"/>
  <c r="AY96" i="4"/>
  <c r="AW96" i="4"/>
  <c r="B142" i="15" s="1"/>
  <c r="AV96" i="4"/>
  <c r="A142" i="15" s="1"/>
  <c r="AU96" i="4"/>
  <c r="AQ96" i="4"/>
  <c r="AN96" i="4"/>
  <c r="AM96" i="4"/>
  <c r="AJ96" i="4"/>
  <c r="AI96" i="4"/>
  <c r="AF96" i="4"/>
  <c r="AE96" i="4"/>
  <c r="AC96" i="4"/>
  <c r="AB96" i="4"/>
  <c r="AA96" i="4"/>
  <c r="Y96" i="4"/>
  <c r="X96" i="4"/>
  <c r="W96" i="4"/>
  <c r="U96" i="4"/>
  <c r="T96" i="4"/>
  <c r="S96" i="4"/>
  <c r="Q96" i="4"/>
  <c r="P96" i="4"/>
  <c r="O96" i="4"/>
  <c r="M96" i="4"/>
  <c r="L96" i="4"/>
  <c r="K96" i="4"/>
  <c r="I96" i="4"/>
  <c r="H96" i="4"/>
  <c r="BX95" i="4"/>
  <c r="BW95" i="4"/>
  <c r="BT95" i="4"/>
  <c r="BQ95" i="4"/>
  <c r="BP95" i="4"/>
  <c r="BM95" i="4"/>
  <c r="B118" i="19" s="1"/>
  <c r="BL95" i="4"/>
  <c r="A118" i="19" s="1"/>
  <c r="BI95" i="4"/>
  <c r="B121" i="16" s="1"/>
  <c r="BH95" i="4"/>
  <c r="A121" i="16" s="1"/>
  <c r="BG95" i="4"/>
  <c r="BE95" i="4"/>
  <c r="BD95" i="4"/>
  <c r="B140" i="18" s="1"/>
  <c r="BA95" i="4"/>
  <c r="B174" i="17" s="1"/>
  <c r="AZ95" i="4"/>
  <c r="A174" i="17" s="1"/>
  <c r="AW95" i="4"/>
  <c r="B141" i="15" s="1"/>
  <c r="AV95" i="4"/>
  <c r="A141" i="15" s="1"/>
  <c r="AU95" i="4"/>
  <c r="AS95" i="4"/>
  <c r="AQ95" i="4"/>
  <c r="AO95" i="4"/>
  <c r="AN95" i="4"/>
  <c r="AM95" i="4"/>
  <c r="AJ95" i="4"/>
  <c r="AI95" i="4"/>
  <c r="AG95" i="4"/>
  <c r="AF95" i="4"/>
  <c r="AE95" i="4"/>
  <c r="AB95" i="4"/>
  <c r="AA95" i="4"/>
  <c r="Y95" i="4"/>
  <c r="X95" i="4"/>
  <c r="W95" i="4"/>
  <c r="U95" i="4"/>
  <c r="T95" i="4"/>
  <c r="S95" i="4"/>
  <c r="Q95" i="4"/>
  <c r="P95" i="4"/>
  <c r="O95" i="4"/>
  <c r="M95" i="4"/>
  <c r="L95" i="4"/>
  <c r="B123" i="6" s="1"/>
  <c r="K95" i="4"/>
  <c r="I95" i="4"/>
  <c r="H95" i="4"/>
  <c r="B115" i="5" s="1"/>
  <c r="BY94" i="4"/>
  <c r="BX94" i="4"/>
  <c r="BW94" i="4"/>
  <c r="BT94" i="4"/>
  <c r="BS94" i="4"/>
  <c r="BQ94" i="4"/>
  <c r="BP94" i="4"/>
  <c r="BO94" i="4"/>
  <c r="BM94" i="4"/>
  <c r="B117" i="19" s="1"/>
  <c r="BL94" i="4"/>
  <c r="A117" i="19" s="1"/>
  <c r="BI94" i="4"/>
  <c r="B120" i="16" s="1"/>
  <c r="BH94" i="4"/>
  <c r="A120" i="16" s="1"/>
  <c r="BG94" i="4"/>
  <c r="BE94" i="4"/>
  <c r="C139" i="18" s="1"/>
  <c r="BD94" i="4"/>
  <c r="B139" i="18" s="1"/>
  <c r="BA94" i="4"/>
  <c r="B173" i="17" s="1"/>
  <c r="AZ94" i="4"/>
  <c r="A173" i="17" s="1"/>
  <c r="AY94" i="4"/>
  <c r="AW94" i="4"/>
  <c r="B140" i="15" s="1"/>
  <c r="AV94" i="4"/>
  <c r="A140" i="15" s="1"/>
  <c r="AU94" i="4"/>
  <c r="AS94" i="4"/>
  <c r="AQ94" i="4"/>
  <c r="AO94" i="4"/>
  <c r="AN94" i="4"/>
  <c r="AM94" i="4"/>
  <c r="AK94" i="4"/>
  <c r="AJ94" i="4"/>
  <c r="AI94" i="4"/>
  <c r="AG94" i="4"/>
  <c r="AF94" i="4"/>
  <c r="AE94" i="4"/>
  <c r="AC94" i="4"/>
  <c r="AB94" i="4"/>
  <c r="AA94" i="4"/>
  <c r="Y94" i="4"/>
  <c r="X94" i="4"/>
  <c r="W94" i="4"/>
  <c r="U94" i="4"/>
  <c r="T94" i="4"/>
  <c r="S94" i="4"/>
  <c r="Q94" i="4"/>
  <c r="M94" i="4" s="1"/>
  <c r="P94" i="4"/>
  <c r="O94" i="4"/>
  <c r="L94" i="4"/>
  <c r="I94" i="4"/>
  <c r="H94" i="4"/>
  <c r="B114" i="5" s="1"/>
  <c r="BY93" i="4"/>
  <c r="BX93" i="4"/>
  <c r="BW93" i="4"/>
  <c r="BT93" i="4"/>
  <c r="BQ93" i="4"/>
  <c r="BP93" i="4"/>
  <c r="BM93" i="4"/>
  <c r="BL93" i="4"/>
  <c r="A116" i="19" s="1"/>
  <c r="BI93" i="4"/>
  <c r="BH93" i="4"/>
  <c r="A119" i="16" s="1"/>
  <c r="BG93" i="4"/>
  <c r="BE93" i="4"/>
  <c r="C138" i="18" s="1"/>
  <c r="BD93" i="4"/>
  <c r="B138" i="18" s="1"/>
  <c r="BA93" i="4"/>
  <c r="B172" i="17" s="1"/>
  <c r="AZ93" i="4"/>
  <c r="A172" i="17" s="1"/>
  <c r="AY93" i="4"/>
  <c r="AW93" i="4"/>
  <c r="B139" i="15" s="1"/>
  <c r="AV93" i="4"/>
  <c r="A139" i="15" s="1"/>
  <c r="AU93" i="4"/>
  <c r="AQ93" i="4"/>
  <c r="AN93" i="4"/>
  <c r="AM93" i="4"/>
  <c r="AJ93" i="4"/>
  <c r="AI93" i="4"/>
  <c r="AF93" i="4"/>
  <c r="AE93" i="4"/>
  <c r="AB93" i="4"/>
  <c r="AA93" i="4"/>
  <c r="Y93" i="4"/>
  <c r="X93" i="4"/>
  <c r="W93" i="4"/>
  <c r="U93" i="4"/>
  <c r="T93" i="4"/>
  <c r="S93" i="4"/>
  <c r="Q93" i="4"/>
  <c r="P93" i="4"/>
  <c r="O93" i="4"/>
  <c r="M93" i="4"/>
  <c r="C121" i="6" s="1"/>
  <c r="L93" i="4"/>
  <c r="K93" i="4"/>
  <c r="I93" i="4"/>
  <c r="H93" i="4"/>
  <c r="B113" i="5" s="1"/>
  <c r="BX92" i="4"/>
  <c r="BW92" i="4"/>
  <c r="BT92" i="4"/>
  <c r="BQ92" i="4"/>
  <c r="BP92" i="4"/>
  <c r="BO92" i="4"/>
  <c r="BM92" i="4"/>
  <c r="B115" i="19" s="1"/>
  <c r="BL92" i="4"/>
  <c r="A115" i="19" s="1"/>
  <c r="BK92" i="4"/>
  <c r="BI92" i="4"/>
  <c r="BH92" i="4"/>
  <c r="A118" i="16" s="1"/>
  <c r="BG92" i="4"/>
  <c r="BE92" i="4"/>
  <c r="BD92" i="4"/>
  <c r="B137" i="18" s="1"/>
  <c r="BC92" i="4"/>
  <c r="BA92" i="4"/>
  <c r="B171" i="17" s="1"/>
  <c r="AZ92" i="4"/>
  <c r="A171" i="17" s="1"/>
  <c r="AY92" i="4"/>
  <c r="AW92" i="4"/>
  <c r="B138" i="15" s="1"/>
  <c r="AV92" i="4"/>
  <c r="A138" i="15" s="1"/>
  <c r="AU92" i="4"/>
  <c r="AS92" i="4"/>
  <c r="AQ92" i="4"/>
  <c r="AN92" i="4"/>
  <c r="AM92" i="4"/>
  <c r="AJ92" i="4"/>
  <c r="AI92" i="4"/>
  <c r="AF92" i="4"/>
  <c r="AE92" i="4"/>
  <c r="AB92" i="4"/>
  <c r="AA92" i="4"/>
  <c r="Y92" i="4"/>
  <c r="X92" i="4"/>
  <c r="U92" i="4"/>
  <c r="T92" i="4"/>
  <c r="S92" i="4"/>
  <c r="Q92" i="4"/>
  <c r="P92" i="4"/>
  <c r="O92" i="4"/>
  <c r="M92" i="4"/>
  <c r="L92" i="4"/>
  <c r="B120" i="6" s="1"/>
  <c r="K92" i="4"/>
  <c r="I92" i="4"/>
  <c r="H92" i="4"/>
  <c r="BY91" i="4"/>
  <c r="BX91" i="4"/>
  <c r="BW91" i="4"/>
  <c r="BT91" i="4"/>
  <c r="BQ91" i="4"/>
  <c r="BP91" i="4"/>
  <c r="BM91" i="4"/>
  <c r="B114" i="19" s="1"/>
  <c r="BL91" i="4"/>
  <c r="A114" i="19" s="1"/>
  <c r="BK91" i="4"/>
  <c r="BI91" i="4"/>
  <c r="B117" i="16" s="1"/>
  <c r="BH91" i="4"/>
  <c r="A117" i="16" s="1"/>
  <c r="BG91" i="4"/>
  <c r="BE91" i="4"/>
  <c r="C136" i="18" s="1"/>
  <c r="BD91" i="4"/>
  <c r="B136" i="18" s="1"/>
  <c r="BA91" i="4"/>
  <c r="B170" i="17" s="1"/>
  <c r="AZ91" i="4"/>
  <c r="A170" i="17" s="1"/>
  <c r="AW91" i="4"/>
  <c r="B137" i="15" s="1"/>
  <c r="AV91" i="4"/>
  <c r="A137" i="15" s="1"/>
  <c r="AQ91" i="4"/>
  <c r="AO91" i="4"/>
  <c r="AN91" i="4"/>
  <c r="AM91" i="4"/>
  <c r="AK91" i="4"/>
  <c r="AJ91" i="4"/>
  <c r="AI91" i="4"/>
  <c r="AG91" i="4"/>
  <c r="AF91" i="4"/>
  <c r="AE91" i="4"/>
  <c r="AC91" i="4"/>
  <c r="AB91" i="4"/>
  <c r="AA91" i="4"/>
  <c r="Y91" i="4"/>
  <c r="X91" i="4"/>
  <c r="U91" i="4"/>
  <c r="C137" i="7" s="1"/>
  <c r="T91" i="4"/>
  <c r="Q91" i="4"/>
  <c r="M91" i="4" s="1"/>
  <c r="C119" i="6" s="1"/>
  <c r="P91" i="4"/>
  <c r="O91" i="4"/>
  <c r="L91" i="4"/>
  <c r="B119" i="6" s="1"/>
  <c r="K91" i="4"/>
  <c r="I91" i="4"/>
  <c r="H91" i="4"/>
  <c r="B111" i="5" s="1"/>
  <c r="BY90" i="4"/>
  <c r="BX90" i="4"/>
  <c r="BW90" i="4"/>
  <c r="BT90" i="4"/>
  <c r="BQ90" i="4"/>
  <c r="BP90" i="4"/>
  <c r="BM90" i="4"/>
  <c r="BL90" i="4"/>
  <c r="A113" i="19" s="1"/>
  <c r="BI90" i="4"/>
  <c r="BH90" i="4"/>
  <c r="A116" i="16" s="1"/>
  <c r="BG90" i="4"/>
  <c r="BE90" i="4"/>
  <c r="C135" i="18" s="1"/>
  <c r="BD90" i="4"/>
  <c r="B135" i="18" s="1"/>
  <c r="BA90" i="4"/>
  <c r="B169" i="17" s="1"/>
  <c r="AZ90" i="4"/>
  <c r="A169" i="17" s="1"/>
  <c r="AW90" i="4"/>
  <c r="B136" i="15" s="1"/>
  <c r="AV90" i="4"/>
  <c r="A136" i="15" s="1"/>
  <c r="AU90" i="4"/>
  <c r="AQ90" i="4"/>
  <c r="AN90" i="4"/>
  <c r="AM90" i="4"/>
  <c r="AJ90" i="4"/>
  <c r="AI90" i="4"/>
  <c r="AG90" i="4"/>
  <c r="AF90" i="4"/>
  <c r="AE90" i="4"/>
  <c r="AC90" i="4"/>
  <c r="AB90" i="4"/>
  <c r="AA90" i="4"/>
  <c r="Y90" i="4"/>
  <c r="X90" i="4"/>
  <c r="U90" i="4"/>
  <c r="T90" i="4"/>
  <c r="Q90" i="4"/>
  <c r="P90" i="4"/>
  <c r="O90" i="4"/>
  <c r="L90" i="4"/>
  <c r="B118" i="6" s="1"/>
  <c r="I90" i="4"/>
  <c r="H90" i="4"/>
  <c r="B110" i="5" s="1"/>
  <c r="BX89" i="4"/>
  <c r="BT89" i="4"/>
  <c r="BQ89" i="4"/>
  <c r="BP89" i="4"/>
  <c r="BM89" i="4"/>
  <c r="B112" i="19" s="1"/>
  <c r="BL89" i="4"/>
  <c r="A112" i="19" s="1"/>
  <c r="BI89" i="4"/>
  <c r="BH89" i="4"/>
  <c r="A115" i="16" s="1"/>
  <c r="BE89" i="4"/>
  <c r="BD89" i="4"/>
  <c r="B134" i="18" s="1"/>
  <c r="BA89" i="4"/>
  <c r="B168" i="17" s="1"/>
  <c r="AZ89" i="4"/>
  <c r="A168" i="17" s="1"/>
  <c r="AW89" i="4"/>
  <c r="B135" i="15" s="1"/>
  <c r="AV89" i="4"/>
  <c r="A135" i="15" s="1"/>
  <c r="AN89" i="4"/>
  <c r="AM89" i="4"/>
  <c r="AJ89" i="4"/>
  <c r="AI89" i="4"/>
  <c r="AF89" i="4"/>
  <c r="AB89" i="4"/>
  <c r="Y89" i="4"/>
  <c r="X89" i="4"/>
  <c r="U89" i="4"/>
  <c r="T89" i="4"/>
  <c r="Q89" i="4"/>
  <c r="P89" i="4"/>
  <c r="O89" i="4"/>
  <c r="M89" i="4"/>
  <c r="L89" i="4"/>
  <c r="B117" i="6" s="1"/>
  <c r="I89" i="4"/>
  <c r="H89" i="4"/>
  <c r="B109" i="5" s="1"/>
  <c r="BY88" i="4"/>
  <c r="BX88" i="4"/>
  <c r="BW88" i="4"/>
  <c r="BT88" i="4"/>
  <c r="B62" i="20" s="1"/>
  <c r="BS88" i="4"/>
  <c r="BQ88" i="4"/>
  <c r="B129" i="21" s="1"/>
  <c r="BP88" i="4"/>
  <c r="A129" i="21" s="1"/>
  <c r="BO88" i="4"/>
  <c r="BM88" i="4"/>
  <c r="B111" i="19" s="1"/>
  <c r="BL88" i="4"/>
  <c r="A111" i="19" s="1"/>
  <c r="BK88" i="4"/>
  <c r="BI88" i="4"/>
  <c r="B114" i="16" s="1"/>
  <c r="BH88" i="4"/>
  <c r="A114" i="16" s="1"/>
  <c r="BG88" i="4"/>
  <c r="BE88" i="4"/>
  <c r="C133" i="18" s="1"/>
  <c r="BD88" i="4"/>
  <c r="B133" i="18" s="1"/>
  <c r="BC88" i="4"/>
  <c r="BA88" i="4"/>
  <c r="B167" i="17" s="1"/>
  <c r="AZ88" i="4"/>
  <c r="A167" i="17" s="1"/>
  <c r="AY88" i="4"/>
  <c r="AW88" i="4"/>
  <c r="B134" i="15" s="1"/>
  <c r="AV88" i="4"/>
  <c r="A134" i="15" s="1"/>
  <c r="AU88" i="4"/>
  <c r="AS88" i="4"/>
  <c r="AQ88" i="4"/>
  <c r="AO88" i="4"/>
  <c r="AN88" i="4"/>
  <c r="AM88" i="4"/>
  <c r="AK88" i="4"/>
  <c r="AJ88" i="4"/>
  <c r="AI88" i="4"/>
  <c r="AG88" i="4"/>
  <c r="AF88" i="4"/>
  <c r="AE88" i="4"/>
  <c r="AB88" i="4"/>
  <c r="Y88" i="4"/>
  <c r="X88" i="4"/>
  <c r="U88" i="4"/>
  <c r="T88" i="4"/>
  <c r="Q88" i="4"/>
  <c r="P88" i="4"/>
  <c r="M88" i="4"/>
  <c r="BU88" i="4" s="1"/>
  <c r="C62" i="20" s="1"/>
  <c r="L88" i="4"/>
  <c r="B116" i="6" s="1"/>
  <c r="I88" i="4"/>
  <c r="H88" i="4"/>
  <c r="B108" i="5" s="1"/>
  <c r="BY87" i="4"/>
  <c r="BX87" i="4"/>
  <c r="BW87" i="4"/>
  <c r="BU87" i="4"/>
  <c r="C61" i="20" s="1"/>
  <c r="BT87" i="4"/>
  <c r="B61" i="20" s="1"/>
  <c r="BQ87" i="4"/>
  <c r="B128" i="21" s="1"/>
  <c r="BP87" i="4"/>
  <c r="A128" i="21" s="1"/>
  <c r="BO87" i="4"/>
  <c r="BM87" i="4"/>
  <c r="B110" i="19" s="1"/>
  <c r="BL87" i="4"/>
  <c r="A110" i="19" s="1"/>
  <c r="BK87" i="4"/>
  <c r="BI87" i="4"/>
  <c r="AG87" i="4" s="1"/>
  <c r="BH87" i="4"/>
  <c r="A113" i="16" s="1"/>
  <c r="BG87" i="4"/>
  <c r="BE87" i="4"/>
  <c r="C132" i="18" s="1"/>
  <c r="BD87" i="4"/>
  <c r="B132" i="18" s="1"/>
  <c r="BC87" i="4"/>
  <c r="BA87" i="4"/>
  <c r="B166" i="17" s="1"/>
  <c r="AZ87" i="4"/>
  <c r="A166" i="17" s="1"/>
  <c r="AY87" i="4"/>
  <c r="AW87" i="4"/>
  <c r="B133" i="15" s="1"/>
  <c r="AV87" i="4"/>
  <c r="A133" i="15" s="1"/>
  <c r="AU87" i="4"/>
  <c r="AQ87" i="4"/>
  <c r="AN87" i="4"/>
  <c r="AM87" i="4"/>
  <c r="AJ87" i="4"/>
  <c r="AI87" i="4"/>
  <c r="AF87" i="4"/>
  <c r="AE87" i="4"/>
  <c r="AC87" i="4"/>
  <c r="AB87" i="4"/>
  <c r="Y87" i="4"/>
  <c r="X87" i="4"/>
  <c r="U87" i="4"/>
  <c r="T87" i="4"/>
  <c r="Q87" i="4"/>
  <c r="P87" i="4"/>
  <c r="M87" i="4"/>
  <c r="L87" i="4"/>
  <c r="B115" i="6" s="1"/>
  <c r="I87" i="4"/>
  <c r="H87" i="4"/>
  <c r="B107" i="5" s="1"/>
  <c r="BX86" i="4"/>
  <c r="BW86" i="4"/>
  <c r="BT86" i="4"/>
  <c r="B60" i="20" s="1"/>
  <c r="BS86" i="4"/>
  <c r="BQ86" i="4"/>
  <c r="B127" i="21" s="1"/>
  <c r="BP86" i="4"/>
  <c r="A127" i="21" s="1"/>
  <c r="BO86" i="4"/>
  <c r="BM86" i="4"/>
  <c r="BL86" i="4"/>
  <c r="A109" i="19" s="1"/>
  <c r="BK86" i="4"/>
  <c r="BI86" i="4"/>
  <c r="BH86" i="4"/>
  <c r="A112" i="16" s="1"/>
  <c r="BE86" i="4"/>
  <c r="C131" i="18" s="1"/>
  <c r="BD86" i="4"/>
  <c r="B131" i="18" s="1"/>
  <c r="BC86" i="4"/>
  <c r="BA86" i="4"/>
  <c r="B165" i="17" s="1"/>
  <c r="AZ86" i="4"/>
  <c r="A165" i="17" s="1"/>
  <c r="AY86" i="4"/>
  <c r="AW86" i="4"/>
  <c r="B132" i="15" s="1"/>
  <c r="AV86" i="4"/>
  <c r="A132" i="15" s="1"/>
  <c r="AU86" i="4"/>
  <c r="AQ86" i="4"/>
  <c r="AN86" i="4"/>
  <c r="AM86" i="4"/>
  <c r="AJ86" i="4"/>
  <c r="AI86" i="4"/>
  <c r="AF86" i="4"/>
  <c r="AE86" i="4"/>
  <c r="AC86" i="4"/>
  <c r="AB86" i="4"/>
  <c r="AA86" i="4"/>
  <c r="Y86" i="4"/>
  <c r="X86" i="4"/>
  <c r="U86" i="4"/>
  <c r="T86" i="4"/>
  <c r="Q86" i="4"/>
  <c r="BY86" i="4" s="1"/>
  <c r="P86" i="4"/>
  <c r="M86" i="4"/>
  <c r="BU86" i="4" s="1"/>
  <c r="C60" i="20" s="1"/>
  <c r="L86" i="4"/>
  <c r="B114" i="6" s="1"/>
  <c r="I86" i="4"/>
  <c r="H86" i="4"/>
  <c r="B106" i="5" s="1"/>
  <c r="BY85" i="4"/>
  <c r="BX85" i="4"/>
  <c r="BW85" i="4"/>
  <c r="BT85" i="4"/>
  <c r="BQ85" i="4"/>
  <c r="BP85" i="4"/>
  <c r="BO85" i="4"/>
  <c r="BM85" i="4"/>
  <c r="B108" i="19" s="1"/>
  <c r="BL85" i="4"/>
  <c r="A108" i="19" s="1"/>
  <c r="BK85" i="4"/>
  <c r="BI85" i="4"/>
  <c r="B111" i="16" s="1"/>
  <c r="BH85" i="4"/>
  <c r="A111" i="16" s="1"/>
  <c r="BE85" i="4"/>
  <c r="C130" i="18" s="1"/>
  <c r="BD85" i="4"/>
  <c r="B130" i="18" s="1"/>
  <c r="BA85" i="4"/>
  <c r="B164" i="17" s="1"/>
  <c r="AZ85" i="4"/>
  <c r="A164" i="17" s="1"/>
  <c r="AY85" i="4"/>
  <c r="AW85" i="4"/>
  <c r="B131" i="15" s="1"/>
  <c r="AV85" i="4"/>
  <c r="A131" i="15" s="1"/>
  <c r="AU85" i="4"/>
  <c r="AS85" i="4"/>
  <c r="AQ85" i="4"/>
  <c r="AO85" i="4"/>
  <c r="AN85" i="4"/>
  <c r="AM85" i="4"/>
  <c r="AK85" i="4"/>
  <c r="AJ85" i="4"/>
  <c r="AI85" i="4"/>
  <c r="AF85" i="4"/>
  <c r="AE85" i="4"/>
  <c r="AC85" i="4"/>
  <c r="AB85" i="4"/>
  <c r="Y85" i="4"/>
  <c r="X85" i="4"/>
  <c r="U85" i="4"/>
  <c r="T85" i="4"/>
  <c r="Q85" i="4"/>
  <c r="M85" i="4" s="1"/>
  <c r="P85" i="4"/>
  <c r="L85" i="4"/>
  <c r="B113" i="6" s="1"/>
  <c r="K85" i="4"/>
  <c r="I85" i="4"/>
  <c r="H85" i="4"/>
  <c r="B105" i="5" s="1"/>
  <c r="BY84" i="4"/>
  <c r="BX84" i="4"/>
  <c r="BW84" i="4"/>
  <c r="BU84" i="4"/>
  <c r="BT84" i="4"/>
  <c r="BQ84" i="4"/>
  <c r="BP84" i="4"/>
  <c r="BO84" i="4"/>
  <c r="BM84" i="4"/>
  <c r="B107" i="19" s="1"/>
  <c r="BL84" i="4"/>
  <c r="A107" i="19" s="1"/>
  <c r="BK84" i="4"/>
  <c r="BI84" i="4"/>
  <c r="B110" i="16" s="1"/>
  <c r="BH84" i="4"/>
  <c r="A110" i="16" s="1"/>
  <c r="BE84" i="4"/>
  <c r="C129" i="18" s="1"/>
  <c r="BD84" i="4"/>
  <c r="B129" i="18" s="1"/>
  <c r="BC84" i="4"/>
  <c r="BA84" i="4"/>
  <c r="B163" i="17" s="1"/>
  <c r="AZ84" i="4"/>
  <c r="A163" i="17" s="1"/>
  <c r="AY84" i="4"/>
  <c r="AW84" i="4"/>
  <c r="B130" i="15" s="1"/>
  <c r="AV84" i="4"/>
  <c r="A130" i="15" s="1"/>
  <c r="AU84" i="4"/>
  <c r="AQ84" i="4"/>
  <c r="AO84" i="4"/>
  <c r="AN84" i="4"/>
  <c r="AM84" i="4"/>
  <c r="AK84" i="4"/>
  <c r="AJ84" i="4"/>
  <c r="AI84" i="4"/>
  <c r="AG84" i="4"/>
  <c r="AF84" i="4"/>
  <c r="AE84" i="4"/>
  <c r="AC84" i="4"/>
  <c r="AB84" i="4"/>
  <c r="Y84" i="4"/>
  <c r="X84" i="4"/>
  <c r="U84" i="4"/>
  <c r="T84" i="4"/>
  <c r="Q84" i="4"/>
  <c r="P84" i="4"/>
  <c r="O84" i="4"/>
  <c r="M84" i="4"/>
  <c r="C112" i="6" s="1"/>
  <c r="L84" i="4"/>
  <c r="B112" i="6" s="1"/>
  <c r="K84" i="4"/>
  <c r="I84" i="4"/>
  <c r="H84" i="4"/>
  <c r="B104" i="5" s="1"/>
  <c r="BX83" i="4"/>
  <c r="BW83" i="4"/>
  <c r="BT83" i="4"/>
  <c r="BQ83" i="4"/>
  <c r="BP83" i="4"/>
  <c r="BM83" i="4"/>
  <c r="BL83" i="4"/>
  <c r="A106" i="19" s="1"/>
  <c r="BI83" i="4"/>
  <c r="BH83" i="4"/>
  <c r="A109" i="16" s="1"/>
  <c r="BE83" i="4"/>
  <c r="BD83" i="4"/>
  <c r="B128" i="18" s="1"/>
  <c r="BA83" i="4"/>
  <c r="B162" i="17" s="1"/>
  <c r="AZ83" i="4"/>
  <c r="A162" i="17" s="1"/>
  <c r="AW83" i="4"/>
  <c r="B129" i="15" s="1"/>
  <c r="AV83" i="4"/>
  <c r="A129" i="15" s="1"/>
  <c r="AN83" i="4"/>
  <c r="AJ83" i="4"/>
  <c r="AF83" i="4"/>
  <c r="AB83" i="4"/>
  <c r="Y83" i="4"/>
  <c r="X83" i="4"/>
  <c r="U83" i="4"/>
  <c r="T83" i="4"/>
  <c r="Q83" i="4"/>
  <c r="P83" i="4"/>
  <c r="M83" i="4"/>
  <c r="L83" i="4"/>
  <c r="B111" i="6" s="1"/>
  <c r="I83" i="4"/>
  <c r="H83" i="4"/>
  <c r="B103" i="5" s="1"/>
  <c r="BY82" i="4"/>
  <c r="BX82" i="4"/>
  <c r="BW82" i="4"/>
  <c r="BT82" i="4"/>
  <c r="BQ82" i="4"/>
  <c r="BP82" i="4"/>
  <c r="BO82" i="4"/>
  <c r="BM82" i="4"/>
  <c r="B105" i="19" s="1"/>
  <c r="BL82" i="4"/>
  <c r="A105" i="19" s="1"/>
  <c r="BK82" i="4"/>
  <c r="BI82" i="4"/>
  <c r="BH82" i="4"/>
  <c r="A108" i="16" s="1"/>
  <c r="BE82" i="4"/>
  <c r="BD82" i="4"/>
  <c r="B127" i="18" s="1"/>
  <c r="BA82" i="4"/>
  <c r="B161" i="17" s="1"/>
  <c r="AZ82" i="4"/>
  <c r="A161" i="17" s="1"/>
  <c r="AW82" i="4"/>
  <c r="B128" i="15" s="1"/>
  <c r="AV82" i="4"/>
  <c r="A128" i="15" s="1"/>
  <c r="AU82" i="4"/>
  <c r="AS82" i="4"/>
  <c r="AQ82" i="4"/>
  <c r="AN82" i="4"/>
  <c r="AJ82" i="4"/>
  <c r="AF82" i="4"/>
  <c r="AB82" i="4"/>
  <c r="Y82" i="4"/>
  <c r="X82" i="4"/>
  <c r="U82" i="4"/>
  <c r="T82" i="4"/>
  <c r="Q82" i="4"/>
  <c r="P82" i="4"/>
  <c r="M82" i="4"/>
  <c r="C110" i="6" s="1"/>
  <c r="L82" i="4"/>
  <c r="B110" i="6" s="1"/>
  <c r="I82" i="4"/>
  <c r="H82" i="4"/>
  <c r="B102" i="5" s="1"/>
  <c r="BY81" i="4"/>
  <c r="BX81" i="4"/>
  <c r="BW81" i="4"/>
  <c r="BT81" i="4"/>
  <c r="BQ81" i="4"/>
  <c r="BP81" i="4"/>
  <c r="BM81" i="4"/>
  <c r="B104" i="19" s="1"/>
  <c r="BL81" i="4"/>
  <c r="A104" i="19" s="1"/>
  <c r="BI81" i="4"/>
  <c r="B107" i="16" s="1"/>
  <c r="BH81" i="4"/>
  <c r="A107" i="16" s="1"/>
  <c r="BE81" i="4"/>
  <c r="C126" i="18" s="1"/>
  <c r="BD81" i="4"/>
  <c r="B126" i="18" s="1"/>
  <c r="BA81" i="4"/>
  <c r="B160" i="17" s="1"/>
  <c r="AZ81" i="4"/>
  <c r="A160" i="17" s="1"/>
  <c r="AW81" i="4"/>
  <c r="B127" i="15" s="1"/>
  <c r="AV81" i="4"/>
  <c r="A127" i="15" s="1"/>
  <c r="AS81" i="4"/>
  <c r="AO81" i="4"/>
  <c r="AN81" i="4"/>
  <c r="AK81" i="4"/>
  <c r="AJ81" i="4"/>
  <c r="AG81" i="4"/>
  <c r="AF81" i="4"/>
  <c r="AC81" i="4"/>
  <c r="AB81" i="4"/>
  <c r="Y81" i="4"/>
  <c r="X81" i="4"/>
  <c r="U81" i="4"/>
  <c r="C127" i="7" s="1"/>
  <c r="T81" i="4"/>
  <c r="B127" i="7" s="1"/>
  <c r="Q81" i="4"/>
  <c r="P81" i="4"/>
  <c r="L81" i="4"/>
  <c r="B109" i="6" s="1"/>
  <c r="I81" i="4"/>
  <c r="H81" i="4"/>
  <c r="B101" i="5" s="1"/>
  <c r="BX80" i="4"/>
  <c r="BW80" i="4"/>
  <c r="BT80" i="4"/>
  <c r="BS80" i="4"/>
  <c r="BQ80" i="4"/>
  <c r="BP80" i="4"/>
  <c r="BO80" i="4"/>
  <c r="BM80" i="4"/>
  <c r="BL80" i="4"/>
  <c r="A103" i="19" s="1"/>
  <c r="BK80" i="4"/>
  <c r="BI80" i="4"/>
  <c r="BH80" i="4"/>
  <c r="A106" i="16" s="1"/>
  <c r="BE80" i="4"/>
  <c r="C125" i="18" s="1"/>
  <c r="BD80" i="4"/>
  <c r="B125" i="18" s="1"/>
  <c r="BA80" i="4"/>
  <c r="B159" i="17" s="1"/>
  <c r="AZ80" i="4"/>
  <c r="A159" i="17" s="1"/>
  <c r="AY80" i="4"/>
  <c r="AW80" i="4"/>
  <c r="B126" i="15" s="1"/>
  <c r="AV80" i="4"/>
  <c r="A126" i="15" s="1"/>
  <c r="AU80" i="4"/>
  <c r="AQ80" i="4"/>
  <c r="AN80" i="4"/>
  <c r="AM80" i="4"/>
  <c r="AJ80" i="4"/>
  <c r="AF80" i="4"/>
  <c r="AC80" i="4"/>
  <c r="AB80" i="4"/>
  <c r="Y80" i="4"/>
  <c r="X80" i="4"/>
  <c r="U80" i="4"/>
  <c r="T80" i="4"/>
  <c r="Q80" i="4"/>
  <c r="BY80" i="4" s="1"/>
  <c r="P80" i="4"/>
  <c r="M80" i="4"/>
  <c r="C108" i="6" s="1"/>
  <c r="L80" i="4"/>
  <c r="B108" i="6" s="1"/>
  <c r="K80" i="4"/>
  <c r="I80" i="4"/>
  <c r="H80" i="4"/>
  <c r="B100" i="5" s="1"/>
  <c r="BX79" i="4"/>
  <c r="BT79" i="4"/>
  <c r="BQ79" i="4"/>
  <c r="BP79" i="4"/>
  <c r="BM79" i="4"/>
  <c r="B102" i="19" s="1"/>
  <c r="BL79" i="4"/>
  <c r="A102" i="19" s="1"/>
  <c r="BI79" i="4"/>
  <c r="B105" i="16" s="1"/>
  <c r="BH79" i="4"/>
  <c r="A105" i="16" s="1"/>
  <c r="BE79" i="4"/>
  <c r="BD79" i="4"/>
  <c r="B124" i="18" s="1"/>
  <c r="BA79" i="4"/>
  <c r="B158" i="17" s="1"/>
  <c r="AZ79" i="4"/>
  <c r="A158" i="17" s="1"/>
  <c r="AW79" i="4"/>
  <c r="B125" i="15" s="1"/>
  <c r="AV79" i="4"/>
  <c r="A125" i="15" s="1"/>
  <c r="AS79" i="4"/>
  <c r="AO79" i="4"/>
  <c r="AN79" i="4"/>
  <c r="AJ79" i="4"/>
  <c r="AG79" i="4"/>
  <c r="AF79" i="4"/>
  <c r="AB79" i="4"/>
  <c r="Y79" i="4"/>
  <c r="X79" i="4"/>
  <c r="U79" i="4"/>
  <c r="T79" i="4"/>
  <c r="Q79" i="4"/>
  <c r="P79" i="4"/>
  <c r="M79" i="4"/>
  <c r="L79" i="4"/>
  <c r="B107" i="6" s="1"/>
  <c r="I79" i="4"/>
  <c r="H79" i="4"/>
  <c r="B99" i="5" s="1"/>
  <c r="BY78" i="4"/>
  <c r="BX78" i="4"/>
  <c r="BT78" i="4"/>
  <c r="BQ78" i="4"/>
  <c r="BP78" i="4"/>
  <c r="BM78" i="4"/>
  <c r="B101" i="19" s="1"/>
  <c r="BL78" i="4"/>
  <c r="A101" i="19" s="1"/>
  <c r="BI78" i="4"/>
  <c r="B104" i="16" s="1"/>
  <c r="BH78" i="4"/>
  <c r="A104" i="16" s="1"/>
  <c r="BE78" i="4"/>
  <c r="C123" i="18" s="1"/>
  <c r="BD78" i="4"/>
  <c r="B123" i="18" s="1"/>
  <c r="BA78" i="4"/>
  <c r="B157" i="17" s="1"/>
  <c r="AZ78" i="4"/>
  <c r="A157" i="17" s="1"/>
  <c r="AW78" i="4"/>
  <c r="B124" i="15" s="1"/>
  <c r="AV78" i="4"/>
  <c r="A124" i="15" s="1"/>
  <c r="AS78" i="4"/>
  <c r="AO78" i="4"/>
  <c r="AN78" i="4"/>
  <c r="AK78" i="4"/>
  <c r="AJ78" i="4"/>
  <c r="AG78" i="4"/>
  <c r="AF78" i="4"/>
  <c r="AC78" i="4"/>
  <c r="AB78" i="4"/>
  <c r="Y78" i="4"/>
  <c r="X78" i="4"/>
  <c r="U78" i="4"/>
  <c r="T78" i="4"/>
  <c r="Q78" i="4"/>
  <c r="M78" i="4" s="1"/>
  <c r="P78" i="4"/>
  <c r="L78" i="4"/>
  <c r="B106" i="6" s="1"/>
  <c r="I78" i="4"/>
  <c r="H78" i="4"/>
  <c r="B98" i="5" s="1"/>
  <c r="BY77" i="4"/>
  <c r="BX77" i="4"/>
  <c r="BW77" i="4"/>
  <c r="BT77" i="4"/>
  <c r="BQ77" i="4"/>
  <c r="BP77" i="4"/>
  <c r="BM77" i="4"/>
  <c r="BL77" i="4"/>
  <c r="A100" i="19" s="1"/>
  <c r="BI77" i="4"/>
  <c r="BH77" i="4"/>
  <c r="A103" i="16" s="1"/>
  <c r="BG77" i="4"/>
  <c r="BE77" i="4"/>
  <c r="C122" i="18" s="1"/>
  <c r="BD77" i="4"/>
  <c r="B122" i="18" s="1"/>
  <c r="BC77" i="4"/>
  <c r="BA77" i="4"/>
  <c r="B156" i="17" s="1"/>
  <c r="AZ77" i="4"/>
  <c r="A156" i="17" s="1"/>
  <c r="AY77" i="4"/>
  <c r="AW77" i="4"/>
  <c r="B123" i="15" s="1"/>
  <c r="AV77" i="4"/>
  <c r="A123" i="15" s="1"/>
  <c r="AU77" i="4"/>
  <c r="AQ77" i="4"/>
  <c r="AN77" i="4"/>
  <c r="AM77" i="4"/>
  <c r="AJ77" i="4"/>
  <c r="AI77" i="4"/>
  <c r="AF77" i="4"/>
  <c r="AE77" i="4"/>
  <c r="AB77" i="4"/>
  <c r="AA77" i="4"/>
  <c r="Y77" i="4"/>
  <c r="X77" i="4"/>
  <c r="W77" i="4"/>
  <c r="U77" i="4"/>
  <c r="T77" i="4"/>
  <c r="S77" i="4"/>
  <c r="Q77" i="4"/>
  <c r="P77" i="4"/>
  <c r="O77" i="4"/>
  <c r="M77" i="4"/>
  <c r="C105" i="6" s="1"/>
  <c r="L77" i="4"/>
  <c r="B105" i="6" s="1"/>
  <c r="I77" i="4"/>
  <c r="H77" i="4"/>
  <c r="BX76" i="4"/>
  <c r="BW76" i="4"/>
  <c r="BT76" i="4"/>
  <c r="BQ76" i="4"/>
  <c r="BP76" i="4"/>
  <c r="BM76" i="4"/>
  <c r="B99" i="19" s="1"/>
  <c r="BL76" i="4"/>
  <c r="A99" i="19" s="1"/>
  <c r="BI76" i="4"/>
  <c r="BH76" i="4"/>
  <c r="A102" i="16" s="1"/>
  <c r="BE76" i="4"/>
  <c r="BD76" i="4"/>
  <c r="B121" i="18" s="1"/>
  <c r="BC76" i="4"/>
  <c r="BA76" i="4"/>
  <c r="B155" i="17" s="1"/>
  <c r="AZ76" i="4"/>
  <c r="A155" i="17" s="1"/>
  <c r="AY76" i="4"/>
  <c r="AW76" i="4"/>
  <c r="B122" i="15" s="1"/>
  <c r="AV76" i="4"/>
  <c r="A122" i="15" s="1"/>
  <c r="AS76" i="4"/>
  <c r="AN76" i="4"/>
  <c r="AJ76" i="4"/>
  <c r="AF76" i="4"/>
  <c r="AB76" i="4"/>
  <c r="Y76" i="4"/>
  <c r="X76" i="4"/>
  <c r="U76" i="4"/>
  <c r="T76" i="4"/>
  <c r="Q76" i="4"/>
  <c r="P76" i="4"/>
  <c r="O76" i="4"/>
  <c r="M76" i="4"/>
  <c r="L76" i="4"/>
  <c r="B104" i="6" s="1"/>
  <c r="K76" i="4"/>
  <c r="I76" i="4"/>
  <c r="H76" i="4"/>
  <c r="B96" i="5" s="1"/>
  <c r="BY75" i="4"/>
  <c r="BX75" i="4"/>
  <c r="BT75" i="4"/>
  <c r="BQ75" i="4"/>
  <c r="BP75" i="4"/>
  <c r="BM75" i="4"/>
  <c r="B98" i="19" s="1"/>
  <c r="BL75" i="4"/>
  <c r="A98" i="19" s="1"/>
  <c r="BI75" i="4"/>
  <c r="B101" i="16" s="1"/>
  <c r="BH75" i="4"/>
  <c r="A101" i="16" s="1"/>
  <c r="BE75" i="4"/>
  <c r="C120" i="18" s="1"/>
  <c r="BD75" i="4"/>
  <c r="B120" i="18" s="1"/>
  <c r="BA75" i="4"/>
  <c r="B154" i="17" s="1"/>
  <c r="AZ75" i="4"/>
  <c r="A154" i="17" s="1"/>
  <c r="AW75" i="4"/>
  <c r="B121" i="15" s="1"/>
  <c r="AV75" i="4"/>
  <c r="A121" i="15" s="1"/>
  <c r="AS75" i="4"/>
  <c r="AO75" i="4"/>
  <c r="AN75" i="4"/>
  <c r="AK75" i="4"/>
  <c r="AJ75" i="4"/>
  <c r="AG75" i="4"/>
  <c r="AF75" i="4"/>
  <c r="AC75" i="4"/>
  <c r="AB75" i="4"/>
  <c r="Y75" i="4"/>
  <c r="X75" i="4"/>
  <c r="U75" i="4"/>
  <c r="T75" i="4"/>
  <c r="Q75" i="4"/>
  <c r="M75" i="4" s="1"/>
  <c r="C103" i="6" s="1"/>
  <c r="P75" i="4"/>
  <c r="L75" i="4"/>
  <c r="B103" i="6" s="1"/>
  <c r="I75" i="4"/>
  <c r="H75" i="4"/>
  <c r="BX74" i="4"/>
  <c r="BW74" i="4"/>
  <c r="BT74" i="4"/>
  <c r="BS74" i="4"/>
  <c r="BQ74" i="4"/>
  <c r="BP74" i="4"/>
  <c r="BO74" i="4"/>
  <c r="BM74" i="4"/>
  <c r="BL74" i="4"/>
  <c r="A97" i="19" s="1"/>
  <c r="BK74" i="4"/>
  <c r="BI74" i="4"/>
  <c r="AG74" i="4" s="1"/>
  <c r="BH74" i="4"/>
  <c r="A100" i="16" s="1"/>
  <c r="BG74" i="4"/>
  <c r="BE74" i="4"/>
  <c r="C119" i="18" s="1"/>
  <c r="BD74" i="4"/>
  <c r="B119" i="18" s="1"/>
  <c r="BC74" i="4"/>
  <c r="BA74" i="4"/>
  <c r="B153" i="17" s="1"/>
  <c r="AZ74" i="4"/>
  <c r="A153" i="17" s="1"/>
  <c r="AY74" i="4"/>
  <c r="AW74" i="4"/>
  <c r="B120" i="15" s="1"/>
  <c r="AV74" i="4"/>
  <c r="A120" i="15" s="1"/>
  <c r="AU74" i="4"/>
  <c r="AQ74" i="4"/>
  <c r="AN74" i="4"/>
  <c r="AM74" i="4"/>
  <c r="AJ74" i="4"/>
  <c r="AI74" i="4"/>
  <c r="AF74" i="4"/>
  <c r="AE74" i="4"/>
  <c r="AC74" i="4"/>
  <c r="AB74" i="4"/>
  <c r="AA74" i="4"/>
  <c r="Y74" i="4"/>
  <c r="X74" i="4"/>
  <c r="W74" i="4"/>
  <c r="U74" i="4"/>
  <c r="T74" i="4"/>
  <c r="S74" i="4"/>
  <c r="Q74" i="4"/>
  <c r="P74" i="4"/>
  <c r="O74" i="4"/>
  <c r="L74" i="4"/>
  <c r="B102" i="6" s="1"/>
  <c r="K74" i="4"/>
  <c r="I74" i="4"/>
  <c r="H74" i="4"/>
  <c r="B94" i="5" s="1"/>
  <c r="N67" i="4"/>
  <c r="AL65" i="4"/>
  <c r="AK65" i="4"/>
  <c r="AK64" i="4"/>
  <c r="AK63" i="4"/>
  <c r="AM62" i="4"/>
  <c r="AL62" i="4"/>
  <c r="AK62" i="4"/>
  <c r="AK61" i="4"/>
  <c r="P61" i="4"/>
  <c r="W40" i="20" s="1"/>
  <c r="AK60" i="4"/>
  <c r="AK59" i="4"/>
  <c r="AK58" i="4"/>
  <c r="X58" i="4"/>
  <c r="AM57" i="4"/>
  <c r="AK57" i="4"/>
  <c r="AK56" i="4"/>
  <c r="X56" i="4"/>
  <c r="AK55" i="4"/>
  <c r="AK54" i="4"/>
  <c r="AK53" i="4"/>
  <c r="AM52" i="4"/>
  <c r="AK52" i="4"/>
  <c r="Y47" i="4"/>
  <c r="U41" i="4"/>
  <c r="J41" i="4"/>
  <c r="U39" i="4"/>
  <c r="S39" i="4"/>
  <c r="J39" i="4"/>
  <c r="U32" i="4"/>
  <c r="J32" i="4"/>
  <c r="U30" i="4"/>
  <c r="T30" i="4"/>
  <c r="S30" i="4"/>
  <c r="R30" i="4"/>
  <c r="Q30" i="4"/>
  <c r="AM60" i="4" s="1"/>
  <c r="U28" i="4"/>
  <c r="C28" i="4"/>
  <c r="U26" i="4"/>
  <c r="J26" i="4"/>
  <c r="H26" i="4"/>
  <c r="C26" i="4"/>
  <c r="U25" i="4"/>
  <c r="Q25" i="4"/>
  <c r="J25" i="4"/>
  <c r="U24" i="4"/>
  <c r="S24" i="4"/>
  <c r="R24" i="4"/>
  <c r="Q24" i="4"/>
  <c r="J24" i="4"/>
  <c r="U23" i="4"/>
  <c r="S23" i="4"/>
  <c r="R23" i="4"/>
  <c r="Q23" i="4"/>
  <c r="J23" i="4"/>
  <c r="U22" i="4"/>
  <c r="S22" i="4"/>
  <c r="R22" i="4"/>
  <c r="Q22" i="4"/>
  <c r="U19" i="4"/>
  <c r="S19" i="4"/>
  <c r="R19" i="4"/>
  <c r="Q19" i="4"/>
  <c r="AM56" i="4" s="1"/>
  <c r="U17" i="4"/>
  <c r="Q17" i="4"/>
  <c r="U15" i="4"/>
  <c r="Q15" i="4"/>
  <c r="AM55" i="4" s="1"/>
  <c r="U14" i="4"/>
  <c r="S14" i="4"/>
  <c r="R14" i="4"/>
  <c r="Q14" i="4"/>
  <c r="AM54" i="4" s="1"/>
  <c r="U12" i="4"/>
  <c r="S12" i="4"/>
  <c r="R12" i="4"/>
  <c r="H12" i="4"/>
  <c r="U11" i="4"/>
  <c r="S11" i="4"/>
  <c r="R11" i="4"/>
  <c r="Q11" i="4"/>
  <c r="E6" i="4"/>
  <c r="D7" i="6" s="1"/>
  <c r="C6" i="4"/>
  <c r="O5" i="4"/>
  <c r="O6" i="7" s="1"/>
  <c r="K5" i="4"/>
  <c r="J6" i="7" s="1"/>
  <c r="E5" i="4"/>
  <c r="C5" i="4"/>
  <c r="O4" i="4"/>
  <c r="K4" i="4"/>
  <c r="W3" i="4"/>
  <c r="O3" i="4"/>
  <c r="K3" i="4"/>
  <c r="C3" i="4"/>
  <c r="O2" i="4"/>
  <c r="K2" i="4"/>
  <c r="C2" i="4"/>
  <c r="C1" i="4"/>
  <c r="L587" i="3"/>
  <c r="L586" i="3"/>
  <c r="L585" i="3"/>
  <c r="L583" i="3"/>
  <c r="L582" i="3"/>
  <c r="L581" i="3"/>
  <c r="L579" i="3"/>
  <c r="L578" i="3"/>
  <c r="A578" i="3"/>
  <c r="A577" i="3"/>
  <c r="A576" i="3"/>
  <c r="A575" i="3"/>
  <c r="A574" i="3"/>
  <c r="L573" i="3"/>
  <c r="A573" i="3"/>
  <c r="L572" i="3"/>
  <c r="A572" i="3"/>
  <c r="A571" i="3"/>
  <c r="A570" i="3"/>
  <c r="L569" i="3"/>
  <c r="A569" i="3"/>
  <c r="L568" i="3"/>
  <c r="A568" i="3"/>
  <c r="A567" i="3"/>
  <c r="A566" i="3"/>
  <c r="A565" i="3"/>
  <c r="L564" i="3"/>
  <c r="A564" i="3"/>
  <c r="A563" i="3"/>
  <c r="A562" i="3"/>
  <c r="A561" i="3"/>
  <c r="A560" i="3"/>
  <c r="A559" i="3"/>
  <c r="A558" i="3"/>
  <c r="L557" i="3"/>
  <c r="A557" i="3"/>
  <c r="L556" i="3"/>
  <c r="A556" i="3"/>
  <c r="L555" i="3"/>
  <c r="A555" i="3"/>
  <c r="L554" i="3"/>
  <c r="A554" i="3"/>
  <c r="A553" i="3"/>
  <c r="A552" i="3"/>
  <c r="L551" i="3"/>
  <c r="A551" i="3"/>
  <c r="A550" i="3"/>
  <c r="A549" i="3"/>
  <c r="A548" i="3"/>
  <c r="L547" i="3"/>
  <c r="A547" i="3"/>
  <c r="L546" i="3"/>
  <c r="A546" i="3"/>
  <c r="L545" i="3"/>
  <c r="A545" i="3"/>
  <c r="L544" i="3"/>
  <c r="A544" i="3"/>
  <c r="L543" i="3"/>
  <c r="A543" i="3"/>
  <c r="L542" i="3"/>
  <c r="A542" i="3"/>
  <c r="L541" i="3"/>
  <c r="A541" i="3"/>
  <c r="L540" i="3"/>
  <c r="A540" i="3"/>
  <c r="L539" i="3"/>
  <c r="A539" i="3"/>
  <c r="L538" i="3"/>
  <c r="A538" i="3"/>
  <c r="L537" i="3"/>
  <c r="A537" i="3"/>
  <c r="L536" i="3"/>
  <c r="A536" i="3"/>
  <c r="A535" i="3"/>
  <c r="A534" i="3"/>
  <c r="A533" i="3"/>
  <c r="A532" i="3"/>
  <c r="A531" i="3"/>
  <c r="A530" i="3"/>
  <c r="A529" i="3"/>
  <c r="A526" i="3"/>
  <c r="H520" i="3"/>
  <c r="B520" i="3"/>
  <c r="D519" i="3"/>
  <c r="B519" i="3"/>
  <c r="A519" i="3"/>
  <c r="D518" i="3"/>
  <c r="B518" i="3" s="1"/>
  <c r="A518" i="3"/>
  <c r="H517" i="3"/>
  <c r="G517" i="3"/>
  <c r="F517" i="3"/>
  <c r="E517" i="3"/>
  <c r="D517" i="3"/>
  <c r="B517" i="3"/>
  <c r="A517" i="3"/>
  <c r="F516" i="3"/>
  <c r="H516" i="3" s="1"/>
  <c r="E516" i="3"/>
  <c r="G516" i="3" s="1"/>
  <c r="D516" i="3"/>
  <c r="B516" i="3"/>
  <c r="A516" i="3" s="1"/>
  <c r="D515" i="3"/>
  <c r="B515" i="3"/>
  <c r="A515" i="3"/>
  <c r="H514" i="3"/>
  <c r="G514" i="3"/>
  <c r="F514" i="3"/>
  <c r="E514" i="3"/>
  <c r="D514" i="3"/>
  <c r="B514" i="3"/>
  <c r="A514" i="3" s="1"/>
  <c r="D513" i="3"/>
  <c r="F513" i="3" s="1"/>
  <c r="A512" i="3"/>
  <c r="G511" i="3"/>
  <c r="F511" i="3"/>
  <c r="H511" i="3" s="1"/>
  <c r="E511" i="3"/>
  <c r="D511" i="3"/>
  <c r="B511" i="3"/>
  <c r="A511" i="3"/>
  <c r="D510" i="3"/>
  <c r="F509" i="3"/>
  <c r="D509" i="3"/>
  <c r="B509" i="3"/>
  <c r="D508" i="3"/>
  <c r="B508" i="3"/>
  <c r="A508" i="3"/>
  <c r="G507" i="3"/>
  <c r="F507" i="3"/>
  <c r="H507" i="3" s="1"/>
  <c r="E507" i="3"/>
  <c r="D507" i="3"/>
  <c r="B507" i="3"/>
  <c r="A507" i="3" s="1"/>
  <c r="D506" i="3"/>
  <c r="F506" i="3" s="1"/>
  <c r="H506" i="3" s="1"/>
  <c r="B506" i="3"/>
  <c r="A506" i="3" s="1"/>
  <c r="F505" i="3"/>
  <c r="E505" i="3"/>
  <c r="G505" i="3" s="1"/>
  <c r="D505" i="3"/>
  <c r="H505" i="3" s="1"/>
  <c r="B505" i="3"/>
  <c r="A505" i="3"/>
  <c r="D504" i="3"/>
  <c r="H503" i="3"/>
  <c r="G503" i="3"/>
  <c r="F503" i="3"/>
  <c r="E503" i="3"/>
  <c r="D503" i="3"/>
  <c r="B503" i="3"/>
  <c r="A503" i="3"/>
  <c r="D502" i="3"/>
  <c r="F502" i="3" s="1"/>
  <c r="H502" i="3" s="1"/>
  <c r="B502" i="3"/>
  <c r="F501" i="3"/>
  <c r="H501" i="3" s="1"/>
  <c r="E501" i="3"/>
  <c r="G501" i="3" s="1"/>
  <c r="D501" i="3"/>
  <c r="B501" i="3"/>
  <c r="A501" i="3" s="1"/>
  <c r="D500" i="3"/>
  <c r="D499" i="3"/>
  <c r="D498" i="3"/>
  <c r="F498" i="3" s="1"/>
  <c r="B498" i="3"/>
  <c r="A498" i="3" s="1"/>
  <c r="F497" i="3"/>
  <c r="H497" i="3" s="1"/>
  <c r="E497" i="3"/>
  <c r="G497" i="3" s="1"/>
  <c r="D497" i="3"/>
  <c r="B497" i="3" s="1"/>
  <c r="A497" i="3" s="1"/>
  <c r="D496" i="3"/>
  <c r="B496" i="3"/>
  <c r="A496" i="3" s="1"/>
  <c r="D495" i="3"/>
  <c r="F495" i="3" s="1"/>
  <c r="B495" i="3"/>
  <c r="A495" i="3"/>
  <c r="D494" i="3"/>
  <c r="F494" i="3" s="1"/>
  <c r="L493" i="3"/>
  <c r="H493" i="3"/>
  <c r="G493" i="3"/>
  <c r="F493" i="3"/>
  <c r="E493" i="3"/>
  <c r="D493" i="3"/>
  <c r="B493" i="3"/>
  <c r="A493" i="3"/>
  <c r="L491" i="3"/>
  <c r="D482" i="3"/>
  <c r="B482" i="3"/>
  <c r="A482" i="3"/>
  <c r="E481" i="3"/>
  <c r="D481" i="3"/>
  <c r="B481" i="3"/>
  <c r="A481" i="3"/>
  <c r="D480" i="3"/>
  <c r="E480" i="3" s="1"/>
  <c r="B480" i="3"/>
  <c r="A480" i="3" s="1"/>
  <c r="D479" i="3"/>
  <c r="E479" i="3" s="1"/>
  <c r="B479" i="3"/>
  <c r="A479" i="3" s="1"/>
  <c r="D478" i="3"/>
  <c r="E478" i="3" s="1"/>
  <c r="B478" i="3"/>
  <c r="A478" i="3" s="1"/>
  <c r="D477" i="3"/>
  <c r="E477" i="3" s="1"/>
  <c r="B477" i="3"/>
  <c r="A477" i="3"/>
  <c r="D476" i="3"/>
  <c r="E476" i="3" s="1"/>
  <c r="B476" i="3"/>
  <c r="A476" i="3"/>
  <c r="D475" i="3"/>
  <c r="E475" i="3" s="1"/>
  <c r="B475" i="3"/>
  <c r="A475" i="3"/>
  <c r="E474" i="3"/>
  <c r="D474" i="3"/>
  <c r="B474" i="3"/>
  <c r="A474" i="3"/>
  <c r="D473" i="3"/>
  <c r="E473" i="3" s="1"/>
  <c r="B473" i="3"/>
  <c r="A473" i="3"/>
  <c r="E472" i="3"/>
  <c r="D472" i="3"/>
  <c r="B472" i="3"/>
  <c r="A472" i="3"/>
  <c r="D471" i="3"/>
  <c r="E471" i="3" s="1"/>
  <c r="B471" i="3"/>
  <c r="A471" i="3"/>
  <c r="D470" i="3"/>
  <c r="E470" i="3" s="1"/>
  <c r="B470" i="3"/>
  <c r="A470" i="3"/>
  <c r="D469" i="3"/>
  <c r="E469" i="3" s="1"/>
  <c r="B469" i="3"/>
  <c r="A469" i="3"/>
  <c r="D468" i="3"/>
  <c r="E468" i="3" s="1"/>
  <c r="B468" i="3"/>
  <c r="A468" i="3" s="1"/>
  <c r="D467" i="3"/>
  <c r="E467" i="3" s="1"/>
  <c r="B467" i="3"/>
  <c r="A467" i="3"/>
  <c r="D466" i="3"/>
  <c r="E466" i="3" s="1"/>
  <c r="B466" i="3"/>
  <c r="A466" i="3" s="1"/>
  <c r="E465" i="3"/>
  <c r="D465" i="3"/>
  <c r="B465" i="3"/>
  <c r="A465" i="3"/>
  <c r="L464" i="3"/>
  <c r="D464" i="3"/>
  <c r="E464" i="3" s="1"/>
  <c r="B464" i="3"/>
  <c r="A464" i="3"/>
  <c r="L463" i="3"/>
  <c r="D463" i="3"/>
  <c r="E463" i="3" s="1"/>
  <c r="B463" i="3"/>
  <c r="A463" i="3"/>
  <c r="A487" i="3" s="1"/>
  <c r="L462" i="3"/>
  <c r="D462" i="3"/>
  <c r="B462" i="3"/>
  <c r="A462" i="3"/>
  <c r="L461" i="3"/>
  <c r="D461" i="3"/>
  <c r="E461" i="3" s="1"/>
  <c r="B461" i="3"/>
  <c r="A461" i="3"/>
  <c r="L460" i="3"/>
  <c r="D460" i="3"/>
  <c r="E460" i="3" s="1"/>
  <c r="B460" i="3"/>
  <c r="A460" i="3" s="1"/>
  <c r="L459" i="3"/>
  <c r="A459" i="3"/>
  <c r="L458" i="3"/>
  <c r="L456" i="3"/>
  <c r="L455" i="3"/>
  <c r="L454" i="3"/>
  <c r="L453" i="3"/>
  <c r="L452" i="3"/>
  <c r="D449" i="3"/>
  <c r="E449" i="3" s="1"/>
  <c r="C449" i="3"/>
  <c r="A449" i="3"/>
  <c r="D448" i="3"/>
  <c r="E448" i="3" s="1"/>
  <c r="C448" i="3"/>
  <c r="A448" i="3"/>
  <c r="D447" i="3"/>
  <c r="E447" i="3" s="1"/>
  <c r="C447" i="3"/>
  <c r="A447" i="3"/>
  <c r="D446" i="3"/>
  <c r="E446" i="3" s="1"/>
  <c r="C446" i="3"/>
  <c r="A446" i="3"/>
  <c r="D445" i="3"/>
  <c r="E445" i="3" s="1"/>
  <c r="C445" i="3"/>
  <c r="A445" i="3"/>
  <c r="D444" i="3"/>
  <c r="E444" i="3" s="1"/>
  <c r="C444" i="3"/>
  <c r="A444" i="3"/>
  <c r="E443" i="3"/>
  <c r="D443" i="3"/>
  <c r="C443" i="3"/>
  <c r="B443" i="3"/>
  <c r="A443" i="3"/>
  <c r="L442" i="3"/>
  <c r="D442" i="3"/>
  <c r="E442" i="3" s="1"/>
  <c r="C442" i="3"/>
  <c r="B442" i="3"/>
  <c r="A442" i="3" s="1"/>
  <c r="L441" i="3"/>
  <c r="D441" i="3"/>
  <c r="E441" i="3" s="1"/>
  <c r="C441" i="3"/>
  <c r="B441" i="3"/>
  <c r="A441" i="3"/>
  <c r="L440" i="3"/>
  <c r="D440" i="3"/>
  <c r="E440" i="3" s="1"/>
  <c r="C440" i="3"/>
  <c r="B440" i="3"/>
  <c r="A440" i="3"/>
  <c r="L439" i="3"/>
  <c r="D439" i="3"/>
  <c r="E439" i="3" s="1"/>
  <c r="C439" i="3"/>
  <c r="B439" i="3"/>
  <c r="A439" i="3"/>
  <c r="L438" i="3"/>
  <c r="D438" i="3"/>
  <c r="E438" i="3" s="1"/>
  <c r="C438" i="3"/>
  <c r="B438" i="3"/>
  <c r="A438" i="3" s="1"/>
  <c r="L437" i="3"/>
  <c r="D437" i="3"/>
  <c r="E437" i="3" s="1"/>
  <c r="C437" i="3"/>
  <c r="B437" i="3"/>
  <c r="A437" i="3" s="1"/>
  <c r="L436" i="3"/>
  <c r="D436" i="3"/>
  <c r="E436" i="3" s="1"/>
  <c r="C436" i="3"/>
  <c r="B436" i="3"/>
  <c r="A436" i="3"/>
  <c r="L435" i="3"/>
  <c r="D435" i="3"/>
  <c r="E435" i="3" s="1"/>
  <c r="C435" i="3"/>
  <c r="B435" i="3"/>
  <c r="A435" i="3" s="1"/>
  <c r="L434" i="3"/>
  <c r="D434" i="3"/>
  <c r="E434" i="3" s="1"/>
  <c r="C434" i="3"/>
  <c r="B434" i="3"/>
  <c r="A434" i="3" s="1"/>
  <c r="L433" i="3"/>
  <c r="E433" i="3"/>
  <c r="D433" i="3"/>
  <c r="C433" i="3"/>
  <c r="B433" i="3"/>
  <c r="A433" i="3" s="1"/>
  <c r="D432" i="3"/>
  <c r="E432" i="3" s="1"/>
  <c r="C432" i="3"/>
  <c r="B432" i="3"/>
  <c r="A432" i="3" s="1"/>
  <c r="E431" i="3"/>
  <c r="D431" i="3"/>
  <c r="C431" i="3"/>
  <c r="B431" i="3"/>
  <c r="A431" i="3"/>
  <c r="D430" i="3"/>
  <c r="E430" i="3" s="1"/>
  <c r="C430" i="3"/>
  <c r="B430" i="3"/>
  <c r="A430" i="3"/>
  <c r="L429" i="3"/>
  <c r="E429" i="3"/>
  <c r="D429" i="3"/>
  <c r="C429" i="3"/>
  <c r="B429" i="3"/>
  <c r="A429" i="3"/>
  <c r="L428" i="3"/>
  <c r="E428" i="3"/>
  <c r="D428" i="3"/>
  <c r="C428" i="3"/>
  <c r="B428" i="3"/>
  <c r="A428" i="3" s="1"/>
  <c r="D427" i="3"/>
  <c r="E427" i="3" s="1"/>
  <c r="C427" i="3"/>
  <c r="B427" i="3"/>
  <c r="A427" i="3" s="1"/>
  <c r="D426" i="3"/>
  <c r="E426" i="3" s="1"/>
  <c r="C426" i="3"/>
  <c r="B426" i="3"/>
  <c r="A426" i="3"/>
  <c r="D425" i="3"/>
  <c r="E425" i="3" s="1"/>
  <c r="C425" i="3"/>
  <c r="B425" i="3"/>
  <c r="A425" i="3"/>
  <c r="L424" i="3"/>
  <c r="L423" i="3"/>
  <c r="L420" i="3"/>
  <c r="L419" i="3"/>
  <c r="L418" i="3"/>
  <c r="L417" i="3"/>
  <c r="L416" i="3"/>
  <c r="L415" i="3"/>
  <c r="L414" i="3"/>
  <c r="E414" i="3"/>
  <c r="D414" i="3"/>
  <c r="C414" i="3"/>
  <c r="L413" i="3"/>
  <c r="D413" i="3"/>
  <c r="E413" i="3" s="1"/>
  <c r="C413" i="3"/>
  <c r="B413" i="3"/>
  <c r="A413" i="3" s="1"/>
  <c r="L412" i="3"/>
  <c r="D412" i="3"/>
  <c r="E412" i="3" s="1"/>
  <c r="C412" i="3"/>
  <c r="B412" i="3"/>
  <c r="A412" i="3" s="1"/>
  <c r="L411" i="3"/>
  <c r="D411" i="3"/>
  <c r="E411" i="3" s="1"/>
  <c r="C411" i="3"/>
  <c r="B411" i="3"/>
  <c r="A411" i="3" s="1"/>
  <c r="D410" i="3"/>
  <c r="E410" i="3" s="1"/>
  <c r="C410" i="3"/>
  <c r="B410" i="3"/>
  <c r="A410" i="3" s="1"/>
  <c r="L409" i="3"/>
  <c r="E409" i="3"/>
  <c r="D409" i="3"/>
  <c r="C409" i="3"/>
  <c r="B409" i="3"/>
  <c r="A409" i="3"/>
  <c r="L408" i="3"/>
  <c r="D408" i="3"/>
  <c r="E408" i="3" s="1"/>
  <c r="C408" i="3"/>
  <c r="B408" i="3"/>
  <c r="A408" i="3"/>
  <c r="L407" i="3"/>
  <c r="E407" i="3"/>
  <c r="D407" i="3"/>
  <c r="C407" i="3"/>
  <c r="B407" i="3"/>
  <c r="A407" i="3"/>
  <c r="L406" i="3"/>
  <c r="E406" i="3"/>
  <c r="D406" i="3"/>
  <c r="C406" i="3"/>
  <c r="B406" i="3"/>
  <c r="A406" i="3" s="1"/>
  <c r="L405" i="3"/>
  <c r="D405" i="3"/>
  <c r="E405" i="3" s="1"/>
  <c r="C405" i="3"/>
  <c r="B405" i="3"/>
  <c r="A405" i="3" s="1"/>
  <c r="E404" i="3"/>
  <c r="D404" i="3"/>
  <c r="C404" i="3"/>
  <c r="B404" i="3"/>
  <c r="A404" i="3" s="1"/>
  <c r="L403" i="3"/>
  <c r="D403" i="3"/>
  <c r="E403" i="3" s="1"/>
  <c r="C403" i="3"/>
  <c r="B403" i="3"/>
  <c r="A403" i="3"/>
  <c r="L402" i="3"/>
  <c r="E402" i="3"/>
  <c r="D402" i="3"/>
  <c r="C402" i="3"/>
  <c r="B402" i="3"/>
  <c r="A402" i="3"/>
  <c r="L401" i="3"/>
  <c r="D401" i="3"/>
  <c r="E401" i="3" s="1"/>
  <c r="C401" i="3"/>
  <c r="B401" i="3"/>
  <c r="A401" i="3" s="1"/>
  <c r="L400" i="3"/>
  <c r="D400" i="3"/>
  <c r="E400" i="3" s="1"/>
  <c r="C400" i="3"/>
  <c r="B400" i="3"/>
  <c r="A400" i="3"/>
  <c r="L399" i="3"/>
  <c r="E399" i="3"/>
  <c r="D399" i="3"/>
  <c r="C399" i="3"/>
  <c r="B399" i="3"/>
  <c r="A399" i="3"/>
  <c r="L398" i="3"/>
  <c r="D398" i="3"/>
  <c r="E398" i="3" s="1"/>
  <c r="C398" i="3"/>
  <c r="B398" i="3"/>
  <c r="A398" i="3" s="1"/>
  <c r="L397" i="3"/>
  <c r="D397" i="3"/>
  <c r="E397" i="3" s="1"/>
  <c r="C397" i="3"/>
  <c r="B397" i="3"/>
  <c r="A397" i="3" s="1"/>
  <c r="L396" i="3"/>
  <c r="D396" i="3"/>
  <c r="E396" i="3" s="1"/>
  <c r="C396" i="3"/>
  <c r="B396" i="3"/>
  <c r="A396" i="3"/>
  <c r="L395" i="3"/>
  <c r="D395" i="3"/>
  <c r="E395" i="3" s="1"/>
  <c r="C395" i="3"/>
  <c r="B395" i="3"/>
  <c r="A395" i="3" s="1"/>
  <c r="L394" i="3"/>
  <c r="D394" i="3"/>
  <c r="E394" i="3" s="1"/>
  <c r="C394" i="3"/>
  <c r="B394" i="3"/>
  <c r="A394" i="3"/>
  <c r="L393" i="3"/>
  <c r="D393" i="3"/>
  <c r="E393" i="3" s="1"/>
  <c r="C393" i="3"/>
  <c r="B393" i="3"/>
  <c r="A393" i="3"/>
  <c r="L392" i="3"/>
  <c r="D392" i="3"/>
  <c r="E392" i="3" s="1"/>
  <c r="C392" i="3"/>
  <c r="B392" i="3"/>
  <c r="A392" i="3"/>
  <c r="L391" i="3"/>
  <c r="D391" i="3"/>
  <c r="E391" i="3" s="1"/>
  <c r="C391" i="3"/>
  <c r="B391" i="3"/>
  <c r="A391" i="3"/>
  <c r="L390" i="3"/>
  <c r="E390" i="3"/>
  <c r="D390" i="3"/>
  <c r="C390" i="3"/>
  <c r="B390" i="3"/>
  <c r="A390" i="3"/>
  <c r="L389" i="3"/>
  <c r="D389" i="3"/>
  <c r="E389" i="3" s="1"/>
  <c r="C389" i="3"/>
  <c r="B389" i="3"/>
  <c r="A389" i="3"/>
  <c r="L388" i="3"/>
  <c r="E388" i="3"/>
  <c r="D388" i="3"/>
  <c r="C388" i="3"/>
  <c r="B388" i="3"/>
  <c r="A388" i="3" s="1"/>
  <c r="L387" i="3"/>
  <c r="D387" i="3"/>
  <c r="E387" i="3" s="1"/>
  <c r="C387" i="3"/>
  <c r="B387" i="3"/>
  <c r="A387" i="3"/>
  <c r="L386" i="3"/>
  <c r="D386" i="3"/>
  <c r="E386" i="3" s="1"/>
  <c r="C386" i="3"/>
  <c r="B386" i="3"/>
  <c r="A386" i="3"/>
  <c r="L385" i="3"/>
  <c r="D385" i="3"/>
  <c r="E385" i="3" s="1"/>
  <c r="C385" i="3"/>
  <c r="B385" i="3"/>
  <c r="A385" i="3" s="1"/>
  <c r="L384" i="3"/>
  <c r="E384" i="3"/>
  <c r="D384" i="3"/>
  <c r="C384" i="3"/>
  <c r="B384" i="3"/>
  <c r="A384" i="3"/>
  <c r="L383" i="3"/>
  <c r="E383" i="3"/>
  <c r="D383" i="3"/>
  <c r="C383" i="3"/>
  <c r="B383" i="3"/>
  <c r="A383" i="3"/>
  <c r="L382" i="3"/>
  <c r="D382" i="3"/>
  <c r="E382" i="3" s="1"/>
  <c r="B382" i="3"/>
  <c r="A382" i="3"/>
  <c r="L381" i="3"/>
  <c r="L380" i="3"/>
  <c r="L379" i="3"/>
  <c r="L378" i="3"/>
  <c r="L377" i="3"/>
  <c r="L376" i="3"/>
  <c r="L373" i="3"/>
  <c r="L372" i="3"/>
  <c r="L371" i="3"/>
  <c r="D371" i="3"/>
  <c r="E371" i="3" s="1"/>
  <c r="C371" i="3"/>
  <c r="B371" i="3"/>
  <c r="A371" i="3" s="1"/>
  <c r="L370" i="3"/>
  <c r="E370" i="3"/>
  <c r="D370" i="3"/>
  <c r="C370" i="3"/>
  <c r="B370" i="3"/>
  <c r="A370" i="3"/>
  <c r="D369" i="3"/>
  <c r="E369" i="3" s="1"/>
  <c r="C369" i="3"/>
  <c r="B369" i="3"/>
  <c r="A369" i="3"/>
  <c r="D368" i="3"/>
  <c r="E368" i="3" s="1"/>
  <c r="C368" i="3"/>
  <c r="B368" i="3"/>
  <c r="A368" i="3" s="1"/>
  <c r="L367" i="3"/>
  <c r="D367" i="3"/>
  <c r="E367" i="3" s="1"/>
  <c r="C367" i="3"/>
  <c r="B367" i="3"/>
  <c r="A367" i="3"/>
  <c r="L366" i="3"/>
  <c r="E366" i="3"/>
  <c r="D366" i="3"/>
  <c r="C366" i="3"/>
  <c r="B366" i="3"/>
  <c r="A366" i="3"/>
  <c r="L365" i="3"/>
  <c r="D365" i="3"/>
  <c r="E365" i="3" s="1"/>
  <c r="C365" i="3"/>
  <c r="B365" i="3"/>
  <c r="A365" i="3"/>
  <c r="D364" i="3"/>
  <c r="E364" i="3" s="1"/>
  <c r="C364" i="3"/>
  <c r="B364" i="3"/>
  <c r="A364" i="3" s="1"/>
  <c r="D363" i="3"/>
  <c r="E363" i="3" s="1"/>
  <c r="C363" i="3"/>
  <c r="B363" i="3"/>
  <c r="A363" i="3"/>
  <c r="D362" i="3"/>
  <c r="E362" i="3" s="1"/>
  <c r="C362" i="3"/>
  <c r="B362" i="3"/>
  <c r="A362" i="3"/>
  <c r="L361" i="3"/>
  <c r="E361" i="3"/>
  <c r="D361" i="3"/>
  <c r="C361" i="3"/>
  <c r="B361" i="3"/>
  <c r="A361" i="3"/>
  <c r="L360" i="3"/>
  <c r="D360" i="3"/>
  <c r="E360" i="3" s="1"/>
  <c r="C360" i="3"/>
  <c r="B360" i="3"/>
  <c r="A360" i="3"/>
  <c r="L359" i="3"/>
  <c r="E359" i="3"/>
  <c r="D359" i="3"/>
  <c r="C359" i="3"/>
  <c r="B359" i="3"/>
  <c r="A359" i="3" s="1"/>
  <c r="D358" i="3"/>
  <c r="E358" i="3" s="1"/>
  <c r="C358" i="3"/>
  <c r="B358" i="3"/>
  <c r="A358" i="3"/>
  <c r="D357" i="3"/>
  <c r="E357" i="3" s="1"/>
  <c r="C357" i="3"/>
  <c r="B357" i="3"/>
  <c r="A357" i="3"/>
  <c r="D356" i="3"/>
  <c r="E356" i="3" s="1"/>
  <c r="C356" i="3"/>
  <c r="B356" i="3"/>
  <c r="A356" i="3"/>
  <c r="L355" i="3"/>
  <c r="E355" i="3"/>
  <c r="D355" i="3"/>
  <c r="C355" i="3"/>
  <c r="B355" i="3"/>
  <c r="A355" i="3"/>
  <c r="L354" i="3"/>
  <c r="D354" i="3"/>
  <c r="E354" i="3" s="1"/>
  <c r="C354" i="3"/>
  <c r="B354" i="3"/>
  <c r="A354" i="3" s="1"/>
  <c r="L353" i="3"/>
  <c r="D353" i="3"/>
  <c r="E353" i="3" s="1"/>
  <c r="C353" i="3"/>
  <c r="B353" i="3"/>
  <c r="A353" i="3"/>
  <c r="D352" i="3"/>
  <c r="E352" i="3" s="1"/>
  <c r="C352" i="3"/>
  <c r="B352" i="3"/>
  <c r="A352" i="3"/>
  <c r="L351" i="3"/>
  <c r="D351" i="3"/>
  <c r="E351" i="3" s="1"/>
  <c r="C351" i="3"/>
  <c r="B351" i="3"/>
  <c r="A351" i="3"/>
  <c r="L350" i="3"/>
  <c r="E350" i="3"/>
  <c r="D350" i="3"/>
  <c r="C350" i="3"/>
  <c r="B350" i="3"/>
  <c r="A350" i="3" s="1"/>
  <c r="L349" i="3"/>
  <c r="E349" i="3"/>
  <c r="D349" i="3"/>
  <c r="C349" i="3"/>
  <c r="B349" i="3"/>
  <c r="A349" i="3"/>
  <c r="D348" i="3"/>
  <c r="E348" i="3" s="1"/>
  <c r="C348" i="3"/>
  <c r="B348" i="3"/>
  <c r="A348" i="3" s="1"/>
  <c r="D347" i="3"/>
  <c r="E347" i="3" s="1"/>
  <c r="C347" i="3"/>
  <c r="B347" i="3"/>
  <c r="A347" i="3"/>
  <c r="L346" i="3"/>
  <c r="D346" i="3"/>
  <c r="E346" i="3" s="1"/>
  <c r="C346" i="3"/>
  <c r="B346" i="3"/>
  <c r="A346" i="3"/>
  <c r="L345" i="3"/>
  <c r="E345" i="3"/>
  <c r="D345" i="3"/>
  <c r="C345" i="3"/>
  <c r="B345" i="3"/>
  <c r="A345" i="3"/>
  <c r="L344" i="3"/>
  <c r="D344" i="3"/>
  <c r="E344" i="3" s="1"/>
  <c r="C344" i="3"/>
  <c r="B344" i="3"/>
  <c r="A344" i="3" s="1"/>
  <c r="L343" i="3"/>
  <c r="D343" i="3"/>
  <c r="E343" i="3" s="1"/>
  <c r="C343" i="3"/>
  <c r="B343" i="3"/>
  <c r="A343" i="3"/>
  <c r="L342" i="3"/>
  <c r="E342" i="3"/>
  <c r="D342" i="3"/>
  <c r="C342" i="3"/>
  <c r="B342" i="3"/>
  <c r="A342" i="3" s="1"/>
  <c r="L341" i="3"/>
  <c r="D341" i="3"/>
  <c r="E341" i="3" s="1"/>
  <c r="C341" i="3"/>
  <c r="B341" i="3"/>
  <c r="A341" i="3"/>
  <c r="L340" i="3"/>
  <c r="D340" i="3"/>
  <c r="E340" i="3" s="1"/>
  <c r="C340" i="3"/>
  <c r="B340" i="3"/>
  <c r="A340" i="3" s="1"/>
  <c r="E339" i="3"/>
  <c r="D339" i="3"/>
  <c r="C339" i="3"/>
  <c r="B339" i="3"/>
  <c r="A339" i="3"/>
  <c r="D338" i="3"/>
  <c r="E338" i="3" s="1"/>
  <c r="C338" i="3"/>
  <c r="B338" i="3"/>
  <c r="A338" i="3" s="1"/>
  <c r="D337" i="3"/>
  <c r="E337" i="3" s="1"/>
  <c r="C337" i="3"/>
  <c r="B337" i="3"/>
  <c r="A337" i="3" s="1"/>
  <c r="E336" i="3"/>
  <c r="D336" i="3"/>
  <c r="C336" i="3"/>
  <c r="B336" i="3"/>
  <c r="A336" i="3" s="1"/>
  <c r="D335" i="3"/>
  <c r="E335" i="3" s="1"/>
  <c r="C335" i="3"/>
  <c r="B335" i="3"/>
  <c r="A335" i="3"/>
  <c r="D334" i="3"/>
  <c r="E334" i="3" s="1"/>
  <c r="C334" i="3"/>
  <c r="B334" i="3"/>
  <c r="A334" i="3" s="1"/>
  <c r="D333" i="3"/>
  <c r="E333" i="3" s="1"/>
  <c r="C333" i="3"/>
  <c r="B333" i="3"/>
  <c r="A333" i="3"/>
  <c r="L332" i="3"/>
  <c r="D332" i="3"/>
  <c r="E332" i="3" s="1"/>
  <c r="C332" i="3"/>
  <c r="B332" i="3"/>
  <c r="A332" i="3"/>
  <c r="L322" i="3"/>
  <c r="E321" i="3"/>
  <c r="D321" i="3"/>
  <c r="B321" i="3"/>
  <c r="A321" i="3"/>
  <c r="E320" i="3"/>
  <c r="D320" i="3"/>
  <c r="B320" i="3"/>
  <c r="A320" i="3"/>
  <c r="D319" i="3"/>
  <c r="E319" i="3" s="1"/>
  <c r="B319" i="3"/>
  <c r="A319" i="3"/>
  <c r="D318" i="3"/>
  <c r="E318" i="3" s="1"/>
  <c r="B318" i="3"/>
  <c r="A318" i="3" s="1"/>
  <c r="L317" i="3"/>
  <c r="D317" i="3"/>
  <c r="E317" i="3" s="1"/>
  <c r="B317" i="3"/>
  <c r="A317" i="3"/>
  <c r="D316" i="3"/>
  <c r="E316" i="3" s="1"/>
  <c r="B316" i="3"/>
  <c r="A316" i="3" s="1"/>
  <c r="E315" i="3"/>
  <c r="D315" i="3"/>
  <c r="B315" i="3"/>
  <c r="A315" i="3"/>
  <c r="D314" i="3"/>
  <c r="E314" i="3" s="1"/>
  <c r="B314" i="3"/>
  <c r="A314" i="3" s="1"/>
  <c r="D313" i="3"/>
  <c r="E313" i="3" s="1"/>
  <c r="B313" i="3"/>
  <c r="A313" i="3"/>
  <c r="L312" i="3"/>
  <c r="D312" i="3"/>
  <c r="E312" i="3" s="1"/>
  <c r="B312" i="3"/>
  <c r="A312" i="3"/>
  <c r="D311" i="3"/>
  <c r="E311" i="3" s="1"/>
  <c r="B311" i="3"/>
  <c r="A311" i="3"/>
  <c r="E310" i="3"/>
  <c r="D310" i="3"/>
  <c r="B310" i="3"/>
  <c r="A310" i="3"/>
  <c r="E309" i="3"/>
  <c r="D309" i="3"/>
  <c r="B309" i="3"/>
  <c r="A309" i="3"/>
  <c r="L308" i="3"/>
  <c r="E308" i="3"/>
  <c r="D308" i="3"/>
  <c r="B308" i="3"/>
  <c r="A308" i="3" s="1"/>
  <c r="D307" i="3"/>
  <c r="E307" i="3" s="1"/>
  <c r="B307" i="3"/>
  <c r="A307" i="3"/>
  <c r="D306" i="3"/>
  <c r="E306" i="3" s="1"/>
  <c r="B306" i="3"/>
  <c r="A306" i="3"/>
  <c r="D305" i="3"/>
  <c r="E305" i="3" s="1"/>
  <c r="B305" i="3"/>
  <c r="A305" i="3"/>
  <c r="D304" i="3"/>
  <c r="E304" i="3" s="1"/>
  <c r="B304" i="3"/>
  <c r="A304" i="3" s="1"/>
  <c r="L303" i="3"/>
  <c r="D303" i="3"/>
  <c r="E303" i="3" s="1"/>
  <c r="B303" i="3"/>
  <c r="A303" i="3" s="1"/>
  <c r="D302" i="3"/>
  <c r="E302" i="3" s="1"/>
  <c r="B302" i="3"/>
  <c r="A302" i="3" s="1"/>
  <c r="D301" i="3"/>
  <c r="E301" i="3" s="1"/>
  <c r="B301" i="3"/>
  <c r="A301" i="3"/>
  <c r="D300" i="3"/>
  <c r="E300" i="3" s="1"/>
  <c r="B300" i="3"/>
  <c r="A300" i="3"/>
  <c r="D299" i="3"/>
  <c r="E299" i="3" s="1"/>
  <c r="B299" i="3"/>
  <c r="A299" i="3"/>
  <c r="L298" i="3"/>
  <c r="D298" i="3"/>
  <c r="E298" i="3" s="1"/>
  <c r="B298" i="3"/>
  <c r="A298" i="3"/>
  <c r="L297" i="3"/>
  <c r="D297" i="3"/>
  <c r="B297" i="3"/>
  <c r="A297" i="3" s="1"/>
  <c r="L296" i="3"/>
  <c r="D296" i="3"/>
  <c r="B296" i="3"/>
  <c r="A296" i="3" s="1"/>
  <c r="L294" i="3"/>
  <c r="L293" i="3"/>
  <c r="L292" i="3"/>
  <c r="L291" i="3"/>
  <c r="L290" i="3"/>
  <c r="L289" i="3"/>
  <c r="L285" i="3"/>
  <c r="D285" i="3"/>
  <c r="E285" i="3" s="1"/>
  <c r="B285" i="3"/>
  <c r="A285" i="3"/>
  <c r="D284" i="3"/>
  <c r="E284" i="3" s="1"/>
  <c r="B284" i="3"/>
  <c r="A284" i="3"/>
  <c r="D283" i="3"/>
  <c r="E283" i="3" s="1"/>
  <c r="B283" i="3"/>
  <c r="A283" i="3"/>
  <c r="E282" i="3"/>
  <c r="D282" i="3"/>
  <c r="B282" i="3" s="1"/>
  <c r="A282" i="3"/>
  <c r="D281" i="3"/>
  <c r="B281" i="3" s="1"/>
  <c r="A281" i="3" s="1"/>
  <c r="D280" i="3"/>
  <c r="E280" i="3" s="1"/>
  <c r="B280" i="3"/>
  <c r="A280" i="3" s="1"/>
  <c r="L279" i="3"/>
  <c r="D279" i="3"/>
  <c r="E279" i="3" s="1"/>
  <c r="B279" i="3"/>
  <c r="A279" i="3" s="1"/>
  <c r="D278" i="3"/>
  <c r="E278" i="3" s="1"/>
  <c r="B278" i="3"/>
  <c r="A278" i="3" s="1"/>
  <c r="D277" i="3"/>
  <c r="E277" i="3" s="1"/>
  <c r="B277" i="3"/>
  <c r="A277" i="3"/>
  <c r="K276" i="3"/>
  <c r="E276" i="3"/>
  <c r="D276" i="3"/>
  <c r="B276" i="3"/>
  <c r="A276" i="3"/>
  <c r="E275" i="3"/>
  <c r="D275" i="3"/>
  <c r="B275" i="3"/>
  <c r="A275" i="3"/>
  <c r="D274" i="3"/>
  <c r="E274" i="3" s="1"/>
  <c r="B274" i="3"/>
  <c r="A274" i="3"/>
  <c r="D273" i="3"/>
  <c r="E273" i="3" s="1"/>
  <c r="B273" i="3"/>
  <c r="A273" i="3"/>
  <c r="E272" i="3"/>
  <c r="D272" i="3"/>
  <c r="B272" i="3"/>
  <c r="A272" i="3" s="1"/>
  <c r="L271" i="3"/>
  <c r="E271" i="3"/>
  <c r="D271" i="3"/>
  <c r="B271" i="3"/>
  <c r="A271" i="3"/>
  <c r="E270" i="3"/>
  <c r="D270" i="3"/>
  <c r="B270" i="3"/>
  <c r="A270" i="3"/>
  <c r="L269" i="3"/>
  <c r="E269" i="3"/>
  <c r="D269" i="3"/>
  <c r="B269" i="3"/>
  <c r="A269" i="3"/>
  <c r="D268" i="3"/>
  <c r="E268" i="3" s="1"/>
  <c r="D267" i="3"/>
  <c r="B267" i="3" s="1"/>
  <c r="A267" i="3" s="1"/>
  <c r="D266" i="3"/>
  <c r="B266" i="3" s="1"/>
  <c r="A266" i="3" s="1"/>
  <c r="D265" i="3"/>
  <c r="B265" i="3"/>
  <c r="A265" i="3"/>
  <c r="K264" i="3"/>
  <c r="D264" i="3"/>
  <c r="B264" i="3" s="1"/>
  <c r="A264" i="3" s="1"/>
  <c r="D263" i="3"/>
  <c r="B263" i="3" s="1"/>
  <c r="A263" i="3" s="1"/>
  <c r="D262" i="3"/>
  <c r="B262" i="3"/>
  <c r="A262" i="3" s="1"/>
  <c r="L261" i="3"/>
  <c r="D261" i="3"/>
  <c r="B261" i="3"/>
  <c r="A261" i="3" s="1"/>
  <c r="L260" i="3"/>
  <c r="D260" i="3"/>
  <c r="B260" i="3"/>
  <c r="A260" i="3"/>
  <c r="L259" i="3"/>
  <c r="L255" i="3"/>
  <c r="L254" i="3"/>
  <c r="L253" i="3"/>
  <c r="L252" i="3"/>
  <c r="L250" i="3"/>
  <c r="D249" i="3"/>
  <c r="C249" i="3"/>
  <c r="B249" i="3"/>
  <c r="A249" i="3"/>
  <c r="D248" i="3"/>
  <c r="C248" i="3"/>
  <c r="B248" i="3"/>
  <c r="A248" i="3"/>
  <c r="D247" i="3"/>
  <c r="C247" i="3"/>
  <c r="B247" i="3"/>
  <c r="A247" i="3"/>
  <c r="D246" i="3"/>
  <c r="C246" i="3"/>
  <c r="B246" i="3"/>
  <c r="A246" i="3"/>
  <c r="D245" i="3"/>
  <c r="C245" i="3"/>
  <c r="B245" i="3"/>
  <c r="A245" i="3" s="1"/>
  <c r="D244" i="3"/>
  <c r="C244" i="3"/>
  <c r="B244" i="3"/>
  <c r="A244" i="3" s="1"/>
  <c r="D243" i="3"/>
  <c r="C243" i="3"/>
  <c r="B243" i="3"/>
  <c r="A243" i="3"/>
  <c r="D242" i="3"/>
  <c r="C242" i="3"/>
  <c r="B242" i="3"/>
  <c r="A242" i="3"/>
  <c r="D241" i="3"/>
  <c r="C241" i="3"/>
  <c r="B241" i="3"/>
  <c r="A241" i="3"/>
  <c r="D240" i="3"/>
  <c r="C240" i="3"/>
  <c r="B240" i="3"/>
  <c r="A240" i="3"/>
  <c r="D239" i="3"/>
  <c r="C239" i="3"/>
  <c r="B239" i="3"/>
  <c r="A239" i="3"/>
  <c r="D238" i="3"/>
  <c r="C238" i="3"/>
  <c r="B238" i="3"/>
  <c r="A238" i="3"/>
  <c r="D237" i="3"/>
  <c r="C237" i="3"/>
  <c r="B237" i="3"/>
  <c r="A237" i="3" s="1"/>
  <c r="D236" i="3"/>
  <c r="C236" i="3"/>
  <c r="B236" i="3"/>
  <c r="A236" i="3" s="1"/>
  <c r="D235" i="3"/>
  <c r="C235" i="3"/>
  <c r="B235" i="3"/>
  <c r="A235" i="3"/>
  <c r="D234" i="3"/>
  <c r="C234" i="3"/>
  <c r="B234" i="3"/>
  <c r="A234" i="3"/>
  <c r="D233" i="3"/>
  <c r="C233" i="3"/>
  <c r="B233" i="3"/>
  <c r="A233" i="3"/>
  <c r="D232" i="3"/>
  <c r="C232" i="3"/>
  <c r="B232" i="3"/>
  <c r="A232" i="3"/>
  <c r="D231" i="3"/>
  <c r="C231" i="3"/>
  <c r="B231" i="3"/>
  <c r="A231" i="3"/>
  <c r="D230" i="3"/>
  <c r="C230" i="3"/>
  <c r="B230" i="3"/>
  <c r="A230" i="3"/>
  <c r="D229" i="3"/>
  <c r="C229" i="3"/>
  <c r="B229" i="3"/>
  <c r="A229" i="3" s="1"/>
  <c r="D228" i="3"/>
  <c r="C228" i="3"/>
  <c r="B228" i="3"/>
  <c r="A228" i="3" s="1"/>
  <c r="D227" i="3"/>
  <c r="C227" i="3"/>
  <c r="B227" i="3"/>
  <c r="A227" i="3"/>
  <c r="D226" i="3"/>
  <c r="C226" i="3"/>
  <c r="B226" i="3"/>
  <c r="A226" i="3"/>
  <c r="D225" i="3"/>
  <c r="C225" i="3"/>
  <c r="B225" i="3"/>
  <c r="A225" i="3"/>
  <c r="D224" i="3"/>
  <c r="C224" i="3"/>
  <c r="B224" i="3"/>
  <c r="A224" i="3"/>
  <c r="D223" i="3"/>
  <c r="C223" i="3"/>
  <c r="B223" i="3"/>
  <c r="A223" i="3"/>
  <c r="D222" i="3"/>
  <c r="C222" i="3"/>
  <c r="B222" i="3"/>
  <c r="A222" i="3"/>
  <c r="D221" i="3"/>
  <c r="C221" i="3"/>
  <c r="B221" i="3"/>
  <c r="A221" i="3" s="1"/>
  <c r="A254" i="3" s="1"/>
  <c r="D220" i="3"/>
  <c r="C220" i="3"/>
  <c r="B220" i="3"/>
  <c r="A220" i="3" s="1"/>
  <c r="D219" i="3"/>
  <c r="C219" i="3"/>
  <c r="B219" i="3"/>
  <c r="A219" i="3"/>
  <c r="A256" i="3" s="1"/>
  <c r="D218" i="3"/>
  <c r="C218" i="3"/>
  <c r="B218" i="3"/>
  <c r="A218" i="3"/>
  <c r="L217" i="3"/>
  <c r="L216" i="3"/>
  <c r="L214" i="3"/>
  <c r="L213" i="3"/>
  <c r="L212" i="3"/>
  <c r="L211" i="3"/>
  <c r="L210" i="3"/>
  <c r="L208" i="3"/>
  <c r="E207" i="3"/>
  <c r="D207" i="3"/>
  <c r="C207" i="3"/>
  <c r="B207" i="3"/>
  <c r="A207" i="3"/>
  <c r="E206" i="3"/>
  <c r="D206" i="3"/>
  <c r="C206" i="3"/>
  <c r="B206" i="3"/>
  <c r="A206" i="3"/>
  <c r="E205" i="3"/>
  <c r="D205" i="3"/>
  <c r="C205" i="3"/>
  <c r="B205" i="3"/>
  <c r="A205" i="3" s="1"/>
  <c r="D204" i="3"/>
  <c r="E204" i="3" s="1"/>
  <c r="C204" i="3"/>
  <c r="B204" i="3"/>
  <c r="A204" i="3"/>
  <c r="D203" i="3"/>
  <c r="E203" i="3" s="1"/>
  <c r="C203" i="3"/>
  <c r="B203" i="3"/>
  <c r="A203" i="3" s="1"/>
  <c r="D202" i="3"/>
  <c r="E202" i="3" s="1"/>
  <c r="C202" i="3"/>
  <c r="B202" i="3"/>
  <c r="A202" i="3" s="1"/>
  <c r="D201" i="3"/>
  <c r="E201" i="3" s="1"/>
  <c r="C201" i="3"/>
  <c r="B201" i="3"/>
  <c r="A201" i="3"/>
  <c r="D200" i="3"/>
  <c r="E200" i="3" s="1"/>
  <c r="C200" i="3"/>
  <c r="B200" i="3"/>
  <c r="A200" i="3"/>
  <c r="D199" i="3"/>
  <c r="E199" i="3" s="1"/>
  <c r="C199" i="3"/>
  <c r="B199" i="3"/>
  <c r="A199" i="3"/>
  <c r="D198" i="3"/>
  <c r="E198" i="3" s="1"/>
  <c r="C198" i="3"/>
  <c r="B198" i="3"/>
  <c r="A198" i="3"/>
  <c r="D197" i="3"/>
  <c r="E197" i="3" s="1"/>
  <c r="C197" i="3"/>
  <c r="B197" i="3"/>
  <c r="A197" i="3"/>
  <c r="D196" i="3"/>
  <c r="E196" i="3" s="1"/>
  <c r="C196" i="3"/>
  <c r="B196" i="3"/>
  <c r="A196" i="3" s="1"/>
  <c r="E195" i="3"/>
  <c r="D195" i="3"/>
  <c r="C195" i="3"/>
  <c r="B195" i="3"/>
  <c r="A195" i="3"/>
  <c r="D194" i="3"/>
  <c r="E194" i="3" s="1"/>
  <c r="C194" i="3"/>
  <c r="B194" i="3"/>
  <c r="A194" i="3"/>
  <c r="D193" i="3"/>
  <c r="E193" i="3" s="1"/>
  <c r="C193" i="3"/>
  <c r="B193" i="3"/>
  <c r="A193" i="3"/>
  <c r="D192" i="3"/>
  <c r="E192" i="3" s="1"/>
  <c r="C192" i="3"/>
  <c r="B192" i="3"/>
  <c r="A192" i="3" s="1"/>
  <c r="D191" i="3"/>
  <c r="E191" i="3" s="1"/>
  <c r="C191" i="3"/>
  <c r="B191" i="3"/>
  <c r="A191" i="3"/>
  <c r="D190" i="3"/>
  <c r="E190" i="3" s="1"/>
  <c r="C190" i="3"/>
  <c r="B190" i="3"/>
  <c r="A190" i="3"/>
  <c r="D189" i="3"/>
  <c r="E189" i="3" s="1"/>
  <c r="C189" i="3"/>
  <c r="B189" i="3"/>
  <c r="A189" i="3"/>
  <c r="E188" i="3"/>
  <c r="D188" i="3"/>
  <c r="C188" i="3"/>
  <c r="B188" i="3"/>
  <c r="A188" i="3"/>
  <c r="D187" i="3"/>
  <c r="E187" i="3" s="1"/>
  <c r="C187" i="3"/>
  <c r="B187" i="3"/>
  <c r="A187" i="3" s="1"/>
  <c r="D186" i="3"/>
  <c r="E186" i="3" s="1"/>
  <c r="C186" i="3"/>
  <c r="B186" i="3"/>
  <c r="A186" i="3"/>
  <c r="E185" i="3"/>
  <c r="D185" i="3"/>
  <c r="C185" i="3"/>
  <c r="B185" i="3"/>
  <c r="A185" i="3"/>
  <c r="D184" i="3"/>
  <c r="E184" i="3" s="1"/>
  <c r="C184" i="3"/>
  <c r="B184" i="3"/>
  <c r="A184" i="3"/>
  <c r="D183" i="3"/>
  <c r="E183" i="3" s="1"/>
  <c r="C183" i="3"/>
  <c r="B183" i="3"/>
  <c r="A183" i="3"/>
  <c r="D182" i="3"/>
  <c r="E182" i="3" s="1"/>
  <c r="C182" i="3"/>
  <c r="B182" i="3"/>
  <c r="A182" i="3" s="1"/>
  <c r="D181" i="3"/>
  <c r="E181" i="3" s="1"/>
  <c r="C181" i="3"/>
  <c r="B181" i="3"/>
  <c r="A181" i="3" s="1"/>
  <c r="E180" i="3"/>
  <c r="D180" i="3"/>
  <c r="C180" i="3"/>
  <c r="B180" i="3"/>
  <c r="A180" i="3" s="1"/>
  <c r="D179" i="3"/>
  <c r="E179" i="3" s="1"/>
  <c r="C179" i="3"/>
  <c r="B179" i="3"/>
  <c r="A179" i="3"/>
  <c r="D178" i="3"/>
  <c r="E178" i="3" s="1"/>
  <c r="C178" i="3"/>
  <c r="B178" i="3"/>
  <c r="A178" i="3" s="1"/>
  <c r="E177" i="3"/>
  <c r="D177" i="3"/>
  <c r="C177" i="3"/>
  <c r="B177" i="3"/>
  <c r="A177" i="3"/>
  <c r="D176" i="3"/>
  <c r="E176" i="3" s="1"/>
  <c r="C176" i="3"/>
  <c r="B176" i="3"/>
  <c r="A176" i="3"/>
  <c r="A174" i="3" s="1"/>
  <c r="L175" i="3"/>
  <c r="L174" i="3"/>
  <c r="L172" i="3"/>
  <c r="L171" i="3"/>
  <c r="L169" i="3"/>
  <c r="L168" i="3"/>
  <c r="L167" i="3"/>
  <c r="L165" i="3"/>
  <c r="D165" i="3"/>
  <c r="E165" i="3" s="1"/>
  <c r="B165" i="3"/>
  <c r="A165" i="3"/>
  <c r="D164" i="3"/>
  <c r="E164" i="3" s="1"/>
  <c r="B164" i="3"/>
  <c r="A164" i="3"/>
  <c r="D163" i="3"/>
  <c r="E163" i="3" s="1"/>
  <c r="B163" i="3"/>
  <c r="A163" i="3" s="1"/>
  <c r="D162" i="3"/>
  <c r="E162" i="3" s="1"/>
  <c r="B162" i="3"/>
  <c r="A162" i="3"/>
  <c r="E161" i="3"/>
  <c r="D161" i="3"/>
  <c r="B161" i="3"/>
  <c r="A161" i="3" s="1"/>
  <c r="D160" i="3"/>
  <c r="E160" i="3" s="1"/>
  <c r="E159" i="3"/>
  <c r="D159" i="3"/>
  <c r="B159" i="3" s="1"/>
  <c r="A159" i="3" s="1"/>
  <c r="D158" i="3"/>
  <c r="E158" i="3" s="1"/>
  <c r="B158" i="3"/>
  <c r="A158" i="3"/>
  <c r="D157" i="3"/>
  <c r="E157" i="3" s="1"/>
  <c r="B157" i="3"/>
  <c r="A157" i="3"/>
  <c r="L156" i="3"/>
  <c r="D156" i="3"/>
  <c r="E156" i="3" s="1"/>
  <c r="B156" i="3"/>
  <c r="A156" i="3" s="1"/>
  <c r="D155" i="3"/>
  <c r="E155" i="3" s="1"/>
  <c r="B155" i="3"/>
  <c r="A155" i="3" s="1"/>
  <c r="D154" i="3"/>
  <c r="E154" i="3" s="1"/>
  <c r="B154" i="3"/>
  <c r="A154" i="3"/>
  <c r="D153" i="3"/>
  <c r="E153" i="3" s="1"/>
  <c r="E152" i="3"/>
  <c r="D152" i="3"/>
  <c r="B152" i="3"/>
  <c r="A152" i="3"/>
  <c r="E151" i="3"/>
  <c r="D151" i="3"/>
  <c r="B151" i="3"/>
  <c r="A151" i="3"/>
  <c r="D150" i="3"/>
  <c r="E150" i="3" s="1"/>
  <c r="D149" i="3"/>
  <c r="E149" i="3" s="1"/>
  <c r="B149" i="3"/>
  <c r="A149" i="3"/>
  <c r="E148" i="3"/>
  <c r="D148" i="3"/>
  <c r="B148" i="3"/>
  <c r="A148" i="3" s="1"/>
  <c r="D147" i="3"/>
  <c r="E147" i="3" s="1"/>
  <c r="D146" i="3"/>
  <c r="E146" i="3" s="1"/>
  <c r="B146" i="3"/>
  <c r="A146" i="3"/>
  <c r="D145" i="3"/>
  <c r="B145" i="3"/>
  <c r="A145" i="3" s="1"/>
  <c r="D144" i="3"/>
  <c r="B144" i="3"/>
  <c r="A144" i="3" s="1"/>
  <c r="D143" i="3"/>
  <c r="B143" i="3"/>
  <c r="A143" i="3"/>
  <c r="D142" i="3"/>
  <c r="B142" i="3"/>
  <c r="A142" i="3"/>
  <c r="D141" i="3"/>
  <c r="B141" i="3"/>
  <c r="A141" i="3" s="1"/>
  <c r="L140" i="3"/>
  <c r="D140" i="3"/>
  <c r="B140" i="3"/>
  <c r="A140" i="3"/>
  <c r="L139" i="3"/>
  <c r="L137" i="3"/>
  <c r="L136" i="3"/>
  <c r="L135" i="3"/>
  <c r="L134" i="3"/>
  <c r="L133" i="3"/>
  <c r="C130" i="3"/>
  <c r="B130" i="3"/>
  <c r="A130" i="3"/>
  <c r="C129" i="3"/>
  <c r="B129" i="3"/>
  <c r="A129" i="3"/>
  <c r="C128" i="3"/>
  <c r="B128" i="3"/>
  <c r="A128" i="3"/>
  <c r="C127" i="3"/>
  <c r="B127" i="3"/>
  <c r="A127" i="3"/>
  <c r="C126" i="3"/>
  <c r="B126" i="3"/>
  <c r="A126" i="3" s="1"/>
  <c r="A104" i="3" s="1"/>
  <c r="C125" i="3"/>
  <c r="B125" i="3"/>
  <c r="A125" i="3"/>
  <c r="C124" i="3"/>
  <c r="B124" i="3"/>
  <c r="A124" i="3"/>
  <c r="C123" i="3"/>
  <c r="B123" i="3"/>
  <c r="A123" i="3"/>
  <c r="C122" i="3"/>
  <c r="B122" i="3"/>
  <c r="A122" i="3"/>
  <c r="C121" i="3"/>
  <c r="B121" i="3"/>
  <c r="A121" i="3" s="1"/>
  <c r="C120" i="3"/>
  <c r="B120" i="3"/>
  <c r="A120" i="3" s="1"/>
  <c r="C119" i="3"/>
  <c r="B119" i="3"/>
  <c r="A119" i="3"/>
  <c r="C118" i="3"/>
  <c r="B118" i="3"/>
  <c r="A118" i="3"/>
  <c r="C117" i="3"/>
  <c r="B117" i="3"/>
  <c r="A117" i="3"/>
  <c r="C116" i="3"/>
  <c r="B116" i="3"/>
  <c r="A116" i="3"/>
  <c r="C115" i="3"/>
  <c r="B115" i="3"/>
  <c r="A115" i="3"/>
  <c r="C114" i="3"/>
  <c r="B114" i="3"/>
  <c r="A114" i="3" s="1"/>
  <c r="C113" i="3"/>
  <c r="B113" i="3"/>
  <c r="A113" i="3"/>
  <c r="C112" i="3"/>
  <c r="B112" i="3"/>
  <c r="A112" i="3"/>
  <c r="C111" i="3"/>
  <c r="B111" i="3"/>
  <c r="A111" i="3" s="1"/>
  <c r="C110" i="3"/>
  <c r="B110" i="3"/>
  <c r="A110" i="3"/>
  <c r="C109" i="3"/>
  <c r="B109" i="3"/>
  <c r="A109" i="3"/>
  <c r="C108" i="3"/>
  <c r="B108" i="3"/>
  <c r="A108" i="3" s="1"/>
  <c r="C107" i="3"/>
  <c r="B107" i="3"/>
  <c r="A107" i="3"/>
  <c r="C106" i="3"/>
  <c r="B106" i="3"/>
  <c r="A106" i="3"/>
  <c r="L105" i="3"/>
  <c r="C105" i="3"/>
  <c r="B105" i="3"/>
  <c r="A105" i="3"/>
  <c r="L103" i="3"/>
  <c r="L99" i="3"/>
  <c r="L98" i="3"/>
  <c r="L97" i="3"/>
  <c r="L96" i="3"/>
  <c r="L95" i="3"/>
  <c r="B92" i="3"/>
  <c r="E91" i="3"/>
  <c r="D91" i="3"/>
  <c r="B91" i="3"/>
  <c r="C91" i="3" s="1"/>
  <c r="E90" i="3"/>
  <c r="D90" i="3"/>
  <c r="C90" i="3"/>
  <c r="B90" i="3"/>
  <c r="A90" i="3"/>
  <c r="E89" i="3"/>
  <c r="D89" i="3"/>
  <c r="B89" i="3"/>
  <c r="L88" i="3"/>
  <c r="E88" i="3"/>
  <c r="D88" i="3"/>
  <c r="C88" i="3"/>
  <c r="B88" i="3"/>
  <c r="A88" i="3" s="1"/>
  <c r="E87" i="3"/>
  <c r="D87" i="3"/>
  <c r="C87" i="3"/>
  <c r="B87" i="3"/>
  <c r="A87" i="3"/>
  <c r="E86" i="3"/>
  <c r="D86" i="3"/>
  <c r="B86" i="3"/>
  <c r="C86" i="3" s="1"/>
  <c r="A86" i="3"/>
  <c r="E85" i="3"/>
  <c r="D85" i="3"/>
  <c r="C85" i="3"/>
  <c r="B85" i="3"/>
  <c r="A85" i="3"/>
  <c r="E84" i="3"/>
  <c r="D84" i="3"/>
  <c r="B84" i="3"/>
  <c r="A84" i="3" s="1"/>
  <c r="E83" i="3"/>
  <c r="D83" i="3"/>
  <c r="C83" i="3"/>
  <c r="B83" i="3"/>
  <c r="A83" i="3"/>
  <c r="E82" i="3"/>
  <c r="D82" i="3"/>
  <c r="B82" i="3"/>
  <c r="C82" i="3" s="1"/>
  <c r="A82" i="3"/>
  <c r="E81" i="3"/>
  <c r="D81" i="3"/>
  <c r="C81" i="3"/>
  <c r="B81" i="3"/>
  <c r="A81" i="3"/>
  <c r="E80" i="3"/>
  <c r="D80" i="3"/>
  <c r="B80" i="3"/>
  <c r="A80" i="3" s="1"/>
  <c r="E79" i="3"/>
  <c r="D79" i="3"/>
  <c r="B79" i="3"/>
  <c r="A79" i="3" s="1"/>
  <c r="E78" i="3"/>
  <c r="D78" i="3"/>
  <c r="B78" i="3"/>
  <c r="C78" i="3" s="1"/>
  <c r="E77" i="3"/>
  <c r="D77" i="3"/>
  <c r="C77" i="3"/>
  <c r="B77" i="3"/>
  <c r="A77" i="3"/>
  <c r="E76" i="3"/>
  <c r="D76" i="3"/>
  <c r="B76" i="3"/>
  <c r="A76" i="3" s="1"/>
  <c r="L75" i="3"/>
  <c r="E75" i="3"/>
  <c r="D75" i="3"/>
  <c r="B75" i="3"/>
  <c r="C75" i="3" s="1"/>
  <c r="A75" i="3"/>
  <c r="I74" i="3"/>
  <c r="E74" i="3"/>
  <c r="D74" i="3"/>
  <c r="B74" i="3"/>
  <c r="C74" i="3" s="1"/>
  <c r="A74" i="3"/>
  <c r="E73" i="3"/>
  <c r="D73" i="3"/>
  <c r="B73" i="3"/>
  <c r="C73" i="3" s="1"/>
  <c r="E72" i="3"/>
  <c r="D72" i="3"/>
  <c r="C72" i="3"/>
  <c r="B72" i="3"/>
  <c r="A72" i="3"/>
  <c r="E71" i="3"/>
  <c r="D71" i="3"/>
  <c r="B71" i="3"/>
  <c r="C71" i="3" s="1"/>
  <c r="A71" i="3"/>
  <c r="E70" i="3"/>
  <c r="D70" i="3"/>
  <c r="B70" i="3"/>
  <c r="C70" i="3" s="1"/>
  <c r="E69" i="3"/>
  <c r="D69" i="3"/>
  <c r="B69" i="3"/>
  <c r="C69" i="3" s="1"/>
  <c r="L68" i="3"/>
  <c r="E68" i="3"/>
  <c r="D68" i="3"/>
  <c r="B68" i="3"/>
  <c r="C68" i="3" s="1"/>
  <c r="A68" i="3"/>
  <c r="L67" i="3"/>
  <c r="E67" i="3"/>
  <c r="D67" i="3"/>
  <c r="B67" i="3"/>
  <c r="C67" i="3" s="1"/>
  <c r="A67" i="3"/>
  <c r="L66" i="3"/>
  <c r="E66" i="3"/>
  <c r="D66" i="3"/>
  <c r="B66" i="3"/>
  <c r="C66" i="3" s="1"/>
  <c r="A66" i="3"/>
  <c r="L65" i="3"/>
  <c r="E65" i="3"/>
  <c r="D65" i="3"/>
  <c r="C65" i="3"/>
  <c r="B65" i="3"/>
  <c r="A65" i="3"/>
  <c r="L64" i="3"/>
  <c r="E64" i="3"/>
  <c r="D64" i="3"/>
  <c r="B64" i="3"/>
  <c r="C64" i="3" s="1"/>
  <c r="A64" i="3"/>
  <c r="L63" i="3"/>
  <c r="B51" i="3"/>
  <c r="K13" i="3"/>
  <c r="H13" i="3"/>
  <c r="G13" i="3"/>
  <c r="K12" i="3"/>
  <c r="H12" i="3"/>
  <c r="G12" i="3"/>
  <c r="K11" i="3"/>
  <c r="H11" i="3"/>
  <c r="G11" i="3"/>
  <c r="K10" i="3"/>
  <c r="H10" i="3"/>
  <c r="G10" i="3"/>
  <c r="I7" i="3"/>
  <c r="I6" i="3"/>
  <c r="I5" i="3"/>
  <c r="B5" i="3"/>
  <c r="B4" i="3"/>
  <c r="C3" i="3"/>
  <c r="R136" i="2"/>
  <c r="R134" i="2"/>
  <c r="R133" i="2"/>
  <c r="R131" i="2"/>
  <c r="H131" i="2"/>
  <c r="R130" i="2"/>
  <c r="H130" i="2"/>
  <c r="R129" i="2"/>
  <c r="H129" i="2"/>
  <c r="R128" i="2"/>
  <c r="H128" i="2"/>
  <c r="R127" i="2"/>
  <c r="H127" i="2"/>
  <c r="R126" i="2"/>
  <c r="H126" i="2"/>
  <c r="R125" i="2"/>
  <c r="H125" i="2"/>
  <c r="R124" i="2"/>
  <c r="H124" i="2"/>
  <c r="R123" i="2"/>
  <c r="H123" i="2"/>
  <c r="R122" i="2"/>
  <c r="H122" i="2"/>
  <c r="H117" i="2"/>
  <c r="H116" i="2"/>
  <c r="H115" i="2"/>
  <c r="R114" i="2"/>
  <c r="H114" i="2"/>
  <c r="R113" i="2"/>
  <c r="H113" i="2"/>
  <c r="R112" i="2"/>
  <c r="H112" i="2"/>
  <c r="R111" i="2"/>
  <c r="H111" i="2"/>
  <c r="R110" i="2"/>
  <c r="H110" i="2"/>
  <c r="R109" i="2"/>
  <c r="H109" i="2"/>
  <c r="R108" i="2"/>
  <c r="H108" i="2"/>
  <c r="R107" i="2"/>
  <c r="H107" i="2"/>
  <c r="R106" i="2"/>
  <c r="H106" i="2"/>
  <c r="R105" i="2"/>
  <c r="H105" i="2"/>
  <c r="R104" i="2"/>
  <c r="H104" i="2"/>
  <c r="R103" i="2"/>
  <c r="H103" i="2"/>
  <c r="R102" i="2"/>
  <c r="H102" i="2"/>
  <c r="Q69" i="2"/>
  <c r="Q67" i="2"/>
  <c r="Q66" i="2"/>
  <c r="Q63" i="2"/>
  <c r="Q62" i="2"/>
  <c r="U59" i="2"/>
  <c r="Q59" i="2" s="1"/>
  <c r="U58" i="2"/>
  <c r="Q58" i="2"/>
  <c r="Q57" i="2"/>
  <c r="Q56" i="2"/>
  <c r="Q55" i="2"/>
  <c r="Q54" i="2"/>
  <c r="Q53" i="2"/>
  <c r="Q48" i="2"/>
  <c r="Q47" i="2"/>
  <c r="Q46" i="2"/>
  <c r="U101" i="21" s="1"/>
  <c r="Q45" i="2"/>
  <c r="Q44" i="2"/>
  <c r="Q43" i="2"/>
  <c r="Q42" i="2"/>
  <c r="Q41" i="2"/>
  <c r="U40" i="2"/>
  <c r="Q40" i="2"/>
  <c r="Q39" i="2"/>
  <c r="Q38" i="2"/>
  <c r="L38" i="2"/>
  <c r="Q36" i="2"/>
  <c r="Q35" i="2"/>
  <c r="Q34" i="2"/>
  <c r="J30" i="2"/>
  <c r="V29" i="2"/>
  <c r="D28" i="2"/>
  <c r="AI27" i="2"/>
  <c r="AH27" i="2"/>
  <c r="D27" i="2"/>
  <c r="H25" i="2"/>
  <c r="H23" i="2"/>
  <c r="Q18" i="2"/>
  <c r="AO17" i="2"/>
  <c r="AN17" i="2"/>
  <c r="AM17" i="2"/>
  <c r="AL17" i="2"/>
  <c r="AK17" i="2"/>
  <c r="AJ17" i="2"/>
  <c r="Q17" i="2"/>
  <c r="Q16" i="2"/>
  <c r="Q15" i="2"/>
  <c r="Q14" i="2"/>
  <c r="U75" i="5" s="1"/>
  <c r="Q13" i="2"/>
  <c r="Q12" i="2"/>
  <c r="Q11" i="2"/>
  <c r="U61" i="19" s="1"/>
  <c r="AO10" i="2"/>
  <c r="AN10" i="2"/>
  <c r="AM10" i="2"/>
  <c r="AL10" i="2"/>
  <c r="AK10" i="2"/>
  <c r="AJ10" i="2"/>
  <c r="Q10" i="2"/>
  <c r="Q8" i="2"/>
  <c r="AO7" i="2"/>
  <c r="AN7" i="2"/>
  <c r="AM7" i="2"/>
  <c r="AL7" i="2"/>
  <c r="AK7" i="2"/>
  <c r="AJ7" i="2"/>
  <c r="Q7" i="2"/>
  <c r="X71" i="7" s="1"/>
  <c r="AQ6" i="2"/>
  <c r="Q6" i="2"/>
  <c r="AO5" i="2"/>
  <c r="AN5" i="2"/>
  <c r="AM5" i="2"/>
  <c r="AL5" i="2"/>
  <c r="AK5" i="2"/>
  <c r="AJ5" i="2"/>
  <c r="Q5" i="2"/>
  <c r="BC4" i="2"/>
  <c r="Q4" i="2"/>
  <c r="O3" i="2"/>
  <c r="CF23" i="5" s="1"/>
  <c r="N3" i="2"/>
  <c r="CE16" i="5" s="1"/>
  <c r="M3" i="2"/>
  <c r="CD24" i="5" s="1"/>
  <c r="L3" i="2"/>
  <c r="CC18" i="5" s="1"/>
  <c r="K3" i="2"/>
  <c r="G52" i="5" s="1"/>
  <c r="J3" i="2"/>
  <c r="CA20" i="5" s="1"/>
  <c r="I3" i="2"/>
  <c r="BZ20" i="5" s="1"/>
  <c r="H3" i="2"/>
  <c r="BY20" i="5" s="1"/>
  <c r="G3" i="2"/>
  <c r="BX23" i="5" s="1"/>
  <c r="F3" i="2"/>
  <c r="BW35" i="5" s="1"/>
  <c r="A3" i="2"/>
  <c r="C31" i="1"/>
  <c r="C30" i="1"/>
  <c r="D29" i="1"/>
  <c r="C29" i="1"/>
  <c r="C28" i="1"/>
  <c r="C27" i="1"/>
  <c r="C24" i="1"/>
  <c r="E23" i="1"/>
  <c r="C23" i="1"/>
  <c r="C22" i="1"/>
  <c r="C20" i="1"/>
  <c r="C19" i="1"/>
  <c r="C16" i="1"/>
  <c r="E15" i="1"/>
  <c r="C15" i="1"/>
  <c r="C14" i="1"/>
  <c r="D13" i="1"/>
  <c r="C13" i="1"/>
  <c r="B6" i="3" s="1"/>
  <c r="C12" i="1"/>
  <c r="C11" i="1"/>
  <c r="P32" i="4" l="1"/>
  <c r="AL61" i="4" s="1"/>
  <c r="AP14" i="21"/>
  <c r="AP17" i="21"/>
  <c r="AP15" i="21"/>
  <c r="W131" i="21"/>
  <c r="W133" i="21"/>
  <c r="AP11" i="21"/>
  <c r="D483" i="3"/>
  <c r="BA12" i="19"/>
  <c r="BA26" i="19"/>
  <c r="BA16" i="19"/>
  <c r="BA17" i="19"/>
  <c r="BA29" i="19"/>
  <c r="C41" i="4"/>
  <c r="BP20" i="17"/>
  <c r="CQ26" i="17"/>
  <c r="BP43" i="17"/>
  <c r="BP38" i="17"/>
  <c r="CQ22" i="17"/>
  <c r="BP44" i="17"/>
  <c r="BP39" i="17"/>
  <c r="AK11" i="17"/>
  <c r="CQ17" i="17"/>
  <c r="AK21" i="17"/>
  <c r="BD36" i="17"/>
  <c r="BD38" i="17"/>
  <c r="BP27" i="17"/>
  <c r="BP11" i="17"/>
  <c r="BP12" i="17"/>
  <c r="BP15" i="17"/>
  <c r="AO26" i="17"/>
  <c r="AK15" i="17"/>
  <c r="AK12" i="17"/>
  <c r="AO29" i="17"/>
  <c r="AK31" i="17"/>
  <c r="U30" i="17" s="1"/>
  <c r="AK48" i="17"/>
  <c r="BO50" i="17"/>
  <c r="BO52" i="17" s="1"/>
  <c r="D170" i="17"/>
  <c r="BC91" i="4" s="1"/>
  <c r="S28" i="4"/>
  <c r="T28" i="4"/>
  <c r="BW10" i="17"/>
  <c r="T18" i="17"/>
  <c r="BK18" i="17" s="1"/>
  <c r="AO27" i="17"/>
  <c r="BP23" i="17"/>
  <c r="AO30" i="17"/>
  <c r="T30" i="17" s="1"/>
  <c r="BP24" i="17"/>
  <c r="BD32" i="17"/>
  <c r="BP47" i="17"/>
  <c r="CQ28" i="17"/>
  <c r="T32" i="17"/>
  <c r="BK32" i="17" s="1"/>
  <c r="AK36" i="17"/>
  <c r="AK42" i="17"/>
  <c r="AK43" i="17"/>
  <c r="AO22" i="17"/>
  <c r="AK23" i="17"/>
  <c r="AO13" i="17"/>
  <c r="CQ15" i="17"/>
  <c r="AO25" i="17"/>
  <c r="T24" i="17" s="1"/>
  <c r="BD42" i="17"/>
  <c r="AK14" i="17"/>
  <c r="BP30" i="17"/>
  <c r="AK27" i="17"/>
  <c r="AK16" i="17"/>
  <c r="BP34" i="17"/>
  <c r="BP29" i="17"/>
  <c r="AK13" i="17"/>
  <c r="AK28" i="17"/>
  <c r="BD14" i="17"/>
  <c r="BP22" i="17"/>
  <c r="AK19" i="17"/>
  <c r="AK25" i="17"/>
  <c r="BP42" i="17"/>
  <c r="AO39" i="17"/>
  <c r="AK26" i="17"/>
  <c r="AO40" i="17"/>
  <c r="BD12" i="17"/>
  <c r="AK41" i="17"/>
  <c r="U40" i="17" s="1"/>
  <c r="AO17" i="17"/>
  <c r="T16" i="17" s="1"/>
  <c r="AK18" i="17"/>
  <c r="AO41" i="17"/>
  <c r="AO42" i="17"/>
  <c r="T42" i="17" s="1"/>
  <c r="AK44" i="17"/>
  <c r="AK45" i="17"/>
  <c r="AO15" i="17"/>
  <c r="AO20" i="17"/>
  <c r="AK30" i="17"/>
  <c r="AO21" i="17"/>
  <c r="BD28" i="17"/>
  <c r="AK32" i="17"/>
  <c r="AK46" i="17"/>
  <c r="AK29" i="17"/>
  <c r="AO46" i="17"/>
  <c r="AH10" i="17"/>
  <c r="BD48" i="17"/>
  <c r="AK39" i="17"/>
  <c r="U38" i="17" s="1"/>
  <c r="BD44" i="17"/>
  <c r="U12" i="17"/>
  <c r="BA12" i="17" s="1"/>
  <c r="BJ12" i="17" s="1"/>
  <c r="AO38" i="17"/>
  <c r="AK49" i="17"/>
  <c r="BD26" i="17"/>
  <c r="AO12" i="17"/>
  <c r="AK33" i="17"/>
  <c r="AK47" i="17"/>
  <c r="AK35" i="17"/>
  <c r="AK34" i="17"/>
  <c r="U34" i="17" s="1"/>
  <c r="AK37" i="17"/>
  <c r="U36" i="17" s="1"/>
  <c r="AO28" i="17"/>
  <c r="AO14" i="17"/>
  <c r="AK24" i="17"/>
  <c r="AO37" i="17"/>
  <c r="AO10" i="17"/>
  <c r="D174" i="17"/>
  <c r="BC95" i="4" s="1"/>
  <c r="Q28" i="4"/>
  <c r="AM59" i="4" s="1"/>
  <c r="BD10" i="17"/>
  <c r="CS11" i="17"/>
  <c r="CS22" i="17"/>
  <c r="N90" i="17"/>
  <c r="CS28" i="17"/>
  <c r="U29" i="4"/>
  <c r="CS16" i="17"/>
  <c r="CS17" i="17"/>
  <c r="H29" i="4"/>
  <c r="T29" i="4"/>
  <c r="K82" i="17"/>
  <c r="N82" i="17" s="1"/>
  <c r="H93" i="17"/>
  <c r="N93" i="17" s="1"/>
  <c r="BT50" i="17"/>
  <c r="CS13" i="17"/>
  <c r="CS18" i="17"/>
  <c r="S107" i="17"/>
  <c r="W107" i="17" s="1"/>
  <c r="CS14" i="17"/>
  <c r="CS25" i="17"/>
  <c r="CS20" i="17"/>
  <c r="CS26" i="17"/>
  <c r="D100" i="15"/>
  <c r="N100" i="15" s="1"/>
  <c r="D166" i="15" s="1"/>
  <c r="AY121" i="4" s="1"/>
  <c r="D95" i="15"/>
  <c r="N95" i="15" s="1"/>
  <c r="D102" i="15"/>
  <c r="N102" i="15" s="1"/>
  <c r="D94" i="15"/>
  <c r="N94" i="15" s="1"/>
  <c r="D93" i="15"/>
  <c r="N93" i="15" s="1"/>
  <c r="N92" i="15"/>
  <c r="L93" i="15" s="1"/>
  <c r="D101" i="15"/>
  <c r="N101" i="15" s="1"/>
  <c r="D167" i="15" s="1"/>
  <c r="AY122" i="4" s="1"/>
  <c r="D136" i="15"/>
  <c r="AY90" i="4" s="1"/>
  <c r="D97" i="15"/>
  <c r="N97" i="15" s="1"/>
  <c r="D98" i="15"/>
  <c r="AY13" i="15"/>
  <c r="BE13" i="15"/>
  <c r="Y10" i="15"/>
  <c r="BE10" i="15"/>
  <c r="BJ11" i="15"/>
  <c r="W81" i="15"/>
  <c r="AX10" i="15"/>
  <c r="BK47" i="15"/>
  <c r="Z13" i="15"/>
  <c r="BI13" i="15" s="1"/>
  <c r="BK43" i="15"/>
  <c r="Z26" i="4"/>
  <c r="BK44" i="15"/>
  <c r="BK26" i="15"/>
  <c r="BK50" i="15"/>
  <c r="BK40" i="15"/>
  <c r="Y12" i="15"/>
  <c r="BK29" i="15"/>
  <c r="BK46" i="15"/>
  <c r="BK39" i="15"/>
  <c r="BK32" i="15"/>
  <c r="S75" i="15"/>
  <c r="Q26" i="4"/>
  <c r="AM58" i="4" s="1"/>
  <c r="Z11" i="15"/>
  <c r="BI11" i="15" s="1"/>
  <c r="BK36" i="15"/>
  <c r="D128" i="15"/>
  <c r="AY82" i="4" s="1"/>
  <c r="BK53" i="15"/>
  <c r="BK54" i="15" s="1"/>
  <c r="BK56" i="15" s="1"/>
  <c r="K90" i="15"/>
  <c r="A295" i="3"/>
  <c r="AY29" i="20"/>
  <c r="BJ32" i="11"/>
  <c r="BJ10" i="14"/>
  <c r="CO20" i="9"/>
  <c r="I130" i="9" s="1"/>
  <c r="CO33" i="9"/>
  <c r="I143" i="9" s="1"/>
  <c r="BJ27" i="14"/>
  <c r="CO36" i="9"/>
  <c r="I146" i="9" s="1"/>
  <c r="BJ13" i="14"/>
  <c r="BJ11" i="10"/>
  <c r="BJ15" i="14"/>
  <c r="CO18" i="9"/>
  <c r="I128" i="9" s="1"/>
  <c r="BJ17" i="14"/>
  <c r="CC15" i="5"/>
  <c r="CC12" i="5"/>
  <c r="CC14" i="5"/>
  <c r="CB19" i="5"/>
  <c r="CB12" i="5"/>
  <c r="CB18" i="5"/>
  <c r="CA11" i="5"/>
  <c r="CA19" i="5"/>
  <c r="G51" i="5"/>
  <c r="CE30" i="5"/>
  <c r="V32" i="5"/>
  <c r="H85" i="3" s="1"/>
  <c r="CD14" i="5"/>
  <c r="DB36" i="10"/>
  <c r="V27" i="5"/>
  <c r="H80" i="3" s="1"/>
  <c r="CF18" i="5"/>
  <c r="CF16" i="5"/>
  <c r="V28" i="5"/>
  <c r="H81" i="3" s="1"/>
  <c r="AR10" i="16"/>
  <c r="K68" i="16"/>
  <c r="AY30" i="16"/>
  <c r="AY20" i="16"/>
  <c r="AY35" i="16" s="1"/>
  <c r="AY31" i="16"/>
  <c r="AY21" i="16"/>
  <c r="AY32" i="16"/>
  <c r="AY33" i="16"/>
  <c r="AY22" i="16"/>
  <c r="H61" i="16"/>
  <c r="C39" i="4"/>
  <c r="J40" i="4" s="1"/>
  <c r="BJ25" i="16"/>
  <c r="BJ16" i="16"/>
  <c r="BJ26" i="16"/>
  <c r="BE8" i="16"/>
  <c r="AX11" i="16"/>
  <c r="BJ29" i="16"/>
  <c r="BB11" i="16"/>
  <c r="BJ28" i="16"/>
  <c r="BB12" i="16"/>
  <c r="BJ19" i="16"/>
  <c r="AR12" i="16"/>
  <c r="AM35" i="16"/>
  <c r="AO8" i="2" s="1"/>
  <c r="AO13" i="2" s="1"/>
  <c r="D135" i="16"/>
  <c r="BK110" i="4" s="1"/>
  <c r="AY36" i="16"/>
  <c r="D128" i="16"/>
  <c r="BK103" i="4" s="1"/>
  <c r="BE36" i="16"/>
  <c r="AS35" i="16"/>
  <c r="DL10" i="16"/>
  <c r="Q39" i="4"/>
  <c r="AM63" i="4" s="1"/>
  <c r="G95" i="4"/>
  <c r="AR95" i="4" s="1"/>
  <c r="BJ33" i="16"/>
  <c r="AK35" i="16"/>
  <c r="R52" i="16"/>
  <c r="AP35" i="16"/>
  <c r="K52" i="16" s="1"/>
  <c r="AN35" i="16"/>
  <c r="K53" i="16" s="1"/>
  <c r="V55" i="16"/>
  <c r="R78" i="16"/>
  <c r="AX10" i="16"/>
  <c r="B35" i="16"/>
  <c r="R57" i="16"/>
  <c r="V57" i="16" s="1"/>
  <c r="A294" i="3"/>
  <c r="A421" i="3"/>
  <c r="A138" i="3"/>
  <c r="A380" i="3"/>
  <c r="A259" i="3"/>
  <c r="A286" i="3"/>
  <c r="A210" i="3"/>
  <c r="A208" i="3"/>
  <c r="A213" i="3"/>
  <c r="A209" i="3"/>
  <c r="A214" i="3"/>
  <c r="A212" i="3"/>
  <c r="A211" i="3"/>
  <c r="A166" i="3"/>
  <c r="A375" i="3"/>
  <c r="A455" i="3"/>
  <c r="A423" i="3"/>
  <c r="A376" i="3"/>
  <c r="F500" i="3"/>
  <c r="H500" i="3" s="1"/>
  <c r="E500" i="3"/>
  <c r="G500" i="3" s="1"/>
  <c r="B55" i="20"/>
  <c r="B51" i="22"/>
  <c r="A131" i="14"/>
  <c r="A131" i="13"/>
  <c r="A131" i="12"/>
  <c r="A131" i="11"/>
  <c r="A131" i="10"/>
  <c r="B133" i="13"/>
  <c r="B133" i="11"/>
  <c r="B133" i="12"/>
  <c r="B133" i="10"/>
  <c r="B133" i="14"/>
  <c r="BY103" i="4"/>
  <c r="BU112" i="4"/>
  <c r="C139" i="6"/>
  <c r="BG12" i="6"/>
  <c r="X74" i="18"/>
  <c r="U72" i="21"/>
  <c r="U54" i="19"/>
  <c r="U81" i="17"/>
  <c r="U59" i="14"/>
  <c r="T57" i="16"/>
  <c r="U59" i="13"/>
  <c r="U75" i="15"/>
  <c r="U59" i="12"/>
  <c r="U59" i="11"/>
  <c r="X74" i="9"/>
  <c r="X74" i="8"/>
  <c r="U59" i="10"/>
  <c r="W59" i="10" s="1"/>
  <c r="U56" i="5"/>
  <c r="X74" i="7"/>
  <c r="V55" i="6"/>
  <c r="C79" i="3"/>
  <c r="D372" i="3"/>
  <c r="A373" i="3"/>
  <c r="E462" i="3"/>
  <c r="B494" i="3"/>
  <c r="A494" i="3" s="1"/>
  <c r="A491" i="3" s="1"/>
  <c r="B52" i="20"/>
  <c r="B48" i="22"/>
  <c r="B112" i="16"/>
  <c r="AK86" i="4"/>
  <c r="AG86" i="4"/>
  <c r="U132" i="21"/>
  <c r="B135" i="21"/>
  <c r="B142" i="9"/>
  <c r="B142" i="8"/>
  <c r="B142" i="7"/>
  <c r="B137" i="21"/>
  <c r="U134" i="21"/>
  <c r="B131" i="13"/>
  <c r="B131" i="12"/>
  <c r="B131" i="10"/>
  <c r="B131" i="11"/>
  <c r="B131" i="14"/>
  <c r="BY101" i="4"/>
  <c r="M101" i="4"/>
  <c r="B151" i="9"/>
  <c r="B151" i="8"/>
  <c r="B151" i="7"/>
  <c r="B138" i="14"/>
  <c r="B138" i="13"/>
  <c r="B138" i="11"/>
  <c r="B138" i="12"/>
  <c r="B138" i="10"/>
  <c r="M108" i="4"/>
  <c r="BW11" i="5"/>
  <c r="BW24" i="5"/>
  <c r="DX16" i="8"/>
  <c r="E508" i="3"/>
  <c r="G508" i="3" s="1"/>
  <c r="C134" i="18"/>
  <c r="AC89" i="4"/>
  <c r="A379" i="3"/>
  <c r="E495" i="3"/>
  <c r="G495" i="3" s="1"/>
  <c r="C107" i="6"/>
  <c r="BU79" i="4"/>
  <c r="A124" i="14"/>
  <c r="A124" i="13"/>
  <c r="A124" i="11"/>
  <c r="A124" i="12"/>
  <c r="A124" i="10"/>
  <c r="C140" i="18"/>
  <c r="AC95" i="4"/>
  <c r="Y30" i="6"/>
  <c r="F53" i="16"/>
  <c r="G68" i="9"/>
  <c r="G68" i="8"/>
  <c r="G68" i="7"/>
  <c r="CC38" i="5"/>
  <c r="CC31" i="5"/>
  <c r="CC33" i="5"/>
  <c r="CC24" i="5"/>
  <c r="CC29" i="5"/>
  <c r="CC25" i="5"/>
  <c r="CC21" i="5"/>
  <c r="CC36" i="5"/>
  <c r="CC13" i="5"/>
  <c r="CC26" i="5"/>
  <c r="CC27" i="5"/>
  <c r="CC37" i="5"/>
  <c r="CC23" i="5"/>
  <c r="CC35" i="5"/>
  <c r="CC11" i="5"/>
  <c r="T115" i="21"/>
  <c r="A115" i="21"/>
  <c r="B115" i="16"/>
  <c r="AO89" i="4"/>
  <c r="AK89" i="4"/>
  <c r="AG89" i="4"/>
  <c r="B116" i="19"/>
  <c r="AS93" i="4"/>
  <c r="B120" i="19"/>
  <c r="AS98" i="4"/>
  <c r="C75" i="22"/>
  <c r="C82" i="20"/>
  <c r="AU8" i="5"/>
  <c r="BZ15" i="5"/>
  <c r="CA30" i="5"/>
  <c r="BG30" i="6"/>
  <c r="AY30" i="6"/>
  <c r="F69" i="15"/>
  <c r="G69" i="9"/>
  <c r="G69" i="7"/>
  <c r="G69" i="8"/>
  <c r="CD38" i="5"/>
  <c r="CD33" i="5"/>
  <c r="CD30" i="5"/>
  <c r="CD34" i="5"/>
  <c r="CD29" i="5"/>
  <c r="CD36" i="5"/>
  <c r="CD26" i="5"/>
  <c r="CD22" i="5"/>
  <c r="CD15" i="5"/>
  <c r="CD23" i="5"/>
  <c r="CD35" i="5"/>
  <c r="CD11" i="5"/>
  <c r="CD20" i="5"/>
  <c r="CD32" i="5"/>
  <c r="CD18" i="5"/>
  <c r="C76" i="3"/>
  <c r="C92" i="3" s="1"/>
  <c r="D166" i="3"/>
  <c r="E266" i="3"/>
  <c r="A454" i="3"/>
  <c r="H509" i="3"/>
  <c r="C120" i="9"/>
  <c r="C120" i="8"/>
  <c r="C120" i="7"/>
  <c r="U115" i="21"/>
  <c r="B115" i="21"/>
  <c r="A110" i="14"/>
  <c r="A110" i="13"/>
  <c r="A110" i="12"/>
  <c r="A110" i="10"/>
  <c r="A110" i="11"/>
  <c r="BU95" i="4"/>
  <c r="C123" i="6"/>
  <c r="A150" i="21"/>
  <c r="T146" i="21"/>
  <c r="CA15" i="5"/>
  <c r="BF27" i="6"/>
  <c r="BJ27" i="6"/>
  <c r="FU27" i="6"/>
  <c r="AZ27" i="6"/>
  <c r="F49" i="19"/>
  <c r="N49" i="19" s="1"/>
  <c r="F52" i="16"/>
  <c r="F70" i="15"/>
  <c r="CE37" i="5"/>
  <c r="CE33" i="5"/>
  <c r="CE35" i="5"/>
  <c r="CE32" i="5"/>
  <c r="CE29" i="5"/>
  <c r="CE25" i="5"/>
  <c r="CE17" i="5"/>
  <c r="CE26" i="5"/>
  <c r="CE19" i="5"/>
  <c r="CE15" i="5"/>
  <c r="CE27" i="5"/>
  <c r="CE12" i="5"/>
  <c r="CE11" i="5"/>
  <c r="CE20" i="5"/>
  <c r="CE18" i="5"/>
  <c r="B147" i="3"/>
  <c r="A147" i="3" s="1"/>
  <c r="E509" i="3"/>
  <c r="G509" i="3" s="1"/>
  <c r="B103" i="16"/>
  <c r="AO77" i="4"/>
  <c r="B110" i="14"/>
  <c r="B110" i="11"/>
  <c r="B110" i="13"/>
  <c r="B110" i="12"/>
  <c r="B110" i="10"/>
  <c r="BY79" i="4"/>
  <c r="C128" i="18"/>
  <c r="AC83" i="4"/>
  <c r="B139" i="9"/>
  <c r="B139" i="8"/>
  <c r="A134" i="21"/>
  <c r="T131" i="21"/>
  <c r="A138" i="21"/>
  <c r="T140" i="21"/>
  <c r="C144" i="18"/>
  <c r="AC100" i="4"/>
  <c r="B144" i="14"/>
  <c r="B144" i="12"/>
  <c r="B144" i="13"/>
  <c r="B144" i="11"/>
  <c r="B144" i="10"/>
  <c r="M114" i="4"/>
  <c r="BY114" i="4"/>
  <c r="AH11" i="5"/>
  <c r="AK11" i="5" s="1"/>
  <c r="CB15" i="5"/>
  <c r="U137" i="21"/>
  <c r="B141" i="21"/>
  <c r="CO34" i="7"/>
  <c r="I144" i="7" s="1"/>
  <c r="P34" i="7"/>
  <c r="A145" i="21"/>
  <c r="T142" i="21"/>
  <c r="T149" i="21"/>
  <c r="A153" i="21"/>
  <c r="C104" i="6"/>
  <c r="BU76" i="4"/>
  <c r="B145" i="21"/>
  <c r="U142" i="21"/>
  <c r="B79" i="22"/>
  <c r="B86" i="20"/>
  <c r="CH39" i="5"/>
  <c r="D208" i="3"/>
  <c r="A377" i="3"/>
  <c r="B135" i="16"/>
  <c r="AK110" i="4"/>
  <c r="AO110" i="4"/>
  <c r="AG110" i="4"/>
  <c r="C80" i="3"/>
  <c r="U42" i="4"/>
  <c r="B58" i="20"/>
  <c r="B54" i="22"/>
  <c r="B119" i="16"/>
  <c r="AO93" i="4"/>
  <c r="AG93" i="4"/>
  <c r="C139" i="9"/>
  <c r="C139" i="8"/>
  <c r="C139" i="7"/>
  <c r="B124" i="19"/>
  <c r="AS102" i="4"/>
  <c r="B100" i="19"/>
  <c r="AS77" i="4"/>
  <c r="A120" i="13"/>
  <c r="A120" i="14"/>
  <c r="A120" i="10"/>
  <c r="A120" i="12"/>
  <c r="A120" i="11"/>
  <c r="B60" i="22"/>
  <c r="B67" i="20"/>
  <c r="T138" i="21"/>
  <c r="A142" i="21"/>
  <c r="AQ34" i="7"/>
  <c r="BS34" i="7"/>
  <c r="A63" i="3"/>
  <c r="A91" i="3"/>
  <c r="A136" i="3"/>
  <c r="B268" i="3"/>
  <c r="A268" i="3" s="1"/>
  <c r="A291" i="3" s="1"/>
  <c r="B504" i="3"/>
  <c r="A504" i="3" s="1"/>
  <c r="B123" i="9"/>
  <c r="B123" i="8"/>
  <c r="B123" i="7"/>
  <c r="A111" i="14"/>
  <c r="A111" i="13"/>
  <c r="A111" i="11"/>
  <c r="A111" i="10"/>
  <c r="A111" i="12"/>
  <c r="B103" i="19"/>
  <c r="AS80" i="4"/>
  <c r="B120" i="13"/>
  <c r="B120" i="14"/>
  <c r="B120" i="12"/>
  <c r="B120" i="10"/>
  <c r="B120" i="11"/>
  <c r="BY89" i="4"/>
  <c r="BU93" i="4"/>
  <c r="BU98" i="4"/>
  <c r="A134" i="12"/>
  <c r="A134" i="13"/>
  <c r="A134" i="10"/>
  <c r="A134" i="14"/>
  <c r="A134" i="11"/>
  <c r="BU119" i="4"/>
  <c r="C146" i="6"/>
  <c r="B153" i="19"/>
  <c r="AS131" i="4"/>
  <c r="BZ13" i="5"/>
  <c r="CF15" i="5"/>
  <c r="BW21" i="5"/>
  <c r="U37" i="7"/>
  <c r="CT37" i="7" s="1"/>
  <c r="CL37" i="7"/>
  <c r="W47" i="7"/>
  <c r="Y47" i="7" s="1"/>
  <c r="B137" i="13"/>
  <c r="B137" i="14"/>
  <c r="B137" i="12"/>
  <c r="B137" i="11"/>
  <c r="B137" i="10"/>
  <c r="BY107" i="4"/>
  <c r="CJ42" i="7"/>
  <c r="L73" i="7" s="1"/>
  <c r="DD10" i="7"/>
  <c r="C84" i="3"/>
  <c r="H494" i="3"/>
  <c r="C65" i="22"/>
  <c r="C72" i="20"/>
  <c r="F508" i="3"/>
  <c r="H508" i="3" s="1"/>
  <c r="A126" i="14"/>
  <c r="A126" i="11"/>
  <c r="A126" i="13"/>
  <c r="A126" i="12"/>
  <c r="A126" i="10"/>
  <c r="C141" i="9"/>
  <c r="C141" i="8"/>
  <c r="C141" i="7"/>
  <c r="AS101" i="4"/>
  <c r="B134" i="13"/>
  <c r="B134" i="12"/>
  <c r="B134" i="14"/>
  <c r="B134" i="10"/>
  <c r="B134" i="11"/>
  <c r="BY104" i="4"/>
  <c r="C137" i="6"/>
  <c r="BU110" i="4"/>
  <c r="G94" i="4"/>
  <c r="AR94" i="4" s="1"/>
  <c r="A137" i="3"/>
  <c r="A483" i="3"/>
  <c r="E504" i="3"/>
  <c r="G504" i="3" s="1"/>
  <c r="U118" i="21"/>
  <c r="B118" i="21"/>
  <c r="T121" i="21"/>
  <c r="A121" i="21"/>
  <c r="B106" i="19"/>
  <c r="AS83" i="4"/>
  <c r="C113" i="6"/>
  <c r="BU85" i="4"/>
  <c r="B133" i="9"/>
  <c r="B133" i="8"/>
  <c r="B133" i="7"/>
  <c r="B135" i="9"/>
  <c r="B135" i="8"/>
  <c r="B135" i="7"/>
  <c r="B128" i="14"/>
  <c r="B128" i="13"/>
  <c r="B128" i="12"/>
  <c r="B128" i="11"/>
  <c r="B128" i="10"/>
  <c r="BY98" i="4"/>
  <c r="B146" i="9"/>
  <c r="B146" i="8"/>
  <c r="B146" i="7"/>
  <c r="B75" i="20"/>
  <c r="B68" i="22"/>
  <c r="A140" i="14"/>
  <c r="A140" i="13"/>
  <c r="A140" i="12"/>
  <c r="A140" i="11"/>
  <c r="A140" i="10"/>
  <c r="C161" i="8"/>
  <c r="C161" i="9"/>
  <c r="BY21" i="5"/>
  <c r="CC32" i="5"/>
  <c r="L71" i="6"/>
  <c r="Q12" i="4"/>
  <c r="AM53" i="4" s="1"/>
  <c r="CR25" i="7"/>
  <c r="T25" i="7"/>
  <c r="CN31" i="7"/>
  <c r="M141" i="7" s="1"/>
  <c r="CC31" i="7"/>
  <c r="B134" i="21"/>
  <c r="U131" i="21"/>
  <c r="A132" i="13"/>
  <c r="A132" i="11"/>
  <c r="A132" i="12"/>
  <c r="A132" i="14"/>
  <c r="A132" i="10"/>
  <c r="B126" i="19"/>
  <c r="AS104" i="4"/>
  <c r="A457" i="3"/>
  <c r="A118" i="21"/>
  <c r="T118" i="21"/>
  <c r="C151" i="18"/>
  <c r="AC107" i="4"/>
  <c r="A255" i="3"/>
  <c r="A490" i="3"/>
  <c r="E498" i="3"/>
  <c r="G498" i="3" s="1"/>
  <c r="F504" i="3"/>
  <c r="H504" i="3" s="1"/>
  <c r="B2" i="22"/>
  <c r="B2" i="20"/>
  <c r="A2" i="21"/>
  <c r="A2" i="19"/>
  <c r="A2" i="17"/>
  <c r="B2" i="18"/>
  <c r="A2" i="12"/>
  <c r="A2" i="16"/>
  <c r="A2" i="13"/>
  <c r="A2" i="15"/>
  <c r="A2" i="14"/>
  <c r="B2" i="9"/>
  <c r="A2" i="11"/>
  <c r="A2" i="10"/>
  <c r="B2" i="8"/>
  <c r="B2" i="6"/>
  <c r="B2" i="7"/>
  <c r="B2" i="5"/>
  <c r="B126" i="9"/>
  <c r="B126" i="8"/>
  <c r="B126" i="7"/>
  <c r="U121" i="21"/>
  <c r="B121" i="21"/>
  <c r="AO86" i="4"/>
  <c r="C133" i="9"/>
  <c r="C133" i="8"/>
  <c r="C133" i="7"/>
  <c r="C135" i="9"/>
  <c r="C135" i="8"/>
  <c r="C135" i="7"/>
  <c r="AC93" i="4"/>
  <c r="BU102" i="4"/>
  <c r="B150" i="8"/>
  <c r="B150" i="7"/>
  <c r="B150" i="9"/>
  <c r="A151" i="21"/>
  <c r="T147" i="21"/>
  <c r="CD12" i="5"/>
  <c r="BZ21" i="5"/>
  <c r="AR21" i="5"/>
  <c r="V21" i="5" s="1"/>
  <c r="H74" i="3" s="1"/>
  <c r="BW23" i="5"/>
  <c r="BW36" i="5"/>
  <c r="AL36" i="5"/>
  <c r="AR36" i="5"/>
  <c r="V36" i="5" s="1"/>
  <c r="H89" i="3" s="1"/>
  <c r="AG39" i="5"/>
  <c r="J39" i="5" s="1"/>
  <c r="G50" i="5"/>
  <c r="G68" i="18"/>
  <c r="F47" i="19"/>
  <c r="F76" i="17"/>
  <c r="F54" i="12"/>
  <c r="F54" i="14"/>
  <c r="F50" i="16"/>
  <c r="G67" i="9"/>
  <c r="F54" i="11"/>
  <c r="F54" i="10"/>
  <c r="F54" i="13"/>
  <c r="G67" i="8"/>
  <c r="G51" i="6"/>
  <c r="BZ19" i="5"/>
  <c r="BZ34" i="5"/>
  <c r="BZ33" i="5"/>
  <c r="BZ30" i="5"/>
  <c r="G67" i="7"/>
  <c r="BZ32" i="5"/>
  <c r="BZ36" i="5"/>
  <c r="BZ17" i="5"/>
  <c r="BZ22" i="5"/>
  <c r="BZ26" i="5"/>
  <c r="BZ16" i="5"/>
  <c r="BZ12" i="5"/>
  <c r="BZ23" i="5"/>
  <c r="BZ24" i="5"/>
  <c r="A105" i="14"/>
  <c r="A105" i="12"/>
  <c r="A105" i="10"/>
  <c r="A105" i="13"/>
  <c r="A105" i="11"/>
  <c r="B105" i="13"/>
  <c r="B105" i="14"/>
  <c r="B105" i="10"/>
  <c r="B105" i="12"/>
  <c r="B105" i="11"/>
  <c r="M74" i="4"/>
  <c r="C117" i="6"/>
  <c r="BU89" i="4"/>
  <c r="A420" i="3"/>
  <c r="A419" i="3"/>
  <c r="A418" i="3"/>
  <c r="A417" i="3"/>
  <c r="A416" i="3"/>
  <c r="A415" i="3"/>
  <c r="A381" i="3"/>
  <c r="B109" i="16"/>
  <c r="AO83" i="4"/>
  <c r="AK83" i="4"/>
  <c r="AG83" i="4"/>
  <c r="EA23" i="7"/>
  <c r="EF23" i="7" s="1"/>
  <c r="EA21" i="7"/>
  <c r="EA24" i="7"/>
  <c r="EF24" i="7" s="1"/>
  <c r="EA12" i="7"/>
  <c r="EA20" i="7"/>
  <c r="EF20" i="7" s="1"/>
  <c r="DX20" i="7" s="1"/>
  <c r="EA22" i="7"/>
  <c r="EA10" i="7"/>
  <c r="EF10" i="7" s="1"/>
  <c r="DX10" i="7" s="1"/>
  <c r="EA25" i="7"/>
  <c r="EF25" i="7" s="1"/>
  <c r="DX25" i="7" s="1"/>
  <c r="EA14" i="7"/>
  <c r="EA11" i="7"/>
  <c r="EF11" i="7" s="1"/>
  <c r="EA15" i="7"/>
  <c r="EF15" i="7" s="1"/>
  <c r="EA13" i="7"/>
  <c r="EA18" i="7"/>
  <c r="EF18" i="7" s="1"/>
  <c r="EA19" i="7"/>
  <c r="EF19" i="7" s="1"/>
  <c r="DX19" i="7" s="1"/>
  <c r="EA17" i="7"/>
  <c r="EF17" i="7" s="1"/>
  <c r="DX17" i="7" s="1"/>
  <c r="C123" i="9"/>
  <c r="C123" i="8"/>
  <c r="C123" i="7"/>
  <c r="E518" i="3"/>
  <c r="G518" i="3" s="1"/>
  <c r="A3" i="19"/>
  <c r="B3" i="20"/>
  <c r="A3" i="17"/>
  <c r="B3" i="22"/>
  <c r="B3" i="18"/>
  <c r="A3" i="21"/>
  <c r="A3" i="12"/>
  <c r="A3" i="16"/>
  <c r="A3" i="15"/>
  <c r="A3" i="13"/>
  <c r="A3" i="11"/>
  <c r="A3" i="14"/>
  <c r="B3" i="9"/>
  <c r="A3" i="10"/>
  <c r="B3" i="8"/>
  <c r="B3" i="6"/>
  <c r="B3" i="7"/>
  <c r="B3" i="5"/>
  <c r="B47" i="22"/>
  <c r="B51" i="20"/>
  <c r="C126" i="9"/>
  <c r="C126" i="8"/>
  <c r="C126" i="7"/>
  <c r="T124" i="21"/>
  <c r="A124" i="21"/>
  <c r="AS84" i="4"/>
  <c r="B116" i="16"/>
  <c r="AO90" i="4"/>
  <c r="AK90" i="4"/>
  <c r="C137" i="18"/>
  <c r="AC92" i="4"/>
  <c r="B144" i="8"/>
  <c r="B144" i="9"/>
  <c r="B144" i="7"/>
  <c r="BU104" i="4"/>
  <c r="B151" i="21"/>
  <c r="U147" i="21"/>
  <c r="B81" i="22"/>
  <c r="B88" i="20"/>
  <c r="B166" i="9"/>
  <c r="B166" i="8"/>
  <c r="B166" i="7"/>
  <c r="CA21" i="5"/>
  <c r="I57" i="5"/>
  <c r="S56" i="5"/>
  <c r="W56" i="5" s="1"/>
  <c r="CN11" i="5"/>
  <c r="G78" i="5"/>
  <c r="O78" i="5" s="1"/>
  <c r="CN17" i="5"/>
  <c r="CN13" i="5"/>
  <c r="S49" i="5"/>
  <c r="S74" i="5"/>
  <c r="W74" i="5" s="1"/>
  <c r="S58" i="5"/>
  <c r="CN12" i="5"/>
  <c r="C11" i="4"/>
  <c r="C124" i="18"/>
  <c r="AC79" i="4"/>
  <c r="A117" i="14"/>
  <c r="A117" i="13"/>
  <c r="A117" i="11"/>
  <c r="A117" i="10"/>
  <c r="A117" i="12"/>
  <c r="A135" i="3"/>
  <c r="A134" i="3"/>
  <c r="A133" i="3"/>
  <c r="A132" i="3"/>
  <c r="A131" i="3"/>
  <c r="A103" i="3"/>
  <c r="C131" i="3"/>
  <c r="B100" i="16"/>
  <c r="AO74" i="4"/>
  <c r="AK74" i="4"/>
  <c r="B132" i="9"/>
  <c r="B132" i="8"/>
  <c r="B132" i="7"/>
  <c r="B67" i="22"/>
  <c r="B74" i="20"/>
  <c r="B143" i="14"/>
  <c r="B143" i="12"/>
  <c r="B143" i="10"/>
  <c r="B143" i="13"/>
  <c r="B143" i="11"/>
  <c r="BY113" i="4"/>
  <c r="M113" i="4"/>
  <c r="A378" i="3"/>
  <c r="B106" i="16"/>
  <c r="AO80" i="4"/>
  <c r="AK80" i="4"/>
  <c r="AG80" i="4"/>
  <c r="E510" i="3"/>
  <c r="G510" i="3" s="1"/>
  <c r="F510" i="3"/>
  <c r="H510" i="3" s="1"/>
  <c r="B510" i="3"/>
  <c r="A253" i="3"/>
  <c r="A488" i="3"/>
  <c r="A485" i="3"/>
  <c r="A458" i="3"/>
  <c r="A484" i="3"/>
  <c r="H498" i="3"/>
  <c r="F518" i="3"/>
  <c r="I3" i="21"/>
  <c r="K3" i="22"/>
  <c r="K3" i="20"/>
  <c r="I3" i="19"/>
  <c r="I3" i="17"/>
  <c r="J3" i="18"/>
  <c r="I3" i="15"/>
  <c r="I3" i="13"/>
  <c r="I3" i="16"/>
  <c r="I3" i="12"/>
  <c r="I3" i="11"/>
  <c r="I3" i="14"/>
  <c r="J3" i="9"/>
  <c r="J3" i="8"/>
  <c r="I3" i="10"/>
  <c r="J3" i="7"/>
  <c r="J3" i="5"/>
  <c r="J3" i="6"/>
  <c r="J42" i="4"/>
  <c r="BU77" i="4"/>
  <c r="B54" i="20"/>
  <c r="B50" i="22"/>
  <c r="U124" i="21"/>
  <c r="B124" i="21"/>
  <c r="C144" i="9"/>
  <c r="C144" i="8"/>
  <c r="C144" i="7"/>
  <c r="U143" i="21"/>
  <c r="B146" i="21"/>
  <c r="B156" i="9"/>
  <c r="B156" i="8"/>
  <c r="B156" i="7"/>
  <c r="C81" i="22"/>
  <c r="C88" i="20"/>
  <c r="AY39" i="5"/>
  <c r="CF13" i="5"/>
  <c r="CE23" i="5"/>
  <c r="BM29" i="7"/>
  <c r="BN29" i="7" s="1"/>
  <c r="CO29" i="7" s="1"/>
  <c r="I139" i="7" s="1"/>
  <c r="F68" i="21"/>
  <c r="G67" i="18"/>
  <c r="F46" i="19"/>
  <c r="F75" i="17"/>
  <c r="F49" i="16"/>
  <c r="F53" i="14"/>
  <c r="F53" i="13"/>
  <c r="F53" i="12"/>
  <c r="F53" i="11"/>
  <c r="G66" i="9"/>
  <c r="F53" i="10"/>
  <c r="G50" i="6"/>
  <c r="O50" i="6" s="1"/>
  <c r="BY22" i="5"/>
  <c r="BY29" i="5"/>
  <c r="BY33" i="5"/>
  <c r="BY30" i="5"/>
  <c r="BY13" i="5"/>
  <c r="BY34" i="5"/>
  <c r="BY19" i="5"/>
  <c r="BY26" i="5"/>
  <c r="BY37" i="5"/>
  <c r="BY16" i="5"/>
  <c r="BY12" i="5"/>
  <c r="BY23" i="5"/>
  <c r="BY24" i="5"/>
  <c r="B108" i="16"/>
  <c r="AG82" i="4"/>
  <c r="AO82" i="4"/>
  <c r="B122" i="9"/>
  <c r="B122" i="8"/>
  <c r="B122" i="7"/>
  <c r="C58" i="20"/>
  <c r="C54" i="22"/>
  <c r="B44" i="22"/>
  <c r="B48" i="20"/>
  <c r="BU82" i="4"/>
  <c r="BU91" i="4"/>
  <c r="A414" i="3"/>
  <c r="N3" i="19"/>
  <c r="N3" i="21"/>
  <c r="P3" i="22"/>
  <c r="P3" i="20"/>
  <c r="O3" i="18"/>
  <c r="N3" i="17"/>
  <c r="N3" i="16"/>
  <c r="N3" i="12"/>
  <c r="N3" i="15"/>
  <c r="N3" i="13"/>
  <c r="N3" i="14"/>
  <c r="N3" i="11"/>
  <c r="O3" i="9"/>
  <c r="O3" i="8"/>
  <c r="N3" i="10"/>
  <c r="O3" i="6"/>
  <c r="O3" i="7"/>
  <c r="O3" i="5"/>
  <c r="BU80" i="4"/>
  <c r="AK82" i="4"/>
  <c r="C111" i="6"/>
  <c r="BU83" i="4"/>
  <c r="B113" i="19"/>
  <c r="AS90" i="4"/>
  <c r="AZ39" i="5"/>
  <c r="C161" i="7"/>
  <c r="C142" i="9"/>
  <c r="C142" i="8"/>
  <c r="C142" i="7"/>
  <c r="E494" i="3"/>
  <c r="G494" i="3" s="1"/>
  <c r="B153" i="8"/>
  <c r="B153" i="9"/>
  <c r="B153" i="7"/>
  <c r="I7" i="21"/>
  <c r="L7" i="20"/>
  <c r="L7" i="22"/>
  <c r="I7" i="19"/>
  <c r="I7" i="16"/>
  <c r="J7" i="18"/>
  <c r="I7" i="14"/>
  <c r="I7" i="17"/>
  <c r="I7" i="11"/>
  <c r="I7" i="10"/>
  <c r="I7" i="15"/>
  <c r="I7" i="12"/>
  <c r="I7" i="13"/>
  <c r="J7" i="9"/>
  <c r="J7" i="5"/>
  <c r="J7" i="7"/>
  <c r="J7" i="6"/>
  <c r="J7" i="8"/>
  <c r="D7" i="4"/>
  <c r="C154" i="18"/>
  <c r="AC110" i="4"/>
  <c r="AR25" i="5"/>
  <c r="BY25" i="5"/>
  <c r="U73" i="21"/>
  <c r="X75" i="18"/>
  <c r="U55" i="19"/>
  <c r="X77" i="18"/>
  <c r="U84" i="17"/>
  <c r="W84" i="17" s="1"/>
  <c r="U82" i="17"/>
  <c r="W82" i="17" s="1"/>
  <c r="U60" i="14"/>
  <c r="T58" i="16"/>
  <c r="U76" i="15"/>
  <c r="U60" i="11"/>
  <c r="U60" i="12"/>
  <c r="U60" i="13"/>
  <c r="U60" i="10"/>
  <c r="X75" i="9"/>
  <c r="Z75" i="9" s="1"/>
  <c r="X75" i="8"/>
  <c r="Z75" i="8" s="1"/>
  <c r="X77" i="9"/>
  <c r="X75" i="7"/>
  <c r="X77" i="8"/>
  <c r="Z77" i="8" s="1"/>
  <c r="X77" i="7"/>
  <c r="U57" i="5"/>
  <c r="U125" i="21"/>
  <c r="B125" i="21"/>
  <c r="B78" i="20"/>
  <c r="B71" i="22"/>
  <c r="A451" i="3"/>
  <c r="L51" i="6"/>
  <c r="AM6" i="2"/>
  <c r="AM11" i="2" s="1"/>
  <c r="F77" i="17"/>
  <c r="G69" i="18"/>
  <c r="F48" i="19"/>
  <c r="F55" i="14"/>
  <c r="F55" i="10"/>
  <c r="F55" i="13"/>
  <c r="F51" i="16"/>
  <c r="F55" i="11"/>
  <c r="F55" i="12"/>
  <c r="CA31" i="5"/>
  <c r="CA35" i="5"/>
  <c r="CA32" i="5"/>
  <c r="CA29" i="5"/>
  <c r="CA28" i="5"/>
  <c r="CA27" i="5"/>
  <c r="CA13" i="5"/>
  <c r="CA37" i="5"/>
  <c r="CA23" i="5"/>
  <c r="C148" i="18"/>
  <c r="AC104" i="4"/>
  <c r="B153" i="14"/>
  <c r="B153" i="13"/>
  <c r="B153" i="12"/>
  <c r="B153" i="11"/>
  <c r="B153" i="10"/>
  <c r="BY123" i="4"/>
  <c r="M123" i="4"/>
  <c r="A453" i="3"/>
  <c r="U91" i="17"/>
  <c r="W91" i="17" s="1"/>
  <c r="U68" i="13"/>
  <c r="W68" i="13" s="1"/>
  <c r="U68" i="14"/>
  <c r="W68" i="14" s="1"/>
  <c r="U68" i="11"/>
  <c r="W68" i="11" s="1"/>
  <c r="U68" i="12"/>
  <c r="W68" i="12" s="1"/>
  <c r="U68" i="10"/>
  <c r="W68" i="10" s="1"/>
  <c r="E267" i="3"/>
  <c r="BZ27" i="5"/>
  <c r="D92" i="3"/>
  <c r="A175" i="3"/>
  <c r="A78" i="3"/>
  <c r="B150" i="3"/>
  <c r="A150" i="3" s="1"/>
  <c r="A173" i="3" s="1"/>
  <c r="B499" i="3"/>
  <c r="A499" i="3" s="1"/>
  <c r="B513" i="3"/>
  <c r="A513" i="3" s="1"/>
  <c r="H518" i="3"/>
  <c r="B4" i="22"/>
  <c r="A4" i="21"/>
  <c r="A4" i="17"/>
  <c r="A4" i="19"/>
  <c r="B4" i="20"/>
  <c r="B4" i="18"/>
  <c r="A4" i="16"/>
  <c r="A4" i="15"/>
  <c r="A4" i="13"/>
  <c r="A4" i="12"/>
  <c r="A4" i="11"/>
  <c r="A4" i="10"/>
  <c r="B4" i="9"/>
  <c r="A4" i="14"/>
  <c r="B4" i="8"/>
  <c r="B4" i="7"/>
  <c r="B4" i="6"/>
  <c r="B4" i="5"/>
  <c r="AC77" i="4"/>
  <c r="A121" i="13"/>
  <c r="A121" i="14"/>
  <c r="A121" i="12"/>
  <c r="A121" i="11"/>
  <c r="A121" i="10"/>
  <c r="B118" i="16"/>
  <c r="AO92" i="4"/>
  <c r="AK92" i="4"/>
  <c r="AG92" i="4"/>
  <c r="B133" i="16"/>
  <c r="AO108" i="4"/>
  <c r="AK108" i="4"/>
  <c r="BU111" i="4"/>
  <c r="G130" i="4"/>
  <c r="AR130" i="4" s="1"/>
  <c r="BY15" i="5"/>
  <c r="CD21" i="5"/>
  <c r="EF24" i="8"/>
  <c r="DX24" i="8" s="1"/>
  <c r="A424" i="3"/>
  <c r="BU100" i="4"/>
  <c r="C127" i="6"/>
  <c r="B130" i="21"/>
  <c r="U127" i="21"/>
  <c r="A492" i="3"/>
  <c r="I4" i="21"/>
  <c r="K4" i="22"/>
  <c r="I4" i="17"/>
  <c r="I4" i="19"/>
  <c r="K4" i="20"/>
  <c r="J4" i="18"/>
  <c r="I4" i="16"/>
  <c r="I4" i="12"/>
  <c r="I4" i="15"/>
  <c r="I4" i="11"/>
  <c r="I4" i="13"/>
  <c r="I4" i="10"/>
  <c r="J4" i="9"/>
  <c r="I4" i="14"/>
  <c r="J4" i="8"/>
  <c r="J4" i="7"/>
  <c r="J4" i="6"/>
  <c r="J4" i="5"/>
  <c r="A114" i="11"/>
  <c r="A114" i="13"/>
  <c r="A114" i="14"/>
  <c r="A114" i="12"/>
  <c r="A114" i="10"/>
  <c r="B121" i="13"/>
  <c r="B121" i="14"/>
  <c r="B121" i="11"/>
  <c r="B121" i="12"/>
  <c r="B121" i="10"/>
  <c r="M90" i="4"/>
  <c r="T128" i="21"/>
  <c r="A131" i="21"/>
  <c r="C120" i="6"/>
  <c r="BU92" i="4"/>
  <c r="AK93" i="4"/>
  <c r="BY18" i="5"/>
  <c r="CE21" i="5"/>
  <c r="DC10" i="7"/>
  <c r="BP42" i="7"/>
  <c r="T137" i="21"/>
  <c r="A141" i="21"/>
  <c r="CK42" i="7"/>
  <c r="I86" i="7" s="1"/>
  <c r="O86" i="7" s="1"/>
  <c r="DB10" i="7"/>
  <c r="H495" i="3"/>
  <c r="CB13" i="5"/>
  <c r="CB14" i="5"/>
  <c r="CB30" i="5"/>
  <c r="CB34" i="5"/>
  <c r="CB29" i="5"/>
  <c r="CB25" i="5"/>
  <c r="CB21" i="5"/>
  <c r="CB36" i="5"/>
  <c r="CB26" i="5"/>
  <c r="CB27" i="5"/>
  <c r="CB16" i="5"/>
  <c r="CB35" i="5"/>
  <c r="CB20" i="5"/>
  <c r="CB11" i="5"/>
  <c r="A456" i="3"/>
  <c r="CB32" i="5"/>
  <c r="D250" i="3"/>
  <c r="A252" i="3"/>
  <c r="A215" i="3"/>
  <c r="E499" i="3"/>
  <c r="G499" i="3" s="1"/>
  <c r="E513" i="3"/>
  <c r="G513" i="3" s="1"/>
  <c r="N4" i="21"/>
  <c r="P4" i="22"/>
  <c r="O4" i="18"/>
  <c r="P4" i="20"/>
  <c r="N4" i="19"/>
  <c r="N4" i="17"/>
  <c r="N4" i="16"/>
  <c r="N4" i="15"/>
  <c r="N4" i="11"/>
  <c r="N4" i="14"/>
  <c r="N4" i="10"/>
  <c r="N4" i="13"/>
  <c r="N4" i="12"/>
  <c r="O4" i="9"/>
  <c r="O4" i="8"/>
  <c r="O4" i="7"/>
  <c r="O4" i="6"/>
  <c r="O4" i="5"/>
  <c r="B45" i="22"/>
  <c r="B49" i="20"/>
  <c r="B114" i="14"/>
  <c r="B114" i="11"/>
  <c r="B114" i="13"/>
  <c r="B114" i="12"/>
  <c r="B114" i="10"/>
  <c r="BY83" i="4"/>
  <c r="U128" i="21"/>
  <c r="B131" i="21"/>
  <c r="BU94" i="4"/>
  <c r="C122" i="6"/>
  <c r="G105" i="4"/>
  <c r="AR105" i="4" s="1"/>
  <c r="B130" i="19"/>
  <c r="AS108" i="4"/>
  <c r="T156" i="21"/>
  <c r="A161" i="21"/>
  <c r="BW17" i="5"/>
  <c r="BZ18" i="5"/>
  <c r="CK36" i="5"/>
  <c r="CK27" i="5"/>
  <c r="CK24" i="5"/>
  <c r="CK18" i="5"/>
  <c r="CK38" i="5"/>
  <c r="CK34" i="5"/>
  <c r="CK33" i="5"/>
  <c r="CK35" i="5"/>
  <c r="CK32" i="5"/>
  <c r="CK29" i="5"/>
  <c r="CK26" i="5"/>
  <c r="CK25" i="5"/>
  <c r="CK23" i="5"/>
  <c r="E131" i="5"/>
  <c r="K111" i="4" s="1"/>
  <c r="CK12" i="5"/>
  <c r="CK17" i="5"/>
  <c r="CK13" i="5"/>
  <c r="CK22" i="5"/>
  <c r="CK19" i="5"/>
  <c r="CK15" i="5"/>
  <c r="CK40" i="5"/>
  <c r="CK16" i="5"/>
  <c r="CK37" i="5"/>
  <c r="CK20" i="5"/>
  <c r="CK11" i="5"/>
  <c r="CK14" i="5"/>
  <c r="BQ42" i="7"/>
  <c r="CA10" i="7"/>
  <c r="BY10" i="7"/>
  <c r="BV10" i="7"/>
  <c r="BV42" i="7" s="1"/>
  <c r="L67" i="7" s="1"/>
  <c r="BU10" i="7"/>
  <c r="BO10" i="7"/>
  <c r="CE10" i="7"/>
  <c r="CD10" i="7"/>
  <c r="CI10" i="7"/>
  <c r="CB10" i="7"/>
  <c r="BT10" i="7"/>
  <c r="U71" i="21"/>
  <c r="X73" i="18"/>
  <c r="U53" i="19"/>
  <c r="U80" i="17"/>
  <c r="T56" i="16"/>
  <c r="U58" i="14"/>
  <c r="U74" i="15"/>
  <c r="U58" i="13"/>
  <c r="U58" i="12"/>
  <c r="U58" i="10"/>
  <c r="U58" i="11"/>
  <c r="X73" i="9"/>
  <c r="X73" i="8"/>
  <c r="X73" i="7"/>
  <c r="U55" i="5"/>
  <c r="V54" i="6"/>
  <c r="C89" i="3"/>
  <c r="A89" i="3"/>
  <c r="B61" i="22"/>
  <c r="B68" i="20"/>
  <c r="B147" i="8"/>
  <c r="B147" i="9"/>
  <c r="B147" i="7"/>
  <c r="C147" i="8"/>
  <c r="C147" i="9"/>
  <c r="C147" i="7"/>
  <c r="E138" i="5"/>
  <c r="F515" i="3"/>
  <c r="H515" i="3" s="1"/>
  <c r="E515" i="3"/>
  <c r="G515" i="3" s="1"/>
  <c r="C132" i="9"/>
  <c r="C132" i="8"/>
  <c r="C132" i="7"/>
  <c r="A153" i="13"/>
  <c r="A153" i="14"/>
  <c r="A153" i="10"/>
  <c r="A153" i="12"/>
  <c r="A153" i="11"/>
  <c r="A108" i="14"/>
  <c r="A108" i="13"/>
  <c r="A108" i="11"/>
  <c r="A108" i="12"/>
  <c r="A108" i="10"/>
  <c r="U57" i="19"/>
  <c r="W57" i="19" s="1"/>
  <c r="U75" i="21"/>
  <c r="T60" i="16"/>
  <c r="U78" i="15"/>
  <c r="U62" i="12"/>
  <c r="U62" i="13"/>
  <c r="U62" i="10"/>
  <c r="U62" i="11"/>
  <c r="U62" i="14"/>
  <c r="V58" i="6"/>
  <c r="U59" i="5"/>
  <c r="B163" i="9"/>
  <c r="B163" i="8"/>
  <c r="B163" i="7"/>
  <c r="U70" i="21"/>
  <c r="X71" i="18"/>
  <c r="U51" i="19"/>
  <c r="U73" i="15"/>
  <c r="W73" i="15" s="1"/>
  <c r="U78" i="17"/>
  <c r="T54" i="16"/>
  <c r="V54" i="16" s="1"/>
  <c r="U57" i="14"/>
  <c r="U57" i="13"/>
  <c r="U57" i="10"/>
  <c r="U57" i="11"/>
  <c r="X71" i="9"/>
  <c r="X71" i="8"/>
  <c r="U57" i="12"/>
  <c r="V53" i="6"/>
  <c r="U53" i="5"/>
  <c r="W53" i="5" s="1"/>
  <c r="X88" i="8"/>
  <c r="X88" i="7"/>
  <c r="A293" i="3"/>
  <c r="A292" i="3"/>
  <c r="A290" i="3"/>
  <c r="A289" i="3"/>
  <c r="A288" i="3"/>
  <c r="A287" i="3"/>
  <c r="A329" i="3"/>
  <c r="A327" i="3"/>
  <c r="A326" i="3"/>
  <c r="A324" i="3"/>
  <c r="A323" i="3"/>
  <c r="A325" i="3"/>
  <c r="A322" i="3"/>
  <c r="F499" i="3"/>
  <c r="H499" i="3" s="1"/>
  <c r="BU75" i="4"/>
  <c r="C121" i="18"/>
  <c r="AC76" i="4"/>
  <c r="AG77" i="4"/>
  <c r="A123" i="13"/>
  <c r="A123" i="14"/>
  <c r="A123" i="11"/>
  <c r="A123" i="12"/>
  <c r="A123" i="10"/>
  <c r="B122" i="16"/>
  <c r="AO96" i="4"/>
  <c r="AK96" i="4"/>
  <c r="AG96" i="4"/>
  <c r="AC98" i="4"/>
  <c r="C145" i="18"/>
  <c r="AC101" i="4"/>
  <c r="U156" i="21"/>
  <c r="B161" i="21"/>
  <c r="BX17" i="5"/>
  <c r="CA18" i="5"/>
  <c r="BY35" i="5"/>
  <c r="C151" i="9"/>
  <c r="C151" i="8"/>
  <c r="C151" i="7"/>
  <c r="B70" i="20"/>
  <c r="B63" i="22"/>
  <c r="C130" i="8"/>
  <c r="C130" i="9"/>
  <c r="C130" i="7"/>
  <c r="B136" i="19"/>
  <c r="AS114" i="4"/>
  <c r="BX14" i="5"/>
  <c r="G74" i="4"/>
  <c r="AR74" i="4" s="1"/>
  <c r="F45" i="19"/>
  <c r="F67" i="21"/>
  <c r="G66" i="18"/>
  <c r="F48" i="16"/>
  <c r="F74" i="17"/>
  <c r="F52" i="11"/>
  <c r="F52" i="13"/>
  <c r="F52" i="12"/>
  <c r="F68" i="15"/>
  <c r="F52" i="10"/>
  <c r="F52" i="14"/>
  <c r="G66" i="8"/>
  <c r="G66" i="7"/>
  <c r="BX25" i="5"/>
  <c r="G49" i="6"/>
  <c r="O49" i="6" s="1"/>
  <c r="BX32" i="5"/>
  <c r="BX29" i="5"/>
  <c r="BX33" i="5"/>
  <c r="BX36" i="5"/>
  <c r="BX30" i="5"/>
  <c r="BX22" i="5"/>
  <c r="BX26" i="5"/>
  <c r="BX27" i="5"/>
  <c r="BX37" i="5"/>
  <c r="BX16" i="5"/>
  <c r="BX12" i="5"/>
  <c r="BX20" i="5"/>
  <c r="B123" i="16"/>
  <c r="AO98" i="4"/>
  <c r="AK98" i="4"/>
  <c r="AG98" i="4"/>
  <c r="AY10" i="6"/>
  <c r="A251" i="3"/>
  <c r="X106" i="18"/>
  <c r="Z106" i="18" s="1"/>
  <c r="U84" i="19"/>
  <c r="W84" i="19" s="1"/>
  <c r="U105" i="15"/>
  <c r="T87" i="16"/>
  <c r="V87" i="16" s="1"/>
  <c r="U91" i="14"/>
  <c r="W91" i="14" s="1"/>
  <c r="U91" i="10"/>
  <c r="W91" i="10" s="1"/>
  <c r="U91" i="11"/>
  <c r="W91" i="11" s="1"/>
  <c r="U91" i="13"/>
  <c r="W91" i="13" s="1"/>
  <c r="U115" i="17"/>
  <c r="W115" i="17" s="1"/>
  <c r="X106" i="9"/>
  <c r="U91" i="12"/>
  <c r="W91" i="12" s="1"/>
  <c r="X106" i="8"/>
  <c r="Z106" i="8" s="1"/>
  <c r="X106" i="7"/>
  <c r="Z106" i="7" s="1"/>
  <c r="U81" i="5"/>
  <c r="W81" i="5" s="1"/>
  <c r="B64" i="22"/>
  <c r="B71" i="20"/>
  <c r="AL6" i="2"/>
  <c r="AL11" i="2" s="1"/>
  <c r="H513" i="3"/>
  <c r="E519" i="3"/>
  <c r="G519" i="3" s="1"/>
  <c r="K5" i="20"/>
  <c r="I5" i="21"/>
  <c r="K5" i="22"/>
  <c r="J5" i="18"/>
  <c r="I5" i="19"/>
  <c r="I5" i="15"/>
  <c r="I5" i="16"/>
  <c r="I5" i="17"/>
  <c r="I5" i="14"/>
  <c r="I5" i="12"/>
  <c r="I5" i="11"/>
  <c r="I5" i="10"/>
  <c r="I5" i="13"/>
  <c r="J5" i="9"/>
  <c r="J5" i="6"/>
  <c r="J5" i="8"/>
  <c r="J5" i="7"/>
  <c r="J5" i="5"/>
  <c r="B129" i="9"/>
  <c r="B129" i="8"/>
  <c r="B129" i="7"/>
  <c r="C136" i="9"/>
  <c r="C136" i="8"/>
  <c r="C136" i="7"/>
  <c r="B64" i="20"/>
  <c r="B57" i="22"/>
  <c r="AS91" i="4"/>
  <c r="B123" i="13"/>
  <c r="B123" i="14"/>
  <c r="B123" i="11"/>
  <c r="B123" i="12"/>
  <c r="BY92" i="4"/>
  <c r="B123" i="10"/>
  <c r="B140" i="9"/>
  <c r="B140" i="8"/>
  <c r="B140" i="7"/>
  <c r="C124" i="6"/>
  <c r="BU96" i="4"/>
  <c r="T144" i="21"/>
  <c r="A148" i="21"/>
  <c r="G128" i="4"/>
  <c r="AR128" i="4" s="1"/>
  <c r="BY17" i="5"/>
  <c r="BZ35" i="5"/>
  <c r="BF33" i="6"/>
  <c r="BF17" i="6"/>
  <c r="BF34" i="6"/>
  <c r="BF18" i="6"/>
  <c r="BF35" i="6"/>
  <c r="BF19" i="6"/>
  <c r="BF25" i="6"/>
  <c r="BF16" i="6"/>
  <c r="BF21" i="6"/>
  <c r="BF22" i="6"/>
  <c r="BF32" i="6"/>
  <c r="BF23" i="6"/>
  <c r="BF10" i="6"/>
  <c r="BW10" i="7"/>
  <c r="B113" i="16"/>
  <c r="AO87" i="4"/>
  <c r="BY27" i="5"/>
  <c r="A70" i="3"/>
  <c r="D286" i="3"/>
  <c r="D322" i="3"/>
  <c r="A328" i="3"/>
  <c r="F519" i="3"/>
  <c r="H519" i="3" s="1"/>
  <c r="P5" i="20"/>
  <c r="N5" i="19"/>
  <c r="P5" i="22"/>
  <c r="N5" i="21"/>
  <c r="O5" i="18"/>
  <c r="N5" i="16"/>
  <c r="N5" i="17"/>
  <c r="N5" i="13"/>
  <c r="N5" i="14"/>
  <c r="N5" i="15"/>
  <c r="N5" i="12"/>
  <c r="N5" i="11"/>
  <c r="N5" i="10"/>
  <c r="O5" i="9"/>
  <c r="O5" i="8"/>
  <c r="O5" i="5"/>
  <c r="O5" i="6"/>
  <c r="O5" i="7"/>
  <c r="I40" i="4"/>
  <c r="Q42" i="4"/>
  <c r="C129" i="9"/>
  <c r="C129" i="8"/>
  <c r="C129" i="7"/>
  <c r="M103" i="4"/>
  <c r="U144" i="21"/>
  <c r="B148" i="21"/>
  <c r="BU125" i="4"/>
  <c r="C152" i="6"/>
  <c r="A161" i="13"/>
  <c r="A161" i="14"/>
  <c r="A161" i="11"/>
  <c r="A161" i="10"/>
  <c r="A161" i="12"/>
  <c r="AR19" i="5"/>
  <c r="V19" i="5" s="1"/>
  <c r="H72" i="3" s="1"/>
  <c r="AL19" i="5"/>
  <c r="BX19" i="5"/>
  <c r="CA22" i="5"/>
  <c r="AL22" i="5"/>
  <c r="BX28" i="5"/>
  <c r="AR38" i="5"/>
  <c r="BX10" i="7"/>
  <c r="B139" i="7"/>
  <c r="B7" i="6"/>
  <c r="B7" i="5"/>
  <c r="A139" i="21"/>
  <c r="T135" i="21"/>
  <c r="B175" i="9"/>
  <c r="B175" i="8"/>
  <c r="B175" i="7"/>
  <c r="CR14" i="7"/>
  <c r="T14" i="7"/>
  <c r="U135" i="21"/>
  <c r="B139" i="21"/>
  <c r="C163" i="18"/>
  <c r="AC119" i="4"/>
  <c r="F44" i="19"/>
  <c r="AU22" i="19"/>
  <c r="AY17" i="21"/>
  <c r="AY49" i="21"/>
  <c r="U8" i="20"/>
  <c r="F66" i="21"/>
  <c r="M8" i="20"/>
  <c r="R10" i="20" s="1"/>
  <c r="AY23" i="21"/>
  <c r="AY34" i="21"/>
  <c r="AU12" i="19"/>
  <c r="AY37" i="21"/>
  <c r="AY25" i="21"/>
  <c r="AY28" i="21"/>
  <c r="AY47" i="21"/>
  <c r="AU27" i="19"/>
  <c r="G65" i="18"/>
  <c r="AY38" i="21"/>
  <c r="AY10" i="21"/>
  <c r="AU17" i="19"/>
  <c r="AU29" i="19"/>
  <c r="CN41" i="18"/>
  <c r="M150" i="18" s="1"/>
  <c r="AY24" i="21"/>
  <c r="AY43" i="21"/>
  <c r="AY29" i="21"/>
  <c r="AY11" i="21"/>
  <c r="AU20" i="19"/>
  <c r="AU30" i="19"/>
  <c r="AU10" i="19"/>
  <c r="AY14" i="21"/>
  <c r="CN22" i="18"/>
  <c r="M131" i="18" s="1"/>
  <c r="AU14" i="19"/>
  <c r="BJ15" i="17"/>
  <c r="AY15" i="21"/>
  <c r="AY41" i="21"/>
  <c r="AU13" i="19"/>
  <c r="BJ49" i="17"/>
  <c r="BJ35" i="17"/>
  <c r="AY51" i="21"/>
  <c r="BJ40" i="17"/>
  <c r="AY30" i="21"/>
  <c r="BJ48" i="17"/>
  <c r="BJ39" i="17"/>
  <c r="AW11" i="16"/>
  <c r="AW32" i="16"/>
  <c r="BJ26" i="17"/>
  <c r="BJ34" i="17"/>
  <c r="BJ47" i="17"/>
  <c r="BJ42" i="17"/>
  <c r="AU26" i="19"/>
  <c r="F47" i="16"/>
  <c r="BJ37" i="17"/>
  <c r="BJ21" i="17"/>
  <c r="AY39" i="21"/>
  <c r="F51" i="14"/>
  <c r="AW12" i="16"/>
  <c r="AY42" i="21"/>
  <c r="AW15" i="16"/>
  <c r="BT14" i="14"/>
  <c r="AW23" i="16"/>
  <c r="BT28" i="14"/>
  <c r="BF14" i="15"/>
  <c r="BF41" i="15"/>
  <c r="BF15" i="15"/>
  <c r="BK32" i="14"/>
  <c r="BJ45" i="17"/>
  <c r="BF45" i="15"/>
  <c r="AW26" i="16"/>
  <c r="BF46" i="15"/>
  <c r="BF43" i="15"/>
  <c r="BJ25" i="17"/>
  <c r="BF47" i="15"/>
  <c r="BF25" i="15"/>
  <c r="BK14" i="14"/>
  <c r="AW13" i="16"/>
  <c r="BF48" i="15"/>
  <c r="BF17" i="15"/>
  <c r="AW18" i="16"/>
  <c r="BF49" i="15"/>
  <c r="BF26" i="15"/>
  <c r="AU24" i="19"/>
  <c r="BF27" i="15"/>
  <c r="BT13" i="14"/>
  <c r="BT20" i="14"/>
  <c r="BK29" i="14"/>
  <c r="F67" i="15"/>
  <c r="BF30" i="15"/>
  <c r="AW27" i="16"/>
  <c r="BF22" i="15"/>
  <c r="BK28" i="13"/>
  <c r="BF52" i="15"/>
  <c r="BK23" i="14"/>
  <c r="BT19" i="14"/>
  <c r="BT21" i="13"/>
  <c r="BJ29" i="17"/>
  <c r="BT19" i="13"/>
  <c r="BF31" i="15"/>
  <c r="BF37" i="15"/>
  <c r="F73" i="17"/>
  <c r="AW34" i="16"/>
  <c r="BJ23" i="17"/>
  <c r="BF53" i="15"/>
  <c r="BK19" i="14"/>
  <c r="BF32" i="15"/>
  <c r="BK31" i="14"/>
  <c r="BT22" i="14"/>
  <c r="BT29" i="13"/>
  <c r="BF33" i="15"/>
  <c r="BT27" i="14"/>
  <c r="BT15" i="14"/>
  <c r="BK13" i="14"/>
  <c r="BK10" i="14"/>
  <c r="BT35" i="13"/>
  <c r="AW21" i="16"/>
  <c r="BF38" i="15"/>
  <c r="BT34" i="13"/>
  <c r="BT22" i="13"/>
  <c r="BK15" i="14"/>
  <c r="BK31" i="13"/>
  <c r="BT32" i="12"/>
  <c r="BT13" i="13"/>
  <c r="BK24" i="12"/>
  <c r="BK27" i="14"/>
  <c r="BJ33" i="17"/>
  <c r="BJ44" i="17"/>
  <c r="BF21" i="15"/>
  <c r="BT26" i="13"/>
  <c r="BT22" i="12"/>
  <c r="BT30" i="14"/>
  <c r="BK15" i="12"/>
  <c r="BT29" i="11"/>
  <c r="BJ32" i="17"/>
  <c r="BK12" i="14"/>
  <c r="BK27" i="12"/>
  <c r="BK26" i="13"/>
  <c r="BT15" i="13"/>
  <c r="BK22" i="12"/>
  <c r="BT31" i="12"/>
  <c r="BK17" i="12"/>
  <c r="BT32" i="13"/>
  <c r="BK29" i="13"/>
  <c r="BT25" i="13"/>
  <c r="BT18" i="13"/>
  <c r="BK12" i="13"/>
  <c r="BT14" i="12"/>
  <c r="BT31" i="13"/>
  <c r="BF12" i="15"/>
  <c r="BK33" i="13"/>
  <c r="BT12" i="11"/>
  <c r="F51" i="11"/>
  <c r="BT11" i="13"/>
  <c r="BK28" i="12"/>
  <c r="BT21" i="12"/>
  <c r="BT23" i="11"/>
  <c r="BT24" i="10"/>
  <c r="BT32" i="14"/>
  <c r="F51" i="13"/>
  <c r="BK10" i="11"/>
  <c r="F51" i="12"/>
  <c r="BT22" i="10"/>
  <c r="BK14" i="10"/>
  <c r="BK35" i="12"/>
  <c r="BT32" i="10"/>
  <c r="BK28" i="10"/>
  <c r="BK17" i="14"/>
  <c r="BK24" i="13"/>
  <c r="BT12" i="14"/>
  <c r="BT25" i="11"/>
  <c r="BK26" i="10"/>
  <c r="BT10" i="13"/>
  <c r="BT27" i="12"/>
  <c r="BK17" i="11"/>
  <c r="F51" i="10"/>
  <c r="BT26" i="14"/>
  <c r="BK13" i="12"/>
  <c r="BK19" i="11"/>
  <c r="BT18" i="10"/>
  <c r="BT35" i="14"/>
  <c r="BK35" i="11"/>
  <c r="BK31" i="10"/>
  <c r="BK10" i="13"/>
  <c r="BK30" i="11"/>
  <c r="BT11" i="10"/>
  <c r="BT34" i="11"/>
  <c r="BF20" i="15"/>
  <c r="BT27" i="10"/>
  <c r="BT15" i="12"/>
  <c r="BK33" i="12"/>
  <c r="BK21" i="10"/>
  <c r="BK11" i="10"/>
  <c r="CN14" i="9"/>
  <c r="M124" i="9" s="1"/>
  <c r="BK18" i="13"/>
  <c r="BK16" i="11"/>
  <c r="BF28" i="15"/>
  <c r="BK24" i="11"/>
  <c r="BT21" i="14"/>
  <c r="BK17" i="13"/>
  <c r="BK35" i="10"/>
  <c r="BK23" i="13"/>
  <c r="BK19" i="12"/>
  <c r="BT32" i="11"/>
  <c r="BF51" i="15"/>
  <c r="BT16" i="13"/>
  <c r="BK28" i="11"/>
  <c r="BK27" i="13"/>
  <c r="BK32" i="11"/>
  <c r="BT24" i="11"/>
  <c r="BK22" i="11"/>
  <c r="BT12" i="10"/>
  <c r="BK23" i="12"/>
  <c r="BK35" i="13"/>
  <c r="BK25" i="10"/>
  <c r="BK32" i="12"/>
  <c r="BT35" i="11"/>
  <c r="G65" i="8"/>
  <c r="BT19" i="11"/>
  <c r="BK19" i="10"/>
  <c r="BK30" i="12"/>
  <c r="BK29" i="10"/>
  <c r="BK27" i="11"/>
  <c r="BT23" i="10"/>
  <c r="BK13" i="10"/>
  <c r="BT13" i="11"/>
  <c r="BK21" i="13"/>
  <c r="BT35" i="12"/>
  <c r="BK33" i="10"/>
  <c r="BK23" i="10"/>
  <c r="BK14" i="13"/>
  <c r="BK27" i="10"/>
  <c r="BT31" i="11"/>
  <c r="BK15" i="10"/>
  <c r="G65" i="9"/>
  <c r="BT31" i="10"/>
  <c r="CN12" i="8"/>
  <c r="M122" i="8" s="1"/>
  <c r="BT16" i="12"/>
  <c r="CN20" i="8"/>
  <c r="M130" i="8" s="1"/>
  <c r="BW28" i="5"/>
  <c r="G65" i="7"/>
  <c r="CN16" i="8"/>
  <c r="M126" i="8" s="1"/>
  <c r="BG34" i="6"/>
  <c r="BG18" i="6"/>
  <c r="G48" i="6"/>
  <c r="G49" i="5"/>
  <c r="BG33" i="6"/>
  <c r="BG17" i="6"/>
  <c r="BG22" i="6"/>
  <c r="BG27" i="6"/>
  <c r="BW31" i="5"/>
  <c r="BG15" i="6"/>
  <c r="BG32" i="6"/>
  <c r="BG29" i="6"/>
  <c r="BW32" i="5"/>
  <c r="BW25" i="5"/>
  <c r="BW29" i="5"/>
  <c r="BW33" i="5"/>
  <c r="BG23" i="6"/>
  <c r="BW30" i="5"/>
  <c r="BW22" i="5"/>
  <c r="BW19" i="5"/>
  <c r="BW26" i="5"/>
  <c r="BG24" i="6"/>
  <c r="BG11" i="6"/>
  <c r="BW27" i="5"/>
  <c r="BG28" i="6"/>
  <c r="BG31" i="6"/>
  <c r="BW12" i="5"/>
  <c r="BJ13" i="6"/>
  <c r="AZ13" i="6"/>
  <c r="AZ36" i="6" s="1"/>
  <c r="FU13" i="6"/>
  <c r="BF13" i="6"/>
  <c r="B69" i="22"/>
  <c r="B76" i="20"/>
  <c r="A452" i="3"/>
  <c r="B97" i="19"/>
  <c r="AS74" i="4"/>
  <c r="I69" i="6"/>
  <c r="O69" i="6" s="1"/>
  <c r="U67" i="21"/>
  <c r="X66" i="18"/>
  <c r="X70" i="18" s="1"/>
  <c r="U45" i="19"/>
  <c r="T48" i="16"/>
  <c r="U68" i="15"/>
  <c r="U91" i="15"/>
  <c r="W91" i="15" s="1"/>
  <c r="U52" i="13"/>
  <c r="U73" i="17"/>
  <c r="U52" i="12"/>
  <c r="U52" i="14"/>
  <c r="U52" i="10"/>
  <c r="X66" i="9"/>
  <c r="X70" i="9" s="1"/>
  <c r="Z70" i="9" s="1"/>
  <c r="U52" i="11"/>
  <c r="X66" i="8"/>
  <c r="X70" i="8" s="1"/>
  <c r="Z70" i="8" s="1"/>
  <c r="V50" i="6"/>
  <c r="X66" i="7"/>
  <c r="X70" i="7" s="1"/>
  <c r="Z70" i="7" s="1"/>
  <c r="B111" i="14"/>
  <c r="B111" i="12"/>
  <c r="B111" i="13"/>
  <c r="B111" i="11"/>
  <c r="B111" i="10"/>
  <c r="A116" i="14"/>
  <c r="A116" i="13"/>
  <c r="A116" i="12"/>
  <c r="A116" i="11"/>
  <c r="A116" i="10"/>
  <c r="BX21" i="5"/>
  <c r="X82" i="18"/>
  <c r="U62" i="19"/>
  <c r="U89" i="17"/>
  <c r="W89" i="17" s="1"/>
  <c r="T66" i="16"/>
  <c r="X82" i="9"/>
  <c r="Z82" i="9" s="1"/>
  <c r="X82" i="8"/>
  <c r="Z82" i="8" s="1"/>
  <c r="U66" i="5"/>
  <c r="W66" i="5" s="1"/>
  <c r="X82" i="7"/>
  <c r="Z82" i="7" s="1"/>
  <c r="A331" i="3"/>
  <c r="A330" i="3"/>
  <c r="A372" i="3"/>
  <c r="A374" i="3"/>
  <c r="B6" i="6"/>
  <c r="B6" i="5"/>
  <c r="B102" i="16"/>
  <c r="AO76" i="4"/>
  <c r="AK76" i="4"/>
  <c r="AG76" i="4"/>
  <c r="AK77" i="4"/>
  <c r="C106" i="6"/>
  <c r="BU78" i="4"/>
  <c r="A122" i="21"/>
  <c r="T122" i="21"/>
  <c r="A127" i="14"/>
  <c r="A127" i="11"/>
  <c r="A127" i="12"/>
  <c r="A127" i="13"/>
  <c r="A127" i="10"/>
  <c r="B119" i="19"/>
  <c r="AS96" i="4"/>
  <c r="B126" i="16"/>
  <c r="AO101" i="4"/>
  <c r="AK101" i="4"/>
  <c r="B173" i="9"/>
  <c r="B173" i="8"/>
  <c r="B173" i="7"/>
  <c r="B149" i="19"/>
  <c r="AS127" i="4"/>
  <c r="C158" i="6"/>
  <c r="BU131" i="4"/>
  <c r="CB17" i="5"/>
  <c r="AL25" i="5"/>
  <c r="CB28" i="5"/>
  <c r="BZ10" i="7"/>
  <c r="BB14" i="8"/>
  <c r="Q14" i="8" s="1"/>
  <c r="AQ14" i="8" s="1"/>
  <c r="A422" i="3"/>
  <c r="B109" i="19"/>
  <c r="AS86" i="4"/>
  <c r="C127" i="18"/>
  <c r="AC82" i="4"/>
  <c r="A107" i="14"/>
  <c r="A107" i="13"/>
  <c r="A107" i="12"/>
  <c r="A107" i="10"/>
  <c r="A107" i="11"/>
  <c r="B107" i="13"/>
  <c r="B107" i="10"/>
  <c r="B107" i="14"/>
  <c r="B107" i="11"/>
  <c r="B107" i="12"/>
  <c r="BY76" i="4"/>
  <c r="C78" i="20"/>
  <c r="C71" i="22"/>
  <c r="C84" i="22"/>
  <c r="C91" i="20"/>
  <c r="F50" i="19"/>
  <c r="F71" i="15"/>
  <c r="CF30" i="5"/>
  <c r="CF34" i="5"/>
  <c r="CF35" i="5"/>
  <c r="CF29" i="5"/>
  <c r="CF27" i="5"/>
  <c r="CF26" i="5"/>
  <c r="CF14" i="5"/>
  <c r="CF36" i="5"/>
  <c r="CF17" i="5"/>
  <c r="CF22" i="5"/>
  <c r="CF12" i="5"/>
  <c r="CF20" i="5"/>
  <c r="CF28" i="5"/>
  <c r="CF24" i="5"/>
  <c r="C125" i="9"/>
  <c r="C125" i="8"/>
  <c r="C125" i="7"/>
  <c r="B58" i="22"/>
  <c r="B65" i="20"/>
  <c r="BY74" i="4"/>
  <c r="CA33" i="5"/>
  <c r="AN27" i="2"/>
  <c r="E281" i="3"/>
  <c r="B500" i="3"/>
  <c r="A500" i="3" s="1"/>
  <c r="D6" i="6"/>
  <c r="D6" i="5"/>
  <c r="B124" i="9"/>
  <c r="B124" i="8"/>
  <c r="B124" i="7"/>
  <c r="U119" i="21"/>
  <c r="B119" i="21"/>
  <c r="B112" i="14"/>
  <c r="B112" i="13"/>
  <c r="B112" i="11"/>
  <c r="B112" i="10"/>
  <c r="B112" i="12"/>
  <c r="M81" i="4"/>
  <c r="U122" i="21"/>
  <c r="B122" i="21"/>
  <c r="AK87" i="4"/>
  <c r="AS89" i="4"/>
  <c r="B127" i="14"/>
  <c r="B127" i="12"/>
  <c r="B127" i="13"/>
  <c r="B127" i="10"/>
  <c r="B127" i="11"/>
  <c r="M107" i="4"/>
  <c r="T158" i="21"/>
  <c r="A163" i="21"/>
  <c r="C173" i="9"/>
  <c r="C173" i="8"/>
  <c r="C173" i="7"/>
  <c r="CC17" i="5"/>
  <c r="CC22" i="5"/>
  <c r="CD28" i="5"/>
  <c r="DX15" i="8"/>
  <c r="B154" i="9"/>
  <c r="B154" i="8"/>
  <c r="B154" i="7"/>
  <c r="B153" i="21"/>
  <c r="U149" i="21"/>
  <c r="C163" i="9"/>
  <c r="C163" i="8"/>
  <c r="C166" i="9"/>
  <c r="C166" i="8"/>
  <c r="C166" i="7"/>
  <c r="C93" i="20"/>
  <c r="C86" i="22"/>
  <c r="B101" i="20"/>
  <c r="B94" i="22"/>
  <c r="B156" i="16"/>
  <c r="AO131" i="4"/>
  <c r="AG131" i="4"/>
  <c r="AK131" i="4"/>
  <c r="AL21" i="5"/>
  <c r="CB22" i="5"/>
  <c r="S84" i="5"/>
  <c r="W84" i="5" s="1"/>
  <c r="W62" i="5"/>
  <c r="AU36" i="6"/>
  <c r="BJ20" i="6"/>
  <c r="AZ20" i="6"/>
  <c r="AY34" i="6"/>
  <c r="BR42" i="7"/>
  <c r="EF14" i="7"/>
  <c r="T16" i="7"/>
  <c r="EF16" i="7"/>
  <c r="DX17" i="8"/>
  <c r="X81" i="18"/>
  <c r="Z81" i="18" s="1"/>
  <c r="U88" i="17"/>
  <c r="T64" i="16"/>
  <c r="V64" i="16" s="1"/>
  <c r="X81" i="9"/>
  <c r="Z81" i="9" s="1"/>
  <c r="X81" i="8"/>
  <c r="Z81" i="8" s="1"/>
  <c r="X81" i="7"/>
  <c r="Z81" i="7" s="1"/>
  <c r="U65" i="5"/>
  <c r="W65" i="5" s="1"/>
  <c r="U83" i="19"/>
  <c r="U100" i="21"/>
  <c r="U90" i="14"/>
  <c r="T86" i="16"/>
  <c r="U90" i="10"/>
  <c r="U104" i="15"/>
  <c r="W104" i="15" s="1"/>
  <c r="U90" i="11"/>
  <c r="U90" i="13"/>
  <c r="U114" i="17"/>
  <c r="X105" i="9"/>
  <c r="U90" i="12"/>
  <c r="X105" i="8"/>
  <c r="X105" i="7"/>
  <c r="U80" i="5"/>
  <c r="B120" i="9"/>
  <c r="B120" i="8"/>
  <c r="B120" i="7"/>
  <c r="B108" i="13"/>
  <c r="B108" i="14"/>
  <c r="B108" i="11"/>
  <c r="B108" i="12"/>
  <c r="B108" i="10"/>
  <c r="T125" i="21"/>
  <c r="A125" i="21"/>
  <c r="B136" i="9"/>
  <c r="B136" i="8"/>
  <c r="B136" i="7"/>
  <c r="B124" i="14"/>
  <c r="B124" i="12"/>
  <c r="B124" i="11"/>
  <c r="B124" i="13"/>
  <c r="B124" i="10"/>
  <c r="A128" i="14"/>
  <c r="A128" i="12"/>
  <c r="A128" i="13"/>
  <c r="A128" i="11"/>
  <c r="A128" i="10"/>
  <c r="B65" i="22"/>
  <c r="B72" i="20"/>
  <c r="U138" i="21"/>
  <c r="B142" i="21"/>
  <c r="C154" i="9"/>
  <c r="C154" i="8"/>
  <c r="C154" i="7"/>
  <c r="B84" i="20"/>
  <c r="B77" i="22"/>
  <c r="C159" i="8"/>
  <c r="C159" i="9"/>
  <c r="C159" i="7"/>
  <c r="B96" i="20"/>
  <c r="B89" i="22"/>
  <c r="C94" i="22"/>
  <c r="C101" i="20"/>
  <c r="BV39" i="5"/>
  <c r="BG10" i="6"/>
  <c r="BJ30" i="6"/>
  <c r="BF30" i="6"/>
  <c r="FU30" i="6"/>
  <c r="AZ30" i="6"/>
  <c r="BM30" i="7"/>
  <c r="BN30" i="7" s="1"/>
  <c r="CO30" i="7" s="1"/>
  <c r="I140" i="7" s="1"/>
  <c r="B169" i="9"/>
  <c r="B169" i="8"/>
  <c r="B169" i="7"/>
  <c r="T162" i="21"/>
  <c r="A167" i="21"/>
  <c r="AL38" i="5"/>
  <c r="BW38" i="5"/>
  <c r="AS36" i="6"/>
  <c r="AN6" i="2" s="1"/>
  <c r="AN11" i="2" s="1"/>
  <c r="BA36" i="6"/>
  <c r="L60" i="6" s="1"/>
  <c r="AY27" i="6"/>
  <c r="EF21" i="7"/>
  <c r="DX21" i="7" s="1"/>
  <c r="BC18" i="7"/>
  <c r="BM18" i="7" s="1"/>
  <c r="BN18" i="7" s="1"/>
  <c r="BC25" i="7"/>
  <c r="BC17" i="7"/>
  <c r="BM17" i="7" s="1"/>
  <c r="BN17" i="7" s="1"/>
  <c r="BC23" i="7"/>
  <c r="BC16" i="7"/>
  <c r="BC24" i="7"/>
  <c r="BC14" i="7"/>
  <c r="BC13" i="7"/>
  <c r="BM13" i="7" s="1"/>
  <c r="BN13" i="7" s="1"/>
  <c r="BC19" i="7"/>
  <c r="BC12" i="7"/>
  <c r="BC21" i="7"/>
  <c r="BC20" i="7"/>
  <c r="BM20" i="7" s="1"/>
  <c r="BC10" i="7"/>
  <c r="BM10" i="7" s="1"/>
  <c r="C169" i="9"/>
  <c r="C169" i="8"/>
  <c r="C169" i="7"/>
  <c r="U162" i="21"/>
  <c r="B167" i="21"/>
  <c r="BX38" i="5"/>
  <c r="BF33" i="5"/>
  <c r="BP33" i="5" s="1"/>
  <c r="BF24" i="5"/>
  <c r="BP24" i="5" s="1"/>
  <c r="BF21" i="5"/>
  <c r="BP21" i="5" s="1"/>
  <c r="BF15" i="5"/>
  <c r="BP15" i="5" s="1"/>
  <c r="BF35" i="5"/>
  <c r="BP35" i="5" s="1"/>
  <c r="BF25" i="5"/>
  <c r="BP25" i="5" s="1"/>
  <c r="BF29" i="5"/>
  <c r="BP29" i="5" s="1"/>
  <c r="BF28" i="5"/>
  <c r="BP28" i="5" s="1"/>
  <c r="BF36" i="5"/>
  <c r="BP36" i="5" s="1"/>
  <c r="BF27" i="5"/>
  <c r="BP27" i="5" s="1"/>
  <c r="BF26" i="5"/>
  <c r="BP26" i="5" s="1"/>
  <c r="BF23" i="5"/>
  <c r="BP23" i="5" s="1"/>
  <c r="BF37" i="5"/>
  <c r="BP37" i="5" s="1"/>
  <c r="BF11" i="5"/>
  <c r="BP11" i="5" s="1"/>
  <c r="BF22" i="5"/>
  <c r="BP22" i="5" s="1"/>
  <c r="BF17" i="5"/>
  <c r="BP17" i="5" s="1"/>
  <c r="BF16" i="5"/>
  <c r="BP16" i="5" s="1"/>
  <c r="BF12" i="5"/>
  <c r="BP12" i="5" s="1"/>
  <c r="BF20" i="5"/>
  <c r="BP20" i="5" s="1"/>
  <c r="BF19" i="5"/>
  <c r="BP19" i="5" s="1"/>
  <c r="BO10" i="5"/>
  <c r="BF18" i="5"/>
  <c r="BP18" i="5" s="1"/>
  <c r="BF13" i="5"/>
  <c r="BP13" i="5" s="1"/>
  <c r="BE13" i="5"/>
  <c r="BO13" i="5" s="1"/>
  <c r="W55" i="5"/>
  <c r="AT36" i="6"/>
  <c r="AO6" i="2" s="1"/>
  <c r="AO11" i="2" s="1"/>
  <c r="Y13" i="6"/>
  <c r="CF42" i="7"/>
  <c r="B122" i="10"/>
  <c r="A137" i="14"/>
  <c r="A137" i="13"/>
  <c r="A137" i="12"/>
  <c r="A137" i="11"/>
  <c r="A137" i="10"/>
  <c r="B74" i="22"/>
  <c r="B81" i="20"/>
  <c r="C156" i="18"/>
  <c r="AC112" i="4"/>
  <c r="B139" i="16"/>
  <c r="AG114" i="4"/>
  <c r="B158" i="21"/>
  <c r="U153" i="21"/>
  <c r="G124" i="4"/>
  <c r="AR124" i="4" s="1"/>
  <c r="BX13" i="5"/>
  <c r="CF19" i="5"/>
  <c r="BY38" i="5"/>
  <c r="BG13" i="6"/>
  <c r="AY13" i="6"/>
  <c r="BB16" i="7"/>
  <c r="Q16" i="7" s="1"/>
  <c r="T17" i="7"/>
  <c r="BB11" i="8"/>
  <c r="Q11" i="8" s="1"/>
  <c r="AQ11" i="8" s="1"/>
  <c r="B162" i="15"/>
  <c r="BA117" i="4"/>
  <c r="B100" i="20"/>
  <c r="B93" i="22"/>
  <c r="A159" i="13"/>
  <c r="A159" i="14"/>
  <c r="A159" i="12"/>
  <c r="A159" i="11"/>
  <c r="A159" i="10"/>
  <c r="B95" i="22"/>
  <c r="B102" i="20"/>
  <c r="BZ38" i="5"/>
  <c r="AV36" i="6"/>
  <c r="CH42" i="7"/>
  <c r="T11" i="7"/>
  <c r="I83" i="7" s="1"/>
  <c r="CC26" i="7"/>
  <c r="EF27" i="7"/>
  <c r="DX27" i="7" s="1"/>
  <c r="BB12" i="8"/>
  <c r="Q12" i="8" s="1"/>
  <c r="AQ12" i="8" s="1"/>
  <c r="A137" i="21"/>
  <c r="T134" i="21"/>
  <c r="B138" i="21"/>
  <c r="U140" i="21"/>
  <c r="C150" i="8"/>
  <c r="C150" i="9"/>
  <c r="C150" i="7"/>
  <c r="B140" i="14"/>
  <c r="B140" i="13"/>
  <c r="B140" i="12"/>
  <c r="B140" i="10"/>
  <c r="B140" i="11"/>
  <c r="BY110" i="4"/>
  <c r="B132" i="19"/>
  <c r="AS110" i="4"/>
  <c r="A144" i="14"/>
  <c r="A144" i="13"/>
  <c r="A144" i="11"/>
  <c r="A144" i="12"/>
  <c r="A144" i="10"/>
  <c r="C160" i="18"/>
  <c r="AC116" i="4"/>
  <c r="B84" i="22"/>
  <c r="B91" i="20"/>
  <c r="C93" i="22"/>
  <c r="C100" i="20"/>
  <c r="B159" i="14"/>
  <c r="B159" i="13"/>
  <c r="B159" i="12"/>
  <c r="B159" i="10"/>
  <c r="B159" i="11"/>
  <c r="BW14" i="5"/>
  <c r="CD17" i="5"/>
  <c r="AR24" i="5"/>
  <c r="V24" i="5" s="1"/>
  <c r="H77" i="3" s="1"/>
  <c r="CA38" i="5"/>
  <c r="X63" i="6"/>
  <c r="CG42" i="7"/>
  <c r="CR27" i="8"/>
  <c r="T27" i="8"/>
  <c r="U36" i="8"/>
  <c r="CT36" i="8" s="1"/>
  <c r="CL36" i="8"/>
  <c r="A144" i="21"/>
  <c r="T141" i="21"/>
  <c r="C156" i="9"/>
  <c r="C156" i="8"/>
  <c r="C156" i="7"/>
  <c r="B150" i="21"/>
  <c r="U146" i="21"/>
  <c r="A142" i="13"/>
  <c r="A142" i="14"/>
  <c r="A142" i="12"/>
  <c r="A142" i="10"/>
  <c r="A142" i="11"/>
  <c r="B160" i="9"/>
  <c r="B160" i="8"/>
  <c r="B160" i="7"/>
  <c r="T150" i="21"/>
  <c r="A154" i="21"/>
  <c r="C143" i="6"/>
  <c r="BU116" i="4"/>
  <c r="B141" i="16"/>
  <c r="AO116" i="4"/>
  <c r="AK116" i="4"/>
  <c r="AG116" i="4"/>
  <c r="C170" i="18"/>
  <c r="AC126" i="4"/>
  <c r="C175" i="9"/>
  <c r="C175" i="8"/>
  <c r="C175" i="7"/>
  <c r="BU129" i="4"/>
  <c r="B161" i="13"/>
  <c r="B161" i="14"/>
  <c r="B161" i="11"/>
  <c r="B161" i="10"/>
  <c r="B161" i="12"/>
  <c r="BY131" i="4"/>
  <c r="CD13" i="5"/>
  <c r="BZ14" i="5"/>
  <c r="BF26" i="6"/>
  <c r="BJ29" i="6"/>
  <c r="AZ29" i="6"/>
  <c r="FU29" i="6"/>
  <c r="BF29" i="6"/>
  <c r="EF12" i="7"/>
  <c r="DX12" i="7" s="1"/>
  <c r="CE27" i="7"/>
  <c r="CD27" i="7"/>
  <c r="DA27" i="7" s="1"/>
  <c r="K137" i="7" s="1"/>
  <c r="CB27" i="7"/>
  <c r="CA27" i="7"/>
  <c r="BY27" i="7"/>
  <c r="BX27" i="7"/>
  <c r="BV27" i="7"/>
  <c r="BU27" i="7"/>
  <c r="BT27" i="7"/>
  <c r="BS27" i="7"/>
  <c r="BZ27" i="7"/>
  <c r="BW27" i="7"/>
  <c r="P27" i="7"/>
  <c r="DX28" i="7"/>
  <c r="CM38" i="7"/>
  <c r="BS38" i="7"/>
  <c r="CI38" i="7"/>
  <c r="CE38" i="7"/>
  <c r="CD38" i="7"/>
  <c r="DA38" i="7" s="1"/>
  <c r="K148" i="7" s="1"/>
  <c r="CB38" i="7"/>
  <c r="CA38" i="7"/>
  <c r="BZ38" i="7"/>
  <c r="BY38" i="7"/>
  <c r="BX38" i="7"/>
  <c r="BV38" i="7"/>
  <c r="BT38" i="7"/>
  <c r="BO38" i="7"/>
  <c r="BM38" i="7"/>
  <c r="BN38" i="7" s="1"/>
  <c r="CO38" i="7" s="1"/>
  <c r="I148" i="7" s="1"/>
  <c r="B138" i="9"/>
  <c r="B138" i="8"/>
  <c r="B138" i="7"/>
  <c r="B126" i="14"/>
  <c r="B126" i="11"/>
  <c r="B126" i="12"/>
  <c r="B126" i="13"/>
  <c r="B126" i="10"/>
  <c r="A130" i="13"/>
  <c r="A130" i="14"/>
  <c r="A130" i="12"/>
  <c r="A130" i="10"/>
  <c r="A130" i="11"/>
  <c r="B144" i="21"/>
  <c r="U141" i="21"/>
  <c r="B142" i="14"/>
  <c r="B142" i="13"/>
  <c r="B142" i="12"/>
  <c r="B142" i="11"/>
  <c r="B142" i="10"/>
  <c r="C160" i="8"/>
  <c r="C160" i="9"/>
  <c r="C160" i="7"/>
  <c r="U150" i="21"/>
  <c r="B154" i="21"/>
  <c r="B94" i="20"/>
  <c r="B87" i="22"/>
  <c r="B177" i="9"/>
  <c r="B177" i="8"/>
  <c r="B177" i="7"/>
  <c r="CE13" i="5"/>
  <c r="CA14" i="5"/>
  <c r="V20" i="5"/>
  <c r="H73" i="3" s="1"/>
  <c r="X83" i="6"/>
  <c r="E116" i="6" s="1"/>
  <c r="O88" i="4" s="1"/>
  <c r="X68" i="6"/>
  <c r="W93" i="6"/>
  <c r="X81" i="6"/>
  <c r="E114" i="6" s="1"/>
  <c r="O86" i="4" s="1"/>
  <c r="X49" i="6"/>
  <c r="X79" i="6"/>
  <c r="X65" i="6"/>
  <c r="X86" i="6"/>
  <c r="X64" i="6"/>
  <c r="X73" i="6"/>
  <c r="X82" i="6"/>
  <c r="E115" i="6" s="1"/>
  <c r="O87" i="4" s="1"/>
  <c r="AY19" i="7"/>
  <c r="AY18" i="7"/>
  <c r="AY24" i="7"/>
  <c r="AY17" i="7"/>
  <c r="AY15" i="7"/>
  <c r="AY14" i="7"/>
  <c r="BB14" i="7" s="1"/>
  <c r="Q14" i="7" s="1"/>
  <c r="AY22" i="7"/>
  <c r="AY25" i="7"/>
  <c r="BB25" i="7" s="1"/>
  <c r="Q25" i="7" s="1"/>
  <c r="AY13" i="7"/>
  <c r="AY23" i="7"/>
  <c r="BB23" i="7" s="1"/>
  <c r="Q23" i="7" s="1"/>
  <c r="AY10" i="7"/>
  <c r="BB10" i="7" s="1"/>
  <c r="AY11" i="7"/>
  <c r="BB11" i="7" s="1"/>
  <c r="Q11" i="7" s="1"/>
  <c r="AY21" i="7"/>
  <c r="AY20" i="7"/>
  <c r="C163" i="7"/>
  <c r="CL28" i="8"/>
  <c r="U28" i="8"/>
  <c r="CT28" i="8" s="1"/>
  <c r="K6" i="20"/>
  <c r="I6" i="19"/>
  <c r="I6" i="21"/>
  <c r="K6" i="22"/>
  <c r="J6" i="18"/>
  <c r="I6" i="16"/>
  <c r="I6" i="17"/>
  <c r="I6" i="13"/>
  <c r="I6" i="14"/>
  <c r="I6" i="15"/>
  <c r="I6" i="11"/>
  <c r="I6" i="12"/>
  <c r="I6" i="10"/>
  <c r="J6" i="9"/>
  <c r="J6" i="6"/>
  <c r="J6" i="8"/>
  <c r="C122" i="9"/>
  <c r="C122" i="8"/>
  <c r="C122" i="7"/>
  <c r="C138" i="8"/>
  <c r="C138" i="9"/>
  <c r="C138" i="7"/>
  <c r="B130" i="14"/>
  <c r="B130" i="12"/>
  <c r="B130" i="11"/>
  <c r="B130" i="13"/>
  <c r="B130" i="10"/>
  <c r="B144" i="16"/>
  <c r="AK119" i="4"/>
  <c r="AG119" i="4"/>
  <c r="BU121" i="4"/>
  <c r="BY129" i="4"/>
  <c r="C177" i="8"/>
  <c r="C177" i="9"/>
  <c r="C177" i="7"/>
  <c r="V16" i="5"/>
  <c r="H69" i="3" s="1"/>
  <c r="BW18" i="5"/>
  <c r="BG26" i="6"/>
  <c r="Y29" i="6"/>
  <c r="O78" i="6"/>
  <c r="BC11" i="7"/>
  <c r="BM11" i="7" s="1"/>
  <c r="BN11" i="7" s="1"/>
  <c r="AY16" i="7"/>
  <c r="T21" i="7"/>
  <c r="CR21" i="7"/>
  <c r="BU38" i="7"/>
  <c r="DU25" i="7"/>
  <c r="DU24" i="7"/>
  <c r="DU23" i="7"/>
  <c r="DU22" i="7"/>
  <c r="DU21" i="7"/>
  <c r="DU20" i="7"/>
  <c r="DU11" i="7"/>
  <c r="DU19" i="7"/>
  <c r="DU16" i="7"/>
  <c r="DU15" i="7"/>
  <c r="DU13" i="7"/>
  <c r="A113" i="14"/>
  <c r="A113" i="13"/>
  <c r="A113" i="12"/>
  <c r="A113" i="10"/>
  <c r="A113" i="11"/>
  <c r="B57" i="20"/>
  <c r="B53" i="22"/>
  <c r="B83" i="20"/>
  <c r="B76" i="22"/>
  <c r="A146" i="14"/>
  <c r="A146" i="13"/>
  <c r="A146" i="11"/>
  <c r="A146" i="10"/>
  <c r="A146" i="12"/>
  <c r="U49" i="19"/>
  <c r="U88" i="21"/>
  <c r="U74" i="17"/>
  <c r="X69" i="18"/>
  <c r="U68" i="21"/>
  <c r="T52" i="16"/>
  <c r="U71" i="15"/>
  <c r="U92" i="15"/>
  <c r="W92" i="15" s="1"/>
  <c r="U55" i="13"/>
  <c r="U55" i="14"/>
  <c r="U55" i="12"/>
  <c r="U55" i="10"/>
  <c r="X69" i="9"/>
  <c r="Z69" i="9" s="1"/>
  <c r="U55" i="11"/>
  <c r="X69" i="7"/>
  <c r="X69" i="8"/>
  <c r="U50" i="5"/>
  <c r="V72" i="6"/>
  <c r="V51" i="6"/>
  <c r="A216" i="3"/>
  <c r="A486" i="3"/>
  <c r="P6" i="20"/>
  <c r="N6" i="19"/>
  <c r="N6" i="21"/>
  <c r="P6" i="22"/>
  <c r="O6" i="18"/>
  <c r="N6" i="16"/>
  <c r="N6" i="13"/>
  <c r="N6" i="17"/>
  <c r="N6" i="14"/>
  <c r="N6" i="12"/>
  <c r="N6" i="11"/>
  <c r="N6" i="10"/>
  <c r="N6" i="15"/>
  <c r="O6" i="9"/>
  <c r="O6" i="8"/>
  <c r="O6" i="6"/>
  <c r="I29" i="4"/>
  <c r="B125" i="9"/>
  <c r="B125" i="8"/>
  <c r="B125" i="7"/>
  <c r="B113" i="14"/>
  <c r="B113" i="12"/>
  <c r="B113" i="10"/>
  <c r="B113" i="11"/>
  <c r="B113" i="13"/>
  <c r="T127" i="21"/>
  <c r="A130" i="21"/>
  <c r="B141" i="8"/>
  <c r="B141" i="7"/>
  <c r="B141" i="9"/>
  <c r="A133" i="13"/>
  <c r="A133" i="11"/>
  <c r="A133" i="14"/>
  <c r="A133" i="10"/>
  <c r="A133" i="12"/>
  <c r="B70" i="22"/>
  <c r="B77" i="20"/>
  <c r="A152" i="21"/>
  <c r="T148" i="21"/>
  <c r="B87" i="20"/>
  <c r="B80" i="22"/>
  <c r="B151" i="16"/>
  <c r="AO126" i="4"/>
  <c r="AK126" i="4"/>
  <c r="AG126" i="4"/>
  <c r="BX18" i="5"/>
  <c r="BI29" i="5"/>
  <c r="BS29" i="5" s="1"/>
  <c r="CF32" i="5"/>
  <c r="BO33" i="5"/>
  <c r="AL37" i="5"/>
  <c r="BN38" i="5"/>
  <c r="BF20" i="6"/>
  <c r="Y22" i="6"/>
  <c r="FT22" i="6"/>
  <c r="BK22" i="6" s="1"/>
  <c r="BW38" i="7"/>
  <c r="DK42" i="8"/>
  <c r="A156" i="21"/>
  <c r="T152" i="21"/>
  <c r="C166" i="18"/>
  <c r="AC122" i="4"/>
  <c r="BA128" i="4"/>
  <c r="B206" i="17" s="1"/>
  <c r="BT29" i="5"/>
  <c r="BF38" i="5"/>
  <c r="BP38" i="5" s="1"/>
  <c r="E74" i="5"/>
  <c r="O73" i="5"/>
  <c r="E140" i="5" s="1"/>
  <c r="K120" i="4" s="1"/>
  <c r="AX36" i="6"/>
  <c r="AY26" i="6"/>
  <c r="BC15" i="7"/>
  <c r="BM15" i="7" s="1"/>
  <c r="BN15" i="7" s="1"/>
  <c r="AS105" i="4"/>
  <c r="A136" i="13"/>
  <c r="A136" i="14"/>
  <c r="A136" i="12"/>
  <c r="A136" i="10"/>
  <c r="A136" i="11"/>
  <c r="B80" i="20"/>
  <c r="B73" i="22"/>
  <c r="B162" i="9"/>
  <c r="B162" i="8"/>
  <c r="B162" i="7"/>
  <c r="C153" i="6"/>
  <c r="BU126" i="4"/>
  <c r="J6" i="5"/>
  <c r="AT39" i="5"/>
  <c r="CE14" i="5"/>
  <c r="BF32" i="5"/>
  <c r="BP32" i="5" s="1"/>
  <c r="BI36" i="6"/>
  <c r="AY22" i="6"/>
  <c r="CI27" i="7"/>
  <c r="E164" i="7"/>
  <c r="BM10" i="8"/>
  <c r="A489" i="3"/>
  <c r="E496" i="3"/>
  <c r="G496" i="3" s="1"/>
  <c r="B117" i="21"/>
  <c r="U117" i="21"/>
  <c r="C128" i="9"/>
  <c r="C128" i="8"/>
  <c r="C128" i="7"/>
  <c r="AS87" i="4"/>
  <c r="A119" i="13"/>
  <c r="A119" i="14"/>
  <c r="A119" i="11"/>
  <c r="A119" i="12"/>
  <c r="A119" i="10"/>
  <c r="B63" i="20"/>
  <c r="B56" i="22"/>
  <c r="U130" i="21"/>
  <c r="B133" i="21"/>
  <c r="B149" i="9"/>
  <c r="B149" i="8"/>
  <c r="B149" i="7"/>
  <c r="AG104" i="4"/>
  <c r="B136" i="13"/>
  <c r="B136" i="14"/>
  <c r="B136" i="12"/>
  <c r="B136" i="11"/>
  <c r="B136" i="10"/>
  <c r="C162" i="9"/>
  <c r="C162" i="8"/>
  <c r="C162" i="7"/>
  <c r="T159" i="21"/>
  <c r="A164" i="21"/>
  <c r="B148" i="19"/>
  <c r="AS126" i="4"/>
  <c r="O6" i="5"/>
  <c r="BX11" i="5"/>
  <c r="AU39" i="5"/>
  <c r="BW13" i="5"/>
  <c r="BW20" i="5"/>
  <c r="BH32" i="5"/>
  <c r="BR32" i="5" s="1"/>
  <c r="FT20" i="6"/>
  <c r="BK20" i="6" s="1"/>
  <c r="O79" i="6"/>
  <c r="E146" i="6" s="1"/>
  <c r="O119" i="4" s="1"/>
  <c r="P38" i="7"/>
  <c r="A117" i="21"/>
  <c r="T117" i="21"/>
  <c r="B128" i="9"/>
  <c r="B128" i="8"/>
  <c r="B128" i="7"/>
  <c r="B116" i="13"/>
  <c r="B116" i="14"/>
  <c r="B116" i="11"/>
  <c r="B116" i="12"/>
  <c r="B116" i="10"/>
  <c r="A133" i="21"/>
  <c r="T130" i="21"/>
  <c r="C146" i="9"/>
  <c r="C146" i="8"/>
  <c r="C146" i="7"/>
  <c r="U63" i="19"/>
  <c r="X83" i="18"/>
  <c r="Z83" i="18" s="1"/>
  <c r="U90" i="17"/>
  <c r="W90" i="17" s="1"/>
  <c r="T68" i="16"/>
  <c r="X83" i="9"/>
  <c r="Z83" i="9" s="1"/>
  <c r="U67" i="5"/>
  <c r="W67" i="5" s="1"/>
  <c r="F52" i="19"/>
  <c r="G71" i="18"/>
  <c r="DB18" i="18" s="1"/>
  <c r="F55" i="16"/>
  <c r="N55" i="16" s="1"/>
  <c r="B160" i="3"/>
  <c r="A160" i="3" s="1"/>
  <c r="A168" i="3" s="1"/>
  <c r="A217" i="3"/>
  <c r="F496" i="3"/>
  <c r="H496" i="3" s="1"/>
  <c r="T120" i="21"/>
  <c r="A120" i="21"/>
  <c r="B131" i="9"/>
  <c r="B131" i="8"/>
  <c r="B131" i="7"/>
  <c r="A136" i="21"/>
  <c r="T133" i="21"/>
  <c r="C149" i="9"/>
  <c r="C149" i="8"/>
  <c r="A139" i="14"/>
  <c r="A139" i="12"/>
  <c r="A139" i="13"/>
  <c r="A139" i="11"/>
  <c r="A139" i="10"/>
  <c r="U159" i="21"/>
  <c r="B164" i="21"/>
  <c r="A156" i="14"/>
  <c r="A156" i="13"/>
  <c r="A156" i="12"/>
  <c r="A156" i="10"/>
  <c r="A156" i="11"/>
  <c r="BE14" i="5"/>
  <c r="BO14" i="5" s="1"/>
  <c r="BI32" i="5"/>
  <c r="BS32" i="5" s="1"/>
  <c r="BQ19" i="5"/>
  <c r="BQ15" i="5"/>
  <c r="Y18" i="6"/>
  <c r="FT18" i="6"/>
  <c r="FU20" i="6"/>
  <c r="A106" i="14"/>
  <c r="A106" i="10"/>
  <c r="A106" i="11"/>
  <c r="A106" i="12"/>
  <c r="A106" i="13"/>
  <c r="B46" i="22"/>
  <c r="B50" i="20"/>
  <c r="U120" i="21"/>
  <c r="B120" i="21"/>
  <c r="C131" i="9"/>
  <c r="C131" i="8"/>
  <c r="C131" i="7"/>
  <c r="A122" i="14"/>
  <c r="A122" i="11"/>
  <c r="A122" i="13"/>
  <c r="A122" i="12"/>
  <c r="A122" i="10"/>
  <c r="B59" i="22"/>
  <c r="B66" i="20"/>
  <c r="B136" i="21"/>
  <c r="U133" i="21"/>
  <c r="T136" i="21"/>
  <c r="A140" i="21"/>
  <c r="B152" i="9"/>
  <c r="B152" i="8"/>
  <c r="B152" i="7"/>
  <c r="AG107" i="4"/>
  <c r="B139" i="14"/>
  <c r="B139" i="11"/>
  <c r="B139" i="13"/>
  <c r="B139" i="12"/>
  <c r="B139" i="10"/>
  <c r="A149" i="14"/>
  <c r="A149" i="13"/>
  <c r="A149" i="12"/>
  <c r="A149" i="11"/>
  <c r="A149" i="10"/>
  <c r="C164" i="18"/>
  <c r="AC120" i="4"/>
  <c r="B156" i="13"/>
  <c r="B156" i="12"/>
  <c r="B156" i="14"/>
  <c r="B156" i="10"/>
  <c r="B156" i="11"/>
  <c r="BY126" i="4"/>
  <c r="T161" i="21"/>
  <c r="A166" i="21"/>
  <c r="AT6" i="5"/>
  <c r="BZ11" i="5"/>
  <c r="AW39" i="5"/>
  <c r="AM9" i="2" s="1"/>
  <c r="AM15" i="2" s="1"/>
  <c r="AT4" i="5"/>
  <c r="BF14" i="5"/>
  <c r="BP14" i="5" s="1"/>
  <c r="BW16" i="5"/>
  <c r="BQ25" i="5"/>
  <c r="V26" i="5"/>
  <c r="H79" i="3" s="1"/>
  <c r="BZ31" i="5"/>
  <c r="DU18" i="7"/>
  <c r="BM19" i="7"/>
  <c r="BN19" i="7" s="1"/>
  <c r="CO19" i="7" s="1"/>
  <c r="I129" i="7" s="1"/>
  <c r="BC22" i="7"/>
  <c r="BM22" i="7" s="1"/>
  <c r="BN22" i="7" s="1"/>
  <c r="CM27" i="7"/>
  <c r="B149" i="14"/>
  <c r="B149" i="12"/>
  <c r="B149" i="11"/>
  <c r="B149" i="10"/>
  <c r="B149" i="13"/>
  <c r="BY119" i="4"/>
  <c r="B97" i="20"/>
  <c r="B90" i="22"/>
  <c r="B166" i="21"/>
  <c r="U161" i="21"/>
  <c r="AL15" i="5"/>
  <c r="BW37" i="5"/>
  <c r="O80" i="6"/>
  <c r="E147" i="6" s="1"/>
  <c r="O120" i="4" s="1"/>
  <c r="B106" i="13"/>
  <c r="B106" i="10"/>
  <c r="B106" i="14"/>
  <c r="B106" i="12"/>
  <c r="B106" i="11"/>
  <c r="T123" i="21"/>
  <c r="A123" i="21"/>
  <c r="B134" i="9"/>
  <c r="B134" i="8"/>
  <c r="B134" i="7"/>
  <c r="B122" i="14"/>
  <c r="B122" i="11"/>
  <c r="B122" i="13"/>
  <c r="B122" i="12"/>
  <c r="U136" i="21"/>
  <c r="B140" i="21"/>
  <c r="AK104" i="4"/>
  <c r="C152" i="9"/>
  <c r="C153" i="8"/>
  <c r="C152" i="8"/>
  <c r="C153" i="7"/>
  <c r="C152" i="7"/>
  <c r="BY112" i="4"/>
  <c r="U50" i="19"/>
  <c r="T53" i="16"/>
  <c r="U69" i="21"/>
  <c r="U56" i="14"/>
  <c r="U72" i="15"/>
  <c r="W72" i="15" s="1"/>
  <c r="U77" i="17"/>
  <c r="W77" i="17" s="1"/>
  <c r="U56" i="13"/>
  <c r="W56" i="13" s="1"/>
  <c r="U56" i="12"/>
  <c r="W56" i="12" s="1"/>
  <c r="U56" i="10"/>
  <c r="W56" i="10" s="1"/>
  <c r="U56" i="11"/>
  <c r="U52" i="5"/>
  <c r="W52" i="5" s="1"/>
  <c r="U58" i="19"/>
  <c r="X78" i="18"/>
  <c r="U76" i="21"/>
  <c r="W76" i="21" s="1"/>
  <c r="U85" i="17"/>
  <c r="W85" i="17" s="1"/>
  <c r="U79" i="15"/>
  <c r="T61" i="16"/>
  <c r="U63" i="14"/>
  <c r="U63" i="13"/>
  <c r="W63" i="13" s="1"/>
  <c r="U63" i="12"/>
  <c r="U63" i="10"/>
  <c r="W63" i="10" s="1"/>
  <c r="X78" i="9"/>
  <c r="U63" i="11"/>
  <c r="X78" i="8"/>
  <c r="X78" i="7"/>
  <c r="V59" i="6"/>
  <c r="X59" i="6" s="1"/>
  <c r="U61" i="5"/>
  <c r="W61" i="5" s="1"/>
  <c r="A69" i="3"/>
  <c r="A73" i="3"/>
  <c r="B153" i="3"/>
  <c r="A153" i="3" s="1"/>
  <c r="A109" i="13"/>
  <c r="A109" i="14"/>
  <c r="A109" i="12"/>
  <c r="A109" i="10"/>
  <c r="A109" i="11"/>
  <c r="B53" i="20"/>
  <c r="B49" i="22"/>
  <c r="U123" i="21"/>
  <c r="B123" i="21"/>
  <c r="C134" i="9"/>
  <c r="C134" i="8"/>
  <c r="C134" i="7"/>
  <c r="A125" i="14"/>
  <c r="A125" i="11"/>
  <c r="A125" i="13"/>
  <c r="A125" i="12"/>
  <c r="A125" i="10"/>
  <c r="B69" i="20"/>
  <c r="B62" i="22"/>
  <c r="A143" i="21"/>
  <c r="T139" i="21"/>
  <c r="B155" i="9"/>
  <c r="B155" i="8"/>
  <c r="B155" i="7"/>
  <c r="C97" i="20"/>
  <c r="C90" i="22"/>
  <c r="B172" i="9"/>
  <c r="B172" i="8"/>
  <c r="B172" i="7"/>
  <c r="D7" i="5"/>
  <c r="AX17" i="5"/>
  <c r="CA17" i="5" s="1"/>
  <c r="Z17" i="5"/>
  <c r="CI17" i="5" s="1"/>
  <c r="BT20" i="5"/>
  <c r="BT18" i="5"/>
  <c r="BG25" i="6"/>
  <c r="AY25" i="6"/>
  <c r="DP42" i="7"/>
  <c r="E506" i="3"/>
  <c r="G506" i="3" s="1"/>
  <c r="B121" i="9"/>
  <c r="B121" i="7"/>
  <c r="B121" i="8"/>
  <c r="B109" i="13"/>
  <c r="B109" i="14"/>
  <c r="B109" i="11"/>
  <c r="B109" i="12"/>
  <c r="B109" i="10"/>
  <c r="T126" i="21"/>
  <c r="A126" i="21"/>
  <c r="B137" i="9"/>
  <c r="B137" i="8"/>
  <c r="B125" i="14"/>
  <c r="B125" i="11"/>
  <c r="B125" i="13"/>
  <c r="B125" i="10"/>
  <c r="B125" i="12"/>
  <c r="A129" i="14"/>
  <c r="A129" i="13"/>
  <c r="A129" i="11"/>
  <c r="A129" i="10"/>
  <c r="A129" i="12"/>
  <c r="B66" i="22"/>
  <c r="B73" i="20"/>
  <c r="B143" i="21"/>
  <c r="U139" i="21"/>
  <c r="AK107" i="4"/>
  <c r="C155" i="9"/>
  <c r="C155" i="8"/>
  <c r="C155" i="7"/>
  <c r="B145" i="16"/>
  <c r="AO120" i="4"/>
  <c r="AK120" i="4"/>
  <c r="C172" i="9"/>
  <c r="C172" i="8"/>
  <c r="V22" i="5"/>
  <c r="H75" i="3" s="1"/>
  <c r="AN30" i="5"/>
  <c r="W36" i="6"/>
  <c r="E138" i="7"/>
  <c r="W92" i="4" s="1"/>
  <c r="G92" i="4" s="1"/>
  <c r="AR92" i="4" s="1"/>
  <c r="L89" i="7"/>
  <c r="A250" i="3"/>
  <c r="AK6" i="2"/>
  <c r="AK11" i="2" s="1"/>
  <c r="U56" i="19"/>
  <c r="W56" i="19" s="1"/>
  <c r="U74" i="21"/>
  <c r="U83" i="17"/>
  <c r="W83" i="17" s="1"/>
  <c r="X76" i="18"/>
  <c r="T59" i="16"/>
  <c r="V59" i="16" s="1"/>
  <c r="U77" i="15"/>
  <c r="U61" i="14"/>
  <c r="U61" i="11"/>
  <c r="U61" i="12"/>
  <c r="U61" i="13"/>
  <c r="U61" i="10"/>
  <c r="X76" i="9"/>
  <c r="X76" i="8"/>
  <c r="X76" i="7"/>
  <c r="U58" i="5"/>
  <c r="V57" i="6"/>
  <c r="X99" i="18"/>
  <c r="U77" i="19"/>
  <c r="U108" i="17"/>
  <c r="W108" i="17" s="1"/>
  <c r="T79" i="16"/>
  <c r="X99" i="9"/>
  <c r="X99" i="8"/>
  <c r="X99" i="7"/>
  <c r="C121" i="9"/>
  <c r="C121" i="8"/>
  <c r="A112" i="14"/>
  <c r="A112" i="12"/>
  <c r="A112" i="13"/>
  <c r="A112" i="10"/>
  <c r="A112" i="11"/>
  <c r="B56" i="20"/>
  <c r="B52" i="22"/>
  <c r="U126" i="21"/>
  <c r="B126" i="21"/>
  <c r="C137" i="9"/>
  <c r="C137" i="8"/>
  <c r="B129" i="14"/>
  <c r="B129" i="10"/>
  <c r="B129" i="13"/>
  <c r="B129" i="12"/>
  <c r="B129" i="11"/>
  <c r="AO104" i="4"/>
  <c r="T143" i="21"/>
  <c r="A146" i="21"/>
  <c r="AK114" i="4"/>
  <c r="A152" i="14"/>
  <c r="A152" i="13"/>
  <c r="A152" i="12"/>
  <c r="A152" i="11"/>
  <c r="A152" i="10"/>
  <c r="B170" i="15"/>
  <c r="AG125" i="4"/>
  <c r="AU7" i="5"/>
  <c r="CC20" i="5"/>
  <c r="BZ37" i="5"/>
  <c r="E102" i="5"/>
  <c r="K82" i="4" s="1"/>
  <c r="X69" i="6"/>
  <c r="AY12" i="7"/>
  <c r="BB12" i="7" s="1"/>
  <c r="Q12" i="7" s="1"/>
  <c r="B152" i="14"/>
  <c r="B152" i="11"/>
  <c r="B152" i="13"/>
  <c r="B152" i="12"/>
  <c r="B152" i="10"/>
  <c r="BY122" i="4"/>
  <c r="M122" i="4"/>
  <c r="B148" i="16"/>
  <c r="AO123" i="4"/>
  <c r="AK123" i="4"/>
  <c r="AG123" i="4"/>
  <c r="BB39" i="5"/>
  <c r="AS12" i="5"/>
  <c r="CC16" i="5"/>
  <c r="CE31" i="5"/>
  <c r="BT32" i="5"/>
  <c r="BG21" i="6"/>
  <c r="AY21" i="6"/>
  <c r="EF33" i="7"/>
  <c r="DX33" i="7" s="1"/>
  <c r="P21" i="8"/>
  <c r="BO21" i="8"/>
  <c r="BM21" i="8"/>
  <c r="BN21" i="8" s="1"/>
  <c r="CO21" i="8" s="1"/>
  <c r="I131" i="8" s="1"/>
  <c r="CI21" i="8"/>
  <c r="CB21" i="8"/>
  <c r="CA21" i="8"/>
  <c r="CM21" i="8"/>
  <c r="CE21" i="8"/>
  <c r="CD21" i="8"/>
  <c r="DA21" i="8" s="1"/>
  <c r="K131" i="8" s="1"/>
  <c r="BZ21" i="8"/>
  <c r="BY21" i="8"/>
  <c r="BX21" i="8"/>
  <c r="BV21" i="8"/>
  <c r="BT21" i="8"/>
  <c r="BW21" i="8"/>
  <c r="AO107" i="4"/>
  <c r="T145" i="21"/>
  <c r="A149" i="21"/>
  <c r="B142" i="19"/>
  <c r="AS120" i="4"/>
  <c r="BC39" i="5"/>
  <c r="CD16" i="5"/>
  <c r="CB37" i="5"/>
  <c r="BG14" i="6"/>
  <c r="EF41" i="7"/>
  <c r="DX41" i="7" s="1"/>
  <c r="DX20" i="8"/>
  <c r="CE22" i="8"/>
  <c r="BX22" i="8"/>
  <c r="BW22" i="8"/>
  <c r="BV22" i="8"/>
  <c r="CM22" i="8"/>
  <c r="CI22" i="8"/>
  <c r="CB22" i="8"/>
  <c r="CA22" i="8"/>
  <c r="BZ22" i="8"/>
  <c r="BY22" i="8"/>
  <c r="BU22" i="8"/>
  <c r="CD22" i="8"/>
  <c r="DA22" i="8" s="1"/>
  <c r="K132" i="8" s="1"/>
  <c r="P22" i="8"/>
  <c r="BT22" i="8"/>
  <c r="BS22" i="8"/>
  <c r="BM22" i="8"/>
  <c r="BN22" i="8" s="1"/>
  <c r="CO22" i="8" s="1"/>
  <c r="I132" i="8" s="1"/>
  <c r="E502" i="3"/>
  <c r="G502" i="3" s="1"/>
  <c r="E54" i="4"/>
  <c r="E52" i="4" s="1"/>
  <c r="T116" i="21"/>
  <c r="A116" i="21"/>
  <c r="B127" i="9"/>
  <c r="B127" i="8"/>
  <c r="B115" i="14"/>
  <c r="B115" i="12"/>
  <c r="B115" i="13"/>
  <c r="B115" i="11"/>
  <c r="B115" i="10"/>
  <c r="T129" i="21"/>
  <c r="A132" i="21"/>
  <c r="C143" i="9"/>
  <c r="C143" i="8"/>
  <c r="C143" i="7"/>
  <c r="C145" i="9"/>
  <c r="C145" i="8"/>
  <c r="C145" i="7"/>
  <c r="BY100" i="4"/>
  <c r="A135" i="13"/>
  <c r="A135" i="14"/>
  <c r="A135" i="12"/>
  <c r="A135" i="10"/>
  <c r="A135" i="11"/>
  <c r="AC106" i="4"/>
  <c r="B79" i="20"/>
  <c r="B72" i="22"/>
  <c r="U145" i="21"/>
  <c r="B149" i="21"/>
  <c r="B157" i="9"/>
  <c r="B157" i="8"/>
  <c r="B157" i="7"/>
  <c r="B138" i="16"/>
  <c r="AG113" i="4"/>
  <c r="AO114" i="4"/>
  <c r="BW15" i="5"/>
  <c r="BT24" i="5"/>
  <c r="Y34" i="6"/>
  <c r="FT34" i="6"/>
  <c r="BK34" i="6" s="1"/>
  <c r="X70" i="6"/>
  <c r="O81" i="6"/>
  <c r="E148" i="6" s="1"/>
  <c r="O121" i="4" s="1"/>
  <c r="DU10" i="7"/>
  <c r="DU17" i="7"/>
  <c r="CI18" i="7"/>
  <c r="CE18" i="7"/>
  <c r="BZ18" i="7"/>
  <c r="BY18" i="7"/>
  <c r="BX18" i="7"/>
  <c r="BW18" i="7"/>
  <c r="CD18" i="7"/>
  <c r="DA18" i="7" s="1"/>
  <c r="K128" i="7" s="1"/>
  <c r="CB18" i="7"/>
  <c r="CA18" i="7"/>
  <c r="DX34" i="7"/>
  <c r="E148" i="7"/>
  <c r="W102" i="4" s="1"/>
  <c r="BM19" i="8"/>
  <c r="BN19" i="8" s="1"/>
  <c r="CO19" i="8" s="1"/>
  <c r="I129" i="8" s="1"/>
  <c r="BS21" i="8"/>
  <c r="C124" i="8"/>
  <c r="C124" i="9"/>
  <c r="C124" i="7"/>
  <c r="A115" i="12"/>
  <c r="A115" i="13"/>
  <c r="A115" i="14"/>
  <c r="A115" i="10"/>
  <c r="A115" i="11"/>
  <c r="B55" i="22"/>
  <c r="B59" i="20"/>
  <c r="BY95" i="4"/>
  <c r="B143" i="9"/>
  <c r="B143" i="8"/>
  <c r="U76" i="19"/>
  <c r="W76" i="19" s="1"/>
  <c r="T78" i="16"/>
  <c r="U116" i="21"/>
  <c r="B116" i="21"/>
  <c r="AK79" i="4"/>
  <c r="C127" i="9"/>
  <c r="C127" i="8"/>
  <c r="A118" i="13"/>
  <c r="A118" i="14"/>
  <c r="A118" i="12"/>
  <c r="A118" i="10"/>
  <c r="A118" i="11"/>
  <c r="AC88" i="4"/>
  <c r="B132" i="21"/>
  <c r="U129" i="21"/>
  <c r="AK95" i="4"/>
  <c r="B148" i="9"/>
  <c r="B148" i="8"/>
  <c r="B148" i="7"/>
  <c r="AG103" i="4"/>
  <c r="B135" i="13"/>
  <c r="B135" i="11"/>
  <c r="B135" i="14"/>
  <c r="B135" i="12"/>
  <c r="B135" i="10"/>
  <c r="BU106" i="4"/>
  <c r="C157" i="8"/>
  <c r="C157" i="9"/>
  <c r="C157" i="7"/>
  <c r="A147" i="14"/>
  <c r="A147" i="11"/>
  <c r="A147" i="13"/>
  <c r="A147" i="10"/>
  <c r="A147" i="12"/>
  <c r="A150" i="14"/>
  <c r="A150" i="11"/>
  <c r="A150" i="10"/>
  <c r="A150" i="13"/>
  <c r="A150" i="12"/>
  <c r="T155" i="21"/>
  <c r="A160" i="21"/>
  <c r="B145" i="19"/>
  <c r="AS123" i="4"/>
  <c r="BH33" i="5"/>
  <c r="BR33" i="5" s="1"/>
  <c r="BH27" i="5"/>
  <c r="BR27" i="5" s="1"/>
  <c r="BH18" i="5"/>
  <c r="BR18" i="5" s="1"/>
  <c r="BH15" i="5"/>
  <c r="BR15" i="5" s="1"/>
  <c r="BH29" i="5"/>
  <c r="BR29" i="5" s="1"/>
  <c r="BH19" i="5"/>
  <c r="BR19" i="5" s="1"/>
  <c r="BH28" i="5"/>
  <c r="BR28" i="5" s="1"/>
  <c r="BH36" i="5"/>
  <c r="BR36" i="5" s="1"/>
  <c r="BH26" i="5"/>
  <c r="BR26" i="5" s="1"/>
  <c r="BH25" i="5"/>
  <c r="BR25" i="5" s="1"/>
  <c r="BH24" i="5"/>
  <c r="BR24" i="5" s="1"/>
  <c r="BH23" i="5"/>
  <c r="BR23" i="5" s="1"/>
  <c r="BH37" i="5"/>
  <c r="BR37" i="5" s="1"/>
  <c r="BH11" i="5"/>
  <c r="BR11" i="5" s="1"/>
  <c r="BH22" i="5"/>
  <c r="BR22" i="5" s="1"/>
  <c r="BH17" i="5"/>
  <c r="BR17" i="5" s="1"/>
  <c r="BH16" i="5"/>
  <c r="BR16" i="5" s="1"/>
  <c r="BH20" i="5"/>
  <c r="BR20" i="5" s="1"/>
  <c r="BH12" i="5"/>
  <c r="BR12" i="5" s="1"/>
  <c r="BQ10" i="5"/>
  <c r="BH21" i="5"/>
  <c r="BR21" i="5" s="1"/>
  <c r="BH13" i="5"/>
  <c r="BR13" i="5" s="1"/>
  <c r="BG13" i="5"/>
  <c r="BQ13" i="5" s="1"/>
  <c r="BH38" i="5"/>
  <c r="BR38" i="5" s="1"/>
  <c r="BH14" i="5"/>
  <c r="BR14" i="5" s="1"/>
  <c r="BX15" i="5"/>
  <c r="AY17" i="6"/>
  <c r="U33" i="7"/>
  <c r="CT33" i="7" s="1"/>
  <c r="C149" i="7"/>
  <c r="BU21" i="8"/>
  <c r="C140" i="8"/>
  <c r="C140" i="9"/>
  <c r="C140" i="7"/>
  <c r="B145" i="9"/>
  <c r="B145" i="8"/>
  <c r="B145" i="7"/>
  <c r="B132" i="13"/>
  <c r="B132" i="12"/>
  <c r="B132" i="10"/>
  <c r="B132" i="14"/>
  <c r="B132" i="11"/>
  <c r="T119" i="21"/>
  <c r="A119" i="21"/>
  <c r="B130" i="9"/>
  <c r="B130" i="8"/>
  <c r="B130" i="7"/>
  <c r="AG85" i="4"/>
  <c r="A135" i="21"/>
  <c r="T132" i="21"/>
  <c r="AK100" i="4"/>
  <c r="C148" i="9"/>
  <c r="C148" i="8"/>
  <c r="C148" i="7"/>
  <c r="AS107" i="4"/>
  <c r="A138" i="14"/>
  <c r="A138" i="13"/>
  <c r="A138" i="12"/>
  <c r="A138" i="10"/>
  <c r="A138" i="11"/>
  <c r="AC109" i="4"/>
  <c r="A143" i="13"/>
  <c r="A143" i="14"/>
  <c r="A143" i="12"/>
  <c r="A143" i="10"/>
  <c r="A143" i="11"/>
  <c r="B147" i="14"/>
  <c r="B147" i="12"/>
  <c r="B147" i="10"/>
  <c r="B147" i="11"/>
  <c r="B147" i="13"/>
  <c r="B83" i="22"/>
  <c r="B90" i="20"/>
  <c r="B150" i="12"/>
  <c r="B150" i="14"/>
  <c r="B150" i="11"/>
  <c r="B150" i="10"/>
  <c r="B150" i="13"/>
  <c r="BY120" i="4"/>
  <c r="B160" i="21"/>
  <c r="U155" i="21"/>
  <c r="C175" i="18"/>
  <c r="AC131" i="4"/>
  <c r="BI36" i="5"/>
  <c r="BS36" i="5" s="1"/>
  <c r="BI30" i="5"/>
  <c r="BS30" i="5" s="1"/>
  <c r="BI24" i="5"/>
  <c r="BS24" i="5" s="1"/>
  <c r="BI15" i="5"/>
  <c r="BS15" i="5" s="1"/>
  <c r="BI12" i="5"/>
  <c r="BS12" i="5" s="1"/>
  <c r="BI38" i="5"/>
  <c r="BS38" i="5" s="1"/>
  <c r="BI26" i="5"/>
  <c r="BS26" i="5" s="1"/>
  <c r="BI16" i="5"/>
  <c r="BS16" i="5" s="1"/>
  <c r="BI28" i="5"/>
  <c r="BS28" i="5" s="1"/>
  <c r="BI27" i="5"/>
  <c r="BS27" i="5" s="1"/>
  <c r="BI25" i="5"/>
  <c r="BS25" i="5" s="1"/>
  <c r="BI23" i="5"/>
  <c r="BS23" i="5" s="1"/>
  <c r="BI37" i="5"/>
  <c r="BS37" i="5" s="1"/>
  <c r="BI11" i="5"/>
  <c r="BS11" i="5" s="1"/>
  <c r="BI22" i="5"/>
  <c r="BS22" i="5" s="1"/>
  <c r="BI17" i="5"/>
  <c r="BS17" i="5" s="1"/>
  <c r="BI20" i="5"/>
  <c r="BS20" i="5" s="1"/>
  <c r="BR10" i="5"/>
  <c r="BI21" i="5"/>
  <c r="BS21" i="5" s="1"/>
  <c r="BI19" i="5"/>
  <c r="BS19" i="5" s="1"/>
  <c r="BI13" i="5"/>
  <c r="BS13" i="5" s="1"/>
  <c r="BI18" i="5"/>
  <c r="BS18" i="5" s="1"/>
  <c r="BI14" i="5"/>
  <c r="BS14" i="5" s="1"/>
  <c r="BF31" i="5"/>
  <c r="BP31" i="5" s="1"/>
  <c r="O82" i="6"/>
  <c r="E149" i="6" s="1"/>
  <c r="O122" i="4" s="1"/>
  <c r="DM42" i="7"/>
  <c r="DU14" i="7"/>
  <c r="CE15" i="7"/>
  <c r="CA15" i="7"/>
  <c r="BZ15" i="7"/>
  <c r="BY15" i="7"/>
  <c r="BX15" i="7"/>
  <c r="BW15" i="7"/>
  <c r="BV15" i="7"/>
  <c r="CI15" i="7"/>
  <c r="CD15" i="7"/>
  <c r="DA15" i="7" s="1"/>
  <c r="K125" i="7" s="1"/>
  <c r="CB15" i="7"/>
  <c r="BU15" i="7"/>
  <c r="BT15" i="7"/>
  <c r="BS18" i="7"/>
  <c r="B159" i="8"/>
  <c r="B159" i="9"/>
  <c r="B159" i="7"/>
  <c r="B146" i="13"/>
  <c r="B146" i="11"/>
  <c r="B146" i="14"/>
  <c r="B146" i="10"/>
  <c r="B146" i="12"/>
  <c r="B93" i="20"/>
  <c r="B86" i="22"/>
  <c r="U158" i="21"/>
  <c r="B163" i="21"/>
  <c r="BD13" i="5"/>
  <c r="BE36" i="5"/>
  <c r="BE27" i="5"/>
  <c r="BE24" i="5"/>
  <c r="BE18" i="5"/>
  <c r="BO18" i="5" s="1"/>
  <c r="BE38" i="5"/>
  <c r="BO38" i="5" s="1"/>
  <c r="BE28" i="5"/>
  <c r="BO28" i="5" s="1"/>
  <c r="AV39" i="5"/>
  <c r="AL9" i="2" s="1"/>
  <c r="AL15" i="2" s="1"/>
  <c r="BD14" i="5"/>
  <c r="CJ17" i="5"/>
  <c r="CC19" i="5"/>
  <c r="CF38" i="5"/>
  <c r="BK11" i="6"/>
  <c r="BB17" i="7"/>
  <c r="Q17" i="7" s="1"/>
  <c r="EF38" i="7"/>
  <c r="DX38" i="7" s="1"/>
  <c r="DC29" i="7"/>
  <c r="DC31" i="7"/>
  <c r="DC38" i="7"/>
  <c r="DC28" i="7"/>
  <c r="DC23" i="7"/>
  <c r="DC20" i="7"/>
  <c r="B165" i="9"/>
  <c r="B165" i="8"/>
  <c r="B165" i="7"/>
  <c r="A155" i="12"/>
  <c r="A155" i="14"/>
  <c r="A155" i="13"/>
  <c r="A155" i="10"/>
  <c r="A155" i="11"/>
  <c r="B99" i="20"/>
  <c r="B92" i="22"/>
  <c r="BK30" i="5"/>
  <c r="BU30" i="5" s="1"/>
  <c r="BK24" i="5"/>
  <c r="BU24" i="5" s="1"/>
  <c r="BK18" i="5"/>
  <c r="BU18" i="5" s="1"/>
  <c r="BK38" i="5"/>
  <c r="BU38" i="5" s="1"/>
  <c r="BK32" i="5"/>
  <c r="BU32" i="5" s="1"/>
  <c r="BK20" i="5"/>
  <c r="BU20" i="5" s="1"/>
  <c r="BK37" i="5"/>
  <c r="BU37" i="5" s="1"/>
  <c r="BT10" i="5"/>
  <c r="BK36" i="5"/>
  <c r="BU36" i="5" s="1"/>
  <c r="BD18" i="5"/>
  <c r="CF21" i="5"/>
  <c r="BZ25" i="5"/>
  <c r="W87" i="5"/>
  <c r="W64" i="5"/>
  <c r="W79" i="5"/>
  <c r="W70" i="5"/>
  <c r="E106" i="5" s="1"/>
  <c r="K86" i="4" s="1"/>
  <c r="W78" i="5"/>
  <c r="BJ12" i="6"/>
  <c r="BF12" i="6"/>
  <c r="AZ12" i="6"/>
  <c r="AY16" i="6"/>
  <c r="BG20" i="6"/>
  <c r="CN32" i="7"/>
  <c r="M142" i="7" s="1"/>
  <c r="B168" i="9"/>
  <c r="B168" i="8"/>
  <c r="B168" i="7"/>
  <c r="B155" i="14"/>
  <c r="B155" i="13"/>
  <c r="B155" i="10"/>
  <c r="B155" i="12"/>
  <c r="B155" i="11"/>
  <c r="R14" i="5"/>
  <c r="BE19" i="5"/>
  <c r="CE22" i="5"/>
  <c r="CB23" i="5"/>
  <c r="CA25" i="5"/>
  <c r="CA26" i="5"/>
  <c r="AL28" i="5"/>
  <c r="BY36" i="5"/>
  <c r="CD37" i="5"/>
  <c r="CL33" i="5"/>
  <c r="CL24" i="5"/>
  <c r="CL21" i="5"/>
  <c r="CL15" i="5"/>
  <c r="CL35" i="5"/>
  <c r="CL25" i="5"/>
  <c r="BK12" i="6"/>
  <c r="BB13" i="7"/>
  <c r="Q13" i="7" s="1"/>
  <c r="BB19" i="7"/>
  <c r="Q19" i="7" s="1"/>
  <c r="T16" i="8"/>
  <c r="I83" i="8" s="1"/>
  <c r="CR16" i="8"/>
  <c r="C168" i="9"/>
  <c r="C168" i="8"/>
  <c r="A158" i="14"/>
  <c r="A158" i="13"/>
  <c r="A158" i="11"/>
  <c r="A158" i="12"/>
  <c r="A158" i="10"/>
  <c r="CJ13" i="5"/>
  <c r="Y13" i="5"/>
  <c r="BT14" i="5"/>
  <c r="BT15" i="5"/>
  <c r="BD17" i="5"/>
  <c r="BE20" i="5"/>
  <c r="BO20" i="5" s="1"/>
  <c r="BE21" i="5"/>
  <c r="BY28" i="5"/>
  <c r="C155" i="6"/>
  <c r="DX31" i="7"/>
  <c r="DD35" i="7"/>
  <c r="DD34" i="7"/>
  <c r="DD26" i="7"/>
  <c r="DD25" i="7"/>
  <c r="DD32" i="7"/>
  <c r="DD41" i="7"/>
  <c r="DD33" i="7"/>
  <c r="DD23" i="7"/>
  <c r="DD17" i="7"/>
  <c r="DD31" i="7"/>
  <c r="BO42" i="8"/>
  <c r="U152" i="21"/>
  <c r="B156" i="21"/>
  <c r="A159" i="21"/>
  <c r="T154" i="21"/>
  <c r="B171" i="9"/>
  <c r="B171" i="8"/>
  <c r="B171" i="7"/>
  <c r="B158" i="13"/>
  <c r="B158" i="14"/>
  <c r="B158" i="11"/>
  <c r="B158" i="12"/>
  <c r="B158" i="10"/>
  <c r="CF11" i="5"/>
  <c r="BE12" i="5"/>
  <c r="BO12" i="5" s="1"/>
  <c r="BK14" i="5"/>
  <c r="BU14" i="5" s="1"/>
  <c r="BK15" i="5"/>
  <c r="BU15" i="5" s="1"/>
  <c r="CA16" i="5"/>
  <c r="BE16" i="5"/>
  <c r="BE17" i="5"/>
  <c r="BO17" i="5" s="1"/>
  <c r="BZ28" i="5"/>
  <c r="AL32" i="5"/>
  <c r="BX35" i="5"/>
  <c r="CA36" i="5"/>
  <c r="CF37" i="5"/>
  <c r="BJ33" i="5"/>
  <c r="BT33" i="5" s="1"/>
  <c r="BJ27" i="5"/>
  <c r="BT27" i="5" s="1"/>
  <c r="BJ21" i="5"/>
  <c r="BT21" i="5" s="1"/>
  <c r="BJ12" i="5"/>
  <c r="BT12" i="5" s="1"/>
  <c r="BJ35" i="5"/>
  <c r="BT35" i="5" s="1"/>
  <c r="BJ23" i="5"/>
  <c r="BT23" i="5" s="1"/>
  <c r="BJ13" i="5"/>
  <c r="BT13" i="5" s="1"/>
  <c r="BJ36" i="5"/>
  <c r="BT36" i="5" s="1"/>
  <c r="X84" i="6"/>
  <c r="CL32" i="7"/>
  <c r="U32" i="7"/>
  <c r="CT32" i="7" s="1"/>
  <c r="BP42" i="8"/>
  <c r="DC10" i="8"/>
  <c r="B159" i="21"/>
  <c r="U154" i="21"/>
  <c r="C171" i="9"/>
  <c r="C171" i="8"/>
  <c r="BD11" i="5"/>
  <c r="BQ20" i="5"/>
  <c r="BE22" i="5"/>
  <c r="BO22" i="5" s="1"/>
  <c r="CD25" i="5"/>
  <c r="AR34" i="5"/>
  <c r="V34" i="5" s="1"/>
  <c r="H87" i="3" s="1"/>
  <c r="BW34" i="5"/>
  <c r="B137" i="5"/>
  <c r="BK10" i="6"/>
  <c r="T55" i="6"/>
  <c r="X55" i="6" s="1"/>
  <c r="T61" i="6"/>
  <c r="L59" i="6"/>
  <c r="O59" i="6" s="1"/>
  <c r="O73" i="7"/>
  <c r="BQ42" i="8"/>
  <c r="CB10" i="8"/>
  <c r="CA10" i="8"/>
  <c r="BZ10" i="8"/>
  <c r="BZ42" i="8" s="1"/>
  <c r="L69" i="8" s="1"/>
  <c r="BY10" i="8"/>
  <c r="CM10" i="8"/>
  <c r="CI10" i="8"/>
  <c r="CE10" i="8"/>
  <c r="CD10" i="8"/>
  <c r="BX10" i="8"/>
  <c r="BW10" i="8"/>
  <c r="BW42" i="8" s="1"/>
  <c r="BV10" i="8"/>
  <c r="BV42" i="8" s="1"/>
  <c r="L67" i="8" s="1"/>
  <c r="O67" i="8" s="1"/>
  <c r="BU10" i="8"/>
  <c r="BU42" i="8" s="1"/>
  <c r="BT10" i="8"/>
  <c r="BS10" i="8"/>
  <c r="P10" i="8"/>
  <c r="A145" i="14"/>
  <c r="A145" i="12"/>
  <c r="A145" i="13"/>
  <c r="A145" i="11"/>
  <c r="A145" i="10"/>
  <c r="B82" i="22"/>
  <c r="B89" i="20"/>
  <c r="A162" i="21"/>
  <c r="T157" i="21"/>
  <c r="B174" i="9"/>
  <c r="B174" i="8"/>
  <c r="B174" i="7"/>
  <c r="A160" i="14"/>
  <c r="A160" i="12"/>
  <c r="A160" i="10"/>
  <c r="A160" i="13"/>
  <c r="A160" i="11"/>
  <c r="BE11" i="5"/>
  <c r="BO11" i="5" s="1"/>
  <c r="BK13" i="5"/>
  <c r="BU13" i="5" s="1"/>
  <c r="BK21" i="5"/>
  <c r="BU21" i="5" s="1"/>
  <c r="BZ29" i="5"/>
  <c r="AR31" i="5"/>
  <c r="V31" i="5" s="1"/>
  <c r="H84" i="3" s="1"/>
  <c r="BY32" i="5"/>
  <c r="BX34" i="5"/>
  <c r="BE37" i="5"/>
  <c r="BF15" i="6"/>
  <c r="T39" i="7"/>
  <c r="BR42" i="8"/>
  <c r="DX13" i="8"/>
  <c r="B158" i="8"/>
  <c r="B158" i="9"/>
  <c r="B145" i="12"/>
  <c r="B145" i="14"/>
  <c r="B145" i="13"/>
  <c r="B145" i="11"/>
  <c r="B145" i="10"/>
  <c r="B92" i="20"/>
  <c r="B85" i="22"/>
  <c r="B162" i="21"/>
  <c r="U157" i="21"/>
  <c r="C174" i="9"/>
  <c r="C174" i="8"/>
  <c r="BK12" i="5"/>
  <c r="BU12" i="5" s="1"/>
  <c r="BK19" i="5"/>
  <c r="BU19" i="5" s="1"/>
  <c r="CE24" i="5"/>
  <c r="CF25" i="5"/>
  <c r="CD27" i="5"/>
  <c r="CC28" i="5"/>
  <c r="BX31" i="5"/>
  <c r="CN18" i="5"/>
  <c r="M67" i="5"/>
  <c r="CN40" i="5" s="1"/>
  <c r="E109" i="5"/>
  <c r="K89" i="4" s="1"/>
  <c r="Y19" i="6"/>
  <c r="FT19" i="6"/>
  <c r="BK19" i="6" s="1"/>
  <c r="X74" i="6"/>
  <c r="BM16" i="7"/>
  <c r="BN16" i="7" s="1"/>
  <c r="BB22" i="7"/>
  <c r="Q22" i="7" s="1"/>
  <c r="BB13" i="8"/>
  <c r="C158" i="8"/>
  <c r="C158" i="9"/>
  <c r="C158" i="7"/>
  <c r="A148" i="13"/>
  <c r="A148" i="14"/>
  <c r="A148" i="11"/>
  <c r="A148" i="10"/>
  <c r="A148" i="12"/>
  <c r="A165" i="21"/>
  <c r="T160" i="21"/>
  <c r="S12" i="5"/>
  <c r="BE23" i="5"/>
  <c r="BY31" i="5"/>
  <c r="CE36" i="5"/>
  <c r="Y15" i="6"/>
  <c r="BG19" i="6"/>
  <c r="BJ28" i="6"/>
  <c r="BF28" i="6"/>
  <c r="AZ28" i="6"/>
  <c r="AY32" i="6"/>
  <c r="BB15" i="7"/>
  <c r="Q15" i="7" s="1"/>
  <c r="BM24" i="7"/>
  <c r="CE24" i="7"/>
  <c r="CB24" i="7"/>
  <c r="CA24" i="7"/>
  <c r="BZ24" i="7"/>
  <c r="BY24" i="7"/>
  <c r="BX24" i="7"/>
  <c r="BO24" i="7"/>
  <c r="BM25" i="7"/>
  <c r="BN25" i="7" s="1"/>
  <c r="DD38" i="7"/>
  <c r="B161" i="8"/>
  <c r="B161" i="9"/>
  <c r="B148" i="13"/>
  <c r="B148" i="14"/>
  <c r="B148" i="11"/>
  <c r="B148" i="10"/>
  <c r="B148" i="12"/>
  <c r="A151" i="14"/>
  <c r="A151" i="12"/>
  <c r="A151" i="13"/>
  <c r="A151" i="10"/>
  <c r="A151" i="11"/>
  <c r="B95" i="20"/>
  <c r="B88" i="22"/>
  <c r="B165" i="21"/>
  <c r="U160" i="21"/>
  <c r="R39" i="5"/>
  <c r="BN12" i="5"/>
  <c r="BK16" i="5"/>
  <c r="BU16" i="5" s="1"/>
  <c r="BE25" i="5"/>
  <c r="BE26" i="5"/>
  <c r="BO26" i="5" s="1"/>
  <c r="CE28" i="5"/>
  <c r="CA34" i="5"/>
  <c r="BF11" i="6"/>
  <c r="BJ11" i="6"/>
  <c r="AY15" i="6"/>
  <c r="BK28" i="6"/>
  <c r="E110" i="6"/>
  <c r="O82" i="4" s="1"/>
  <c r="X66" i="6"/>
  <c r="EF13" i="7"/>
  <c r="DX13" i="7" s="1"/>
  <c r="BB29" i="7"/>
  <c r="Q29" i="7" s="1"/>
  <c r="AQ29" i="7" s="1"/>
  <c r="BB39" i="7"/>
  <c r="Q39" i="7" s="1"/>
  <c r="AQ39" i="7" s="1"/>
  <c r="BB17" i="8"/>
  <c r="Q17" i="8" s="1"/>
  <c r="AQ17" i="8" s="1"/>
  <c r="BB23" i="8"/>
  <c r="Q23" i="8" s="1"/>
  <c r="AQ23" i="8" s="1"/>
  <c r="B151" i="14"/>
  <c r="B151" i="13"/>
  <c r="B151" i="11"/>
  <c r="B151" i="12"/>
  <c r="B151" i="10"/>
  <c r="BK17" i="5"/>
  <c r="BU17" i="5" s="1"/>
  <c r="BK22" i="5"/>
  <c r="BU22" i="5" s="1"/>
  <c r="BQ23" i="5"/>
  <c r="BQ24" i="5"/>
  <c r="CB33" i="5"/>
  <c r="FU23" i="6"/>
  <c r="AZ23" i="6"/>
  <c r="X76" i="6"/>
  <c r="B164" i="8"/>
  <c r="B164" i="9"/>
  <c r="B164" i="7"/>
  <c r="A154" i="13"/>
  <c r="A154" i="12"/>
  <c r="A154" i="14"/>
  <c r="A154" i="10"/>
  <c r="A154" i="11"/>
  <c r="B91" i="22"/>
  <c r="B98" i="20"/>
  <c r="BT11" i="5"/>
  <c r="CC30" i="5"/>
  <c r="CB31" i="5"/>
  <c r="CC34" i="5"/>
  <c r="BT37" i="5"/>
  <c r="T36" i="5"/>
  <c r="AB36" i="5" s="1"/>
  <c r="T27" i="5"/>
  <c r="AB27" i="5" s="1"/>
  <c r="T24" i="5"/>
  <c r="AB24" i="5" s="1"/>
  <c r="T38" i="5"/>
  <c r="AB38" i="5" s="1"/>
  <c r="T28" i="5"/>
  <c r="AB28" i="5" s="1"/>
  <c r="AY20" i="6"/>
  <c r="Y23" i="6"/>
  <c r="FT23" i="6"/>
  <c r="BK23" i="6" s="1"/>
  <c r="BM14" i="7"/>
  <c r="BN14" i="7" s="1"/>
  <c r="CI16" i="7"/>
  <c r="CD16" i="7"/>
  <c r="DA16" i="7" s="1"/>
  <c r="K126" i="7" s="1"/>
  <c r="CA16" i="7"/>
  <c r="BW16" i="7"/>
  <c r="BV16" i="7"/>
  <c r="BU16" i="7"/>
  <c r="BT16" i="7"/>
  <c r="CI25" i="7"/>
  <c r="CD25" i="7"/>
  <c r="DA25" i="7" s="1"/>
  <c r="K135" i="7" s="1"/>
  <c r="CB25" i="7"/>
  <c r="CA25" i="7"/>
  <c r="BV25" i="7"/>
  <c r="BU25" i="7"/>
  <c r="BT25" i="7"/>
  <c r="BM28" i="7"/>
  <c r="BN28" i="7" s="1"/>
  <c r="CO28" i="7" s="1"/>
  <c r="I138" i="7" s="1"/>
  <c r="BB30" i="7"/>
  <c r="Q30" i="7" s="1"/>
  <c r="AQ30" i="7" s="1"/>
  <c r="CC32" i="7"/>
  <c r="BB18" i="8"/>
  <c r="Q18" i="8" s="1"/>
  <c r="AQ18" i="8" s="1"/>
  <c r="B75" i="22"/>
  <c r="B82" i="20"/>
  <c r="B152" i="21"/>
  <c r="U148" i="21"/>
  <c r="C164" i="8"/>
  <c r="C164" i="9"/>
  <c r="C164" i="7"/>
  <c r="B167" i="9"/>
  <c r="B167" i="8"/>
  <c r="B167" i="7"/>
  <c r="AG122" i="4"/>
  <c r="B154" i="12"/>
  <c r="B154" i="13"/>
  <c r="B154" i="10"/>
  <c r="B154" i="14"/>
  <c r="B154" i="11"/>
  <c r="BK11" i="5"/>
  <c r="BU11" i="5" s="1"/>
  <c r="T26" i="5"/>
  <c r="AB26" i="5" s="1"/>
  <c r="AY11" i="6"/>
  <c r="AY23" i="6"/>
  <c r="X75" i="6"/>
  <c r="DG42" i="7"/>
  <c r="BU24" i="7"/>
  <c r="B158" i="7"/>
  <c r="BM16" i="8"/>
  <c r="BN16" i="8" s="1"/>
  <c r="CO16" i="8" s="1"/>
  <c r="I126" i="8" s="1"/>
  <c r="T151" i="21"/>
  <c r="A155" i="21"/>
  <c r="C167" i="9"/>
  <c r="C167" i="8"/>
  <c r="C167" i="7"/>
  <c r="A157" i="14"/>
  <c r="A157" i="12"/>
  <c r="A157" i="13"/>
  <c r="A157" i="10"/>
  <c r="A157" i="11"/>
  <c r="AR46" i="5"/>
  <c r="AR47" i="5" s="1"/>
  <c r="BK23" i="5"/>
  <c r="BU23" i="5" s="1"/>
  <c r="BT25" i="5"/>
  <c r="CD31" i="5"/>
  <c r="CE34" i="5"/>
  <c r="W68" i="5"/>
  <c r="BF31" i="6"/>
  <c r="Y35" i="6"/>
  <c r="FT35" i="6"/>
  <c r="BK35" i="6" s="1"/>
  <c r="EF40" i="7"/>
  <c r="DX40" i="7" s="1"/>
  <c r="Q10" i="8"/>
  <c r="A141" i="14"/>
  <c r="A141" i="13"/>
  <c r="A141" i="11"/>
  <c r="A141" i="12"/>
  <c r="A141" i="10"/>
  <c r="B85" i="20"/>
  <c r="B78" i="22"/>
  <c r="U151" i="21"/>
  <c r="B155" i="21"/>
  <c r="B170" i="9"/>
  <c r="B170" i="8"/>
  <c r="B170" i="7"/>
  <c r="B157" i="14"/>
  <c r="B157" i="13"/>
  <c r="B157" i="12"/>
  <c r="B157" i="11"/>
  <c r="B157" i="10"/>
  <c r="BK25" i="5"/>
  <c r="BU25" i="5" s="1"/>
  <c r="BK26" i="5"/>
  <c r="BU26" i="5" s="1"/>
  <c r="BK27" i="5"/>
  <c r="BU27" i="5" s="1"/>
  <c r="BE29" i="5"/>
  <c r="AN32" i="5"/>
  <c r="BN32" i="5"/>
  <c r="CF33" i="5"/>
  <c r="BE35" i="5"/>
  <c r="X36" i="6"/>
  <c r="BJ14" i="6"/>
  <c r="BF14" i="6"/>
  <c r="FU14" i="6"/>
  <c r="BG35" i="6"/>
  <c r="X67" i="6"/>
  <c r="DI42" i="7"/>
  <c r="BY16" i="7"/>
  <c r="BX25" i="7"/>
  <c r="CM33" i="7"/>
  <c r="CI33" i="7"/>
  <c r="CD33" i="7"/>
  <c r="DA33" i="7" s="1"/>
  <c r="K143" i="7" s="1"/>
  <c r="CB33" i="7"/>
  <c r="CA33" i="7"/>
  <c r="BM33" i="7"/>
  <c r="BN33" i="7" s="1"/>
  <c r="CO33" i="7" s="1"/>
  <c r="I143" i="7" s="1"/>
  <c r="BZ33" i="7"/>
  <c r="BX33" i="7"/>
  <c r="BU33" i="7"/>
  <c r="BT33" i="7"/>
  <c r="CC33" i="7" s="1"/>
  <c r="CL36" i="7"/>
  <c r="EF11" i="8"/>
  <c r="DX11" i="8" s="1"/>
  <c r="E107" i="8" s="1"/>
  <c r="O107" i="8" s="1"/>
  <c r="CE25" i="8"/>
  <c r="CD25" i="8"/>
  <c r="DA25" i="8" s="1"/>
  <c r="K135" i="8" s="1"/>
  <c r="BX25" i="8"/>
  <c r="BS25" i="8"/>
  <c r="CI25" i="8"/>
  <c r="CB25" i="8"/>
  <c r="CA25" i="8"/>
  <c r="BZ25" i="8"/>
  <c r="BY25" i="8"/>
  <c r="BW25" i="8"/>
  <c r="BV25" i="8"/>
  <c r="BU25" i="8"/>
  <c r="BT25" i="8"/>
  <c r="CM25" i="8"/>
  <c r="P25" i="8"/>
  <c r="B141" i="14"/>
  <c r="B141" i="12"/>
  <c r="B141" i="13"/>
  <c r="B141" i="10"/>
  <c r="B141" i="11"/>
  <c r="A158" i="21"/>
  <c r="T153" i="21"/>
  <c r="AK122" i="4"/>
  <c r="C170" i="9"/>
  <c r="C170" i="8"/>
  <c r="C170" i="7"/>
  <c r="BY125" i="4"/>
  <c r="AG12" i="5"/>
  <c r="AJ18" i="5"/>
  <c r="CF31" i="5"/>
  <c r="BE32" i="5"/>
  <c r="BO32" i="5" s="1"/>
  <c r="AN34" i="5"/>
  <c r="CH19" i="5"/>
  <c r="CH13" i="5"/>
  <c r="CH36" i="5"/>
  <c r="CH33" i="5"/>
  <c r="CH27" i="5"/>
  <c r="CH15" i="5"/>
  <c r="CH37" i="5"/>
  <c r="BG16" i="6"/>
  <c r="Y31" i="6"/>
  <c r="BB36" i="6"/>
  <c r="BZ16" i="7"/>
  <c r="CD24" i="7"/>
  <c r="DA24" i="7" s="1"/>
  <c r="K134" i="7" s="1"/>
  <c r="BY25" i="7"/>
  <c r="CI26" i="7"/>
  <c r="CE26" i="7"/>
  <c r="CB26" i="7"/>
  <c r="BZ26" i="7"/>
  <c r="BY26" i="7"/>
  <c r="BX26" i="7"/>
  <c r="BW26" i="7"/>
  <c r="CD26" i="7"/>
  <c r="DA26" i="7" s="1"/>
  <c r="K136" i="7" s="1"/>
  <c r="BU26" i="7"/>
  <c r="BT26" i="7"/>
  <c r="P26" i="7"/>
  <c r="BM26" i="7"/>
  <c r="BN26" i="7" s="1"/>
  <c r="CO26" i="7" s="1"/>
  <c r="I136" i="7" s="1"/>
  <c r="CM26" i="7"/>
  <c r="BW37" i="7"/>
  <c r="CI37" i="7"/>
  <c r="CE37" i="7"/>
  <c r="CB37" i="7"/>
  <c r="BZ37" i="7"/>
  <c r="BY37" i="7"/>
  <c r="CN37" i="7" s="1"/>
  <c r="M147" i="7" s="1"/>
  <c r="BX37" i="7"/>
  <c r="BV37" i="7"/>
  <c r="CC37" i="7" s="1"/>
  <c r="CM37" i="7"/>
  <c r="BO37" i="7"/>
  <c r="BM37" i="7"/>
  <c r="DD39" i="7"/>
  <c r="U40" i="7"/>
  <c r="CT40" i="7" s="1"/>
  <c r="B161" i="7"/>
  <c r="CC12" i="8"/>
  <c r="AM38" i="5"/>
  <c r="T19" i="7"/>
  <c r="CR23" i="7"/>
  <c r="T28" i="7"/>
  <c r="DB42" i="8"/>
  <c r="T15" i="8"/>
  <c r="CR15" i="8"/>
  <c r="DL42" i="7"/>
  <c r="BS35" i="7"/>
  <c r="CE35" i="7"/>
  <c r="CI35" i="7"/>
  <c r="CD35" i="7"/>
  <c r="DA35" i="7" s="1"/>
  <c r="K145" i="7" s="1"/>
  <c r="CA35" i="7"/>
  <c r="BZ35" i="7"/>
  <c r="BX35" i="7"/>
  <c r="BW35" i="7"/>
  <c r="BV35" i="7"/>
  <c r="BU35" i="7"/>
  <c r="BB38" i="7"/>
  <c r="Q38" i="7" s="1"/>
  <c r="AQ38" i="7" s="1"/>
  <c r="DF20" i="7"/>
  <c r="DF18" i="7"/>
  <c r="CR35" i="8"/>
  <c r="T35" i="8"/>
  <c r="DD21" i="7"/>
  <c r="EF36" i="8"/>
  <c r="DX36" i="8" s="1"/>
  <c r="CM11" i="9"/>
  <c r="CI11" i="9"/>
  <c r="CE11" i="9"/>
  <c r="CD11" i="9"/>
  <c r="DA11" i="9" s="1"/>
  <c r="K121" i="9" s="1"/>
  <c r="CB11" i="9"/>
  <c r="CA11" i="9"/>
  <c r="BZ11" i="9"/>
  <c r="BV11" i="9"/>
  <c r="BY11" i="9"/>
  <c r="BX11" i="9"/>
  <c r="BW11" i="9"/>
  <c r="BU11" i="9"/>
  <c r="BT11" i="9"/>
  <c r="BS11" i="9"/>
  <c r="P11" i="9"/>
  <c r="AM15" i="5"/>
  <c r="V15" i="5" s="1"/>
  <c r="H68" i="3" s="1"/>
  <c r="BG22" i="5"/>
  <c r="BQ22" i="5" s="1"/>
  <c r="Y16" i="6"/>
  <c r="BF24" i="6"/>
  <c r="BH25" i="6"/>
  <c r="BJ26" i="6"/>
  <c r="Y32" i="6"/>
  <c r="DF12" i="7"/>
  <c r="BB32" i="7"/>
  <c r="Q32" i="7" s="1"/>
  <c r="AQ32" i="7" s="1"/>
  <c r="BT35" i="7"/>
  <c r="CE40" i="7"/>
  <c r="CM40" i="7"/>
  <c r="CI40" i="7"/>
  <c r="CD40" i="7"/>
  <c r="DA40" i="7" s="1"/>
  <c r="K150" i="7" s="1"/>
  <c r="CB40" i="7"/>
  <c r="BZ40" i="7"/>
  <c r="BY40" i="7"/>
  <c r="BX40" i="7"/>
  <c r="BW40" i="7"/>
  <c r="EF19" i="8"/>
  <c r="DX19" i="8" s="1"/>
  <c r="O84" i="7"/>
  <c r="CP42" i="7"/>
  <c r="CR28" i="7"/>
  <c r="CI34" i="7"/>
  <c r="CE34" i="7"/>
  <c r="CB34" i="7"/>
  <c r="BZ34" i="7"/>
  <c r="BY34" i="7"/>
  <c r="BX34" i="7"/>
  <c r="BW34" i="7"/>
  <c r="CM35" i="7"/>
  <c r="BB37" i="7"/>
  <c r="Q37" i="7" s="1"/>
  <c r="AQ37" i="7" s="1"/>
  <c r="DQ18" i="7"/>
  <c r="DQ25" i="7"/>
  <c r="DQ24" i="7"/>
  <c r="DQ23" i="7"/>
  <c r="T22" i="7"/>
  <c r="CR22" i="7"/>
  <c r="EF35" i="7"/>
  <c r="DX35" i="7" s="1"/>
  <c r="CI39" i="7"/>
  <c r="BO39" i="7"/>
  <c r="BN39" i="7" s="1"/>
  <c r="CO39" i="7" s="1"/>
  <c r="I149" i="7" s="1"/>
  <c r="CM39" i="7"/>
  <c r="CE39" i="7"/>
  <c r="CD39" i="7"/>
  <c r="DA39" i="7" s="1"/>
  <c r="K149" i="7" s="1"/>
  <c r="CB39" i="7"/>
  <c r="CA39" i="7"/>
  <c r="BZ39" i="7"/>
  <c r="BY39" i="7"/>
  <c r="BN32" i="8"/>
  <c r="CO32" i="8" s="1"/>
  <c r="I142" i="8" s="1"/>
  <c r="CR10" i="7"/>
  <c r="CI17" i="7"/>
  <c r="CD17" i="7"/>
  <c r="DA17" i="7" s="1"/>
  <c r="K127" i="7" s="1"/>
  <c r="CB17" i="7"/>
  <c r="CA17" i="7"/>
  <c r="EF22" i="7"/>
  <c r="DX22" i="7" s="1"/>
  <c r="AA49" i="7"/>
  <c r="AZ16" i="6"/>
  <c r="AZ32" i="6"/>
  <c r="BB24" i="7"/>
  <c r="Q24" i="7" s="1"/>
  <c r="T29" i="7"/>
  <c r="CR29" i="7"/>
  <c r="BS39" i="7"/>
  <c r="BM27" i="8"/>
  <c r="BN27" i="8" s="1"/>
  <c r="CO27" i="8" s="1"/>
  <c r="I137" i="8" s="1"/>
  <c r="BO36" i="7"/>
  <c r="BM36" i="7"/>
  <c r="CA36" i="7"/>
  <c r="CI36" i="7"/>
  <c r="CE36" i="7"/>
  <c r="CB36" i="7"/>
  <c r="BY36" i="7"/>
  <c r="BX36" i="7"/>
  <c r="BW36" i="7"/>
  <c r="BV36" i="7"/>
  <c r="CC36" i="7" s="1"/>
  <c r="BT39" i="7"/>
  <c r="V76" i="7"/>
  <c r="Z76" i="7" s="1"/>
  <c r="V77" i="7"/>
  <c r="Z77" i="7" s="1"/>
  <c r="V69" i="7"/>
  <c r="U12" i="8"/>
  <c r="CT12" i="8" s="1"/>
  <c r="Z69" i="8"/>
  <c r="AM25" i="5"/>
  <c r="V25" i="5" s="1"/>
  <c r="H78" i="3" s="1"/>
  <c r="BG32" i="5"/>
  <c r="BQ32" i="5" s="1"/>
  <c r="BT17" i="7"/>
  <c r="T20" i="7"/>
  <c r="BO23" i="7"/>
  <c r="BM23" i="7"/>
  <c r="BN23" i="7" s="1"/>
  <c r="CO23" i="7" s="1"/>
  <c r="I133" i="7" s="1"/>
  <c r="CI23" i="7"/>
  <c r="EF29" i="7"/>
  <c r="DX29" i="7" s="1"/>
  <c r="BV34" i="7"/>
  <c r="BU39" i="7"/>
  <c r="CR17" i="8"/>
  <c r="T17" i="8"/>
  <c r="DX22" i="8"/>
  <c r="EF25" i="8"/>
  <c r="DX25" i="8" s="1"/>
  <c r="BX31" i="8"/>
  <c r="BW31" i="8"/>
  <c r="BV31" i="8"/>
  <c r="BU31" i="8"/>
  <c r="BT31" i="8"/>
  <c r="BS31" i="8"/>
  <c r="BO31" i="8"/>
  <c r="BM31" i="8"/>
  <c r="CI31" i="8"/>
  <c r="CB31" i="8"/>
  <c r="CA31" i="8"/>
  <c r="BZ31" i="8"/>
  <c r="BY31" i="8"/>
  <c r="CM31" i="8"/>
  <c r="U29" i="8"/>
  <c r="CT29" i="8" s="1"/>
  <c r="CL29" i="8"/>
  <c r="BF36" i="12"/>
  <c r="BM10" i="12"/>
  <c r="CI26" i="8"/>
  <c r="CB26" i="8"/>
  <c r="CA26" i="8"/>
  <c r="BZ26" i="8"/>
  <c r="BY26" i="8"/>
  <c r="BT26" i="8"/>
  <c r="BO26" i="8"/>
  <c r="CM26" i="8"/>
  <c r="BM26" i="8"/>
  <c r="CR41" i="8"/>
  <c r="T41" i="8"/>
  <c r="CI30" i="9"/>
  <c r="CE30" i="9"/>
  <c r="CD30" i="9"/>
  <c r="DA30" i="9" s="1"/>
  <c r="K140" i="9" s="1"/>
  <c r="CB30" i="9"/>
  <c r="CA30" i="9"/>
  <c r="BZ30" i="9"/>
  <c r="BY30" i="9"/>
  <c r="BX30" i="9"/>
  <c r="BW30" i="9"/>
  <c r="BU30" i="9"/>
  <c r="BS30" i="9"/>
  <c r="CM30" i="9"/>
  <c r="BV30" i="9"/>
  <c r="BT30" i="9"/>
  <c r="BM30" i="9"/>
  <c r="BN30" i="9" s="1"/>
  <c r="CO30" i="9" s="1"/>
  <c r="I140" i="9" s="1"/>
  <c r="B160" i="13"/>
  <c r="B160" i="14"/>
  <c r="B160" i="12"/>
  <c r="B160" i="11"/>
  <c r="B160" i="10"/>
  <c r="BG12" i="5"/>
  <c r="BQ12" i="5" s="1"/>
  <c r="BQ39" i="5" s="1"/>
  <c r="AM37" i="5"/>
  <c r="V37" i="5" s="1"/>
  <c r="H90" i="3" s="1"/>
  <c r="CI14" i="7"/>
  <c r="BX17" i="7"/>
  <c r="DD20" i="7"/>
  <c r="BX21" i="7"/>
  <c r="BW21" i="7"/>
  <c r="BV21" i="7"/>
  <c r="BU21" i="7"/>
  <c r="BT21" i="7"/>
  <c r="P21" i="7"/>
  <c r="BM21" i="7"/>
  <c r="BN21" i="7" s="1"/>
  <c r="CO21" i="7" s="1"/>
  <c r="I131" i="7" s="1"/>
  <c r="BU23" i="7"/>
  <c r="BZ36" i="7"/>
  <c r="O84" i="8"/>
  <c r="CP42" i="8"/>
  <c r="T18" i="8"/>
  <c r="EF18" i="8"/>
  <c r="DX18" i="8" s="1"/>
  <c r="CD31" i="8"/>
  <c r="DA31" i="8" s="1"/>
  <c r="K141" i="8" s="1"/>
  <c r="BJ15" i="10"/>
  <c r="DE15" i="10"/>
  <c r="BO15" i="10"/>
  <c r="BD15" i="10"/>
  <c r="BS26" i="8"/>
  <c r="CE31" i="8"/>
  <c r="BB22" i="9"/>
  <c r="Q22" i="9" s="1"/>
  <c r="CM34" i="9"/>
  <c r="CI34" i="9"/>
  <c r="CE34" i="9"/>
  <c r="CD34" i="9"/>
  <c r="DA34" i="9" s="1"/>
  <c r="K144" i="9" s="1"/>
  <c r="CB34" i="9"/>
  <c r="CA34" i="9"/>
  <c r="BZ34" i="9"/>
  <c r="BY34" i="9"/>
  <c r="BX34" i="9"/>
  <c r="BW34" i="9"/>
  <c r="BU34" i="9"/>
  <c r="BS34" i="9"/>
  <c r="BM34" i="9"/>
  <c r="P34" i="9"/>
  <c r="BO34" i="9"/>
  <c r="B176" i="9"/>
  <c r="B176" i="8"/>
  <c r="B176" i="7"/>
  <c r="AM11" i="5"/>
  <c r="BG18" i="5"/>
  <c r="BQ18" i="5" s="1"/>
  <c r="U87" i="5"/>
  <c r="BM12" i="7"/>
  <c r="BN12" i="7" s="1"/>
  <c r="BZ17" i="7"/>
  <c r="BY21" i="7"/>
  <c r="DQ21" i="7"/>
  <c r="BW23" i="7"/>
  <c r="BM31" i="7"/>
  <c r="BN31" i="7" s="1"/>
  <c r="CO31" i="7" s="1"/>
  <c r="I141" i="7" s="1"/>
  <c r="CA41" i="7"/>
  <c r="BY41" i="7"/>
  <c r="CM41" i="7"/>
  <c r="CI41" i="7"/>
  <c r="CE41" i="7"/>
  <c r="CD41" i="7"/>
  <c r="DA41" i="7" s="1"/>
  <c r="K151" i="7" s="1"/>
  <c r="CB41" i="7"/>
  <c r="BZ41" i="7"/>
  <c r="BX41" i="7"/>
  <c r="BW41" i="7"/>
  <c r="CN41" i="7" s="1"/>
  <c r="M151" i="7" s="1"/>
  <c r="DX14" i="8"/>
  <c r="P26" i="8"/>
  <c r="BU26" i="8"/>
  <c r="BB29" i="8"/>
  <c r="Q29" i="8" s="1"/>
  <c r="AQ29" i="8" s="1"/>
  <c r="T31" i="8"/>
  <c r="CR31" i="8"/>
  <c r="C176" i="9"/>
  <c r="C176" i="8"/>
  <c r="C176" i="7"/>
  <c r="AM14" i="5"/>
  <c r="BG21" i="5"/>
  <c r="BQ21" i="5" s="1"/>
  <c r="T23" i="7"/>
  <c r="BX23" i="7"/>
  <c r="CR14" i="8"/>
  <c r="EF23" i="8"/>
  <c r="DX23" i="8" s="1"/>
  <c r="CL30" i="9"/>
  <c r="U30" i="9"/>
  <c r="CT30" i="9" s="1"/>
  <c r="Z77" i="9"/>
  <c r="U31" i="8"/>
  <c r="CT31" i="8" s="1"/>
  <c r="CL31" i="8"/>
  <c r="BB32" i="8"/>
  <c r="Q32" i="8" s="1"/>
  <c r="AQ32" i="8" s="1"/>
  <c r="BA129" i="4"/>
  <c r="B207" i="17" s="1"/>
  <c r="AM23" i="5"/>
  <c r="V23" i="5" s="1"/>
  <c r="H76" i="3" s="1"/>
  <c r="BG30" i="5"/>
  <c r="BQ30" i="5" s="1"/>
  <c r="O55" i="5"/>
  <c r="E97" i="5" s="1"/>
  <c r="K77" i="4" s="1"/>
  <c r="BH13" i="6"/>
  <c r="BH36" i="6" s="1"/>
  <c r="AZ26" i="6"/>
  <c r="DF10" i="7"/>
  <c r="CE19" i="7"/>
  <c r="CD19" i="7"/>
  <c r="DA19" i="7" s="1"/>
  <c r="K129" i="7" s="1"/>
  <c r="CB19" i="7"/>
  <c r="CA19" i="7"/>
  <c r="BX19" i="7"/>
  <c r="BV19" i="7"/>
  <c r="BU19" i="7"/>
  <c r="BT19" i="7"/>
  <c r="CA23" i="7"/>
  <c r="CR27" i="7"/>
  <c r="DK19" i="7"/>
  <c r="DK25" i="7"/>
  <c r="DK17" i="7"/>
  <c r="DK42" i="7" s="1"/>
  <c r="T23" i="8"/>
  <c r="CR23" i="8"/>
  <c r="DX26" i="8"/>
  <c r="CD26" i="8"/>
  <c r="DA26" i="8" s="1"/>
  <c r="K136" i="8" s="1"/>
  <c r="CM35" i="8"/>
  <c r="CI35" i="8"/>
  <c r="CE35" i="8"/>
  <c r="CD35" i="8"/>
  <c r="DA35" i="8" s="1"/>
  <c r="K145" i="8" s="1"/>
  <c r="CB35" i="8"/>
  <c r="CA35" i="8"/>
  <c r="BZ35" i="8"/>
  <c r="BO35" i="8"/>
  <c r="BU35" i="8"/>
  <c r="BT35" i="8"/>
  <c r="BS35" i="8"/>
  <c r="BM35" i="8"/>
  <c r="BW35" i="8"/>
  <c r="AM29" i="5"/>
  <c r="V29" i="5" s="1"/>
  <c r="H82" i="3" s="1"/>
  <c r="W77" i="5"/>
  <c r="AO36" i="6"/>
  <c r="CR20" i="7"/>
  <c r="DF25" i="7"/>
  <c r="T30" i="7"/>
  <c r="CR30" i="7"/>
  <c r="BM35" i="7"/>
  <c r="CM36" i="7"/>
  <c r="T38" i="7"/>
  <c r="AR21" i="7"/>
  <c r="BB21" i="7" s="1"/>
  <c r="Q21" i="7" s="1"/>
  <c r="AR20" i="7"/>
  <c r="BB20" i="7" s="1"/>
  <c r="Q20" i="7" s="1"/>
  <c r="AR18" i="7"/>
  <c r="BB18" i="7" s="1"/>
  <c r="Q18" i="7" s="1"/>
  <c r="BX11" i="8"/>
  <c r="BW11" i="8"/>
  <c r="BV11" i="8"/>
  <c r="BU11" i="8"/>
  <c r="CM11" i="8"/>
  <c r="CI11" i="8"/>
  <c r="CE11" i="8"/>
  <c r="CD11" i="8"/>
  <c r="DA11" i="8" s="1"/>
  <c r="K121" i="8" s="1"/>
  <c r="CB11" i="8"/>
  <c r="CE26" i="8"/>
  <c r="CR30" i="8"/>
  <c r="T26" i="8"/>
  <c r="CR26" i="8"/>
  <c r="BV35" i="8"/>
  <c r="EF35" i="8"/>
  <c r="DX35" i="8" s="1"/>
  <c r="BM11" i="9"/>
  <c r="BN11" i="9" s="1"/>
  <c r="CO11" i="9" s="1"/>
  <c r="I121" i="9" s="1"/>
  <c r="DJ42" i="7"/>
  <c r="DF11" i="7"/>
  <c r="BZ19" i="7"/>
  <c r="CE23" i="7"/>
  <c r="BO35" i="7"/>
  <c r="BM40" i="7"/>
  <c r="BN40" i="7" s="1"/>
  <c r="CO40" i="7" s="1"/>
  <c r="I150" i="7" s="1"/>
  <c r="P11" i="8"/>
  <c r="BS11" i="8"/>
  <c r="CN13" i="8"/>
  <c r="M123" i="8" s="1"/>
  <c r="BM14" i="8"/>
  <c r="BN14" i="8" s="1"/>
  <c r="CO14" i="8" s="1"/>
  <c r="I124" i="8" s="1"/>
  <c r="T19" i="8"/>
  <c r="BX35" i="8"/>
  <c r="CL15" i="9"/>
  <c r="BB27" i="8"/>
  <c r="Q27" i="8" s="1"/>
  <c r="AQ27" i="8" s="1"/>
  <c r="DX38" i="8"/>
  <c r="DP42" i="9"/>
  <c r="U36" i="10"/>
  <c r="BO20" i="7"/>
  <c r="CE32" i="7"/>
  <c r="P28" i="7"/>
  <c r="CI24" i="8"/>
  <c r="CB24" i="8"/>
  <c r="BW24" i="8"/>
  <c r="P24" i="8"/>
  <c r="BO24" i="8"/>
  <c r="BN24" i="8" s="1"/>
  <c r="CO24" i="8" s="1"/>
  <c r="I134" i="8" s="1"/>
  <c r="T25" i="8"/>
  <c r="BM30" i="8"/>
  <c r="BN30" i="8" s="1"/>
  <c r="CO30" i="8" s="1"/>
  <c r="I140" i="8" s="1"/>
  <c r="CL26" i="9"/>
  <c r="U26" i="9"/>
  <c r="CT26" i="9" s="1"/>
  <c r="BK34" i="11"/>
  <c r="BC34" i="11"/>
  <c r="BU23" i="12"/>
  <c r="BN23" i="12"/>
  <c r="O74" i="7"/>
  <c r="BW17" i="12"/>
  <c r="BF17" i="12"/>
  <c r="BM17" i="12" s="1"/>
  <c r="BW35" i="13"/>
  <c r="BF35" i="13"/>
  <c r="BM35" i="13" s="1"/>
  <c r="Z83" i="7"/>
  <c r="O76" i="7"/>
  <c r="Y113" i="7"/>
  <c r="DJ42" i="8"/>
  <c r="BS24" i="8"/>
  <c r="Z76" i="8"/>
  <c r="BU35" i="13"/>
  <c r="BN35" i="13"/>
  <c r="BM17" i="8"/>
  <c r="BN17" i="8" s="1"/>
  <c r="CO17" i="8" s="1"/>
  <c r="I127" i="8" s="1"/>
  <c r="BM18" i="8"/>
  <c r="BN18" i="8" s="1"/>
  <c r="CO18" i="8" s="1"/>
  <c r="I128" i="8" s="1"/>
  <c r="BT24" i="8"/>
  <c r="T28" i="8"/>
  <c r="CR28" i="8"/>
  <c r="BT20" i="7"/>
  <c r="BT28" i="7"/>
  <c r="P29" i="7"/>
  <c r="DL42" i="8"/>
  <c r="BX19" i="8"/>
  <c r="BW19" i="8"/>
  <c r="BV19" i="8"/>
  <c r="BU19" i="8"/>
  <c r="BU24" i="8"/>
  <c r="BU28" i="7"/>
  <c r="CC28" i="7" s="1"/>
  <c r="DM42" i="8"/>
  <c r="CI16" i="8"/>
  <c r="P16" i="8"/>
  <c r="BV24" i="8"/>
  <c r="BN10" i="9"/>
  <c r="BB35" i="10"/>
  <c r="BT35" i="10"/>
  <c r="BJ17" i="13"/>
  <c r="BD17" i="13"/>
  <c r="DE17" i="13"/>
  <c r="BO17" i="13"/>
  <c r="CF42" i="8"/>
  <c r="DN42" i="8"/>
  <c r="CM34" i="8"/>
  <c r="CI34" i="8"/>
  <c r="CE34" i="8"/>
  <c r="CD34" i="8"/>
  <c r="DA34" i="8" s="1"/>
  <c r="K144" i="8" s="1"/>
  <c r="CB34" i="8"/>
  <c r="CA34" i="8"/>
  <c r="BZ34" i="8"/>
  <c r="BY34" i="8"/>
  <c r="BX34" i="8"/>
  <c r="BW34" i="8"/>
  <c r="BV34" i="8"/>
  <c r="BO34" i="8"/>
  <c r="BM34" i="8"/>
  <c r="BN34" i="8" s="1"/>
  <c r="CO34" i="8" s="1"/>
  <c r="I144" i="8" s="1"/>
  <c r="BW20" i="7"/>
  <c r="CM32" i="7"/>
  <c r="Z75" i="7"/>
  <c r="CG42" i="8"/>
  <c r="DO42" i="8"/>
  <c r="CE17" i="8"/>
  <c r="CD17" i="8"/>
  <c r="DA17" i="8" s="1"/>
  <c r="K127" i="8" s="1"/>
  <c r="CB18" i="8"/>
  <c r="CA18" i="8"/>
  <c r="BZ18" i="8"/>
  <c r="BY18" i="8"/>
  <c r="CE29" i="8"/>
  <c r="CD29" i="8"/>
  <c r="DA29" i="8" s="1"/>
  <c r="K139" i="8" s="1"/>
  <c r="CB29" i="8"/>
  <c r="CA29" i="8"/>
  <c r="BZ29" i="8"/>
  <c r="BW29" i="8"/>
  <c r="BV29" i="8"/>
  <c r="BX29" i="8"/>
  <c r="BU29" i="8"/>
  <c r="BT29" i="8"/>
  <c r="BS29" i="8"/>
  <c r="BO29" i="8"/>
  <c r="BM29" i="8"/>
  <c r="CM29" i="8"/>
  <c r="BX20" i="7"/>
  <c r="BX28" i="7"/>
  <c r="CH42" i="8"/>
  <c r="DP42" i="8"/>
  <c r="CM15" i="8"/>
  <c r="BT15" i="8"/>
  <c r="CR32" i="8"/>
  <c r="BS34" i="8"/>
  <c r="BY28" i="7"/>
  <c r="BU29" i="7"/>
  <c r="Z102" i="7"/>
  <c r="E133" i="7" s="1"/>
  <c r="W87" i="4" s="1"/>
  <c r="G87" i="4" s="1"/>
  <c r="AR87" i="4" s="1"/>
  <c r="BS17" i="8"/>
  <c r="BS18" i="8"/>
  <c r="CA24" i="8"/>
  <c r="BY29" i="8"/>
  <c r="BT34" i="8"/>
  <c r="BK34" i="10"/>
  <c r="BC34" i="10"/>
  <c r="BZ20" i="7"/>
  <c r="BZ28" i="7"/>
  <c r="BV29" i="7"/>
  <c r="CJ42" i="8"/>
  <c r="L73" i="8" s="1"/>
  <c r="BS15" i="8"/>
  <c r="BT17" i="8"/>
  <c r="BT18" i="8"/>
  <c r="BB24" i="8"/>
  <c r="Q24" i="8" s="1"/>
  <c r="AQ24" i="8" s="1"/>
  <c r="DX33" i="8"/>
  <c r="BU34" i="8"/>
  <c r="CA28" i="7"/>
  <c r="BW29" i="7"/>
  <c r="BS30" i="7"/>
  <c r="Z85" i="7"/>
  <c r="Z103" i="7"/>
  <c r="E134" i="7" s="1"/>
  <c r="W88" i="4" s="1"/>
  <c r="CK42" i="8"/>
  <c r="I86" i="8" s="1"/>
  <c r="O86" i="8" s="1"/>
  <c r="BU15" i="8"/>
  <c r="BU17" i="8"/>
  <c r="BU18" i="8"/>
  <c r="CM23" i="8"/>
  <c r="CA23" i="8"/>
  <c r="BT23" i="8"/>
  <c r="BS23" i="8"/>
  <c r="CD24" i="8"/>
  <c r="DA24" i="8" s="1"/>
  <c r="K134" i="8" s="1"/>
  <c r="P34" i="8"/>
  <c r="DE31" i="10"/>
  <c r="BD31" i="10"/>
  <c r="BJ31" i="10"/>
  <c r="BO31" i="10"/>
  <c r="BX29" i="7"/>
  <c r="BT30" i="7"/>
  <c r="DD37" i="7"/>
  <c r="O77" i="7"/>
  <c r="Z93" i="7"/>
  <c r="CR12" i="8"/>
  <c r="CR42" i="8" s="1"/>
  <c r="P13" i="8"/>
  <c r="BO13" i="8"/>
  <c r="BM13" i="8"/>
  <c r="CB13" i="8"/>
  <c r="U15" i="8"/>
  <c r="CT15" i="8" s="1"/>
  <c r="BV15" i="8"/>
  <c r="BX16" i="8"/>
  <c r="CC16" i="8" s="1"/>
  <c r="BV17" i="8"/>
  <c r="BV18" i="8"/>
  <c r="T20" i="8"/>
  <c r="P23" i="8"/>
  <c r="CE24" i="8"/>
  <c r="BS14" i="8"/>
  <c r="BW15" i="8"/>
  <c r="BB16" i="8"/>
  <c r="Q16" i="8" s="1"/>
  <c r="AQ16" i="8" s="1"/>
  <c r="BY16" i="8"/>
  <c r="BW17" i="8"/>
  <c r="BW18" i="8"/>
  <c r="CD19" i="8"/>
  <c r="DA19" i="8" s="1"/>
  <c r="K129" i="8" s="1"/>
  <c r="BU23" i="8"/>
  <c r="BM28" i="8"/>
  <c r="BN28" i="8" s="1"/>
  <c r="CO28" i="8" s="1"/>
  <c r="I138" i="8" s="1"/>
  <c r="EF34" i="8"/>
  <c r="DX34" i="8" s="1"/>
  <c r="BB36" i="8"/>
  <c r="Q36" i="8" s="1"/>
  <c r="AQ36" i="8" s="1"/>
  <c r="BO26" i="9"/>
  <c r="BM26" i="9"/>
  <c r="BN26" i="9" s="1"/>
  <c r="CO26" i="9" s="1"/>
  <c r="I136" i="9" s="1"/>
  <c r="CM26" i="9"/>
  <c r="CI26" i="9"/>
  <c r="CE26" i="9"/>
  <c r="CD26" i="9"/>
  <c r="DA26" i="9" s="1"/>
  <c r="K136" i="9" s="1"/>
  <c r="CL31" i="9"/>
  <c r="U31" i="9"/>
  <c r="CT31" i="9" s="1"/>
  <c r="BK12" i="10"/>
  <c r="BC12" i="10"/>
  <c r="BD19" i="10"/>
  <c r="DE19" i="10"/>
  <c r="BJ35" i="11"/>
  <c r="BD35" i="11"/>
  <c r="W54" i="12"/>
  <c r="W53" i="12"/>
  <c r="W64" i="12"/>
  <c r="T98" i="12"/>
  <c r="W57" i="12"/>
  <c r="W63" i="12"/>
  <c r="BJ27" i="12"/>
  <c r="BJ12" i="12"/>
  <c r="BJ34" i="12"/>
  <c r="BJ22" i="12"/>
  <c r="BJ17" i="12"/>
  <c r="BJ31" i="12"/>
  <c r="BJ28" i="12"/>
  <c r="BJ14" i="12"/>
  <c r="BJ35" i="12"/>
  <c r="W59" i="12"/>
  <c r="W67" i="12"/>
  <c r="N57" i="12"/>
  <c r="W65" i="12"/>
  <c r="BJ23" i="12"/>
  <c r="T27" i="9"/>
  <c r="CR27" i="9"/>
  <c r="BT14" i="10"/>
  <c r="BJ19" i="11"/>
  <c r="BD19" i="11"/>
  <c r="DE19" i="11"/>
  <c r="DE35" i="11"/>
  <c r="K53" i="12"/>
  <c r="CI27" i="8"/>
  <c r="BB41" i="8"/>
  <c r="Q41" i="8" s="1"/>
  <c r="AQ41" i="8" s="1"/>
  <c r="T15" i="9"/>
  <c r="CR15" i="9"/>
  <c r="BB16" i="9"/>
  <c r="BM19" i="9"/>
  <c r="BN19" i="9" s="1"/>
  <c r="CO19" i="9" s="1"/>
  <c r="I129" i="9" s="1"/>
  <c r="CR21" i="9"/>
  <c r="T21" i="9"/>
  <c r="BS26" i="9"/>
  <c r="T35" i="9"/>
  <c r="CR35" i="9"/>
  <c r="BT19" i="10"/>
  <c r="BJ35" i="10"/>
  <c r="BD35" i="10"/>
  <c r="BO35" i="10"/>
  <c r="BO11" i="11"/>
  <c r="BJ11" i="11"/>
  <c r="BD11" i="11"/>
  <c r="Z101" i="7"/>
  <c r="E132" i="7" s="1"/>
  <c r="W86" i="4" s="1"/>
  <c r="BT26" i="9"/>
  <c r="BB35" i="9"/>
  <c r="Q35" i="9" s="1"/>
  <c r="DE35" i="10"/>
  <c r="AO36" i="11"/>
  <c r="T39" i="8"/>
  <c r="CR39" i="8"/>
  <c r="CE25" i="9"/>
  <c r="CD25" i="9"/>
  <c r="DA25" i="9" s="1"/>
  <c r="K135" i="9" s="1"/>
  <c r="CB25" i="9"/>
  <c r="CA25" i="9"/>
  <c r="BZ25" i="9"/>
  <c r="BY25" i="9"/>
  <c r="BX25" i="9"/>
  <c r="BW25" i="9"/>
  <c r="BV25" i="9"/>
  <c r="BT25" i="9"/>
  <c r="BO25" i="9"/>
  <c r="BM25" i="9"/>
  <c r="BN25" i="9" s="1"/>
  <c r="CO25" i="9" s="1"/>
  <c r="I135" i="9" s="1"/>
  <c r="BM11" i="10"/>
  <c r="BN32" i="10"/>
  <c r="BU32" i="10"/>
  <c r="DC37" i="8"/>
  <c r="CA26" i="9"/>
  <c r="BB30" i="10"/>
  <c r="BJ16" i="12"/>
  <c r="BD16" i="12"/>
  <c r="DE16" i="12"/>
  <c r="BO16" i="12"/>
  <c r="CE37" i="8"/>
  <c r="CD37" i="8"/>
  <c r="DA37" i="8" s="1"/>
  <c r="K147" i="8" s="1"/>
  <c r="CB37" i="8"/>
  <c r="CA37" i="8"/>
  <c r="BZ37" i="8"/>
  <c r="BY37" i="8"/>
  <c r="BW37" i="8"/>
  <c r="BV37" i="8"/>
  <c r="BU37" i="8"/>
  <c r="BT37" i="8"/>
  <c r="BS37" i="8"/>
  <c r="BM22" i="9"/>
  <c r="BN22" i="9" s="1"/>
  <c r="CO22" i="9" s="1"/>
  <c r="I132" i="9" s="1"/>
  <c r="CR22" i="9"/>
  <c r="BS25" i="9"/>
  <c r="BB26" i="9"/>
  <c r="Q26" i="9" s="1"/>
  <c r="CB26" i="9"/>
  <c r="P33" i="8"/>
  <c r="BO33" i="8"/>
  <c r="BM33" i="8"/>
  <c r="BN33" i="8" s="1"/>
  <c r="CO33" i="8" s="1"/>
  <c r="I143" i="8" s="1"/>
  <c r="CM33" i="8"/>
  <c r="CI33" i="8"/>
  <c r="CE20" i="9"/>
  <c r="CD20" i="9"/>
  <c r="DA20" i="9" s="1"/>
  <c r="K130" i="9" s="1"/>
  <c r="CB20" i="9"/>
  <c r="CA20" i="9"/>
  <c r="BZ20" i="9"/>
  <c r="BY20" i="9"/>
  <c r="BX20" i="9"/>
  <c r="BW20" i="9"/>
  <c r="BV20" i="9"/>
  <c r="BU20" i="9"/>
  <c r="CM20" i="9"/>
  <c r="CI20" i="9"/>
  <c r="BT20" i="9"/>
  <c r="BS20" i="9"/>
  <c r="P20" i="9"/>
  <c r="BU25" i="9"/>
  <c r="BB34" i="8"/>
  <c r="Q34" i="8" s="1"/>
  <c r="AQ34" i="8" s="1"/>
  <c r="BU33" i="10"/>
  <c r="BN33" i="10"/>
  <c r="BC26" i="11"/>
  <c r="BK26" i="11"/>
  <c r="BS33" i="8"/>
  <c r="P37" i="8"/>
  <c r="T37" i="8"/>
  <c r="BK30" i="10"/>
  <c r="BC30" i="10"/>
  <c r="BC24" i="11"/>
  <c r="BW32" i="11"/>
  <c r="BF32" i="11"/>
  <c r="BM32" i="11" s="1"/>
  <c r="P27" i="8"/>
  <c r="BT33" i="8"/>
  <c r="CR14" i="9"/>
  <c r="T14" i="9"/>
  <c r="P25" i="9"/>
  <c r="BW33" i="9"/>
  <c r="BV33" i="9"/>
  <c r="BU33" i="9"/>
  <c r="BS33" i="9"/>
  <c r="CM33" i="9"/>
  <c r="CI33" i="9"/>
  <c r="CB33" i="9"/>
  <c r="CM39" i="9"/>
  <c r="CI39" i="9"/>
  <c r="CE39" i="9"/>
  <c r="CD39" i="9"/>
  <c r="DA39" i="9" s="1"/>
  <c r="K149" i="9" s="1"/>
  <c r="CB39" i="9"/>
  <c r="CA39" i="9"/>
  <c r="BZ39" i="9"/>
  <c r="BX39" i="9"/>
  <c r="BV39" i="9"/>
  <c r="BU33" i="8"/>
  <c r="BM39" i="8"/>
  <c r="BN39" i="8" s="1"/>
  <c r="CO39" i="8" s="1"/>
  <c r="I149" i="8" s="1"/>
  <c r="CI25" i="9"/>
  <c r="CM18" i="9"/>
  <c r="CI18" i="9"/>
  <c r="CE18" i="9"/>
  <c r="CD18" i="9"/>
  <c r="DA18" i="9" s="1"/>
  <c r="K128" i="9" s="1"/>
  <c r="CB18" i="9"/>
  <c r="CA18" i="9"/>
  <c r="BX18" i="9"/>
  <c r="CM28" i="9"/>
  <c r="CI28" i="9"/>
  <c r="CE28" i="9"/>
  <c r="CD28" i="9"/>
  <c r="DA28" i="9" s="1"/>
  <c r="K138" i="9" s="1"/>
  <c r="CA28" i="9"/>
  <c r="BY28" i="9"/>
  <c r="BO28" i="9"/>
  <c r="BO42" i="9" s="1"/>
  <c r="BM28" i="9"/>
  <c r="BN28" i="9" s="1"/>
  <c r="CO28" i="9" s="1"/>
  <c r="I138" i="9" s="1"/>
  <c r="P33" i="9"/>
  <c r="BT33" i="9"/>
  <c r="CR37" i="9"/>
  <c r="T37" i="9"/>
  <c r="BS39" i="9"/>
  <c r="O71" i="8"/>
  <c r="DC43" i="8" s="1"/>
  <c r="P18" i="9"/>
  <c r="BB29" i="9"/>
  <c r="Q29" i="9" s="1"/>
  <c r="BX33" i="9"/>
  <c r="BB37" i="9"/>
  <c r="Q37" i="9" s="1"/>
  <c r="BT39" i="9"/>
  <c r="W47" i="8"/>
  <c r="Y47" i="8" s="1"/>
  <c r="DC10" i="9"/>
  <c r="BP42" i="9"/>
  <c r="BS18" i="9"/>
  <c r="BS28" i="9"/>
  <c r="T29" i="9"/>
  <c r="CR29" i="9"/>
  <c r="BY33" i="9"/>
  <c r="BU39" i="9"/>
  <c r="V76" i="9"/>
  <c r="DF42" i="8"/>
  <c r="BU27" i="8"/>
  <c r="CE28" i="8"/>
  <c r="CD28" i="8"/>
  <c r="DA28" i="8" s="1"/>
  <c r="K138" i="8" s="1"/>
  <c r="CA28" i="8"/>
  <c r="BZ28" i="8"/>
  <c r="CN28" i="8" s="1"/>
  <c r="M138" i="8" s="1"/>
  <c r="DC32" i="8"/>
  <c r="BY33" i="8"/>
  <c r="DX40" i="8"/>
  <c r="CE10" i="9"/>
  <c r="CD10" i="9"/>
  <c r="CB10" i="9"/>
  <c r="CA10" i="9"/>
  <c r="BZ10" i="9"/>
  <c r="BY10" i="9"/>
  <c r="BW10" i="9"/>
  <c r="BV10" i="9"/>
  <c r="BU10" i="9"/>
  <c r="BT10" i="9"/>
  <c r="BS10" i="9"/>
  <c r="BQ42" i="9"/>
  <c r="CM10" i="9"/>
  <c r="CI10" i="9"/>
  <c r="BT18" i="9"/>
  <c r="CM25" i="9"/>
  <c r="BT28" i="9"/>
  <c r="BZ33" i="9"/>
  <c r="BW39" i="9"/>
  <c r="BF30" i="12"/>
  <c r="BM30" i="12" s="1"/>
  <c r="BW30" i="12"/>
  <c r="DG42" i="8"/>
  <c r="BV27" i="8"/>
  <c r="BZ33" i="8"/>
  <c r="CM37" i="8"/>
  <c r="T40" i="8"/>
  <c r="CR40" i="8"/>
  <c r="O73" i="8"/>
  <c r="BR42" i="9"/>
  <c r="L71" i="9" s="1"/>
  <c r="O71" i="9" s="1"/>
  <c r="DC43" i="9" s="1"/>
  <c r="CA33" i="9"/>
  <c r="BM38" i="9"/>
  <c r="BN38" i="9" s="1"/>
  <c r="CO38" i="9" s="1"/>
  <c r="I148" i="9" s="1"/>
  <c r="U39" i="9"/>
  <c r="CT39" i="9" s="1"/>
  <c r="BY39" i="9"/>
  <c r="BU30" i="12"/>
  <c r="BN30" i="12"/>
  <c r="BW27" i="8"/>
  <c r="CN27" i="8" s="1"/>
  <c r="M137" i="8" s="1"/>
  <c r="CA33" i="8"/>
  <c r="DC36" i="8"/>
  <c r="BF19" i="10"/>
  <c r="BM19" i="10" s="1"/>
  <c r="BW19" i="10"/>
  <c r="BK20" i="10"/>
  <c r="BD23" i="10"/>
  <c r="DE23" i="10"/>
  <c r="BJ23" i="10"/>
  <c r="I73" i="11"/>
  <c r="N73" i="11" s="1"/>
  <c r="DI42" i="8"/>
  <c r="BX27" i="8"/>
  <c r="BT28" i="8"/>
  <c r="CC28" i="8" s="1"/>
  <c r="BB33" i="8"/>
  <c r="Q33" i="8" s="1"/>
  <c r="AQ33" i="8" s="1"/>
  <c r="CB33" i="8"/>
  <c r="CI36" i="8"/>
  <c r="CE36" i="8"/>
  <c r="CD36" i="8"/>
  <c r="DA36" i="8" s="1"/>
  <c r="K146" i="8" s="1"/>
  <c r="CA36" i="8"/>
  <c r="BZ36" i="8"/>
  <c r="BY36" i="8"/>
  <c r="BX36" i="8"/>
  <c r="BW36" i="8"/>
  <c r="BV36" i="8"/>
  <c r="P41" i="8"/>
  <c r="BO41" i="8"/>
  <c r="BM41" i="8"/>
  <c r="BN41" i="8" s="1"/>
  <c r="CO41" i="8" s="1"/>
  <c r="I151" i="8" s="1"/>
  <c r="CM41" i="8"/>
  <c r="CI41" i="8"/>
  <c r="CD41" i="8"/>
  <c r="DA41" i="8" s="1"/>
  <c r="K151" i="8" s="1"/>
  <c r="CF42" i="9"/>
  <c r="T10" i="9"/>
  <c r="CR10" i="9"/>
  <c r="CD33" i="9"/>
  <c r="DA33" i="9" s="1"/>
  <c r="K143" i="9" s="1"/>
  <c r="DE11" i="11"/>
  <c r="BF14" i="11"/>
  <c r="BJ30" i="12"/>
  <c r="CG42" i="9"/>
  <c r="BM12" i="9"/>
  <c r="BN12" i="9" s="1"/>
  <c r="CO12" i="9" s="1"/>
  <c r="I122" i="9" s="1"/>
  <c r="BM13" i="9"/>
  <c r="BN13" i="9" s="1"/>
  <c r="CO13" i="9" s="1"/>
  <c r="I123" i="9" s="1"/>
  <c r="BY18" i="9"/>
  <c r="BN27" i="9"/>
  <c r="CO27" i="9" s="1"/>
  <c r="I137" i="9" s="1"/>
  <c r="BX28" i="9"/>
  <c r="CE33" i="9"/>
  <c r="BN14" i="11"/>
  <c r="AY36" i="11"/>
  <c r="BF24" i="11"/>
  <c r="BS41" i="8"/>
  <c r="CH42" i="9"/>
  <c r="CN16" i="9"/>
  <c r="M126" i="9" s="1"/>
  <c r="BZ18" i="9"/>
  <c r="BB24" i="9"/>
  <c r="Q24" i="9" s="1"/>
  <c r="DI37" i="10"/>
  <c r="I72" i="10" s="1"/>
  <c r="BJ19" i="10"/>
  <c r="BO19" i="11"/>
  <c r="DC35" i="8"/>
  <c r="BT36" i="8"/>
  <c r="T38" i="8"/>
  <c r="BT41" i="8"/>
  <c r="CJ42" i="9"/>
  <c r="L73" i="9" s="1"/>
  <c r="O73" i="9" s="1"/>
  <c r="DD10" i="9"/>
  <c r="T24" i="9"/>
  <c r="CR24" i="9"/>
  <c r="U28" i="9"/>
  <c r="CT28" i="9" s="1"/>
  <c r="CB28" i="9"/>
  <c r="BU41" i="8"/>
  <c r="E128" i="8"/>
  <c r="S82" i="4" s="1"/>
  <c r="DB10" i="9"/>
  <c r="CK42" i="9"/>
  <c r="I86" i="9" s="1"/>
  <c r="O86" i="9" s="1"/>
  <c r="BO31" i="9"/>
  <c r="BM31" i="9"/>
  <c r="BN31" i="9" s="1"/>
  <c r="CO31" i="9" s="1"/>
  <c r="I141" i="9" s="1"/>
  <c r="CM31" i="9"/>
  <c r="CI31" i="9"/>
  <c r="CE31" i="9"/>
  <c r="CD31" i="9"/>
  <c r="DA31" i="9" s="1"/>
  <c r="K141" i="9" s="1"/>
  <c r="BZ31" i="9"/>
  <c r="BB36" i="9"/>
  <c r="Q36" i="9" s="1"/>
  <c r="DE13" i="10"/>
  <c r="BO13" i="10"/>
  <c r="BJ13" i="10"/>
  <c r="BD13" i="10"/>
  <c r="BO35" i="11"/>
  <c r="CB36" i="8"/>
  <c r="BV41" i="8"/>
  <c r="CL10" i="9"/>
  <c r="T32" i="9"/>
  <c r="CR32" i="9"/>
  <c r="BT10" i="11"/>
  <c r="BF16" i="11"/>
  <c r="BF20" i="11"/>
  <c r="BT12" i="12"/>
  <c r="DG36" i="12"/>
  <c r="DG37" i="12" s="1"/>
  <c r="BK34" i="12"/>
  <c r="BC34" i="12"/>
  <c r="BW41" i="8"/>
  <c r="BB23" i="9"/>
  <c r="Q23" i="9" s="1"/>
  <c r="BS31" i="9"/>
  <c r="BT13" i="10"/>
  <c r="BB13" i="10"/>
  <c r="W13" i="11"/>
  <c r="V13" i="11"/>
  <c r="DG13" i="11"/>
  <c r="BE13" i="11"/>
  <c r="BN16" i="11"/>
  <c r="L79" i="13"/>
  <c r="BX41" i="8"/>
  <c r="BT31" i="9"/>
  <c r="BO19" i="10"/>
  <c r="BB13" i="11"/>
  <c r="BF22" i="11"/>
  <c r="AJ36" i="12"/>
  <c r="I74" i="12"/>
  <c r="N74" i="12" s="1"/>
  <c r="DC40" i="8"/>
  <c r="BY41" i="8"/>
  <c r="BU31" i="9"/>
  <c r="BM14" i="9"/>
  <c r="BN14" i="9" s="1"/>
  <c r="CO14" i="9" s="1"/>
  <c r="I124" i="9" s="1"/>
  <c r="T17" i="9"/>
  <c r="DG36" i="10"/>
  <c r="BH36" i="10"/>
  <c r="K59" i="10" s="1"/>
  <c r="N59" i="10" s="1"/>
  <c r="BB18" i="10"/>
  <c r="AJ11" i="11"/>
  <c r="BB11" i="11" s="1"/>
  <c r="BG11" i="11"/>
  <c r="E36" i="11"/>
  <c r="DJ11" i="11"/>
  <c r="DI11" i="11"/>
  <c r="DI37" i="11" s="1"/>
  <c r="I72" i="11" s="1"/>
  <c r="DH11" i="11"/>
  <c r="DG11" i="11"/>
  <c r="DF11" i="11"/>
  <c r="W11" i="11"/>
  <c r="BE11" i="11"/>
  <c r="BJ31" i="11"/>
  <c r="BD31" i="11"/>
  <c r="BO31" i="11"/>
  <c r="BC33" i="11"/>
  <c r="BK33" i="11"/>
  <c r="D148" i="11"/>
  <c r="CI13" i="9"/>
  <c r="CE13" i="9"/>
  <c r="CD13" i="9"/>
  <c r="DA13" i="9" s="1"/>
  <c r="K123" i="9" s="1"/>
  <c r="CB13" i="9"/>
  <c r="CA13" i="9"/>
  <c r="BZ13" i="9"/>
  <c r="BM21" i="9"/>
  <c r="BN21" i="9" s="1"/>
  <c r="CO21" i="9" s="1"/>
  <c r="I131" i="9" s="1"/>
  <c r="CM21" i="9"/>
  <c r="CI21" i="9"/>
  <c r="CB38" i="9"/>
  <c r="CA38" i="9"/>
  <c r="BZ38" i="9"/>
  <c r="BY38" i="9"/>
  <c r="BX38" i="9"/>
  <c r="BW38" i="9"/>
  <c r="BV38" i="9"/>
  <c r="BU38" i="9"/>
  <c r="BT38" i="9"/>
  <c r="BS38" i="9"/>
  <c r="CM38" i="9"/>
  <c r="BN24" i="11"/>
  <c r="DE31" i="11"/>
  <c r="BC25" i="12"/>
  <c r="BK25" i="12"/>
  <c r="V98" i="12"/>
  <c r="N85" i="12"/>
  <c r="D150" i="12" s="1"/>
  <c r="AM120" i="4" s="1"/>
  <c r="BO38" i="8"/>
  <c r="BN38" i="8" s="1"/>
  <c r="CO38" i="8" s="1"/>
  <c r="I148" i="8" s="1"/>
  <c r="Y113" i="8"/>
  <c r="P13" i="9"/>
  <c r="BT15" i="10"/>
  <c r="BB15" i="10"/>
  <c r="BN29" i="10"/>
  <c r="P30" i="8"/>
  <c r="P38" i="8"/>
  <c r="Z86" i="8"/>
  <c r="BS13" i="9"/>
  <c r="BS21" i="9"/>
  <c r="CR31" i="9"/>
  <c r="CD38" i="9"/>
  <c r="DA38" i="9" s="1"/>
  <c r="K148" i="9" s="1"/>
  <c r="L79" i="10"/>
  <c r="D120" i="10"/>
  <c r="AE89" i="4" s="1"/>
  <c r="AS36" i="11"/>
  <c r="BT30" i="13"/>
  <c r="BB30" i="13"/>
  <c r="BW31" i="13"/>
  <c r="BF31" i="13"/>
  <c r="BM31" i="13" s="1"/>
  <c r="CP42" i="9"/>
  <c r="BT13" i="9"/>
  <c r="P21" i="9"/>
  <c r="BT21" i="9"/>
  <c r="CE38" i="9"/>
  <c r="O84" i="9"/>
  <c r="BK18" i="10"/>
  <c r="BC18" i="10"/>
  <c r="BJ29" i="10"/>
  <c r="DE29" i="10"/>
  <c r="BE18" i="11"/>
  <c r="DH18" i="11"/>
  <c r="W18" i="11"/>
  <c r="BT21" i="11"/>
  <c r="DE21" i="13"/>
  <c r="BO21" i="13"/>
  <c r="BJ21" i="13"/>
  <c r="BD21" i="13"/>
  <c r="Z93" i="8"/>
  <c r="BU13" i="9"/>
  <c r="BU21" i="9"/>
  <c r="P38" i="9"/>
  <c r="T38" i="9"/>
  <c r="CR38" i="9"/>
  <c r="BU21" i="10"/>
  <c r="BN21" i="10"/>
  <c r="BB28" i="10"/>
  <c r="V18" i="11"/>
  <c r="BT20" i="11"/>
  <c r="BB21" i="11"/>
  <c r="BF28" i="11"/>
  <c r="BM28" i="11" s="1"/>
  <c r="BJ10" i="11"/>
  <c r="BJ20" i="11"/>
  <c r="BJ12" i="11"/>
  <c r="BJ33" i="11"/>
  <c r="BJ25" i="11"/>
  <c r="I73" i="12"/>
  <c r="N73" i="12" s="1"/>
  <c r="BK14" i="12"/>
  <c r="AY36" i="12"/>
  <c r="BS30" i="8"/>
  <c r="BS38" i="8"/>
  <c r="BV13" i="9"/>
  <c r="BV21" i="9"/>
  <c r="BO37" i="9"/>
  <c r="BM37" i="9"/>
  <c r="CM37" i="9"/>
  <c r="CI37" i="9"/>
  <c r="CE37" i="9"/>
  <c r="AT36" i="10"/>
  <c r="K53" i="10" s="1"/>
  <c r="BC14" i="10"/>
  <c r="BB29" i="10"/>
  <c r="BT29" i="10"/>
  <c r="BT18" i="11"/>
  <c r="BB18" i="11"/>
  <c r="BN22" i="11"/>
  <c r="BU28" i="11"/>
  <c r="BN28" i="11"/>
  <c r="BC14" i="12"/>
  <c r="Z101" i="8"/>
  <c r="E132" i="8" s="1"/>
  <c r="S86" i="4" s="1"/>
  <c r="BW13" i="9"/>
  <c r="BW21" i="9"/>
  <c r="BO32" i="11"/>
  <c r="DE32" i="11"/>
  <c r="BC19" i="13"/>
  <c r="BK19" i="13"/>
  <c r="BU38" i="8"/>
  <c r="BM40" i="8"/>
  <c r="BN40" i="8" s="1"/>
  <c r="CO40" i="8" s="1"/>
  <c r="I150" i="8" s="1"/>
  <c r="Z72" i="8"/>
  <c r="Z102" i="8"/>
  <c r="E133" i="8" s="1"/>
  <c r="S87" i="4" s="1"/>
  <c r="BX13" i="9"/>
  <c r="BX21" i="9"/>
  <c r="BM29" i="9"/>
  <c r="BN29" i="9" s="1"/>
  <c r="CO29" i="9" s="1"/>
  <c r="I139" i="9" s="1"/>
  <c r="CN37" i="9"/>
  <c r="M147" i="9" s="1"/>
  <c r="CI38" i="9"/>
  <c r="BB12" i="10"/>
  <c r="BJ25" i="10"/>
  <c r="BD25" i="10"/>
  <c r="AX36" i="11"/>
  <c r="BT17" i="11"/>
  <c r="BJ28" i="11"/>
  <c r="BC30" i="11"/>
  <c r="BN32" i="11"/>
  <c r="BN27" i="13"/>
  <c r="BV30" i="8"/>
  <c r="Z79" i="8"/>
  <c r="Z94" i="8"/>
  <c r="CR17" i="9"/>
  <c r="BY21" i="9"/>
  <c r="BM40" i="9"/>
  <c r="BN40" i="9" s="1"/>
  <c r="CO40" i="9" s="1"/>
  <c r="I150" i="9" s="1"/>
  <c r="BN22" i="10"/>
  <c r="BU22" i="10"/>
  <c r="K76" i="10"/>
  <c r="AV22" i="11"/>
  <c r="BC22" i="11" s="1"/>
  <c r="AP36" i="12"/>
  <c r="DH36" i="12"/>
  <c r="D91" i="12" s="1"/>
  <c r="N91" i="12" s="1"/>
  <c r="D134" i="12" s="1"/>
  <c r="AM104" i="4" s="1"/>
  <c r="BK20" i="13"/>
  <c r="BC20" i="13"/>
  <c r="BW30" i="8"/>
  <c r="BO32" i="8"/>
  <c r="BW38" i="8"/>
  <c r="Z67" i="8"/>
  <c r="Z103" i="8"/>
  <c r="E134" i="8" s="1"/>
  <c r="S88" i="4" s="1"/>
  <c r="BZ21" i="9"/>
  <c r="AX36" i="10"/>
  <c r="BT25" i="10"/>
  <c r="BB25" i="10"/>
  <c r="BU35" i="10"/>
  <c r="BN35" i="10"/>
  <c r="AT36" i="11"/>
  <c r="BO27" i="11"/>
  <c r="BJ27" i="11"/>
  <c r="BD27" i="11"/>
  <c r="AQ36" i="12"/>
  <c r="AW36" i="12"/>
  <c r="BJ33" i="12"/>
  <c r="BB16" i="13"/>
  <c r="BU17" i="13"/>
  <c r="BN17" i="13"/>
  <c r="BG55" i="15"/>
  <c r="BX30" i="8"/>
  <c r="P32" i="8"/>
  <c r="BX38" i="8"/>
  <c r="BB21" i="9"/>
  <c r="Q21" i="9" s="1"/>
  <c r="CA21" i="9"/>
  <c r="CM23" i="9"/>
  <c r="CI23" i="9"/>
  <c r="CE23" i="9"/>
  <c r="CD23" i="9"/>
  <c r="DA23" i="9" s="1"/>
  <c r="K133" i="9" s="1"/>
  <c r="CB23" i="9"/>
  <c r="BZ23" i="9"/>
  <c r="AY36" i="10"/>
  <c r="AK36" i="10"/>
  <c r="K54" i="10" s="1"/>
  <c r="DE25" i="10"/>
  <c r="BU26" i="10"/>
  <c r="BN26" i="10"/>
  <c r="AV27" i="11"/>
  <c r="BC27" i="11" s="1"/>
  <c r="BN29" i="11"/>
  <c r="BU29" i="11"/>
  <c r="AR36" i="12"/>
  <c r="BK10" i="12"/>
  <c r="BC10" i="12"/>
  <c r="BC36" i="12" s="1"/>
  <c r="BW13" i="12"/>
  <c r="BE36" i="12"/>
  <c r="BD27" i="13"/>
  <c r="DE27" i="13"/>
  <c r="BO27" i="13"/>
  <c r="BY30" i="8"/>
  <c r="BY38" i="8"/>
  <c r="O104" i="8"/>
  <c r="CB21" i="9"/>
  <c r="P23" i="9"/>
  <c r="BM32" i="9"/>
  <c r="BN32" i="9" s="1"/>
  <c r="CO32" i="9" s="1"/>
  <c r="I142" i="9" s="1"/>
  <c r="BW37" i="9"/>
  <c r="CC37" i="9" s="1"/>
  <c r="AZ36" i="10"/>
  <c r="BF13" i="10"/>
  <c r="BM13" i="10" s="1"/>
  <c r="BK24" i="10"/>
  <c r="BC24" i="10"/>
  <c r="BM10" i="11"/>
  <c r="AV26" i="11"/>
  <c r="BT27" i="11"/>
  <c r="W53" i="11"/>
  <c r="W56" i="11"/>
  <c r="W64" i="11"/>
  <c r="W63" i="11"/>
  <c r="T98" i="11"/>
  <c r="W54" i="11"/>
  <c r="AS36" i="12"/>
  <c r="BF13" i="12"/>
  <c r="BM13" i="12" s="1"/>
  <c r="BT18" i="12"/>
  <c r="BZ30" i="8"/>
  <c r="BZ38" i="8"/>
  <c r="Z80" i="8"/>
  <c r="Z104" i="8"/>
  <c r="BS23" i="9"/>
  <c r="BU13" i="10"/>
  <c r="BN13" i="10"/>
  <c r="BN23" i="10"/>
  <c r="BU23" i="10"/>
  <c r="DG37" i="10"/>
  <c r="BB26" i="11"/>
  <c r="BT26" i="11"/>
  <c r="V98" i="11"/>
  <c r="N84" i="11"/>
  <c r="N87" i="11"/>
  <c r="D152" i="11" s="1"/>
  <c r="AI122" i="4" s="1"/>
  <c r="BU13" i="12"/>
  <c r="BG36" i="12"/>
  <c r="BN13" i="12"/>
  <c r="DI37" i="12"/>
  <c r="I72" i="12" s="1"/>
  <c r="BL36" i="13"/>
  <c r="BC15" i="13"/>
  <c r="W59" i="14"/>
  <c r="BE26" i="15"/>
  <c r="AY26" i="15"/>
  <c r="Y26" i="15"/>
  <c r="BJ26" i="15"/>
  <c r="CA30" i="8"/>
  <c r="BS32" i="8"/>
  <c r="CA38" i="8"/>
  <c r="BW39" i="8"/>
  <c r="CC39" i="8" s="1"/>
  <c r="BS40" i="8"/>
  <c r="Z96" i="8"/>
  <c r="CE15" i="9"/>
  <c r="CD15" i="9"/>
  <c r="DA15" i="9" s="1"/>
  <c r="K125" i="9" s="1"/>
  <c r="CB15" i="9"/>
  <c r="CA15" i="9"/>
  <c r="BZ15" i="9"/>
  <c r="BY15" i="9"/>
  <c r="BX15" i="9"/>
  <c r="BW15" i="9"/>
  <c r="BV15" i="9"/>
  <c r="BU15" i="9"/>
  <c r="CC15" i="9" s="1"/>
  <c r="BT15" i="9"/>
  <c r="CN15" i="9" s="1"/>
  <c r="M125" i="9" s="1"/>
  <c r="BM16" i="9"/>
  <c r="BN16" i="9" s="1"/>
  <c r="CO16" i="9" s="1"/>
  <c r="I126" i="9" s="1"/>
  <c r="CM16" i="9"/>
  <c r="CI16" i="9"/>
  <c r="CD21" i="9"/>
  <c r="DA21" i="9" s="1"/>
  <c r="K131" i="9" s="1"/>
  <c r="BT23" i="9"/>
  <c r="BY37" i="9"/>
  <c r="BT34" i="10"/>
  <c r="BM35" i="10"/>
  <c r="AO36" i="12"/>
  <c r="BB12" i="12"/>
  <c r="BH36" i="12"/>
  <c r="K59" i="12" s="1"/>
  <c r="N59" i="12" s="1"/>
  <c r="Z68" i="8"/>
  <c r="CM13" i="9"/>
  <c r="CE21" i="9"/>
  <c r="BU23" i="9"/>
  <c r="U37" i="9"/>
  <c r="CT37" i="9" s="1"/>
  <c r="BZ37" i="9"/>
  <c r="BM10" i="10"/>
  <c r="BM27" i="10"/>
  <c r="BJ17" i="10"/>
  <c r="BJ16" i="10"/>
  <c r="BJ10" i="10"/>
  <c r="BJ18" i="10"/>
  <c r="BJ14" i="10"/>
  <c r="BJ30" i="10"/>
  <c r="BJ26" i="10"/>
  <c r="BJ22" i="10"/>
  <c r="BJ32" i="10"/>
  <c r="BJ24" i="10"/>
  <c r="BJ27" i="10"/>
  <c r="AZ36" i="11"/>
  <c r="BT10" i="10"/>
  <c r="DD36" i="10"/>
  <c r="DD37" i="10" s="1"/>
  <c r="I73" i="10"/>
  <c r="N73" i="10" s="1"/>
  <c r="BT16" i="10"/>
  <c r="BB16" i="10"/>
  <c r="BB23" i="10"/>
  <c r="BK12" i="11"/>
  <c r="BC31" i="11"/>
  <c r="BK31" i="11"/>
  <c r="AU36" i="12"/>
  <c r="BC11" i="12"/>
  <c r="BD23" i="12"/>
  <c r="DE23" i="12"/>
  <c r="BF18" i="13"/>
  <c r="BM18" i="13" s="1"/>
  <c r="BW18" i="13"/>
  <c r="AJ36" i="10"/>
  <c r="BB10" i="10"/>
  <c r="I74" i="10"/>
  <c r="N74" i="10" s="1"/>
  <c r="DF36" i="10"/>
  <c r="DF37" i="10" s="1"/>
  <c r="BT14" i="11"/>
  <c r="DH22" i="11"/>
  <c r="DG22" i="11"/>
  <c r="DF22" i="11"/>
  <c r="V22" i="11"/>
  <c r="BT23" i="12"/>
  <c r="BF24" i="12"/>
  <c r="BM24" i="12" s="1"/>
  <c r="BW24" i="12"/>
  <c r="DD41" i="9"/>
  <c r="DH36" i="10"/>
  <c r="DH37" i="10" s="1"/>
  <c r="BK22" i="10"/>
  <c r="BM24" i="10"/>
  <c r="BT15" i="11"/>
  <c r="BB15" i="11"/>
  <c r="BT22" i="11"/>
  <c r="BL36" i="12"/>
  <c r="DE19" i="12"/>
  <c r="BO19" i="12"/>
  <c r="BJ19" i="12"/>
  <c r="BD19" i="12"/>
  <c r="DH37" i="13"/>
  <c r="AX49" i="15"/>
  <c r="AM36" i="10"/>
  <c r="BJ21" i="10"/>
  <c r="BN27" i="10"/>
  <c r="DE33" i="10"/>
  <c r="BD33" i="10"/>
  <c r="DE32" i="12"/>
  <c r="BO32" i="12"/>
  <c r="BJ32" i="12"/>
  <c r="BD32" i="12"/>
  <c r="BB13" i="13"/>
  <c r="BN14" i="13"/>
  <c r="BK16" i="13"/>
  <c r="BC16" i="13"/>
  <c r="BF19" i="15"/>
  <c r="AX19" i="15"/>
  <c r="BS32" i="9"/>
  <c r="BB34" i="9"/>
  <c r="Q34" i="9" s="1"/>
  <c r="AN36" i="10"/>
  <c r="DJ36" i="10"/>
  <c r="DJ37" i="10" s="1"/>
  <c r="BT16" i="11"/>
  <c r="BS27" i="9"/>
  <c r="BT32" i="9"/>
  <c r="CI41" i="9"/>
  <c r="CE41" i="9"/>
  <c r="CD41" i="9"/>
  <c r="DA41" i="9" s="1"/>
  <c r="K151" i="9" s="1"/>
  <c r="CB41" i="9"/>
  <c r="CA41" i="9"/>
  <c r="BZ41" i="9"/>
  <c r="BY41" i="9"/>
  <c r="Z90" i="9"/>
  <c r="AO36" i="10"/>
  <c r="DE11" i="10"/>
  <c r="BO11" i="10"/>
  <c r="BB33" i="10"/>
  <c r="BT33" i="10"/>
  <c r="DE14" i="13"/>
  <c r="BO14" i="13"/>
  <c r="BF23" i="15"/>
  <c r="AX23" i="15"/>
  <c r="BS22" i="9"/>
  <c r="BM24" i="9"/>
  <c r="BT27" i="9"/>
  <c r="BU32" i="9"/>
  <c r="P41" i="9"/>
  <c r="Z68" i="9"/>
  <c r="Z106" i="9"/>
  <c r="Z88" i="9"/>
  <c r="O74" i="9"/>
  <c r="E128" i="9" s="1"/>
  <c r="AA82" i="4" s="1"/>
  <c r="Z80" i="9"/>
  <c r="Z67" i="9"/>
  <c r="Z87" i="9"/>
  <c r="Z96" i="9"/>
  <c r="Z79" i="9"/>
  <c r="Z72" i="9"/>
  <c r="Z104" i="9"/>
  <c r="Z95" i="9"/>
  <c r="Z94" i="9"/>
  <c r="Z102" i="9"/>
  <c r="E133" i="9" s="1"/>
  <c r="AA87" i="4" s="1"/>
  <c r="Z93" i="9"/>
  <c r="AA49" i="9"/>
  <c r="AP36" i="10"/>
  <c r="BN11" i="10"/>
  <c r="D113" i="10"/>
  <c r="AE82" i="4" s="1"/>
  <c r="AV24" i="11"/>
  <c r="BB24" i="11"/>
  <c r="BF30" i="11"/>
  <c r="BM30" i="11" s="1"/>
  <c r="BP36" i="12"/>
  <c r="BF16" i="12"/>
  <c r="BM16" i="12" s="1"/>
  <c r="O97" i="9"/>
  <c r="E165" i="9" s="1"/>
  <c r="AA119" i="4" s="1"/>
  <c r="O96" i="9"/>
  <c r="E135" i="9"/>
  <c r="AA89" i="4" s="1"/>
  <c r="Z103" i="9"/>
  <c r="E134" i="9" s="1"/>
  <c r="AA88" i="4" s="1"/>
  <c r="AQ36" i="10"/>
  <c r="AH36" i="10"/>
  <c r="BP36" i="10"/>
  <c r="BU17" i="10"/>
  <c r="BT20" i="10"/>
  <c r="BU30" i="11"/>
  <c r="BN30" i="11"/>
  <c r="BT28" i="12"/>
  <c r="BB28" i="12"/>
  <c r="BM14" i="12"/>
  <c r="BM25" i="12"/>
  <c r="BB14" i="13"/>
  <c r="BT14" i="13"/>
  <c r="DF42" i="9"/>
  <c r="DC47" i="9" s="1"/>
  <c r="V88" i="9" s="1"/>
  <c r="BT17" i="9"/>
  <c r="CN17" i="9" s="1"/>
  <c r="M127" i="9" s="1"/>
  <c r="BO24" i="9"/>
  <c r="BV27" i="9"/>
  <c r="BW32" i="9"/>
  <c r="BT41" i="9"/>
  <c r="Z91" i="9"/>
  <c r="AR36" i="10"/>
  <c r="BK10" i="10"/>
  <c r="BC10" i="10"/>
  <c r="AI36" i="10"/>
  <c r="BB14" i="10"/>
  <c r="BK16" i="10"/>
  <c r="BC16" i="10"/>
  <c r="BT17" i="10"/>
  <c r="BM18" i="10"/>
  <c r="BO21" i="10"/>
  <c r="BM34" i="10"/>
  <c r="BB10" i="11"/>
  <c r="AH36" i="11"/>
  <c r="BF17" i="11"/>
  <c r="BB23" i="11"/>
  <c r="BB32" i="12"/>
  <c r="AX36" i="13"/>
  <c r="BJ15" i="15"/>
  <c r="BJ54" i="15" s="1"/>
  <c r="BE15" i="15"/>
  <c r="AY15" i="15"/>
  <c r="Y15" i="15"/>
  <c r="BH20" i="15"/>
  <c r="DG42" i="9"/>
  <c r="BW27" i="9"/>
  <c r="BX32" i="9"/>
  <c r="CI36" i="9"/>
  <c r="CD36" i="9"/>
  <c r="DA36" i="9" s="1"/>
  <c r="K146" i="9" s="1"/>
  <c r="CB36" i="9"/>
  <c r="CA36" i="9"/>
  <c r="BZ36" i="9"/>
  <c r="BY36" i="9"/>
  <c r="AS36" i="10"/>
  <c r="BK32" i="10"/>
  <c r="BE36" i="10"/>
  <c r="AI36" i="11"/>
  <c r="DD36" i="11"/>
  <c r="DD37" i="11"/>
  <c r="BC12" i="11"/>
  <c r="BO15" i="12"/>
  <c r="BJ15" i="12"/>
  <c r="BD15" i="12"/>
  <c r="BD36" i="12" s="1"/>
  <c r="DE15" i="12"/>
  <c r="BK18" i="12"/>
  <c r="BV17" i="9"/>
  <c r="BX27" i="9"/>
  <c r="BY32" i="9"/>
  <c r="P36" i="9"/>
  <c r="BV41" i="9"/>
  <c r="CC41" i="9" s="1"/>
  <c r="M92" i="9"/>
  <c r="CV43" i="9" s="1"/>
  <c r="AJ36" i="11"/>
  <c r="BJ34" i="11"/>
  <c r="DE34" i="11"/>
  <c r="BD34" i="11"/>
  <c r="BD33" i="12"/>
  <c r="DE33" i="12"/>
  <c r="DE33" i="13"/>
  <c r="BJ33" i="13"/>
  <c r="BO33" i="13"/>
  <c r="BD33" i="13"/>
  <c r="DI42" i="9"/>
  <c r="BV12" i="9"/>
  <c r="BW17" i="9"/>
  <c r="BX22" i="9"/>
  <c r="BY27" i="9"/>
  <c r="BS29" i="9"/>
  <c r="BZ32" i="9"/>
  <c r="BS36" i="9"/>
  <c r="DA40" i="9"/>
  <c r="K150" i="9" s="1"/>
  <c r="BW41" i="9"/>
  <c r="AL36" i="10"/>
  <c r="K55" i="10" s="1"/>
  <c r="BB21" i="10"/>
  <c r="BF25" i="10"/>
  <c r="BM25" i="10" s="1"/>
  <c r="BG36" i="10"/>
  <c r="BD20" i="12"/>
  <c r="BO20" i="12"/>
  <c r="BJ20" i="12"/>
  <c r="DE20" i="12"/>
  <c r="BC31" i="12"/>
  <c r="BK31" i="12"/>
  <c r="DJ42" i="9"/>
  <c r="BW12" i="9"/>
  <c r="BX17" i="9"/>
  <c r="BY22" i="9"/>
  <c r="BS24" i="9"/>
  <c r="BZ27" i="9"/>
  <c r="BT29" i="9"/>
  <c r="CA32" i="9"/>
  <c r="BT36" i="9"/>
  <c r="BX41" i="9"/>
  <c r="Z92" i="9"/>
  <c r="BT21" i="10"/>
  <c r="BM28" i="10"/>
  <c r="AL36" i="11"/>
  <c r="BF12" i="11"/>
  <c r="BM12" i="11" s="1"/>
  <c r="BK15" i="11"/>
  <c r="BC15" i="11"/>
  <c r="BF19" i="11"/>
  <c r="BB34" i="11"/>
  <c r="BT33" i="12"/>
  <c r="BE36" i="14"/>
  <c r="BW10" i="14"/>
  <c r="BF10" i="14"/>
  <c r="DK42" i="9"/>
  <c r="BY17" i="9"/>
  <c r="BS19" i="9"/>
  <c r="BZ22" i="9"/>
  <c r="BT24" i="9"/>
  <c r="CA27" i="9"/>
  <c r="BU29" i="9"/>
  <c r="BU36" i="9"/>
  <c r="DC37" i="9"/>
  <c r="T40" i="9"/>
  <c r="Z109" i="9"/>
  <c r="BC22" i="10"/>
  <c r="AM36" i="11"/>
  <c r="BK29" i="11"/>
  <c r="BC29" i="11"/>
  <c r="BF26" i="12"/>
  <c r="BM26" i="12" s="1"/>
  <c r="AT36" i="14"/>
  <c r="DL42" i="9"/>
  <c r="DA35" i="9"/>
  <c r="K145" i="9" s="1"/>
  <c r="BV36" i="9"/>
  <c r="BB20" i="10"/>
  <c r="AN36" i="11"/>
  <c r="BT30" i="11"/>
  <c r="DJ36" i="12"/>
  <c r="DJ37" i="12" s="1"/>
  <c r="BN26" i="12"/>
  <c r="BU26" i="12"/>
  <c r="BK32" i="13"/>
  <c r="BC32" i="13"/>
  <c r="BH36" i="14"/>
  <c r="K59" i="14" s="1"/>
  <c r="N59" i="14" s="1"/>
  <c r="BM32" i="10"/>
  <c r="BJ30" i="11"/>
  <c r="N86" i="11"/>
  <c r="D151" i="11" s="1"/>
  <c r="AI121" i="4" s="1"/>
  <c r="AN36" i="13"/>
  <c r="CG42" i="18"/>
  <c r="T10" i="18"/>
  <c r="CR10" i="18"/>
  <c r="AV36" i="12"/>
  <c r="BU24" i="12"/>
  <c r="BN24" i="12"/>
  <c r="BW27" i="14"/>
  <c r="BF27" i="14"/>
  <c r="BM27" i="14" s="1"/>
  <c r="S65" i="10"/>
  <c r="N58" i="10" s="1"/>
  <c r="S78" i="10"/>
  <c r="W78" i="10" s="1"/>
  <c r="DH14" i="11"/>
  <c r="DG14" i="11"/>
  <c r="W14" i="11"/>
  <c r="BT20" i="12"/>
  <c r="BB20" i="12"/>
  <c r="BC13" i="13"/>
  <c r="BK13" i="13"/>
  <c r="DE23" i="13"/>
  <c r="BJ23" i="13"/>
  <c r="BD23" i="13"/>
  <c r="BU27" i="14"/>
  <c r="BN27" i="14"/>
  <c r="BF30" i="10"/>
  <c r="BA36" i="11"/>
  <c r="V14" i="11"/>
  <c r="BN17" i="11"/>
  <c r="BO30" i="11"/>
  <c r="BF21" i="12"/>
  <c r="BM21" i="12" s="1"/>
  <c r="BM35" i="9"/>
  <c r="BN35" i="9" s="1"/>
  <c r="CO35" i="9" s="1"/>
  <c r="I145" i="9" s="1"/>
  <c r="BJ20" i="10"/>
  <c r="DE25" i="11"/>
  <c r="BO25" i="11"/>
  <c r="BO28" i="11"/>
  <c r="BT23" i="13"/>
  <c r="BB23" i="13"/>
  <c r="BK30" i="13"/>
  <c r="BC30" i="13"/>
  <c r="AX44" i="15"/>
  <c r="BF44" i="15"/>
  <c r="BC19" i="10"/>
  <c r="BJ34" i="10"/>
  <c r="W67" i="10"/>
  <c r="N57" i="10"/>
  <c r="D83" i="10"/>
  <c r="N83" i="10" s="1"/>
  <c r="BJ23" i="11"/>
  <c r="BB28" i="11"/>
  <c r="N57" i="11"/>
  <c r="U36" i="12"/>
  <c r="BJ10" i="12"/>
  <c r="BT30" i="12"/>
  <c r="DF36" i="13"/>
  <c r="DF37" i="13" s="1"/>
  <c r="AJ36" i="14"/>
  <c r="BK34" i="14"/>
  <c r="BO35" i="9"/>
  <c r="BM12" i="10"/>
  <c r="BO22" i="10"/>
  <c r="BD22" i="10"/>
  <c r="D152" i="10"/>
  <c r="AE122" i="4" s="1"/>
  <c r="S57" i="10"/>
  <c r="W57" i="10" s="1"/>
  <c r="DH20" i="11"/>
  <c r="DG20" i="11"/>
  <c r="DF20" i="11"/>
  <c r="BO33" i="11"/>
  <c r="W36" i="12"/>
  <c r="AI36" i="13"/>
  <c r="BB10" i="13"/>
  <c r="DG36" i="13"/>
  <c r="BK22" i="13"/>
  <c r="BO12" i="14"/>
  <c r="BJ12" i="14"/>
  <c r="DE12" i="14"/>
  <c r="BD12" i="14"/>
  <c r="Y17" i="15"/>
  <c r="BJ17" i="15"/>
  <c r="BE17" i="15"/>
  <c r="AY17" i="15"/>
  <c r="BN20" i="10"/>
  <c r="BN12" i="11"/>
  <c r="BN20" i="11"/>
  <c r="BB10" i="12"/>
  <c r="AH36" i="12"/>
  <c r="BT10" i="12"/>
  <c r="BK12" i="12"/>
  <c r="BC12" i="12"/>
  <c r="BT17" i="12"/>
  <c r="BN21" i="12"/>
  <c r="BK29" i="12"/>
  <c r="BC29" i="12"/>
  <c r="BF31" i="12"/>
  <c r="BM31" i="12" s="1"/>
  <c r="AJ36" i="13"/>
  <c r="AL36" i="14"/>
  <c r="DF36" i="14"/>
  <c r="DF37" i="14" s="1"/>
  <c r="BB26" i="10"/>
  <c r="DE28" i="10"/>
  <c r="BO28" i="10"/>
  <c r="BB32" i="10"/>
  <c r="BO12" i="11"/>
  <c r="DE17" i="11"/>
  <c r="BJ17" i="11"/>
  <c r="W20" i="11"/>
  <c r="BO23" i="11"/>
  <c r="BT28" i="11"/>
  <c r="L79" i="11"/>
  <c r="AI36" i="12"/>
  <c r="DB10" i="12"/>
  <c r="DB36" i="12" s="1"/>
  <c r="N84" i="12"/>
  <c r="D149" i="12" s="1"/>
  <c r="AM119" i="4" s="1"/>
  <c r="D83" i="12"/>
  <c r="N83" i="12" s="1"/>
  <c r="DI37" i="13"/>
  <c r="I72" i="13" s="1"/>
  <c r="BJ20" i="13"/>
  <c r="BD20" i="13"/>
  <c r="BT20" i="13"/>
  <c r="AM36" i="14"/>
  <c r="BF18" i="14"/>
  <c r="BM18" i="14" s="1"/>
  <c r="BW18" i="14"/>
  <c r="BK17" i="10"/>
  <c r="BC17" i="10"/>
  <c r="AV17" i="11"/>
  <c r="BC17" i="11" s="1"/>
  <c r="BW33" i="11"/>
  <c r="BD18" i="12"/>
  <c r="BJ18" i="12"/>
  <c r="D113" i="12"/>
  <c r="AM82" i="4" s="1"/>
  <c r="DJ36" i="13"/>
  <c r="DJ37" i="13" s="1"/>
  <c r="R86" i="16"/>
  <c r="N62" i="16"/>
  <c r="D134" i="16" s="1"/>
  <c r="BK109" i="4" s="1"/>
  <c r="N63" i="16"/>
  <c r="D136" i="16" s="1"/>
  <c r="BK111" i="4" s="1"/>
  <c r="C70" i="16"/>
  <c r="D70" i="16" s="1"/>
  <c r="R79" i="16"/>
  <c r="V79" i="16" s="1"/>
  <c r="BT28" i="10"/>
  <c r="BW32" i="10"/>
  <c r="DF14" i="11"/>
  <c r="BB17" i="11"/>
  <c r="AK36" i="12"/>
  <c r="AM36" i="13"/>
  <c r="BN12" i="13"/>
  <c r="BU12" i="13"/>
  <c r="BD24" i="13"/>
  <c r="BJ24" i="13"/>
  <c r="DE24" i="13"/>
  <c r="AU36" i="14"/>
  <c r="K54" i="14" s="1"/>
  <c r="DE17" i="14"/>
  <c r="BO17" i="14"/>
  <c r="BD17" i="14"/>
  <c r="BT35" i="9"/>
  <c r="CC35" i="9" s="1"/>
  <c r="BU40" i="9"/>
  <c r="BW20" i="10"/>
  <c r="BT26" i="10"/>
  <c r="BT30" i="10"/>
  <c r="BW34" i="10"/>
  <c r="K76" i="11"/>
  <c r="DE10" i="12"/>
  <c r="BM11" i="12"/>
  <c r="BB18" i="12"/>
  <c r="BO35" i="12"/>
  <c r="AV36" i="14"/>
  <c r="N61" i="16"/>
  <c r="BU35" i="9"/>
  <c r="BV40" i="9"/>
  <c r="BM21" i="11"/>
  <c r="BH21" i="11"/>
  <c r="AM36" i="12"/>
  <c r="DF37" i="12"/>
  <c r="BK20" i="12"/>
  <c r="BC20" i="12"/>
  <c r="BJ25" i="12"/>
  <c r="BD25" i="12"/>
  <c r="AH36" i="13"/>
  <c r="BB11" i="13"/>
  <c r="BE36" i="13"/>
  <c r="AW36" i="14"/>
  <c r="AQ36" i="14"/>
  <c r="BB17" i="14"/>
  <c r="BT17" i="14"/>
  <c r="BO10" i="10"/>
  <c r="BD10" i="10"/>
  <c r="BJ12" i="10"/>
  <c r="AR36" i="11"/>
  <c r="K51" i="11" s="1"/>
  <c r="AN36" i="12"/>
  <c r="AP36" i="13"/>
  <c r="BG36" i="13"/>
  <c r="AX36" i="14"/>
  <c r="BK11" i="14"/>
  <c r="BC11" i="14"/>
  <c r="BK19" i="16"/>
  <c r="BK35" i="16" s="1"/>
  <c r="BS36" i="16"/>
  <c r="F88" i="16" s="1"/>
  <c r="N88" i="16" s="1"/>
  <c r="D131" i="16" s="1"/>
  <c r="BK106" i="4" s="1"/>
  <c r="BD15" i="11"/>
  <c r="BJ15" i="11"/>
  <c r="V26" i="11"/>
  <c r="BN34" i="11"/>
  <c r="DB49" i="11"/>
  <c r="BB25" i="12"/>
  <c r="BT25" i="12"/>
  <c r="DE20" i="13"/>
  <c r="AY36" i="14"/>
  <c r="BB17" i="12"/>
  <c r="BU31" i="12"/>
  <c r="BN31" i="12"/>
  <c r="BJ11" i="13"/>
  <c r="BD11" i="13"/>
  <c r="BD12" i="13"/>
  <c r="BW25" i="13"/>
  <c r="BF25" i="13"/>
  <c r="BM25" i="13" s="1"/>
  <c r="AK36" i="11"/>
  <c r="K54" i="11" s="1"/>
  <c r="BE25" i="11"/>
  <c r="BE27" i="11"/>
  <c r="BB35" i="11"/>
  <c r="BT11" i="12"/>
  <c r="BO14" i="12"/>
  <c r="BD14" i="12"/>
  <c r="DE11" i="13"/>
  <c r="BN17" i="12"/>
  <c r="BU17" i="12"/>
  <c r="BT19" i="12"/>
  <c r="AT36" i="13"/>
  <c r="AK36" i="13"/>
  <c r="BT28" i="13"/>
  <c r="BB28" i="13"/>
  <c r="BP40" i="17"/>
  <c r="CQ25" i="17"/>
  <c r="BM22" i="12"/>
  <c r="AU36" i="13"/>
  <c r="AL36" i="13"/>
  <c r="BW25" i="14"/>
  <c r="BF25" i="14"/>
  <c r="BM25" i="14" s="1"/>
  <c r="Z49" i="15"/>
  <c r="BI49" i="15" s="1"/>
  <c r="BH49" i="15"/>
  <c r="BA36" i="12"/>
  <c r="BC22" i="14"/>
  <c r="BK22" i="14"/>
  <c r="W75" i="15"/>
  <c r="AL36" i="12"/>
  <c r="BC13" i="12"/>
  <c r="BF34" i="12"/>
  <c r="BM34" i="12" s="1"/>
  <c r="AW36" i="13"/>
  <c r="BO18" i="13"/>
  <c r="BD18" i="13"/>
  <c r="DE18" i="13"/>
  <c r="BK16" i="12"/>
  <c r="BC16" i="12"/>
  <c r="BM20" i="12"/>
  <c r="BO24" i="12"/>
  <c r="BJ24" i="12"/>
  <c r="BK34" i="13"/>
  <c r="DE29" i="14"/>
  <c r="BJ29" i="14"/>
  <c r="BD29" i="14"/>
  <c r="Z29" i="15"/>
  <c r="BI29" i="15" s="1"/>
  <c r="BH29" i="15"/>
  <c r="AQ36" i="11"/>
  <c r="BB33" i="11"/>
  <c r="BT33" i="11"/>
  <c r="DF36" i="12"/>
  <c r="BF15" i="12"/>
  <c r="BM15" i="12" s="1"/>
  <c r="BB31" i="12"/>
  <c r="AY36" i="13"/>
  <c r="D120" i="13"/>
  <c r="AQ89" i="4" s="1"/>
  <c r="BC10" i="11"/>
  <c r="BO29" i="11"/>
  <c r="BJ29" i="11"/>
  <c r="DE14" i="12"/>
  <c r="BK21" i="12"/>
  <c r="BC33" i="12"/>
  <c r="BJ21" i="12"/>
  <c r="BJ26" i="12"/>
  <c r="AZ36" i="13"/>
  <c r="BC24" i="13"/>
  <c r="BB25" i="13"/>
  <c r="BB32" i="13"/>
  <c r="BU12" i="14"/>
  <c r="BG36" i="14"/>
  <c r="BN12" i="14"/>
  <c r="BT29" i="14"/>
  <c r="BB29" i="14"/>
  <c r="BA36" i="13"/>
  <c r="BK11" i="13"/>
  <c r="BC11" i="13"/>
  <c r="K76" i="13"/>
  <c r="CN15" i="18"/>
  <c r="M124" i="18" s="1"/>
  <c r="CC15" i="18"/>
  <c r="W21" i="11"/>
  <c r="V21" i="11"/>
  <c r="W23" i="11"/>
  <c r="W25" i="11"/>
  <c r="D113" i="11"/>
  <c r="AI82" i="4" s="1"/>
  <c r="BM18" i="12"/>
  <c r="DE24" i="12"/>
  <c r="BT12" i="13"/>
  <c r="BW19" i="13"/>
  <c r="BB29" i="13"/>
  <c r="BU21" i="14"/>
  <c r="BN21" i="14"/>
  <c r="BF24" i="15"/>
  <c r="AX24" i="15"/>
  <c r="V58" i="16"/>
  <c r="BK11" i="12"/>
  <c r="DE29" i="12"/>
  <c r="BJ29" i="12"/>
  <c r="BF32" i="12"/>
  <c r="BM32" i="12" s="1"/>
  <c r="BN34" i="12"/>
  <c r="BC10" i="13"/>
  <c r="BB18" i="13"/>
  <c r="BF33" i="13"/>
  <c r="BM33" i="13" s="1"/>
  <c r="I74" i="14"/>
  <c r="N74" i="14" s="1"/>
  <c r="BB20" i="14"/>
  <c r="BC21" i="13"/>
  <c r="BC14" i="14"/>
  <c r="BC36" i="14" s="1"/>
  <c r="BK28" i="14"/>
  <c r="BC28" i="14"/>
  <c r="BF13" i="15"/>
  <c r="AX13" i="15"/>
  <c r="AX27" i="15"/>
  <c r="BK26" i="12"/>
  <c r="BT29" i="12"/>
  <c r="BF10" i="13"/>
  <c r="BW10" i="13"/>
  <c r="AV36" i="13"/>
  <c r="K55" i="13" s="1"/>
  <c r="BO19" i="13"/>
  <c r="BD19" i="13"/>
  <c r="BJ19" i="13"/>
  <c r="DE19" i="13"/>
  <c r="BC28" i="13"/>
  <c r="AR25" i="16"/>
  <c r="BU33" i="14"/>
  <c r="BN33" i="14"/>
  <c r="BK35" i="14"/>
  <c r="AX18" i="15"/>
  <c r="BF18" i="15"/>
  <c r="Z53" i="15"/>
  <c r="BI53" i="15" s="1"/>
  <c r="BH53" i="15"/>
  <c r="AT35" i="16"/>
  <c r="BM29" i="18"/>
  <c r="BN29" i="18" s="1"/>
  <c r="CO29" i="18" s="1"/>
  <c r="I138" i="18" s="1"/>
  <c r="BH39" i="15"/>
  <c r="Z39" i="15"/>
  <c r="BI39" i="15" s="1"/>
  <c r="BM28" i="12"/>
  <c r="BL36" i="14"/>
  <c r="AS36" i="14"/>
  <c r="K52" i="14" s="1"/>
  <c r="BJ33" i="14"/>
  <c r="DE33" i="14"/>
  <c r="N83" i="14"/>
  <c r="BE42" i="15"/>
  <c r="AY42" i="15"/>
  <c r="Y42" i="15"/>
  <c r="BJ42" i="15"/>
  <c r="BB11" i="18"/>
  <c r="Q11" i="18" s="1"/>
  <c r="BB26" i="14"/>
  <c r="BJ46" i="15"/>
  <c r="BE46" i="15"/>
  <c r="AY46" i="15"/>
  <c r="Y46" i="15"/>
  <c r="BP36" i="14"/>
  <c r="AN36" i="14"/>
  <c r="BK16" i="14"/>
  <c r="BC16" i="14"/>
  <c r="BA54" i="15"/>
  <c r="K80" i="15" s="1"/>
  <c r="N80" i="15" s="1"/>
  <c r="BJ14" i="15"/>
  <c r="BE14" i="15"/>
  <c r="AY14" i="15"/>
  <c r="Y14" i="15"/>
  <c r="BT27" i="13"/>
  <c r="BT33" i="13"/>
  <c r="AW54" i="15"/>
  <c r="K71" i="15" s="1"/>
  <c r="BJ13" i="12"/>
  <c r="BD13" i="12"/>
  <c r="DE13" i="12"/>
  <c r="DD36" i="12"/>
  <c r="DD37" i="12" s="1"/>
  <c r="BO10" i="13"/>
  <c r="BJ10" i="13"/>
  <c r="U36" i="13"/>
  <c r="BP36" i="13"/>
  <c r="BT24" i="13"/>
  <c r="BB24" i="13"/>
  <c r="BC26" i="13"/>
  <c r="BN31" i="13"/>
  <c r="BU31" i="13"/>
  <c r="W57" i="13"/>
  <c r="DB10" i="14"/>
  <c r="DB36" i="14" s="1"/>
  <c r="W36" i="14"/>
  <c r="BC23" i="12"/>
  <c r="BT34" i="12"/>
  <c r="W36" i="13"/>
  <c r="DB10" i="13"/>
  <c r="DB36" i="13" s="1"/>
  <c r="BF19" i="14"/>
  <c r="BM19" i="14" s="1"/>
  <c r="BU31" i="14"/>
  <c r="BN31" i="14"/>
  <c r="AX37" i="15"/>
  <c r="AW33" i="16"/>
  <c r="AR33" i="16"/>
  <c r="BJ11" i="12"/>
  <c r="BO11" i="12"/>
  <c r="BB13" i="12"/>
  <c r="BT13" i="12"/>
  <c r="BC12" i="13"/>
  <c r="BO13" i="13"/>
  <c r="BD13" i="13"/>
  <c r="BC17" i="13"/>
  <c r="BU19" i="14"/>
  <c r="BN19" i="14"/>
  <c r="BD27" i="14"/>
  <c r="DE27" i="14"/>
  <c r="N84" i="14"/>
  <c r="D149" i="14" s="1"/>
  <c r="AU119" i="4" s="1"/>
  <c r="W64" i="14"/>
  <c r="BJ35" i="14"/>
  <c r="W54" i="14"/>
  <c r="W57" i="14"/>
  <c r="BJ32" i="14"/>
  <c r="BJ16" i="14"/>
  <c r="W63" i="14"/>
  <c r="W56" i="14"/>
  <c r="BJ24" i="14"/>
  <c r="BJ18" i="14"/>
  <c r="BJ14" i="14"/>
  <c r="W67" i="14"/>
  <c r="BJ23" i="14"/>
  <c r="BJ11" i="14"/>
  <c r="W65" i="14"/>
  <c r="BJ19" i="14"/>
  <c r="BJ31" i="14"/>
  <c r="AP54" i="15"/>
  <c r="CQ14" i="17"/>
  <c r="BP18" i="17"/>
  <c r="BQ42" i="18"/>
  <c r="CD10" i="18"/>
  <c r="CB10" i="18"/>
  <c r="BZ10" i="18"/>
  <c r="BY10" i="18"/>
  <c r="CM10" i="18"/>
  <c r="BX10" i="18"/>
  <c r="BW10" i="18"/>
  <c r="BV10" i="18"/>
  <c r="BT10" i="18"/>
  <c r="BS10" i="18"/>
  <c r="BM10" i="18"/>
  <c r="BO10" i="18"/>
  <c r="CI10" i="18"/>
  <c r="CA10" i="18"/>
  <c r="P10" i="18"/>
  <c r="BU10" i="18"/>
  <c r="BD22" i="13"/>
  <c r="BJ22" i="13"/>
  <c r="BE12" i="15"/>
  <c r="AY12" i="15"/>
  <c r="AX25" i="16"/>
  <c r="DL25" i="16"/>
  <c r="BB25" i="16"/>
  <c r="DD36" i="13"/>
  <c r="DD37" i="13" s="1"/>
  <c r="I73" i="13"/>
  <c r="N73" i="13" s="1"/>
  <c r="BH36" i="13"/>
  <c r="K59" i="13" s="1"/>
  <c r="N59" i="13" s="1"/>
  <c r="BN19" i="13"/>
  <c r="BJ26" i="13"/>
  <c r="BJ30" i="13"/>
  <c r="BJ28" i="13"/>
  <c r="BJ32" i="13"/>
  <c r="BT23" i="14"/>
  <c r="BK26" i="14"/>
  <c r="BC26" i="14"/>
  <c r="AW24" i="16"/>
  <c r="AR24" i="16"/>
  <c r="CE10" i="18"/>
  <c r="CD12" i="18"/>
  <c r="CZ12" i="18" s="1"/>
  <c r="K121" i="18" s="1"/>
  <c r="CB12" i="18"/>
  <c r="CA12" i="18"/>
  <c r="BZ12" i="18"/>
  <c r="BX12" i="18"/>
  <c r="BW12" i="18"/>
  <c r="BO12" i="18"/>
  <c r="BM12" i="18"/>
  <c r="CM12" i="18"/>
  <c r="S12" i="18" s="1"/>
  <c r="CI12" i="18"/>
  <c r="CE12" i="18"/>
  <c r="BY12" i="18"/>
  <c r="BV12" i="18"/>
  <c r="BU12" i="18"/>
  <c r="P12" i="18"/>
  <c r="BS12" i="18"/>
  <c r="BT12" i="18"/>
  <c r="DJ42" i="18"/>
  <c r="BF35" i="11"/>
  <c r="BM35" i="11" s="1"/>
  <c r="BC15" i="12"/>
  <c r="BT24" i="12"/>
  <c r="BT26" i="12"/>
  <c r="BB26" i="12"/>
  <c r="BF35" i="12"/>
  <c r="BM35" i="12" s="1"/>
  <c r="K76" i="12"/>
  <c r="DE10" i="13"/>
  <c r="BK15" i="13"/>
  <c r="BJ16" i="13"/>
  <c r="BB22" i="13"/>
  <c r="DE15" i="14"/>
  <c r="BO15" i="14"/>
  <c r="BB23" i="14"/>
  <c r="K57" i="16"/>
  <c r="N57" i="16" s="1"/>
  <c r="S118" i="17"/>
  <c r="W86" i="17"/>
  <c r="BT24" i="14"/>
  <c r="BD25" i="14"/>
  <c r="BH38" i="15"/>
  <c r="Z38" i="15"/>
  <c r="BI38" i="15" s="1"/>
  <c r="AO35" i="16"/>
  <c r="BD19" i="14"/>
  <c r="BK20" i="14"/>
  <c r="BC20" i="14"/>
  <c r="AX14" i="15"/>
  <c r="BF36" i="15"/>
  <c r="AQ35" i="16"/>
  <c r="AW19" i="16"/>
  <c r="AR19" i="16"/>
  <c r="BJ25" i="13"/>
  <c r="BT10" i="14"/>
  <c r="Z18" i="15"/>
  <c r="BI18" i="15" s="1"/>
  <c r="BH18" i="15"/>
  <c r="AU35" i="16"/>
  <c r="K54" i="16"/>
  <c r="BJ20" i="17"/>
  <c r="BD20" i="17"/>
  <c r="CK42" i="18"/>
  <c r="I86" i="18" s="1"/>
  <c r="O86" i="18" s="1"/>
  <c r="DA10" i="18"/>
  <c r="DA42" i="18" s="1"/>
  <c r="CM34" i="18"/>
  <c r="S34" i="18" s="1"/>
  <c r="CB34" i="18"/>
  <c r="CA34" i="18"/>
  <c r="BZ34" i="18"/>
  <c r="BY34" i="18"/>
  <c r="BX34" i="18"/>
  <c r="BW34" i="18"/>
  <c r="CN34" i="18" s="1"/>
  <c r="M143" i="18" s="1"/>
  <c r="BO34" i="18"/>
  <c r="BM34" i="18"/>
  <c r="CI34" i="18"/>
  <c r="CE34" i="18"/>
  <c r="BV34" i="18"/>
  <c r="P34" i="18"/>
  <c r="DB49" i="13"/>
  <c r="AI36" i="14"/>
  <c r="K76" i="14"/>
  <c r="BH23" i="15"/>
  <c r="Z23" i="15"/>
  <c r="BI23" i="15" s="1"/>
  <c r="Y25" i="15"/>
  <c r="BJ25" i="15"/>
  <c r="BE25" i="15"/>
  <c r="AY25" i="15"/>
  <c r="N101" i="17"/>
  <c r="BU12" i="17" s="1"/>
  <c r="D102" i="17"/>
  <c r="N102" i="17" s="1"/>
  <c r="D169" i="17" s="1"/>
  <c r="BC90" i="4" s="1"/>
  <c r="BF40" i="15"/>
  <c r="AX40" i="15"/>
  <c r="W64" i="13"/>
  <c r="I73" i="14"/>
  <c r="N73" i="14" s="1"/>
  <c r="BO25" i="14"/>
  <c r="BJ16" i="15"/>
  <c r="BE16" i="15"/>
  <c r="AY16" i="15"/>
  <c r="BH35" i="15"/>
  <c r="BH33" i="15"/>
  <c r="BH32" i="15"/>
  <c r="BH31" i="15"/>
  <c r="BH37" i="15"/>
  <c r="BH27" i="15"/>
  <c r="BH24" i="15"/>
  <c r="BH10" i="15"/>
  <c r="BH41" i="15"/>
  <c r="BH34" i="15"/>
  <c r="BH15" i="15"/>
  <c r="BH45" i="15"/>
  <c r="BH46" i="15"/>
  <c r="BH44" i="15"/>
  <c r="BH43" i="15"/>
  <c r="BH42" i="15"/>
  <c r="BH16" i="15"/>
  <c r="BH25" i="15"/>
  <c r="BH17" i="15"/>
  <c r="BH19" i="15"/>
  <c r="W118" i="17"/>
  <c r="BJ34" i="13"/>
  <c r="BC35" i="13"/>
  <c r="I74" i="13"/>
  <c r="N74" i="13" s="1"/>
  <c r="BK24" i="14"/>
  <c r="BT25" i="14"/>
  <c r="AQ54" i="15"/>
  <c r="BF29" i="15"/>
  <c r="BU34" i="18"/>
  <c r="W65" i="13"/>
  <c r="DG37" i="14"/>
  <c r="BO19" i="14"/>
  <c r="BJ28" i="14"/>
  <c r="BT31" i="14"/>
  <c r="BF35" i="15"/>
  <c r="AX35" i="15"/>
  <c r="Z52" i="15"/>
  <c r="BI52" i="15" s="1"/>
  <c r="BH52" i="15"/>
  <c r="D163" i="15"/>
  <c r="N64" i="16"/>
  <c r="CD34" i="18"/>
  <c r="CZ34" i="18" s="1"/>
  <c r="K143" i="18" s="1"/>
  <c r="T98" i="13"/>
  <c r="DH37" i="14"/>
  <c r="BK30" i="14"/>
  <c r="BC30" i="14"/>
  <c r="L79" i="14"/>
  <c r="D120" i="14"/>
  <c r="AU89" i="4" s="1"/>
  <c r="BH22" i="15"/>
  <c r="AX36" i="15"/>
  <c r="BF50" i="15"/>
  <c r="AX50" i="15"/>
  <c r="N84" i="13"/>
  <c r="D149" i="13" s="1"/>
  <c r="AQ119" i="4" s="1"/>
  <c r="D83" i="13"/>
  <c r="N83" i="13" s="1"/>
  <c r="AO36" i="14"/>
  <c r="DI37" i="14"/>
  <c r="I72" i="14" s="1"/>
  <c r="DE13" i="14"/>
  <c r="BT16" i="14"/>
  <c r="BC18" i="14"/>
  <c r="BK18" i="14"/>
  <c r="BJ34" i="14"/>
  <c r="BD34" i="14"/>
  <c r="N57" i="14"/>
  <c r="BH14" i="15"/>
  <c r="BH26" i="15"/>
  <c r="BF39" i="15"/>
  <c r="AX39" i="15"/>
  <c r="BD17" i="17"/>
  <c r="BJ17" i="17"/>
  <c r="BI90" i="17"/>
  <c r="DJ37" i="14"/>
  <c r="BO11" i="14"/>
  <c r="BO36" i="14" s="1"/>
  <c r="Y16" i="15"/>
  <c r="BH30" i="15"/>
  <c r="Z30" i="15"/>
  <c r="BI30" i="15" s="1"/>
  <c r="BC27" i="13"/>
  <c r="BK33" i="14"/>
  <c r="BT34" i="14"/>
  <c r="BB34" i="14"/>
  <c r="D81" i="14"/>
  <c r="N81" i="14" s="1"/>
  <c r="N79" i="14"/>
  <c r="R25" i="4" s="1"/>
  <c r="BE24" i="15"/>
  <c r="BJ24" i="15"/>
  <c r="AY24" i="15"/>
  <c r="Y24" i="15"/>
  <c r="BQ50" i="17"/>
  <c r="BW50" i="17"/>
  <c r="AQ36" i="13"/>
  <c r="BF17" i="14"/>
  <c r="BM17" i="14" s="1"/>
  <c r="BF16" i="15"/>
  <c r="BH36" i="15"/>
  <c r="AR36" i="13"/>
  <c r="DG37" i="13"/>
  <c r="BJ15" i="13"/>
  <c r="BO15" i="13"/>
  <c r="BB17" i="13"/>
  <c r="BT17" i="13"/>
  <c r="W59" i="13"/>
  <c r="BB11" i="14"/>
  <c r="BB36" i="14" s="1"/>
  <c r="BT11" i="14"/>
  <c r="BF35" i="14"/>
  <c r="BM35" i="14" s="1"/>
  <c r="BJ43" i="15"/>
  <c r="BE43" i="15"/>
  <c r="AY43" i="15"/>
  <c r="DL32" i="16"/>
  <c r="BB32" i="16"/>
  <c r="AX32" i="16"/>
  <c r="BB33" i="16"/>
  <c r="AX33" i="16"/>
  <c r="V78" i="16"/>
  <c r="AS36" i="13"/>
  <c r="BK25" i="13"/>
  <c r="BN28" i="13"/>
  <c r="BC13" i="14"/>
  <c r="DE34" i="14"/>
  <c r="BU35" i="14"/>
  <c r="BN35" i="14"/>
  <c r="AK10" i="17"/>
  <c r="CQ13" i="17"/>
  <c r="BP16" i="17"/>
  <c r="CR16" i="18"/>
  <c r="BJ21" i="14"/>
  <c r="Z28" i="15"/>
  <c r="BI28" i="15" s="1"/>
  <c r="BH28" i="15"/>
  <c r="BE39" i="15"/>
  <c r="Y39" i="15"/>
  <c r="AX42" i="15"/>
  <c r="AX43" i="15"/>
  <c r="CQ11" i="17"/>
  <c r="AK22" i="17"/>
  <c r="U22" i="17" s="1"/>
  <c r="CQ21" i="17"/>
  <c r="BP33" i="17"/>
  <c r="AN27" i="19"/>
  <c r="BQ29" i="19"/>
  <c r="AV29" i="19"/>
  <c r="BO26" i="13"/>
  <c r="T54" i="15"/>
  <c r="AY10" i="15"/>
  <c r="BF34" i="15"/>
  <c r="AY49" i="15"/>
  <c r="BJ30" i="17"/>
  <c r="BD30" i="17"/>
  <c r="CF42" i="18"/>
  <c r="BD22" i="14"/>
  <c r="BT33" i="14"/>
  <c r="AW20" i="16"/>
  <c r="AR20" i="16"/>
  <c r="BD10" i="14"/>
  <c r="U36" i="14"/>
  <c r="BD30" i="14"/>
  <c r="AX12" i="15"/>
  <c r="CJ42" i="18"/>
  <c r="L73" i="18" s="1"/>
  <c r="O73" i="18" s="1"/>
  <c r="DC10" i="18"/>
  <c r="BI10" i="15"/>
  <c r="BF11" i="15"/>
  <c r="BJ38" i="15"/>
  <c r="Y38" i="15"/>
  <c r="BB16" i="16"/>
  <c r="AX16" i="16"/>
  <c r="AX28" i="16"/>
  <c r="BB28" i="16"/>
  <c r="R64" i="16"/>
  <c r="R68" i="16" s="1"/>
  <c r="V68" i="16" s="1"/>
  <c r="R90" i="16"/>
  <c r="V90" i="16" s="1"/>
  <c r="Q10" i="18"/>
  <c r="CP42" i="18"/>
  <c r="O84" i="18"/>
  <c r="BB26" i="18"/>
  <c r="Q26" i="18" s="1"/>
  <c r="BK25" i="14"/>
  <c r="Y30" i="15"/>
  <c r="BE30" i="15"/>
  <c r="V60" i="16"/>
  <c r="V53" i="16"/>
  <c r="V67" i="16"/>
  <c r="V66" i="16"/>
  <c r="N58" i="16"/>
  <c r="D103" i="16" s="1"/>
  <c r="BK77" i="4" s="1"/>
  <c r="AX27" i="16"/>
  <c r="V73" i="16"/>
  <c r="V63" i="16"/>
  <c r="V48" i="16"/>
  <c r="AX21" i="16"/>
  <c r="V56" i="16"/>
  <c r="AX20" i="16"/>
  <c r="V65" i="16"/>
  <c r="V47" i="16"/>
  <c r="AX12" i="16"/>
  <c r="AX24" i="16"/>
  <c r="BJ18" i="16"/>
  <c r="BJ14" i="16"/>
  <c r="AX15" i="16"/>
  <c r="V62" i="16"/>
  <c r="V72" i="16"/>
  <c r="V61" i="16"/>
  <c r="N82" i="16"/>
  <c r="BJ22" i="14"/>
  <c r="BC23" i="14"/>
  <c r="BF10" i="15"/>
  <c r="AN54" i="15"/>
  <c r="K67" i="15" s="1"/>
  <c r="BJ49" i="15"/>
  <c r="AX31" i="16"/>
  <c r="N77" i="16"/>
  <c r="D145" i="16" s="1"/>
  <c r="BK120" i="4" s="1"/>
  <c r="V81" i="16"/>
  <c r="N75" i="16"/>
  <c r="BC22" i="13"/>
  <c r="BF16" i="14"/>
  <c r="BM16" i="14" s="1"/>
  <c r="BJ30" i="14"/>
  <c r="BC34" i="14"/>
  <c r="AO54" i="15"/>
  <c r="K68" i="15" s="1"/>
  <c r="BH48" i="15"/>
  <c r="AX13" i="16"/>
  <c r="AX29" i="16"/>
  <c r="F83" i="16"/>
  <c r="BK21" i="14"/>
  <c r="BJ26" i="14"/>
  <c r="AX22" i="15"/>
  <c r="AX34" i="15"/>
  <c r="BF42" i="15"/>
  <c r="W71" i="15"/>
  <c r="BJ11" i="16"/>
  <c r="AW16" i="16"/>
  <c r="AR16" i="16"/>
  <c r="BJ23" i="16"/>
  <c r="BJ11" i="17"/>
  <c r="BD11" i="17"/>
  <c r="AI35" i="16"/>
  <c r="AW28" i="16"/>
  <c r="AR28" i="16"/>
  <c r="V69" i="16"/>
  <c r="CQ27" i="17"/>
  <c r="BN24" i="14"/>
  <c r="AR54" i="15"/>
  <c r="AX38" i="15"/>
  <c r="BH47" i="15"/>
  <c r="AJ35" i="16"/>
  <c r="CT10" i="17"/>
  <c r="BE50" i="17"/>
  <c r="AV50" i="17"/>
  <c r="K75" i="17" s="1"/>
  <c r="BJ20" i="14"/>
  <c r="BO20" i="14"/>
  <c r="BO28" i="14"/>
  <c r="BD28" i="14"/>
  <c r="AS54" i="15"/>
  <c r="CQ10" i="17"/>
  <c r="BF50" i="17"/>
  <c r="BP10" i="17"/>
  <c r="AW50" i="17"/>
  <c r="K76" i="17" s="1"/>
  <c r="CQ12" i="17"/>
  <c r="BP14" i="17"/>
  <c r="BC35" i="14"/>
  <c r="AT54" i="15"/>
  <c r="AX21" i="15"/>
  <c r="AL35" i="16"/>
  <c r="AW29" i="16"/>
  <c r="AR29" i="16"/>
  <c r="BG50" i="17"/>
  <c r="AX50" i="17"/>
  <c r="K77" i="17" s="1"/>
  <c r="N77" i="17" s="1"/>
  <c r="BQ70" i="17"/>
  <c r="CC18" i="18"/>
  <c r="DD37" i="14"/>
  <c r="BB30" i="14"/>
  <c r="AU54" i="15"/>
  <c r="K69" i="15" s="1"/>
  <c r="AZ54" i="15"/>
  <c r="H83" i="15" s="1"/>
  <c r="BH12" i="15"/>
  <c r="D135" i="15"/>
  <c r="AY89" i="4" s="1"/>
  <c r="BH50" i="17"/>
  <c r="AY50" i="17"/>
  <c r="AR36" i="14"/>
  <c r="K51" i="14" s="1"/>
  <c r="DE10" i="14"/>
  <c r="BB18" i="14"/>
  <c r="BT18" i="14"/>
  <c r="DB49" i="14"/>
  <c r="AV54" i="15"/>
  <c r="K70" i="15" s="1"/>
  <c r="AX11" i="15"/>
  <c r="AX20" i="15"/>
  <c r="AY39" i="15"/>
  <c r="AR11" i="16"/>
  <c r="V70" i="16"/>
  <c r="BJ43" i="17"/>
  <c r="BD43" i="17"/>
  <c r="BM20" i="18"/>
  <c r="BN20" i="18" s="1"/>
  <c r="CO20" i="18" s="1"/>
  <c r="I129" i="18" s="1"/>
  <c r="BE11" i="15"/>
  <c r="BJ13" i="16"/>
  <c r="BJ17" i="16"/>
  <c r="AY32" i="19"/>
  <c r="AY34" i="19" s="1"/>
  <c r="AP44" i="21"/>
  <c r="AY44" i="21"/>
  <c r="BE40" i="15"/>
  <c r="BL55" i="15"/>
  <c r="AX23" i="16"/>
  <c r="AW25" i="16"/>
  <c r="BB31" i="16"/>
  <c r="BJ34" i="16"/>
  <c r="BJ24" i="17"/>
  <c r="BD24" i="17"/>
  <c r="BB16" i="18"/>
  <c r="Q16" i="18" s="1"/>
  <c r="BN23" i="18"/>
  <c r="CO23" i="18" s="1"/>
  <c r="I132" i="18" s="1"/>
  <c r="S67" i="14"/>
  <c r="AZ35" i="16"/>
  <c r="AR21" i="16"/>
  <c r="BJ28" i="17"/>
  <c r="DL42" i="18"/>
  <c r="AR17" i="16"/>
  <c r="AW17" i="16"/>
  <c r="AX22" i="16"/>
  <c r="CB14" i="18"/>
  <c r="BZ14" i="18"/>
  <c r="BY14" i="18"/>
  <c r="BX14" i="18"/>
  <c r="BV14" i="18"/>
  <c r="BU14" i="18"/>
  <c r="CE14" i="18"/>
  <c r="CD14" i="18"/>
  <c r="CZ14" i="18" s="1"/>
  <c r="K123" i="18" s="1"/>
  <c r="CM14" i="18"/>
  <c r="S14" i="18" s="1"/>
  <c r="CI14" i="18"/>
  <c r="AN11" i="19"/>
  <c r="AD32" i="19"/>
  <c r="K44" i="19" s="1"/>
  <c r="AU11" i="19"/>
  <c r="BJ10" i="16"/>
  <c r="AR13" i="16"/>
  <c r="CQ23" i="17"/>
  <c r="CM17" i="18"/>
  <c r="S17" i="18" s="1"/>
  <c r="CI17" i="18"/>
  <c r="CE17" i="18"/>
  <c r="CD17" i="18"/>
  <c r="CZ17" i="18" s="1"/>
  <c r="K126" i="18" s="1"/>
  <c r="BO17" i="18"/>
  <c r="BM17" i="18"/>
  <c r="BN17" i="18" s="1"/>
  <c r="CO17" i="18" s="1"/>
  <c r="I126" i="18" s="1"/>
  <c r="CB17" i="18"/>
  <c r="CA17" i="18"/>
  <c r="BZ17" i="18"/>
  <c r="BY17" i="18"/>
  <c r="BX17" i="18"/>
  <c r="BW17" i="18"/>
  <c r="BV17" i="18"/>
  <c r="BU17" i="18"/>
  <c r="P17" i="18"/>
  <c r="BT17" i="18"/>
  <c r="CN40" i="18"/>
  <c r="M149" i="18" s="1"/>
  <c r="CC40" i="18"/>
  <c r="BC35" i="16"/>
  <c r="BC37" i="16" s="1"/>
  <c r="AT50" i="17"/>
  <c r="K73" i="17" s="1"/>
  <c r="BS14" i="18"/>
  <c r="AF32" i="19"/>
  <c r="K46" i="19" s="1"/>
  <c r="N46" i="19" s="1"/>
  <c r="AX41" i="15"/>
  <c r="X65" i="15"/>
  <c r="BM35" i="16"/>
  <c r="BM37" i="16" s="1"/>
  <c r="BE35" i="16"/>
  <c r="DL22" i="16"/>
  <c r="AR26" i="16"/>
  <c r="AU50" i="17"/>
  <c r="K74" i="17" s="1"/>
  <c r="BJ38" i="17"/>
  <c r="L123" i="17"/>
  <c r="P14" i="18"/>
  <c r="BT14" i="18"/>
  <c r="BB15" i="18"/>
  <c r="Q15" i="18" s="1"/>
  <c r="BS17" i="18"/>
  <c r="CN36" i="18"/>
  <c r="M145" i="18" s="1"/>
  <c r="CC36" i="18"/>
  <c r="N27" i="20"/>
  <c r="S27" i="20" s="1"/>
  <c r="AT32" i="20"/>
  <c r="AS32" i="20"/>
  <c r="AQ32" i="20"/>
  <c r="N98" i="15"/>
  <c r="R35" i="16"/>
  <c r="AX14" i="16"/>
  <c r="D183" i="17"/>
  <c r="BC105" i="4" s="1"/>
  <c r="L107" i="17"/>
  <c r="BW14" i="18"/>
  <c r="U54" i="15"/>
  <c r="BE23" i="15"/>
  <c r="BE36" i="15"/>
  <c r="AW22" i="16"/>
  <c r="AR22" i="16"/>
  <c r="BJ31" i="16"/>
  <c r="AL50" i="17"/>
  <c r="BD18" i="17"/>
  <c r="AO47" i="17"/>
  <c r="CA14" i="18"/>
  <c r="CR23" i="18"/>
  <c r="T23" i="18"/>
  <c r="BM24" i="18"/>
  <c r="V112" i="15"/>
  <c r="AM50" i="17"/>
  <c r="BD13" i="17"/>
  <c r="BJ13" i="17"/>
  <c r="BK37" i="17"/>
  <c r="BK39" i="17"/>
  <c r="BK41" i="17"/>
  <c r="BK19" i="17"/>
  <c r="BK43" i="17"/>
  <c r="BK25" i="17"/>
  <c r="BK33" i="17"/>
  <c r="BK27" i="17"/>
  <c r="BK13" i="17"/>
  <c r="BK49" i="17"/>
  <c r="BK35" i="17"/>
  <c r="BK23" i="17"/>
  <c r="BK11" i="17"/>
  <c r="BK31" i="17"/>
  <c r="BK47" i="17"/>
  <c r="BK15" i="17"/>
  <c r="AQ18" i="21"/>
  <c r="BB18" i="21" s="1"/>
  <c r="AX18" i="21"/>
  <c r="N99" i="15"/>
  <c r="D165" i="15" s="1"/>
  <c r="AY120" i="4" s="1"/>
  <c r="AG35" i="16"/>
  <c r="M35" i="16"/>
  <c r="AN50" i="17"/>
  <c r="BJ22" i="17"/>
  <c r="BD22" i="17"/>
  <c r="BM13" i="18"/>
  <c r="BN13" i="18" s="1"/>
  <c r="CO13" i="18" s="1"/>
  <c r="I122" i="18" s="1"/>
  <c r="CM13" i="18"/>
  <c r="S13" i="18" s="1"/>
  <c r="CI13" i="18"/>
  <c r="CA13" i="18"/>
  <c r="CE13" i="18"/>
  <c r="CD13" i="18"/>
  <c r="CZ13" i="18" s="1"/>
  <c r="K122" i="18" s="1"/>
  <c r="CB13" i="18"/>
  <c r="BY13" i="18"/>
  <c r="AH35" i="16"/>
  <c r="AW10" i="16"/>
  <c r="DL14" i="16"/>
  <c r="AZ50" i="17"/>
  <c r="AO11" i="17"/>
  <c r="AK20" i="17"/>
  <c r="U20" i="17" s="1"/>
  <c r="AO34" i="17"/>
  <c r="T34" i="17" s="1"/>
  <c r="BP37" i="17"/>
  <c r="DM42" i="18"/>
  <c r="AR14" i="16"/>
  <c r="AW14" i="16"/>
  <c r="BP36" i="17"/>
  <c r="DN42" i="18"/>
  <c r="BS13" i="18"/>
  <c r="U36" i="18"/>
  <c r="BB50" i="17"/>
  <c r="BJ46" i="17"/>
  <c r="BD46" i="17"/>
  <c r="BT13" i="18"/>
  <c r="DB19" i="18"/>
  <c r="AX25" i="15"/>
  <c r="AX26" i="15"/>
  <c r="AX28" i="15"/>
  <c r="BJ15" i="16"/>
  <c r="AW31" i="16"/>
  <c r="AR31" i="16"/>
  <c r="BC50" i="17"/>
  <c r="BK21" i="17"/>
  <c r="BP28" i="17"/>
  <c r="CQ19" i="17"/>
  <c r="BD47" i="17"/>
  <c r="P13" i="18"/>
  <c r="BU13" i="18"/>
  <c r="CM19" i="18"/>
  <c r="S19" i="18" s="1"/>
  <c r="CI19" i="18"/>
  <c r="BM19" i="18"/>
  <c r="BN19" i="18" s="1"/>
  <c r="CO19" i="18" s="1"/>
  <c r="I128" i="18" s="1"/>
  <c r="CE19" i="18"/>
  <c r="CD19" i="18"/>
  <c r="CZ19" i="18" s="1"/>
  <c r="K128" i="18" s="1"/>
  <c r="CB19" i="18"/>
  <c r="BZ19" i="18"/>
  <c r="BW19" i="18"/>
  <c r="BS19" i="18"/>
  <c r="P19" i="18"/>
  <c r="AU28" i="19"/>
  <c r="AN28" i="19"/>
  <c r="AO36" i="17"/>
  <c r="AO49" i="17"/>
  <c r="T48" i="17" s="1"/>
  <c r="CC27" i="18"/>
  <c r="CN27" i="18"/>
  <c r="M136" i="18" s="1"/>
  <c r="AY13" i="21"/>
  <c r="AP13" i="21"/>
  <c r="W79" i="15"/>
  <c r="W70" i="15"/>
  <c r="BJ30" i="16"/>
  <c r="BJ18" i="17"/>
  <c r="BB13" i="18"/>
  <c r="Q13" i="18" s="1"/>
  <c r="T18" i="18"/>
  <c r="CR18" i="18"/>
  <c r="T22" i="18"/>
  <c r="AJ32" i="19"/>
  <c r="BF13" i="19"/>
  <c r="BQ67" i="17"/>
  <c r="AY22" i="21"/>
  <c r="AP22" i="21"/>
  <c r="BD16" i="17"/>
  <c r="BJ16" i="17"/>
  <c r="BP26" i="17"/>
  <c r="AX16" i="21"/>
  <c r="AX48" i="21"/>
  <c r="AX40" i="21"/>
  <c r="AX22" i="21"/>
  <c r="AX41" i="21"/>
  <c r="AX34" i="21"/>
  <c r="AX37" i="21"/>
  <c r="AX19" i="21"/>
  <c r="AX28" i="21"/>
  <c r="AX50" i="21"/>
  <c r="AX10" i="21"/>
  <c r="AX24" i="21"/>
  <c r="AX43" i="21"/>
  <c r="AX32" i="21"/>
  <c r="AX29" i="21"/>
  <c r="AX23" i="21"/>
  <c r="AX33" i="21"/>
  <c r="AX38" i="21"/>
  <c r="AX36" i="21"/>
  <c r="AX15" i="21"/>
  <c r="AX51" i="21"/>
  <c r="AX42" i="21"/>
  <c r="CQ16" i="17"/>
  <c r="CT17" i="17"/>
  <c r="AO45" i="17"/>
  <c r="T44" i="17" s="1"/>
  <c r="D200" i="17"/>
  <c r="BC122" i="4" s="1"/>
  <c r="W58" i="19"/>
  <c r="W59" i="19"/>
  <c r="BJ30" i="19"/>
  <c r="BJ27" i="19"/>
  <c r="W50" i="19"/>
  <c r="T91" i="19"/>
  <c r="W55" i="19"/>
  <c r="BJ17" i="19"/>
  <c r="W54" i="19"/>
  <c r="W46" i="19"/>
  <c r="AV12" i="19"/>
  <c r="W45" i="19"/>
  <c r="AV15" i="19"/>
  <c r="W53" i="19"/>
  <c r="BF31" i="19"/>
  <c r="BJ26" i="19"/>
  <c r="BF22" i="19"/>
  <c r="W44" i="19"/>
  <c r="AV27" i="19"/>
  <c r="BJ25" i="19"/>
  <c r="BJ13" i="19"/>
  <c r="BF21" i="19"/>
  <c r="AV17" i="19"/>
  <c r="BJ15" i="19"/>
  <c r="AV11" i="19"/>
  <c r="N55" i="19"/>
  <c r="D100" i="19" s="1"/>
  <c r="BO77" i="4" s="1"/>
  <c r="BJ28" i="19"/>
  <c r="BF15" i="19"/>
  <c r="W51" i="19"/>
  <c r="BF19" i="19"/>
  <c r="AV20" i="19"/>
  <c r="W47" i="19"/>
  <c r="BJ19" i="19"/>
  <c r="AV14" i="19"/>
  <c r="AV21" i="19"/>
  <c r="BJ11" i="19"/>
  <c r="W60" i="19"/>
  <c r="BJ16" i="19"/>
  <c r="F126" i="21"/>
  <c r="BS85" i="4" s="1"/>
  <c r="BD27" i="17"/>
  <c r="BJ27" i="17"/>
  <c r="AQ50" i="17"/>
  <c r="D161" i="17"/>
  <c r="BC82" i="4" s="1"/>
  <c r="K84" i="17"/>
  <c r="N84" i="17" s="1"/>
  <c r="BV17" i="17" s="1"/>
  <c r="H95" i="17"/>
  <c r="N95" i="17" s="1"/>
  <c r="N88" i="17"/>
  <c r="D188" i="17" s="1"/>
  <c r="BC110" i="4" s="1"/>
  <c r="S114" i="17"/>
  <c r="CS10" i="17"/>
  <c r="CS24" i="17"/>
  <c r="CS21" i="17"/>
  <c r="CS19" i="17"/>
  <c r="CS29" i="17"/>
  <c r="CS15" i="17"/>
  <c r="N89" i="17"/>
  <c r="D190" i="17" s="1"/>
  <c r="BC112" i="4" s="1"/>
  <c r="BY33" i="18"/>
  <c r="BX33" i="18"/>
  <c r="BW33" i="18"/>
  <c r="BV33" i="18"/>
  <c r="BU33" i="18"/>
  <c r="BS33" i="18"/>
  <c r="CM33" i="18"/>
  <c r="S33" i="18" s="1"/>
  <c r="CI33" i="18"/>
  <c r="BO33" i="18"/>
  <c r="BM33" i="18"/>
  <c r="BN33" i="18" s="1"/>
  <c r="CO33" i="18" s="1"/>
  <c r="I142" i="18" s="1"/>
  <c r="CD33" i="18"/>
  <c r="CZ33" i="18" s="1"/>
  <c r="K142" i="18" s="1"/>
  <c r="P33" i="18"/>
  <c r="AW30" i="16"/>
  <c r="BJ14" i="17"/>
  <c r="AK17" i="17"/>
  <c r="CS27" i="17"/>
  <c r="BD49" i="17"/>
  <c r="K98" i="17"/>
  <c r="CO35" i="18"/>
  <c r="I144" i="18" s="1"/>
  <c r="AP32" i="19"/>
  <c r="S61" i="19" s="1"/>
  <c r="CS23" i="17"/>
  <c r="N87" i="17"/>
  <c r="BM22" i="18"/>
  <c r="BN22" i="18" s="1"/>
  <c r="CO22" i="18" s="1"/>
  <c r="I131" i="18" s="1"/>
  <c r="BT33" i="18"/>
  <c r="AN29" i="20"/>
  <c r="W117" i="21"/>
  <c r="F117" i="21"/>
  <c r="BS76" i="4" s="1"/>
  <c r="CQ24" i="17"/>
  <c r="BB12" i="18"/>
  <c r="BB17" i="18"/>
  <c r="Q17" i="18" s="1"/>
  <c r="BZ33" i="18"/>
  <c r="BP35" i="17"/>
  <c r="BD41" i="17"/>
  <c r="BJ41" i="17"/>
  <c r="CQ29" i="17"/>
  <c r="W88" i="17"/>
  <c r="CB42" i="17"/>
  <c r="CB44" i="17"/>
  <c r="W75" i="17"/>
  <c r="CB46" i="17"/>
  <c r="CB33" i="17"/>
  <c r="CB35" i="17"/>
  <c r="CC18" i="17"/>
  <c r="CB49" i="17"/>
  <c r="CB18" i="17"/>
  <c r="CB15" i="17"/>
  <c r="W87" i="17"/>
  <c r="T122" i="17"/>
  <c r="CB43" i="17"/>
  <c r="CC26" i="17"/>
  <c r="CB34" i="17"/>
  <c r="CB26" i="17"/>
  <c r="CB14" i="17"/>
  <c r="CC12" i="17"/>
  <c r="CC50" i="17" s="1"/>
  <c r="CC52" i="17" s="1"/>
  <c r="CB24" i="17"/>
  <c r="CC39" i="17"/>
  <c r="CB45" i="17"/>
  <c r="CB39" i="17"/>
  <c r="CC36" i="17"/>
  <c r="CB36" i="17"/>
  <c r="CB31" i="17"/>
  <c r="CB29" i="17"/>
  <c r="T20" i="18"/>
  <c r="CA33" i="18"/>
  <c r="AT17" i="20"/>
  <c r="AS17" i="20"/>
  <c r="CR11" i="18"/>
  <c r="T11" i="18"/>
  <c r="CB33" i="18"/>
  <c r="V32" i="20"/>
  <c r="BG32" i="20" s="1"/>
  <c r="AY32" i="20"/>
  <c r="CE33" i="18"/>
  <c r="AR34" i="16"/>
  <c r="BJ27" i="16"/>
  <c r="BJ24" i="16"/>
  <c r="H65" i="16"/>
  <c r="N65" i="16" s="1"/>
  <c r="CS12" i="17"/>
  <c r="CB30" i="17"/>
  <c r="BP42" i="18"/>
  <c r="L71" i="18" s="1"/>
  <c r="AY35" i="21"/>
  <c r="AP35" i="21"/>
  <c r="CN32" i="18"/>
  <c r="M141" i="18" s="1"/>
  <c r="BJ23" i="19"/>
  <c r="AG36" i="20"/>
  <c r="U36" i="20"/>
  <c r="BE36" i="20" s="1"/>
  <c r="BC36" i="20"/>
  <c r="BM30" i="18"/>
  <c r="BN30" i="18" s="1"/>
  <c r="CO30" i="18" s="1"/>
  <c r="I139" i="18" s="1"/>
  <c r="BF16" i="19"/>
  <c r="BQ23" i="19"/>
  <c r="AV23" i="19"/>
  <c r="T15" i="18"/>
  <c r="BO24" i="18"/>
  <c r="CD24" i="18"/>
  <c r="CZ24" i="18" s="1"/>
  <c r="K133" i="18" s="1"/>
  <c r="CB24" i="18"/>
  <c r="CA24" i="18"/>
  <c r="CM24" i="18"/>
  <c r="S24" i="18" s="1"/>
  <c r="CI24" i="18"/>
  <c r="CE24" i="18"/>
  <c r="BX24" i="18"/>
  <c r="BT24" i="18"/>
  <c r="P24" i="18"/>
  <c r="CN30" i="18"/>
  <c r="M139" i="18" s="1"/>
  <c r="CC30" i="18"/>
  <c r="T33" i="18"/>
  <c r="AV16" i="19"/>
  <c r="K51" i="19"/>
  <c r="BJ31" i="17"/>
  <c r="Z70" i="18"/>
  <c r="AU23" i="19"/>
  <c r="AN23" i="19"/>
  <c r="CI21" i="18"/>
  <c r="CE21" i="18"/>
  <c r="CD21" i="18"/>
  <c r="CZ21" i="18" s="1"/>
  <c r="K130" i="18" s="1"/>
  <c r="CB21" i="18"/>
  <c r="CA21" i="18"/>
  <c r="BZ21" i="18"/>
  <c r="BY21" i="18"/>
  <c r="BX21" i="18"/>
  <c r="BW21" i="18"/>
  <c r="BV21" i="18"/>
  <c r="BU21" i="18"/>
  <c r="BT21" i="18"/>
  <c r="BS21" i="18"/>
  <c r="P21" i="18"/>
  <c r="BM21" i="18"/>
  <c r="BN21" i="18" s="1"/>
  <c r="CO21" i="18" s="1"/>
  <c r="I130" i="18" s="1"/>
  <c r="U29" i="18"/>
  <c r="CL29" i="18"/>
  <c r="Z77" i="18"/>
  <c r="BJ36" i="17"/>
  <c r="BP49" i="17"/>
  <c r="BB33" i="18"/>
  <c r="Q33" i="18" s="1"/>
  <c r="AU16" i="19"/>
  <c r="AN16" i="19"/>
  <c r="CI23" i="18"/>
  <c r="CE23" i="18"/>
  <c r="CB23" i="18"/>
  <c r="CM23" i="18"/>
  <c r="S23" i="18" s="1"/>
  <c r="BZ23" i="18"/>
  <c r="BC29" i="20"/>
  <c r="U29" i="20"/>
  <c r="BE29" i="20" s="1"/>
  <c r="AG29" i="20"/>
  <c r="Z39" i="20"/>
  <c r="AX31" i="21"/>
  <c r="AQ31" i="21"/>
  <c r="BB31" i="21" s="1"/>
  <c r="AY50" i="21"/>
  <c r="AP50" i="21"/>
  <c r="CT24" i="17"/>
  <c r="BF25" i="19"/>
  <c r="DE42" i="18"/>
  <c r="BS23" i="18"/>
  <c r="BZ24" i="18"/>
  <c r="BB28" i="18"/>
  <c r="Q28" i="18" s="1"/>
  <c r="CC32" i="18"/>
  <c r="DB37" i="18"/>
  <c r="BF11" i="19"/>
  <c r="W18" i="20"/>
  <c r="BJ19" i="17"/>
  <c r="DF42" i="18"/>
  <c r="BM16" i="18"/>
  <c r="BN16" i="18" s="1"/>
  <c r="CO16" i="18" s="1"/>
  <c r="I125" i="18" s="1"/>
  <c r="BT23" i="18"/>
  <c r="CW43" i="18"/>
  <c r="BU23" i="18"/>
  <c r="CR26" i="18"/>
  <c r="T26" i="18"/>
  <c r="CI38" i="18"/>
  <c r="CE38" i="18"/>
  <c r="CD38" i="18"/>
  <c r="CZ38" i="18" s="1"/>
  <c r="K147" i="18" s="1"/>
  <c r="CA38" i="18"/>
  <c r="BZ38" i="18"/>
  <c r="BY38" i="18"/>
  <c r="BX38" i="18"/>
  <c r="BW38" i="18"/>
  <c r="BV38" i="18"/>
  <c r="BU38" i="18"/>
  <c r="CN38" i="18" s="1"/>
  <c r="M147" i="18" s="1"/>
  <c r="CM38" i="18"/>
  <c r="S38" i="18" s="1"/>
  <c r="BT38" i="18"/>
  <c r="P38" i="18"/>
  <c r="AO23" i="17"/>
  <c r="BV23" i="18"/>
  <c r="DI42" i="18"/>
  <c r="CM21" i="18"/>
  <c r="S21" i="18" s="1"/>
  <c r="BW23" i="18"/>
  <c r="AP19" i="21"/>
  <c r="AY19" i="21"/>
  <c r="AY40" i="21"/>
  <c r="AP40" i="21"/>
  <c r="AY46" i="21"/>
  <c r="CT16" i="17"/>
  <c r="BD31" i="17"/>
  <c r="BD34" i="17"/>
  <c r="K79" i="17"/>
  <c r="BO11" i="18"/>
  <c r="BM11" i="18"/>
  <c r="BN11" i="18" s="1"/>
  <c r="CO11" i="18" s="1"/>
  <c r="I120" i="18" s="1"/>
  <c r="BZ11" i="18"/>
  <c r="BY11" i="18"/>
  <c r="BX11" i="18"/>
  <c r="BW11" i="18"/>
  <c r="BT11" i="18"/>
  <c r="BS11" i="18"/>
  <c r="DK42" i="18"/>
  <c r="BX23" i="18"/>
  <c r="BM31" i="18"/>
  <c r="BN31" i="18" s="1"/>
  <c r="CO31" i="18" s="1"/>
  <c r="I140" i="18" s="1"/>
  <c r="CI36" i="18"/>
  <c r="CE36" i="18"/>
  <c r="CM36" i="18"/>
  <c r="S36" i="18" s="1"/>
  <c r="CA36" i="18"/>
  <c r="BY36" i="18"/>
  <c r="L89" i="18"/>
  <c r="E164" i="18"/>
  <c r="M98" i="18"/>
  <c r="E167" i="18" s="1"/>
  <c r="BG123" i="4" s="1"/>
  <c r="AX21" i="21"/>
  <c r="AQ21" i="21"/>
  <c r="BB21" i="21" s="1"/>
  <c r="AX35" i="21"/>
  <c r="AQ35" i="21"/>
  <c r="BB35" i="21" s="1"/>
  <c r="CC48" i="17"/>
  <c r="CA29" i="18"/>
  <c r="BZ29" i="18"/>
  <c r="BY29" i="18"/>
  <c r="BW29" i="18"/>
  <c r="BV29" i="18"/>
  <c r="CN29" i="18" s="1"/>
  <c r="M138" i="18" s="1"/>
  <c r="T35" i="18"/>
  <c r="BB36" i="18"/>
  <c r="Q36" i="18" s="1"/>
  <c r="E147" i="18"/>
  <c r="BG103" i="4" s="1"/>
  <c r="AK32" i="19"/>
  <c r="AO52" i="21"/>
  <c r="AX13" i="21"/>
  <c r="AQ13" i="21"/>
  <c r="BB13" i="21" s="1"/>
  <c r="AY26" i="21"/>
  <c r="AP26" i="21"/>
  <c r="CC29" i="18"/>
  <c r="AM32" i="19"/>
  <c r="K50" i="19" s="1"/>
  <c r="BJ12" i="19"/>
  <c r="O41" i="20"/>
  <c r="Z47" i="4" s="1"/>
  <c r="R35" i="20"/>
  <c r="BA35" i="20" s="1"/>
  <c r="X35" i="20"/>
  <c r="W35" i="20" s="1"/>
  <c r="AW35" i="20"/>
  <c r="BV20" i="18"/>
  <c r="BT20" i="18"/>
  <c r="BS20" i="18"/>
  <c r="BO20" i="18"/>
  <c r="CI20" i="18"/>
  <c r="CE30" i="18"/>
  <c r="CD30" i="18"/>
  <c r="CZ30" i="18" s="1"/>
  <c r="K139" i="18" s="1"/>
  <c r="CB30" i="18"/>
  <c r="CA30" i="18"/>
  <c r="T39" i="18"/>
  <c r="AO32" i="19"/>
  <c r="AI32" i="19"/>
  <c r="BJ18" i="19"/>
  <c r="AP16" i="21"/>
  <c r="AY16" i="21"/>
  <c r="BW20" i="18"/>
  <c r="BT30" i="18"/>
  <c r="BB40" i="18"/>
  <c r="Q40" i="18" s="1"/>
  <c r="V76" i="18"/>
  <c r="AV10" i="19"/>
  <c r="AH41" i="20"/>
  <c r="N31" i="20"/>
  <c r="S31" i="20" s="1"/>
  <c r="AS32" i="19"/>
  <c r="AY45" i="21"/>
  <c r="AP45" i="21"/>
  <c r="P20" i="18"/>
  <c r="BY20" i="18"/>
  <c r="BM26" i="18"/>
  <c r="BN26" i="18" s="1"/>
  <c r="CO26" i="18" s="1"/>
  <c r="I135" i="18" s="1"/>
  <c r="CM26" i="18"/>
  <c r="S26" i="18" s="1"/>
  <c r="CR29" i="18"/>
  <c r="U30" i="18"/>
  <c r="BV30" i="18"/>
  <c r="AN12" i="19"/>
  <c r="AU18" i="19"/>
  <c r="BQ19" i="19"/>
  <c r="AV19" i="19"/>
  <c r="AQ10" i="20"/>
  <c r="AS10" i="20"/>
  <c r="AT26" i="20"/>
  <c r="AJ52" i="21"/>
  <c r="K66" i="21" s="1"/>
  <c r="BZ20" i="18"/>
  <c r="BW30" i="18"/>
  <c r="CC44" i="17"/>
  <c r="CA20" i="18"/>
  <c r="T25" i="18"/>
  <c r="P26" i="18"/>
  <c r="BS26" i="18"/>
  <c r="BX30" i="18"/>
  <c r="CR40" i="18"/>
  <c r="M92" i="18"/>
  <c r="CU43" i="18" s="1"/>
  <c r="E134" i="18"/>
  <c r="BG89" i="4" s="1"/>
  <c r="AW32" i="19"/>
  <c r="BF14" i="19"/>
  <c r="AL52" i="21"/>
  <c r="K68" i="21" s="1"/>
  <c r="CB20" i="18"/>
  <c r="BT26" i="18"/>
  <c r="CI29" i="18"/>
  <c r="BY30" i="18"/>
  <c r="CR35" i="18"/>
  <c r="AR32" i="19"/>
  <c r="D85" i="19" s="1"/>
  <c r="N85" i="19" s="1"/>
  <c r="D149" i="19" s="1"/>
  <c r="BO127" i="4" s="1"/>
  <c r="G127" i="4" s="1"/>
  <c r="AR127" i="4" s="1"/>
  <c r="BJ14" i="19"/>
  <c r="AM52" i="21"/>
  <c r="AY32" i="21"/>
  <c r="BZ16" i="18"/>
  <c r="BX16" i="18"/>
  <c r="BW16" i="18"/>
  <c r="BV16" i="18"/>
  <c r="BT16" i="18"/>
  <c r="BS16" i="18"/>
  <c r="BB20" i="18"/>
  <c r="Q20" i="18" s="1"/>
  <c r="BU26" i="18"/>
  <c r="BZ30" i="18"/>
  <c r="T41" i="18"/>
  <c r="CR41" i="18"/>
  <c r="AW12" i="20"/>
  <c r="AN52" i="21"/>
  <c r="AP10" i="21"/>
  <c r="AX27" i="21"/>
  <c r="AQ27" i="21"/>
  <c r="BB27" i="21" s="1"/>
  <c r="CD20" i="18"/>
  <c r="CZ20" i="18" s="1"/>
  <c r="K129" i="18" s="1"/>
  <c r="BV26" i="18"/>
  <c r="BF28" i="19"/>
  <c r="P16" i="18"/>
  <c r="BU16" i="18"/>
  <c r="CE20" i="18"/>
  <c r="BW26" i="18"/>
  <c r="AY12" i="20"/>
  <c r="U25" i="20"/>
  <c r="S104" i="17"/>
  <c r="W104" i="17" s="1"/>
  <c r="DO42" i="18"/>
  <c r="DB12" i="18"/>
  <c r="BY16" i="18"/>
  <c r="BX26" i="18"/>
  <c r="CE27" i="18"/>
  <c r="CB27" i="18"/>
  <c r="CA27" i="18"/>
  <c r="BY27" i="18"/>
  <c r="BX27" i="18"/>
  <c r="CI27" i="18"/>
  <c r="CM29" i="18"/>
  <c r="S29" i="18" s="1"/>
  <c r="T31" i="18"/>
  <c r="CM32" i="18"/>
  <c r="S32" i="18" s="1"/>
  <c r="CI32" i="18"/>
  <c r="DB33" i="18"/>
  <c r="CR39" i="18"/>
  <c r="AV28" i="19"/>
  <c r="BQ28" i="19"/>
  <c r="BC12" i="20"/>
  <c r="AG12" i="20"/>
  <c r="U12" i="20"/>
  <c r="BE12" i="20" s="1"/>
  <c r="AV13" i="19"/>
  <c r="BQ13" i="19"/>
  <c r="AK52" i="21"/>
  <c r="K67" i="21" s="1"/>
  <c r="W34" i="20"/>
  <c r="BA25" i="19"/>
  <c r="BA20" i="19"/>
  <c r="BA10" i="19"/>
  <c r="BA13" i="19"/>
  <c r="BA24" i="19"/>
  <c r="BA30" i="19"/>
  <c r="BA21" i="19"/>
  <c r="BA15" i="19"/>
  <c r="BA18" i="19"/>
  <c r="BA23" i="19"/>
  <c r="S54" i="19"/>
  <c r="BA28" i="19"/>
  <c r="BA27" i="19"/>
  <c r="S45" i="19"/>
  <c r="S49" i="19" s="1"/>
  <c r="W49" i="19" s="1"/>
  <c r="BA11" i="19"/>
  <c r="BA31" i="19"/>
  <c r="BA22" i="19"/>
  <c r="BA14" i="19"/>
  <c r="BB10" i="21"/>
  <c r="AQ47" i="21"/>
  <c r="BB47" i="21" s="1"/>
  <c r="AX47" i="21"/>
  <c r="BG32" i="19"/>
  <c r="U39" i="20"/>
  <c r="BE39" i="20" s="1"/>
  <c r="AR52" i="21"/>
  <c r="AQ12" i="21"/>
  <c r="BB12" i="21" s="1"/>
  <c r="AX12" i="21"/>
  <c r="BM41" i="18"/>
  <c r="BN41" i="18" s="1"/>
  <c r="CO41" i="18" s="1"/>
  <c r="I150" i="18" s="1"/>
  <c r="BH32" i="19"/>
  <c r="P21" i="20"/>
  <c r="S21" i="20" s="1"/>
  <c r="AY21" i="20" s="1"/>
  <c r="AS52" i="21"/>
  <c r="V52" i="21"/>
  <c r="V53" i="21" s="1"/>
  <c r="F142" i="21"/>
  <c r="BS102" i="4" s="1"/>
  <c r="BB21" i="18"/>
  <c r="Q21" i="18" s="1"/>
  <c r="DB31" i="18"/>
  <c r="BM40" i="18"/>
  <c r="BN40" i="18" s="1"/>
  <c r="CO40" i="18" s="1"/>
  <c r="I149" i="18" s="1"/>
  <c r="AU31" i="19"/>
  <c r="AN31" i="19"/>
  <c r="Q21" i="20"/>
  <c r="AT52" i="21"/>
  <c r="AP31" i="21"/>
  <c r="AY31" i="21"/>
  <c r="CE25" i="18"/>
  <c r="CD25" i="18"/>
  <c r="CZ25" i="18" s="1"/>
  <c r="K134" i="18" s="1"/>
  <c r="CA25" i="18"/>
  <c r="BZ25" i="18"/>
  <c r="CA31" i="18"/>
  <c r="BY31" i="18"/>
  <c r="BX31" i="18"/>
  <c r="BW31" i="18"/>
  <c r="BU31" i="18"/>
  <c r="BT31" i="18"/>
  <c r="BB34" i="18"/>
  <c r="Q34" i="18" s="1"/>
  <c r="AU19" i="19"/>
  <c r="AN19" i="19"/>
  <c r="BJ20" i="19"/>
  <c r="H59" i="19"/>
  <c r="X17" i="20"/>
  <c r="W17" i="20" s="1"/>
  <c r="U21" i="20"/>
  <c r="BE21" i="20" s="1"/>
  <c r="BC21" i="20"/>
  <c r="AU52" i="21"/>
  <c r="BC10" i="21"/>
  <c r="T14" i="18"/>
  <c r="T37" i="18"/>
  <c r="BO40" i="18"/>
  <c r="BJ10" i="19"/>
  <c r="AV52" i="21"/>
  <c r="S68" i="21" s="1"/>
  <c r="W68" i="21" s="1"/>
  <c r="AI52" i="21"/>
  <c r="F100" i="21" s="1"/>
  <c r="N100" i="21" s="1"/>
  <c r="DC15" i="18"/>
  <c r="BS25" i="18"/>
  <c r="BS28" i="18"/>
  <c r="P31" i="18"/>
  <c r="BS31" i="18"/>
  <c r="BB38" i="18"/>
  <c r="Q38" i="18" s="1"/>
  <c r="DC40" i="18"/>
  <c r="AQ34" i="20"/>
  <c r="AG39" i="20"/>
  <c r="AW52" i="21"/>
  <c r="S69" i="21" s="1"/>
  <c r="AX30" i="21"/>
  <c r="AQ30" i="21"/>
  <c r="BB30" i="21" s="1"/>
  <c r="F137" i="21"/>
  <c r="BS96" i="4" s="1"/>
  <c r="G96" i="4" s="1"/>
  <c r="AR96" i="4" s="1"/>
  <c r="W135" i="21"/>
  <c r="BC54" i="21"/>
  <c r="W130" i="21"/>
  <c r="BR32" i="19"/>
  <c r="F85" i="19" s="1"/>
  <c r="BF27" i="19"/>
  <c r="AX49" i="21"/>
  <c r="AQ49" i="21"/>
  <c r="BB49" i="21" s="1"/>
  <c r="CR24" i="18"/>
  <c r="CR30" i="18"/>
  <c r="P40" i="18"/>
  <c r="O74" i="18"/>
  <c r="Z101" i="18"/>
  <c r="E131" i="18" s="1"/>
  <c r="BG86" i="4" s="1"/>
  <c r="Z82" i="18"/>
  <c r="Z88" i="18"/>
  <c r="Z109" i="18"/>
  <c r="Z75" i="18"/>
  <c r="Z84" i="18"/>
  <c r="Z96" i="18"/>
  <c r="Z95" i="18"/>
  <c r="E129" i="18" s="1"/>
  <c r="BG84" i="4" s="1"/>
  <c r="Z72" i="18"/>
  <c r="Z93" i="18"/>
  <c r="AU15" i="19"/>
  <c r="AN15" i="19"/>
  <c r="K65" i="19"/>
  <c r="D116" i="19"/>
  <c r="BO93" i="4" s="1"/>
  <c r="G93" i="4" s="1"/>
  <c r="AR93" i="4" s="1"/>
  <c r="Q20" i="20"/>
  <c r="Z20" i="20"/>
  <c r="AT34" i="20"/>
  <c r="AQ25" i="21"/>
  <c r="BB25" i="21" s="1"/>
  <c r="AX25" i="21"/>
  <c r="AQ44" i="21"/>
  <c r="BB44" i="21" s="1"/>
  <c r="AX44" i="21"/>
  <c r="D93" i="21"/>
  <c r="N90" i="21"/>
  <c r="BF10" i="19"/>
  <c r="BI32" i="19"/>
  <c r="BI34" i="19" s="1"/>
  <c r="AN20" i="19"/>
  <c r="K52" i="19"/>
  <c r="K86" i="21"/>
  <c r="AV25" i="19"/>
  <c r="BQ25" i="19"/>
  <c r="AX25" i="19"/>
  <c r="AX20" i="19"/>
  <c r="AX16" i="19"/>
  <c r="AX18" i="19"/>
  <c r="AX31" i="19"/>
  <c r="AX22" i="19"/>
  <c r="AX28" i="19"/>
  <c r="AX10" i="19"/>
  <c r="D135" i="19"/>
  <c r="BO113" i="4" s="1"/>
  <c r="AX13" i="19"/>
  <c r="AX33" i="19"/>
  <c r="AX30" i="19"/>
  <c r="N26" i="20"/>
  <c r="S26" i="20" s="1"/>
  <c r="AQ33" i="20"/>
  <c r="BC38" i="20"/>
  <c r="BC7" i="20" s="1"/>
  <c r="AG38" i="20"/>
  <c r="U38" i="20"/>
  <c r="BE38" i="20" s="1"/>
  <c r="AP12" i="21"/>
  <c r="AY12" i="21"/>
  <c r="AY27" i="21"/>
  <c r="W103" i="21"/>
  <c r="W93" i="21"/>
  <c r="W85" i="21"/>
  <c r="I32" i="4" s="1"/>
  <c r="W71" i="21"/>
  <c r="T107" i="21"/>
  <c r="W88" i="21"/>
  <c r="F146" i="21" s="1"/>
  <c r="BS106" i="4" s="1"/>
  <c r="W79" i="21"/>
  <c r="W90" i="21"/>
  <c r="F128" i="21" s="1"/>
  <c r="BS87" i="4" s="1"/>
  <c r="W81" i="21"/>
  <c r="W99" i="21"/>
  <c r="W80" i="21"/>
  <c r="W98" i="21"/>
  <c r="W97" i="21"/>
  <c r="W77" i="21"/>
  <c r="BF17" i="19"/>
  <c r="BF30" i="19"/>
  <c r="AN42" i="20"/>
  <c r="W155" i="21"/>
  <c r="F160" i="21"/>
  <c r="BS120" i="4" s="1"/>
  <c r="S32" i="19"/>
  <c r="AS33" i="20"/>
  <c r="AY18" i="21"/>
  <c r="AY21" i="21"/>
  <c r="AP21" i="21"/>
  <c r="AX39" i="21"/>
  <c r="AQ39" i="21"/>
  <c r="BB39" i="21" s="1"/>
  <c r="W70" i="21"/>
  <c r="AU25" i="19"/>
  <c r="AN25" i="19"/>
  <c r="BF26" i="19"/>
  <c r="AX27" i="19"/>
  <c r="BO37" i="18"/>
  <c r="BN37" i="18" s="1"/>
  <c r="CO37" i="18" s="1"/>
  <c r="I146" i="18" s="1"/>
  <c r="AQ32" i="19"/>
  <c r="S62" i="19" s="1"/>
  <c r="Q14" i="20"/>
  <c r="AQ27" i="20"/>
  <c r="Z35" i="20"/>
  <c r="AY36" i="21"/>
  <c r="BW39" i="18"/>
  <c r="BU39" i="18"/>
  <c r="BS39" i="18"/>
  <c r="AV26" i="19"/>
  <c r="N71" i="21"/>
  <c r="BT18" i="18"/>
  <c r="CN18" i="18" s="1"/>
  <c r="M127" i="18" s="1"/>
  <c r="BS35" i="18"/>
  <c r="P39" i="18"/>
  <c r="O75" i="18"/>
  <c r="AE32" i="19"/>
  <c r="K45" i="19" s="1"/>
  <c r="BS32" i="19"/>
  <c r="AU21" i="19"/>
  <c r="BF24" i="19"/>
  <c r="BF18" i="19"/>
  <c r="BF20" i="19"/>
  <c r="AQ24" i="20"/>
  <c r="AS24" i="20"/>
  <c r="AT27" i="20"/>
  <c r="AP23" i="21"/>
  <c r="AP27" i="21"/>
  <c r="BU18" i="18"/>
  <c r="BT39" i="18"/>
  <c r="AX23" i="19"/>
  <c r="K54" i="19"/>
  <c r="N54" i="19" s="1"/>
  <c r="AT24" i="20"/>
  <c r="AX20" i="21"/>
  <c r="AQ20" i="21"/>
  <c r="BB20" i="21" s="1"/>
  <c r="AX45" i="21"/>
  <c r="AQ45" i="21"/>
  <c r="BB45" i="21" s="1"/>
  <c r="W82" i="21"/>
  <c r="BU35" i="18"/>
  <c r="BS37" i="18"/>
  <c r="BV39" i="18"/>
  <c r="AG32" i="19"/>
  <c r="K47" i="19" s="1"/>
  <c r="AX15" i="19"/>
  <c r="AX19" i="19"/>
  <c r="BQ26" i="19"/>
  <c r="U14" i="20"/>
  <c r="BE14" i="20" s="1"/>
  <c r="AP18" i="21"/>
  <c r="BX39" i="18"/>
  <c r="AH32" i="19"/>
  <c r="K48" i="19" s="1"/>
  <c r="N48" i="19" s="1"/>
  <c r="AN14" i="19"/>
  <c r="BJ22" i="19"/>
  <c r="AZ30" i="19"/>
  <c r="AZ25" i="19"/>
  <c r="AZ15" i="19"/>
  <c r="AZ10" i="19"/>
  <c r="D138" i="19"/>
  <c r="BO116" i="4" s="1"/>
  <c r="G116" i="4" s="1"/>
  <c r="AR116" i="4" s="1"/>
  <c r="AZ28" i="19"/>
  <c r="AZ13" i="19"/>
  <c r="AZ24" i="19"/>
  <c r="AZ33" i="19"/>
  <c r="AZ27" i="19"/>
  <c r="AZ21" i="19"/>
  <c r="AX26" i="21"/>
  <c r="AQ26" i="21"/>
  <c r="BB26" i="21" s="1"/>
  <c r="AY48" i="21"/>
  <c r="D95" i="21"/>
  <c r="BY39" i="18"/>
  <c r="CZ41" i="18"/>
  <c r="K150" i="18" s="1"/>
  <c r="AZ19" i="19"/>
  <c r="AV22" i="19"/>
  <c r="AV31" i="19"/>
  <c r="BQ31" i="19"/>
  <c r="U22" i="20"/>
  <c r="BE22" i="20" s="1"/>
  <c r="AG26" i="20"/>
  <c r="Z32" i="20"/>
  <c r="Z37" i="20"/>
  <c r="AX17" i="21"/>
  <c r="AP36" i="21"/>
  <c r="W83" i="21"/>
  <c r="K41" i="20"/>
  <c r="AV24" i="19"/>
  <c r="AN26" i="19"/>
  <c r="AS14" i="20"/>
  <c r="AP48" i="21"/>
  <c r="Z19" i="20"/>
  <c r="AY20" i="21"/>
  <c r="N89" i="21"/>
  <c r="W127" i="21" s="1"/>
  <c r="N77" i="19"/>
  <c r="BH33" i="19" s="1"/>
  <c r="I25" i="23"/>
  <c r="I9" i="23" s="1"/>
  <c r="U11" i="20"/>
  <c r="BE11" i="20" s="1"/>
  <c r="AS19" i="20"/>
  <c r="AX46" i="21"/>
  <c r="W129" i="21"/>
  <c r="AV18" i="19"/>
  <c r="Q10" i="20"/>
  <c r="AT19" i="20"/>
  <c r="AS23" i="20"/>
  <c r="Z36" i="20"/>
  <c r="AY33" i="21"/>
  <c r="BJ24" i="19"/>
  <c r="AV30" i="19"/>
  <c r="AX14" i="21"/>
  <c r="AY10" i="20"/>
  <c r="AP20" i="21"/>
  <c r="AP51" i="21"/>
  <c r="AN21" i="19"/>
  <c r="T41" i="20"/>
  <c r="AG10" i="20"/>
  <c r="AT11" i="20"/>
  <c r="AQ12" i="20"/>
  <c r="N68" i="21" l="1"/>
  <c r="S87" i="19"/>
  <c r="W87" i="19" s="1"/>
  <c r="W61" i="19"/>
  <c r="T26" i="17"/>
  <c r="T28" i="17"/>
  <c r="CR19" i="17" s="1"/>
  <c r="CR14" i="17"/>
  <c r="U48" i="17"/>
  <c r="U16" i="17"/>
  <c r="BK28" i="17"/>
  <c r="U46" i="17"/>
  <c r="U32" i="17"/>
  <c r="U14" i="17"/>
  <c r="T14" i="17"/>
  <c r="CR12" i="17" s="1"/>
  <c r="U42" i="17"/>
  <c r="T36" i="17"/>
  <c r="CR23" i="17" s="1"/>
  <c r="T12" i="17"/>
  <c r="BS12" i="17" s="1"/>
  <c r="U24" i="17"/>
  <c r="T10" i="17"/>
  <c r="BS10" i="17" s="1"/>
  <c r="CR21" i="17"/>
  <c r="BU10" i="17"/>
  <c r="BU50" i="17" s="1"/>
  <c r="BK26" i="17"/>
  <c r="CR18" i="17"/>
  <c r="T22" i="17"/>
  <c r="BK22" i="17" s="1"/>
  <c r="T40" i="17"/>
  <c r="BK40" i="17" s="1"/>
  <c r="BK30" i="17"/>
  <c r="CR20" i="17"/>
  <c r="T20" i="17"/>
  <c r="BK14" i="17"/>
  <c r="U28" i="17"/>
  <c r="U18" i="17"/>
  <c r="BS50" i="17"/>
  <c r="U26" i="17"/>
  <c r="BK42" i="17"/>
  <c r="CR26" i="17"/>
  <c r="CR11" i="17"/>
  <c r="CR13" i="17"/>
  <c r="BK16" i="17"/>
  <c r="Q29" i="4"/>
  <c r="T46" i="17"/>
  <c r="BK46" i="17" s="1"/>
  <c r="BD50" i="17"/>
  <c r="T38" i="17"/>
  <c r="U44" i="17"/>
  <c r="BR10" i="17"/>
  <c r="BR12" i="17"/>
  <c r="BV45" i="17"/>
  <c r="BV19" i="17"/>
  <c r="BV26" i="17"/>
  <c r="BQ51" i="17"/>
  <c r="BQ52" i="17" s="1"/>
  <c r="D191" i="17"/>
  <c r="BC113" i="4" s="1"/>
  <c r="BV34" i="17"/>
  <c r="BV43" i="17"/>
  <c r="BV13" i="17"/>
  <c r="BV37" i="17"/>
  <c r="BV48" i="17"/>
  <c r="BV21" i="17"/>
  <c r="BV30" i="17"/>
  <c r="BV28" i="17"/>
  <c r="BV15" i="17"/>
  <c r="BV24" i="17"/>
  <c r="BV23" i="17"/>
  <c r="BV18" i="17"/>
  <c r="BV35" i="17"/>
  <c r="BV47" i="17"/>
  <c r="BV42" i="17"/>
  <c r="BV20" i="17"/>
  <c r="D184" i="17"/>
  <c r="BC106" i="4" s="1"/>
  <c r="W114" i="17"/>
  <c r="BV44" i="17"/>
  <c r="BV29" i="17"/>
  <c r="BV49" i="17"/>
  <c r="BV46" i="17"/>
  <c r="BV36" i="17"/>
  <c r="BV31" i="17"/>
  <c r="BV25" i="17"/>
  <c r="BV16" i="17"/>
  <c r="BV33" i="17"/>
  <c r="BV14" i="17"/>
  <c r="BV39" i="17"/>
  <c r="BV38" i="17"/>
  <c r="BV22" i="17"/>
  <c r="BV40" i="17"/>
  <c r="BV32" i="17"/>
  <c r="BV11" i="17"/>
  <c r="BV27" i="17"/>
  <c r="BV41" i="17"/>
  <c r="R26" i="4"/>
  <c r="D137" i="15"/>
  <c r="AY91" i="4" s="1"/>
  <c r="S26" i="4"/>
  <c r="BI54" i="15"/>
  <c r="H86" i="15"/>
  <c r="BL47" i="15" s="1"/>
  <c r="AV32" i="19"/>
  <c r="BE54" i="15"/>
  <c r="BJ36" i="14"/>
  <c r="N68" i="15"/>
  <c r="O51" i="6"/>
  <c r="N55" i="10"/>
  <c r="R26" i="20"/>
  <c r="BA26" i="20" s="1"/>
  <c r="R19" i="20"/>
  <c r="R37" i="20"/>
  <c r="AL18" i="5"/>
  <c r="AL14" i="5"/>
  <c r="O67" i="7"/>
  <c r="R14" i="20"/>
  <c r="BA14" i="20" s="1"/>
  <c r="R31" i="20"/>
  <c r="BA31" i="20" s="1"/>
  <c r="R25" i="20"/>
  <c r="R27" i="20"/>
  <c r="BY39" i="5"/>
  <c r="N75" i="17"/>
  <c r="N69" i="15"/>
  <c r="N50" i="19"/>
  <c r="N53" i="10"/>
  <c r="O69" i="8"/>
  <c r="N53" i="16"/>
  <c r="N54" i="14"/>
  <c r="N54" i="11"/>
  <c r="N47" i="19"/>
  <c r="AR11" i="5"/>
  <c r="V11" i="5" s="1"/>
  <c r="H64" i="3" s="1"/>
  <c r="N54" i="10"/>
  <c r="G103" i="4"/>
  <c r="AR103" i="4" s="1"/>
  <c r="AY37" i="16"/>
  <c r="BB35" i="16"/>
  <c r="Q40" i="4"/>
  <c r="BE37" i="16"/>
  <c r="V52" i="16"/>
  <c r="BG11" i="16" s="1"/>
  <c r="AO16" i="2"/>
  <c r="N52" i="16"/>
  <c r="K50" i="16"/>
  <c r="N50" i="16" s="1"/>
  <c r="AM8" i="2"/>
  <c r="AM13" i="2" s="1"/>
  <c r="AM18" i="2" s="1"/>
  <c r="N93" i="21"/>
  <c r="D92" i="21"/>
  <c r="N92" i="21" s="1"/>
  <c r="CN11" i="8"/>
  <c r="M121" i="8" s="1"/>
  <c r="CC11" i="8"/>
  <c r="AX52" i="21"/>
  <c r="BC55" i="21" s="1"/>
  <c r="X56" i="21" s="1"/>
  <c r="BB36" i="16"/>
  <c r="D139" i="16"/>
  <c r="BK114" i="4" s="1"/>
  <c r="K49" i="16"/>
  <c r="N49" i="16" s="1"/>
  <c r="AL8" i="2"/>
  <c r="AL13" i="2" s="1"/>
  <c r="AL18" i="2" s="1"/>
  <c r="BF27" i="11"/>
  <c r="BS14" i="7"/>
  <c r="AQ14" i="7"/>
  <c r="V14" i="7"/>
  <c r="BF36" i="6"/>
  <c r="BF25" i="11"/>
  <c r="CN27" i="9"/>
  <c r="M137" i="9" s="1"/>
  <c r="CC27" i="9"/>
  <c r="U38" i="9"/>
  <c r="CT38" i="9" s="1"/>
  <c r="CL38" i="9"/>
  <c r="AQ21" i="7"/>
  <c r="V21" i="7"/>
  <c r="BS21" i="7"/>
  <c r="BX42" i="9"/>
  <c r="DD42" i="8"/>
  <c r="DC42" i="8"/>
  <c r="DC44" i="8" s="1"/>
  <c r="W128" i="21"/>
  <c r="F131" i="21"/>
  <c r="BS90" i="4" s="1"/>
  <c r="V73" i="8"/>
  <c r="Z73" i="8" s="1"/>
  <c r="O83" i="8"/>
  <c r="V66" i="8"/>
  <c r="Z66" i="8" s="1"/>
  <c r="CL24" i="18"/>
  <c r="U24" i="18"/>
  <c r="O83" i="7"/>
  <c r="V73" i="7"/>
  <c r="Z73" i="7" s="1"/>
  <c r="CC34" i="7"/>
  <c r="CN34" i="7"/>
  <c r="K56" i="13"/>
  <c r="U37" i="13"/>
  <c r="BV42" i="9"/>
  <c r="L67" i="9" s="1"/>
  <c r="O67" i="9" s="1"/>
  <c r="CL18" i="9"/>
  <c r="CL42" i="9" s="1"/>
  <c r="U18" i="9"/>
  <c r="CT18" i="9" s="1"/>
  <c r="CC20" i="9"/>
  <c r="CN20" i="9"/>
  <c r="M130" i="9" s="1"/>
  <c r="CN23" i="8"/>
  <c r="M133" i="8" s="1"/>
  <c r="CC23" i="8"/>
  <c r="CA42" i="7"/>
  <c r="A167" i="3"/>
  <c r="CC17" i="8"/>
  <c r="CN17" i="8"/>
  <c r="M127" i="8" s="1"/>
  <c r="BT42" i="9"/>
  <c r="BJ36" i="13"/>
  <c r="DH36" i="11"/>
  <c r="DH37" i="11"/>
  <c r="BW42" i="9"/>
  <c r="CN19" i="8"/>
  <c r="M129" i="8" s="1"/>
  <c r="CC19" i="8"/>
  <c r="CL22" i="8"/>
  <c r="U22" i="8"/>
  <c r="CT22" i="8" s="1"/>
  <c r="A169" i="3"/>
  <c r="Q13" i="8"/>
  <c r="AQ13" i="8" s="1"/>
  <c r="BB42" i="8"/>
  <c r="BN36" i="13"/>
  <c r="BY42" i="7"/>
  <c r="L68" i="7" s="1"/>
  <c r="O68" i="7" s="1"/>
  <c r="BO36" i="13"/>
  <c r="BO25" i="5"/>
  <c r="BO39" i="5" s="1"/>
  <c r="AN25" i="5"/>
  <c r="AQ15" i="7"/>
  <c r="V15" i="7"/>
  <c r="BS15" i="7"/>
  <c r="CN33" i="8"/>
  <c r="M143" i="8" s="1"/>
  <c r="CC33" i="8"/>
  <c r="CN14" i="18"/>
  <c r="M123" i="18" s="1"/>
  <c r="CC14" i="18"/>
  <c r="AY26" i="20"/>
  <c r="AN32" i="19"/>
  <c r="Q12" i="18"/>
  <c r="BB42" i="18"/>
  <c r="BN36" i="14"/>
  <c r="BL37" i="12"/>
  <c r="D107" i="12"/>
  <c r="AM76" i="4" s="1"/>
  <c r="H23" i="4"/>
  <c r="CL21" i="9"/>
  <c r="U21" i="9"/>
  <c r="CT21" i="9" s="1"/>
  <c r="CC38" i="9"/>
  <c r="CN38" i="9"/>
  <c r="M148" i="9" s="1"/>
  <c r="DJ36" i="11"/>
  <c r="DJ37" i="11" s="1"/>
  <c r="CC30" i="9"/>
  <c r="CN30" i="9"/>
  <c r="M140" i="9" s="1"/>
  <c r="BO36" i="5"/>
  <c r="AN36" i="5"/>
  <c r="CO15" i="7"/>
  <c r="I125" i="7" s="1"/>
  <c r="P15" i="7"/>
  <c r="CC25" i="9"/>
  <c r="CN25" i="9"/>
  <c r="M135" i="9" s="1"/>
  <c r="D114" i="17"/>
  <c r="N114" i="17" s="1"/>
  <c r="BX12" i="17" s="1"/>
  <c r="N73" i="17"/>
  <c r="T51" i="17"/>
  <c r="Z28" i="4"/>
  <c r="CN33" i="18"/>
  <c r="M142" i="18" s="1"/>
  <c r="CC33" i="18"/>
  <c r="CN22" i="8"/>
  <c r="M132" i="8" s="1"/>
  <c r="CC22" i="8"/>
  <c r="AX35" i="16"/>
  <c r="N86" i="15"/>
  <c r="BL42" i="15"/>
  <c r="BL35" i="15"/>
  <c r="BL48" i="15"/>
  <c r="BL25" i="15"/>
  <c r="BL49" i="15"/>
  <c r="BL26" i="15"/>
  <c r="BL50" i="15"/>
  <c r="BL51" i="15"/>
  <c r="BL29" i="15"/>
  <c r="BL20" i="15"/>
  <c r="BL30" i="15"/>
  <c r="BL31" i="15"/>
  <c r="BL52" i="15"/>
  <c r="BL22" i="15"/>
  <c r="BL14" i="15"/>
  <c r="BL32" i="15"/>
  <c r="BL45" i="15"/>
  <c r="BL34" i="15"/>
  <c r="BL11" i="15"/>
  <c r="BL44" i="15"/>
  <c r="BL39" i="15"/>
  <c r="BL12" i="15"/>
  <c r="BL24" i="15"/>
  <c r="BL41" i="15"/>
  <c r="BL38" i="15"/>
  <c r="BL46" i="15"/>
  <c r="BL40" i="15"/>
  <c r="BL15" i="15"/>
  <c r="BL19" i="15"/>
  <c r="BL17" i="15"/>
  <c r="BL10" i="15"/>
  <c r="BL23" i="15"/>
  <c r="BL27" i="15"/>
  <c r="BL13" i="15"/>
  <c r="BL28" i="15"/>
  <c r="BL21" i="15"/>
  <c r="BL53" i="15"/>
  <c r="BL37" i="15"/>
  <c r="BL16" i="15"/>
  <c r="BL18" i="15"/>
  <c r="BN13" i="5"/>
  <c r="AN13" i="5"/>
  <c r="CN21" i="8"/>
  <c r="M131" i="8" s="1"/>
  <c r="CC21" i="8"/>
  <c r="A139" i="3"/>
  <c r="U37" i="8"/>
  <c r="CT37" i="8" s="1"/>
  <c r="CL37" i="8"/>
  <c r="CC40" i="7"/>
  <c r="CN40" i="7"/>
  <c r="M150" i="7" s="1"/>
  <c r="W37" i="6"/>
  <c r="L52" i="6"/>
  <c r="L70" i="7"/>
  <c r="BM42" i="7"/>
  <c r="BN10" i="7"/>
  <c r="CC31" i="18"/>
  <c r="CN31" i="18"/>
  <c r="M140" i="18" s="1"/>
  <c r="BG120" i="4"/>
  <c r="E161" i="18"/>
  <c r="BG117" i="4" s="1"/>
  <c r="AX54" i="15"/>
  <c r="D101" i="16"/>
  <c r="BK75" i="4" s="1"/>
  <c r="G39" i="4"/>
  <c r="BX42" i="18"/>
  <c r="CL26" i="7"/>
  <c r="U26" i="7"/>
  <c r="CT26" i="7" s="1"/>
  <c r="BM42" i="9"/>
  <c r="BA27" i="20"/>
  <c r="Q27" i="20"/>
  <c r="CM42" i="18"/>
  <c r="S10" i="18"/>
  <c r="S42" i="18" s="1"/>
  <c r="CE7" i="18"/>
  <c r="BL38" i="14"/>
  <c r="CP44" i="9"/>
  <c r="CN26" i="7"/>
  <c r="M136" i="7" s="1"/>
  <c r="AQ22" i="7"/>
  <c r="V22" i="7"/>
  <c r="BS22" i="7"/>
  <c r="R44" i="8"/>
  <c r="E147" i="8"/>
  <c r="S101" i="4" s="1"/>
  <c r="CC29" i="7"/>
  <c r="CN29" i="7"/>
  <c r="M139" i="7" s="1"/>
  <c r="CB42" i="8"/>
  <c r="AY27" i="20"/>
  <c r="V27" i="20"/>
  <c r="BG27" i="20" s="1"/>
  <c r="BY42" i="18"/>
  <c r="CE42" i="9"/>
  <c r="CN28" i="7"/>
  <c r="M138" i="7" s="1"/>
  <c r="AR13" i="5"/>
  <c r="V13" i="5" s="1"/>
  <c r="H66" i="3" s="1"/>
  <c r="AL13" i="5"/>
  <c r="BA10" i="20"/>
  <c r="CO10" i="9"/>
  <c r="AQ52" i="21"/>
  <c r="K69" i="21" s="1"/>
  <c r="U19" i="18"/>
  <c r="CL19" i="18"/>
  <c r="BZ42" i="18"/>
  <c r="DE36" i="12"/>
  <c r="DE37" i="12" s="1"/>
  <c r="BN36" i="12"/>
  <c r="CN41" i="9"/>
  <c r="M151" i="9" s="1"/>
  <c r="F42" i="12"/>
  <c r="H66" i="12"/>
  <c r="N66" i="12" s="1"/>
  <c r="G88" i="4"/>
  <c r="AR88" i="4" s="1"/>
  <c r="AK9" i="2"/>
  <c r="AK15" i="2" s="1"/>
  <c r="L50" i="5"/>
  <c r="O50" i="5" s="1"/>
  <c r="CN41" i="8"/>
  <c r="M151" i="8" s="1"/>
  <c r="CC41" i="8"/>
  <c r="CC24" i="18"/>
  <c r="CN24" i="18"/>
  <c r="M133" i="18" s="1"/>
  <c r="AR17" i="5"/>
  <c r="V17" i="5" s="1"/>
  <c r="H70" i="3" s="1"/>
  <c r="AL17" i="5"/>
  <c r="X26" i="20"/>
  <c r="W26" i="20" s="1"/>
  <c r="CN35" i="18"/>
  <c r="M144" i="18" s="1"/>
  <c r="CC35" i="18"/>
  <c r="CB50" i="17"/>
  <c r="CB52" i="17" s="1"/>
  <c r="N83" i="16"/>
  <c r="BI12" i="16" s="1"/>
  <c r="F84" i="16"/>
  <c r="N84" i="16" s="1"/>
  <c r="BM30" i="10"/>
  <c r="BF36" i="10"/>
  <c r="CO12" i="7"/>
  <c r="I122" i="7" s="1"/>
  <c r="P12" i="7"/>
  <c r="CO18" i="7"/>
  <c r="I128" i="7" s="1"/>
  <c r="P18" i="7"/>
  <c r="C491" i="3"/>
  <c r="BS21" i="12"/>
  <c r="BQ16" i="12"/>
  <c r="BS14" i="12"/>
  <c r="BS19" i="12"/>
  <c r="BQ14" i="12"/>
  <c r="BS24" i="12"/>
  <c r="BQ19" i="12"/>
  <c r="BS29" i="12"/>
  <c r="BQ24" i="12"/>
  <c r="BQ32" i="12"/>
  <c r="BS15" i="12"/>
  <c r="BQ10" i="12"/>
  <c r="H67" i="12"/>
  <c r="BS28" i="12"/>
  <c r="BS26" i="12"/>
  <c r="BS11" i="12"/>
  <c r="BQ34" i="12"/>
  <c r="I40" i="12"/>
  <c r="I99" i="12" s="1"/>
  <c r="BS32" i="12"/>
  <c r="BS13" i="12"/>
  <c r="BQ13" i="12"/>
  <c r="BS34" i="12"/>
  <c r="BS22" i="12"/>
  <c r="BQ22" i="12"/>
  <c r="BS17" i="12"/>
  <c r="BQ17" i="12"/>
  <c r="BS31" i="12"/>
  <c r="BQ31" i="12"/>
  <c r="BS33" i="12"/>
  <c r="BQ21" i="12"/>
  <c r="BS35" i="12"/>
  <c r="BQ35" i="12"/>
  <c r="BS25" i="12"/>
  <c r="BQ25" i="12"/>
  <c r="BS18" i="12"/>
  <c r="BQ18" i="12"/>
  <c r="BS30" i="12"/>
  <c r="BQ30" i="12"/>
  <c r="BS10" i="12"/>
  <c r="BS27" i="12"/>
  <c r="BQ29" i="12"/>
  <c r="BS16" i="12"/>
  <c r="BQ11" i="12"/>
  <c r="BQ33" i="12"/>
  <c r="BS20" i="12"/>
  <c r="BQ20" i="12"/>
  <c r="BQ15" i="12"/>
  <c r="BQ28" i="12"/>
  <c r="BQ23" i="12"/>
  <c r="BS12" i="12"/>
  <c r="BQ12" i="12"/>
  <c r="BS23" i="12"/>
  <c r="B40" i="12"/>
  <c r="B99" i="12" s="1"/>
  <c r="BQ27" i="12"/>
  <c r="BQ26" i="12"/>
  <c r="BD36" i="14"/>
  <c r="BJ18" i="11"/>
  <c r="BD18" i="11"/>
  <c r="BO18" i="11"/>
  <c r="DE18" i="11"/>
  <c r="U36" i="11"/>
  <c r="CN30" i="7"/>
  <c r="M140" i="7" s="1"/>
  <c r="CC30" i="7"/>
  <c r="CJ39" i="5"/>
  <c r="A170" i="3"/>
  <c r="BB42" i="7"/>
  <c r="Q10" i="7"/>
  <c r="BS12" i="7"/>
  <c r="AQ12" i="7"/>
  <c r="V12" i="7"/>
  <c r="CN18" i="8"/>
  <c r="M128" i="8" s="1"/>
  <c r="CC18" i="8"/>
  <c r="AR35" i="16"/>
  <c r="CR27" i="17"/>
  <c r="BK44" i="17"/>
  <c r="BO36" i="12"/>
  <c r="E122" i="8"/>
  <c r="S76" i="4" s="1"/>
  <c r="DD43" i="8"/>
  <c r="H17" i="4"/>
  <c r="CC35" i="7"/>
  <c r="CN35" i="7"/>
  <c r="M145" i="7" s="1"/>
  <c r="AN12" i="5"/>
  <c r="BK18" i="6"/>
  <c r="I68" i="6"/>
  <c r="O68" i="6" s="1"/>
  <c r="AQ23" i="7"/>
  <c r="V23" i="7"/>
  <c r="BS23" i="7"/>
  <c r="C78" i="22"/>
  <c r="C85" i="20"/>
  <c r="CL36" i="9"/>
  <c r="U36" i="9"/>
  <c r="CT36" i="9" s="1"/>
  <c r="BK20" i="17"/>
  <c r="CR15" i="17"/>
  <c r="BU42" i="9"/>
  <c r="L66" i="9" s="1"/>
  <c r="O66" i="9" s="1"/>
  <c r="N51" i="11"/>
  <c r="BB37" i="16"/>
  <c r="AP52" i="21"/>
  <c r="W162" i="21"/>
  <c r="F169" i="21"/>
  <c r="BS129" i="4" s="1"/>
  <c r="G129" i="4" s="1"/>
  <c r="AR129" i="4" s="1"/>
  <c r="BA25" i="20"/>
  <c r="Q37" i="20"/>
  <c r="BA37" i="20"/>
  <c r="P37" i="20"/>
  <c r="BL39" i="17"/>
  <c r="BL41" i="17"/>
  <c r="BL43" i="17"/>
  <c r="BL38" i="17"/>
  <c r="BL49" i="17"/>
  <c r="BL35" i="17"/>
  <c r="BL13" i="17"/>
  <c r="BL18" i="17"/>
  <c r="K80" i="17"/>
  <c r="N80" i="17" s="1"/>
  <c r="BL10" i="17" s="1"/>
  <c r="BL25" i="17"/>
  <c r="BL46" i="17"/>
  <c r="BL40" i="17"/>
  <c r="BL32" i="17"/>
  <c r="BL48" i="17"/>
  <c r="BL24" i="17"/>
  <c r="BL11" i="17"/>
  <c r="BL31" i="17"/>
  <c r="BL26" i="17"/>
  <c r="BL20" i="17"/>
  <c r="BL34" i="17"/>
  <c r="BL22" i="17"/>
  <c r="BL47" i="17"/>
  <c r="BL42" i="17"/>
  <c r="BL28" i="17"/>
  <c r="BL30" i="17"/>
  <c r="BL17" i="17"/>
  <c r="BL12" i="17"/>
  <c r="BL15" i="17"/>
  <c r="BL36" i="17"/>
  <c r="BL27" i="17"/>
  <c r="BL14" i="17"/>
  <c r="BL23" i="17"/>
  <c r="BL45" i="17"/>
  <c r="BL21" i="17"/>
  <c r="BL37" i="17"/>
  <c r="BL44" i="17"/>
  <c r="BL29" i="17"/>
  <c r="BL16" i="17"/>
  <c r="BL33" i="17"/>
  <c r="BL19" i="17"/>
  <c r="A31" i="16"/>
  <c r="N54" i="16"/>
  <c r="O43" i="16"/>
  <c r="R80" i="16"/>
  <c r="V80" i="16" s="1"/>
  <c r="Q16" i="9"/>
  <c r="Q42" i="9" s="1"/>
  <c r="BB42" i="9"/>
  <c r="CN11" i="9"/>
  <c r="M121" i="9" s="1"/>
  <c r="CC11" i="9"/>
  <c r="P22" i="7"/>
  <c r="CO22" i="7"/>
  <c r="I132" i="7" s="1"/>
  <c r="AQ25" i="7"/>
  <c r="V25" i="7"/>
  <c r="BS25" i="7"/>
  <c r="BS13" i="7"/>
  <c r="AQ13" i="7"/>
  <c r="V13" i="7"/>
  <c r="CO25" i="7"/>
  <c r="I135" i="7" s="1"/>
  <c r="P25" i="7"/>
  <c r="I83" i="18"/>
  <c r="BJ32" i="19"/>
  <c r="BL36" i="15"/>
  <c r="CC40" i="9"/>
  <c r="CN40" i="9"/>
  <c r="M150" i="9" s="1"/>
  <c r="BT36" i="12"/>
  <c r="CN36" i="8"/>
  <c r="M146" i="8" s="1"/>
  <c r="CC36" i="8"/>
  <c r="CL25" i="8"/>
  <c r="U25" i="8"/>
  <c r="CT25" i="8" s="1"/>
  <c r="C53" i="20"/>
  <c r="C49" i="22"/>
  <c r="S57" i="11"/>
  <c r="W57" i="11" s="1"/>
  <c r="S78" i="11"/>
  <c r="W78" i="11" s="1"/>
  <c r="S59" i="11"/>
  <c r="W59" i="11" s="1"/>
  <c r="S67" i="11"/>
  <c r="W67" i="11" s="1"/>
  <c r="S65" i="11"/>
  <c r="DC42" i="7"/>
  <c r="DC44" i="7" s="1"/>
  <c r="DD42" i="7"/>
  <c r="CA42" i="18"/>
  <c r="AZ32" i="19"/>
  <c r="BO42" i="18"/>
  <c r="R32" i="20"/>
  <c r="DB28" i="18"/>
  <c r="F85" i="16"/>
  <c r="N85" i="16" s="1"/>
  <c r="CC34" i="18"/>
  <c r="CC10" i="18"/>
  <c r="BS42" i="18"/>
  <c r="L65" i="18" s="1"/>
  <c r="CN10" i="18"/>
  <c r="BB36" i="13"/>
  <c r="K52" i="12"/>
  <c r="E159" i="9"/>
  <c r="AA113" i="4" s="1"/>
  <c r="CP43" i="9"/>
  <c r="CL13" i="9"/>
  <c r="U13" i="9"/>
  <c r="CT13" i="9" s="1"/>
  <c r="BM22" i="11"/>
  <c r="BH22" i="11"/>
  <c r="E122" i="9"/>
  <c r="AA76" i="4" s="1"/>
  <c r="DD43" i="9"/>
  <c r="H19" i="4"/>
  <c r="CI42" i="9"/>
  <c r="D42" i="9" s="1"/>
  <c r="DD42" i="9"/>
  <c r="DD44" i="9" s="1"/>
  <c r="DC42" i="9"/>
  <c r="DC44" i="9" s="1"/>
  <c r="DE36" i="10"/>
  <c r="DE37" i="10" s="1"/>
  <c r="U37" i="10"/>
  <c r="K56" i="10"/>
  <c r="G77" i="4"/>
  <c r="AR77" i="4" s="1"/>
  <c r="P23" i="7"/>
  <c r="AQ24" i="7"/>
  <c r="V24" i="7"/>
  <c r="BS24" i="7"/>
  <c r="AQ14" i="5"/>
  <c r="AJ14" i="5"/>
  <c r="Y14" i="5"/>
  <c r="CG14" i="5"/>
  <c r="CG39" i="5" s="1"/>
  <c r="CJ14" i="5"/>
  <c r="A100" i="3"/>
  <c r="E145" i="6"/>
  <c r="M80" i="6"/>
  <c r="C134" i="6"/>
  <c r="BU107" i="4"/>
  <c r="C56" i="22"/>
  <c r="C63" i="20"/>
  <c r="A98" i="3"/>
  <c r="CC37" i="18"/>
  <c r="CN37" i="18"/>
  <c r="M146" i="18" s="1"/>
  <c r="CN11" i="18"/>
  <c r="M120" i="18" s="1"/>
  <c r="CC11" i="18"/>
  <c r="CL10" i="18"/>
  <c r="U10" i="18"/>
  <c r="AV20" i="11"/>
  <c r="U27" i="8"/>
  <c r="CT27" i="8" s="1"/>
  <c r="CL27" i="8"/>
  <c r="CN35" i="8"/>
  <c r="M145" i="8" s="1"/>
  <c r="CC35" i="8"/>
  <c r="DB39" i="18"/>
  <c r="AO50" i="17"/>
  <c r="U33" i="18"/>
  <c r="CL33" i="18"/>
  <c r="N51" i="14"/>
  <c r="AN20" i="5"/>
  <c r="CC38" i="18"/>
  <c r="S78" i="19"/>
  <c r="W78" i="19" s="1"/>
  <c r="O41" i="19"/>
  <c r="N51" i="19"/>
  <c r="DB10" i="18"/>
  <c r="D164" i="15"/>
  <c r="AY119" i="4" s="1"/>
  <c r="T26" i="4"/>
  <c r="D102" i="16"/>
  <c r="BK76" i="4" s="1"/>
  <c r="BJ36" i="16"/>
  <c r="H39" i="4"/>
  <c r="H40" i="4" s="1"/>
  <c r="BT42" i="18"/>
  <c r="L66" i="18" s="1"/>
  <c r="O66" i="18" s="1"/>
  <c r="H66" i="14"/>
  <c r="N66" i="14" s="1"/>
  <c r="F42" i="14"/>
  <c r="D133" i="16"/>
  <c r="AZ36" i="16"/>
  <c r="AZ37" i="16" s="1"/>
  <c r="N68" i="16"/>
  <c r="D68" i="16" s="1"/>
  <c r="P39" i="4"/>
  <c r="K55" i="12"/>
  <c r="N55" i="12" s="1"/>
  <c r="D147" i="11"/>
  <c r="AI117" i="4" s="1"/>
  <c r="AI118" i="4"/>
  <c r="CM42" i="9"/>
  <c r="CC24" i="8"/>
  <c r="CN24" i="8"/>
  <c r="M134" i="8" s="1"/>
  <c r="CN36" i="7"/>
  <c r="M146" i="7" s="1"/>
  <c r="CL10" i="8"/>
  <c r="U10" i="8"/>
  <c r="C82" i="22"/>
  <c r="C89" i="20"/>
  <c r="BO42" i="7"/>
  <c r="D149" i="11"/>
  <c r="AI119" i="4" s="1"/>
  <c r="T22" i="4"/>
  <c r="D122" i="14"/>
  <c r="AU91" i="4" s="1"/>
  <c r="S25" i="4"/>
  <c r="BF18" i="11"/>
  <c r="C54" i="20"/>
  <c r="C50" i="22"/>
  <c r="DB25" i="18"/>
  <c r="D105" i="16"/>
  <c r="BK79" i="4" s="1"/>
  <c r="L39" i="4"/>
  <c r="L40" i="4" s="1"/>
  <c r="X19" i="20"/>
  <c r="W19" i="20" s="1"/>
  <c r="BA19" i="20"/>
  <c r="AN15" i="5"/>
  <c r="U20" i="18"/>
  <c r="CL20" i="18"/>
  <c r="D193" i="17"/>
  <c r="BC115" i="4" s="1"/>
  <c r="CE42" i="18"/>
  <c r="BV42" i="18"/>
  <c r="L68" i="18" s="1"/>
  <c r="O68" i="18" s="1"/>
  <c r="H66" i="13"/>
  <c r="N66" i="13" s="1"/>
  <c r="F42" i="13"/>
  <c r="K55" i="14"/>
  <c r="N55" i="14" s="1"/>
  <c r="D90" i="12"/>
  <c r="N90" i="12" s="1"/>
  <c r="D128" i="12" s="1"/>
  <c r="AM98" i="4" s="1"/>
  <c r="CN32" i="8"/>
  <c r="M142" i="8" s="1"/>
  <c r="CC32" i="8"/>
  <c r="CR42" i="9"/>
  <c r="CL33" i="8"/>
  <c r="U33" i="8"/>
  <c r="CT33" i="8" s="1"/>
  <c r="CN26" i="9"/>
  <c r="M136" i="9" s="1"/>
  <c r="CC26" i="9"/>
  <c r="BT39" i="5"/>
  <c r="BS42" i="8"/>
  <c r="L65" i="8" s="1"/>
  <c r="CN10" i="8"/>
  <c r="CC10" i="8"/>
  <c r="BO24" i="5"/>
  <c r="AN24" i="5"/>
  <c r="P17" i="7"/>
  <c r="CO17" i="7"/>
  <c r="I127" i="7" s="1"/>
  <c r="C130" i="6"/>
  <c r="BU103" i="4"/>
  <c r="C102" i="6"/>
  <c r="BU74" i="4"/>
  <c r="BM19" i="11"/>
  <c r="BH19" i="11"/>
  <c r="AQ16" i="7"/>
  <c r="V16" i="7"/>
  <c r="BJ35" i="16"/>
  <c r="D90" i="14"/>
  <c r="N90" i="14" s="1"/>
  <c r="D128" i="14" s="1"/>
  <c r="AU98" i="4" s="1"/>
  <c r="BK24" i="17"/>
  <c r="CR17" i="17"/>
  <c r="BF32" i="19"/>
  <c r="S97" i="15"/>
  <c r="W97" i="15" s="1"/>
  <c r="BG41" i="15"/>
  <c r="BG25" i="15"/>
  <c r="S105" i="15"/>
  <c r="W105" i="15" s="1"/>
  <c r="BG39" i="15"/>
  <c r="BG23" i="15"/>
  <c r="BG38" i="15"/>
  <c r="BG22" i="15"/>
  <c r="N84" i="15"/>
  <c r="BG53" i="15"/>
  <c r="BG52" i="15"/>
  <c r="BG35" i="15"/>
  <c r="BG19" i="15"/>
  <c r="S74" i="15"/>
  <c r="W74" i="15" s="1"/>
  <c r="S68" i="15"/>
  <c r="W68" i="15" s="1"/>
  <c r="BG34" i="15"/>
  <c r="BG33" i="15"/>
  <c r="BG32" i="15"/>
  <c r="BG31" i="15"/>
  <c r="S77" i="15"/>
  <c r="BG36" i="15"/>
  <c r="BG29" i="15"/>
  <c r="BG37" i="15"/>
  <c r="BG40" i="15"/>
  <c r="BG14" i="15"/>
  <c r="BG24" i="15"/>
  <c r="BG15" i="15"/>
  <c r="BG45" i="15"/>
  <c r="BG46" i="15"/>
  <c r="BG44" i="15"/>
  <c r="BG43" i="15"/>
  <c r="BG47" i="15"/>
  <c r="BG42" i="15"/>
  <c r="BG16" i="15"/>
  <c r="BG48" i="15"/>
  <c r="BG17" i="15"/>
  <c r="BG18" i="15"/>
  <c r="BG50" i="15"/>
  <c r="BG27" i="15"/>
  <c r="BG51" i="15"/>
  <c r="N85" i="15"/>
  <c r="D157" i="15" s="1"/>
  <c r="AY112" i="4" s="1"/>
  <c r="S76" i="15"/>
  <c r="W76" i="15" s="1"/>
  <c r="BG20" i="15"/>
  <c r="BG13" i="15"/>
  <c r="BG30" i="15"/>
  <c r="BG26" i="15"/>
  <c r="N83" i="15"/>
  <c r="BG49" i="15"/>
  <c r="BG10" i="15"/>
  <c r="BG12" i="15"/>
  <c r="BG11" i="15"/>
  <c r="BG21" i="15"/>
  <c r="BG28" i="15"/>
  <c r="E159" i="18"/>
  <c r="BG115" i="4" s="1"/>
  <c r="DA43" i="18"/>
  <c r="DA44" i="18" s="1"/>
  <c r="BW42" i="18"/>
  <c r="L69" i="18" s="1"/>
  <c r="O69" i="18" s="1"/>
  <c r="CR42" i="18"/>
  <c r="K54" i="12"/>
  <c r="N54" i="12" s="1"/>
  <c r="I83" i="9"/>
  <c r="CC10" i="9"/>
  <c r="BS42" i="9"/>
  <c r="L65" i="9" s="1"/>
  <c r="CN10" i="9"/>
  <c r="CL34" i="8"/>
  <c r="U34" i="8"/>
  <c r="CT34" i="8" s="1"/>
  <c r="BM36" i="12"/>
  <c r="CL11" i="9"/>
  <c r="U11" i="9"/>
  <c r="BT42" i="8"/>
  <c r="L66" i="8" s="1"/>
  <c r="O66" i="8" s="1"/>
  <c r="AN27" i="5"/>
  <c r="BO27" i="5"/>
  <c r="C149" i="6"/>
  <c r="BU122" i="4"/>
  <c r="AR18" i="5"/>
  <c r="V18" i="5" s="1"/>
  <c r="H71" i="3" s="1"/>
  <c r="BP39" i="5"/>
  <c r="BW42" i="7"/>
  <c r="BU42" i="7"/>
  <c r="CD39" i="5"/>
  <c r="BX42" i="8"/>
  <c r="BX39" i="5"/>
  <c r="C92" i="20"/>
  <c r="C85" i="22"/>
  <c r="L101" i="17"/>
  <c r="BU51" i="17" s="1"/>
  <c r="BU52" i="17" s="1"/>
  <c r="R28" i="4"/>
  <c r="R29" i="4" s="1"/>
  <c r="DE36" i="13"/>
  <c r="DE37" i="13"/>
  <c r="CN19" i="9"/>
  <c r="M129" i="9" s="1"/>
  <c r="CC19" i="9"/>
  <c r="BF11" i="11"/>
  <c r="BE36" i="11"/>
  <c r="CC37" i="8"/>
  <c r="CN37" i="8"/>
  <c r="M147" i="8" s="1"/>
  <c r="C72" i="22"/>
  <c r="C79" i="20"/>
  <c r="DX18" i="7"/>
  <c r="Q31" i="20"/>
  <c r="CC23" i="18"/>
  <c r="CN23" i="18"/>
  <c r="M132" i="18" s="1"/>
  <c r="AW10" i="20"/>
  <c r="X10" i="20"/>
  <c r="K43" i="19"/>
  <c r="E127" i="18"/>
  <c r="BG82" i="4" s="1"/>
  <c r="R20" i="20"/>
  <c r="BA20" i="20" s="1"/>
  <c r="W126" i="21"/>
  <c r="DB41" i="18"/>
  <c r="E121" i="18"/>
  <c r="BG76" i="4" s="1"/>
  <c r="DC43" i="18"/>
  <c r="H30" i="4"/>
  <c r="BA36" i="16"/>
  <c r="BA37" i="16" s="1"/>
  <c r="D138" i="16"/>
  <c r="BK113" i="4" s="1"/>
  <c r="D107" i="14"/>
  <c r="AU76" i="4" s="1"/>
  <c r="BL37" i="14"/>
  <c r="H25" i="4"/>
  <c r="H66" i="10"/>
  <c r="N66" i="10" s="1"/>
  <c r="F42" i="10"/>
  <c r="BM17" i="11"/>
  <c r="BH17" i="11"/>
  <c r="E131" i="9"/>
  <c r="AA85" i="4" s="1"/>
  <c r="I19" i="4"/>
  <c r="CL41" i="8"/>
  <c r="U41" i="8"/>
  <c r="CT41" i="8" s="1"/>
  <c r="CA42" i="9"/>
  <c r="CN39" i="9"/>
  <c r="M149" i="9" s="1"/>
  <c r="CC39" i="9"/>
  <c r="CN34" i="8"/>
  <c r="M144" i="8" s="1"/>
  <c r="CC34" i="8"/>
  <c r="U16" i="8"/>
  <c r="CT16" i="8" s="1"/>
  <c r="CL16" i="8"/>
  <c r="E128" i="7"/>
  <c r="W82" i="4" s="1"/>
  <c r="CP44" i="7"/>
  <c r="CI42" i="8"/>
  <c r="D42" i="8" s="1"/>
  <c r="CC41" i="7"/>
  <c r="AN28" i="5"/>
  <c r="C94" i="20"/>
  <c r="C87" i="22"/>
  <c r="C109" i="6"/>
  <c r="BU81" i="4"/>
  <c r="BK36" i="13"/>
  <c r="DX15" i="7"/>
  <c r="BO37" i="5"/>
  <c r="AN37" i="5"/>
  <c r="AY31" i="20"/>
  <c r="V31" i="20"/>
  <c r="BG31" i="20" s="1"/>
  <c r="CB42" i="18"/>
  <c r="BK36" i="12"/>
  <c r="BY42" i="9"/>
  <c r="L68" i="9" s="1"/>
  <c r="O68" i="9" s="1"/>
  <c r="L70" i="9"/>
  <c r="CD42" i="8"/>
  <c r="DA10" i="8"/>
  <c r="BR39" i="5"/>
  <c r="C47" i="22"/>
  <c r="C51" i="20"/>
  <c r="CN28" i="18"/>
  <c r="M137" i="18" s="1"/>
  <c r="CC28" i="18"/>
  <c r="CD42" i="18"/>
  <c r="CZ10" i="18"/>
  <c r="BL38" i="12"/>
  <c r="K53" i="11"/>
  <c r="N53" i="11" s="1"/>
  <c r="BF13" i="11"/>
  <c r="BJ36" i="6"/>
  <c r="Y36" i="6"/>
  <c r="CE42" i="8"/>
  <c r="E75" i="5"/>
  <c r="O74" i="5"/>
  <c r="E141" i="5" s="1"/>
  <c r="K121" i="4" s="1"/>
  <c r="CC25" i="18"/>
  <c r="CN25" i="18"/>
  <c r="M134" i="18" s="1"/>
  <c r="CL38" i="18"/>
  <c r="U38" i="18"/>
  <c r="U21" i="18"/>
  <c r="CL21" i="18"/>
  <c r="CL17" i="18"/>
  <c r="U17" i="18"/>
  <c r="K51" i="13"/>
  <c r="AY118" i="4"/>
  <c r="BT36" i="14"/>
  <c r="D148" i="14"/>
  <c r="L85" i="14"/>
  <c r="D153" i="14" s="1"/>
  <c r="AU123" i="4" s="1"/>
  <c r="T25" i="4"/>
  <c r="BF36" i="13"/>
  <c r="BM10" i="13"/>
  <c r="BM36" i="13" s="1"/>
  <c r="D168" i="17"/>
  <c r="BC89" i="4" s="1"/>
  <c r="BD36" i="13"/>
  <c r="BD36" i="10"/>
  <c r="DE14" i="11"/>
  <c r="BO14" i="11"/>
  <c r="BJ14" i="11"/>
  <c r="BD14" i="11"/>
  <c r="BF36" i="14"/>
  <c r="BM10" i="14"/>
  <c r="BM36" i="14" s="1"/>
  <c r="N72" i="12"/>
  <c r="S69" i="12"/>
  <c r="W69" i="12" s="1"/>
  <c r="DF37" i="11"/>
  <c r="DF36" i="11"/>
  <c r="I74" i="11"/>
  <c r="N74" i="11" s="1"/>
  <c r="BJ13" i="11"/>
  <c r="BO13" i="11"/>
  <c r="BO36" i="11" s="1"/>
  <c r="BD13" i="11"/>
  <c r="DE13" i="11"/>
  <c r="DE36" i="11" s="1"/>
  <c r="CB42" i="9"/>
  <c r="N53" i="12"/>
  <c r="AQ18" i="7"/>
  <c r="V18" i="7"/>
  <c r="Z69" i="7"/>
  <c r="V66" i="7"/>
  <c r="Z66" i="7" s="1"/>
  <c r="CP43" i="7"/>
  <c r="E159" i="7"/>
  <c r="W113" i="4" s="1"/>
  <c r="AQ10" i="8"/>
  <c r="CM42" i="8"/>
  <c r="BM42" i="8"/>
  <c r="L70" i="8"/>
  <c r="BN10" i="8"/>
  <c r="DX11" i="7"/>
  <c r="E107" i="7" s="1"/>
  <c r="O107" i="7" s="1"/>
  <c r="CO16" i="7"/>
  <c r="I126" i="7" s="1"/>
  <c r="P16" i="7"/>
  <c r="AU32" i="19"/>
  <c r="C84" i="20"/>
  <c r="C77" i="22"/>
  <c r="U31" i="18"/>
  <c r="CL31" i="18"/>
  <c r="N72" i="10"/>
  <c r="S69" i="10"/>
  <c r="W69" i="10" s="1"/>
  <c r="DB40" i="18"/>
  <c r="DB15" i="18"/>
  <c r="O71" i="18"/>
  <c r="DB43" i="18" s="1"/>
  <c r="DB17" i="18"/>
  <c r="DB27" i="18"/>
  <c r="DB34" i="18"/>
  <c r="DB22" i="18"/>
  <c r="DB32" i="18"/>
  <c r="DB16" i="18"/>
  <c r="DB11" i="18"/>
  <c r="DB20" i="18"/>
  <c r="DB30" i="18"/>
  <c r="DB21" i="18"/>
  <c r="DB36" i="18"/>
  <c r="DB23" i="18"/>
  <c r="DB38" i="18"/>
  <c r="DB24" i="18"/>
  <c r="DB26" i="18"/>
  <c r="DB29" i="18"/>
  <c r="O60" i="6"/>
  <c r="E133" i="6" s="1"/>
  <c r="O106" i="4" s="1"/>
  <c r="T62" i="6"/>
  <c r="X62" i="6" s="1"/>
  <c r="C52" i="20"/>
  <c r="C48" i="22"/>
  <c r="CC39" i="5"/>
  <c r="CR29" i="17"/>
  <c r="BK48" i="17"/>
  <c r="CC17" i="18"/>
  <c r="CN17" i="18"/>
  <c r="M126" i="18" s="1"/>
  <c r="N55" i="13"/>
  <c r="K51" i="12"/>
  <c r="AV11" i="11"/>
  <c r="W36" i="11"/>
  <c r="BZ42" i="9"/>
  <c r="L69" i="9" s="1"/>
  <c r="O69" i="9" s="1"/>
  <c r="CN26" i="8"/>
  <c r="M136" i="8" s="1"/>
  <c r="CC26" i="8"/>
  <c r="S73" i="5"/>
  <c r="W73" i="5" s="1"/>
  <c r="N45" i="19"/>
  <c r="S78" i="21"/>
  <c r="W78" i="21" s="1"/>
  <c r="S67" i="21"/>
  <c r="W67" i="21" s="1"/>
  <c r="CN26" i="18"/>
  <c r="M135" i="18" s="1"/>
  <c r="CC26" i="18"/>
  <c r="DB47" i="18"/>
  <c r="U39" i="18"/>
  <c r="CL39" i="18"/>
  <c r="CL40" i="18"/>
  <c r="U40" i="18"/>
  <c r="AW21" i="20"/>
  <c r="CL26" i="18"/>
  <c r="U26" i="18"/>
  <c r="R39" i="20"/>
  <c r="CC21" i="18"/>
  <c r="CN21" i="18"/>
  <c r="M130" i="18" s="1"/>
  <c r="CN13" i="18"/>
  <c r="M122" i="18" s="1"/>
  <c r="CC13" i="18"/>
  <c r="BN24" i="18"/>
  <c r="CO24" i="18" s="1"/>
  <c r="I133" i="18" s="1"/>
  <c r="U14" i="18"/>
  <c r="CL14" i="18"/>
  <c r="L99" i="15"/>
  <c r="D168" i="15" s="1"/>
  <c r="AY123" i="4" s="1"/>
  <c r="N71" i="15"/>
  <c r="BO36" i="10"/>
  <c r="BB36" i="11"/>
  <c r="BT36" i="10"/>
  <c r="K52" i="11"/>
  <c r="DG36" i="11"/>
  <c r="DG37" i="11" s="1"/>
  <c r="AV13" i="11"/>
  <c r="CD42" i="9"/>
  <c r="DA10" i="9"/>
  <c r="CN14" i="8"/>
  <c r="M124" i="8" s="1"/>
  <c r="CC14" i="8"/>
  <c r="E161" i="8"/>
  <c r="S115" i="4" s="1"/>
  <c r="DB43" i="8"/>
  <c r="DB44" i="8" s="1"/>
  <c r="AQ20" i="7"/>
  <c r="V20" i="7"/>
  <c r="BS20" i="7"/>
  <c r="CR42" i="7"/>
  <c r="BU39" i="5"/>
  <c r="BS16" i="7"/>
  <c r="BY42" i="8"/>
  <c r="L68" i="8" s="1"/>
  <c r="O68" i="8" s="1"/>
  <c r="V86" i="16"/>
  <c r="BT11" i="11"/>
  <c r="A92" i="3"/>
  <c r="S59" i="5"/>
  <c r="W59" i="5" s="1"/>
  <c r="W58" i="5"/>
  <c r="C46" i="22"/>
  <c r="C50" i="20"/>
  <c r="W118" i="4"/>
  <c r="DB42" i="7"/>
  <c r="DB44" i="7" s="1"/>
  <c r="C140" i="6"/>
  <c r="BU113" i="4"/>
  <c r="C71" i="20"/>
  <c r="C64" i="22"/>
  <c r="Z76" i="18"/>
  <c r="CC19" i="18"/>
  <c r="CN19" i="18"/>
  <c r="M128" i="18" s="1"/>
  <c r="K51" i="16"/>
  <c r="N51" i="16" s="1"/>
  <c r="AN8" i="2"/>
  <c r="AN13" i="2" s="1"/>
  <c r="AN16" i="2" s="1"/>
  <c r="D143" i="16"/>
  <c r="K56" i="14"/>
  <c r="U37" i="14"/>
  <c r="N52" i="14"/>
  <c r="S69" i="11"/>
  <c r="W69" i="11" s="1"/>
  <c r="N72" i="11"/>
  <c r="U33" i="9"/>
  <c r="CT33" i="9" s="1"/>
  <c r="CL33" i="9"/>
  <c r="U20" i="9"/>
  <c r="CT20" i="9" s="1"/>
  <c r="CL20" i="9"/>
  <c r="CL23" i="8"/>
  <c r="U23" i="8"/>
  <c r="CT23" i="8" s="1"/>
  <c r="BN31" i="8"/>
  <c r="CO31" i="8" s="1"/>
  <c r="I141" i="8" s="1"/>
  <c r="BN24" i="7"/>
  <c r="CA42" i="8"/>
  <c r="V19" i="7"/>
  <c r="AQ19" i="7"/>
  <c r="AQ11" i="7"/>
  <c r="V11" i="7"/>
  <c r="BS11" i="7"/>
  <c r="E161" i="7"/>
  <c r="W115" i="4" s="1"/>
  <c r="DB43" i="7"/>
  <c r="S50" i="5"/>
  <c r="W50" i="5" s="1"/>
  <c r="W49" i="5"/>
  <c r="C60" i="22"/>
  <c r="C67" i="20"/>
  <c r="BW39" i="5"/>
  <c r="AL11" i="5"/>
  <c r="C135" i="6"/>
  <c r="BU108" i="4"/>
  <c r="BZ42" i="7"/>
  <c r="L69" i="7" s="1"/>
  <c r="O69" i="7" s="1"/>
  <c r="C61" i="22"/>
  <c r="C68" i="20"/>
  <c r="C65" i="20"/>
  <c r="C58" i="22"/>
  <c r="C62" i="22"/>
  <c r="C69" i="20"/>
  <c r="R40" i="20"/>
  <c r="D96" i="21"/>
  <c r="N96" i="21" s="1"/>
  <c r="N95" i="21"/>
  <c r="F118" i="21"/>
  <c r="BS77" i="4" s="1"/>
  <c r="H32" i="4"/>
  <c r="AW20" i="20"/>
  <c r="DB13" i="18"/>
  <c r="DB14" i="18"/>
  <c r="AK50" i="17"/>
  <c r="U10" i="17"/>
  <c r="AV23" i="11"/>
  <c r="BB36" i="12"/>
  <c r="BJ36" i="12"/>
  <c r="E164" i="9"/>
  <c r="M98" i="9"/>
  <c r="E169" i="9" s="1"/>
  <c r="AA123" i="4" s="1"/>
  <c r="CX43" i="9"/>
  <c r="T19" i="4"/>
  <c r="BN37" i="9"/>
  <c r="CO37" i="9" s="1"/>
  <c r="I147" i="9" s="1"/>
  <c r="BG36" i="11"/>
  <c r="BN11" i="11"/>
  <c r="BN36" i="11" s="1"/>
  <c r="DH37" i="12"/>
  <c r="BN35" i="7"/>
  <c r="CO35" i="7" s="1"/>
  <c r="I145" i="7" s="1"/>
  <c r="V38" i="5"/>
  <c r="H91" i="3" s="1"/>
  <c r="BO35" i="5"/>
  <c r="AN35" i="5"/>
  <c r="AO12" i="5"/>
  <c r="E122" i="7"/>
  <c r="W76" i="4" s="1"/>
  <c r="DD43" i="7"/>
  <c r="H15" i="4"/>
  <c r="BZ39" i="5"/>
  <c r="BK36" i="14"/>
  <c r="BX42" i="7"/>
  <c r="C56" i="20"/>
  <c r="C52" i="22"/>
  <c r="E117" i="5"/>
  <c r="K97" i="4" s="1"/>
  <c r="G97" i="4" s="1"/>
  <c r="AR97" i="4" s="1"/>
  <c r="C55" i="22"/>
  <c r="C59" i="20"/>
  <c r="CN39" i="5"/>
  <c r="CN41" i="5" s="1"/>
  <c r="DX24" i="7"/>
  <c r="O59" i="5"/>
  <c r="E130" i="5" s="1"/>
  <c r="K110" i="4" s="1"/>
  <c r="O57" i="5"/>
  <c r="CL31" i="5"/>
  <c r="CL30" i="5"/>
  <c r="CL34" i="5"/>
  <c r="CL32" i="5"/>
  <c r="CL29" i="5"/>
  <c r="CL28" i="5"/>
  <c r="CL27" i="5"/>
  <c r="S80" i="5"/>
  <c r="W80" i="5" s="1"/>
  <c r="E103" i="5" s="1"/>
  <c r="K83" i="4" s="1"/>
  <c r="CL26" i="5"/>
  <c r="CL23" i="5"/>
  <c r="CL20" i="5"/>
  <c r="CL17" i="5"/>
  <c r="CL36" i="5"/>
  <c r="CL13" i="5"/>
  <c r="CL38" i="5"/>
  <c r="CL22" i="5"/>
  <c r="CL19" i="5"/>
  <c r="O58" i="5"/>
  <c r="E129" i="5" s="1"/>
  <c r="K109" i="4" s="1"/>
  <c r="CL12" i="5"/>
  <c r="CL16" i="5"/>
  <c r="CL37" i="5"/>
  <c r="CL11" i="5"/>
  <c r="CL18" i="5"/>
  <c r="CL14" i="5"/>
  <c r="CK21" i="5"/>
  <c r="CK39" i="5" s="1"/>
  <c r="CK41" i="5" s="1"/>
  <c r="DX23" i="7"/>
  <c r="CL34" i="7"/>
  <c r="U34" i="7"/>
  <c r="CT34" i="7" s="1"/>
  <c r="BH54" i="15"/>
  <c r="CN12" i="18"/>
  <c r="M121" i="18" s="1"/>
  <c r="CC12" i="18"/>
  <c r="S57" i="5"/>
  <c r="W57" i="5" s="1"/>
  <c r="I61" i="5"/>
  <c r="O61" i="5" s="1"/>
  <c r="L53" i="5"/>
  <c r="G86" i="4"/>
  <c r="AR86" i="4" s="1"/>
  <c r="U41" i="20"/>
  <c r="CN18" i="7"/>
  <c r="CC18" i="7"/>
  <c r="D79" i="19"/>
  <c r="N79" i="19" s="1"/>
  <c r="S63" i="19"/>
  <c r="D80" i="19" s="1"/>
  <c r="N80" i="19" s="1"/>
  <c r="U29" i="7"/>
  <c r="CT29" i="7" s="1"/>
  <c r="CL29" i="7"/>
  <c r="K75" i="21"/>
  <c r="H85" i="21"/>
  <c r="N85" i="21" s="1"/>
  <c r="W145" i="21" s="1"/>
  <c r="BA32" i="19"/>
  <c r="BA34" i="19" s="1"/>
  <c r="BF54" i="15"/>
  <c r="CL34" i="18"/>
  <c r="U34" i="18"/>
  <c r="D151" i="15"/>
  <c r="AY106" i="4" s="1"/>
  <c r="K54" i="13"/>
  <c r="N54" i="13" s="1"/>
  <c r="BC36" i="10"/>
  <c r="BP38" i="12"/>
  <c r="U41" i="9"/>
  <c r="CT41" i="9" s="1"/>
  <c r="CL41" i="9"/>
  <c r="BN29" i="8"/>
  <c r="CO29" i="8" s="1"/>
  <c r="I139" i="8" s="1"/>
  <c r="P19" i="7"/>
  <c r="BO29" i="5"/>
  <c r="AN29" i="5"/>
  <c r="O54" i="6"/>
  <c r="X61" i="6"/>
  <c r="AQ17" i="7"/>
  <c r="BS17" i="7"/>
  <c r="V17" i="7"/>
  <c r="CL21" i="8"/>
  <c r="U21" i="8"/>
  <c r="CT21" i="8" s="1"/>
  <c r="CN33" i="7"/>
  <c r="M143" i="7" s="1"/>
  <c r="CN38" i="7"/>
  <c r="M148" i="7" s="1"/>
  <c r="CC38" i="7"/>
  <c r="AY36" i="6"/>
  <c r="A171" i="3"/>
  <c r="AV25" i="11"/>
  <c r="BJ21" i="11"/>
  <c r="BO21" i="11"/>
  <c r="BD21" i="11"/>
  <c r="DE21" i="11"/>
  <c r="BS39" i="5"/>
  <c r="AV21" i="11"/>
  <c r="CC32" i="9"/>
  <c r="CN32" i="9"/>
  <c r="M142" i="9" s="1"/>
  <c r="CN21" i="9"/>
  <c r="M131" i="9" s="1"/>
  <c r="CC21" i="9"/>
  <c r="L89" i="21"/>
  <c r="R32" i="4"/>
  <c r="D107" i="10"/>
  <c r="AE76" i="4" s="1"/>
  <c r="BL37" i="10"/>
  <c r="BL38" i="10" s="1"/>
  <c r="H14" i="4"/>
  <c r="C95" i="22"/>
  <c r="C102" i="20"/>
  <c r="D148" i="10"/>
  <c r="L85" i="10"/>
  <c r="T14" i="4"/>
  <c r="CC12" i="9"/>
  <c r="BK36" i="10"/>
  <c r="BJ36" i="10"/>
  <c r="E161" i="9"/>
  <c r="AA115" i="4" s="1"/>
  <c r="DB43" i="9"/>
  <c r="CC27" i="8"/>
  <c r="U25" i="9"/>
  <c r="CT25" i="9" s="1"/>
  <c r="CL25" i="9"/>
  <c r="BN13" i="8"/>
  <c r="CO13" i="8" s="1"/>
  <c r="I123" i="8" s="1"/>
  <c r="U24" i="8"/>
  <c r="CT24" i="8" s="1"/>
  <c r="CL24" i="8"/>
  <c r="L48" i="6"/>
  <c r="L47" i="6" s="1"/>
  <c r="AJ6" i="2"/>
  <c r="AJ11" i="2" s="1"/>
  <c r="BN37" i="7"/>
  <c r="CO37" i="7" s="1"/>
  <c r="I147" i="7" s="1"/>
  <c r="L49" i="5"/>
  <c r="AJ9" i="2"/>
  <c r="AJ15" i="2" s="1"/>
  <c r="B195" i="17"/>
  <c r="BE117" i="4"/>
  <c r="BT36" i="13"/>
  <c r="AR14" i="5"/>
  <c r="V14" i="5" s="1"/>
  <c r="H67" i="3" s="1"/>
  <c r="A172" i="3"/>
  <c r="C68" i="22"/>
  <c r="C75" i="20"/>
  <c r="CC36" i="9"/>
  <c r="CN36" i="9"/>
  <c r="M146" i="9" s="1"/>
  <c r="BM24" i="11"/>
  <c r="BH24" i="11"/>
  <c r="CN16" i="18"/>
  <c r="M125" i="18" s="1"/>
  <c r="CC16" i="18"/>
  <c r="K48" i="16"/>
  <c r="N48" i="16" s="1"/>
  <c r="AK8" i="2"/>
  <c r="AK13" i="2" s="1"/>
  <c r="AK18" i="2" s="1"/>
  <c r="CL12" i="18"/>
  <c r="U12" i="18"/>
  <c r="E159" i="8"/>
  <c r="S113" i="4" s="1"/>
  <c r="CP43" i="8"/>
  <c r="CP44" i="8" s="1"/>
  <c r="DE22" i="11"/>
  <c r="BO22" i="11"/>
  <c r="BJ22" i="11"/>
  <c r="BD22" i="11"/>
  <c r="BH34" i="19"/>
  <c r="N72" i="14"/>
  <c r="S69" i="14"/>
  <c r="W69" i="14" s="1"/>
  <c r="R38" i="20"/>
  <c r="AV14" i="11"/>
  <c r="K53" i="14"/>
  <c r="N53" i="14" s="1"/>
  <c r="K52" i="10"/>
  <c r="K51" i="10"/>
  <c r="CC38" i="8"/>
  <c r="CN38" i="8"/>
  <c r="M148" i="8" s="1"/>
  <c r="DB42" i="9"/>
  <c r="DC47" i="8"/>
  <c r="V88" i="8" s="1"/>
  <c r="CN29" i="8"/>
  <c r="M139" i="8" s="1"/>
  <c r="CC29" i="8"/>
  <c r="U21" i="7"/>
  <c r="CT21" i="7" s="1"/>
  <c r="CL21" i="7"/>
  <c r="BK36" i="6"/>
  <c r="BG36" i="6"/>
  <c r="C49" i="20"/>
  <c r="C45" i="22"/>
  <c r="J68" i="17"/>
  <c r="P67" i="17" s="1"/>
  <c r="R68" i="17" s="1"/>
  <c r="R69" i="17"/>
  <c r="U69" i="17" s="1"/>
  <c r="V69" i="17" s="1"/>
  <c r="BN51" i="17"/>
  <c r="D186" i="17"/>
  <c r="G87" i="17"/>
  <c r="BL37" i="13"/>
  <c r="BL38" i="13" s="1"/>
  <c r="D107" i="13"/>
  <c r="AQ76" i="4" s="1"/>
  <c r="H24" i="4"/>
  <c r="N72" i="13"/>
  <c r="S69" i="13"/>
  <c r="W69" i="13" s="1"/>
  <c r="BS19" i="7"/>
  <c r="AX32" i="19"/>
  <c r="AX34" i="19" s="1"/>
  <c r="F99" i="21"/>
  <c r="N99" i="21" s="1"/>
  <c r="N66" i="21"/>
  <c r="Z32" i="4"/>
  <c r="BK34" i="17"/>
  <c r="CR22" i="17"/>
  <c r="CC13" i="9"/>
  <c r="CN13" i="9"/>
  <c r="M123" i="9" s="1"/>
  <c r="CO14" i="7"/>
  <c r="I124" i="7" s="1"/>
  <c r="P14" i="7"/>
  <c r="AN33" i="5"/>
  <c r="DB35" i="18"/>
  <c r="E80" i="20"/>
  <c r="Q47" i="4"/>
  <c r="AM65" i="4" s="1"/>
  <c r="N79" i="17"/>
  <c r="H94" i="17"/>
  <c r="N94" i="17" s="1"/>
  <c r="BR51" i="17" s="1"/>
  <c r="CL13" i="18"/>
  <c r="U13" i="18"/>
  <c r="N76" i="17"/>
  <c r="E157" i="18"/>
  <c r="BG113" i="4" s="1"/>
  <c r="CP43" i="18"/>
  <c r="K52" i="13"/>
  <c r="D90" i="13"/>
  <c r="N90" i="13" s="1"/>
  <c r="D128" i="13" s="1"/>
  <c r="AQ98" i="4" s="1"/>
  <c r="BN24" i="9"/>
  <c r="CO24" i="9" s="1"/>
  <c r="I134" i="9" s="1"/>
  <c r="CN30" i="8"/>
  <c r="M140" i="8" s="1"/>
  <c r="CC30" i="8"/>
  <c r="U38" i="8"/>
  <c r="CT38" i="8" s="1"/>
  <c r="CL38" i="8"/>
  <c r="BM20" i="11"/>
  <c r="BH20" i="11"/>
  <c r="Z76" i="9"/>
  <c r="CL13" i="8"/>
  <c r="U13" i="8"/>
  <c r="CT13" i="8" s="1"/>
  <c r="CL34" i="9"/>
  <c r="U34" i="9"/>
  <c r="CT34" i="9" s="1"/>
  <c r="BN36" i="7"/>
  <c r="CO36" i="7" s="1"/>
  <c r="I146" i="7" s="1"/>
  <c r="CC25" i="8"/>
  <c r="CN25" i="8"/>
  <c r="M135" i="8" s="1"/>
  <c r="AN26" i="5"/>
  <c r="AN22" i="5"/>
  <c r="BN18" i="5"/>
  <c r="AN18" i="5"/>
  <c r="W18" i="5" s="1"/>
  <c r="I71" i="3" s="1"/>
  <c r="C92" i="22"/>
  <c r="C99" i="20"/>
  <c r="DX16" i="7"/>
  <c r="A99" i="3"/>
  <c r="C59" i="22"/>
  <c r="C66" i="20"/>
  <c r="C57" i="20"/>
  <c r="C53" i="22"/>
  <c r="CE39" i="5"/>
  <c r="J40" i="6"/>
  <c r="J94" i="6" s="1"/>
  <c r="C40" i="6"/>
  <c r="C94" i="6" s="1"/>
  <c r="I63" i="6"/>
  <c r="CC39" i="18"/>
  <c r="CN39" i="18"/>
  <c r="M148" i="18" s="1"/>
  <c r="L85" i="12"/>
  <c r="D148" i="12"/>
  <c r="T23" i="4"/>
  <c r="AN46" i="20"/>
  <c r="AG41" i="20"/>
  <c r="S83" i="19"/>
  <c r="W83" i="19" s="1"/>
  <c r="N59" i="19"/>
  <c r="C67" i="19"/>
  <c r="D67" i="19" s="1"/>
  <c r="S77" i="19"/>
  <c r="W77" i="19" s="1"/>
  <c r="N61" i="19"/>
  <c r="D134" i="19" s="1"/>
  <c r="BO112" i="4" s="1"/>
  <c r="N60" i="19"/>
  <c r="D132" i="19" s="1"/>
  <c r="BO110" i="4" s="1"/>
  <c r="N67" i="21"/>
  <c r="BE25" i="20"/>
  <c r="BE7" i="20" s="1"/>
  <c r="V25" i="20"/>
  <c r="X25" i="20" s="1"/>
  <c r="W25" i="20" s="1"/>
  <c r="AW35" i="16"/>
  <c r="N70" i="15"/>
  <c r="BP50" i="17"/>
  <c r="CP44" i="18"/>
  <c r="L85" i="13"/>
  <c r="D148" i="13"/>
  <c r="T24" i="4"/>
  <c r="BN34" i="18"/>
  <c r="CO34" i="18" s="1"/>
  <c r="I143" i="18" s="1"/>
  <c r="S7" i="18"/>
  <c r="BP37" i="14"/>
  <c r="BP38" i="14" s="1"/>
  <c r="BJ26" i="11"/>
  <c r="BD26" i="11"/>
  <c r="DE26" i="11"/>
  <c r="BO26" i="11"/>
  <c r="CC22" i="9"/>
  <c r="CN22" i="9"/>
  <c r="M132" i="9" s="1"/>
  <c r="CN23" i="9"/>
  <c r="M133" i="9" s="1"/>
  <c r="CC23" i="9"/>
  <c r="AV18" i="11"/>
  <c r="U30" i="8"/>
  <c r="CT30" i="8" s="1"/>
  <c r="CL30" i="8"/>
  <c r="BM16" i="11"/>
  <c r="BH16" i="11"/>
  <c r="BN34" i="9"/>
  <c r="CO34" i="9" s="1"/>
  <c r="I144" i="9" s="1"/>
  <c r="AN23" i="5"/>
  <c r="BO23" i="5"/>
  <c r="W69" i="21"/>
  <c r="AN38" i="5"/>
  <c r="U27" i="7"/>
  <c r="CT27" i="7" s="1"/>
  <c r="CL27" i="7"/>
  <c r="BN20" i="7"/>
  <c r="CN39" i="8"/>
  <c r="M149" i="8" s="1"/>
  <c r="C70" i="20"/>
  <c r="C63" i="22"/>
  <c r="BT42" i="7"/>
  <c r="L66" i="7" s="1"/>
  <c r="O66" i="7" s="1"/>
  <c r="L52" i="5"/>
  <c r="O52" i="5" s="1"/>
  <c r="AO9" i="2"/>
  <c r="AO15" i="2" s="1"/>
  <c r="AO18" i="2" s="1"/>
  <c r="AO20" i="2" s="1"/>
  <c r="BU101" i="4"/>
  <c r="C128" i="6"/>
  <c r="CN31" i="9"/>
  <c r="M141" i="9" s="1"/>
  <c r="CC31" i="9"/>
  <c r="U11" i="8"/>
  <c r="CT11" i="8" s="1"/>
  <c r="CL11" i="8"/>
  <c r="AN27" i="20"/>
  <c r="K56" i="12"/>
  <c r="U37" i="12"/>
  <c r="CN29" i="9"/>
  <c r="M139" i="9" s="1"/>
  <c r="CC29" i="9"/>
  <c r="CN35" i="9"/>
  <c r="M145" i="9" s="1"/>
  <c r="N67" i="15"/>
  <c r="D104" i="15"/>
  <c r="N104" i="15" s="1"/>
  <c r="D143" i="15" s="1"/>
  <c r="AY98" i="4" s="1"/>
  <c r="F130" i="21"/>
  <c r="BS89" i="4" s="1"/>
  <c r="AW14" i="20"/>
  <c r="X14" i="20"/>
  <c r="W14" i="20" s="1"/>
  <c r="K47" i="16"/>
  <c r="AJ8" i="2"/>
  <c r="AJ13" i="2" s="1"/>
  <c r="AJ18" i="2" s="1"/>
  <c r="K66" i="15"/>
  <c r="H92" i="17"/>
  <c r="Q42" i="18"/>
  <c r="BN12" i="18"/>
  <c r="CO12" i="18" s="1"/>
  <c r="I121" i="18" s="1"/>
  <c r="BU42" i="18"/>
  <c r="L67" i="18" s="1"/>
  <c r="O67" i="18" s="1"/>
  <c r="BP37" i="10"/>
  <c r="BP38" i="10" s="1"/>
  <c r="CN15" i="8"/>
  <c r="M125" i="8" s="1"/>
  <c r="CC15" i="8"/>
  <c r="U28" i="7"/>
  <c r="CT28" i="7" s="1"/>
  <c r="CL28" i="7"/>
  <c r="BN35" i="8"/>
  <c r="CO35" i="8" s="1"/>
  <c r="I145" i="8" s="1"/>
  <c r="CN34" i="9"/>
  <c r="M144" i="9" s="1"/>
  <c r="CC34" i="9"/>
  <c r="BN26" i="8"/>
  <c r="CO26" i="8" s="1"/>
  <c r="I136" i="8" s="1"/>
  <c r="Z12" i="5"/>
  <c r="CI12" i="5" s="1"/>
  <c r="CI39" i="5" s="1"/>
  <c r="AX12" i="5"/>
  <c r="S39" i="5"/>
  <c r="BO16" i="5"/>
  <c r="AN16" i="5"/>
  <c r="AN31" i="5"/>
  <c r="DX14" i="7"/>
  <c r="CB42" i="7"/>
  <c r="CB39" i="5"/>
  <c r="D164" i="17"/>
  <c r="BC85" i="4" s="1"/>
  <c r="I28" i="4"/>
  <c r="I26" i="4"/>
  <c r="A62" i="3"/>
  <c r="A95" i="3"/>
  <c r="C150" i="6"/>
  <c r="BU123" i="4"/>
  <c r="A93" i="3"/>
  <c r="BU114" i="4"/>
  <c r="C141" i="6"/>
  <c r="CN31" i="8"/>
  <c r="M141" i="8" s="1"/>
  <c r="CC31" i="8"/>
  <c r="CN33" i="9"/>
  <c r="M143" i="9" s="1"/>
  <c r="CC33" i="9"/>
  <c r="H80" i="21"/>
  <c r="BB36" i="10"/>
  <c r="AY54" i="15"/>
  <c r="K53" i="13"/>
  <c r="N53" i="13" s="1"/>
  <c r="D111" i="10"/>
  <c r="AE80" i="4" s="1"/>
  <c r="J14" i="4"/>
  <c r="BM36" i="10"/>
  <c r="L85" i="11"/>
  <c r="D153" i="11" s="1"/>
  <c r="AI123" i="4" s="1"/>
  <c r="DF42" i="7"/>
  <c r="DC47" i="7" s="1"/>
  <c r="V88" i="7" s="1"/>
  <c r="CC27" i="7"/>
  <c r="CN27" i="7"/>
  <c r="M137" i="7" s="1"/>
  <c r="R29" i="20"/>
  <c r="R30" i="20"/>
  <c r="R11" i="20"/>
  <c r="R22" i="20"/>
  <c r="R13" i="20"/>
  <c r="R12" i="20"/>
  <c r="R36" i="20"/>
  <c r="R28" i="20"/>
  <c r="CI42" i="7"/>
  <c r="D42" i="7" s="1"/>
  <c r="C118" i="6"/>
  <c r="BU90" i="4"/>
  <c r="N491" i="3"/>
  <c r="E47" i="4"/>
  <c r="S72" i="21"/>
  <c r="W72" i="21" s="1"/>
  <c r="S73" i="21"/>
  <c r="S74" i="21" s="1"/>
  <c r="S75" i="21" s="1"/>
  <c r="W75" i="21" s="1"/>
  <c r="R21" i="20"/>
  <c r="BA21" i="20" s="1"/>
  <c r="BG33" i="19"/>
  <c r="BG34" i="19" s="1"/>
  <c r="O41" i="4"/>
  <c r="O42" i="4" s="1"/>
  <c r="N74" i="17"/>
  <c r="DE36" i="14"/>
  <c r="DE37" i="14" s="1"/>
  <c r="T55" i="15"/>
  <c r="K72" i="15"/>
  <c r="CI42" i="18"/>
  <c r="D42" i="18" s="1"/>
  <c r="BC36" i="13"/>
  <c r="BK36" i="16"/>
  <c r="BK37" i="16" s="1"/>
  <c r="CN24" i="9"/>
  <c r="M134" i="9" s="1"/>
  <c r="CC24" i="9"/>
  <c r="CC17" i="9"/>
  <c r="BN36" i="10"/>
  <c r="CL23" i="9"/>
  <c r="U23" i="9"/>
  <c r="CT23" i="9" s="1"/>
  <c r="CL32" i="8"/>
  <c r="U32" i="8"/>
  <c r="CT32" i="8" s="1"/>
  <c r="CN28" i="9"/>
  <c r="M138" i="9" s="1"/>
  <c r="CC28" i="9"/>
  <c r="CL26" i="8"/>
  <c r="U26" i="8"/>
  <c r="CT26" i="8" s="1"/>
  <c r="CN39" i="7"/>
  <c r="M149" i="7" s="1"/>
  <c r="CC39" i="7"/>
  <c r="BO21" i="5"/>
  <c r="AN21" i="5"/>
  <c r="BN14" i="5"/>
  <c r="AN14" i="5"/>
  <c r="W14" i="5" s="1"/>
  <c r="I67" i="3" s="1"/>
  <c r="CO13" i="7"/>
  <c r="I123" i="7" s="1"/>
  <c r="P13" i="7"/>
  <c r="K118" i="4"/>
  <c r="CK30" i="5"/>
  <c r="C77" i="20"/>
  <c r="C70" i="22"/>
  <c r="A94" i="3"/>
  <c r="CD42" i="7"/>
  <c r="DA10" i="7"/>
  <c r="CK31" i="5"/>
  <c r="A96" i="3"/>
  <c r="C83" i="20"/>
  <c r="C76" i="22"/>
  <c r="BF33" i="19"/>
  <c r="D99" i="19"/>
  <c r="BO76" i="4" s="1"/>
  <c r="H41" i="4"/>
  <c r="H42" i="4" s="1"/>
  <c r="BT36" i="11"/>
  <c r="D201" i="17"/>
  <c r="BW51" i="17"/>
  <c r="BW52" i="17" s="1"/>
  <c r="N44" i="19"/>
  <c r="S75" i="19"/>
  <c r="W75" i="19" s="1"/>
  <c r="Z41" i="4"/>
  <c r="W65" i="10"/>
  <c r="BP37" i="12"/>
  <c r="CC18" i="9"/>
  <c r="CN18" i="9"/>
  <c r="M128" i="9" s="1"/>
  <c r="U16" i="18"/>
  <c r="CL16" i="18"/>
  <c r="CN20" i="18"/>
  <c r="M129" i="18" s="1"/>
  <c r="CC20" i="18"/>
  <c r="BP37" i="13"/>
  <c r="BP38" i="13" s="1"/>
  <c r="BM42" i="18"/>
  <c r="L70" i="18"/>
  <c r="BN10" i="18"/>
  <c r="D78" i="16"/>
  <c r="N78" i="16" s="1"/>
  <c r="D146" i="16" s="1"/>
  <c r="BK121" i="4" s="1"/>
  <c r="D76" i="16"/>
  <c r="N76" i="16" s="1"/>
  <c r="N70" i="16"/>
  <c r="D79" i="16"/>
  <c r="N79" i="16" s="1"/>
  <c r="D147" i="16" s="1"/>
  <c r="BK122" i="4" s="1"/>
  <c r="D72" i="16"/>
  <c r="N72" i="16" s="1"/>
  <c r="CN40" i="8"/>
  <c r="M150" i="8" s="1"/>
  <c r="CC40" i="8"/>
  <c r="E148" i="8"/>
  <c r="S102" i="4" s="1"/>
  <c r="BM14" i="11"/>
  <c r="BH14" i="11"/>
  <c r="AN11" i="5"/>
  <c r="BN11" i="5"/>
  <c r="CF39" i="5"/>
  <c r="BN17" i="5"/>
  <c r="AN17" i="5"/>
  <c r="BO19" i="5"/>
  <c r="AN19" i="5"/>
  <c r="CL38" i="7"/>
  <c r="U38" i="7"/>
  <c r="CT38" i="7" s="1"/>
  <c r="CO11" i="7"/>
  <c r="I121" i="7" s="1"/>
  <c r="P11" i="7"/>
  <c r="W62" i="19"/>
  <c r="CN12" i="9"/>
  <c r="M122" i="9" s="1"/>
  <c r="C91" i="22"/>
  <c r="C98" i="20"/>
  <c r="CE42" i="7"/>
  <c r="CK28" i="5"/>
  <c r="C66" i="22"/>
  <c r="C73" i="20"/>
  <c r="A97" i="3"/>
  <c r="W73" i="21" l="1"/>
  <c r="BE33" i="19"/>
  <c r="BE10" i="19"/>
  <c r="BE32" i="19" s="1"/>
  <c r="BF34" i="19"/>
  <c r="BK12" i="17"/>
  <c r="CR25" i="17"/>
  <c r="BK36" i="17"/>
  <c r="BK10" i="17"/>
  <c r="CR10" i="17"/>
  <c r="CR16" i="17"/>
  <c r="K78" i="17"/>
  <c r="CR28" i="17"/>
  <c r="T50" i="17"/>
  <c r="H96" i="17"/>
  <c r="N96" i="17" s="1"/>
  <c r="BS51" i="17" s="1"/>
  <c r="BS52" i="17" s="1"/>
  <c r="BK38" i="17"/>
  <c r="CR24" i="17"/>
  <c r="BR50" i="17"/>
  <c r="BR52" i="17" s="1"/>
  <c r="O28" i="4"/>
  <c r="O29" i="4" s="1"/>
  <c r="BX10" i="17"/>
  <c r="BX50" i="17" s="1"/>
  <c r="U50" i="17"/>
  <c r="K72" i="17" s="1"/>
  <c r="BA10" i="17"/>
  <c r="N28" i="4"/>
  <c r="N29" i="4" s="1"/>
  <c r="D162" i="17"/>
  <c r="BC83" i="4" s="1"/>
  <c r="D162" i="15"/>
  <c r="AY117" i="4" s="1"/>
  <c r="BL33" i="15"/>
  <c r="BL43" i="15"/>
  <c r="O26" i="4"/>
  <c r="BJ36" i="11"/>
  <c r="X21" i="20"/>
  <c r="W21" i="20" s="1"/>
  <c r="X20" i="20"/>
  <c r="W20" i="20" s="1"/>
  <c r="BV23" i="12"/>
  <c r="BV18" i="12"/>
  <c r="BV32" i="12"/>
  <c r="BV11" i="12"/>
  <c r="BV14" i="12"/>
  <c r="BV21" i="12"/>
  <c r="BV26" i="12"/>
  <c r="BV16" i="12"/>
  <c r="BV17" i="12"/>
  <c r="W11" i="5"/>
  <c r="I64" i="3" s="1"/>
  <c r="BV27" i="12"/>
  <c r="BF10" i="16"/>
  <c r="BF35" i="16" s="1"/>
  <c r="BF11" i="16"/>
  <c r="BF12" i="16"/>
  <c r="D144" i="16"/>
  <c r="BK119" i="4" s="1"/>
  <c r="BH12" i="16"/>
  <c r="BH11" i="16"/>
  <c r="BH10" i="16"/>
  <c r="BH35" i="16" s="1"/>
  <c r="BG12" i="16"/>
  <c r="BG10" i="16"/>
  <c r="BI11" i="16"/>
  <c r="BI10" i="16"/>
  <c r="BI35" i="16" s="1"/>
  <c r="AM16" i="2"/>
  <c r="AM20" i="2" s="1"/>
  <c r="AL63" i="4"/>
  <c r="P40" i="4"/>
  <c r="G40" i="4"/>
  <c r="AL16" i="2"/>
  <c r="AL20" i="2" s="1"/>
  <c r="BI36" i="16"/>
  <c r="BI37" i="16" s="1"/>
  <c r="AJ16" i="2"/>
  <c r="AJ20" i="2" s="1"/>
  <c r="V92" i="16"/>
  <c r="BG36" i="16" s="1"/>
  <c r="K46" i="16"/>
  <c r="N41" i="4"/>
  <c r="N42" i="4" s="1"/>
  <c r="D106" i="19"/>
  <c r="BO83" i="4" s="1"/>
  <c r="D129" i="15"/>
  <c r="AY83" i="4" s="1"/>
  <c r="N26" i="4"/>
  <c r="R44" i="7"/>
  <c r="E147" i="7"/>
  <c r="W101" i="4" s="1"/>
  <c r="D102" i="19"/>
  <c r="BO79" i="4" s="1"/>
  <c r="L41" i="4"/>
  <c r="L42" i="4" s="1"/>
  <c r="Q29" i="20"/>
  <c r="BA29" i="20"/>
  <c r="CO10" i="18"/>
  <c r="BN42" i="18"/>
  <c r="BA13" i="20"/>
  <c r="X13" i="20"/>
  <c r="W13" i="20" s="1"/>
  <c r="BS28" i="14"/>
  <c r="BQ23" i="14"/>
  <c r="BS11" i="14"/>
  <c r="H67" i="14"/>
  <c r="BS24" i="14"/>
  <c r="BQ19" i="14"/>
  <c r="BS29" i="14"/>
  <c r="BQ24" i="14"/>
  <c r="BQ30" i="14"/>
  <c r="BS26" i="14"/>
  <c r="BS22" i="14"/>
  <c r="BS20" i="14"/>
  <c r="BQ28" i="14"/>
  <c r="BQ26" i="14"/>
  <c r="BQ22" i="14"/>
  <c r="BQ20" i="14"/>
  <c r="BS18" i="14"/>
  <c r="BS14" i="14"/>
  <c r="BQ18" i="14"/>
  <c r="BQ14" i="14"/>
  <c r="BS12" i="14"/>
  <c r="BQ12" i="14"/>
  <c r="BS10" i="14"/>
  <c r="BS35" i="14"/>
  <c r="BQ33" i="14"/>
  <c r="BQ35" i="14"/>
  <c r="BS31" i="14"/>
  <c r="BS17" i="14"/>
  <c r="BS27" i="14"/>
  <c r="BS21" i="14"/>
  <c r="BQ15" i="14"/>
  <c r="BQ25" i="14"/>
  <c r="BQ11" i="14"/>
  <c r="BS34" i="14"/>
  <c r="BS19" i="14"/>
  <c r="BQ34" i="14"/>
  <c r="BQ31" i="14"/>
  <c r="BS25" i="14"/>
  <c r="BV25" i="14" s="1"/>
  <c r="BS16" i="14"/>
  <c r="BQ16" i="14"/>
  <c r="I40" i="14"/>
  <c r="I99" i="14" s="1"/>
  <c r="BS13" i="14"/>
  <c r="BQ13" i="14"/>
  <c r="BQ21" i="14"/>
  <c r="B40" i="14"/>
  <c r="B99" i="14" s="1"/>
  <c r="BQ27" i="14"/>
  <c r="BS23" i="14"/>
  <c r="BV23" i="14" s="1"/>
  <c r="BQ10" i="14"/>
  <c r="BS33" i="14"/>
  <c r="BS30" i="14"/>
  <c r="BS15" i="14"/>
  <c r="BQ29" i="14"/>
  <c r="BQ32" i="14"/>
  <c r="BQ17" i="14"/>
  <c r="BS32" i="14"/>
  <c r="BM13" i="11"/>
  <c r="BH13" i="11"/>
  <c r="C55" i="20"/>
  <c r="C51" i="22"/>
  <c r="R62" i="15"/>
  <c r="V62" i="15" s="1"/>
  <c r="W62" i="15" s="1"/>
  <c r="BH55" i="15"/>
  <c r="BH56" i="15" s="1"/>
  <c r="D153" i="15"/>
  <c r="S37" i="20"/>
  <c r="X37" i="20" s="1"/>
  <c r="W37" i="20" s="1"/>
  <c r="CN15" i="7"/>
  <c r="CC15" i="7"/>
  <c r="V100" i="18"/>
  <c r="Z100" i="18" s="1"/>
  <c r="P62" i="18"/>
  <c r="O70" i="18"/>
  <c r="BA22" i="20"/>
  <c r="X22" i="20"/>
  <c r="W22" i="20" s="1"/>
  <c r="E81" i="20"/>
  <c r="BW108" i="4" s="1"/>
  <c r="E86" i="20"/>
  <c r="BW113" i="4" s="1"/>
  <c r="E85" i="20"/>
  <c r="BW112" i="4" s="1"/>
  <c r="E84" i="20"/>
  <c r="BW111" i="4" s="1"/>
  <c r="E83" i="20"/>
  <c r="BW110" i="4" s="1"/>
  <c r="E82" i="20"/>
  <c r="BW109" i="4" s="1"/>
  <c r="E88" i="20"/>
  <c r="BW115" i="4" s="1"/>
  <c r="G115" i="4" s="1"/>
  <c r="AR115" i="4" s="1"/>
  <c r="E87" i="20"/>
  <c r="BW114" i="4" s="1"/>
  <c r="BW107" i="4"/>
  <c r="CN11" i="7"/>
  <c r="CC11" i="7"/>
  <c r="BH11" i="11"/>
  <c r="BH36" i="11" s="1"/>
  <c r="K59" i="11" s="1"/>
  <c r="N59" i="11" s="1"/>
  <c r="BM11" i="11"/>
  <c r="BF36" i="11"/>
  <c r="CN42" i="9"/>
  <c r="M120" i="9"/>
  <c r="M117" i="9" s="1"/>
  <c r="N52" i="19"/>
  <c r="BQ32" i="10"/>
  <c r="I40" i="10"/>
  <c r="I99" i="10" s="1"/>
  <c r="BS10" i="10"/>
  <c r="BS20" i="10"/>
  <c r="BQ15" i="10"/>
  <c r="BS25" i="10"/>
  <c r="BQ20" i="10"/>
  <c r="BS23" i="10"/>
  <c r="BQ18" i="10"/>
  <c r="H67" i="10"/>
  <c r="BS11" i="10"/>
  <c r="BV11" i="10" s="1"/>
  <c r="BS18" i="10"/>
  <c r="BS30" i="10"/>
  <c r="BQ30" i="10"/>
  <c r="BS28" i="10"/>
  <c r="BQ28" i="10"/>
  <c r="BS26" i="10"/>
  <c r="BQ26" i="10"/>
  <c r="BS24" i="10"/>
  <c r="BQ24" i="10"/>
  <c r="B40" i="10"/>
  <c r="B99" i="10" s="1"/>
  <c r="BS34" i="10"/>
  <c r="BS22" i="10"/>
  <c r="BQ34" i="10"/>
  <c r="BS32" i="10"/>
  <c r="BQ22" i="10"/>
  <c r="BS13" i="10"/>
  <c r="BQ13" i="10"/>
  <c r="BQ12" i="10"/>
  <c r="BS21" i="10"/>
  <c r="BQ21" i="10"/>
  <c r="BQ11" i="10"/>
  <c r="BS27" i="10"/>
  <c r="BS17" i="10"/>
  <c r="BQ27" i="10"/>
  <c r="BQ17" i="10"/>
  <c r="BS33" i="10"/>
  <c r="BS14" i="10"/>
  <c r="BQ33" i="10"/>
  <c r="BQ14" i="10"/>
  <c r="BQ25" i="10"/>
  <c r="BS29" i="10"/>
  <c r="BS16" i="10"/>
  <c r="BQ29" i="10"/>
  <c r="BQ16" i="10"/>
  <c r="BS12" i="10"/>
  <c r="BS35" i="10"/>
  <c r="BQ35" i="10"/>
  <c r="BQ23" i="10"/>
  <c r="BQ10" i="10"/>
  <c r="BS19" i="10"/>
  <c r="BQ19" i="10"/>
  <c r="BS31" i="10"/>
  <c r="BQ31" i="10"/>
  <c r="BS15" i="10"/>
  <c r="BV15" i="10" s="1"/>
  <c r="O70" i="7"/>
  <c r="P62" i="7"/>
  <c r="V100" i="7"/>
  <c r="Z100" i="7" s="1"/>
  <c r="D160" i="17"/>
  <c r="BC81" i="4" s="1"/>
  <c r="BJ51" i="17"/>
  <c r="M28" i="4"/>
  <c r="M29" i="4" s="1"/>
  <c r="K120" i="7"/>
  <c r="K117" i="7" s="1"/>
  <c r="DA42" i="7"/>
  <c r="X11" i="20"/>
  <c r="W11" i="20" s="1"/>
  <c r="BA11" i="20"/>
  <c r="BA46" i="21"/>
  <c r="BA14" i="21"/>
  <c r="BA27" i="21"/>
  <c r="BA21" i="21"/>
  <c r="BA34" i="21"/>
  <c r="BA38" i="21"/>
  <c r="BA20" i="21"/>
  <c r="BA44" i="21"/>
  <c r="BA26" i="21"/>
  <c r="BA35" i="21"/>
  <c r="BA17" i="21"/>
  <c r="BA49" i="21"/>
  <c r="BA40" i="21"/>
  <c r="BA31" i="21"/>
  <c r="BA13" i="21"/>
  <c r="BA22" i="21"/>
  <c r="BA45" i="21"/>
  <c r="BA36" i="21"/>
  <c r="BA18" i="21"/>
  <c r="BA50" i="21"/>
  <c r="BA19" i="21"/>
  <c r="BA37" i="21"/>
  <c r="BA16" i="21"/>
  <c r="BA25" i="21"/>
  <c r="BA28" i="21"/>
  <c r="BA47" i="21"/>
  <c r="BA41" i="21"/>
  <c r="BA10" i="21"/>
  <c r="BA54" i="21"/>
  <c r="BA24" i="21"/>
  <c r="BA43" i="21"/>
  <c r="BA48" i="21"/>
  <c r="BA32" i="21"/>
  <c r="BA29" i="21"/>
  <c r="BA33" i="21"/>
  <c r="BA11" i="21"/>
  <c r="BA51" i="21"/>
  <c r="BA39" i="21"/>
  <c r="BA30" i="21"/>
  <c r="BA12" i="21"/>
  <c r="BA42" i="21"/>
  <c r="BA15" i="21"/>
  <c r="BA23" i="21"/>
  <c r="BM29" i="5"/>
  <c r="U16" i="7"/>
  <c r="CT16" i="7" s="1"/>
  <c r="CL16" i="7"/>
  <c r="V97" i="9"/>
  <c r="Z97" i="9" s="1"/>
  <c r="E130" i="9" s="1"/>
  <c r="AA84" i="4" s="1"/>
  <c r="E106" i="9"/>
  <c r="O106" i="9" s="1"/>
  <c r="E144" i="9" s="1"/>
  <c r="AA98" i="4" s="1"/>
  <c r="O65" i="9"/>
  <c r="Z19" i="4"/>
  <c r="C44" i="22"/>
  <c r="C48" i="20"/>
  <c r="V73" i="18"/>
  <c r="Z73" i="18" s="1"/>
  <c r="O83" i="18"/>
  <c r="AW37" i="20"/>
  <c r="BV22" i="12"/>
  <c r="S94" i="21"/>
  <c r="W94" i="21" s="1"/>
  <c r="H84" i="21"/>
  <c r="N84" i="21" s="1"/>
  <c r="R58" i="21"/>
  <c r="N69" i="21"/>
  <c r="I67" i="6"/>
  <c r="O67" i="6" s="1"/>
  <c r="E141" i="6" s="1"/>
  <c r="O114" i="4" s="1"/>
  <c r="T80" i="6"/>
  <c r="X80" i="6" s="1"/>
  <c r="P44" i="6"/>
  <c r="O52" i="6"/>
  <c r="BX51" i="17"/>
  <c r="D176" i="17"/>
  <c r="BC98" i="4" s="1"/>
  <c r="O72" i="7"/>
  <c r="L72" i="7"/>
  <c r="Q30" i="20"/>
  <c r="BA30" i="20"/>
  <c r="O49" i="5"/>
  <c r="K119" i="18"/>
  <c r="K116" i="18" s="1"/>
  <c r="E125" i="18" s="1"/>
  <c r="BG80" i="4" s="1"/>
  <c r="CZ42" i="18"/>
  <c r="CC42" i="9"/>
  <c r="D123" i="16"/>
  <c r="BK98" i="4" s="1"/>
  <c r="O39" i="4"/>
  <c r="O40" i="4" s="1"/>
  <c r="BV34" i="12"/>
  <c r="BN42" i="9"/>
  <c r="BV28" i="12"/>
  <c r="O66" i="6"/>
  <c r="E140" i="6" s="1"/>
  <c r="O113" i="4" s="1"/>
  <c r="T85" i="6"/>
  <c r="X85" i="6" s="1"/>
  <c r="T56" i="6"/>
  <c r="X56" i="6" s="1"/>
  <c r="T50" i="6"/>
  <c r="T57" i="6"/>
  <c r="O65" i="6"/>
  <c r="E139" i="6" s="1"/>
  <c r="O112" i="4" s="1"/>
  <c r="E86" i="6"/>
  <c r="O86" i="6" s="1"/>
  <c r="E131" i="6" s="1"/>
  <c r="O104" i="4" s="1"/>
  <c r="G104" i="4" s="1"/>
  <c r="AR104" i="4" s="1"/>
  <c r="O64" i="6"/>
  <c r="E137" i="6" s="1"/>
  <c r="O110" i="4" s="1"/>
  <c r="S44" i="6"/>
  <c r="T71" i="6"/>
  <c r="E71" i="6"/>
  <c r="E131" i="3"/>
  <c r="T78" i="6"/>
  <c r="X78" i="6" s="1"/>
  <c r="T54" i="6"/>
  <c r="X54" i="6" s="1"/>
  <c r="O63" i="6"/>
  <c r="C12" i="4"/>
  <c r="U22" i="7"/>
  <c r="CT22" i="7" s="1"/>
  <c r="CL22" i="7"/>
  <c r="CC19" i="7"/>
  <c r="CN19" i="7"/>
  <c r="V95" i="8"/>
  <c r="Z95" i="8" s="1"/>
  <c r="Z88" i="8"/>
  <c r="BC25" i="11"/>
  <c r="BK25" i="11"/>
  <c r="L64" i="9"/>
  <c r="BS36" i="12"/>
  <c r="BV10" i="12"/>
  <c r="BM27" i="11"/>
  <c r="BH27" i="11"/>
  <c r="C74" i="20"/>
  <c r="C67" i="22"/>
  <c r="O72" i="9"/>
  <c r="L72" i="9"/>
  <c r="C79" i="22"/>
  <c r="C86" i="20"/>
  <c r="BQ36" i="12"/>
  <c r="BR36" i="12" s="1"/>
  <c r="BH18" i="11"/>
  <c r="BM18" i="11"/>
  <c r="CN12" i="7"/>
  <c r="CC12" i="7"/>
  <c r="BV24" i="12"/>
  <c r="E157" i="8"/>
  <c r="S111" i="4" s="1"/>
  <c r="CR43" i="8"/>
  <c r="CR44" i="8" s="1"/>
  <c r="O72" i="18"/>
  <c r="L72" i="18"/>
  <c r="V73" i="9"/>
  <c r="Z73" i="9" s="1"/>
  <c r="O83" i="9"/>
  <c r="V66" i="9"/>
  <c r="Z66" i="9" s="1"/>
  <c r="C80" i="22"/>
  <c r="C87" i="20"/>
  <c r="U19" i="7"/>
  <c r="CT19" i="7" s="1"/>
  <c r="CL19" i="7"/>
  <c r="AN17" i="20"/>
  <c r="CM45" i="9"/>
  <c r="V100" i="8"/>
  <c r="Z100" i="8" s="1"/>
  <c r="P62" i="8"/>
  <c r="O70" i="8"/>
  <c r="S78" i="15"/>
  <c r="W78" i="15" s="1"/>
  <c r="W77" i="15"/>
  <c r="CL23" i="7"/>
  <c r="U23" i="7"/>
  <c r="CT23" i="7" s="1"/>
  <c r="BV12" i="12"/>
  <c r="M128" i="7"/>
  <c r="CO24" i="7"/>
  <c r="I134" i="7" s="1"/>
  <c r="P24" i="7"/>
  <c r="BK13" i="11"/>
  <c r="BC13" i="11"/>
  <c r="CN13" i="7"/>
  <c r="CC13" i="7"/>
  <c r="BM25" i="11"/>
  <c r="BH25" i="11"/>
  <c r="BS25" i="13"/>
  <c r="BQ20" i="13"/>
  <c r="BS18" i="13"/>
  <c r="BQ13" i="13"/>
  <c r="BS23" i="13"/>
  <c r="BQ18" i="13"/>
  <c r="H67" i="13"/>
  <c r="BS28" i="13"/>
  <c r="BQ23" i="13"/>
  <c r="BS33" i="13"/>
  <c r="BQ28" i="13"/>
  <c r="BS19" i="13"/>
  <c r="BQ14" i="13"/>
  <c r="BS34" i="13"/>
  <c r="BQ32" i="13"/>
  <c r="BQ30" i="13"/>
  <c r="BQ34" i="13"/>
  <c r="BS17" i="13"/>
  <c r="I40" i="13"/>
  <c r="I99" i="13" s="1"/>
  <c r="BS21" i="13"/>
  <c r="BQ21" i="13"/>
  <c r="BQ19" i="13"/>
  <c r="B40" i="13"/>
  <c r="B99" i="13" s="1"/>
  <c r="BQ25" i="13"/>
  <c r="BS22" i="13"/>
  <c r="BV22" i="13" s="1"/>
  <c r="BS10" i="13"/>
  <c r="BQ10" i="13"/>
  <c r="BS13" i="13"/>
  <c r="BS24" i="13"/>
  <c r="BS15" i="13"/>
  <c r="BS26" i="13"/>
  <c r="BQ26" i="13"/>
  <c r="BS29" i="13"/>
  <c r="BQ29" i="13"/>
  <c r="BS12" i="13"/>
  <c r="BQ12" i="13"/>
  <c r="BQ15" i="13"/>
  <c r="BS32" i="13"/>
  <c r="BQ22" i="13"/>
  <c r="BS35" i="13"/>
  <c r="BQ35" i="13"/>
  <c r="BS11" i="13"/>
  <c r="BQ24" i="13"/>
  <c r="BQ11" i="13"/>
  <c r="BS20" i="13"/>
  <c r="BS31" i="13"/>
  <c r="BQ31" i="13"/>
  <c r="BQ33" i="13"/>
  <c r="BS14" i="13"/>
  <c r="BQ17" i="13"/>
  <c r="BS27" i="13"/>
  <c r="BQ27" i="13"/>
  <c r="BS16" i="13"/>
  <c r="BQ16" i="13"/>
  <c r="BS30" i="13"/>
  <c r="BV30" i="13" s="1"/>
  <c r="O46" i="13"/>
  <c r="S85" i="13"/>
  <c r="W85" i="13" s="1"/>
  <c r="I71" i="13"/>
  <c r="N71" i="13" s="1"/>
  <c r="N56" i="13"/>
  <c r="E63" i="20"/>
  <c r="BW89" i="4" s="1"/>
  <c r="R47" i="4"/>
  <c r="CM45" i="8"/>
  <c r="W17" i="5"/>
  <c r="I70" i="3" s="1"/>
  <c r="BC20" i="11"/>
  <c r="BK20" i="11"/>
  <c r="D153" i="13"/>
  <c r="AQ123" i="4" s="1"/>
  <c r="D147" i="14"/>
  <c r="AU117" i="4" s="1"/>
  <c r="AU118" i="4"/>
  <c r="CN42" i="8"/>
  <c r="M120" i="8"/>
  <c r="M117" i="8" s="1"/>
  <c r="BV20" i="12"/>
  <c r="F162" i="21"/>
  <c r="BS122" i="4" s="1"/>
  <c r="W153" i="21"/>
  <c r="Q42" i="8"/>
  <c r="DD44" i="7"/>
  <c r="CW37" i="9"/>
  <c r="CV37" i="9"/>
  <c r="CY40" i="9"/>
  <c r="CX35" i="9"/>
  <c r="CX40" i="9"/>
  <c r="CW35" i="9"/>
  <c r="CW40" i="9"/>
  <c r="CV35" i="9"/>
  <c r="CV40" i="9"/>
  <c r="CY38" i="9"/>
  <c r="CW33" i="9"/>
  <c r="CW31" i="9"/>
  <c r="CV26" i="9"/>
  <c r="CX38" i="9"/>
  <c r="CV33" i="9"/>
  <c r="CV31" i="9"/>
  <c r="CY14" i="9"/>
  <c r="CW38" i="9"/>
  <c r="CY19" i="9"/>
  <c r="CX14" i="9"/>
  <c r="CV38" i="9"/>
  <c r="CY24" i="9"/>
  <c r="CX19" i="9"/>
  <c r="CW14" i="9"/>
  <c r="CY29" i="9"/>
  <c r="CX24" i="9"/>
  <c r="CW19" i="9"/>
  <c r="CV14" i="9"/>
  <c r="CY37" i="9"/>
  <c r="CX29" i="9"/>
  <c r="CW24" i="9"/>
  <c r="CV19" i="9"/>
  <c r="CX37" i="9"/>
  <c r="CW29" i="9"/>
  <c r="CV24" i="9"/>
  <c r="CV29" i="9"/>
  <c r="CY12" i="9"/>
  <c r="CY17" i="9"/>
  <c r="CX12" i="9"/>
  <c r="CY22" i="9"/>
  <c r="CX17" i="9"/>
  <c r="CW12" i="9"/>
  <c r="CY27" i="9"/>
  <c r="CX22" i="9"/>
  <c r="CW17" i="9"/>
  <c r="CV12" i="9"/>
  <c r="CY36" i="9"/>
  <c r="CX27" i="9"/>
  <c r="CW22" i="9"/>
  <c r="CV17" i="9"/>
  <c r="CX36" i="9"/>
  <c r="CY32" i="9"/>
  <c r="CW27" i="9"/>
  <c r="CV22" i="9"/>
  <c r="I79" i="9"/>
  <c r="CV36" i="9"/>
  <c r="CW32" i="9"/>
  <c r="CY41" i="9"/>
  <c r="CY25" i="9"/>
  <c r="CY18" i="9"/>
  <c r="CV11" i="9"/>
  <c r="CX18" i="9"/>
  <c r="CW18" i="9"/>
  <c r="CX32" i="9"/>
  <c r="CV18" i="9"/>
  <c r="CY10" i="9"/>
  <c r="CV32" i="9"/>
  <c r="CY31" i="9"/>
  <c r="CX10" i="9"/>
  <c r="CX31" i="9"/>
  <c r="CY30" i="9"/>
  <c r="CW10" i="9"/>
  <c r="CY39" i="9"/>
  <c r="CY33" i="9"/>
  <c r="CX30" i="9"/>
  <c r="CV10" i="9"/>
  <c r="CX41" i="9"/>
  <c r="CX39" i="9"/>
  <c r="CX33" i="9"/>
  <c r="CW30" i="9"/>
  <c r="CY28" i="9"/>
  <c r="CW41" i="9"/>
  <c r="CW39" i="9"/>
  <c r="CV30" i="9"/>
  <c r="CX28" i="9"/>
  <c r="CY16" i="9"/>
  <c r="CV41" i="9"/>
  <c r="CV39" i="9"/>
  <c r="CW28" i="9"/>
  <c r="CV27" i="9"/>
  <c r="CY26" i="9"/>
  <c r="CX16" i="9"/>
  <c r="CV28" i="9"/>
  <c r="CX26" i="9"/>
  <c r="CX25" i="9"/>
  <c r="CW16" i="9"/>
  <c r="CY35" i="9"/>
  <c r="CW26" i="9"/>
  <c r="CW25" i="9"/>
  <c r="CV16" i="9"/>
  <c r="V98" i="9"/>
  <c r="Z98" i="9" s="1"/>
  <c r="CY34" i="9"/>
  <c r="CV25" i="9"/>
  <c r="CY23" i="9"/>
  <c r="CY15" i="9"/>
  <c r="CX34" i="9"/>
  <c r="CX23" i="9"/>
  <c r="CX15" i="9"/>
  <c r="CW34" i="9"/>
  <c r="CW23" i="9"/>
  <c r="CW15" i="9"/>
  <c r="CW36" i="9"/>
  <c r="CY20" i="9"/>
  <c r="CX20" i="9"/>
  <c r="CW20" i="9"/>
  <c r="CY11" i="9"/>
  <c r="CV20" i="9"/>
  <c r="CX11" i="9"/>
  <c r="CW11" i="9"/>
  <c r="CY13" i="9"/>
  <c r="CV34" i="9"/>
  <c r="CX13" i="9"/>
  <c r="CW13" i="9"/>
  <c r="J45" i="9"/>
  <c r="J114" i="9" s="1"/>
  <c r="CV13" i="9"/>
  <c r="CV15" i="9"/>
  <c r="CY21" i="9"/>
  <c r="CX21" i="9"/>
  <c r="CW21" i="9"/>
  <c r="CV23" i="9"/>
  <c r="CV21" i="9"/>
  <c r="O72" i="8"/>
  <c r="L72" i="8"/>
  <c r="CR43" i="7"/>
  <c r="E157" i="7"/>
  <c r="W111" i="4" s="1"/>
  <c r="D127" i="16"/>
  <c r="BK102" i="4" s="1"/>
  <c r="N51" i="13"/>
  <c r="S82" i="13"/>
  <c r="W82" i="13" s="1"/>
  <c r="Z24" i="4"/>
  <c r="P62" i="9"/>
  <c r="V100" i="9"/>
  <c r="Z100" i="9" s="1"/>
  <c r="O70" i="9"/>
  <c r="BC123" i="4"/>
  <c r="D195" i="17"/>
  <c r="BC117" i="4" s="1"/>
  <c r="D127" i="15"/>
  <c r="AY81" i="4" s="1"/>
  <c r="BF55" i="15"/>
  <c r="BF56" i="15" s="1"/>
  <c r="M26" i="4"/>
  <c r="DB44" i="9"/>
  <c r="BK50" i="17"/>
  <c r="H66" i="11"/>
  <c r="N66" i="11" s="1"/>
  <c r="D90" i="11"/>
  <c r="N90" i="11" s="1"/>
  <c r="BV30" i="12"/>
  <c r="BM25" i="5"/>
  <c r="CX41" i="18"/>
  <c r="I79" i="18"/>
  <c r="CU28" i="18"/>
  <c r="CW26" i="18"/>
  <c r="CV11" i="18"/>
  <c r="CU26" i="18"/>
  <c r="CW24" i="18"/>
  <c r="CV24" i="18"/>
  <c r="CX22" i="18"/>
  <c r="CX37" i="18"/>
  <c r="CU24" i="18"/>
  <c r="CW22" i="18"/>
  <c r="J45" i="18"/>
  <c r="J113" i="18" s="1"/>
  <c r="CW37" i="18"/>
  <c r="CV37" i="18"/>
  <c r="CX35" i="18"/>
  <c r="CU22" i="18"/>
  <c r="CW20" i="18"/>
  <c r="CU37" i="18"/>
  <c r="CW35" i="18"/>
  <c r="CV20" i="18"/>
  <c r="CX18" i="18"/>
  <c r="CX32" i="18"/>
  <c r="CW29" i="18"/>
  <c r="CV26" i="18"/>
  <c r="CU23" i="18"/>
  <c r="CW32" i="18"/>
  <c r="CV29" i="18"/>
  <c r="CV32" i="18"/>
  <c r="CU29" i="18"/>
  <c r="CW19" i="18"/>
  <c r="V98" i="18"/>
  <c r="Z98" i="18" s="1"/>
  <c r="CU32" i="18"/>
  <c r="CV19" i="18"/>
  <c r="CU19" i="18"/>
  <c r="CV35" i="18"/>
  <c r="CU35" i="18"/>
  <c r="CV38" i="18"/>
  <c r="CX36" i="18"/>
  <c r="CV28" i="18"/>
  <c r="CX13" i="18"/>
  <c r="CU38" i="18"/>
  <c r="CW36" i="18"/>
  <c r="CX23" i="18"/>
  <c r="CW13" i="18"/>
  <c r="CV36" i="18"/>
  <c r="CW23" i="18"/>
  <c r="CV13" i="18"/>
  <c r="CU36" i="18"/>
  <c r="CV23" i="18"/>
  <c r="CU13" i="18"/>
  <c r="CX12" i="18"/>
  <c r="CX17" i="18"/>
  <c r="CX27" i="18"/>
  <c r="CV22" i="18"/>
  <c r="CW17" i="18"/>
  <c r="CV12" i="18"/>
  <c r="CW27" i="18"/>
  <c r="CX34" i="18"/>
  <c r="CV27" i="18"/>
  <c r="CU17" i="18"/>
  <c r="CU34" i="18"/>
  <c r="CV33" i="18"/>
  <c r="CX16" i="18"/>
  <c r="CW31" i="18"/>
  <c r="CW21" i="18"/>
  <c r="CW15" i="18"/>
  <c r="CX10" i="18"/>
  <c r="CU30" i="18"/>
  <c r="CX15" i="18"/>
  <c r="CV15" i="18"/>
  <c r="CU15" i="18"/>
  <c r="CX33" i="18"/>
  <c r="CW33" i="18"/>
  <c r="CU33" i="18"/>
  <c r="CW16" i="18"/>
  <c r="CV17" i="18"/>
  <c r="CV16" i="18"/>
  <c r="CW18" i="18"/>
  <c r="CU16" i="18"/>
  <c r="CW12" i="18"/>
  <c r="CW34" i="18"/>
  <c r="CV18" i="18"/>
  <c r="CX14" i="18"/>
  <c r="CU12" i="18"/>
  <c r="CV34" i="18"/>
  <c r="CU18" i="18"/>
  <c r="CW14" i="18"/>
  <c r="CX19" i="18"/>
  <c r="CV14" i="18"/>
  <c r="CX11" i="18"/>
  <c r="CV10" i="18"/>
  <c r="CU11" i="18"/>
  <c r="CV41" i="18"/>
  <c r="CX40" i="18"/>
  <c r="CV39" i="18"/>
  <c r="CU41" i="18"/>
  <c r="CW40" i="18"/>
  <c r="CU39" i="18"/>
  <c r="CV40" i="18"/>
  <c r="CU40" i="18"/>
  <c r="CX30" i="18"/>
  <c r="CW30" i="18"/>
  <c r="CX21" i="18"/>
  <c r="CV30" i="18"/>
  <c r="CV21" i="18"/>
  <c r="CU21" i="18"/>
  <c r="CX31" i="18"/>
  <c r="CV31" i="18"/>
  <c r="CU14" i="18"/>
  <c r="CU31" i="18"/>
  <c r="CX25" i="18"/>
  <c r="CW25" i="18"/>
  <c r="CV25" i="18"/>
  <c r="CU25" i="18"/>
  <c r="CX38" i="18"/>
  <c r="CW38" i="18"/>
  <c r="CX24" i="18"/>
  <c r="CW10" i="18"/>
  <c r="CU10" i="18"/>
  <c r="CW41" i="18"/>
  <c r="CX20" i="18"/>
  <c r="CU20" i="18"/>
  <c r="CX26" i="18"/>
  <c r="CX28" i="18"/>
  <c r="CU27" i="18"/>
  <c r="CW28" i="18"/>
  <c r="CX29" i="18"/>
  <c r="CX39" i="18"/>
  <c r="CW11" i="18"/>
  <c r="CW39" i="18"/>
  <c r="C30" i="4"/>
  <c r="V95" i="7"/>
  <c r="Z95" i="7" s="1"/>
  <c r="E130" i="7" s="1"/>
  <c r="W84" i="4" s="1"/>
  <c r="Z88" i="7"/>
  <c r="O65" i="8"/>
  <c r="V97" i="8"/>
  <c r="Z97" i="8" s="1"/>
  <c r="Z17" i="4"/>
  <c r="N82" i="21"/>
  <c r="S100" i="21"/>
  <c r="W100" i="21" s="1"/>
  <c r="N81" i="21"/>
  <c r="S89" i="21"/>
  <c r="W89" i="21" s="1"/>
  <c r="N80" i="21"/>
  <c r="N83" i="21"/>
  <c r="F153" i="21" s="1"/>
  <c r="BS113" i="4" s="1"/>
  <c r="AZ34" i="21"/>
  <c r="AZ16" i="21"/>
  <c r="S92" i="21"/>
  <c r="W92" i="21" s="1"/>
  <c r="AZ24" i="21"/>
  <c r="AZ32" i="21"/>
  <c r="AZ29" i="21"/>
  <c r="S101" i="21"/>
  <c r="W101" i="21" s="1"/>
  <c r="AZ38" i="21"/>
  <c r="AZ30" i="21"/>
  <c r="AZ11" i="21"/>
  <c r="AZ15" i="21"/>
  <c r="AZ42" i="21"/>
  <c r="AZ23" i="21"/>
  <c r="C32" i="4"/>
  <c r="AZ21" i="21"/>
  <c r="AZ46" i="21"/>
  <c r="AZ20" i="21"/>
  <c r="AZ44" i="21"/>
  <c r="AZ50" i="21"/>
  <c r="AZ25" i="21"/>
  <c r="AZ19" i="21"/>
  <c r="AZ45" i="21"/>
  <c r="AZ27" i="21"/>
  <c r="AZ39" i="21"/>
  <c r="AZ47" i="21"/>
  <c r="AZ35" i="21"/>
  <c r="AZ17" i="21"/>
  <c r="AZ48" i="21"/>
  <c r="AZ22" i="21"/>
  <c r="AZ14" i="21"/>
  <c r="AZ12" i="21"/>
  <c r="AZ28" i="21"/>
  <c r="AZ26" i="21"/>
  <c r="AZ31" i="21"/>
  <c r="AZ41" i="21"/>
  <c r="AZ36" i="21"/>
  <c r="AZ49" i="21"/>
  <c r="AZ37" i="21"/>
  <c r="AZ13" i="21"/>
  <c r="AZ51" i="21"/>
  <c r="AZ33" i="21"/>
  <c r="AZ40" i="21"/>
  <c r="AZ10" i="21"/>
  <c r="AZ43" i="21"/>
  <c r="AZ18" i="21"/>
  <c r="BM14" i="5"/>
  <c r="AO14" i="5"/>
  <c r="U14" i="5" s="1"/>
  <c r="G67" i="3" s="1"/>
  <c r="N11" i="4"/>
  <c r="K50" i="13"/>
  <c r="BC11" i="11"/>
  <c r="BC36" i="11" s="1"/>
  <c r="AV36" i="11"/>
  <c r="K55" i="11" s="1"/>
  <c r="N55" i="11" s="1"/>
  <c r="BK11" i="11"/>
  <c r="D104" i="16"/>
  <c r="BK78" i="4" s="1"/>
  <c r="AX36" i="16"/>
  <c r="AX37" i="16" s="1"/>
  <c r="K39" i="4"/>
  <c r="K40" i="4" s="1"/>
  <c r="V10" i="7"/>
  <c r="Q42" i="7"/>
  <c r="AQ10" i="7"/>
  <c r="BS10" i="7"/>
  <c r="BV19" i="12"/>
  <c r="R41" i="20"/>
  <c r="U13" i="7"/>
  <c r="CT13" i="7" s="1"/>
  <c r="CL13" i="7"/>
  <c r="N58" i="11"/>
  <c r="W65" i="11"/>
  <c r="G81" i="5"/>
  <c r="O81" i="5" s="1"/>
  <c r="Z11" i="4"/>
  <c r="N52" i="13"/>
  <c r="N39" i="4"/>
  <c r="N40" i="4" s="1"/>
  <c r="D109" i="16"/>
  <c r="BK83" i="4" s="1"/>
  <c r="S82" i="12"/>
  <c r="W82" i="12" s="1"/>
  <c r="N51" i="12"/>
  <c r="Z23" i="4"/>
  <c r="DE37" i="11"/>
  <c r="BG54" i="15"/>
  <c r="BG56" i="15" s="1"/>
  <c r="DJ31" i="16"/>
  <c r="A32" i="16"/>
  <c r="DJ32" i="16" s="1"/>
  <c r="AK16" i="2"/>
  <c r="AK20" i="2" s="1"/>
  <c r="CO42" i="9"/>
  <c r="I120" i="9"/>
  <c r="I117" i="9" s="1"/>
  <c r="H87" i="15"/>
  <c r="N87" i="15" s="1"/>
  <c r="S99" i="15"/>
  <c r="W99" i="15" s="1"/>
  <c r="T61" i="15"/>
  <c r="O63" i="15"/>
  <c r="N72" i="15"/>
  <c r="F110" i="15" s="1"/>
  <c r="CN25" i="7"/>
  <c r="CC25" i="7"/>
  <c r="AQ118" i="4"/>
  <c r="D132" i="16"/>
  <c r="BK108" i="4"/>
  <c r="AU33" i="19"/>
  <c r="AU34" i="19" s="1"/>
  <c r="D104" i="19"/>
  <c r="BO81" i="4" s="1"/>
  <c r="M41" i="4"/>
  <c r="M42" i="4" s="1"/>
  <c r="BV29" i="12"/>
  <c r="D192" i="17"/>
  <c r="BC114" i="4" s="1"/>
  <c r="AT5" i="5"/>
  <c r="CA12" i="5"/>
  <c r="AL12" i="5" s="1"/>
  <c r="W12" i="5" s="1"/>
  <c r="I65" i="3" s="1"/>
  <c r="AX39" i="5"/>
  <c r="BG25" i="20"/>
  <c r="BG7" i="20" s="1"/>
  <c r="V41" i="20"/>
  <c r="AN65" i="20"/>
  <c r="N51" i="10"/>
  <c r="S82" i="10"/>
  <c r="W82" i="10" s="1"/>
  <c r="Z14" i="4"/>
  <c r="K50" i="10"/>
  <c r="D153" i="10"/>
  <c r="AE123" i="4" s="1"/>
  <c r="C81" i="20"/>
  <c r="C74" i="22"/>
  <c r="BD36" i="11"/>
  <c r="AW31" i="20"/>
  <c r="X31" i="20"/>
  <c r="W31" i="20" s="1"/>
  <c r="C95" i="20"/>
  <c r="C88" i="22"/>
  <c r="K50" i="14"/>
  <c r="DC42" i="18"/>
  <c r="DC44" i="18" s="1"/>
  <c r="DB42" i="18"/>
  <c r="DB44" i="18" s="1"/>
  <c r="C73" i="22"/>
  <c r="C80" i="20"/>
  <c r="BL50" i="17"/>
  <c r="BL51" i="17"/>
  <c r="D159" i="17"/>
  <c r="BC80" i="4" s="1"/>
  <c r="J28" i="4"/>
  <c r="J29" i="4" s="1"/>
  <c r="CL15" i="7"/>
  <c r="U15" i="7"/>
  <c r="CT15" i="7" s="1"/>
  <c r="N92" i="17"/>
  <c r="S80" i="17"/>
  <c r="W80" i="17" s="1"/>
  <c r="S78" i="17"/>
  <c r="S73" i="17"/>
  <c r="BM24" i="5"/>
  <c r="AO17" i="5"/>
  <c r="U17" i="5" s="1"/>
  <c r="G70" i="3" s="1"/>
  <c r="BM17" i="5"/>
  <c r="N52" i="10"/>
  <c r="AE118" i="4"/>
  <c r="K50" i="12"/>
  <c r="D101" i="19"/>
  <c r="BO78" i="4" s="1"/>
  <c r="K41" i="4"/>
  <c r="K42" i="4" s="1"/>
  <c r="N52" i="12"/>
  <c r="BV25" i="12"/>
  <c r="BV13" i="12"/>
  <c r="L64" i="18"/>
  <c r="C96" i="20"/>
  <c r="C89" i="22"/>
  <c r="N47" i="16"/>
  <c r="Z39" i="4"/>
  <c r="W13" i="5"/>
  <c r="I66" i="3" s="1"/>
  <c r="BN39" i="5"/>
  <c r="BM23" i="5" s="1"/>
  <c r="AO11" i="5"/>
  <c r="U11" i="5" s="1"/>
  <c r="G64" i="3" s="1"/>
  <c r="C57" i="22"/>
  <c r="C64" i="20"/>
  <c r="CL39" i="5"/>
  <c r="CL41" i="5" s="1"/>
  <c r="CC16" i="7"/>
  <c r="CN16" i="7"/>
  <c r="BM27" i="5"/>
  <c r="BJ37" i="16"/>
  <c r="T12" i="4"/>
  <c r="D139" i="12"/>
  <c r="AM109" i="4" s="1"/>
  <c r="BN37" i="12"/>
  <c r="BN38" i="12" s="1"/>
  <c r="D158" i="15"/>
  <c r="AY113" i="4" s="1"/>
  <c r="BI55" i="15"/>
  <c r="BI56" i="15" s="1"/>
  <c r="W63" i="19"/>
  <c r="G41" i="4" s="1"/>
  <c r="AO13" i="5"/>
  <c r="U13" i="5" s="1"/>
  <c r="G66" i="3" s="1"/>
  <c r="BV35" i="12"/>
  <c r="B42" i="12"/>
  <c r="F23" i="4" s="1"/>
  <c r="C69" i="22"/>
  <c r="C76" i="20"/>
  <c r="DA42" i="9"/>
  <c r="K120" i="9"/>
  <c r="K117" i="9" s="1"/>
  <c r="D147" i="12"/>
  <c r="AM117" i="4" s="1"/>
  <c r="AM118" i="4"/>
  <c r="D124" i="19"/>
  <c r="BO102" i="4" s="1"/>
  <c r="I41" i="4"/>
  <c r="I42" i="4" s="1"/>
  <c r="V91" i="18"/>
  <c r="Z91" i="18" s="1"/>
  <c r="V90" i="18"/>
  <c r="Z90" i="18" s="1"/>
  <c r="V87" i="18"/>
  <c r="Z87" i="18" s="1"/>
  <c r="BN42" i="8"/>
  <c r="CO10" i="8"/>
  <c r="CL14" i="7"/>
  <c r="U14" i="7"/>
  <c r="CT14" i="7" s="1"/>
  <c r="D153" i="12"/>
  <c r="AM123" i="4" s="1"/>
  <c r="O48" i="6"/>
  <c r="T77" i="6"/>
  <c r="X77" i="6" s="1"/>
  <c r="E113" i="6" s="1"/>
  <c r="O85" i="4" s="1"/>
  <c r="E85" i="6"/>
  <c r="O85" i="6" s="1"/>
  <c r="E89" i="6"/>
  <c r="O89" i="6" s="1"/>
  <c r="E128" i="6" s="1"/>
  <c r="O101" i="4" s="1"/>
  <c r="Z12" i="4"/>
  <c r="BC21" i="11"/>
  <c r="BK21" i="11"/>
  <c r="CW41" i="8"/>
  <c r="CW33" i="8"/>
  <c r="CV41" i="8"/>
  <c r="CV33" i="8"/>
  <c r="CY40" i="8"/>
  <c r="CY32" i="8"/>
  <c r="CX40" i="8"/>
  <c r="CX32" i="8"/>
  <c r="CW40" i="8"/>
  <c r="CW32" i="8"/>
  <c r="CV40" i="8"/>
  <c r="CV32" i="8"/>
  <c r="CY39" i="8"/>
  <c r="CY31" i="8"/>
  <c r="CX39" i="8"/>
  <c r="CW39" i="8"/>
  <c r="CV39" i="8"/>
  <c r="CV31" i="8"/>
  <c r="I79" i="8"/>
  <c r="CY38" i="8"/>
  <c r="CY30" i="8"/>
  <c r="CX38" i="8"/>
  <c r="CX30" i="8"/>
  <c r="CW38" i="8"/>
  <c r="CW30" i="8"/>
  <c r="CV38" i="8"/>
  <c r="CY37" i="8"/>
  <c r="CY29" i="8"/>
  <c r="CX37" i="8"/>
  <c r="V98" i="8"/>
  <c r="Z98" i="8" s="1"/>
  <c r="CW37" i="8"/>
  <c r="CY34" i="8"/>
  <c r="CV37" i="8"/>
  <c r="CX34" i="8"/>
  <c r="CW34" i="8"/>
  <c r="CW21" i="8"/>
  <c r="CW13" i="8"/>
  <c r="CY35" i="8"/>
  <c r="CV21" i="8"/>
  <c r="CV13" i="8"/>
  <c r="CX35" i="8"/>
  <c r="CY20" i="8"/>
  <c r="CY12" i="8"/>
  <c r="CW35" i="8"/>
  <c r="CX20" i="8"/>
  <c r="CX12" i="8"/>
  <c r="CX28" i="8"/>
  <c r="CX27" i="8"/>
  <c r="CY36" i="8"/>
  <c r="CW28" i="8"/>
  <c r="CW27" i="8"/>
  <c r="CX36" i="8"/>
  <c r="CV28" i="8"/>
  <c r="CV27" i="8"/>
  <c r="CW36" i="8"/>
  <c r="CY41" i="8"/>
  <c r="CV36" i="8"/>
  <c r="CX41" i="8"/>
  <c r="CX29" i="8"/>
  <c r="J45" i="8"/>
  <c r="J114" i="8" s="1"/>
  <c r="CW29" i="8"/>
  <c r="CV26" i="8"/>
  <c r="CX33" i="8"/>
  <c r="CW24" i="8"/>
  <c r="CW16" i="8"/>
  <c r="CV24" i="8"/>
  <c r="CY23" i="8"/>
  <c r="CX22" i="8"/>
  <c r="CW22" i="8"/>
  <c r="CY33" i="8"/>
  <c r="CY26" i="8"/>
  <c r="CV22" i="8"/>
  <c r="CX26" i="8"/>
  <c r="CW26" i="8"/>
  <c r="CY14" i="8"/>
  <c r="CY13" i="8"/>
  <c r="CX14" i="8"/>
  <c r="CX13" i="8"/>
  <c r="CW14" i="8"/>
  <c r="CX23" i="8"/>
  <c r="CY15" i="8"/>
  <c r="CV14" i="8"/>
  <c r="CW23" i="8"/>
  <c r="CY17" i="8"/>
  <c r="CY16" i="8"/>
  <c r="CX15" i="8"/>
  <c r="CV23" i="8"/>
  <c r="CY18" i="8"/>
  <c r="CX17" i="8"/>
  <c r="CX16" i="8"/>
  <c r="CX18" i="8"/>
  <c r="CW17" i="8"/>
  <c r="CV16" i="8"/>
  <c r="CV15" i="8"/>
  <c r="CY19" i="8"/>
  <c r="CW18" i="8"/>
  <c r="CV17" i="8"/>
  <c r="CX31" i="8"/>
  <c r="CX19" i="8"/>
  <c r="CV18" i="8"/>
  <c r="CW31" i="8"/>
  <c r="CY27" i="8"/>
  <c r="CW19" i="8"/>
  <c r="CX21" i="8"/>
  <c r="CV30" i="8"/>
  <c r="CY10" i="8"/>
  <c r="CW10" i="8"/>
  <c r="CV29" i="8"/>
  <c r="CY28" i="8"/>
  <c r="CX25" i="8"/>
  <c r="CW25" i="8"/>
  <c r="CV25" i="8"/>
  <c r="CY11" i="8"/>
  <c r="CX11" i="8"/>
  <c r="CV19" i="8"/>
  <c r="CW11" i="8"/>
  <c r="CV11" i="8"/>
  <c r="CW20" i="8"/>
  <c r="CV12" i="8"/>
  <c r="CV20" i="8"/>
  <c r="CY22" i="8"/>
  <c r="CY21" i="8"/>
  <c r="CW12" i="8"/>
  <c r="CW15" i="8"/>
  <c r="CV35" i="8"/>
  <c r="CV34" i="8"/>
  <c r="CY25" i="8"/>
  <c r="CY24" i="8"/>
  <c r="CX24" i="8"/>
  <c r="CX10" i="8"/>
  <c r="CV10" i="8"/>
  <c r="S85" i="10"/>
  <c r="W85" i="10" s="1"/>
  <c r="O46" i="10"/>
  <c r="I71" i="10"/>
  <c r="N71" i="10" s="1"/>
  <c r="N56" i="10"/>
  <c r="AW27" i="20"/>
  <c r="X27" i="20"/>
  <c r="W27" i="20" s="1"/>
  <c r="CC42" i="8"/>
  <c r="M144" i="7"/>
  <c r="O46" i="5"/>
  <c r="S75" i="5"/>
  <c r="W75" i="5" s="1"/>
  <c r="E99" i="5" s="1"/>
  <c r="K79" i="4" s="1"/>
  <c r="S45" i="5"/>
  <c r="S46" i="5" s="1"/>
  <c r="O53" i="5"/>
  <c r="F161" i="21"/>
  <c r="BS121" i="4" s="1"/>
  <c r="W157" i="21"/>
  <c r="N52" i="11"/>
  <c r="S81" i="12"/>
  <c r="W81" i="12" s="1"/>
  <c r="T44" i="12"/>
  <c r="S60" i="12"/>
  <c r="W60" i="12" s="1"/>
  <c r="D76" i="12"/>
  <c r="S66" i="12"/>
  <c r="W66" i="12" s="1"/>
  <c r="S52" i="12"/>
  <c r="K64" i="12"/>
  <c r="N70" i="12"/>
  <c r="D143" i="12" s="1"/>
  <c r="AM113" i="4" s="1"/>
  <c r="S61" i="12"/>
  <c r="N69" i="12"/>
  <c r="D142" i="12" s="1"/>
  <c r="AM112" i="4" s="1"/>
  <c r="N68" i="12"/>
  <c r="N67" i="12"/>
  <c r="S79" i="12"/>
  <c r="W79" i="12" s="1"/>
  <c r="S58" i="12"/>
  <c r="W58" i="12" s="1"/>
  <c r="S90" i="12"/>
  <c r="W90" i="12" s="1"/>
  <c r="C23" i="4"/>
  <c r="Y23" i="4" s="1"/>
  <c r="CJ40" i="5"/>
  <c r="CJ41" i="5" s="1"/>
  <c r="P40" i="20"/>
  <c r="S40" i="20" s="1"/>
  <c r="AY40" i="20" s="1"/>
  <c r="Q40" i="20"/>
  <c r="AW40" i="20" s="1"/>
  <c r="BA40" i="20"/>
  <c r="K120" i="8"/>
  <c r="K117" i="8" s="1"/>
  <c r="DA42" i="8"/>
  <c r="W10" i="20"/>
  <c r="BV15" i="12"/>
  <c r="V71" i="9"/>
  <c r="V78" i="9"/>
  <c r="Z78" i="9" s="1"/>
  <c r="AY54" i="21"/>
  <c r="F122" i="21"/>
  <c r="BS81" i="4" s="1"/>
  <c r="W122" i="21"/>
  <c r="M32" i="4"/>
  <c r="F138" i="21"/>
  <c r="BS98" i="4" s="1"/>
  <c r="W140" i="21"/>
  <c r="O32" i="4"/>
  <c r="E128" i="5"/>
  <c r="CH40" i="5"/>
  <c r="CH41" i="5" s="1"/>
  <c r="D139" i="14"/>
  <c r="AU109" i="4" s="1"/>
  <c r="BN37" i="14"/>
  <c r="BN38" i="14" s="1"/>
  <c r="BM21" i="5"/>
  <c r="T52" i="17"/>
  <c r="S109" i="17"/>
  <c r="W109" i="17" s="1"/>
  <c r="BY26" i="17" s="1"/>
  <c r="O70" i="17"/>
  <c r="N78" i="17"/>
  <c r="BM16" i="5"/>
  <c r="D116" i="16"/>
  <c r="BK90" i="4" s="1"/>
  <c r="N75" i="21"/>
  <c r="K76" i="21"/>
  <c r="N76" i="21" s="1"/>
  <c r="S85" i="14"/>
  <c r="W85" i="14" s="1"/>
  <c r="O46" i="14"/>
  <c r="N56" i="14"/>
  <c r="I71" i="14"/>
  <c r="N71" i="14" s="1"/>
  <c r="BP11" i="11"/>
  <c r="BP36" i="11" s="1"/>
  <c r="BP38" i="11" s="1"/>
  <c r="BP27" i="11"/>
  <c r="BP19" i="11"/>
  <c r="BP25" i="11"/>
  <c r="BP13" i="11"/>
  <c r="BP23" i="11"/>
  <c r="BP21" i="11"/>
  <c r="BP16" i="11"/>
  <c r="BP26" i="11"/>
  <c r="BP15" i="11"/>
  <c r="BP20" i="11"/>
  <c r="BP37" i="11"/>
  <c r="BP17" i="11"/>
  <c r="BP14" i="11"/>
  <c r="BP22" i="11"/>
  <c r="BP18" i="11"/>
  <c r="BP24" i="11"/>
  <c r="V98" i="7"/>
  <c r="Z98" i="7" s="1"/>
  <c r="I79" i="7"/>
  <c r="BC18" i="11"/>
  <c r="BK18" i="11"/>
  <c r="BC14" i="11"/>
  <c r="BK14" i="11"/>
  <c r="E163" i="9"/>
  <c r="AA117" i="4" s="1"/>
  <c r="AA118" i="4"/>
  <c r="T39" i="4"/>
  <c r="T40" i="4" s="1"/>
  <c r="O75" i="5"/>
  <c r="E76" i="5"/>
  <c r="O76" i="5" s="1"/>
  <c r="T11" i="4" s="1"/>
  <c r="D139" i="10"/>
  <c r="AE109" i="4" s="1"/>
  <c r="BN37" i="10"/>
  <c r="BN38" i="10" s="1"/>
  <c r="B42" i="13"/>
  <c r="F24" i="4" s="1"/>
  <c r="E150" i="6"/>
  <c r="O123" i="4" s="1"/>
  <c r="CN42" i="18"/>
  <c r="M119" i="18"/>
  <c r="M116" i="18" s="1"/>
  <c r="L94" i="21"/>
  <c r="F158" i="21"/>
  <c r="BS118" i="4" s="1"/>
  <c r="W154" i="21"/>
  <c r="T32" i="4"/>
  <c r="CN24" i="7"/>
  <c r="CC24" i="7"/>
  <c r="BA32" i="20"/>
  <c r="Q32" i="20"/>
  <c r="L71" i="16"/>
  <c r="BF36" i="16" s="1"/>
  <c r="BF37" i="16" s="1"/>
  <c r="D115" i="16"/>
  <c r="BK89" i="4" s="1"/>
  <c r="R39" i="4"/>
  <c r="R40" i="4" s="1"/>
  <c r="CN17" i="7"/>
  <c r="CC17" i="7"/>
  <c r="L77" i="16"/>
  <c r="CR44" i="7"/>
  <c r="V78" i="8"/>
  <c r="Z78" i="8" s="1"/>
  <c r="V71" i="8"/>
  <c r="CT11" i="9"/>
  <c r="CT42" i="9" s="1"/>
  <c r="U42" i="9"/>
  <c r="I87" i="9" s="1"/>
  <c r="O87" i="9" s="1"/>
  <c r="D139" i="13"/>
  <c r="AQ109" i="4" s="1"/>
  <c r="BN37" i="13"/>
  <c r="BN38" i="13" s="1"/>
  <c r="O118" i="4"/>
  <c r="E144" i="6"/>
  <c r="O65" i="18"/>
  <c r="E106" i="18"/>
  <c r="O106" i="18" s="1"/>
  <c r="Z30" i="4"/>
  <c r="U37" i="11"/>
  <c r="K56" i="11"/>
  <c r="BV33" i="12"/>
  <c r="CL18" i="7"/>
  <c r="U18" i="7"/>
  <c r="CT18" i="7" s="1"/>
  <c r="CN22" i="7"/>
  <c r="CC22" i="7"/>
  <c r="DD44" i="8"/>
  <c r="F159" i="21"/>
  <c r="BS119" i="4" s="1"/>
  <c r="W156" i="21"/>
  <c r="U11" i="7"/>
  <c r="CT11" i="7" s="1"/>
  <c r="CL11" i="7"/>
  <c r="BM36" i="5"/>
  <c r="CL42" i="18"/>
  <c r="P20" i="7"/>
  <c r="CO20" i="7"/>
  <c r="I130" i="7" s="1"/>
  <c r="CC14" i="7"/>
  <c r="CN14" i="7"/>
  <c r="V78" i="7"/>
  <c r="Z78" i="7" s="1"/>
  <c r="V71" i="7"/>
  <c r="BA28" i="20"/>
  <c r="Q28" i="20"/>
  <c r="D68" i="19"/>
  <c r="N67" i="19"/>
  <c r="D70" i="19"/>
  <c r="N70" i="19" s="1"/>
  <c r="D69" i="19"/>
  <c r="N69" i="19" s="1"/>
  <c r="D113" i="19" s="1"/>
  <c r="BO90" i="4" s="1"/>
  <c r="E95" i="5"/>
  <c r="K75" i="4" s="1"/>
  <c r="BK118" i="4"/>
  <c r="BA39" i="20"/>
  <c r="Q39" i="20"/>
  <c r="P39" i="20"/>
  <c r="S39" i="20" s="1"/>
  <c r="AY39" i="20" s="1"/>
  <c r="R63" i="15"/>
  <c r="V63" i="15" s="1"/>
  <c r="W63" i="15" s="1"/>
  <c r="D155" i="15"/>
  <c r="AY110" i="4" s="1"/>
  <c r="Z25" i="4"/>
  <c r="CC42" i="18"/>
  <c r="BA36" i="20"/>
  <c r="X36" i="20"/>
  <c r="W36" i="20" s="1"/>
  <c r="O46" i="12"/>
  <c r="I71" i="12"/>
  <c r="N71" i="12" s="1"/>
  <c r="N76" i="12" s="1"/>
  <c r="S85" i="12"/>
  <c r="W85" i="12" s="1"/>
  <c r="N56" i="12"/>
  <c r="N65" i="19"/>
  <c r="D65" i="19" s="1"/>
  <c r="AW33" i="19"/>
  <c r="AW34" i="19" s="1"/>
  <c r="D130" i="19"/>
  <c r="P41" i="4"/>
  <c r="BN43" i="17"/>
  <c r="BN45" i="17"/>
  <c r="BN47" i="17"/>
  <c r="BN14" i="17"/>
  <c r="BN11" i="17"/>
  <c r="BN40" i="17"/>
  <c r="BN28" i="17"/>
  <c r="BN25" i="17"/>
  <c r="BN37" i="17"/>
  <c r="BN38" i="17"/>
  <c r="BN13" i="17"/>
  <c r="BN18" i="17"/>
  <c r="BN49" i="17"/>
  <c r="BN41" i="17"/>
  <c r="BN35" i="17"/>
  <c r="BN46" i="17"/>
  <c r="BN30" i="17"/>
  <c r="BN48" i="17"/>
  <c r="BN24" i="17"/>
  <c r="BN39" i="17"/>
  <c r="BN31" i="17"/>
  <c r="BN26" i="17"/>
  <c r="BN20" i="17"/>
  <c r="BN34" i="17"/>
  <c r="BN22" i="17"/>
  <c r="BN42" i="17"/>
  <c r="BN15" i="17"/>
  <c r="BN17" i="17"/>
  <c r="BN36" i="17"/>
  <c r="BN27" i="17"/>
  <c r="BN23" i="17"/>
  <c r="BN29" i="17"/>
  <c r="BN21" i="17"/>
  <c r="BN44" i="17"/>
  <c r="BN19" i="17"/>
  <c r="BN10" i="17"/>
  <c r="BN33" i="17"/>
  <c r="BN16" i="17"/>
  <c r="BN32" i="17"/>
  <c r="BN12" i="17"/>
  <c r="BA38" i="20"/>
  <c r="P38" i="20"/>
  <c r="S38" i="20" s="1"/>
  <c r="AY38" i="20" s="1"/>
  <c r="Q38" i="20"/>
  <c r="C161" i="18"/>
  <c r="BI117" i="4"/>
  <c r="BK23" i="11"/>
  <c r="BC23" i="11"/>
  <c r="CC20" i="7"/>
  <c r="CN20" i="7"/>
  <c r="V71" i="18"/>
  <c r="V78" i="18"/>
  <c r="Z78" i="18" s="1"/>
  <c r="U42" i="8"/>
  <c r="I87" i="8" s="1"/>
  <c r="O87" i="8" s="1"/>
  <c r="CT10" i="8"/>
  <c r="CT42" i="8" s="1"/>
  <c r="D112" i="14"/>
  <c r="AU81" i="4" s="1"/>
  <c r="BK37" i="14"/>
  <c r="BK38" i="14" s="1"/>
  <c r="M25" i="4"/>
  <c r="CN23" i="7"/>
  <c r="CC23" i="7"/>
  <c r="BV31" i="12"/>
  <c r="U12" i="7"/>
  <c r="CT12" i="7" s="1"/>
  <c r="CL12" i="7"/>
  <c r="CC21" i="7"/>
  <c r="CN21" i="7"/>
  <c r="CL25" i="7"/>
  <c r="U25" i="7"/>
  <c r="CT25" i="7" s="1"/>
  <c r="CL17" i="7"/>
  <c r="U17" i="7"/>
  <c r="CT17" i="7" s="1"/>
  <c r="BA12" i="20"/>
  <c r="X12" i="20"/>
  <c r="W12" i="20" s="1"/>
  <c r="AO18" i="5"/>
  <c r="U18" i="5" s="1"/>
  <c r="G71" i="3" s="1"/>
  <c r="BM51" i="17"/>
  <c r="BM41" i="17"/>
  <c r="BM43" i="17"/>
  <c r="BM45" i="17"/>
  <c r="BM14" i="17"/>
  <c r="BM11" i="17"/>
  <c r="BM44" i="17"/>
  <c r="BM38" i="17"/>
  <c r="BM13" i="17"/>
  <c r="BM18" i="17"/>
  <c r="BM49" i="17"/>
  <c r="BM35" i="17"/>
  <c r="BM25" i="17"/>
  <c r="BM46" i="17"/>
  <c r="BM30" i="17"/>
  <c r="BM40" i="17"/>
  <c r="BM37" i="17"/>
  <c r="BM21" i="17"/>
  <c r="BM24" i="17"/>
  <c r="BM39" i="17"/>
  <c r="BM31" i="17"/>
  <c r="BM26" i="17"/>
  <c r="BM20" i="17"/>
  <c r="BM34" i="17"/>
  <c r="BM22" i="17"/>
  <c r="BM47" i="17"/>
  <c r="BM42" i="17"/>
  <c r="BM28" i="17"/>
  <c r="BM15" i="17"/>
  <c r="BM10" i="17"/>
  <c r="BM33" i="17"/>
  <c r="BM36" i="17"/>
  <c r="BM27" i="17"/>
  <c r="BM17" i="17"/>
  <c r="BM23" i="17"/>
  <c r="BM29" i="17"/>
  <c r="BM16" i="17"/>
  <c r="BM48" i="17"/>
  <c r="BM19" i="17"/>
  <c r="BM12" i="17"/>
  <c r="BM32" i="17"/>
  <c r="BC108" i="4"/>
  <c r="E108" i="6"/>
  <c r="O80" i="4" s="1"/>
  <c r="I12" i="4"/>
  <c r="CL42" i="8"/>
  <c r="S82" i="14"/>
  <c r="W82" i="14" s="1"/>
  <c r="W74" i="21"/>
  <c r="BN42" i="7"/>
  <c r="CO10" i="7"/>
  <c r="P10" i="7"/>
  <c r="F116" i="21" l="1"/>
  <c r="BS75" i="4" s="1"/>
  <c r="W105" i="21"/>
  <c r="T56" i="21" s="1"/>
  <c r="I56" i="21" s="1"/>
  <c r="W116" i="21"/>
  <c r="AL64" i="4"/>
  <c r="P42" i="4"/>
  <c r="G42" i="4"/>
  <c r="D98" i="19"/>
  <c r="BO75" i="4" s="1"/>
  <c r="BE34" i="19"/>
  <c r="BC10" i="19"/>
  <c r="BC32" i="19" s="1"/>
  <c r="BY22" i="17"/>
  <c r="BY11" i="17"/>
  <c r="BY42" i="17"/>
  <c r="BY40" i="17"/>
  <c r="BY46" i="17"/>
  <c r="BY21" i="17"/>
  <c r="BY13" i="17"/>
  <c r="BY10" i="17"/>
  <c r="BY45" i="17"/>
  <c r="BY47" i="17"/>
  <c r="BX52" i="17"/>
  <c r="BY15" i="17"/>
  <c r="BL52" i="17"/>
  <c r="BY23" i="17"/>
  <c r="BY30" i="17"/>
  <c r="BY41" i="17"/>
  <c r="BY14" i="17"/>
  <c r="BY17" i="17"/>
  <c r="BY33" i="17"/>
  <c r="BY34" i="17"/>
  <c r="BY32" i="17"/>
  <c r="BY20" i="17"/>
  <c r="BY12" i="17"/>
  <c r="BY37" i="17"/>
  <c r="BY19" i="17"/>
  <c r="BY28" i="17"/>
  <c r="BY35" i="17"/>
  <c r="BY25" i="17"/>
  <c r="BY27" i="17"/>
  <c r="BY31" i="17"/>
  <c r="BY48" i="17"/>
  <c r="BY16" i="17"/>
  <c r="BY24" i="17"/>
  <c r="BY38" i="17"/>
  <c r="BY36" i="17"/>
  <c r="BA50" i="17"/>
  <c r="BJ10" i="17"/>
  <c r="BJ50" i="17" s="1"/>
  <c r="BJ52" i="17" s="1"/>
  <c r="BY43" i="17"/>
  <c r="BY18" i="17"/>
  <c r="BY44" i="17"/>
  <c r="BY49" i="17"/>
  <c r="BY39" i="17"/>
  <c r="BY29" i="17"/>
  <c r="BL54" i="15"/>
  <c r="BL56" i="15" s="1"/>
  <c r="D121" i="15"/>
  <c r="AY75" i="4" s="1"/>
  <c r="G26" i="4"/>
  <c r="W109" i="15"/>
  <c r="D125" i="15"/>
  <c r="AY79" i="4" s="1"/>
  <c r="L26" i="4"/>
  <c r="BA7" i="20"/>
  <c r="AN9" i="20"/>
  <c r="BK36" i="11"/>
  <c r="BV24" i="13"/>
  <c r="BV32" i="10"/>
  <c r="BV18" i="10"/>
  <c r="BV11" i="14"/>
  <c r="BV33" i="14"/>
  <c r="BV30" i="14"/>
  <c r="BK37" i="11"/>
  <c r="BV12" i="14"/>
  <c r="BV15" i="14"/>
  <c r="BV27" i="13"/>
  <c r="BV34" i="10"/>
  <c r="BV12" i="10"/>
  <c r="BV34" i="13"/>
  <c r="BV28" i="13"/>
  <c r="BV32" i="13"/>
  <c r="BV23" i="13"/>
  <c r="BV18" i="13"/>
  <c r="BV35" i="14"/>
  <c r="BV25" i="13"/>
  <c r="BG35" i="16"/>
  <c r="BG37" i="16" s="1"/>
  <c r="D19" i="22"/>
  <c r="N110" i="15"/>
  <c r="BM55" i="15"/>
  <c r="D129" i="19"/>
  <c r="BO108" i="4"/>
  <c r="BV12" i="13"/>
  <c r="BQ36" i="14"/>
  <c r="U10" i="7"/>
  <c r="CL10" i="7"/>
  <c r="CL42" i="7" s="1"/>
  <c r="D76" i="19"/>
  <c r="N76" i="19" s="1"/>
  <c r="D142" i="19" s="1"/>
  <c r="BO120" i="4" s="1"/>
  <c r="N68" i="19"/>
  <c r="BB10" i="19" s="1"/>
  <c r="BB32" i="19" s="1"/>
  <c r="D73" i="19"/>
  <c r="E106" i="7"/>
  <c r="O106" i="7" s="1"/>
  <c r="F150" i="21"/>
  <c r="BS110" i="4" s="1"/>
  <c r="W146" i="21"/>
  <c r="BL37" i="11"/>
  <c r="BL24" i="11"/>
  <c r="BL16" i="11"/>
  <c r="BL11" i="11"/>
  <c r="BL19" i="11"/>
  <c r="BL17" i="11"/>
  <c r="BL27" i="11"/>
  <c r="BL25" i="11"/>
  <c r="BL18" i="11"/>
  <c r="BL15" i="11"/>
  <c r="BL26" i="11"/>
  <c r="BL23" i="11"/>
  <c r="BL20" i="11"/>
  <c r="BL14" i="11"/>
  <c r="BL22" i="11"/>
  <c r="BL13" i="11"/>
  <c r="BL21" i="11"/>
  <c r="D107" i="11"/>
  <c r="AI76" i="4" s="1"/>
  <c r="G76" i="4" s="1"/>
  <c r="AR76" i="4" s="1"/>
  <c r="H22" i="4"/>
  <c r="AW29" i="20"/>
  <c r="X29" i="20"/>
  <c r="W29" i="20" s="1"/>
  <c r="I120" i="7"/>
  <c r="I117" i="7" s="1"/>
  <c r="CO42" i="7"/>
  <c r="M131" i="7"/>
  <c r="AW28" i="20"/>
  <c r="X28" i="20"/>
  <c r="E109" i="6"/>
  <c r="O81" i="4" s="1"/>
  <c r="M12" i="4"/>
  <c r="W124" i="21"/>
  <c r="F124" i="21"/>
  <c r="BS83" i="4" s="1"/>
  <c r="N32" i="4"/>
  <c r="N33" i="4" s="1"/>
  <c r="BV35" i="13"/>
  <c r="BV36" i="12"/>
  <c r="BW36" i="12" s="1"/>
  <c r="E111" i="6"/>
  <c r="O83" i="4" s="1"/>
  <c r="N12" i="4"/>
  <c r="D144" i="14"/>
  <c r="AU114" i="4" s="1"/>
  <c r="BO37" i="14"/>
  <c r="BO38" i="14" s="1"/>
  <c r="P23" i="4"/>
  <c r="F152" i="21"/>
  <c r="BS112" i="4" s="1"/>
  <c r="W148" i="21"/>
  <c r="N67" i="13"/>
  <c r="S61" i="13"/>
  <c r="S81" i="13"/>
  <c r="W81" i="13" s="1"/>
  <c r="D76" i="13"/>
  <c r="S66" i="13"/>
  <c r="W66" i="13" s="1"/>
  <c r="S52" i="13"/>
  <c r="S58" i="13"/>
  <c r="W58" i="13" s="1"/>
  <c r="K64" i="13"/>
  <c r="N69" i="13"/>
  <c r="D142" i="13" s="1"/>
  <c r="AQ112" i="4" s="1"/>
  <c r="T44" i="13"/>
  <c r="N68" i="13"/>
  <c r="S90" i="13"/>
  <c r="W90" i="13" s="1"/>
  <c r="S60" i="13"/>
  <c r="W60" i="13" s="1"/>
  <c r="N70" i="13"/>
  <c r="D143" i="13" s="1"/>
  <c r="AQ113" i="4" s="1"/>
  <c r="S79" i="13"/>
  <c r="W79" i="13" s="1"/>
  <c r="C24" i="4"/>
  <c r="Y24" i="4" s="1"/>
  <c r="C25" i="4"/>
  <c r="Y25" i="4" s="1"/>
  <c r="CR43" i="18"/>
  <c r="CR44" i="18" s="1"/>
  <c r="E155" i="18"/>
  <c r="BG111" i="4" s="1"/>
  <c r="Q62" i="7"/>
  <c r="K15" i="4"/>
  <c r="CO43" i="7"/>
  <c r="M121" i="7"/>
  <c r="BV32" i="14"/>
  <c r="BV10" i="14"/>
  <c r="BS36" i="14"/>
  <c r="P46" i="14"/>
  <c r="D109" i="14"/>
  <c r="AU78" i="4" s="1"/>
  <c r="BJ37" i="14"/>
  <c r="BJ38" i="14" s="1"/>
  <c r="K25" i="4"/>
  <c r="BM37" i="5"/>
  <c r="D159" i="15"/>
  <c r="AY114" i="4" s="1"/>
  <c r="BJ55" i="15"/>
  <c r="BJ56" i="15" s="1"/>
  <c r="E89" i="9"/>
  <c r="O81" i="9"/>
  <c r="E156" i="9" s="1"/>
  <c r="AA110" i="4" s="1"/>
  <c r="CU37" i="9"/>
  <c r="CZ35" i="9"/>
  <c r="CZ40" i="9"/>
  <c r="CQ37" i="9"/>
  <c r="O147" i="9" s="1"/>
  <c r="O80" i="9"/>
  <c r="V105" i="9"/>
  <c r="Z105" i="9" s="1"/>
  <c r="U49" i="9"/>
  <c r="CU35" i="9"/>
  <c r="E105" i="9"/>
  <c r="O105" i="9" s="1"/>
  <c r="CU40" i="9"/>
  <c r="CZ33" i="9"/>
  <c r="O79" i="9"/>
  <c r="CZ38" i="9"/>
  <c r="C45" i="9"/>
  <c r="CQ39" i="9"/>
  <c r="O149" i="9" s="1"/>
  <c r="CU21" i="9"/>
  <c r="CZ14" i="9"/>
  <c r="CU26" i="9"/>
  <c r="CZ19" i="9"/>
  <c r="CQ11" i="9"/>
  <c r="O121" i="9" s="1"/>
  <c r="CU33" i="9"/>
  <c r="CU31" i="9"/>
  <c r="CZ24" i="9"/>
  <c r="CQ16" i="9"/>
  <c r="O126" i="9" s="1"/>
  <c r="CZ29" i="9"/>
  <c r="CQ21" i="9"/>
  <c r="O131" i="9" s="1"/>
  <c r="CU38" i="9"/>
  <c r="CZ37" i="9"/>
  <c r="CQ26" i="9"/>
  <c r="O136" i="9" s="1"/>
  <c r="CQ33" i="9"/>
  <c r="O143" i="9" s="1"/>
  <c r="CQ31" i="9"/>
  <c r="O141" i="9" s="1"/>
  <c r="CU14" i="9"/>
  <c r="CU19" i="9"/>
  <c r="CZ12" i="9"/>
  <c r="O82" i="9"/>
  <c r="E158" i="9" s="1"/>
  <c r="AA112" i="4" s="1"/>
  <c r="CQ38" i="9"/>
  <c r="O148" i="9" s="1"/>
  <c r="CU24" i="9"/>
  <c r="CZ17" i="9"/>
  <c r="CU29" i="9"/>
  <c r="CZ22" i="9"/>
  <c r="CQ14" i="9"/>
  <c r="O124" i="9" s="1"/>
  <c r="CZ27" i="9"/>
  <c r="CQ19" i="9"/>
  <c r="O129" i="9" s="1"/>
  <c r="CZ36" i="9"/>
  <c r="CQ24" i="9"/>
  <c r="O134" i="9" s="1"/>
  <c r="CZ32" i="9"/>
  <c r="CQ29" i="9"/>
  <c r="O139" i="9" s="1"/>
  <c r="CU12" i="9"/>
  <c r="CU17" i="9"/>
  <c r="CZ10" i="9"/>
  <c r="CU27" i="9"/>
  <c r="CU32" i="9"/>
  <c r="CZ30" i="9"/>
  <c r="CQ20" i="9"/>
  <c r="O130" i="9" s="1"/>
  <c r="CU11" i="9"/>
  <c r="CZ31" i="9"/>
  <c r="CQ40" i="9"/>
  <c r="O150" i="9" s="1"/>
  <c r="CU18" i="9"/>
  <c r="CZ39" i="9"/>
  <c r="CZ41" i="9"/>
  <c r="CZ28" i="9"/>
  <c r="CQ32" i="9"/>
  <c r="O142" i="9" s="1"/>
  <c r="CQ18" i="9"/>
  <c r="O128" i="9" s="1"/>
  <c r="CQ17" i="9"/>
  <c r="O127" i="9" s="1"/>
  <c r="CZ16" i="9"/>
  <c r="CU10" i="9"/>
  <c r="V99" i="9"/>
  <c r="Z99" i="9" s="1"/>
  <c r="U47" i="9"/>
  <c r="CZ26" i="9"/>
  <c r="I85" i="9"/>
  <c r="O85" i="9" s="1"/>
  <c r="CU30" i="9"/>
  <c r="CZ25" i="9"/>
  <c r="CU41" i="9"/>
  <c r="CU39" i="9"/>
  <c r="CQ10" i="9"/>
  <c r="CZ34" i="9"/>
  <c r="CU28" i="9"/>
  <c r="CQ27" i="9"/>
  <c r="O137" i="9" s="1"/>
  <c r="CZ23" i="9"/>
  <c r="CZ15" i="9"/>
  <c r="CQ35" i="9"/>
  <c r="O145" i="9" s="1"/>
  <c r="CQ30" i="9"/>
  <c r="O140" i="9" s="1"/>
  <c r="CU16" i="9"/>
  <c r="CQ41" i="9"/>
  <c r="O151" i="9" s="1"/>
  <c r="CU25" i="9"/>
  <c r="CQ28" i="9"/>
  <c r="O138" i="9" s="1"/>
  <c r="CQ22" i="9"/>
  <c r="O132" i="9" s="1"/>
  <c r="CZ20" i="9"/>
  <c r="CQ12" i="9"/>
  <c r="O122" i="9" s="1"/>
  <c r="CZ11" i="9"/>
  <c r="CQ25" i="9"/>
  <c r="O135" i="9" s="1"/>
  <c r="CU20" i="9"/>
  <c r="CZ13" i="9"/>
  <c r="CU34" i="9"/>
  <c r="CU13" i="9"/>
  <c r="CQ34" i="9"/>
  <c r="O144" i="9" s="1"/>
  <c r="CU15" i="9"/>
  <c r="CU22" i="9"/>
  <c r="CZ21" i="9"/>
  <c r="CQ15" i="9"/>
  <c r="O125" i="9" s="1"/>
  <c r="CQ13" i="9"/>
  <c r="O123" i="9" s="1"/>
  <c r="Y65" i="9"/>
  <c r="CU36" i="9"/>
  <c r="CQ23" i="9"/>
  <c r="O133" i="9" s="1"/>
  <c r="CZ18" i="9"/>
  <c r="CQ36" i="9"/>
  <c r="O146" i="9" s="1"/>
  <c r="CU23" i="9"/>
  <c r="C19" i="4"/>
  <c r="BV22" i="10"/>
  <c r="D110" i="12"/>
  <c r="AM79" i="4" s="1"/>
  <c r="L23" i="4"/>
  <c r="CL20" i="7"/>
  <c r="U20" i="7"/>
  <c r="CT20" i="7" s="1"/>
  <c r="E90" i="20"/>
  <c r="T47" i="4"/>
  <c r="Z22" i="4"/>
  <c r="CV42" i="9"/>
  <c r="CV44" i="9" s="1"/>
  <c r="CY42" i="8"/>
  <c r="L24" i="4"/>
  <c r="D110" i="13"/>
  <c r="AQ79" i="4" s="1"/>
  <c r="BS36" i="13"/>
  <c r="BV10" i="13"/>
  <c r="BJ37" i="10"/>
  <c r="BJ38" i="10" s="1"/>
  <c r="D109" i="10"/>
  <c r="AE78" i="4" s="1"/>
  <c r="P46" i="10"/>
  <c r="K14" i="4"/>
  <c r="R70" i="17"/>
  <c r="U70" i="17" s="1"/>
  <c r="V70" i="17" s="1"/>
  <c r="BP51" i="17"/>
  <c r="BP52" i="17" s="1"/>
  <c r="D189" i="17"/>
  <c r="P28" i="4"/>
  <c r="N98" i="17"/>
  <c r="D98" i="17" s="1"/>
  <c r="W88" i="19"/>
  <c r="CW42" i="9"/>
  <c r="U24" i="7"/>
  <c r="CT24" i="7" s="1"/>
  <c r="CL24" i="7"/>
  <c r="BV23" i="10"/>
  <c r="BV16" i="14"/>
  <c r="BV29" i="14"/>
  <c r="CG40" i="5"/>
  <c r="E98" i="5"/>
  <c r="K78" i="4" s="1"/>
  <c r="P46" i="5"/>
  <c r="K11" i="4"/>
  <c r="BV26" i="10"/>
  <c r="BV26" i="13"/>
  <c r="E130" i="8"/>
  <c r="S84" i="4" s="1"/>
  <c r="D109" i="13"/>
  <c r="AQ78" i="4" s="1"/>
  <c r="P46" i="13"/>
  <c r="BJ37" i="13"/>
  <c r="BJ38" i="13" s="1"/>
  <c r="K24" i="4"/>
  <c r="M127" i="7"/>
  <c r="L51" i="5"/>
  <c r="AN9" i="2"/>
  <c r="AN15" i="2" s="1"/>
  <c r="AN18" i="2" s="1"/>
  <c r="AN20" i="2" s="1"/>
  <c r="Y12" i="4"/>
  <c r="X12" i="4"/>
  <c r="F12" i="4"/>
  <c r="DA43" i="7"/>
  <c r="J15" i="4"/>
  <c r="L25" i="4"/>
  <c r="D110" i="14"/>
  <c r="AU79" i="4" s="1"/>
  <c r="CQ48" i="9"/>
  <c r="CW43" i="9"/>
  <c r="E121" i="9"/>
  <c r="AA75" i="4" s="1"/>
  <c r="G32" i="4"/>
  <c r="G33" i="4" s="1"/>
  <c r="W123" i="21"/>
  <c r="F123" i="21"/>
  <c r="BS82" i="4" s="1"/>
  <c r="G82" i="4" s="1"/>
  <c r="AR82" i="4" s="1"/>
  <c r="BE15" i="21"/>
  <c r="BE21" i="21"/>
  <c r="BE41" i="21"/>
  <c r="BE35" i="21"/>
  <c r="BE22" i="21"/>
  <c r="BE51" i="21"/>
  <c r="BE26" i="21"/>
  <c r="BE11" i="21"/>
  <c r="BE40" i="21"/>
  <c r="BE46" i="21"/>
  <c r="BE33" i="21"/>
  <c r="BE23" i="21"/>
  <c r="BE37" i="21"/>
  <c r="BE44" i="21"/>
  <c r="BE19" i="21"/>
  <c r="BE28" i="21"/>
  <c r="BE10" i="21"/>
  <c r="BE17" i="21"/>
  <c r="BE49" i="21"/>
  <c r="BE14" i="21"/>
  <c r="BE31" i="21"/>
  <c r="BE39" i="21"/>
  <c r="BE13" i="21"/>
  <c r="BE30" i="21"/>
  <c r="BE45" i="21"/>
  <c r="BE12" i="21"/>
  <c r="BE36" i="21"/>
  <c r="BE18" i="21"/>
  <c r="BE50" i="21"/>
  <c r="BE32" i="21"/>
  <c r="BE42" i="21"/>
  <c r="BE16" i="21"/>
  <c r="BE25" i="21"/>
  <c r="BE38" i="21"/>
  <c r="BE20" i="21"/>
  <c r="BE43" i="21"/>
  <c r="BE27" i="21"/>
  <c r="BE24" i="21"/>
  <c r="BE48" i="21"/>
  <c r="BE34" i="21"/>
  <c r="BE47" i="21"/>
  <c r="BE29" i="21"/>
  <c r="CX42" i="18"/>
  <c r="M126" i="7"/>
  <c r="M132" i="7"/>
  <c r="AW32" i="20"/>
  <c r="X32" i="20"/>
  <c r="W32" i="20" s="1"/>
  <c r="K108" i="4"/>
  <c r="F91" i="16"/>
  <c r="AW36" i="16"/>
  <c r="AW37" i="16" s="1"/>
  <c r="D107" i="16"/>
  <c r="BK81" i="4" s="1"/>
  <c r="M39" i="4"/>
  <c r="M40" i="4" s="1"/>
  <c r="W40" i="4" s="1"/>
  <c r="CU42" i="18"/>
  <c r="CU44" i="18" s="1"/>
  <c r="BV16" i="13"/>
  <c r="O71" i="6"/>
  <c r="P12" i="4"/>
  <c r="AL53" i="4" s="1"/>
  <c r="E135" i="6"/>
  <c r="BV14" i="10"/>
  <c r="BV25" i="10"/>
  <c r="BV24" i="14"/>
  <c r="E127" i="9"/>
  <c r="AA81" i="4" s="1"/>
  <c r="CN43" i="9"/>
  <c r="G110" i="9"/>
  <c r="O110" i="9" s="1"/>
  <c r="M19" i="4"/>
  <c r="R31" i="4"/>
  <c r="F30" i="4"/>
  <c r="O31" i="4"/>
  <c r="Q31" i="4"/>
  <c r="P31" i="4"/>
  <c r="M31" i="4"/>
  <c r="L31" i="4"/>
  <c r="K31" i="4"/>
  <c r="J31" i="4"/>
  <c r="I31" i="4"/>
  <c r="H31" i="4"/>
  <c r="G31" i="4"/>
  <c r="W31" i="4" s="1"/>
  <c r="Y30" i="4"/>
  <c r="X30" i="4"/>
  <c r="T31" i="4"/>
  <c r="N31" i="4"/>
  <c r="BQ36" i="10"/>
  <c r="O81" i="18"/>
  <c r="E154" i="18" s="1"/>
  <c r="BG110" i="4" s="1"/>
  <c r="E89" i="18"/>
  <c r="U49" i="18"/>
  <c r="O82" i="18"/>
  <c r="E156" i="18" s="1"/>
  <c r="BG112" i="4" s="1"/>
  <c r="V99" i="18"/>
  <c r="Z99" i="18" s="1"/>
  <c r="CY43" i="18" s="1"/>
  <c r="O80" i="18"/>
  <c r="CY24" i="18"/>
  <c r="CQ15" i="18"/>
  <c r="I85" i="18"/>
  <c r="O85" i="18" s="1"/>
  <c r="CQ40" i="18"/>
  <c r="CY22" i="18"/>
  <c r="CQ13" i="18"/>
  <c r="CY37" i="18"/>
  <c r="CQ28" i="18"/>
  <c r="CY20" i="18"/>
  <c r="CQ11" i="18"/>
  <c r="CY18" i="18"/>
  <c r="CY39" i="18"/>
  <c r="CY33" i="18"/>
  <c r="CQ24" i="18"/>
  <c r="Y65" i="18"/>
  <c r="C45" i="18"/>
  <c r="C113" i="18" s="1"/>
  <c r="V105" i="18"/>
  <c r="Z105" i="18" s="1"/>
  <c r="CQ41" i="18"/>
  <c r="CQ26" i="18"/>
  <c r="CQ36" i="18"/>
  <c r="CQ23" i="18"/>
  <c r="CY35" i="18"/>
  <c r="CQ16" i="18"/>
  <c r="CQ29" i="18"/>
  <c r="CY12" i="18"/>
  <c r="CY40" i="18"/>
  <c r="CQ32" i="18"/>
  <c r="CY23" i="18"/>
  <c r="CQ39" i="18"/>
  <c r="CQ18" i="18"/>
  <c r="CQ38" i="18"/>
  <c r="CQ35" i="18"/>
  <c r="CY17" i="18"/>
  <c r="CY27" i="18"/>
  <c r="CY34" i="18"/>
  <c r="CQ22" i="18"/>
  <c r="CQ17" i="18"/>
  <c r="CY31" i="18"/>
  <c r="CQ33" i="18"/>
  <c r="CY26" i="18"/>
  <c r="CQ31" i="18"/>
  <c r="CQ30" i="18"/>
  <c r="CY16" i="18"/>
  <c r="U47" i="18"/>
  <c r="CY14" i="18"/>
  <c r="CY13" i="18"/>
  <c r="CY19" i="18"/>
  <c r="CY10" i="18"/>
  <c r="CQ19" i="18"/>
  <c r="CQ37" i="18"/>
  <c r="CY36" i="18"/>
  <c r="CQ14" i="18"/>
  <c r="CQ34" i="18"/>
  <c r="CY30" i="18"/>
  <c r="CY21" i="18"/>
  <c r="I87" i="18"/>
  <c r="CQ21" i="18"/>
  <c r="CY15" i="18"/>
  <c r="CY32" i="18"/>
  <c r="O79" i="18"/>
  <c r="CQ20" i="18"/>
  <c r="CY25" i="18"/>
  <c r="CY38" i="18"/>
  <c r="CQ25" i="18"/>
  <c r="CY28" i="18"/>
  <c r="CQ12" i="18"/>
  <c r="CY41" i="18"/>
  <c r="CQ10" i="18"/>
  <c r="CY29" i="18"/>
  <c r="CY11" i="18"/>
  <c r="CQ27" i="18"/>
  <c r="BV28" i="10"/>
  <c r="E124" i="18"/>
  <c r="BG79" i="4" s="1"/>
  <c r="L30" i="4"/>
  <c r="S81" i="17"/>
  <c r="W81" i="17" s="1"/>
  <c r="W78" i="17"/>
  <c r="M130" i="7"/>
  <c r="D144" i="10"/>
  <c r="AE114" i="4" s="1"/>
  <c r="BO37" i="10"/>
  <c r="BO38" i="10" s="1"/>
  <c r="L14" i="4"/>
  <c r="D110" i="10"/>
  <c r="AE79" i="4" s="1"/>
  <c r="CW42" i="18"/>
  <c r="CW44" i="18" s="1"/>
  <c r="E125" i="9"/>
  <c r="AA79" i="4" s="1"/>
  <c r="CZ43" i="9"/>
  <c r="L19" i="4"/>
  <c r="CX42" i="9"/>
  <c r="CX44" i="9" s="1"/>
  <c r="BV21" i="13"/>
  <c r="BM19" i="5"/>
  <c r="BV33" i="10"/>
  <c r="D76" i="14"/>
  <c r="S60" i="14"/>
  <c r="W60" i="14" s="1"/>
  <c r="S81" i="14"/>
  <c r="W81" i="14" s="1"/>
  <c r="K64" i="14"/>
  <c r="N70" i="14"/>
  <c r="D143" i="14" s="1"/>
  <c r="AU113" i="4" s="1"/>
  <c r="T44" i="14"/>
  <c r="S58" i="14"/>
  <c r="W58" i="14" s="1"/>
  <c r="S79" i="14"/>
  <c r="W79" i="14" s="1"/>
  <c r="N67" i="14"/>
  <c r="S66" i="14"/>
  <c r="W66" i="14" s="1"/>
  <c r="S90" i="14"/>
  <c r="W90" i="14" s="1"/>
  <c r="N69" i="14"/>
  <c r="D142" i="14" s="1"/>
  <c r="AU112" i="4" s="1"/>
  <c r="N68" i="14"/>
  <c r="S52" i="14"/>
  <c r="S61" i="14"/>
  <c r="E160" i="9"/>
  <c r="AA114" i="4" s="1"/>
  <c r="CT43" i="9"/>
  <c r="V74" i="9"/>
  <c r="Z74" i="9" s="1"/>
  <c r="Z71" i="9"/>
  <c r="Z110" i="9" s="1"/>
  <c r="E157" i="9"/>
  <c r="AA111" i="4" s="1"/>
  <c r="CR43" i="9"/>
  <c r="CR44" i="9" s="1"/>
  <c r="D144" i="12"/>
  <c r="AM114" i="4" s="1"/>
  <c r="BO37" i="12"/>
  <c r="BO38" i="12" s="1"/>
  <c r="E126" i="8"/>
  <c r="S80" i="4" s="1"/>
  <c r="K118" i="8"/>
  <c r="S74" i="17"/>
  <c r="W74" i="17" s="1"/>
  <c r="W73" i="17"/>
  <c r="BV29" i="10"/>
  <c r="B142" i="16"/>
  <c r="BM117" i="4"/>
  <c r="D138" i="12"/>
  <c r="R46" i="12"/>
  <c r="U46" i="12" s="1"/>
  <c r="V46" i="12" s="1"/>
  <c r="BM37" i="12"/>
  <c r="BM38" i="12" s="1"/>
  <c r="CV42" i="8"/>
  <c r="K50" i="11"/>
  <c r="DA43" i="8"/>
  <c r="DA44" i="8" s="1"/>
  <c r="J17" i="4"/>
  <c r="L12" i="4"/>
  <c r="E107" i="6"/>
  <c r="O79" i="4" s="1"/>
  <c r="BV20" i="10"/>
  <c r="M125" i="7"/>
  <c r="BV19" i="14"/>
  <c r="E124" i="9"/>
  <c r="AA78" i="4" s="1"/>
  <c r="D91" i="7"/>
  <c r="E91" i="7" s="1"/>
  <c r="CU31" i="7"/>
  <c r="CU23" i="7"/>
  <c r="I85" i="7"/>
  <c r="O85" i="7" s="1"/>
  <c r="CQ28" i="7" s="1"/>
  <c r="O138" i="7" s="1"/>
  <c r="CQ31" i="7"/>
  <c r="O141" i="7" s="1"/>
  <c r="CZ29" i="7"/>
  <c r="CQ23" i="7"/>
  <c r="O133" i="7" s="1"/>
  <c r="CZ21" i="7"/>
  <c r="U49" i="7"/>
  <c r="O82" i="7"/>
  <c r="E158" i="7" s="1"/>
  <c r="W112" i="4" s="1"/>
  <c r="CU29" i="7"/>
  <c r="CU21" i="7"/>
  <c r="V99" i="7"/>
  <c r="Z99" i="7" s="1"/>
  <c r="CZ41" i="7" s="1"/>
  <c r="V105" i="7"/>
  <c r="Z105" i="7" s="1"/>
  <c r="CU39" i="7"/>
  <c r="CU20" i="7"/>
  <c r="CU27" i="7"/>
  <c r="CU18" i="7"/>
  <c r="CU24" i="7"/>
  <c r="CU12" i="7"/>
  <c r="CU22" i="7"/>
  <c r="CQ11" i="7"/>
  <c r="O121" i="7" s="1"/>
  <c r="CU32" i="7"/>
  <c r="CU10" i="7"/>
  <c r="CU42" i="7" s="1"/>
  <c r="CQ35" i="7"/>
  <c r="O145" i="7" s="1"/>
  <c r="CZ28" i="7"/>
  <c r="CU28" i="7"/>
  <c r="CU19" i="7"/>
  <c r="O79" i="7"/>
  <c r="CU36" i="7"/>
  <c r="CU34" i="7"/>
  <c r="CU14" i="7"/>
  <c r="CU15" i="7"/>
  <c r="CU35" i="7"/>
  <c r="CQ20" i="7"/>
  <c r="O130" i="7" s="1"/>
  <c r="CU38" i="7"/>
  <c r="CZ17" i="7"/>
  <c r="CQ19" i="7"/>
  <c r="O129" i="7" s="1"/>
  <c r="CQ38" i="7"/>
  <c r="O148" i="7" s="1"/>
  <c r="CU41" i="7"/>
  <c r="CQ27" i="7"/>
  <c r="O137" i="7" s="1"/>
  <c r="CU33" i="7"/>
  <c r="O81" i="7"/>
  <c r="E156" i="7" s="1"/>
  <c r="W110" i="4" s="1"/>
  <c r="CU40" i="7"/>
  <c r="O80" i="7"/>
  <c r="CQ39" i="7" s="1"/>
  <c r="O149" i="7" s="1"/>
  <c r="C15" i="4"/>
  <c r="CU37" i="7"/>
  <c r="CU26" i="7"/>
  <c r="CU11" i="7"/>
  <c r="CU25" i="7"/>
  <c r="CU17" i="7"/>
  <c r="CU16" i="7"/>
  <c r="CU13" i="7"/>
  <c r="CU30" i="7"/>
  <c r="BV22" i="14"/>
  <c r="M123" i="7"/>
  <c r="E126" i="9"/>
  <c r="AA80" i="4" s="1"/>
  <c r="M122" i="7"/>
  <c r="AW39" i="20"/>
  <c r="X39" i="20"/>
  <c r="W39" i="20" s="1"/>
  <c r="M134" i="7"/>
  <c r="R47" i="12"/>
  <c r="U47" i="12" s="1"/>
  <c r="V47" i="12" s="1"/>
  <c r="D140" i="12"/>
  <c r="AM110" i="4" s="1"/>
  <c r="CX42" i="8"/>
  <c r="D128" i="11"/>
  <c r="AI98" i="4" s="1"/>
  <c r="BV17" i="13"/>
  <c r="E106" i="6"/>
  <c r="O78" i="4" s="1"/>
  <c r="Q44" i="6"/>
  <c r="K12" i="4"/>
  <c r="BS36" i="10"/>
  <c r="BV10" i="10"/>
  <c r="P41" i="20"/>
  <c r="K52" i="4" s="1"/>
  <c r="BV34" i="14"/>
  <c r="BK51" i="17"/>
  <c r="BK52" i="17" s="1"/>
  <c r="D157" i="17"/>
  <c r="BC78" i="4" s="1"/>
  <c r="P70" i="17"/>
  <c r="K28" i="4"/>
  <c r="K29" i="4" s="1"/>
  <c r="CT44" i="8"/>
  <c r="CW42" i="8"/>
  <c r="BQ36" i="13"/>
  <c r="BV16" i="10"/>
  <c r="BM50" i="17"/>
  <c r="BM52" i="17" s="1"/>
  <c r="BM18" i="5"/>
  <c r="AW38" i="20"/>
  <c r="X38" i="20"/>
  <c r="W38" i="20" s="1"/>
  <c r="BN37" i="11"/>
  <c r="BN38" i="11" s="1"/>
  <c r="D139" i="11"/>
  <c r="AI109" i="4" s="1"/>
  <c r="CY42" i="9"/>
  <c r="BV14" i="13"/>
  <c r="BV17" i="10"/>
  <c r="AY37" i="20"/>
  <c r="AY7" i="20" s="1"/>
  <c r="AN14" i="20"/>
  <c r="S41" i="20"/>
  <c r="BV28" i="14"/>
  <c r="D147" i="10"/>
  <c r="AE117" i="4" s="1"/>
  <c r="BV29" i="13"/>
  <c r="AN68" i="20"/>
  <c r="BV13" i="13"/>
  <c r="E125" i="7"/>
  <c r="W79" i="4" s="1"/>
  <c r="D112" i="13"/>
  <c r="AQ81" i="4" s="1"/>
  <c r="BK37" i="13"/>
  <c r="BK38" i="13" s="1"/>
  <c r="M24" i="4"/>
  <c r="BM11" i="5"/>
  <c r="F105" i="21"/>
  <c r="S62" i="12"/>
  <c r="W62" i="12" s="1"/>
  <c r="W61" i="12"/>
  <c r="B42" i="10"/>
  <c r="D111" i="11"/>
  <c r="AI80" i="4" s="1"/>
  <c r="J22" i="4"/>
  <c r="L32" i="4"/>
  <c r="L33" i="4" s="1"/>
  <c r="W120" i="21"/>
  <c r="F120" i="21"/>
  <c r="BS79" i="4" s="1"/>
  <c r="DA43" i="9"/>
  <c r="DA44" i="9" s="1"/>
  <c r="J19" i="4"/>
  <c r="T72" i="6"/>
  <c r="X72" i="6" s="1"/>
  <c r="X71" i="6"/>
  <c r="BV27" i="10"/>
  <c r="N90" i="15"/>
  <c r="D90" i="15" s="1"/>
  <c r="BK38" i="11"/>
  <c r="BV31" i="10"/>
  <c r="CT44" i="9"/>
  <c r="E89" i="8"/>
  <c r="O81" i="8"/>
  <c r="E156" i="8" s="1"/>
  <c r="S110" i="4" s="1"/>
  <c r="CZ40" i="8"/>
  <c r="CQ34" i="8"/>
  <c r="O144" i="8" s="1"/>
  <c r="CZ32" i="8"/>
  <c r="CU41" i="8"/>
  <c r="CU33" i="8"/>
  <c r="O80" i="8"/>
  <c r="E155" i="8" s="1"/>
  <c r="S109" i="4" s="1"/>
  <c r="CQ41" i="8"/>
  <c r="O151" i="8" s="1"/>
  <c r="CZ39" i="8"/>
  <c r="CQ33" i="8"/>
  <c r="O143" i="8" s="1"/>
  <c r="CZ31" i="8"/>
  <c r="CU40" i="8"/>
  <c r="CU32" i="8"/>
  <c r="O79" i="8"/>
  <c r="U47" i="8"/>
  <c r="CQ40" i="8"/>
  <c r="O150" i="8" s="1"/>
  <c r="CZ38" i="8"/>
  <c r="CQ32" i="8"/>
  <c r="O142" i="8" s="1"/>
  <c r="CZ30" i="8"/>
  <c r="CU39" i="8"/>
  <c r="CU31" i="8"/>
  <c r="CQ39" i="8"/>
  <c r="O149" i="8" s="1"/>
  <c r="CZ37" i="8"/>
  <c r="CQ31" i="8"/>
  <c r="O141" i="8" s="1"/>
  <c r="CU38" i="8"/>
  <c r="CU30" i="8"/>
  <c r="Y65" i="8"/>
  <c r="CU37" i="8"/>
  <c r="I85" i="8"/>
  <c r="O85" i="8" s="1"/>
  <c r="CZ35" i="8"/>
  <c r="CQ22" i="8"/>
  <c r="O132" i="8" s="1"/>
  <c r="CZ20" i="8"/>
  <c r="CQ14" i="8"/>
  <c r="O124" i="8" s="1"/>
  <c r="CZ12" i="8"/>
  <c r="CU21" i="8"/>
  <c r="CU13" i="8"/>
  <c r="U49" i="8"/>
  <c r="O82" i="8"/>
  <c r="E158" i="8" s="1"/>
  <c r="S112" i="4" s="1"/>
  <c r="CZ36" i="8"/>
  <c r="CQ35" i="8"/>
  <c r="O145" i="8" s="1"/>
  <c r="CZ41" i="8"/>
  <c r="CZ29" i="8"/>
  <c r="D91" i="8"/>
  <c r="E91" i="8" s="1"/>
  <c r="CU36" i="8"/>
  <c r="CQ28" i="8"/>
  <c r="O138" i="8" s="1"/>
  <c r="CQ27" i="8"/>
  <c r="O137" i="8" s="1"/>
  <c r="CZ25" i="8"/>
  <c r="V99" i="8"/>
  <c r="Z99" i="8" s="1"/>
  <c r="CQ25" i="8"/>
  <c r="O135" i="8" s="1"/>
  <c r="CZ23" i="8"/>
  <c r="CU24" i="8"/>
  <c r="CZ33" i="8"/>
  <c r="CZ26" i="8"/>
  <c r="CQ12" i="8"/>
  <c r="O122" i="8" s="1"/>
  <c r="V105" i="8"/>
  <c r="Z105" i="8" s="1"/>
  <c r="CU22" i="8"/>
  <c r="CZ14" i="8"/>
  <c r="CZ13" i="8"/>
  <c r="CQ38" i="8"/>
  <c r="O148" i="8" s="1"/>
  <c r="CU26" i="8"/>
  <c r="CZ15" i="8"/>
  <c r="CQ37" i="8"/>
  <c r="O147" i="8" s="1"/>
  <c r="CQ26" i="8"/>
  <c r="O136" i="8" s="1"/>
  <c r="CZ17" i="8"/>
  <c r="CZ16" i="8"/>
  <c r="CQ13" i="8"/>
  <c r="O123" i="8" s="1"/>
  <c r="C45" i="8"/>
  <c r="C114" i="8" s="1"/>
  <c r="CZ18" i="8"/>
  <c r="CU14" i="8"/>
  <c r="CQ36" i="8"/>
  <c r="O146" i="8" s="1"/>
  <c r="CU23" i="8"/>
  <c r="CZ19" i="8"/>
  <c r="CU16" i="8"/>
  <c r="CU15" i="8"/>
  <c r="CZ27" i="8"/>
  <c r="CU17" i="8"/>
  <c r="CQ23" i="8"/>
  <c r="O133" i="8" s="1"/>
  <c r="CU18" i="8"/>
  <c r="CZ28" i="8"/>
  <c r="CU11" i="8"/>
  <c r="CQ18" i="8"/>
  <c r="O128" i="8" s="1"/>
  <c r="CQ30" i="8"/>
  <c r="O140" i="8" s="1"/>
  <c r="CQ17" i="8"/>
  <c r="O127" i="8" s="1"/>
  <c r="CU29" i="8"/>
  <c r="CU28" i="8"/>
  <c r="CQ29" i="8"/>
  <c r="O139" i="8" s="1"/>
  <c r="CU25" i="8"/>
  <c r="CZ11" i="8"/>
  <c r="CU27" i="8"/>
  <c r="CU19" i="8"/>
  <c r="CZ24" i="8"/>
  <c r="CU34" i="8"/>
  <c r="CU12" i="8"/>
  <c r="CU20" i="8"/>
  <c r="CQ10" i="8"/>
  <c r="CZ22" i="8"/>
  <c r="CQ16" i="8"/>
  <c r="O126" i="8" s="1"/>
  <c r="CZ21" i="8"/>
  <c r="CQ20" i="8"/>
  <c r="O130" i="8" s="1"/>
  <c r="CQ21" i="8"/>
  <c r="O131" i="8" s="1"/>
  <c r="CQ15" i="8"/>
  <c r="O125" i="8" s="1"/>
  <c r="CU35" i="8"/>
  <c r="C17" i="4"/>
  <c r="CQ19" i="8"/>
  <c r="O129" i="8" s="1"/>
  <c r="CZ34" i="8"/>
  <c r="CQ11" i="8"/>
  <c r="O121" i="8" s="1"/>
  <c r="CZ10" i="8"/>
  <c r="CQ24" i="8"/>
  <c r="O134" i="8" s="1"/>
  <c r="CU10" i="8"/>
  <c r="BH36" i="16"/>
  <c r="BH37" i="16" s="1"/>
  <c r="D148" i="16"/>
  <c r="Q62" i="9"/>
  <c r="CO43" i="9"/>
  <c r="CO44" i="9" s="1"/>
  <c r="K19" i="4"/>
  <c r="E160" i="8"/>
  <c r="S114" i="4" s="1"/>
  <c r="CT43" i="8"/>
  <c r="BV30" i="10"/>
  <c r="CA39" i="5"/>
  <c r="BY40" i="5" s="1"/>
  <c r="BK107" i="4"/>
  <c r="DA44" i="7"/>
  <c r="AY108" i="4"/>
  <c r="E127" i="8"/>
  <c r="S81" i="4" s="1"/>
  <c r="CN43" i="8"/>
  <c r="CN44" i="8" s="1"/>
  <c r="M17" i="4"/>
  <c r="V74" i="8"/>
  <c r="Z74" i="8" s="1"/>
  <c r="Z71" i="8"/>
  <c r="BY51" i="17"/>
  <c r="D158" i="17"/>
  <c r="BC79" i="4" s="1"/>
  <c r="L28" i="4"/>
  <c r="L29" i="4" s="1"/>
  <c r="BV18" i="14"/>
  <c r="BV26" i="14"/>
  <c r="S85" i="11"/>
  <c r="W85" i="11" s="1"/>
  <c r="I71" i="11"/>
  <c r="N71" i="11" s="1"/>
  <c r="O46" i="11"/>
  <c r="N56" i="11"/>
  <c r="Q41" i="20"/>
  <c r="F163" i="21"/>
  <c r="BS123" i="4" s="1"/>
  <c r="F157" i="21"/>
  <c r="M22" i="4"/>
  <c r="E125" i="8"/>
  <c r="S79" i="4" s="1"/>
  <c r="CZ43" i="8"/>
  <c r="L17" i="4"/>
  <c r="L64" i="8"/>
  <c r="E106" i="8"/>
  <c r="O106" i="8" s="1"/>
  <c r="BV31" i="13"/>
  <c r="Q62" i="8"/>
  <c r="CO43" i="8"/>
  <c r="K17" i="4"/>
  <c r="W119" i="21"/>
  <c r="F119" i="21"/>
  <c r="BS78" i="4" s="1"/>
  <c r="K32" i="4"/>
  <c r="K33" i="4" s="1"/>
  <c r="E126" i="7"/>
  <c r="W80" i="4" s="1"/>
  <c r="AV33" i="19"/>
  <c r="AV34" i="19" s="1"/>
  <c r="BJ33" i="19"/>
  <c r="BJ34" i="19" s="1"/>
  <c r="P26" i="4"/>
  <c r="AL58" i="4" s="1"/>
  <c r="BV21" i="14"/>
  <c r="I120" i="8"/>
  <c r="I117" i="8" s="1"/>
  <c r="CO42" i="8"/>
  <c r="BV19" i="10"/>
  <c r="E130" i="18"/>
  <c r="BG85" i="4" s="1"/>
  <c r="I30" i="4"/>
  <c r="M33" i="4"/>
  <c r="I33" i="4"/>
  <c r="H33" i="4"/>
  <c r="R33" i="4"/>
  <c r="O33" i="4"/>
  <c r="J33" i="4"/>
  <c r="P33" i="4"/>
  <c r="U33" i="4"/>
  <c r="T33" i="4"/>
  <c r="M129" i="7"/>
  <c r="AS45" i="5"/>
  <c r="O54" i="5" s="1"/>
  <c r="BR9" i="5"/>
  <c r="BR40" i="5"/>
  <c r="BM34" i="5"/>
  <c r="BM26" i="5"/>
  <c r="BM15" i="5"/>
  <c r="BM38" i="5"/>
  <c r="BM12" i="5"/>
  <c r="BM28" i="5"/>
  <c r="BM22" i="5"/>
  <c r="BM33" i="5"/>
  <c r="BM32" i="5"/>
  <c r="BM30" i="5"/>
  <c r="BM31" i="5"/>
  <c r="BM20" i="5"/>
  <c r="BV13" i="14"/>
  <c r="AR12" i="5"/>
  <c r="X30" i="20"/>
  <c r="W30" i="20" s="1"/>
  <c r="AW30" i="20"/>
  <c r="D114" i="12"/>
  <c r="AM83" i="4" s="1"/>
  <c r="N23" i="4"/>
  <c r="D112" i="11"/>
  <c r="AI81" i="4" s="1"/>
  <c r="N64" i="12"/>
  <c r="S77" i="12"/>
  <c r="W77" i="12" s="1"/>
  <c r="D147" i="13"/>
  <c r="AQ117" i="4" s="1"/>
  <c r="E49" i="20"/>
  <c r="BW75" i="4" s="1"/>
  <c r="M47" i="4"/>
  <c r="L11" i="4"/>
  <c r="BV20" i="13"/>
  <c r="BV21" i="10"/>
  <c r="BV27" i="14"/>
  <c r="V74" i="7"/>
  <c r="Z74" i="7" s="1"/>
  <c r="Z71" i="7"/>
  <c r="E142" i="5"/>
  <c r="CO12" i="5"/>
  <c r="CO11" i="5"/>
  <c r="CO14" i="5"/>
  <c r="CO13" i="5"/>
  <c r="CO17" i="5"/>
  <c r="M73" i="5"/>
  <c r="CO18" i="5"/>
  <c r="M133" i="7"/>
  <c r="BV14" i="14"/>
  <c r="BK37" i="10"/>
  <c r="BK38" i="10" s="1"/>
  <c r="D112" i="10"/>
  <c r="AE81" i="4" s="1"/>
  <c r="M14" i="4"/>
  <c r="BV15" i="13"/>
  <c r="V74" i="18"/>
  <c r="Z74" i="18" s="1"/>
  <c r="V69" i="18"/>
  <c r="Z71" i="18"/>
  <c r="BK37" i="12"/>
  <c r="BK38" i="12" s="1"/>
  <c r="D112" i="12"/>
  <c r="AM81" i="4" s="1"/>
  <c r="M23" i="4"/>
  <c r="F96" i="12"/>
  <c r="N96" i="12" s="1"/>
  <c r="CV42" i="18"/>
  <c r="S66" i="10"/>
  <c r="W66" i="10" s="1"/>
  <c r="S81" i="10"/>
  <c r="W81" i="10" s="1"/>
  <c r="S90" i="10"/>
  <c r="W90" i="10" s="1"/>
  <c r="N70" i="10"/>
  <c r="D143" i="10" s="1"/>
  <c r="AE113" i="4" s="1"/>
  <c r="N69" i="10"/>
  <c r="D142" i="10" s="1"/>
  <c r="AE112" i="4" s="1"/>
  <c r="S60" i="10"/>
  <c r="W60" i="10" s="1"/>
  <c r="D76" i="10"/>
  <c r="S58" i="10"/>
  <c r="W58" i="10" s="1"/>
  <c r="S52" i="10"/>
  <c r="K64" i="10"/>
  <c r="T44" i="10"/>
  <c r="S61" i="10"/>
  <c r="N68" i="10"/>
  <c r="N67" i="10"/>
  <c r="S79" i="10"/>
  <c r="W79" i="10" s="1"/>
  <c r="C14" i="4"/>
  <c r="E142" i="18"/>
  <c r="BG98" i="4" s="1"/>
  <c r="O30" i="4"/>
  <c r="S55" i="12"/>
  <c r="W55" i="12" s="1"/>
  <c r="W52" i="12"/>
  <c r="BM13" i="5"/>
  <c r="BV19" i="13"/>
  <c r="G17" i="4"/>
  <c r="BB54" i="21"/>
  <c r="W150" i="21"/>
  <c r="F154" i="21"/>
  <c r="BS114" i="4" s="1"/>
  <c r="BV17" i="14"/>
  <c r="M124" i="7"/>
  <c r="BJ37" i="12"/>
  <c r="BJ38" i="12" s="1"/>
  <c r="P46" i="12"/>
  <c r="D109" i="12"/>
  <c r="AM78" i="4" s="1"/>
  <c r="K23" i="4"/>
  <c r="BV24" i="10"/>
  <c r="CZ43" i="18"/>
  <c r="CZ44" i="18" s="1"/>
  <c r="J30" i="4"/>
  <c r="BV35" i="10"/>
  <c r="BV20" i="14"/>
  <c r="D144" i="13"/>
  <c r="AQ114" i="4" s="1"/>
  <c r="BO37" i="13"/>
  <c r="BO38" i="13" s="1"/>
  <c r="BM35" i="5"/>
  <c r="CO43" i="18"/>
  <c r="K30" i="4"/>
  <c r="D114" i="19"/>
  <c r="BO91" i="4" s="1"/>
  <c r="S41" i="4"/>
  <c r="E126" i="18"/>
  <c r="BG81" i="4" s="1"/>
  <c r="CN43" i="18"/>
  <c r="M30" i="4"/>
  <c r="M135" i="7"/>
  <c r="BS42" i="7"/>
  <c r="L65" i="7" s="1"/>
  <c r="U47" i="7" s="1"/>
  <c r="CC10" i="7"/>
  <c r="CC42" i="7" s="1"/>
  <c r="CN10" i="7"/>
  <c r="W144" i="21"/>
  <c r="AZ54" i="21"/>
  <c r="F148" i="21"/>
  <c r="BS108" i="4" s="1"/>
  <c r="Q32" i="4"/>
  <c r="AM61" i="4" s="1"/>
  <c r="N86" i="21"/>
  <c r="X57" i="6"/>
  <c r="T58" i="6"/>
  <c r="X58" i="6" s="1"/>
  <c r="H67" i="11"/>
  <c r="BV31" i="14"/>
  <c r="CO42" i="18"/>
  <c r="I119" i="18"/>
  <c r="I116" i="18" s="1"/>
  <c r="E123" i="18" s="1"/>
  <c r="BG78" i="4" s="1"/>
  <c r="E131" i="7"/>
  <c r="W85" i="4" s="1"/>
  <c r="I15" i="4"/>
  <c r="S82" i="11"/>
  <c r="W82" i="11" s="1"/>
  <c r="G19" i="4"/>
  <c r="I17" i="4"/>
  <c r="E131" i="8"/>
  <c r="S85" i="4" s="1"/>
  <c r="BN50" i="17"/>
  <c r="BN52" i="17" s="1"/>
  <c r="O117" i="4"/>
  <c r="B42" i="14"/>
  <c r="F25" i="4" s="1"/>
  <c r="E125" i="6"/>
  <c r="O98" i="4" s="1"/>
  <c r="O12" i="4"/>
  <c r="BL10" i="6"/>
  <c r="D124" i="15"/>
  <c r="AY78" i="4" s="1"/>
  <c r="P63" i="15"/>
  <c r="BE55" i="15"/>
  <c r="BE56" i="15" s="1"/>
  <c r="K26" i="4"/>
  <c r="F125" i="21"/>
  <c r="BS84" i="4" s="1"/>
  <c r="W125" i="21"/>
  <c r="BV11" i="13"/>
  <c r="BV33" i="13"/>
  <c r="T53" i="6"/>
  <c r="X53" i="6" s="1"/>
  <c r="T51" i="6"/>
  <c r="X51" i="6" s="1"/>
  <c r="X50" i="6"/>
  <c r="BV13" i="10"/>
  <c r="BM36" i="11"/>
  <c r="G84" i="4" l="1"/>
  <c r="AR84" i="4" s="1"/>
  <c r="Q33" i="4"/>
  <c r="B56" i="21"/>
  <c r="B108" i="21" s="1"/>
  <c r="I108" i="21"/>
  <c r="W114" i="21"/>
  <c r="F147" i="21"/>
  <c r="BS107" i="4" s="1"/>
  <c r="D86" i="21"/>
  <c r="BD11" i="21"/>
  <c r="X11" i="21" s="1"/>
  <c r="BD35" i="21"/>
  <c r="BD22" i="21"/>
  <c r="BD45" i="21"/>
  <c r="BD14" i="21"/>
  <c r="X14" i="21" s="1"/>
  <c r="BD48" i="21"/>
  <c r="BD21" i="21"/>
  <c r="X21" i="21" s="1"/>
  <c r="BD20" i="21"/>
  <c r="X20" i="21" s="1"/>
  <c r="BD36" i="21"/>
  <c r="BD12" i="21"/>
  <c r="X12" i="21" s="1"/>
  <c r="BD17" i="21"/>
  <c r="X17" i="21" s="1"/>
  <c r="BD27" i="21"/>
  <c r="BD18" i="21"/>
  <c r="X18" i="21" s="1"/>
  <c r="BD13" i="21"/>
  <c r="X13" i="21" s="1"/>
  <c r="BD30" i="21"/>
  <c r="BD31" i="21"/>
  <c r="BD42" i="21"/>
  <c r="BD49" i="21"/>
  <c r="BD15" i="21"/>
  <c r="X15" i="21" s="1"/>
  <c r="BD39" i="21"/>
  <c r="BD40" i="21"/>
  <c r="BD41" i="21"/>
  <c r="BD46" i="21"/>
  <c r="BD50" i="21"/>
  <c r="BD26" i="21"/>
  <c r="BD32" i="21"/>
  <c r="BD28" i="21"/>
  <c r="BD33" i="21"/>
  <c r="BD29" i="21"/>
  <c r="BD34" i="21"/>
  <c r="BD10" i="21"/>
  <c r="X10" i="21" s="1"/>
  <c r="BD38" i="21"/>
  <c r="BD19" i="21"/>
  <c r="X19" i="21" s="1"/>
  <c r="BD47" i="21"/>
  <c r="BD44" i="21"/>
  <c r="BD25" i="21"/>
  <c r="BD16" i="21"/>
  <c r="X16" i="21" s="1"/>
  <c r="BD43" i="21"/>
  <c r="BD23" i="21"/>
  <c r="BD37" i="21"/>
  <c r="BD24" i="21"/>
  <c r="BD51" i="21"/>
  <c r="L68" i="19"/>
  <c r="BB33" i="19" s="1"/>
  <c r="BB34" i="19" s="1"/>
  <c r="D112" i="19"/>
  <c r="BO89" i="4" s="1"/>
  <c r="BV12" i="17"/>
  <c r="BV10" i="17"/>
  <c r="BY50" i="17"/>
  <c r="BY52" i="17" s="1"/>
  <c r="AL59" i="4"/>
  <c r="P29" i="4"/>
  <c r="BM33" i="15"/>
  <c r="BM13" i="15"/>
  <c r="BM49" i="15"/>
  <c r="BM41" i="15"/>
  <c r="BM20" i="15"/>
  <c r="BM27" i="15"/>
  <c r="BM31" i="15"/>
  <c r="BM50" i="15"/>
  <c r="BM21" i="15"/>
  <c r="BM52" i="15"/>
  <c r="BM34" i="15"/>
  <c r="BM42" i="15"/>
  <c r="BM18" i="15"/>
  <c r="BM38" i="15"/>
  <c r="BM36" i="15"/>
  <c r="BM53" i="15"/>
  <c r="BM47" i="15"/>
  <c r="BM11" i="15"/>
  <c r="BM26" i="15"/>
  <c r="BM12" i="15"/>
  <c r="BM28" i="15"/>
  <c r="BM15" i="15"/>
  <c r="BO15" i="15" s="1"/>
  <c r="BM39" i="15"/>
  <c r="BM24" i="15"/>
  <c r="BM19" i="15"/>
  <c r="BO19" i="15" s="1"/>
  <c r="BM37" i="15"/>
  <c r="BM10" i="15"/>
  <c r="BM22" i="15"/>
  <c r="BO22" i="15" s="1"/>
  <c r="BM25" i="15"/>
  <c r="BM14" i="15"/>
  <c r="BO14" i="15" s="1"/>
  <c r="BM45" i="15"/>
  <c r="BO45" i="15" s="1"/>
  <c r="BM16" i="15"/>
  <c r="BM43" i="15"/>
  <c r="BM23" i="15"/>
  <c r="BM35" i="15"/>
  <c r="BM51" i="15"/>
  <c r="BM46" i="15"/>
  <c r="BM29" i="15"/>
  <c r="BM17" i="15"/>
  <c r="BM32" i="15"/>
  <c r="BM40" i="15"/>
  <c r="BM30" i="15"/>
  <c r="BM48" i="15"/>
  <c r="BM44" i="15"/>
  <c r="T58" i="15"/>
  <c r="I58" i="15" s="1"/>
  <c r="I113" i="15" s="1"/>
  <c r="W26" i="4"/>
  <c r="I118" i="9"/>
  <c r="AW7" i="20"/>
  <c r="BH7" i="20" s="1"/>
  <c r="V45" i="9"/>
  <c r="V114" i="9" s="1"/>
  <c r="N64" i="14"/>
  <c r="S77" i="14"/>
  <c r="W77" i="14" s="1"/>
  <c r="BR36" i="14"/>
  <c r="V66" i="18"/>
  <c r="Z66" i="18" s="1"/>
  <c r="Z69" i="18"/>
  <c r="BR36" i="13"/>
  <c r="O51" i="5"/>
  <c r="I60" i="5"/>
  <c r="O60" i="5" s="1"/>
  <c r="L48" i="5"/>
  <c r="G80" i="5"/>
  <c r="O80" i="5" s="1"/>
  <c r="S69" i="5"/>
  <c r="W69" i="5" s="1"/>
  <c r="D140" i="13"/>
  <c r="AQ110" i="4" s="1"/>
  <c r="R47" i="13"/>
  <c r="U47" i="13" s="1"/>
  <c r="V47" i="13" s="1"/>
  <c r="S18" i="4"/>
  <c r="R18" i="4"/>
  <c r="F17" i="4"/>
  <c r="P18" i="4"/>
  <c r="Q18" i="4"/>
  <c r="N18" i="4"/>
  <c r="M18" i="4"/>
  <c r="L18" i="4"/>
  <c r="K18" i="4"/>
  <c r="J18" i="4"/>
  <c r="I18" i="4"/>
  <c r="G18" i="4"/>
  <c r="H18" i="4"/>
  <c r="Y17" i="4"/>
  <c r="T18" i="4"/>
  <c r="O18" i="4"/>
  <c r="X17" i="4"/>
  <c r="CZ26" i="7"/>
  <c r="R46" i="14"/>
  <c r="U46" i="14" s="1"/>
  <c r="V46" i="14" s="1"/>
  <c r="D138" i="14"/>
  <c r="BM37" i="14"/>
  <c r="BM38" i="14" s="1"/>
  <c r="N76" i="14"/>
  <c r="P25" i="4"/>
  <c r="D74" i="19"/>
  <c r="N74" i="19" s="1"/>
  <c r="D140" i="19" s="1"/>
  <c r="N73" i="19"/>
  <c r="L15" i="4"/>
  <c r="L16" i="4" s="1"/>
  <c r="CZ14" i="7"/>
  <c r="R41" i="4"/>
  <c r="CZ43" i="7"/>
  <c r="K118" i="9"/>
  <c r="CQ18" i="7"/>
  <c r="CQ25" i="7"/>
  <c r="BV36" i="13"/>
  <c r="BW36" i="13" s="1"/>
  <c r="S77" i="13"/>
  <c r="W77" i="13" s="1"/>
  <c r="N64" i="13"/>
  <c r="CO44" i="7"/>
  <c r="CQ48" i="7"/>
  <c r="CQ42" i="8"/>
  <c r="O120" i="8"/>
  <c r="O117" i="8" s="1"/>
  <c r="BO107" i="4"/>
  <c r="CZ31" i="7"/>
  <c r="CQ41" i="7"/>
  <c r="O151" i="7" s="1"/>
  <c r="CZ25" i="7"/>
  <c r="CQ16" i="7"/>
  <c r="N17" i="4"/>
  <c r="E129" i="8"/>
  <c r="S83" i="4" s="1"/>
  <c r="CZ20" i="7"/>
  <c r="CZ37" i="7"/>
  <c r="CQ40" i="7"/>
  <c r="O150" i="7" s="1"/>
  <c r="O127" i="18"/>
  <c r="X32" i="4"/>
  <c r="S55" i="13"/>
  <c r="W55" i="13" s="1"/>
  <c r="W52" i="13"/>
  <c r="BS117" i="4"/>
  <c r="CZ36" i="7"/>
  <c r="D138" i="10"/>
  <c r="BM37" i="10"/>
  <c r="BM38" i="10" s="1"/>
  <c r="R46" i="10"/>
  <c r="U46" i="10" s="1"/>
  <c r="V46" i="10" s="1"/>
  <c r="N76" i="10"/>
  <c r="P14" i="4"/>
  <c r="AL54" i="4" s="1"/>
  <c r="CZ22" i="7"/>
  <c r="CZ38" i="7"/>
  <c r="CZ24" i="7"/>
  <c r="CZ12" i="7"/>
  <c r="E124" i="7"/>
  <c r="W78" i="4" s="1"/>
  <c r="T57" i="21"/>
  <c r="V58" i="21" s="1"/>
  <c r="CZ10" i="7"/>
  <c r="CZ30" i="7"/>
  <c r="N64" i="10"/>
  <c r="S77" i="10"/>
  <c r="W77" i="10" s="1"/>
  <c r="CQ14" i="7"/>
  <c r="O91" i="7"/>
  <c r="E94" i="7"/>
  <c r="O94" i="7" s="1"/>
  <c r="E93" i="7"/>
  <c r="O93" i="7" s="1"/>
  <c r="E136" i="7" s="1"/>
  <c r="W90" i="4" s="1"/>
  <c r="G90" i="4" s="1"/>
  <c r="AR90" i="4" s="1"/>
  <c r="E101" i="7"/>
  <c r="O101" i="7" s="1"/>
  <c r="E100" i="7"/>
  <c r="O100" i="7" s="1"/>
  <c r="E168" i="7" s="1"/>
  <c r="W122" i="4" s="1"/>
  <c r="E97" i="7"/>
  <c r="E99" i="7"/>
  <c r="O99" i="7" s="1"/>
  <c r="E167" i="7" s="1"/>
  <c r="W121" i="4" s="1"/>
  <c r="E152" i="18"/>
  <c r="O89" i="18"/>
  <c r="P30" i="4"/>
  <c r="AL60" i="4" s="1"/>
  <c r="B42" i="9"/>
  <c r="C114" i="9"/>
  <c r="B139" i="19"/>
  <c r="BQ117" i="4"/>
  <c r="R47" i="10"/>
  <c r="U47" i="10" s="1"/>
  <c r="V47" i="10" s="1"/>
  <c r="D140" i="10"/>
  <c r="AE110" i="4" s="1"/>
  <c r="CQ24" i="7"/>
  <c r="BV36" i="10"/>
  <c r="BW36" i="10" s="1"/>
  <c r="CO44" i="18"/>
  <c r="CQ48" i="18"/>
  <c r="K118" i="7"/>
  <c r="CQ36" i="7"/>
  <c r="O146" i="7" s="1"/>
  <c r="CZ35" i="7"/>
  <c r="O141" i="18"/>
  <c r="CW44" i="9"/>
  <c r="S62" i="13"/>
  <c r="W62" i="13" s="1"/>
  <c r="W61" i="13"/>
  <c r="BJ37" i="11"/>
  <c r="BJ38" i="11" s="1"/>
  <c r="D109" i="11"/>
  <c r="AI78" i="4" s="1"/>
  <c r="P46" i="11"/>
  <c r="K22" i="4"/>
  <c r="CQ33" i="7"/>
  <c r="O143" i="7" s="1"/>
  <c r="E94" i="20"/>
  <c r="BW121" i="4" s="1"/>
  <c r="BW117" i="4"/>
  <c r="CQ26" i="7"/>
  <c r="O136" i="7" s="1"/>
  <c r="CZ13" i="7"/>
  <c r="CQ37" i="7"/>
  <c r="O147" i="7" s="1"/>
  <c r="CQ43" i="9"/>
  <c r="CM43" i="9" s="1"/>
  <c r="CM44" i="9" s="1"/>
  <c r="BC33" i="19"/>
  <c r="BC34" i="19" s="1"/>
  <c r="M20" i="4"/>
  <c r="J20" i="4"/>
  <c r="L20" i="4"/>
  <c r="K20" i="4"/>
  <c r="H20" i="4"/>
  <c r="G20" i="4"/>
  <c r="Y19" i="4"/>
  <c r="X19" i="4"/>
  <c r="Q20" i="4"/>
  <c r="O20" i="4"/>
  <c r="F19" i="4"/>
  <c r="P20" i="4"/>
  <c r="I20" i="4"/>
  <c r="U20" i="4"/>
  <c r="U53" i="4" s="1"/>
  <c r="T20" i="4"/>
  <c r="W20" i="4"/>
  <c r="N20" i="4"/>
  <c r="R20" i="4"/>
  <c r="E154" i="9"/>
  <c r="AA108" i="4" s="1"/>
  <c r="O89" i="9"/>
  <c r="P19" i="4"/>
  <c r="AL56" i="4" s="1"/>
  <c r="O121" i="18"/>
  <c r="G85" i="4"/>
  <c r="AR85" i="4" s="1"/>
  <c r="E120" i="5"/>
  <c r="K100" i="4" s="1"/>
  <c r="G100" i="4" s="1"/>
  <c r="AR100" i="4" s="1"/>
  <c r="O11" i="4"/>
  <c r="G80" i="4"/>
  <c r="AR80" i="4" s="1"/>
  <c r="CZ11" i="7"/>
  <c r="CQ15" i="7"/>
  <c r="CQ34" i="7"/>
  <c r="BR36" i="10"/>
  <c r="CQ42" i="9"/>
  <c r="O120" i="9"/>
  <c r="O117" i="9" s="1"/>
  <c r="CQ43" i="18"/>
  <c r="BL36" i="11"/>
  <c r="D138" i="13"/>
  <c r="R46" i="13"/>
  <c r="U46" i="13" s="1"/>
  <c r="V46" i="13" s="1"/>
  <c r="BM37" i="13"/>
  <c r="BM38" i="13" s="1"/>
  <c r="N76" i="13"/>
  <c r="P24" i="4"/>
  <c r="CQ42" i="18"/>
  <c r="CQ44" i="18" s="1"/>
  <c r="L22" i="4"/>
  <c r="D110" i="11"/>
  <c r="AI79" i="4" s="1"/>
  <c r="S55" i="10"/>
  <c r="W55" i="10" s="1"/>
  <c r="W52" i="10"/>
  <c r="D114" i="10"/>
  <c r="AE83" i="4" s="1"/>
  <c r="N14" i="4"/>
  <c r="CQ17" i="7"/>
  <c r="D56" i="21"/>
  <c r="X57" i="21"/>
  <c r="T108" i="21"/>
  <c r="W113" i="21" s="1"/>
  <c r="CT41" i="18"/>
  <c r="O150" i="18" s="1"/>
  <c r="CT13" i="18"/>
  <c r="O122" i="18" s="1"/>
  <c r="CT11" i="18"/>
  <c r="CT26" i="18"/>
  <c r="O135" i="18" s="1"/>
  <c r="CT22" i="18"/>
  <c r="CT36" i="18"/>
  <c r="CT16" i="18"/>
  <c r="CT29" i="18"/>
  <c r="CT32" i="18"/>
  <c r="CT19" i="18"/>
  <c r="CT18" i="18"/>
  <c r="CT28" i="18"/>
  <c r="CT38" i="18"/>
  <c r="O147" i="18" s="1"/>
  <c r="CT35" i="18"/>
  <c r="CT23" i="18"/>
  <c r="CT33" i="18"/>
  <c r="O142" i="18" s="1"/>
  <c r="CT30" i="18"/>
  <c r="CT15" i="18"/>
  <c r="O124" i="18" s="1"/>
  <c r="CT17" i="18"/>
  <c r="O126" i="18" s="1"/>
  <c r="CT12" i="18"/>
  <c r="CT34" i="18"/>
  <c r="CT37" i="18"/>
  <c r="O146" i="18" s="1"/>
  <c r="CT14" i="18"/>
  <c r="O123" i="18" s="1"/>
  <c r="CT10" i="18"/>
  <c r="O119" i="18" s="1"/>
  <c r="O87" i="18"/>
  <c r="CT39" i="18"/>
  <c r="O148" i="18" s="1"/>
  <c r="CT40" i="18"/>
  <c r="O149" i="18" s="1"/>
  <c r="CT21" i="18"/>
  <c r="O130" i="18" s="1"/>
  <c r="CT31" i="18"/>
  <c r="O140" i="18" s="1"/>
  <c r="CT25" i="18"/>
  <c r="O134" i="18" s="1"/>
  <c r="CT27" i="18"/>
  <c r="O136" i="18" s="1"/>
  <c r="CT20" i="18"/>
  <c r="O129" i="18" s="1"/>
  <c r="CT24" i="18"/>
  <c r="O133" i="18" s="1"/>
  <c r="O138" i="18"/>
  <c r="D22" i="22"/>
  <c r="N91" i="16"/>
  <c r="U42" i="7"/>
  <c r="I87" i="7" s="1"/>
  <c r="O87" i="7" s="1"/>
  <c r="CT10" i="7"/>
  <c r="CT42" i="7" s="1"/>
  <c r="O131" i="18"/>
  <c r="E52" i="20"/>
  <c r="BW78" i="4" s="1"/>
  <c r="G78" i="4" s="1"/>
  <c r="AR78" i="4" s="1"/>
  <c r="G47" i="4"/>
  <c r="BV36" i="14"/>
  <c r="BW36" i="14" s="1"/>
  <c r="E124" i="8"/>
  <c r="S78" i="4" s="1"/>
  <c r="CQ32" i="7"/>
  <c r="O142" i="7" s="1"/>
  <c r="CN44" i="9"/>
  <c r="CZ18" i="7"/>
  <c r="O125" i="18"/>
  <c r="BC111" i="4"/>
  <c r="G111" i="4" s="1"/>
  <c r="AR111" i="4" s="1"/>
  <c r="D185" i="17"/>
  <c r="CY43" i="9"/>
  <c r="CY44" i="9" s="1"/>
  <c r="E148" i="9"/>
  <c r="AA102" i="4" s="1"/>
  <c r="G102" i="4" s="1"/>
  <c r="AR102" i="4" s="1"/>
  <c r="O19" i="4"/>
  <c r="M118" i="8"/>
  <c r="V12" i="5"/>
  <c r="H65" i="3" s="1"/>
  <c r="U12" i="5"/>
  <c r="G65" i="3" s="1"/>
  <c r="O139" i="18"/>
  <c r="D152" i="15"/>
  <c r="O137" i="18"/>
  <c r="O144" i="18"/>
  <c r="X90" i="6"/>
  <c r="E103" i="6"/>
  <c r="O75" i="4" s="1"/>
  <c r="G12" i="4"/>
  <c r="BK123" i="4"/>
  <c r="D142" i="16"/>
  <c r="CZ23" i="7"/>
  <c r="S58" i="11"/>
  <c r="W58" i="11" s="1"/>
  <c r="N69" i="11"/>
  <c r="D142" i="11" s="1"/>
  <c r="AI112" i="4" s="1"/>
  <c r="G112" i="4" s="1"/>
  <c r="AR112" i="4" s="1"/>
  <c r="N67" i="11"/>
  <c r="S61" i="11"/>
  <c r="S66" i="11"/>
  <c r="W66" i="11" s="1"/>
  <c r="N70" i="11"/>
  <c r="D143" i="11" s="1"/>
  <c r="AI113" i="4" s="1"/>
  <c r="S79" i="11"/>
  <c r="W79" i="11" s="1"/>
  <c r="N68" i="11"/>
  <c r="S52" i="11"/>
  <c r="S90" i="11"/>
  <c r="W90" i="11" s="1"/>
  <c r="K64" i="11"/>
  <c r="S60" i="11"/>
  <c r="W60" i="11" s="1"/>
  <c r="S81" i="11"/>
  <c r="W81" i="11" s="1"/>
  <c r="C22" i="4"/>
  <c r="D17" i="22"/>
  <c r="DE38" i="9"/>
  <c r="S38" i="9" s="1"/>
  <c r="DE12" i="9"/>
  <c r="S12" i="9" s="1"/>
  <c r="DE17" i="9"/>
  <c r="S17" i="9" s="1"/>
  <c r="DE22" i="9"/>
  <c r="S22" i="9" s="1"/>
  <c r="DE27" i="9"/>
  <c r="S27" i="9" s="1"/>
  <c r="DE36" i="9"/>
  <c r="S36" i="9" s="1"/>
  <c r="DE32" i="9"/>
  <c r="S32" i="9" s="1"/>
  <c r="DE15" i="9"/>
  <c r="S15" i="9" s="1"/>
  <c r="DE20" i="9"/>
  <c r="S20" i="9" s="1"/>
  <c r="DE43" i="9"/>
  <c r="DE25" i="9"/>
  <c r="S25" i="9" s="1"/>
  <c r="DE41" i="9"/>
  <c r="S41" i="9" s="1"/>
  <c r="DE30" i="9"/>
  <c r="S30" i="9" s="1"/>
  <c r="DE35" i="9"/>
  <c r="S35" i="9" s="1"/>
  <c r="DE34" i="9"/>
  <c r="S34" i="9" s="1"/>
  <c r="DE39" i="9"/>
  <c r="S39" i="9" s="1"/>
  <c r="DE28" i="9"/>
  <c r="S28" i="9" s="1"/>
  <c r="E177" i="9"/>
  <c r="AA131" i="4" s="1"/>
  <c r="DE40" i="9"/>
  <c r="S40" i="9" s="1"/>
  <c r="DE16" i="9"/>
  <c r="S16" i="9" s="1"/>
  <c r="DE10" i="9"/>
  <c r="DE26" i="9"/>
  <c r="S26" i="9" s="1"/>
  <c r="DE33" i="9"/>
  <c r="S33" i="9" s="1"/>
  <c r="DE29" i="9"/>
  <c r="S29" i="9" s="1"/>
  <c r="DE23" i="9"/>
  <c r="S23" i="9" s="1"/>
  <c r="DE24" i="9"/>
  <c r="S24" i="9" s="1"/>
  <c r="DE14" i="9"/>
  <c r="S14" i="9" s="1"/>
  <c r="DE11" i="9"/>
  <c r="S11" i="9" s="1"/>
  <c r="DE13" i="9"/>
  <c r="S13" i="9" s="1"/>
  <c r="DE37" i="9"/>
  <c r="S37" i="9" s="1"/>
  <c r="DE31" i="9"/>
  <c r="S31" i="9" s="1"/>
  <c r="DE21" i="9"/>
  <c r="S21" i="9" s="1"/>
  <c r="DE19" i="9"/>
  <c r="S19" i="9" s="1"/>
  <c r="DE18" i="9"/>
  <c r="S18" i="9" s="1"/>
  <c r="V19" i="4"/>
  <c r="CZ40" i="7"/>
  <c r="CZ42" i="9"/>
  <c r="CZ44" i="9" s="1"/>
  <c r="O65" i="7"/>
  <c r="Z15" i="4"/>
  <c r="Z53" i="4" s="1"/>
  <c r="M118" i="9"/>
  <c r="E154" i="8"/>
  <c r="S108" i="4" s="1"/>
  <c r="O89" i="8"/>
  <c r="P17" i="4"/>
  <c r="CQ43" i="8"/>
  <c r="Q16" i="4"/>
  <c r="J16" i="4"/>
  <c r="I16" i="4"/>
  <c r="I53" i="4" s="1"/>
  <c r="K16" i="4"/>
  <c r="H16" i="4"/>
  <c r="H53" i="4" s="1"/>
  <c r="O89" i="7"/>
  <c r="E89" i="7" s="1"/>
  <c r="B61" i="7" s="1"/>
  <c r="E154" i="7"/>
  <c r="W108" i="4" s="1"/>
  <c r="P15" i="4"/>
  <c r="AL55" i="4" s="1"/>
  <c r="CQ43" i="7"/>
  <c r="O143" i="18"/>
  <c r="O132" i="18"/>
  <c r="G15" i="4"/>
  <c r="G16" i="4" s="1"/>
  <c r="O120" i="18"/>
  <c r="D137" i="12"/>
  <c r="AM108" i="4"/>
  <c r="CZ15" i="7"/>
  <c r="CQ12" i="7"/>
  <c r="CW29" i="7"/>
  <c r="CW19" i="7"/>
  <c r="Z110" i="7"/>
  <c r="CW32" i="7"/>
  <c r="CW21" i="7"/>
  <c r="CW43" i="7"/>
  <c r="CW23" i="7"/>
  <c r="CW34" i="7"/>
  <c r="CW11" i="7"/>
  <c r="CW13" i="7"/>
  <c r="CW25" i="7"/>
  <c r="CW27" i="7"/>
  <c r="CW18" i="7"/>
  <c r="CW24" i="7"/>
  <c r="CW31" i="7"/>
  <c r="CW39" i="7"/>
  <c r="CW40" i="7"/>
  <c r="CW28" i="7"/>
  <c r="CW38" i="7"/>
  <c r="CW10" i="7"/>
  <c r="CW14" i="7"/>
  <c r="E121" i="7"/>
  <c r="W75" i="4" s="1"/>
  <c r="CW20" i="7"/>
  <c r="CW36" i="7"/>
  <c r="CW12" i="7"/>
  <c r="CW15" i="7"/>
  <c r="CW41" i="7"/>
  <c r="CW37" i="7"/>
  <c r="CW33" i="7"/>
  <c r="CW17" i="7"/>
  <c r="CW30" i="7"/>
  <c r="CW35" i="7"/>
  <c r="CW26" i="7"/>
  <c r="CW22" i="7"/>
  <c r="CW16" i="7"/>
  <c r="CU42" i="8"/>
  <c r="E155" i="7"/>
  <c r="W109" i="4" s="1"/>
  <c r="G109" i="4" s="1"/>
  <c r="AR109" i="4" s="1"/>
  <c r="CZ39" i="7"/>
  <c r="N15" i="4"/>
  <c r="N16" i="4" s="1"/>
  <c r="E129" i="7"/>
  <c r="W83" i="4" s="1"/>
  <c r="S62" i="14"/>
  <c r="W62" i="14" s="1"/>
  <c r="W61" i="14"/>
  <c r="O145" i="18"/>
  <c r="E129" i="9"/>
  <c r="AA83" i="4" s="1"/>
  <c r="N19" i="4"/>
  <c r="X14" i="4"/>
  <c r="Y14" i="4"/>
  <c r="F14" i="4"/>
  <c r="CQ22" i="7"/>
  <c r="CQ13" i="7"/>
  <c r="CQ30" i="7"/>
  <c r="O140" i="7" s="1"/>
  <c r="K122" i="4"/>
  <c r="G122" i="4" s="1"/>
  <c r="AR122" i="4" s="1"/>
  <c r="E137" i="5"/>
  <c r="K117" i="4" s="1"/>
  <c r="D106" i="12"/>
  <c r="AM75" i="4" s="1"/>
  <c r="T43" i="12"/>
  <c r="CZ33" i="7"/>
  <c r="CZ19" i="7"/>
  <c r="S55" i="14"/>
  <c r="W55" i="14" s="1"/>
  <c r="W52" i="14"/>
  <c r="W12" i="4"/>
  <c r="E155" i="9"/>
  <c r="AA109" i="4" s="1"/>
  <c r="CQ48" i="8"/>
  <c r="CO44" i="8"/>
  <c r="W119" i="17"/>
  <c r="G28" i="4"/>
  <c r="G29" i="4" s="1"/>
  <c r="D154" i="17"/>
  <c r="BC75" i="4" s="1"/>
  <c r="BV51" i="17"/>
  <c r="E134" i="6"/>
  <c r="O108" i="4"/>
  <c r="CO39" i="5"/>
  <c r="E153" i="18"/>
  <c r="BG109" i="4" s="1"/>
  <c r="M120" i="7"/>
  <c r="M117" i="7" s="1"/>
  <c r="CN42" i="7"/>
  <c r="D161" i="12"/>
  <c r="AM131" i="4" s="1"/>
  <c r="V23" i="4"/>
  <c r="D136" i="12"/>
  <c r="AM106" i="4" s="1"/>
  <c r="O23" i="4"/>
  <c r="E144" i="8"/>
  <c r="S98" i="4" s="1"/>
  <c r="CY43" i="8"/>
  <c r="CY44" i="8" s="1"/>
  <c r="O17" i="4"/>
  <c r="CZ42" i="8"/>
  <c r="CZ44" i="8" s="1"/>
  <c r="E97" i="8"/>
  <c r="E94" i="8"/>
  <c r="O94" i="8" s="1"/>
  <c r="E101" i="8"/>
  <c r="O101" i="8" s="1"/>
  <c r="E93" i="8"/>
  <c r="O93" i="8" s="1"/>
  <c r="E136" i="8" s="1"/>
  <c r="S90" i="4" s="1"/>
  <c r="E100" i="8"/>
  <c r="O100" i="8" s="1"/>
  <c r="E168" i="8" s="1"/>
  <c r="S122" i="4" s="1"/>
  <c r="O91" i="8"/>
  <c r="E99" i="8"/>
  <c r="O99" i="8" s="1"/>
  <c r="E167" i="8" s="1"/>
  <c r="S121" i="4" s="1"/>
  <c r="BM39" i="5"/>
  <c r="CQ10" i="7"/>
  <c r="CQ21" i="7"/>
  <c r="R47" i="14"/>
  <c r="U47" i="14" s="1"/>
  <c r="V47" i="14" s="1"/>
  <c r="D140" i="14"/>
  <c r="AU110" i="4" s="1"/>
  <c r="E144" i="7"/>
  <c r="W98" i="4" s="1"/>
  <c r="O15" i="4"/>
  <c r="O16" i="4" s="1"/>
  <c r="CY43" i="7"/>
  <c r="CY23" i="7"/>
  <c r="CY11" i="7"/>
  <c r="CY13" i="7"/>
  <c r="CY10" i="7"/>
  <c r="CY33" i="7"/>
  <c r="CY28" i="7"/>
  <c r="CY38" i="7"/>
  <c r="CY34" i="7"/>
  <c r="CY25" i="7"/>
  <c r="CY29" i="7"/>
  <c r="CY30" i="7"/>
  <c r="CY32" i="7"/>
  <c r="CY37" i="7"/>
  <c r="CY20" i="7"/>
  <c r="CY17" i="7"/>
  <c r="CY14" i="7"/>
  <c r="CY35" i="7"/>
  <c r="CY26" i="7"/>
  <c r="CY41" i="7"/>
  <c r="CY12" i="7"/>
  <c r="CY36" i="7"/>
  <c r="CY19" i="7"/>
  <c r="CY15" i="7"/>
  <c r="CY31" i="7"/>
  <c r="CY40" i="7"/>
  <c r="CY16" i="7"/>
  <c r="CY27" i="7"/>
  <c r="CY18" i="7"/>
  <c r="CY22" i="7"/>
  <c r="CY24" i="7"/>
  <c r="CY39" i="7"/>
  <c r="CY21" i="7"/>
  <c r="BN53" i="15"/>
  <c r="BN52" i="15"/>
  <c r="BN36" i="15"/>
  <c r="BN20" i="15"/>
  <c r="BN35" i="15"/>
  <c r="BN32" i="15"/>
  <c r="BN30" i="15"/>
  <c r="BN12" i="15"/>
  <c r="BN37" i="15"/>
  <c r="BN26" i="15"/>
  <c r="BN50" i="15"/>
  <c r="BN49" i="15"/>
  <c r="BN46" i="15"/>
  <c r="BN48" i="15"/>
  <c r="BN38" i="15"/>
  <c r="BN47" i="15"/>
  <c r="BN16" i="15"/>
  <c r="BN25" i="15"/>
  <c r="BN17" i="15"/>
  <c r="BN18" i="15"/>
  <c r="BN27" i="15"/>
  <c r="BN19" i="15"/>
  <c r="BN51" i="15"/>
  <c r="BN28" i="15"/>
  <c r="BN21" i="15"/>
  <c r="BN22" i="15"/>
  <c r="BN14" i="15"/>
  <c r="BN31" i="15"/>
  <c r="BN42" i="15"/>
  <c r="BN23" i="15"/>
  <c r="BN43" i="15"/>
  <c r="BN15" i="15"/>
  <c r="D176" i="15"/>
  <c r="AY131" i="4" s="1"/>
  <c r="BN33" i="15"/>
  <c r="BN44" i="15"/>
  <c r="BN55" i="15"/>
  <c r="BN10" i="15"/>
  <c r="BN11" i="15"/>
  <c r="BN39" i="15"/>
  <c r="BN29" i="15"/>
  <c r="BN45" i="15"/>
  <c r="BN41" i="15"/>
  <c r="BN34" i="15"/>
  <c r="BN13" i="15"/>
  <c r="BN24" i="15"/>
  <c r="BN40" i="15"/>
  <c r="V26" i="4"/>
  <c r="X26" i="4" s="1"/>
  <c r="CZ34" i="7"/>
  <c r="E53" i="20"/>
  <c r="BW79" i="4" s="1"/>
  <c r="K47" i="4"/>
  <c r="S62" i="10"/>
  <c r="W62" i="10" s="1"/>
  <c r="W61" i="10"/>
  <c r="CW43" i="8"/>
  <c r="CW44" i="8" s="1"/>
  <c r="E121" i="8"/>
  <c r="S75" i="4" s="1"/>
  <c r="Z110" i="8"/>
  <c r="CZ32" i="7"/>
  <c r="CZ16" i="7"/>
  <c r="CZ27" i="7"/>
  <c r="O128" i="18"/>
  <c r="N30" i="4"/>
  <c r="E128" i="18"/>
  <c r="BG83" i="4" s="1"/>
  <c r="L64" i="7"/>
  <c r="CO40" i="5"/>
  <c r="E143" i="5"/>
  <c r="K123" i="4" s="1"/>
  <c r="D144" i="11"/>
  <c r="AI114" i="4" s="1"/>
  <c r="BO37" i="11"/>
  <c r="BO38" i="11" s="1"/>
  <c r="CN44" i="18"/>
  <c r="W95" i="12"/>
  <c r="S40" i="12" s="1"/>
  <c r="G23" i="4"/>
  <c r="CQ29" i="7"/>
  <c r="O139" i="7" s="1"/>
  <c r="D114" i="14"/>
  <c r="AU83" i="4" s="1"/>
  <c r="N25" i="4"/>
  <c r="CY42" i="18"/>
  <c r="CY44" i="18" s="1"/>
  <c r="CU42" i="9"/>
  <c r="D114" i="13"/>
  <c r="AQ83" i="4" s="1"/>
  <c r="N24" i="4"/>
  <c r="W28" i="20"/>
  <c r="W41" i="20" s="1"/>
  <c r="E102" i="20" s="1"/>
  <c r="BW131" i="4" s="1"/>
  <c r="X41" i="20"/>
  <c r="Y43" i="20" s="1"/>
  <c r="BS73" i="4" l="1"/>
  <c r="BS72" i="4" s="1"/>
  <c r="F114" i="21"/>
  <c r="F113" i="21" s="1"/>
  <c r="BD10" i="19"/>
  <c r="BD32" i="19" s="1"/>
  <c r="R42" i="4"/>
  <c r="BV50" i="17"/>
  <c r="BV52" i="17" s="1"/>
  <c r="BO28" i="15"/>
  <c r="BO37" i="15"/>
  <c r="BO38" i="15"/>
  <c r="BO25" i="15"/>
  <c r="BO18" i="15"/>
  <c r="BO17" i="15"/>
  <c r="BO47" i="15"/>
  <c r="BO24" i="15"/>
  <c r="BO36" i="15"/>
  <c r="BO34" i="15"/>
  <c r="BO39" i="15"/>
  <c r="BO52" i="15"/>
  <c r="BO48" i="15"/>
  <c r="BO40" i="15"/>
  <c r="BO21" i="15"/>
  <c r="BO32" i="15"/>
  <c r="BO50" i="15"/>
  <c r="BO44" i="15"/>
  <c r="BO31" i="15"/>
  <c r="BO29" i="15"/>
  <c r="BO27" i="15"/>
  <c r="BN54" i="15"/>
  <c r="BN56" i="15" s="1"/>
  <c r="BO46" i="15"/>
  <c r="BO20" i="15"/>
  <c r="BO11" i="15"/>
  <c r="V11" i="15"/>
  <c r="BO42" i="15"/>
  <c r="BO30" i="15"/>
  <c r="BO51" i="15"/>
  <c r="BO41" i="15"/>
  <c r="BM54" i="15"/>
  <c r="BM56" i="15" s="1"/>
  <c r="BO10" i="15"/>
  <c r="V10" i="15"/>
  <c r="D58" i="15"/>
  <c r="B58" i="15" s="1"/>
  <c r="B113" i="15" s="1"/>
  <c r="BO35" i="15"/>
  <c r="BO49" i="15"/>
  <c r="BO23" i="15"/>
  <c r="V13" i="15"/>
  <c r="BO13" i="15"/>
  <c r="BO26" i="15"/>
  <c r="BO53" i="15"/>
  <c r="T113" i="15"/>
  <c r="BO55" i="15"/>
  <c r="BO43" i="15"/>
  <c r="BO33" i="15"/>
  <c r="BO12" i="15"/>
  <c r="V12" i="15"/>
  <c r="BO16" i="15"/>
  <c r="G121" i="4"/>
  <c r="AR121" i="4" s="1"/>
  <c r="S7" i="9"/>
  <c r="BW73" i="4"/>
  <c r="BW72" i="4" s="1"/>
  <c r="E45" i="9"/>
  <c r="E47" i="20"/>
  <c r="G79" i="4"/>
  <c r="AR79" i="4" s="1"/>
  <c r="BL24" i="16"/>
  <c r="BL20" i="16"/>
  <c r="BL30" i="16"/>
  <c r="BL21" i="16"/>
  <c r="BL18" i="16"/>
  <c r="BL23" i="16"/>
  <c r="BL12" i="16"/>
  <c r="BL29" i="16"/>
  <c r="BL15" i="16"/>
  <c r="BL10" i="16"/>
  <c r="BL13" i="16"/>
  <c r="BL34" i="16"/>
  <c r="BL11" i="16"/>
  <c r="BL27" i="16"/>
  <c r="BL32" i="16"/>
  <c r="BL28" i="16"/>
  <c r="BL33" i="16"/>
  <c r="BL19" i="16"/>
  <c r="BL17" i="16"/>
  <c r="BL26" i="16"/>
  <c r="BL31" i="16"/>
  <c r="BL25" i="16"/>
  <c r="BL16" i="16"/>
  <c r="BL14" i="16"/>
  <c r="BL22" i="16"/>
  <c r="O116" i="18"/>
  <c r="U52" i="18"/>
  <c r="L53" i="4"/>
  <c r="L10" i="2" s="1"/>
  <c r="CQ44" i="8"/>
  <c r="U59" i="8"/>
  <c r="M52" i="4"/>
  <c r="G91" i="6"/>
  <c r="B157" i="21"/>
  <c r="BU117" i="4"/>
  <c r="E127" i="7"/>
  <c r="W81" i="4" s="1"/>
  <c r="CN43" i="7"/>
  <c r="M15" i="4"/>
  <c r="M16" i="4" s="1"/>
  <c r="G110" i="7"/>
  <c r="O110" i="7" s="1"/>
  <c r="O144" i="7"/>
  <c r="L93" i="21"/>
  <c r="G56" i="21"/>
  <c r="G108" i="21" s="1"/>
  <c r="D108" i="21"/>
  <c r="L88" i="21"/>
  <c r="E32" i="4"/>
  <c r="F32" i="4" s="1"/>
  <c r="CO41" i="5"/>
  <c r="E135" i="7"/>
  <c r="W89" i="4" s="1"/>
  <c r="M92" i="7"/>
  <c r="CV43" i="7" s="1"/>
  <c r="R15" i="4"/>
  <c r="R16" i="4" s="1"/>
  <c r="CV10" i="7"/>
  <c r="CV21" i="7"/>
  <c r="CV24" i="7"/>
  <c r="CV41" i="7"/>
  <c r="CV19" i="7"/>
  <c r="CV36" i="7"/>
  <c r="CV27" i="7"/>
  <c r="CV39" i="7"/>
  <c r="CV13" i="7"/>
  <c r="CV38" i="7"/>
  <c r="CV25" i="7"/>
  <c r="CV33" i="7"/>
  <c r="CV17" i="7"/>
  <c r="CV40" i="7"/>
  <c r="CV34" i="7"/>
  <c r="CV14" i="7"/>
  <c r="CV31" i="7"/>
  <c r="CV28" i="7"/>
  <c r="CV18" i="7"/>
  <c r="CV15" i="7"/>
  <c r="CV37" i="7"/>
  <c r="CV20" i="7"/>
  <c r="CV23" i="7"/>
  <c r="CV16" i="7"/>
  <c r="CV12" i="7"/>
  <c r="CV11" i="7"/>
  <c r="CV29" i="7"/>
  <c r="CV30" i="7"/>
  <c r="CV32" i="7"/>
  <c r="CV35" i="7"/>
  <c r="CV26" i="7"/>
  <c r="CV22" i="7"/>
  <c r="W32" i="4"/>
  <c r="W33" i="4" s="1"/>
  <c r="O127" i="7"/>
  <c r="W95" i="10"/>
  <c r="G14" i="4"/>
  <c r="BC107" i="4"/>
  <c r="CI40" i="5"/>
  <c r="O64" i="5"/>
  <c r="E64" i="5" s="1"/>
  <c r="E133" i="5"/>
  <c r="P11" i="4"/>
  <c r="AL52" i="4" s="1"/>
  <c r="J53" i="4"/>
  <c r="S55" i="11"/>
  <c r="W55" i="11" s="1"/>
  <c r="W52" i="11"/>
  <c r="D106" i="13"/>
  <c r="AQ75" i="4" s="1"/>
  <c r="T43" i="13"/>
  <c r="D119" i="15"/>
  <c r="D118" i="15" s="1"/>
  <c r="AY107" i="4"/>
  <c r="AY73" i="4" s="1"/>
  <c r="E151" i="18"/>
  <c r="BG108" i="4"/>
  <c r="W85" i="5"/>
  <c r="G11" i="4"/>
  <c r="E121" i="5"/>
  <c r="K101" i="4" s="1"/>
  <c r="G101" i="4" s="1"/>
  <c r="AR101" i="4" s="1"/>
  <c r="R47" i="11"/>
  <c r="U47" i="11" s="1"/>
  <c r="V47" i="11" s="1"/>
  <c r="D140" i="11"/>
  <c r="AI110" i="4" s="1"/>
  <c r="G110" i="4" s="1"/>
  <c r="AR110" i="4" s="1"/>
  <c r="T43" i="10"/>
  <c r="D106" i="10"/>
  <c r="AE75" i="4" s="1"/>
  <c r="O97" i="7"/>
  <c r="E98" i="7"/>
  <c r="O98" i="7" s="1"/>
  <c r="E166" i="7" s="1"/>
  <c r="W120" i="4" s="1"/>
  <c r="E158" i="18"/>
  <c r="BG114" i="4" s="1"/>
  <c r="CT43" i="18"/>
  <c r="CT42" i="18"/>
  <c r="K53" i="4"/>
  <c r="I23" i="2" s="1"/>
  <c r="DE42" i="9"/>
  <c r="DE44" i="9" s="1"/>
  <c r="S10" i="9"/>
  <c r="S42" i="9" s="1"/>
  <c r="R42" i="9" s="1"/>
  <c r="D136" i="10"/>
  <c r="AE106" i="4" s="1"/>
  <c r="O14" i="4"/>
  <c r="F96" i="10"/>
  <c r="N96" i="10" s="1"/>
  <c r="CV43" i="18"/>
  <c r="CV44" i="18" s="1"/>
  <c r="E120" i="18"/>
  <c r="BG75" i="4" s="1"/>
  <c r="Z110" i="18"/>
  <c r="G30" i="4"/>
  <c r="BQ37" i="12"/>
  <c r="BQ38" i="12" s="1"/>
  <c r="D137" i="10"/>
  <c r="AE108" i="4"/>
  <c r="M11" i="4"/>
  <c r="E101" i="5"/>
  <c r="K81" i="4" s="1"/>
  <c r="D137" i="14"/>
  <c r="AU108" i="4"/>
  <c r="D136" i="13"/>
  <c r="AQ106" i="4" s="1"/>
  <c r="O24" i="4"/>
  <c r="F96" i="13"/>
  <c r="N96" i="13" s="1"/>
  <c r="CY42" i="7"/>
  <c r="CY44" i="7" s="1"/>
  <c r="W95" i="13"/>
  <c r="G24" i="4"/>
  <c r="O131" i="7"/>
  <c r="I118" i="8"/>
  <c r="CZ42" i="7"/>
  <c r="CZ44" i="7" s="1"/>
  <c r="X42" i="20"/>
  <c r="E46" i="20" s="1"/>
  <c r="BO118" i="4"/>
  <c r="G118" i="4" s="1"/>
  <c r="AR118" i="4" s="1"/>
  <c r="CQ42" i="7"/>
  <c r="CQ44" i="7" s="1"/>
  <c r="O120" i="7"/>
  <c r="P16" i="4"/>
  <c r="P53" i="4" s="1"/>
  <c r="S62" i="11"/>
  <c r="W62" i="11" s="1"/>
  <c r="W61" i="11"/>
  <c r="T43" i="14"/>
  <c r="D106" i="14"/>
  <c r="AU75" i="4" s="1"/>
  <c r="O135" i="7"/>
  <c r="D141" i="19"/>
  <c r="BO119" i="4" s="1"/>
  <c r="T41" i="4"/>
  <c r="T42" i="4" s="1"/>
  <c r="BD33" i="19"/>
  <c r="BD34" i="19" s="1"/>
  <c r="L74" i="19"/>
  <c r="Y65" i="7"/>
  <c r="Q53" i="4"/>
  <c r="L59" i="4" s="1"/>
  <c r="BM37" i="11"/>
  <c r="BM38" i="11" s="1"/>
  <c r="D138" i="11"/>
  <c r="R46" i="11"/>
  <c r="U46" i="11" s="1"/>
  <c r="V46" i="11" s="1"/>
  <c r="N76" i="11"/>
  <c r="D76" i="11" s="1"/>
  <c r="P22" i="4"/>
  <c r="AL57" i="4" s="1"/>
  <c r="X47" i="4"/>
  <c r="AA47" i="4" s="1"/>
  <c r="D136" i="14"/>
  <c r="AU106" i="4" s="1"/>
  <c r="O25" i="4"/>
  <c r="F96" i="14"/>
  <c r="N96" i="14" s="1"/>
  <c r="CW42" i="7"/>
  <c r="CW44" i="7" s="1"/>
  <c r="E137" i="7"/>
  <c r="W91" i="4" s="1"/>
  <c r="S15" i="4"/>
  <c r="S53" i="4" s="1"/>
  <c r="D137" i="13"/>
  <c r="AQ108" i="4"/>
  <c r="O123" i="7"/>
  <c r="O128" i="7"/>
  <c r="E118" i="5"/>
  <c r="K98" i="4" s="1"/>
  <c r="G98" i="4" s="1"/>
  <c r="AR98" i="4" s="1"/>
  <c r="CP40" i="5"/>
  <c r="CP12" i="5"/>
  <c r="CP13" i="5"/>
  <c r="CP11" i="5"/>
  <c r="CP17" i="5"/>
  <c r="CP18" i="5"/>
  <c r="CP14" i="5"/>
  <c r="E135" i="8"/>
  <c r="S89" i="4" s="1"/>
  <c r="M92" i="8"/>
  <c r="CV43" i="8" s="1"/>
  <c r="R17" i="4"/>
  <c r="G110" i="8"/>
  <c r="O110" i="8" s="1"/>
  <c r="V45" i="8" s="1"/>
  <c r="I118" i="7"/>
  <c r="O126" i="7"/>
  <c r="G110" i="18"/>
  <c r="M97" i="9"/>
  <c r="M91" i="9"/>
  <c r="E46" i="9"/>
  <c r="D46" i="9" s="1"/>
  <c r="M94" i="9"/>
  <c r="E114" i="9"/>
  <c r="H45" i="9"/>
  <c r="N216" i="3"/>
  <c r="E19" i="4"/>
  <c r="C216" i="3"/>
  <c r="D156" i="16"/>
  <c r="BK131" i="4" s="1"/>
  <c r="BL36" i="16"/>
  <c r="V39" i="4"/>
  <c r="X39" i="4" s="1"/>
  <c r="T39" i="16"/>
  <c r="I39" i="16" s="1"/>
  <c r="I95" i="16" s="1"/>
  <c r="T99" i="12"/>
  <c r="BR37" i="12"/>
  <c r="BR38" i="12" s="1"/>
  <c r="D40" i="12"/>
  <c r="O132" i="7"/>
  <c r="D114" i="11"/>
  <c r="AI83" i="4" s="1"/>
  <c r="G83" i="4" s="1"/>
  <c r="N22" i="4"/>
  <c r="N53" i="4" s="1"/>
  <c r="O107" i="4"/>
  <c r="O122" i="7"/>
  <c r="BL38" i="11"/>
  <c r="E153" i="8"/>
  <c r="O118" i="8"/>
  <c r="BK117" i="4"/>
  <c r="N64" i="11"/>
  <c r="S77" i="11"/>
  <c r="W77" i="11" s="1"/>
  <c r="F119" i="17"/>
  <c r="E137" i="8"/>
  <c r="S91" i="4" s="1"/>
  <c r="S17" i="4"/>
  <c r="W95" i="14"/>
  <c r="G25" i="4"/>
  <c r="CT44" i="7"/>
  <c r="E153" i="9"/>
  <c r="W18" i="4"/>
  <c r="O125" i="7"/>
  <c r="X23" i="4"/>
  <c r="O124" i="7"/>
  <c r="E98" i="8"/>
  <c r="O98" i="8" s="1"/>
  <c r="E166" i="8" s="1"/>
  <c r="S120" i="4" s="1"/>
  <c r="O97" i="8"/>
  <c r="D104" i="12"/>
  <c r="AM107" i="4"/>
  <c r="AM73" i="4" s="1"/>
  <c r="CT43" i="7"/>
  <c r="E160" i="7"/>
  <c r="W114" i="4" s="1"/>
  <c r="G114" i="4" s="1"/>
  <c r="AR114" i="4" s="1"/>
  <c r="CQ44" i="9"/>
  <c r="U59" i="9"/>
  <c r="X59" i="9" s="1"/>
  <c r="O134" i="7"/>
  <c r="F88" i="19"/>
  <c r="N88" i="19" s="1"/>
  <c r="AA32" i="4" l="1"/>
  <c r="Y32" i="4"/>
  <c r="F56" i="21"/>
  <c r="F108" i="21" s="1"/>
  <c r="D139" i="19"/>
  <c r="BO117" i="4" s="1"/>
  <c r="W41" i="4"/>
  <c r="W42" i="4" s="1"/>
  <c r="BP55" i="15"/>
  <c r="L95" i="15"/>
  <c r="L98" i="15"/>
  <c r="BO54" i="15"/>
  <c r="T59" i="15" s="1"/>
  <c r="V59" i="15" s="1"/>
  <c r="N294" i="3"/>
  <c r="BP11" i="15"/>
  <c r="W11" i="15"/>
  <c r="BP12" i="15"/>
  <c r="W12" i="15"/>
  <c r="C294" i="3"/>
  <c r="D113" i="15"/>
  <c r="BO56" i="15"/>
  <c r="G58" i="15"/>
  <c r="G113" i="15" s="1"/>
  <c r="K54" i="15"/>
  <c r="W13" i="15"/>
  <c r="BP13" i="15"/>
  <c r="W10" i="15"/>
  <c r="BR10" i="15"/>
  <c r="BP10" i="15"/>
  <c r="BP54" i="15" s="1"/>
  <c r="V54" i="15" s="1"/>
  <c r="V55" i="15" s="1"/>
  <c r="E26" i="4"/>
  <c r="F26" i="4" s="1"/>
  <c r="D59" i="15"/>
  <c r="C59" i="15" s="1"/>
  <c r="L92" i="15"/>
  <c r="Y26" i="4"/>
  <c r="G81" i="4"/>
  <c r="AR81" i="4" s="1"/>
  <c r="AY72" i="4"/>
  <c r="D103" i="12"/>
  <c r="S40" i="14"/>
  <c r="U31" i="16"/>
  <c r="F446" i="3" s="1"/>
  <c r="AV31" i="16"/>
  <c r="AV14" i="16"/>
  <c r="U14" i="16"/>
  <c r="F429" i="3" s="1"/>
  <c r="AV25" i="16"/>
  <c r="U25" i="16"/>
  <c r="F440" i="3" s="1"/>
  <c r="U26" i="16"/>
  <c r="F441" i="3" s="1"/>
  <c r="AV26" i="16"/>
  <c r="U27" i="16"/>
  <c r="F442" i="3" s="1"/>
  <c r="AV27" i="16"/>
  <c r="U32" i="16"/>
  <c r="F447" i="3" s="1"/>
  <c r="AV32" i="16"/>
  <c r="U23" i="16"/>
  <c r="F438" i="3" s="1"/>
  <c r="AV23" i="16"/>
  <c r="BL37" i="16"/>
  <c r="U33" i="16"/>
  <c r="F448" i="3" s="1"/>
  <c r="AV33" i="16"/>
  <c r="U13" i="16"/>
  <c r="F428" i="3" s="1"/>
  <c r="AV13" i="16"/>
  <c r="U18" i="16"/>
  <c r="F433" i="3" s="1"/>
  <c r="AV18" i="16"/>
  <c r="AV22" i="16"/>
  <c r="U22" i="16"/>
  <c r="F437" i="3" s="1"/>
  <c r="AV17" i="16"/>
  <c r="U17" i="16"/>
  <c r="F432" i="3" s="1"/>
  <c r="U21" i="16"/>
  <c r="F436" i="3" s="1"/>
  <c r="AV21" i="16"/>
  <c r="U16" i="16"/>
  <c r="F431" i="3" s="1"/>
  <c r="AV16" i="16"/>
  <c r="AV15" i="16"/>
  <c r="U15" i="16"/>
  <c r="F430" i="3" s="1"/>
  <c r="U12" i="16"/>
  <c r="AV12" i="16"/>
  <c r="AV30" i="16"/>
  <c r="U30" i="16"/>
  <c r="F445" i="3" s="1"/>
  <c r="W39" i="4"/>
  <c r="U11" i="16"/>
  <c r="AV11" i="16"/>
  <c r="U10" i="16"/>
  <c r="T10" i="16" s="1"/>
  <c r="BL35" i="16"/>
  <c r="AV10" i="16"/>
  <c r="U20" i="16"/>
  <c r="F435" i="3" s="1"/>
  <c r="AV20" i="16"/>
  <c r="U19" i="16"/>
  <c r="F434" i="3" s="1"/>
  <c r="AV19" i="16"/>
  <c r="U28" i="16"/>
  <c r="F443" i="3" s="1"/>
  <c r="AV28" i="16"/>
  <c r="AV34" i="16"/>
  <c r="U34" i="16"/>
  <c r="F449" i="3" s="1"/>
  <c r="U29" i="16"/>
  <c r="F444" i="3" s="1"/>
  <c r="AV29" i="16"/>
  <c r="U24" i="16"/>
  <c r="F439" i="3" s="1"/>
  <c r="AV24" i="16"/>
  <c r="D119" i="9"/>
  <c r="AA107" i="4"/>
  <c r="AA73" i="4" s="1"/>
  <c r="AU107" i="4"/>
  <c r="T43" i="11"/>
  <c r="D106" i="11"/>
  <c r="AI75" i="4" s="1"/>
  <c r="G75" i="4" s="1"/>
  <c r="AR75" i="4" s="1"/>
  <c r="E92" i="6"/>
  <c r="O91" i="6"/>
  <c r="K113" i="4"/>
  <c r="G113" i="4" s="1"/>
  <c r="AR113" i="4" s="1"/>
  <c r="E127" i="5"/>
  <c r="U52" i="9"/>
  <c r="U52" i="8"/>
  <c r="U52" i="7"/>
  <c r="M53" i="4"/>
  <c r="M118" i="7"/>
  <c r="S107" i="4"/>
  <c r="D16" i="22"/>
  <c r="DE29" i="7"/>
  <c r="S29" i="7" s="1"/>
  <c r="DE21" i="7"/>
  <c r="DE28" i="7"/>
  <c r="S28" i="7" s="1"/>
  <c r="DE20" i="7"/>
  <c r="E177" i="7"/>
  <c r="W131" i="4" s="1"/>
  <c r="DE27" i="7"/>
  <c r="S27" i="7" s="1"/>
  <c r="DE19" i="7"/>
  <c r="DE35" i="7"/>
  <c r="S35" i="7" s="1"/>
  <c r="DE34" i="7"/>
  <c r="DE26" i="7"/>
  <c r="S26" i="7" s="1"/>
  <c r="DE18" i="7"/>
  <c r="DE37" i="7"/>
  <c r="S37" i="7" s="1"/>
  <c r="DE40" i="7"/>
  <c r="S40" i="7" s="1"/>
  <c r="DE22" i="7"/>
  <c r="DE43" i="7"/>
  <c r="DE33" i="7"/>
  <c r="S33" i="7" s="1"/>
  <c r="DE23" i="7"/>
  <c r="CM23" i="7" s="1"/>
  <c r="S23" i="7" s="1"/>
  <c r="R23" i="7" s="1"/>
  <c r="DE17" i="7"/>
  <c r="CM17" i="7" s="1"/>
  <c r="S17" i="7" s="1"/>
  <c r="R17" i="7" s="1"/>
  <c r="DE15" i="7"/>
  <c r="CM15" i="7" s="1"/>
  <c r="S15" i="7" s="1"/>
  <c r="R15" i="7" s="1"/>
  <c r="DE12" i="7"/>
  <c r="DE31" i="7"/>
  <c r="S31" i="7" s="1"/>
  <c r="DE10" i="7"/>
  <c r="CM10" i="7" s="1"/>
  <c r="DE38" i="7"/>
  <c r="S38" i="7" s="1"/>
  <c r="DE14" i="7"/>
  <c r="DE41" i="7"/>
  <c r="S41" i="7" s="1"/>
  <c r="DE39" i="7"/>
  <c r="S39" i="7" s="1"/>
  <c r="DE24" i="7"/>
  <c r="DE11" i="7"/>
  <c r="DE25" i="7"/>
  <c r="DE36" i="7"/>
  <c r="S36" i="7" s="1"/>
  <c r="DE16" i="7"/>
  <c r="DE30" i="7"/>
  <c r="S30" i="7" s="1"/>
  <c r="DE13" i="7"/>
  <c r="V15" i="4"/>
  <c r="DE32" i="7"/>
  <c r="S32" i="7" s="1"/>
  <c r="O110" i="18"/>
  <c r="D21" i="22"/>
  <c r="S40" i="10"/>
  <c r="O118" i="9"/>
  <c r="D104" i="10"/>
  <c r="AE107" i="4"/>
  <c r="AE73" i="4" s="1"/>
  <c r="D23" i="22"/>
  <c r="BK24" i="19"/>
  <c r="AT24" i="19" s="1"/>
  <c r="U24" i="19" s="1"/>
  <c r="F474" i="3" s="1"/>
  <c r="BK19" i="19"/>
  <c r="AT19" i="19" s="1"/>
  <c r="U19" i="19" s="1"/>
  <c r="F469" i="3" s="1"/>
  <c r="BK15" i="19"/>
  <c r="AT15" i="19" s="1"/>
  <c r="U15" i="19" s="1"/>
  <c r="F465" i="3" s="1"/>
  <c r="BK17" i="19"/>
  <c r="AT17" i="19" s="1"/>
  <c r="U17" i="19" s="1"/>
  <c r="F467" i="3" s="1"/>
  <c r="BK27" i="19"/>
  <c r="AT27" i="19" s="1"/>
  <c r="U27" i="19" s="1"/>
  <c r="F477" i="3" s="1"/>
  <c r="BK21" i="19"/>
  <c r="AT21" i="19" s="1"/>
  <c r="U21" i="19" s="1"/>
  <c r="F471" i="3" s="1"/>
  <c r="D153" i="19"/>
  <c r="BO131" i="4" s="1"/>
  <c r="BK12" i="19"/>
  <c r="AT12" i="19" s="1"/>
  <c r="U12" i="19" s="1"/>
  <c r="F462" i="3" s="1"/>
  <c r="BK29" i="19"/>
  <c r="AT29" i="19" s="1"/>
  <c r="U29" i="19" s="1"/>
  <c r="F479" i="3" s="1"/>
  <c r="BK26" i="19"/>
  <c r="AT26" i="19" s="1"/>
  <c r="U26" i="19" s="1"/>
  <c r="F476" i="3" s="1"/>
  <c r="BK33" i="19"/>
  <c r="BK31" i="19"/>
  <c r="AT31" i="19" s="1"/>
  <c r="U31" i="19" s="1"/>
  <c r="F481" i="3" s="1"/>
  <c r="BK22" i="19"/>
  <c r="AT22" i="19" s="1"/>
  <c r="U22" i="19" s="1"/>
  <c r="F472" i="3" s="1"/>
  <c r="BK14" i="19"/>
  <c r="AT14" i="19" s="1"/>
  <c r="U14" i="19" s="1"/>
  <c r="F464" i="3" s="1"/>
  <c r="BK30" i="19"/>
  <c r="AT30" i="19" s="1"/>
  <c r="U30" i="19" s="1"/>
  <c r="F480" i="3" s="1"/>
  <c r="BK10" i="19"/>
  <c r="BK20" i="19"/>
  <c r="AT20" i="19" s="1"/>
  <c r="U20" i="19" s="1"/>
  <c r="F470" i="3" s="1"/>
  <c r="BK18" i="19"/>
  <c r="AT18" i="19" s="1"/>
  <c r="U18" i="19" s="1"/>
  <c r="F468" i="3" s="1"/>
  <c r="BK28" i="19"/>
  <c r="AT28" i="19" s="1"/>
  <c r="U28" i="19" s="1"/>
  <c r="F478" i="3" s="1"/>
  <c r="BK25" i="19"/>
  <c r="AT25" i="19" s="1"/>
  <c r="U25" i="19" s="1"/>
  <c r="F475" i="3" s="1"/>
  <c r="BK11" i="19"/>
  <c r="AT11" i="19" s="1"/>
  <c r="U11" i="19" s="1"/>
  <c r="F461" i="3" s="1"/>
  <c r="BK16" i="19"/>
  <c r="AT16" i="19" s="1"/>
  <c r="U16" i="19" s="1"/>
  <c r="F466" i="3" s="1"/>
  <c r="BK23" i="19"/>
  <c r="AT23" i="19" s="1"/>
  <c r="U23" i="19" s="1"/>
  <c r="F473" i="3" s="1"/>
  <c r="BK13" i="19"/>
  <c r="AT13" i="19" s="1"/>
  <c r="U13" i="19" s="1"/>
  <c r="F463" i="3" s="1"/>
  <c r="V41" i="4"/>
  <c r="X41" i="4" s="1"/>
  <c r="E165" i="8"/>
  <c r="CX43" i="8"/>
  <c r="CX44" i="8" s="1"/>
  <c r="T17" i="4"/>
  <c r="M98" i="8"/>
  <c r="E169" i="8" s="1"/>
  <c r="S123" i="4" s="1"/>
  <c r="CT44" i="18"/>
  <c r="U59" i="18"/>
  <c r="CM18" i="5"/>
  <c r="T18" i="5" s="1"/>
  <c r="CM40" i="5"/>
  <c r="CM12" i="5"/>
  <c r="T12" i="5" s="1"/>
  <c r="G84" i="5"/>
  <c r="CM11" i="5"/>
  <c r="CM13" i="5"/>
  <c r="T13" i="5" s="1"/>
  <c r="CM17" i="5"/>
  <c r="T17" i="5" s="1"/>
  <c r="CM14" i="5"/>
  <c r="T14" i="5" s="1"/>
  <c r="V45" i="18"/>
  <c r="BC73" i="4"/>
  <c r="D20" i="22"/>
  <c r="N119" i="17"/>
  <c r="W95" i="11"/>
  <c r="T44" i="11" s="1"/>
  <c r="G22" i="4"/>
  <c r="V45" i="7"/>
  <c r="O117" i="7"/>
  <c r="D15" i="22"/>
  <c r="D161" i="10"/>
  <c r="AE131" i="4" s="1"/>
  <c r="V14" i="4"/>
  <c r="BQ37" i="10"/>
  <c r="BQ38" i="10" s="1"/>
  <c r="G120" i="4"/>
  <c r="AR120" i="4" s="1"/>
  <c r="T36" i="19"/>
  <c r="I36" i="19" s="1"/>
  <c r="I92" i="19" s="1"/>
  <c r="G250" i="3"/>
  <c r="BG107" i="4"/>
  <c r="AQ107" i="4"/>
  <c r="D161" i="14"/>
  <c r="AU131" i="4" s="1"/>
  <c r="V25" i="4"/>
  <c r="X25" i="4" s="1"/>
  <c r="BQ37" i="14"/>
  <c r="BQ38" i="14" s="1"/>
  <c r="CI41" i="5"/>
  <c r="E177" i="8"/>
  <c r="S131" i="4" s="1"/>
  <c r="DE39" i="8"/>
  <c r="S39" i="8" s="1"/>
  <c r="DE31" i="8"/>
  <c r="S31" i="8" s="1"/>
  <c r="DE38" i="8"/>
  <c r="S38" i="8" s="1"/>
  <c r="DE30" i="8"/>
  <c r="S30" i="8" s="1"/>
  <c r="DE37" i="8"/>
  <c r="S37" i="8" s="1"/>
  <c r="DE43" i="8"/>
  <c r="CM43" i="8" s="1"/>
  <c r="CM44" i="8" s="1"/>
  <c r="DE36" i="8"/>
  <c r="S36" i="8" s="1"/>
  <c r="DE35" i="8"/>
  <c r="S35" i="8" s="1"/>
  <c r="DE27" i="8"/>
  <c r="S27" i="8" s="1"/>
  <c r="DE19" i="8"/>
  <c r="S19" i="8" s="1"/>
  <c r="DE11" i="8"/>
  <c r="S11" i="8" s="1"/>
  <c r="DE32" i="8"/>
  <c r="S32" i="8" s="1"/>
  <c r="DE28" i="8"/>
  <c r="S28" i="8" s="1"/>
  <c r="DE41" i="8"/>
  <c r="S41" i="8" s="1"/>
  <c r="DE25" i="8"/>
  <c r="S25" i="8" s="1"/>
  <c r="DE29" i="8"/>
  <c r="S29" i="8" s="1"/>
  <c r="DE33" i="8"/>
  <c r="S33" i="8" s="1"/>
  <c r="DE22" i="8"/>
  <c r="S22" i="8" s="1"/>
  <c r="DE14" i="8"/>
  <c r="S14" i="8" s="1"/>
  <c r="DE40" i="8"/>
  <c r="S40" i="8" s="1"/>
  <c r="DE17" i="8"/>
  <c r="S17" i="8" s="1"/>
  <c r="DE16" i="8"/>
  <c r="S16" i="8" s="1"/>
  <c r="DE15" i="8"/>
  <c r="S15" i="8" s="1"/>
  <c r="DE23" i="8"/>
  <c r="S23" i="8" s="1"/>
  <c r="DE18" i="8"/>
  <c r="S18" i="8" s="1"/>
  <c r="DE24" i="8"/>
  <c r="S24" i="8" s="1"/>
  <c r="DE20" i="8"/>
  <c r="S20" i="8" s="1"/>
  <c r="DE13" i="8"/>
  <c r="S13" i="8" s="1"/>
  <c r="DE21" i="8"/>
  <c r="S21" i="8" s="1"/>
  <c r="DE10" i="8"/>
  <c r="DE12" i="8"/>
  <c r="S12" i="8" s="1"/>
  <c r="S7" i="8" s="1"/>
  <c r="DE34" i="8"/>
  <c r="S34" i="8" s="1"/>
  <c r="DE26" i="8"/>
  <c r="S26" i="8" s="1"/>
  <c r="V17" i="4"/>
  <c r="D137" i="11"/>
  <c r="AI108" i="4"/>
  <c r="G108" i="4" s="1"/>
  <c r="AR108" i="4" s="1"/>
  <c r="DC19" i="12"/>
  <c r="DC12" i="12"/>
  <c r="DC17" i="12"/>
  <c r="DC22" i="12"/>
  <c r="DC27" i="12"/>
  <c r="DC35" i="12"/>
  <c r="G40" i="12"/>
  <c r="G99" i="12" s="1"/>
  <c r="DC13" i="12"/>
  <c r="D99" i="12"/>
  <c r="L84" i="12"/>
  <c r="D41" i="12"/>
  <c r="C41" i="12" s="1"/>
  <c r="DC34" i="12"/>
  <c r="DC15" i="12"/>
  <c r="F40" i="12"/>
  <c r="F99" i="12" s="1"/>
  <c r="DB37" i="12"/>
  <c r="DC31" i="12"/>
  <c r="DC24" i="12"/>
  <c r="L81" i="12"/>
  <c r="DC14" i="12"/>
  <c r="DC26" i="12"/>
  <c r="DC11" i="12"/>
  <c r="DC33" i="12"/>
  <c r="DC28" i="12"/>
  <c r="DC21" i="12"/>
  <c r="DC18" i="12"/>
  <c r="DC10" i="12"/>
  <c r="DC36" i="12" s="1"/>
  <c r="DC37" i="12" s="1"/>
  <c r="DC30" i="12"/>
  <c r="DC23" i="12"/>
  <c r="DC20" i="12"/>
  <c r="DC16" i="12"/>
  <c r="DC25" i="12"/>
  <c r="DC32" i="12"/>
  <c r="L78" i="12"/>
  <c r="DC29" i="12"/>
  <c r="E23" i="4"/>
  <c r="E165" i="7"/>
  <c r="M98" i="7"/>
  <c r="E169" i="7" s="1"/>
  <c r="W123" i="4" s="1"/>
  <c r="G123" i="4" s="1"/>
  <c r="AR123" i="4" s="1"/>
  <c r="T15" i="4"/>
  <c r="T16" i="4" s="1"/>
  <c r="T53" i="4" s="1"/>
  <c r="CX43" i="7"/>
  <c r="CM43" i="7" s="1"/>
  <c r="CX29" i="7"/>
  <c r="CX21" i="7"/>
  <c r="CX18" i="7"/>
  <c r="CX22" i="7"/>
  <c r="CX13" i="7"/>
  <c r="CX23" i="7"/>
  <c r="CX12" i="7"/>
  <c r="CX40" i="7"/>
  <c r="CX38" i="7"/>
  <c r="CX10" i="7"/>
  <c r="CX39" i="7"/>
  <c r="CX30" i="7"/>
  <c r="CX28" i="7"/>
  <c r="CX20" i="7"/>
  <c r="CX33" i="7"/>
  <c r="CX26" i="7"/>
  <c r="CX36" i="7"/>
  <c r="CX17" i="7"/>
  <c r="CX31" i="7"/>
  <c r="CX27" i="7"/>
  <c r="CX15" i="7"/>
  <c r="CX32" i="7"/>
  <c r="CX34" i="7"/>
  <c r="CM34" i="7" s="1"/>
  <c r="S34" i="7" s="1"/>
  <c r="R34" i="7" s="1"/>
  <c r="CX41" i="7"/>
  <c r="CX35" i="7"/>
  <c r="CX14" i="7"/>
  <c r="CX16" i="7"/>
  <c r="CX25" i="7"/>
  <c r="CX37" i="7"/>
  <c r="CX19" i="7"/>
  <c r="CM19" i="7" s="1"/>
  <c r="S19" i="7" s="1"/>
  <c r="R19" i="7" s="1"/>
  <c r="CX24" i="7"/>
  <c r="CM24" i="7" s="1"/>
  <c r="S24" i="7" s="1"/>
  <c r="R24" i="7" s="1"/>
  <c r="CX11" i="7"/>
  <c r="CM11" i="7" s="1"/>
  <c r="S11" i="7" s="1"/>
  <c r="R11" i="7" s="1"/>
  <c r="CV42" i="7"/>
  <c r="D161" i="13"/>
  <c r="AQ131" i="4" s="1"/>
  <c r="V24" i="4"/>
  <c r="X24" i="4" s="1"/>
  <c r="BQ37" i="13"/>
  <c r="BQ38" i="13" s="1"/>
  <c r="BK73" i="4"/>
  <c r="R53" i="4"/>
  <c r="R52" i="4" s="1"/>
  <c r="T99" i="14"/>
  <c r="BR37" i="14"/>
  <c r="BR38" i="14" s="1"/>
  <c r="D40" i="14"/>
  <c r="G91" i="4"/>
  <c r="AR91" i="4" s="1"/>
  <c r="D136" i="11"/>
  <c r="AI106" i="4" s="1"/>
  <c r="G106" i="4" s="1"/>
  <c r="AR106" i="4" s="1"/>
  <c r="O22" i="4"/>
  <c r="O53" i="4" s="1"/>
  <c r="L60" i="4" s="1"/>
  <c r="F96" i="11"/>
  <c r="C83" i="22"/>
  <c r="C90" i="20"/>
  <c r="BY117" i="4"/>
  <c r="D99" i="16"/>
  <c r="V114" i="8"/>
  <c r="X59" i="8"/>
  <c r="E45" i="8"/>
  <c r="CV44" i="8"/>
  <c r="AR83" i="4"/>
  <c r="E65" i="4"/>
  <c r="CP39" i="5"/>
  <c r="CP41" i="5" s="1"/>
  <c r="S40" i="13"/>
  <c r="G89" i="4"/>
  <c r="AR89" i="4" s="1"/>
  <c r="AA26" i="4"/>
  <c r="G45" i="9"/>
  <c r="G114" i="9" s="1"/>
  <c r="H114" i="9"/>
  <c r="T95" i="16"/>
  <c r="D39" i="16"/>
  <c r="B39" i="16" s="1"/>
  <c r="B95" i="16" s="1"/>
  <c r="AV36" i="16"/>
  <c r="CN44" i="7"/>
  <c r="L57" i="4" l="1"/>
  <c r="L61" i="4"/>
  <c r="F58" i="15"/>
  <c r="F113" i="15" s="1"/>
  <c r="BP56" i="15"/>
  <c r="X15" i="4"/>
  <c r="CM16" i="7"/>
  <c r="S16" i="7" s="1"/>
  <c r="R16" i="7" s="1"/>
  <c r="CM25" i="7"/>
  <c r="S25" i="7" s="1"/>
  <c r="R25" i="7" s="1"/>
  <c r="CM18" i="7"/>
  <c r="S18" i="7" s="1"/>
  <c r="R18" i="7" s="1"/>
  <c r="CM20" i="7"/>
  <c r="S20" i="7" s="1"/>
  <c r="R20" i="7" s="1"/>
  <c r="CM14" i="7"/>
  <c r="S14" i="7" s="1"/>
  <c r="R14" i="7" s="1"/>
  <c r="D104" i="13"/>
  <c r="AQ73" i="4"/>
  <c r="AA24" i="4" s="1"/>
  <c r="CM12" i="7"/>
  <c r="S12" i="7" s="1"/>
  <c r="CM22" i="7"/>
  <c r="S22" i="7" s="1"/>
  <c r="R22" i="7" s="1"/>
  <c r="F427" i="3"/>
  <c r="T12" i="16"/>
  <c r="F426" i="3"/>
  <c r="T11" i="16"/>
  <c r="F425" i="3"/>
  <c r="V35" i="16"/>
  <c r="AV35" i="16"/>
  <c r="T40" i="16" s="1"/>
  <c r="U41" i="16" s="1"/>
  <c r="R12" i="7"/>
  <c r="AB14" i="5"/>
  <c r="CR14" i="5"/>
  <c r="DE42" i="7"/>
  <c r="DE44" i="7" s="1"/>
  <c r="K107" i="4"/>
  <c r="M94" i="8"/>
  <c r="E114" i="8"/>
  <c r="E46" i="8"/>
  <c r="D46" i="8" s="1"/>
  <c r="H45" i="8"/>
  <c r="M97" i="8"/>
  <c r="M91" i="8"/>
  <c r="E17" i="4"/>
  <c r="E45" i="18"/>
  <c r="V113" i="18"/>
  <c r="X59" i="18"/>
  <c r="D103" i="13"/>
  <c r="E85" i="5"/>
  <c r="O84" i="5"/>
  <c r="Q60" i="4"/>
  <c r="BK32" i="19"/>
  <c r="BK34" i="19" s="1"/>
  <c r="AT10" i="19"/>
  <c r="AI107" i="4"/>
  <c r="D14" i="22"/>
  <c r="E158" i="6"/>
  <c r="V12" i="4"/>
  <c r="U40" i="6"/>
  <c r="BG73" i="4"/>
  <c r="AB12" i="5"/>
  <c r="CR12" i="5"/>
  <c r="AU73" i="4"/>
  <c r="AU72" i="4" s="1"/>
  <c r="D97" i="16"/>
  <c r="D98" i="16"/>
  <c r="DE42" i="8"/>
  <c r="DE44" i="8" s="1"/>
  <c r="S10" i="8"/>
  <c r="S42" i="8" s="1"/>
  <c r="R42" i="8" s="1"/>
  <c r="D104" i="14"/>
  <c r="D103" i="14" s="1"/>
  <c r="L81" i="14"/>
  <c r="DC26" i="14"/>
  <c r="D99" i="14"/>
  <c r="DC22" i="14"/>
  <c r="DC27" i="14"/>
  <c r="DC10" i="14"/>
  <c r="DC36" i="14" s="1"/>
  <c r="DC37" i="14" s="1"/>
  <c r="DC35" i="14"/>
  <c r="DC33" i="14"/>
  <c r="DB37" i="14"/>
  <c r="DC31" i="14"/>
  <c r="DC19" i="14"/>
  <c r="DC21" i="14"/>
  <c r="DC23" i="14"/>
  <c r="DC13" i="14"/>
  <c r="L78" i="14"/>
  <c r="DC34" i="14"/>
  <c r="DC16" i="14"/>
  <c r="DC25" i="14"/>
  <c r="D41" i="14"/>
  <c r="C41" i="14" s="1"/>
  <c r="DC28" i="14"/>
  <c r="G40" i="14"/>
  <c r="G99" i="14" s="1"/>
  <c r="F40" i="14"/>
  <c r="F99" i="14" s="1"/>
  <c r="DC18" i="14"/>
  <c r="DC24" i="14"/>
  <c r="DC11" i="14"/>
  <c r="L84" i="14"/>
  <c r="DC30" i="14"/>
  <c r="DC14" i="14"/>
  <c r="DC17" i="14"/>
  <c r="DC29" i="14"/>
  <c r="DC15" i="14"/>
  <c r="DC20" i="14"/>
  <c r="DC32" i="14"/>
  <c r="DC12" i="14"/>
  <c r="E25" i="4"/>
  <c r="L73" i="16"/>
  <c r="L76" i="16"/>
  <c r="D40" i="16"/>
  <c r="C40" i="16" s="1"/>
  <c r="L70" i="16"/>
  <c r="G39" i="16"/>
  <c r="D95" i="16"/>
  <c r="C423" i="3"/>
  <c r="N423" i="3"/>
  <c r="E39" i="4"/>
  <c r="DJ35" i="16"/>
  <c r="V36" i="16"/>
  <c r="AB18" i="5"/>
  <c r="CR18" i="5"/>
  <c r="AA72" i="4"/>
  <c r="AA19" i="4"/>
  <c r="CX42" i="7"/>
  <c r="CX44" i="7" s="1"/>
  <c r="W16" i="4"/>
  <c r="E118" i="9"/>
  <c r="V46" i="9"/>
  <c r="X46" i="9" s="1"/>
  <c r="BZ40" i="17"/>
  <c r="BZ42" i="17"/>
  <c r="BZ44" i="17"/>
  <c r="BZ47" i="17"/>
  <c r="BZ31" i="17"/>
  <c r="BZ33" i="17"/>
  <c r="BZ35" i="17"/>
  <c r="BZ51" i="17"/>
  <c r="BZ36" i="17"/>
  <c r="BZ48" i="17"/>
  <c r="BZ37" i="17"/>
  <c r="BZ43" i="17"/>
  <c r="W42" i="17" s="1"/>
  <c r="BZ34" i="17"/>
  <c r="BZ26" i="17"/>
  <c r="W26" i="17" s="1"/>
  <c r="BZ14" i="17"/>
  <c r="BI14" i="17" s="1"/>
  <c r="BZ12" i="17"/>
  <c r="BI12" i="17" s="1"/>
  <c r="BZ10" i="17"/>
  <c r="BZ45" i="17"/>
  <c r="BZ39" i="17"/>
  <c r="BZ17" i="17"/>
  <c r="BZ38" i="17"/>
  <c r="BZ30" i="17"/>
  <c r="BZ46" i="17"/>
  <c r="BZ19" i="17"/>
  <c r="D209" i="17"/>
  <c r="BZ41" i="17"/>
  <c r="BZ32" i="17"/>
  <c r="BZ20" i="17"/>
  <c r="BZ29" i="17"/>
  <c r="BZ16" i="17"/>
  <c r="BZ11" i="17"/>
  <c r="BZ22" i="17"/>
  <c r="BZ25" i="17"/>
  <c r="BZ18" i="17"/>
  <c r="BZ24" i="17"/>
  <c r="BZ28" i="17"/>
  <c r="W28" i="17" s="1"/>
  <c r="BZ23" i="17"/>
  <c r="BZ27" i="17"/>
  <c r="BZ13" i="17"/>
  <c r="BZ21" i="17"/>
  <c r="W20" i="17" s="1"/>
  <c r="BZ49" i="17"/>
  <c r="BZ15" i="17"/>
  <c r="V28" i="4"/>
  <c r="X28" i="4" s="1"/>
  <c r="T65" i="17"/>
  <c r="I65" i="17" s="1"/>
  <c r="I123" i="17" s="1"/>
  <c r="AT33" i="19"/>
  <c r="T92" i="19"/>
  <c r="D36" i="19"/>
  <c r="B36" i="19" s="1"/>
  <c r="B92" i="19" s="1"/>
  <c r="BK72" i="4"/>
  <c r="AA39" i="4"/>
  <c r="AE72" i="4"/>
  <c r="AA14" i="4"/>
  <c r="D103" i="10"/>
  <c r="AB13" i="5"/>
  <c r="CR13" i="5"/>
  <c r="D18" i="22"/>
  <c r="N96" i="11"/>
  <c r="D96" i="19"/>
  <c r="CM39" i="5"/>
  <c r="T11" i="5"/>
  <c r="BO73" i="4"/>
  <c r="CR17" i="5"/>
  <c r="AB17" i="5"/>
  <c r="W119" i="4"/>
  <c r="E163" i="7"/>
  <c r="W117" i="4" s="1"/>
  <c r="CM13" i="7"/>
  <c r="S13" i="7" s="1"/>
  <c r="R13" i="7" s="1"/>
  <c r="S119" i="4"/>
  <c r="E163" i="8"/>
  <c r="D40" i="10"/>
  <c r="BR37" i="10"/>
  <c r="BR38" i="10" s="1"/>
  <c r="T99" i="10"/>
  <c r="S10" i="7"/>
  <c r="E153" i="7"/>
  <c r="O118" i="7"/>
  <c r="D40" i="13"/>
  <c r="BR37" i="13"/>
  <c r="BR38" i="13" s="1"/>
  <c r="T99" i="13"/>
  <c r="CM21" i="7"/>
  <c r="S21" i="7" s="1"/>
  <c r="R21" i="7" s="1"/>
  <c r="CV44" i="7"/>
  <c r="U59" i="7"/>
  <c r="V114" i="7"/>
  <c r="X59" i="7"/>
  <c r="E45" i="7"/>
  <c r="J45" i="7"/>
  <c r="J114" i="7" s="1"/>
  <c r="E175" i="18"/>
  <c r="V30" i="4"/>
  <c r="CX43" i="18"/>
  <c r="G53" i="4"/>
  <c r="L58" i="4" s="1"/>
  <c r="BI36" i="17" l="1"/>
  <c r="W28" i="4"/>
  <c r="W18" i="17"/>
  <c r="W40" i="17"/>
  <c r="F39" i="4"/>
  <c r="Y39" i="4"/>
  <c r="AV37" i="16"/>
  <c r="BG131" i="4"/>
  <c r="BF73" i="4" s="1"/>
  <c r="D118" i="18"/>
  <c r="U10" i="19"/>
  <c r="T10" i="19" s="1"/>
  <c r="AT32" i="19"/>
  <c r="AT34" i="19" s="1"/>
  <c r="T37" i="19"/>
  <c r="T38" i="19" s="1"/>
  <c r="D95" i="19"/>
  <c r="F39" i="16"/>
  <c r="F95" i="16" s="1"/>
  <c r="G95" i="16"/>
  <c r="L73" i="19"/>
  <c r="L67" i="19"/>
  <c r="D92" i="19"/>
  <c r="D37" i="19"/>
  <c r="C37" i="19" s="1"/>
  <c r="G36" i="19"/>
  <c r="C458" i="3"/>
  <c r="E41" i="4"/>
  <c r="T123" i="17"/>
  <c r="D151" i="17" s="1"/>
  <c r="BI51" i="17"/>
  <c r="BI55" i="17" s="1"/>
  <c r="D65" i="17"/>
  <c r="B65" i="17" s="1"/>
  <c r="B123" i="17" s="1"/>
  <c r="W62" i="17"/>
  <c r="S42" i="7"/>
  <c r="R42" i="7" s="1"/>
  <c r="R10" i="7"/>
  <c r="BZ50" i="17"/>
  <c r="W10" i="17"/>
  <c r="V10" i="17" s="1"/>
  <c r="BI10" i="17"/>
  <c r="BI34" i="17"/>
  <c r="W34" i="17"/>
  <c r="CM42" i="7"/>
  <c r="BI38" i="17"/>
  <c r="W38" i="17"/>
  <c r="E113" i="18"/>
  <c r="M91" i="18"/>
  <c r="M97" i="18"/>
  <c r="E46" i="18"/>
  <c r="D46" i="18" s="1"/>
  <c r="H45" i="18"/>
  <c r="M94" i="18"/>
  <c r="E30" i="4"/>
  <c r="C380" i="3"/>
  <c r="R42" i="18"/>
  <c r="W36" i="17"/>
  <c r="D119" i="7"/>
  <c r="W107" i="4"/>
  <c r="W73" i="4" s="1"/>
  <c r="AA15" i="4" s="1"/>
  <c r="BI26" i="17"/>
  <c r="BC131" i="4"/>
  <c r="BB73" i="4" s="1"/>
  <c r="D152" i="17"/>
  <c r="BI46" i="17"/>
  <c r="W46" i="17"/>
  <c r="W72" i="4"/>
  <c r="S117" i="4"/>
  <c r="S73" i="4" s="1"/>
  <c r="D119" i="8"/>
  <c r="W30" i="17"/>
  <c r="BI30" i="17"/>
  <c r="BI40" i="17"/>
  <c r="AA28" i="4"/>
  <c r="W14" i="17"/>
  <c r="W24" i="17"/>
  <c r="BI24" i="17"/>
  <c r="BI22" i="17"/>
  <c r="W22" i="17"/>
  <c r="D161" i="11"/>
  <c r="V22" i="4"/>
  <c r="X22" i="4" s="1"/>
  <c r="BQ16" i="11"/>
  <c r="BQ14" i="11"/>
  <c r="BQ11" i="11"/>
  <c r="BQ18" i="11"/>
  <c r="BQ25" i="11"/>
  <c r="BQ27" i="11"/>
  <c r="BQ29" i="11"/>
  <c r="BQ22" i="11"/>
  <c r="BQ20" i="11"/>
  <c r="BQ34" i="11"/>
  <c r="BQ19" i="11"/>
  <c r="BQ23" i="11"/>
  <c r="BQ13" i="11"/>
  <c r="BQ31" i="11"/>
  <c r="BQ15" i="11"/>
  <c r="BQ37" i="11"/>
  <c r="BQ35" i="11"/>
  <c r="BQ26" i="11"/>
  <c r="BQ21" i="11"/>
  <c r="BQ10" i="11"/>
  <c r="BQ33" i="11"/>
  <c r="BQ12" i="11"/>
  <c r="BQ32" i="11"/>
  <c r="BQ28" i="11"/>
  <c r="BQ17" i="11"/>
  <c r="BQ24" i="11"/>
  <c r="BQ30" i="11"/>
  <c r="M91" i="7"/>
  <c r="M94" i="7"/>
  <c r="E114" i="7"/>
  <c r="H45" i="7"/>
  <c r="M97" i="7"/>
  <c r="C174" i="3"/>
  <c r="E15" i="4"/>
  <c r="E46" i="7"/>
  <c r="D46" i="7" s="1"/>
  <c r="C45" i="7"/>
  <c r="C114" i="7" s="1"/>
  <c r="D13" i="22"/>
  <c r="D27" i="22" s="1"/>
  <c r="E95" i="22" s="1"/>
  <c r="CQ30" i="5"/>
  <c r="CQ24" i="5"/>
  <c r="CQ18" i="5"/>
  <c r="CQ38" i="5"/>
  <c r="CQ32" i="5"/>
  <c r="CQ20" i="5"/>
  <c r="CQ37" i="5"/>
  <c r="CQ36" i="5"/>
  <c r="CQ34" i="5"/>
  <c r="CQ33" i="5"/>
  <c r="CQ29" i="5"/>
  <c r="CQ35" i="5"/>
  <c r="CQ28" i="5"/>
  <c r="CQ27" i="5"/>
  <c r="CQ26" i="5"/>
  <c r="CQ25" i="5"/>
  <c r="CQ23" i="5"/>
  <c r="CQ22" i="5"/>
  <c r="CQ11" i="5"/>
  <c r="CQ17" i="5"/>
  <c r="CQ16" i="5"/>
  <c r="CQ21" i="5"/>
  <c r="E151" i="5"/>
  <c r="CQ19" i="5"/>
  <c r="CQ14" i="5"/>
  <c r="CQ15" i="5"/>
  <c r="CQ12" i="5"/>
  <c r="CQ31" i="5"/>
  <c r="CQ40" i="5"/>
  <c r="V11" i="4"/>
  <c r="CQ13" i="5"/>
  <c r="T42" i="5"/>
  <c r="W12" i="17"/>
  <c r="V12" i="17" s="1"/>
  <c r="BI44" i="17"/>
  <c r="W44" i="17"/>
  <c r="DC35" i="10"/>
  <c r="F40" i="10"/>
  <c r="F99" i="10" s="1"/>
  <c r="DC18" i="10"/>
  <c r="DC23" i="10"/>
  <c r="D99" i="10"/>
  <c r="DC21" i="10"/>
  <c r="DC34" i="10"/>
  <c r="DC22" i="10"/>
  <c r="DC20" i="10"/>
  <c r="L84" i="10"/>
  <c r="D41" i="10"/>
  <c r="C41" i="10" s="1"/>
  <c r="DC32" i="10"/>
  <c r="G40" i="10"/>
  <c r="G99" i="10" s="1"/>
  <c r="DC13" i="10"/>
  <c r="DC11" i="10"/>
  <c r="DC15" i="10"/>
  <c r="DC17" i="10"/>
  <c r="L81" i="10"/>
  <c r="DC29" i="10"/>
  <c r="DC19" i="10"/>
  <c r="DC33" i="10"/>
  <c r="DC25" i="10"/>
  <c r="DC27" i="10"/>
  <c r="DC24" i="10"/>
  <c r="DC14" i="10"/>
  <c r="DC30" i="10"/>
  <c r="DC16" i="10"/>
  <c r="DC26" i="10"/>
  <c r="DC12" i="10"/>
  <c r="DB37" i="10"/>
  <c r="L78" i="10"/>
  <c r="DC28" i="10"/>
  <c r="DC31" i="10"/>
  <c r="DC10" i="10"/>
  <c r="DC36" i="10" s="1"/>
  <c r="DC37" i="10" s="1"/>
  <c r="E14" i="4"/>
  <c r="C139" i="3"/>
  <c r="G119" i="4"/>
  <c r="AR119" i="4" s="1"/>
  <c r="BO72" i="4"/>
  <c r="W16" i="17"/>
  <c r="BI16" i="17"/>
  <c r="S7" i="7"/>
  <c r="H114" i="8"/>
  <c r="G45" i="8"/>
  <c r="G114" i="8" s="1"/>
  <c r="BI18" i="17"/>
  <c r="CR11" i="5"/>
  <c r="CR39" i="5" s="1"/>
  <c r="AB11" i="5"/>
  <c r="AB39" i="5" s="1"/>
  <c r="BI28" i="17"/>
  <c r="E40" i="6"/>
  <c r="U94" i="6"/>
  <c r="AA25" i="4"/>
  <c r="DC23" i="13"/>
  <c r="L84" i="13"/>
  <c r="DC16" i="13"/>
  <c r="DC21" i="13"/>
  <c r="DC26" i="13"/>
  <c r="DC31" i="13"/>
  <c r="DC17" i="13"/>
  <c r="D41" i="13"/>
  <c r="C41" i="13" s="1"/>
  <c r="DC19" i="13"/>
  <c r="D99" i="13"/>
  <c r="G40" i="13"/>
  <c r="G99" i="13" s="1"/>
  <c r="DC25" i="13"/>
  <c r="DC10" i="13"/>
  <c r="DC36" i="13" s="1"/>
  <c r="DC37" i="13" s="1"/>
  <c r="F40" i="13"/>
  <c r="F99" i="13" s="1"/>
  <c r="DC27" i="13"/>
  <c r="DC12" i="13"/>
  <c r="DC29" i="13"/>
  <c r="DC33" i="13"/>
  <c r="L81" i="13"/>
  <c r="DC13" i="13"/>
  <c r="DC15" i="13"/>
  <c r="DC18" i="13"/>
  <c r="DC32" i="13"/>
  <c r="DC22" i="13"/>
  <c r="L78" i="13"/>
  <c r="DC35" i="13"/>
  <c r="DB37" i="13"/>
  <c r="DC24" i="13"/>
  <c r="DC20" i="13"/>
  <c r="DC11" i="13"/>
  <c r="DC28" i="13"/>
  <c r="DC14" i="13"/>
  <c r="DC30" i="13"/>
  <c r="DC34" i="13"/>
  <c r="E24" i="4"/>
  <c r="S40" i="11"/>
  <c r="G107" i="4"/>
  <c r="CX44" i="18"/>
  <c r="CM43" i="18"/>
  <c r="CM44" i="18" s="1"/>
  <c r="CM41" i="5"/>
  <c r="BI20" i="17"/>
  <c r="AA41" i="4"/>
  <c r="W48" i="17"/>
  <c r="BI48" i="17"/>
  <c r="BI42" i="17"/>
  <c r="W32" i="17"/>
  <c r="BI32" i="17"/>
  <c r="O131" i="4"/>
  <c r="O73" i="4" s="1"/>
  <c r="E101" i="6"/>
  <c r="F41" i="4" l="1"/>
  <c r="Y41" i="4"/>
  <c r="F15" i="4"/>
  <c r="Y15" i="4"/>
  <c r="K131" i="4"/>
  <c r="E93" i="5"/>
  <c r="E41" i="6"/>
  <c r="D41" i="6" s="1"/>
  <c r="FQ29" i="6"/>
  <c r="FR29" i="6" s="1"/>
  <c r="FQ13" i="6"/>
  <c r="FR13" i="6" s="1"/>
  <c r="FQ30" i="6"/>
  <c r="FR30" i="6" s="1"/>
  <c r="FQ14" i="6"/>
  <c r="FR14" i="6" s="1"/>
  <c r="FQ31" i="6"/>
  <c r="FR31" i="6" s="1"/>
  <c r="FQ15" i="6"/>
  <c r="FR15" i="6" s="1"/>
  <c r="FQ33" i="6"/>
  <c r="FR33" i="6" s="1"/>
  <c r="FQ17" i="6"/>
  <c r="FR17" i="6" s="1"/>
  <c r="FQ34" i="6"/>
  <c r="FR34" i="6" s="1"/>
  <c r="FQ18" i="6"/>
  <c r="FR18" i="6" s="1"/>
  <c r="FQ20" i="6"/>
  <c r="FR20" i="6" s="1"/>
  <c r="FQ21" i="6"/>
  <c r="FR21" i="6" s="1"/>
  <c r="M73" i="6"/>
  <c r="FQ22" i="6"/>
  <c r="FR22" i="6" s="1"/>
  <c r="FQ27" i="6"/>
  <c r="FR27" i="6" s="1"/>
  <c r="FQ11" i="6"/>
  <c r="FR11" i="6" s="1"/>
  <c r="FQ28" i="6"/>
  <c r="FR28" i="6" s="1"/>
  <c r="FQ12" i="6"/>
  <c r="FR12" i="6" s="1"/>
  <c r="M76" i="6"/>
  <c r="FQ26" i="6"/>
  <c r="FR26" i="6" s="1"/>
  <c r="FQ10" i="6"/>
  <c r="FR10" i="6" s="1"/>
  <c r="FQ19" i="6"/>
  <c r="FR19" i="6" s="1"/>
  <c r="FQ23" i="6"/>
  <c r="FR23" i="6" s="1"/>
  <c r="FQ16" i="6"/>
  <c r="FR16" i="6" s="1"/>
  <c r="M79" i="6"/>
  <c r="H40" i="6"/>
  <c r="H94" i="6" s="1"/>
  <c r="G40" i="6"/>
  <c r="G94" i="6" s="1"/>
  <c r="FQ24" i="6"/>
  <c r="FR24" i="6" s="1"/>
  <c r="E94" i="6"/>
  <c r="FQ25" i="6"/>
  <c r="FR25" i="6" s="1"/>
  <c r="FQ35" i="6"/>
  <c r="FR35" i="6" s="1"/>
  <c r="FQ32" i="6"/>
  <c r="FR32" i="6" s="1"/>
  <c r="E12" i="4"/>
  <c r="C103" i="3"/>
  <c r="Y37" i="6"/>
  <c r="BQ36" i="11"/>
  <c r="G92" i="19"/>
  <c r="F36" i="19"/>
  <c r="F92" i="19" s="1"/>
  <c r="AI131" i="4"/>
  <c r="AI73" i="4" s="1"/>
  <c r="D104" i="11"/>
  <c r="BZ52" i="17"/>
  <c r="T66" i="17"/>
  <c r="U67" i="17" s="1"/>
  <c r="BI50" i="17"/>
  <c r="BI52" i="17" s="1"/>
  <c r="BC72" i="4"/>
  <c r="G117" i="4"/>
  <c r="AR117" i="4" s="1"/>
  <c r="W50" i="17"/>
  <c r="W51" i="17" s="1"/>
  <c r="E118" i="7"/>
  <c r="V46" i="7"/>
  <c r="X46" i="7" s="1"/>
  <c r="N174" i="3"/>
  <c r="G208" i="3"/>
  <c r="S72" i="4"/>
  <c r="AA17" i="4"/>
  <c r="O72" i="4"/>
  <c r="AA12" i="4"/>
  <c r="H114" i="7"/>
  <c r="G45" i="7"/>
  <c r="G114" i="7" s="1"/>
  <c r="N458" i="3"/>
  <c r="I483" i="3"/>
  <c r="E118" i="8"/>
  <c r="V46" i="8"/>
  <c r="X46" i="8" s="1"/>
  <c r="K44" i="3"/>
  <c r="K46" i="3"/>
  <c r="AR107" i="4"/>
  <c r="L103" i="17"/>
  <c r="L100" i="17"/>
  <c r="D123" i="17"/>
  <c r="D66" i="17"/>
  <c r="C66" i="17" s="1"/>
  <c r="L106" i="17"/>
  <c r="G65" i="17"/>
  <c r="C330" i="3"/>
  <c r="E28" i="4"/>
  <c r="CM45" i="7"/>
  <c r="CM44" i="7"/>
  <c r="H113" i="18"/>
  <c r="G45" i="18"/>
  <c r="G113" i="18" s="1"/>
  <c r="E43" i="22"/>
  <c r="CA131" i="4"/>
  <c r="U32" i="19"/>
  <c r="V33" i="19" s="1"/>
  <c r="F460" i="3"/>
  <c r="BR37" i="11"/>
  <c r="T99" i="11"/>
  <c r="D40" i="11"/>
  <c r="I40" i="11"/>
  <c r="I99" i="11" s="1"/>
  <c r="CQ39" i="5"/>
  <c r="E100" i="6"/>
  <c r="U42" i="6"/>
  <c r="U88" i="5"/>
  <c r="BM41" i="5"/>
  <c r="E42" i="5"/>
  <c r="AB40" i="5" s="1"/>
  <c r="E117" i="18"/>
  <c r="V46" i="18"/>
  <c r="X46" i="18" s="1"/>
  <c r="V53" i="4"/>
  <c r="X11" i="4"/>
  <c r="BG72" i="4"/>
  <c r="AA30" i="4"/>
  <c r="F28" i="4" l="1"/>
  <c r="Y28" i="4"/>
  <c r="K47" i="3"/>
  <c r="DC35" i="11"/>
  <c r="L78" i="11"/>
  <c r="G40" i="11"/>
  <c r="G99" i="11" s="1"/>
  <c r="L84" i="11"/>
  <c r="D99" i="11"/>
  <c r="D41" i="11"/>
  <c r="C41" i="11" s="1"/>
  <c r="F40" i="11"/>
  <c r="F99" i="11" s="1"/>
  <c r="DC30" i="11"/>
  <c r="DC25" i="11"/>
  <c r="DC17" i="11"/>
  <c r="DC33" i="11"/>
  <c r="DC22" i="11"/>
  <c r="L81" i="11"/>
  <c r="DC28" i="11"/>
  <c r="DC14" i="11"/>
  <c r="DC19" i="11"/>
  <c r="DB16" i="11"/>
  <c r="DC18" i="11"/>
  <c r="DC26" i="11"/>
  <c r="DC34" i="11"/>
  <c r="DC10" i="11"/>
  <c r="DC16" i="11"/>
  <c r="DC24" i="11"/>
  <c r="DC29" i="11"/>
  <c r="DB24" i="11"/>
  <c r="DC32" i="11"/>
  <c r="DC27" i="11"/>
  <c r="DB27" i="11"/>
  <c r="DC23" i="11"/>
  <c r="DC21" i="11"/>
  <c r="DC20" i="11"/>
  <c r="DB19" i="11"/>
  <c r="DC15" i="11"/>
  <c r="DC13" i="11"/>
  <c r="DC12" i="11"/>
  <c r="DC31" i="11"/>
  <c r="N259" i="3"/>
  <c r="N61" i="3" s="1"/>
  <c r="C259" i="3"/>
  <c r="E22" i="4"/>
  <c r="Y22" i="4" s="1"/>
  <c r="DB17" i="11"/>
  <c r="DB22" i="11"/>
  <c r="DB26" i="11"/>
  <c r="DB15" i="11"/>
  <c r="DC11" i="11"/>
  <c r="DB23" i="11"/>
  <c r="DB14" i="11"/>
  <c r="DB18" i="11"/>
  <c r="DB25" i="11"/>
  <c r="DB11" i="11"/>
  <c r="DB21" i="11"/>
  <c r="DB13" i="11"/>
  <c r="DB20" i="11"/>
  <c r="B40" i="11"/>
  <c r="B99" i="11" s="1"/>
  <c r="CQ41" i="5"/>
  <c r="T40" i="5"/>
  <c r="AI72" i="4"/>
  <c r="AA23" i="4"/>
  <c r="E42" i="22"/>
  <c r="CA73" i="4"/>
  <c r="CA72" i="4" s="1"/>
  <c r="BQ38" i="11"/>
  <c r="BS25" i="11"/>
  <c r="BS13" i="11"/>
  <c r="BS28" i="11"/>
  <c r="BV28" i="11" s="1"/>
  <c r="BS27" i="11"/>
  <c r="BS22" i="11"/>
  <c r="BS18" i="11"/>
  <c r="BS31" i="11"/>
  <c r="BV31" i="11" s="1"/>
  <c r="BS19" i="11"/>
  <c r="BS14" i="11"/>
  <c r="BS30" i="11"/>
  <c r="BV30" i="11" s="1"/>
  <c r="BS11" i="11"/>
  <c r="BS26" i="11"/>
  <c r="BS32" i="11"/>
  <c r="BV32" i="11" s="1"/>
  <c r="BS12" i="11"/>
  <c r="BV12" i="11" s="1"/>
  <c r="BS23" i="11"/>
  <c r="BS34" i="11"/>
  <c r="BV34" i="11" s="1"/>
  <c r="BS10" i="11"/>
  <c r="BS15" i="11"/>
  <c r="BS29" i="11"/>
  <c r="BV29" i="11" s="1"/>
  <c r="BS21" i="11"/>
  <c r="BS35" i="11"/>
  <c r="BV35" i="11" s="1"/>
  <c r="BS20" i="11"/>
  <c r="BS33" i="11"/>
  <c r="BV33" i="11" s="1"/>
  <c r="BS17" i="11"/>
  <c r="BS24" i="11"/>
  <c r="BS16" i="11"/>
  <c r="BR36" i="11"/>
  <c r="BR38" i="11" s="1"/>
  <c r="X53" i="4"/>
  <c r="W11" i="4"/>
  <c r="Y11" i="4"/>
  <c r="F73" i="4"/>
  <c r="K49" i="3"/>
  <c r="K524" i="3"/>
  <c r="E92" i="5"/>
  <c r="T43" i="5"/>
  <c r="U44" i="5" s="1"/>
  <c r="U47" i="5"/>
  <c r="E43" i="5"/>
  <c r="D43" i="5" s="1"/>
  <c r="H42" i="5"/>
  <c r="M69" i="5"/>
  <c r="M66" i="5"/>
  <c r="S47" i="5"/>
  <c r="E11" i="4"/>
  <c r="CR40" i="5"/>
  <c r="M72" i="5"/>
  <c r="E88" i="5"/>
  <c r="C62" i="3"/>
  <c r="C42" i="5"/>
  <c r="G131" i="4"/>
  <c r="K73" i="4"/>
  <c r="K72" i="4" s="1"/>
  <c r="D103" i="11"/>
  <c r="AM72" i="4"/>
  <c r="AQ72" i="4"/>
  <c r="AA22" i="4"/>
  <c r="G123" i="17"/>
  <c r="F65" i="17"/>
  <c r="F123" i="17" s="1"/>
  <c r="X52" i="4" l="1"/>
  <c r="X55" i="4" s="1"/>
  <c r="AA11" i="4"/>
  <c r="DB36" i="11"/>
  <c r="DB37" i="11" s="1"/>
  <c r="BV16" i="11"/>
  <c r="BW16" i="11" s="1"/>
  <c r="BU16" i="11"/>
  <c r="BV20" i="11"/>
  <c r="BW20" i="11" s="1"/>
  <c r="BU20" i="11"/>
  <c r="BV13" i="11"/>
  <c r="BW13" i="11" s="1"/>
  <c r="BU13" i="11"/>
  <c r="BV15" i="11"/>
  <c r="BW15" i="11" s="1"/>
  <c r="BU15" i="11"/>
  <c r="BV10" i="11"/>
  <c r="BS36" i="11"/>
  <c r="BV25" i="11"/>
  <c r="BW25" i="11" s="1"/>
  <c r="BU25" i="11"/>
  <c r="BV17" i="11"/>
  <c r="BW17" i="11" s="1"/>
  <c r="BU17" i="11"/>
  <c r="BV21" i="11"/>
  <c r="BW21" i="11" s="1"/>
  <c r="BU21" i="11"/>
  <c r="AR131" i="4"/>
  <c r="L62" i="4"/>
  <c r="M62" i="4" s="1"/>
  <c r="CR41" i="5"/>
  <c r="BM40" i="5"/>
  <c r="G42" i="5"/>
  <c r="G88" i="5" s="1"/>
  <c r="H40" i="5"/>
  <c r="H88" i="5"/>
  <c r="DC36" i="11"/>
  <c r="DC37" i="11" s="1"/>
  <c r="J42" i="5"/>
  <c r="J88" i="5" s="1"/>
  <c r="C88" i="5"/>
  <c r="BV23" i="11"/>
  <c r="BW23" i="11" s="1"/>
  <c r="BU23" i="11"/>
  <c r="X57" i="4"/>
  <c r="F72" i="4" s="1"/>
  <c r="BV24" i="11"/>
  <c r="BW24" i="11" s="1"/>
  <c r="BU24" i="11"/>
  <c r="E53" i="4"/>
  <c r="F11" i="4"/>
  <c r="BV11" i="11"/>
  <c r="BW11" i="11" s="1"/>
  <c r="BU11" i="11"/>
  <c r="BV18" i="11"/>
  <c r="BW18" i="11" s="1"/>
  <c r="BU18" i="11"/>
  <c r="BV14" i="11"/>
  <c r="BW14" i="11" s="1"/>
  <c r="BU14" i="11"/>
  <c r="BV22" i="11"/>
  <c r="BW22" i="11" s="1"/>
  <c r="BU22" i="11"/>
  <c r="BV26" i="11"/>
  <c r="BW26" i="11" s="1"/>
  <c r="BU26" i="11"/>
  <c r="BV19" i="11"/>
  <c r="BW19" i="11" s="1"/>
  <c r="BU19" i="11"/>
  <c r="BV27" i="11"/>
  <c r="BW27" i="11" s="1"/>
  <c r="BU27" i="11"/>
  <c r="F42" i="11" l="1"/>
  <c r="BV36" i="11"/>
  <c r="BW36" i="11" s="1"/>
  <c r="H54" i="4"/>
  <c r="G54" i="4"/>
  <c r="AA53" i="4"/>
  <c r="L54" i="4"/>
  <c r="U54" i="4"/>
  <c r="T54" i="4"/>
  <c r="S54" i="4"/>
  <c r="R54" i="4"/>
  <c r="D55" i="4"/>
  <c r="M59" i="4" s="1"/>
  <c r="Q54" i="4"/>
  <c r="P54" i="4"/>
  <c r="O54" i="4"/>
  <c r="N54" i="4"/>
  <c r="M54" i="4"/>
  <c r="K54" i="4"/>
  <c r="J54" i="4"/>
  <c r="I54" i="4"/>
  <c r="Z54" i="4"/>
  <c r="F72" i="17" l="1"/>
  <c r="E57" i="4"/>
  <c r="L64" i="4"/>
  <c r="N53" i="3"/>
  <c r="L63" i="4"/>
  <c r="M60" i="4"/>
  <c r="M57" i="4"/>
  <c r="M61" i="4"/>
  <c r="M58" i="4"/>
  <c r="N47" i="3"/>
  <c r="X54" i="4"/>
  <c r="B42" i="11"/>
  <c r="F22" i="4" s="1"/>
  <c r="M63" i="4" l="1"/>
  <c r="Q59" i="4"/>
  <c r="Q65" i="4"/>
  <c r="M64" i="4"/>
  <c r="Q61" i="4" l="1"/>
  <c r="Q63"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600-000001000000}">
      <text>
        <r>
          <rPr>
            <sz val="10"/>
            <rFont val="Arial"/>
            <family val="2"/>
          </rPr>
          <t xml:space="preserve">//Drawing Data//
Scale=1/8"
Factor=96
Units=1
Job=
Location=
Measurement=
Rounding=0
Source=XL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700-000001000000}">
      <text>
        <r>
          <rPr>
            <sz val="10"/>
            <rFont val="Arial"/>
            <family val="2"/>
          </rPr>
          <t xml:space="preserve">//Drawing Data//
Scale=1/8"
Factor=96
Units=1
Job=
Location=
Measurement=
Rounding=0
Source=XL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800-000001000000}">
      <text>
        <r>
          <rPr>
            <sz val="10"/>
            <rFont val="Arial"/>
            <family val="2"/>
          </rPr>
          <t xml:space="preserve">//Drawing Data//
Scale=1/8"
Factor=96
Units=1
Job=
Location=
Measurement=
Rounding=0
Source=XL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F00-000001000000}">
      <text>
        <r>
          <rPr>
            <sz val="10"/>
            <rFont val="Arial"/>
            <family val="2"/>
          </rPr>
          <t xml:space="preserve">//Drawing Data//
Scale=1:50
Factor=600
Units=3
Job=
Location=
Measurement=
Rounding=0
Source=XL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1100-000001000000}">
      <text>
        <r>
          <rPr>
            <sz val="10"/>
            <rFont val="Arial"/>
            <family val="2"/>
          </rPr>
          <t xml:space="preserve">//Drawing Data//
Scale=1/8"
Factor=96
Units=1
Job=
Location=
Measurement=
Rounding=0
Source=XL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1200-000001000000}">
      <text>
        <r>
          <rPr>
            <sz val="10"/>
            <rFont val="Arial"/>
            <family val="2"/>
          </rPr>
          <t xml:space="preserve">//Drawing Data//
Scale=1:40
Factor=480
Units=3
Job=
Location=
Measurement=
Rounding=0
Source=XL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Dan Hoppe</author>
  </authors>
  <commentList>
    <comment ref="T137" authorId="0" shapeId="0" xr:uid="{00000000-0006-0000-1400-000001000000}">
      <text>
        <r>
          <rPr>
            <sz val="10"/>
            <rFont val="Arial"/>
            <family val="2"/>
          </rPr>
          <t xml:space="preserve">Dan Hoppe:
</t>
        </r>
      </text>
    </comment>
  </commentList>
</comments>
</file>

<file path=xl/sharedStrings.xml><?xml version="1.0" encoding="utf-8"?>
<sst xmlns="http://schemas.openxmlformats.org/spreadsheetml/2006/main" count="9271" uniqueCount="2127">
  <si>
    <t>NUMBER</t>
  </si>
  <si>
    <t>DATE</t>
  </si>
  <si>
    <t>JOB NAME:</t>
  </si>
  <si>
    <t>Trammell Crow – LBJ</t>
  </si>
  <si>
    <t>BID:</t>
  </si>
  <si>
    <t xml:space="preserve">Customer </t>
  </si>
  <si>
    <t>COMPANY NAME</t>
  </si>
  <si>
    <t>ADDRESS</t>
  </si>
  <si>
    <t>CITY</t>
  </si>
  <si>
    <t>STATE</t>
  </si>
  <si>
    <t>ZIP CODE</t>
  </si>
  <si>
    <t>CONTACT</t>
  </si>
  <si>
    <t>OFFICE</t>
  </si>
  <si>
    <t>CELL</t>
  </si>
  <si>
    <t>EMAIL</t>
  </si>
  <si>
    <t>JOB ADDRESS:</t>
  </si>
  <si>
    <t>JOB #</t>
  </si>
  <si>
    <t>AMLI Development Co</t>
  </si>
  <si>
    <t>1945 Vaughn Rd</t>
  </si>
  <si>
    <t>Kennewaw</t>
  </si>
  <si>
    <t>Georgia</t>
  </si>
  <si>
    <t>Heather Wiggins</t>
  </si>
  <si>
    <t>770-281-3353</t>
  </si>
  <si>
    <t>hwiggins@amli.com</t>
  </si>
  <si>
    <t>Dallas, TX</t>
  </si>
  <si>
    <t>AMTEX Construction</t>
  </si>
  <si>
    <t>832 E Walnut St</t>
  </si>
  <si>
    <t>Garland</t>
  </si>
  <si>
    <t>Texas</t>
  </si>
  <si>
    <t>ML Williams</t>
  </si>
  <si>
    <t>703-906-6955</t>
  </si>
  <si>
    <t>mwilliams@amtexhousing.com</t>
  </si>
  <si>
    <t>Bartlett Cocke GC</t>
  </si>
  <si>
    <t>8706 Lockway St.</t>
  </si>
  <si>
    <t>San Antonio</t>
  </si>
  <si>
    <t>Scott Temple</t>
  </si>
  <si>
    <t>210-655-1031</t>
  </si>
  <si>
    <t>stemple@bartlettecocke.com</t>
  </si>
  <si>
    <t xml:space="preserve">TODAY'S DATE: </t>
  </si>
  <si>
    <t>Aarron Lacey</t>
  </si>
  <si>
    <t>512-326-4223</t>
  </si>
  <si>
    <t>alacey@bartlettecocke.com</t>
  </si>
  <si>
    <t>PREPARED BY:</t>
  </si>
  <si>
    <t>Jacob Clanton</t>
  </si>
  <si>
    <t>jclanton@bartlettcocke.com</t>
  </si>
  <si>
    <t>BBL Building Company</t>
  </si>
  <si>
    <t>16800 Dallas Pkwy, Suite 110</t>
  </si>
  <si>
    <t>Dallas</t>
  </si>
  <si>
    <t>Fernando Ulloa</t>
  </si>
  <si>
    <t>972-469-1240</t>
  </si>
  <si>
    <t>fulloa@bblbuildingco.com</t>
  </si>
  <si>
    <t>CUSTOMER ##</t>
  </si>
  <si>
    <t>Jonathan Staiger</t>
  </si>
  <si>
    <t>469-667-3828</t>
  </si>
  <si>
    <t>jstaiger@bblbuildingco.com</t>
  </si>
  <si>
    <t>BID TO:</t>
  </si>
  <si>
    <t>DWGS SUPPLIED:</t>
  </si>
  <si>
    <t>NAME</t>
  </si>
  <si>
    <t>Colby Begis</t>
  </si>
  <si>
    <t>214-808-4364</t>
  </si>
  <si>
    <t>cbegis@bblbuildingco.com</t>
  </si>
  <si>
    <t>CLIENT # 1 NAME:</t>
  </si>
  <si>
    <t xml:space="preserve">ARCHITECTURAL: </t>
  </si>
  <si>
    <t>BC Contracting Company</t>
  </si>
  <si>
    <t>705 13th Ave E, Suite 201</t>
  </si>
  <si>
    <t>West Fargo</t>
  </si>
  <si>
    <t>North Dakota</t>
  </si>
  <si>
    <t>Alex Dockter</t>
  </si>
  <si>
    <t>701-526-6929</t>
  </si>
  <si>
    <t>adockter@bccontracting.com</t>
  </si>
  <si>
    <t>ADDRESS:</t>
  </si>
  <si>
    <t xml:space="preserve">STRUCTURAL: </t>
  </si>
  <si>
    <t>Billingsley Company</t>
  </si>
  <si>
    <t>6800 Windhaven Pkwy, Suite 133</t>
  </si>
  <si>
    <t>The Colony</t>
  </si>
  <si>
    <t>Gary Daily Jr</t>
  </si>
  <si>
    <t>469-772-3051</t>
  </si>
  <si>
    <t>469-855-0208</t>
  </si>
  <si>
    <t>gdaily@billingsleyco.com</t>
  </si>
  <si>
    <t xml:space="preserve">CIVIL: </t>
  </si>
  <si>
    <t>Bob Moore Construction</t>
  </si>
  <si>
    <t>1110 N Watson Rd</t>
  </si>
  <si>
    <t>Arlington</t>
  </si>
  <si>
    <t>Adam Abshire</t>
  </si>
  <si>
    <t>877-640-1200</t>
  </si>
  <si>
    <t>aabshire@generalcontractor.com</t>
  </si>
  <si>
    <t>CONTACT:</t>
  </si>
  <si>
    <t xml:space="preserve">LANDSCAPE: </t>
  </si>
  <si>
    <t>Boone and Boone Constuction</t>
  </si>
  <si>
    <t>17025 Hwy 69S</t>
  </si>
  <si>
    <t>Tyler</t>
  </si>
  <si>
    <t>Dick Nolen</t>
  </si>
  <si>
    <t>903-839-2700</t>
  </si>
  <si>
    <t>dick@booneandboone.com</t>
  </si>
  <si>
    <t>OFFICE:</t>
  </si>
  <si>
    <t>CELL:</t>
  </si>
  <si>
    <t>Booth and Associates</t>
  </si>
  <si>
    <t xml:space="preserve">5811 Glenwood Ave. </t>
  </si>
  <si>
    <t>Raleigh</t>
  </si>
  <si>
    <t>North Carolina</t>
  </si>
  <si>
    <t>Dakota Kelley</t>
  </si>
  <si>
    <t>214-280-3825</t>
  </si>
  <si>
    <t>dakotak@teliospc.com</t>
  </si>
  <si>
    <t>EMAIL:</t>
  </si>
  <si>
    <t>Broaddus Companies</t>
  </si>
  <si>
    <t>1301 S. Capital of Texas Hwy, Suite A-302</t>
  </si>
  <si>
    <t>Austin</t>
  </si>
  <si>
    <t>Andrew Ellison</t>
  </si>
  <si>
    <t>512-329-8822</t>
  </si>
  <si>
    <t>aellison@broaddususa.com</t>
  </si>
  <si>
    <t>Brownstone Construction</t>
  </si>
  <si>
    <t>6517 Mapleridge</t>
  </si>
  <si>
    <t>Houston</t>
  </si>
  <si>
    <t>Larry Counce II</t>
  </si>
  <si>
    <t>713-432-7727 ext:118</t>
  </si>
  <si>
    <t>larry@thebrownstonegroup.net</t>
  </si>
  <si>
    <t>David Gallagher</t>
  </si>
  <si>
    <t>210-864-2719</t>
  </si>
  <si>
    <t>davidg@thebrownstonegroup.net</t>
  </si>
  <si>
    <t>CLIENT # 2 NAME:</t>
  </si>
  <si>
    <t>Cadence McShane</t>
  </si>
  <si>
    <t>5057 Keller Springs Rd</t>
  </si>
  <si>
    <t>Addison</t>
  </si>
  <si>
    <t>Navya Nadiminti</t>
  </si>
  <si>
    <t>708-327-8135</t>
  </si>
  <si>
    <t>nnadiminti@cadencemcshane.com</t>
  </si>
  <si>
    <t>Randy Shepherd</t>
  </si>
  <si>
    <t>281-216-2803</t>
  </si>
  <si>
    <t>rshepherd@cadencemcshane.com</t>
  </si>
  <si>
    <t>Chris Zumida</t>
  </si>
  <si>
    <t>972-996-5446</t>
  </si>
  <si>
    <t>czumida@cadencemcshane.com</t>
  </si>
  <si>
    <t>1221 S. MoPac Expressway, Suite 250</t>
  </si>
  <si>
    <t>Julia Mason</t>
  </si>
  <si>
    <t>512-721-2770</t>
  </si>
  <si>
    <t>Cody Wheeler</t>
  </si>
  <si>
    <t>cwheeler@cadencemcshane.com</t>
  </si>
  <si>
    <t>email:</t>
  </si>
  <si>
    <t>Surbhi Usrey</t>
  </si>
  <si>
    <t>susrey@cadencemcshane.com</t>
  </si>
  <si>
    <t>Carbon</t>
  </si>
  <si>
    <t>17120 Dallas Pkwy #101</t>
  </si>
  <si>
    <t xml:space="preserve">Dallas </t>
  </si>
  <si>
    <t>Kurt Jones</t>
  </si>
  <si>
    <t>214-864-1249</t>
  </si>
  <si>
    <t>kurt@carbonlandmark.com</t>
  </si>
  <si>
    <t xml:space="preserve">Scyler Hurd </t>
  </si>
  <si>
    <t>972-250-2990</t>
  </si>
  <si>
    <t>scyler@carbonlandmark.com</t>
  </si>
  <si>
    <t>CBG Building Company</t>
  </si>
  <si>
    <t>2871 Lake Vista Drive, Suite 150</t>
  </si>
  <si>
    <t>Lewisville</t>
  </si>
  <si>
    <t>Kurt Hunter</t>
  </si>
  <si>
    <t>(214) 676-1990</t>
  </si>
  <si>
    <t>kurt.hunter@cbgbc.com</t>
  </si>
  <si>
    <t>469-312-5568</t>
  </si>
  <si>
    <t>jonathan.staiger@cbgbc.com</t>
  </si>
  <si>
    <t>Commercial Construction Group</t>
  </si>
  <si>
    <t>3435 State Highway 276</t>
  </si>
  <si>
    <t>Rockwall</t>
  </si>
  <si>
    <t>Chelsea Gustafson</t>
  </si>
  <si>
    <t>214-773-8338</t>
  </si>
  <si>
    <t>cgustafson@ccgcommercialgroup.com</t>
  </si>
  <si>
    <t>Katie Larey</t>
  </si>
  <si>
    <t>972-961-0444</t>
  </si>
  <si>
    <t>klarey@ccgcommercialgroup.com</t>
  </si>
  <si>
    <t>DR Horton</t>
  </si>
  <si>
    <t>7740 N. 16th St, Suite 250</t>
  </si>
  <si>
    <t>Phoenix</t>
  </si>
  <si>
    <t>Arizona</t>
  </si>
  <si>
    <t>Andrew Brewer</t>
  </si>
  <si>
    <t>(480) 368-2372</t>
  </si>
  <si>
    <t>abrewer@drhorton.com</t>
  </si>
  <si>
    <t>Chris Martin</t>
  </si>
  <si>
    <t>817-390-8340</t>
  </si>
  <si>
    <t>CAMartin@drhorton.com</t>
  </si>
  <si>
    <t>Zach Galligan</t>
  </si>
  <si>
    <t>zgalligan@drhorton.com</t>
  </si>
  <si>
    <t xml:space="preserve">EMJ </t>
  </si>
  <si>
    <t>5525 N. MacArthur Blvd #400</t>
  </si>
  <si>
    <t>Irving</t>
  </si>
  <si>
    <t>Keith Starkes</t>
  </si>
  <si>
    <t>kstarkes@emjcorp.com</t>
  </si>
  <si>
    <t>Jack Brown</t>
  </si>
  <si>
    <t>972-580-1210</t>
  </si>
  <si>
    <t>jack.brown@emjcorp.com</t>
  </si>
  <si>
    <t>Galaxy Builders</t>
  </si>
  <si>
    <t>4729 College Park</t>
  </si>
  <si>
    <t xml:space="preserve">San Antonio </t>
  </si>
  <si>
    <t>Sam Beierle</t>
  </si>
  <si>
    <t>210-493-0550</t>
  </si>
  <si>
    <t>samb@galaxybuilders.com</t>
  </si>
  <si>
    <t>Alicia Furrow</t>
  </si>
  <si>
    <t>aliciaf@galaxybuilders.com</t>
  </si>
  <si>
    <t>Hanover Company</t>
  </si>
  <si>
    <t>1780 South Post Oak Lane</t>
  </si>
  <si>
    <t>Brayden Patterson</t>
  </si>
  <si>
    <t>830-730-6005</t>
  </si>
  <si>
    <t>bpatterson@hanoverco.com</t>
  </si>
  <si>
    <t>HiRise</t>
  </si>
  <si>
    <t xml:space="preserve">1616 Wabash Ave. </t>
  </si>
  <si>
    <t>Fort Worth</t>
  </si>
  <si>
    <t>Rusty Trice</t>
  </si>
  <si>
    <t>817-907-0428</t>
  </si>
  <si>
    <t>rusty@hirisepartners.com</t>
  </si>
  <si>
    <t>Integrated Real Eastate Group</t>
  </si>
  <si>
    <t>3110 W. Southlake Blvd. #120</t>
  </si>
  <si>
    <t>Southlake</t>
  </si>
  <si>
    <t>James Wiggins</t>
  </si>
  <si>
    <t>817-271-4107</t>
  </si>
  <si>
    <t>jwiggins@integratedreg.com</t>
  </si>
  <si>
    <t>Blake Tomlin</t>
  </si>
  <si>
    <t>817-412-1968</t>
  </si>
  <si>
    <t>btomlin@integratedreg.com</t>
  </si>
  <si>
    <t>Integrity Groups</t>
  </si>
  <si>
    <t>361 West Byron Nelson Blvd, Ste. 104</t>
  </si>
  <si>
    <t>Roanoke</t>
  </si>
  <si>
    <t>Dayne Barton</t>
  </si>
  <si>
    <t>254-488-0242</t>
  </si>
  <si>
    <t>dayneb@integritygroups.com</t>
  </si>
  <si>
    <t>JLB Partners</t>
  </si>
  <si>
    <t>1250 Street E</t>
  </si>
  <si>
    <t xml:space="preserve">Richardson </t>
  </si>
  <si>
    <t>Cameron Daily</t>
  </si>
  <si>
    <t>cdaily@jlbpartners.com</t>
  </si>
  <si>
    <t>3890 West Northwest Hightway</t>
  </si>
  <si>
    <t>Terry Coleman</t>
  </si>
  <si>
    <t>(214) 287-0109</t>
  </si>
  <si>
    <t>tcoleman@jlbpartners.com</t>
  </si>
  <si>
    <t>Jordan Foster Construction</t>
  </si>
  <si>
    <t>9639 Greenville Ave</t>
  </si>
  <si>
    <t>Justin Morris</t>
  </si>
  <si>
    <t>214-349-7900</t>
  </si>
  <si>
    <t>jmorris@jordanfosterconstruction.com</t>
  </si>
  <si>
    <t>Sean Boyd</t>
  </si>
  <si>
    <t>(214) 349-7900</t>
  </si>
  <si>
    <t>(214) 325-2194</t>
  </si>
  <si>
    <t>sboyd@jordanfosterconstruction.com</t>
  </si>
  <si>
    <t>Lee Wiley</t>
  </si>
  <si>
    <t>lwiley@jordanfosterconstruction.com</t>
  </si>
  <si>
    <t xml:space="preserve">Jordan Realty Advisors </t>
  </si>
  <si>
    <t>16475 Dalls Parkway Suite 540</t>
  </si>
  <si>
    <t>Zack Jordan</t>
  </si>
  <si>
    <t>214-778-1262</t>
  </si>
  <si>
    <t>214-533-9563</t>
  </si>
  <si>
    <t>zack@jordanrealtyadvisors.com</t>
  </si>
  <si>
    <t>JPI Construction, LLC</t>
  </si>
  <si>
    <t>600 E. Las Colinas Blvd, Suite 1800</t>
  </si>
  <si>
    <t>214-442-6301</t>
  </si>
  <si>
    <t>adam.abshire@jpi.com</t>
  </si>
  <si>
    <t>Nathan Brinkley</t>
  </si>
  <si>
    <t>214-451-6723</t>
  </si>
  <si>
    <t>nathan.brinkley@jpi.com</t>
  </si>
  <si>
    <t>Kaufman Lynn / Gulf Coast Community Builders</t>
  </si>
  <si>
    <t>3901 South Lamar, Suite 120</t>
  </si>
  <si>
    <t>Emily Jones</t>
  </si>
  <si>
    <t>512-587-4581</t>
  </si>
  <si>
    <t>ejones@gccbllc.com</t>
  </si>
  <si>
    <t>KWA Construction</t>
  </si>
  <si>
    <t>16800 Westgrove Dr, Suite 300</t>
  </si>
  <si>
    <t>Donnie Boone</t>
  </si>
  <si>
    <t>(214) 978-0177</t>
  </si>
  <si>
    <t>dboone@kwaconstruction.com</t>
  </si>
  <si>
    <t>16801 Westgrove Dr, Suite 300</t>
  </si>
  <si>
    <t>Jordan Jones</t>
  </si>
  <si>
    <t>jjones@kwaconstruction.com</t>
  </si>
  <si>
    <t>Nash Shevelly</t>
  </si>
  <si>
    <t>bids@kwaconstruction.com</t>
  </si>
  <si>
    <t>Links Construction</t>
  </si>
  <si>
    <t>525 S. Loop 288  Suite 105</t>
  </si>
  <si>
    <t>Denton</t>
  </si>
  <si>
    <t>Marty Skaggs</t>
  </si>
  <si>
    <t>940-566-5465 ext. 1092</t>
  </si>
  <si>
    <t>817-791-1989</t>
  </si>
  <si>
    <t>mskaggs@linksconstruction.com</t>
  </si>
  <si>
    <t>Maker Bros.</t>
  </si>
  <si>
    <t>4901 Keller Springs, Suite 101</t>
  </si>
  <si>
    <t>Justin Bailey</t>
  </si>
  <si>
    <t>(214) 682-3588</t>
  </si>
  <si>
    <t>jbailey@makerbros.net</t>
  </si>
  <si>
    <t>Patrick Anderson</t>
  </si>
  <si>
    <t>817-689-5620</t>
  </si>
  <si>
    <t>panderson@makerbros.net</t>
  </si>
  <si>
    <t>McShane Construction</t>
  </si>
  <si>
    <t>5057 Keller Springs Rd. Suite 500</t>
  </si>
  <si>
    <t>Ken DeBardelaben</t>
  </si>
  <si>
    <t>334-539-3563</t>
  </si>
  <si>
    <t>kend@mcshane.com</t>
  </si>
  <si>
    <t>Mill Creek Residential</t>
  </si>
  <si>
    <t>5910 N Central Expy, Suite 1100</t>
  </si>
  <si>
    <t>Chris Wilkins</t>
  </si>
  <si>
    <t>972-748-7578</t>
  </si>
  <si>
    <t>swilkins@mcrtrust.com</t>
  </si>
  <si>
    <t>Moss &amp; Associates</t>
  </si>
  <si>
    <t>2101 N. Andrews Avenue</t>
  </si>
  <si>
    <t>Fort Lauderdale</t>
  </si>
  <si>
    <t>Florida</t>
  </si>
  <si>
    <t>Jeff Berry</t>
  </si>
  <si>
    <t>469-625-9043</t>
  </si>
  <si>
    <t>jberry@mosscm.com</t>
  </si>
  <si>
    <t>Eric McLellan</t>
  </si>
  <si>
    <t>469-625-9037</t>
  </si>
  <si>
    <t>emclellan@mosscm.com</t>
  </si>
  <si>
    <t xml:space="preserve">Muckleroy &amp; Falls </t>
  </si>
  <si>
    <t>5801 Edwards Ranch Rd. #600</t>
  </si>
  <si>
    <t>Taylor Hale</t>
  </si>
  <si>
    <t>972-322-1420</t>
  </si>
  <si>
    <t>preconstruction@muckleroyfalls.com</t>
  </si>
  <si>
    <t>Novel Builders</t>
  </si>
  <si>
    <t>600 S. Sherman St. Suite 124</t>
  </si>
  <si>
    <t>Jessica Cruz</t>
  </si>
  <si>
    <t>214-707-0377</t>
  </si>
  <si>
    <t>Estimating@Novelbuilders.com</t>
  </si>
  <si>
    <t>NRP Group</t>
  </si>
  <si>
    <t>200 Concord Plaza Dr, 900</t>
  </si>
  <si>
    <t>Brandon Buchei</t>
  </si>
  <si>
    <t>210-773-5062</t>
  </si>
  <si>
    <t>bbuchei@nrpgroup.com</t>
  </si>
  <si>
    <t>Oden Huges LLC</t>
  </si>
  <si>
    <t>17104 Preston Rd, Suite 175</t>
  </si>
  <si>
    <t>Matt Bratton</t>
  </si>
  <si>
    <t>214-238-2995</t>
  </si>
  <si>
    <t>mbratton@odenhughesllc.com</t>
  </si>
  <si>
    <t>17103 Preston Rd, Suite 175</t>
  </si>
  <si>
    <t>Sebastian Williams</t>
  </si>
  <si>
    <t>214-238-2994</t>
  </si>
  <si>
    <t>swilliams@odenhughesllc.com</t>
  </si>
  <si>
    <t>Malcolm Sweeney</t>
  </si>
  <si>
    <t>512-639-2622</t>
  </si>
  <si>
    <t>msweeney@odenhughsllc.com</t>
  </si>
  <si>
    <t>PRA Construction</t>
  </si>
  <si>
    <t>10210 N. Central Expwy #212</t>
  </si>
  <si>
    <t>Darren Olson</t>
  </si>
  <si>
    <t>972-385-4111</t>
  </si>
  <si>
    <t>darreno@providentgc.com</t>
  </si>
  <si>
    <t>John Thompson</t>
  </si>
  <si>
    <t>972-385-4195</t>
  </si>
  <si>
    <t>JThompson@ProvidentGC.com</t>
  </si>
  <si>
    <t>Clint Gerstner</t>
  </si>
  <si>
    <t>972-385-4133</t>
  </si>
  <si>
    <t xml:space="preserve">cgerstner@providentgc.com </t>
  </si>
  <si>
    <t>Astrid Schuelke</t>
  </si>
  <si>
    <t>972-38-4144</t>
  </si>
  <si>
    <t>aschuelke@providentgc.com</t>
  </si>
  <si>
    <t>Marie Bozeman</t>
  </si>
  <si>
    <t>972-385-4107</t>
  </si>
  <si>
    <t>mbozeman@providentgc .com</t>
  </si>
  <si>
    <t>Rampart Construction</t>
  </si>
  <si>
    <t>4811 Merlot Ave, Suite 110</t>
  </si>
  <si>
    <t>Grapevine</t>
  </si>
  <si>
    <t>Kyle Pope</t>
  </si>
  <si>
    <t>817-310-0053</t>
  </si>
  <si>
    <t>kpope@ramparttx.com</t>
  </si>
  <si>
    <t>Brandon Rogers</t>
  </si>
  <si>
    <t>brogers@ramparttx.com</t>
  </si>
  <si>
    <t>Cody Sittig</t>
  </si>
  <si>
    <t>csittig@ramparttx.com</t>
  </si>
  <si>
    <t>Ratcliff Constructors</t>
  </si>
  <si>
    <t>4200 Beltway Drive</t>
  </si>
  <si>
    <t>Cindy West</t>
  </si>
  <si>
    <t>972-361-4328</t>
  </si>
  <si>
    <t>cindy.west@ratcliffconstructors.com</t>
  </si>
  <si>
    <t>Resource Commercial, Inc</t>
  </si>
  <si>
    <t>5220 Spring Valley Rd.  #615</t>
  </si>
  <si>
    <t>Steve Williams</t>
  </si>
  <si>
    <t>972-980-0880</t>
  </si>
  <si>
    <t>swilliams@resource-commercial.com</t>
  </si>
  <si>
    <t>Mike Roberts</t>
  </si>
  <si>
    <t>214-907-1355</t>
  </si>
  <si>
    <t>mroberts@rudickgroup.com</t>
  </si>
  <si>
    <t>Chris Royal</t>
  </si>
  <si>
    <t>972-743-5356</t>
  </si>
  <si>
    <t>chris@royalgeneral.com</t>
  </si>
  <si>
    <t>Ridgemont Comercial Construction</t>
  </si>
  <si>
    <t>1520 W Walnut Hill Lane</t>
  </si>
  <si>
    <t>Monica Mosley</t>
  </si>
  <si>
    <t>214-492-8900</t>
  </si>
  <si>
    <t>mmosley@ridgemont.com</t>
  </si>
  <si>
    <t>Shelie Gaffron</t>
  </si>
  <si>
    <t>Sgaffron@ridgmont.com</t>
  </si>
  <si>
    <t>Wes Grant</t>
  </si>
  <si>
    <t>Wgrant@ridgemon.com</t>
  </si>
  <si>
    <t>Rudick Construction Group</t>
  </si>
  <si>
    <t>4925 Greenville Ave Ste. 840</t>
  </si>
  <si>
    <t>Shreveland Constructors, LLC</t>
  </si>
  <si>
    <t>2301 West Plano Pkwy, Suite 100</t>
  </si>
  <si>
    <t>Plano</t>
  </si>
  <si>
    <t>Yvonne Balentine</t>
  </si>
  <si>
    <t>318-226-0056</t>
  </si>
  <si>
    <t>ybalentine@shreveland.com</t>
  </si>
  <si>
    <t>Skybeck Construction</t>
  </si>
  <si>
    <t xml:space="preserve">1309 Winkler Ave. </t>
  </si>
  <si>
    <t xml:space="preserve">Killeen </t>
  </si>
  <si>
    <t>Jesse Karsten</t>
  </si>
  <si>
    <t>jkarsten@skybeck.com</t>
  </si>
  <si>
    <t>Sparrow Partners</t>
  </si>
  <si>
    <t>5203a Brodie Ln.</t>
  </si>
  <si>
    <t>lee.wiley@sparrow-partners.com</t>
  </si>
  <si>
    <t>Spring Valley Construction Co</t>
  </si>
  <si>
    <t>10950 Alder Circle</t>
  </si>
  <si>
    <t>Luke Griffith</t>
  </si>
  <si>
    <t>214-340-9800</t>
  </si>
  <si>
    <t>lgriffith@svcc.biz</t>
  </si>
  <si>
    <t xml:space="preserve">Darren Hayes </t>
  </si>
  <si>
    <t>dhayes@svcc.biz</t>
  </si>
  <si>
    <t>Stillwater Capital</t>
  </si>
  <si>
    <t>4145 Travis Street  Suite 300</t>
  </si>
  <si>
    <t>Will Flanagan</t>
  </si>
  <si>
    <t>210-748-9525</t>
  </si>
  <si>
    <t>will.flanagan@stillwatercap.com</t>
  </si>
  <si>
    <t>Strategic Construction</t>
  </si>
  <si>
    <t>9821 Katy Freeway, Suite #675</t>
  </si>
  <si>
    <t>Mike Smith</t>
  </si>
  <si>
    <t>972-578-8072</t>
  </si>
  <si>
    <t>msmith@strategicconstruction.com</t>
  </si>
  <si>
    <t>Jeremy Fetters</t>
  </si>
  <si>
    <t>jfetters@srategicconstruction.com</t>
  </si>
  <si>
    <t>David Walker</t>
  </si>
  <si>
    <t>dwalker@strategicconstruction.com</t>
  </si>
  <si>
    <t>Phillip Clinard</t>
  </si>
  <si>
    <t>pclinard@strategicconstruction.com</t>
  </si>
  <si>
    <t>SWBC</t>
  </si>
  <si>
    <t>5949 Sherry Ln. Suite 750</t>
  </si>
  <si>
    <t>Spencer Byington</t>
  </si>
  <si>
    <t>214-987-6317</t>
  </si>
  <si>
    <t>sbyington@swbc.com</t>
  </si>
  <si>
    <t>Talley Riggins Construction Group</t>
  </si>
  <si>
    <t>1217 Digital Drive, Suite 100</t>
  </si>
  <si>
    <t>Richardson</t>
  </si>
  <si>
    <t>Ryan Kemp</t>
  </si>
  <si>
    <t>469-409-1050</t>
  </si>
  <si>
    <t>rkemp@talley-riggins.com</t>
  </si>
  <si>
    <t>Michael Rossetti</t>
  </si>
  <si>
    <t>214-878-7817</t>
  </si>
  <si>
    <t>mrossetti@talley-riggins.com</t>
  </si>
  <si>
    <t>Triton General Contractors</t>
  </si>
  <si>
    <t>102 S. Goliad St. Suite 108</t>
  </si>
  <si>
    <t>Reese Baez</t>
  </si>
  <si>
    <t>469-931-2267</t>
  </si>
  <si>
    <t>rbaez@tritongc.com</t>
  </si>
  <si>
    <t>Trumont Contruction</t>
  </si>
  <si>
    <t>1910 Pacific Ave, Suite 13350</t>
  </si>
  <si>
    <t xml:space="preserve">David Hodges </t>
  </si>
  <si>
    <t>214-416-7034</t>
  </si>
  <si>
    <t>david@trumontgroup.com</t>
  </si>
  <si>
    <t>Floyd Lee</t>
  </si>
  <si>
    <t>floyd@trupmontgroup.com</t>
  </si>
  <si>
    <t>TX-Morrow Construction, Inc.</t>
  </si>
  <si>
    <t>17300 Preston Rd, Suite 240</t>
  </si>
  <si>
    <t>Rick Quillen</t>
  </si>
  <si>
    <t>218-642-5282</t>
  </si>
  <si>
    <t>rquillen@txmorrow.com</t>
  </si>
  <si>
    <t>Chad Huffer</t>
  </si>
  <si>
    <t>972-658-5141</t>
  </si>
  <si>
    <t>chuffer@txmorrow.com</t>
  </si>
  <si>
    <t>Wade Construction</t>
  </si>
  <si>
    <t>2 Horizon Ct.</t>
  </si>
  <si>
    <t>Heath</t>
  </si>
  <si>
    <t>Billy Jay</t>
  </si>
  <si>
    <t>972-746-4104</t>
  </si>
  <si>
    <t>billy.jay@wadeconstructiongroup.com</t>
  </si>
  <si>
    <t>Eric Gibson</t>
  </si>
  <si>
    <t>egibson@wadeconstructiongroup.com</t>
  </si>
  <si>
    <t>Derek Deckard</t>
  </si>
  <si>
    <t>214-709-0480</t>
  </si>
  <si>
    <t>ddeckard@wadeconstructiongroup.com</t>
  </si>
  <si>
    <t>Brian Holt</t>
  </si>
  <si>
    <t>951-317-4996</t>
  </si>
  <si>
    <t>bholt@wadeconstructiongroup.com</t>
  </si>
  <si>
    <t>Stephen Harper</t>
  </si>
  <si>
    <t>469-434-2146</t>
  </si>
  <si>
    <t>sharper@wadeconstructiongroup.com</t>
  </si>
  <si>
    <t>Weis Builders</t>
  </si>
  <si>
    <t>520 E. Corporate Drive  Suite 500</t>
  </si>
  <si>
    <t>Kevin Moran</t>
  </si>
  <si>
    <t>469-444-6128</t>
  </si>
  <si>
    <t>kevinmoran@weisbuilders.com</t>
  </si>
  <si>
    <t>Philip Welch</t>
  </si>
  <si>
    <t>philipwelch@weisbuilders.com</t>
  </si>
  <si>
    <t>Wood Partners</t>
  </si>
  <si>
    <t>5440 Harvest Hill Rd, Suite 206</t>
  </si>
  <si>
    <t>Josh Atkins</t>
  </si>
  <si>
    <t>469-310-5348</t>
  </si>
  <si>
    <t>josh.atkins@woodpartners.com</t>
  </si>
  <si>
    <t xml:space="preserve">Johnathon Radcliffe </t>
  </si>
  <si>
    <t>713-904-2684</t>
  </si>
  <si>
    <t>johnathon.radcliffe@woodpartners.com</t>
  </si>
  <si>
    <t>Amado Flores</t>
  </si>
  <si>
    <t>940-383-2887</t>
  </si>
  <si>
    <t>amado.flores@woodpartners.com</t>
  </si>
  <si>
    <t>Brian Rodriguez</t>
  </si>
  <si>
    <t>713-904-4683</t>
  </si>
  <si>
    <t>brian.rodriguez@woodpartners.com</t>
  </si>
  <si>
    <t>Mix 1</t>
  </si>
  <si>
    <t>Mix 2</t>
  </si>
  <si>
    <t>Mix 3</t>
  </si>
  <si>
    <t>Mix 4</t>
  </si>
  <si>
    <t>Mix 5</t>
  </si>
  <si>
    <t>Mix 6</t>
  </si>
  <si>
    <t>Mix 7</t>
  </si>
  <si>
    <t>Mix 8</t>
  </si>
  <si>
    <t>Mix 9</t>
  </si>
  <si>
    <t>Mix 10</t>
  </si>
  <si>
    <t>COMPANY</t>
  </si>
  <si>
    <t>Phone</t>
  </si>
  <si>
    <t xml:space="preserve">Date,  Argos is a blanket price </t>
  </si>
  <si>
    <t>3,000 PSI 5sk /Ash and Air</t>
  </si>
  <si>
    <t>3,000 PSI / Ash no Air</t>
  </si>
  <si>
    <t>3,500 PSI 5.5sk /Ash and Air</t>
  </si>
  <si>
    <t>3,500 PSI /Ash No Air</t>
  </si>
  <si>
    <t>4,000 PSI /Ash and Air</t>
  </si>
  <si>
    <t>4,000 PSI /Ash no Air</t>
  </si>
  <si>
    <t>4,500 PSI / Ash and Air</t>
  </si>
  <si>
    <t>5,000 PSI / Ash no Air</t>
  </si>
  <si>
    <t>3,000 PSI /Air and intergral Color</t>
  </si>
  <si>
    <t xml:space="preserve">3,000 PSI SideWalks </t>
  </si>
  <si>
    <t>84 lumber Price update 9-1-21</t>
  </si>
  <si>
    <t>LUMBER AND ACCSESS</t>
  </si>
  <si>
    <t>Unit Cost</t>
  </si>
  <si>
    <t>Unit</t>
  </si>
  <si>
    <t>Multiplier</t>
  </si>
  <si>
    <t>Size</t>
  </si>
  <si>
    <t xml:space="preserve">Cost: </t>
  </si>
  <si>
    <t>Low Cost calculator</t>
  </si>
  <si>
    <t>Date:</t>
  </si>
  <si>
    <t>SRM</t>
  </si>
  <si>
    <t>2 X 4  X 16'</t>
  </si>
  <si>
    <t>/LNFT</t>
  </si>
  <si>
    <t>MIX 1</t>
  </si>
  <si>
    <t>MIX 2</t>
  </si>
  <si>
    <t>MIX 3</t>
  </si>
  <si>
    <t>MIX 4</t>
  </si>
  <si>
    <t>MIX 5</t>
  </si>
  <si>
    <t>MIX 6</t>
  </si>
  <si>
    <t>2 X 6 X 16'</t>
  </si>
  <si>
    <t>MONO</t>
  </si>
  <si>
    <t>2 X 8 X 16'</t>
  </si>
  <si>
    <t xml:space="preserve">GRADE </t>
  </si>
  <si>
    <t>2 X 10 X 16'</t>
  </si>
  <si>
    <t>SOG</t>
  </si>
  <si>
    <t>3/4 " FORMING PLY</t>
  </si>
  <si>
    <t>/SHEET</t>
  </si>
  <si>
    <t>PAVING</t>
  </si>
  <si>
    <t>MASONITE SIDING</t>
  </si>
  <si>
    <t>PIERS</t>
  </si>
  <si>
    <t>COST PER INCH FOR BELLS</t>
  </si>
  <si>
    <t>1 X 1 TACT STRIP</t>
  </si>
  <si>
    <t>SIDE WALKS</t>
  </si>
  <si>
    <t>DIA. PIERS IN INCHES</t>
  </si>
  <si>
    <t>1 X 4 RED WOOD</t>
  </si>
  <si>
    <t>MISC</t>
  </si>
  <si>
    <t>1 X 6 RED WOOD</t>
  </si>
  <si>
    <t>1 X 8 RED WOOD</t>
  </si>
  <si>
    <t>CASING</t>
  </si>
  <si>
    <t>ACCESSORIES</t>
  </si>
  <si>
    <t>/LB</t>
  </si>
  <si>
    <t xml:space="preserve">2 x 2 x 30 Stakes </t>
  </si>
  <si>
    <t>/BNDLE</t>
  </si>
  <si>
    <t>GUAGE</t>
  </si>
  <si>
    <t>DIA.</t>
  </si>
  <si>
    <t>DEDUCT</t>
  </si>
  <si>
    <t>16p NAILS DUPLEX</t>
  </si>
  <si>
    <t>/BOX</t>
  </si>
  <si>
    <t>8p DUPLEX</t>
  </si>
  <si>
    <t>6p NAILS</t>
  </si>
  <si>
    <t>SAND DELIVERED PER TON</t>
  </si>
  <si>
    <t>/YD</t>
  </si>
  <si>
    <t>Redi Mix Suppliers</t>
  </si>
  <si>
    <t>Name</t>
  </si>
  <si>
    <t>Mobile</t>
  </si>
  <si>
    <t>email</t>
  </si>
  <si>
    <t>KEYWAY</t>
  </si>
  <si>
    <t>ROCK DELEVERED PER TON</t>
  </si>
  <si>
    <t xml:space="preserve">Argos DFW </t>
  </si>
  <si>
    <t>Chris Harbour</t>
  </si>
  <si>
    <t>214-356-0926</t>
  </si>
  <si>
    <t>CHAMFER</t>
  </si>
  <si>
    <t>STEEL</t>
  </si>
  <si>
    <t>Fabrication</t>
  </si>
  <si>
    <t>Accessories/ton</t>
  </si>
  <si>
    <t>#3 -20' Price</t>
  </si>
  <si>
    <t>Argo Houston</t>
  </si>
  <si>
    <t>Brian Maxadon</t>
  </si>
  <si>
    <t>WALL TIES</t>
  </si>
  <si>
    <t>50/BOX</t>
  </si>
  <si>
    <t>REBAR PIERS / PT slabs</t>
  </si>
  <si>
    <t>1 X 2 X 18" STAKES</t>
  </si>
  <si>
    <t>/BNDL</t>
  </si>
  <si>
    <t>REBAR GRADE BEAM</t>
  </si>
  <si>
    <t>Fabricated Price per Pound with Tax</t>
  </si>
  <si>
    <t>Structural Accessories</t>
  </si>
  <si>
    <t>REBAR PAVING</t>
  </si>
  <si>
    <t>METAL CHAIRS 2.5"</t>
  </si>
  <si>
    <t>/BAG/500</t>
  </si>
  <si>
    <t>DOWEL SPACING / 3/4" &amp; CAP</t>
  </si>
  <si>
    <t>/EACH</t>
  </si>
  <si>
    <t>Strait stock</t>
  </si>
  <si>
    <t>LIFT INSERT</t>
  </si>
  <si>
    <t>WIRE MESH</t>
  </si>
  <si>
    <t>10 GAGE</t>
  </si>
  <si>
    <t>/SQ FT</t>
  </si>
  <si>
    <t>CAMLOCKS</t>
  </si>
  <si>
    <t xml:space="preserve">WIRE MESH </t>
  </si>
  <si>
    <t>6 GAGE</t>
  </si>
  <si>
    <t>TURNBUCKLES</t>
  </si>
  <si>
    <t>5 GAGE</t>
  </si>
  <si>
    <t>PATCH MATERIAL</t>
  </si>
  <si>
    <t>/BAG</t>
  </si>
  <si>
    <t>POST TENSION CABLES</t>
  </si>
  <si>
    <t>length</t>
  </si>
  <si>
    <t>size</t>
  </si>
  <si>
    <t>qty</t>
  </si>
  <si>
    <t>lbs</t>
  </si>
  <si>
    <t>PIER SLEDS</t>
  </si>
  <si>
    <t>1/2" SMOOTH DOWELS &amp; CAP</t>
  </si>
  <si>
    <t>PIER BOOTS</t>
  </si>
  <si>
    <t>EQUIPMENT RENTAL</t>
  </si>
  <si>
    <t>DAY</t>
  </si>
  <si>
    <t>SLAB CHAIRS</t>
  </si>
  <si>
    <t>SkyTrack</t>
  </si>
  <si>
    <t>/DAY</t>
  </si>
  <si>
    <t>POLSTERS</t>
  </si>
  <si>
    <t>MINI EXCAVATOR</t>
  </si>
  <si>
    <t>BRACE INSERTS</t>
  </si>
  <si>
    <t>TRENCHER</t>
  </si>
  <si>
    <t>ANCHOR BOLTS 1/2" x 8" Galv</t>
  </si>
  <si>
    <t>SKID STEER</t>
  </si>
  <si>
    <t>Anchor Bolts 1/2" x 10" Galv.</t>
  </si>
  <si>
    <t>BOXBLADE</t>
  </si>
  <si>
    <t>TIE WIRE</t>
  </si>
  <si>
    <t>/ROLL</t>
  </si>
  <si>
    <t>CHIPPING HAMMER</t>
  </si>
  <si>
    <t>Site Accessories</t>
  </si>
  <si>
    <t>COMPRESSOR</t>
  </si>
  <si>
    <t>2-1/4 PAVING CHAIRS</t>
  </si>
  <si>
    <t>TOWER LIGHT w/ GENERATOR</t>
  </si>
  <si>
    <t>3-1/4 PAVING CHAIRS</t>
  </si>
  <si>
    <t>GENERATOR</t>
  </si>
  <si>
    <t>ANCHOR BOLTS 8"x1/2" (50/BX)</t>
  </si>
  <si>
    <t>SKY LIFT</t>
  </si>
  <si>
    <t>SPEED DOWEL INSERT w/ BASE</t>
  </si>
  <si>
    <t>CRANE AND OPERATOR</t>
  </si>
  <si>
    <t>SNAP TIES</t>
  </si>
  <si>
    <t>5-6 YD Dumptruck</t>
  </si>
  <si>
    <t>POLY 10 mil  20 x 100 Black</t>
  </si>
  <si>
    <t>BACK HOE</t>
  </si>
  <si>
    <t>SLAB CURE</t>
  </si>
  <si>
    <t>/DRUM</t>
  </si>
  <si>
    <t>Water Truck</t>
  </si>
  <si>
    <t>FORM RELEASE</t>
  </si>
  <si>
    <t>Metro Pricing</t>
  </si>
  <si>
    <t>BOND BREAKER</t>
  </si>
  <si>
    <t>saw joints</t>
  </si>
  <si>
    <t>1/2" x 24" smooth dowels</t>
  </si>
  <si>
    <t>expansion</t>
  </si>
  <si>
    <t>1/2" x 30" smooth dowels</t>
  </si>
  <si>
    <t>Silicone saw joints</t>
  </si>
  <si>
    <t>5/8" x 24" smooth dowels</t>
  </si>
  <si>
    <t>Silicone expansions</t>
  </si>
  <si>
    <t>3/4" x 24" smooth dowels</t>
  </si>
  <si>
    <t>Minimum</t>
  </si>
  <si>
    <t>Buomount</t>
  </si>
  <si>
    <t>Ram Tool</t>
  </si>
  <si>
    <t>sawcutting</t>
  </si>
  <si>
    <t>ln ft</t>
  </si>
  <si>
    <t>Poly vapor barrier</t>
  </si>
  <si>
    <t>ln ft weekend</t>
  </si>
  <si>
    <t>6 mil 20 x 100</t>
  </si>
  <si>
    <t>curb cutting .25 / inch</t>
  </si>
  <si>
    <t>6 mil 32 x 100</t>
  </si>
  <si>
    <t>Therma Foam, Inc 254-582-2730</t>
  </si>
  <si>
    <t>10 mil 20 x 100</t>
  </si>
  <si>
    <t>curb and gutter demo 8"</t>
  </si>
  <si>
    <t>10 mil. Stego Wrap 14 x 210</t>
  </si>
  <si>
    <t>11/20/201</t>
  </si>
  <si>
    <t>15 mil Stego Wrap 14' x 140'  </t>
  </si>
  <si>
    <t>10 mil Yellow Guard 14' x 210'  </t>
  </si>
  <si>
    <t>XTREEME SAWING &amp; SEALING, INC.</t>
  </si>
  <si>
    <t>15 Mil Yellow Guard 14'x210</t>
  </si>
  <si>
    <t>10335 S. Peachtree rd</t>
  </si>
  <si>
    <t>FOAM FILL VOID</t>
  </si>
  <si>
    <t>2" x 4 x 8</t>
  </si>
  <si>
    <t>Mesquite, TX 75149</t>
  </si>
  <si>
    <t>/CU FT</t>
  </si>
  <si>
    <t>RCI</t>
  </si>
  <si>
    <t>Cell:</t>
  </si>
  <si>
    <t>214-677-7477</t>
  </si>
  <si>
    <t>Stego Tape</t>
  </si>
  <si>
    <t>E-Mail:</t>
  </si>
  <si>
    <t>xtreeme_007@hotmail.com</t>
  </si>
  <si>
    <t>Yellow Guard Tape</t>
  </si>
  <si>
    <t xml:space="preserve">Perminator  15 mil  12' x 200'     </t>
  </si>
  <si>
    <t>Tealstone Commercial</t>
  </si>
  <si>
    <t>2612 Sirius Dr,</t>
  </si>
  <si>
    <t xml:space="preserve">Yellow Guard  15 mil 14' x 140' </t>
  </si>
  <si>
    <t>Denton,  Tex  76208</t>
  </si>
  <si>
    <t>Tape</t>
  </si>
  <si>
    <t>Raven 15 x 200  10 mil</t>
  </si>
  <si>
    <t>PRICE LIST</t>
  </si>
  <si>
    <t>R.W Medows  12' x 200</t>
  </si>
  <si>
    <t>FLAT SAW (WET)</t>
  </si>
  <si>
    <t>PRICE PER LF.</t>
  </si>
  <si>
    <t>PRODUCT</t>
  </si>
  <si>
    <t>Saw Cut Green Concrete</t>
  </si>
  <si>
    <t>Limestone</t>
  </si>
  <si>
    <t>Austin Supplier List</t>
  </si>
  <si>
    <t>Latimore</t>
  </si>
  <si>
    <t>Post-Tension</t>
  </si>
  <si>
    <t>River Rock</t>
  </si>
  <si>
    <t>Office</t>
  </si>
  <si>
    <t>Fax</t>
  </si>
  <si>
    <t>Email</t>
  </si>
  <si>
    <t>Chris Lemke</t>
  </si>
  <si>
    <t>713-298-1684</t>
  </si>
  <si>
    <t>713-856-5133</t>
  </si>
  <si>
    <t>713-856-7434</t>
  </si>
  <si>
    <t>clemke@readycable.net</t>
  </si>
  <si>
    <t>Luke Bernhard</t>
  </si>
  <si>
    <t>210-749-6110</t>
  </si>
  <si>
    <t>lbernhard@critexas.com</t>
  </si>
  <si>
    <t>Saw Cut Hard Concrete $.20 inch per lineal feet</t>
  </si>
  <si>
    <t>Rebar</t>
  </si>
  <si>
    <t>6" Thick Concrete</t>
  </si>
  <si>
    <t>8" Thick Concrete</t>
  </si>
  <si>
    <t>Joint Widening from 1/8" to 3/8"</t>
  </si>
  <si>
    <t>Burgess Rountree</t>
  </si>
  <si>
    <t>512-748-2098</t>
  </si>
  <si>
    <t>512-259-7908</t>
  </si>
  <si>
    <t>Brountree@suncoast-pt.com</t>
  </si>
  <si>
    <t>Slurry Vacuum Clean</t>
  </si>
  <si>
    <t>Minimum Charge</t>
  </si>
  <si>
    <t>Nicholas Morgan</t>
  </si>
  <si>
    <t>512-649-6163</t>
  </si>
  <si>
    <t>512-279-3851</t>
  </si>
  <si>
    <t>Nicholas.Morgan@cmc.com</t>
  </si>
  <si>
    <t>(Metroplex Area up to 50 miles radius from Dallas, TX)</t>
  </si>
  <si>
    <t>Traveling out of town / hour trave each way.</t>
  </si>
  <si>
    <t>/hr drive</t>
  </si>
  <si>
    <t>Concrete</t>
  </si>
  <si>
    <t>CURB Cut and Haul off / lf</t>
  </si>
  <si>
    <t>Jason Wright</t>
  </si>
  <si>
    <t>512-801-0516</t>
  </si>
  <si>
    <t>jason.wright@tex-mixconcrete.com</t>
  </si>
  <si>
    <t>Steve Roberts</t>
  </si>
  <si>
    <t>512-563-2780</t>
  </si>
  <si>
    <t>800-378-1367</t>
  </si>
  <si>
    <t>steve.roberts@martinmarietta.com</t>
  </si>
  <si>
    <t>Joint Sealing</t>
  </si>
  <si>
    <t>Hot Pour</t>
  </si>
  <si>
    <t>Urethane</t>
  </si>
  <si>
    <t>Silicone</t>
  </si>
  <si>
    <t>Russell White</t>
  </si>
  <si>
    <t>512-581-8883</t>
  </si>
  <si>
    <t>rwhite@concrete.com</t>
  </si>
  <si>
    <t>3/8" control joints / lf</t>
  </si>
  <si>
    <t>1/2" control joints/lf</t>
  </si>
  <si>
    <t>Drilling</t>
  </si>
  <si>
    <t>3/4" expansion joints / lf</t>
  </si>
  <si>
    <t>Minimum charge</t>
  </si>
  <si>
    <t>Mike Speight</t>
  </si>
  <si>
    <t>214-537-0379</t>
  </si>
  <si>
    <t>972-771-0173</t>
  </si>
  <si>
    <t>Mike@bigdogdrilling.net</t>
  </si>
  <si>
    <t>Stewart Beaird</t>
  </si>
  <si>
    <t>512-450-3362</t>
  </si>
  <si>
    <t>972-802-2312</t>
  </si>
  <si>
    <t>stewart@beairddrilling.com</t>
  </si>
  <si>
    <t>W.R Meadows 1190</t>
  </si>
  <si>
    <t>Sonneborn SL-1</t>
  </si>
  <si>
    <t>Vulkem-45 SSL</t>
  </si>
  <si>
    <t>Date of Increase</t>
  </si>
  <si>
    <t>Concrete Increase</t>
  </si>
  <si>
    <t>Saw Cutting</t>
  </si>
  <si>
    <t>Maxwell Geissel</t>
  </si>
  <si>
    <t>512-541-9861</t>
  </si>
  <si>
    <t>mgeissel@suncoast-pt.com</t>
  </si>
  <si>
    <t>Joe Johnson</t>
  </si>
  <si>
    <t>512-659-9136</t>
  </si>
  <si>
    <t>STRAIGHT CEMENT</t>
  </si>
  <si>
    <t>All in</t>
  </si>
  <si>
    <t>CEMENT + 20% FLY ASH</t>
  </si>
  <si>
    <t>W/C RATIO</t>
  </si>
  <si>
    <t>STRENGTH (PSI)</t>
  </si>
  <si>
    <t>SACK CONTENT</t>
  </si>
  <si>
    <t>SLUMP +/- 1"</t>
  </si>
  <si>
    <t>MIX #</t>
  </si>
  <si>
    <t>NOTES</t>
  </si>
  <si>
    <t>1-9-20 PRICE/YD</t>
  </si>
  <si>
    <t xml:space="preserve"> </t>
  </si>
  <si>
    <t>INT. SLAB</t>
  </si>
  <si>
    <t>INT. SLAB/GRADE BEAM</t>
  </si>
  <si>
    <t>PIERS HRWR</t>
  </si>
  <si>
    <t xml:space="preserve">PIERS  </t>
  </si>
  <si>
    <t>INT. SLAB/ GRADE BEAM</t>
  </si>
  <si>
    <t>NO AIR</t>
  </si>
  <si>
    <t>PIERS MRWR</t>
  </si>
  <si>
    <t xml:space="preserve">COLUMN/MRWR  </t>
  </si>
  <si>
    <t>COLUMNS</t>
  </si>
  <si>
    <t>PRICE/YD</t>
  </si>
  <si>
    <t>WITH AIR</t>
  </si>
  <si>
    <t>WALKS</t>
  </si>
  <si>
    <t>WALKS/ PAVING/ EXT. SLAB</t>
  </si>
  <si>
    <t>PAVING/ EXT. SLAB</t>
  </si>
  <si>
    <t>PAVING/ CLASS K MOD.</t>
  </si>
  <si>
    <t>ELEVATED CONCRETE</t>
  </si>
  <si>
    <t>CITY OF DALLAS APPROACHES</t>
  </si>
  <si>
    <t>HANDPLACED TXDOT PAVING</t>
  </si>
  <si>
    <t>PUMP PRIME</t>
  </si>
  <si>
    <t>HILLS PREP NEW STUDENT ACTIVITIES CTR</t>
  </si>
  <si>
    <t>Attention:</t>
  </si>
  <si>
    <t># SETS ORDERED COMPANY CONTACT EMAIL ADDRESS CITY STATE ZIP PHONE FAX</t>
  </si>
  <si>
    <t>Project :</t>
  </si>
  <si>
    <t>City:</t>
  </si>
  <si>
    <t>Job Number:</t>
  </si>
  <si>
    <t>Quantities for this bid are based on plans by:</t>
  </si>
  <si>
    <t xml:space="preserve">Bid 1 - </t>
  </si>
  <si>
    <t>dated:</t>
  </si>
  <si>
    <t>We hereby propose to furnish all the supervision, labor, materials, equipment, taxes and insurance necessary for the</t>
  </si>
  <si>
    <t>completion of the work specified herein and per plans and specifications provided.</t>
  </si>
  <si>
    <t xml:space="preserve">This proposal is made as per the plans and specifications specifically listed above and in accordance the guidelines below. </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</si>
  <si>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t>
  </si>
  <si>
    <t>Any discrepancies are not the responsibility of Tealstone and shall be resolved in accordance with how such work was bid as described in this paragraph. Where there are design conflicts between engineering trades, when the conflicts are resolved, Tealstone will price accordingly.</t>
  </si>
  <si>
    <r>
      <rPr>
        <b/>
        <sz val="12"/>
        <rFont val="Times New Roman"/>
        <family val="1"/>
        <charset val="1"/>
      </rPr>
      <t xml:space="preserve">Specifications: </t>
    </r>
    <r>
      <rPr>
        <i/>
        <sz val="12"/>
        <rFont val="Times New Roman"/>
        <family val="1"/>
        <charset val="1"/>
      </rPr>
      <t xml:space="preserve"> </t>
    </r>
  </si>
  <si>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Any discrepancies are not the responsibility of Tealstone and shall be resolved in accordance with how such work was bid as described in this paragraph. Where there are design conflicts between engineering trades, when the conflicts are resolved, Tealstone will price accordingly. </t>
  </si>
  <si>
    <t xml:space="preserve">2.  Work will be performed in accordance with industry standards in Texas. In the event of a conflict between the Plans &amp; Specifications and industry standards then the industry standards will prevail for Tealstone’s proposal unless you expressly notify Tealstone in writing that certain standards will not be acceptable for this project and allow Tealstone the opportunity to price accordingly. This proposal must be accepted within thirty (30) days unless otherwise agreed.  </t>
  </si>
  <si>
    <t>SITE</t>
  </si>
  <si>
    <t>Garage</t>
  </si>
  <si>
    <t>Building</t>
  </si>
  <si>
    <t>Total Project:</t>
  </si>
  <si>
    <t>P&amp;P Bond if required</t>
  </si>
  <si>
    <t>Thank you for the opportunity to bid this project</t>
  </si>
  <si>
    <t>estimator</t>
  </si>
  <si>
    <t>817-228-0452</t>
  </si>
  <si>
    <t xml:space="preserve">Proposal for labor and materials to perform the following concrete work: </t>
  </si>
  <si>
    <t>Piers</t>
  </si>
  <si>
    <t>QTY</t>
  </si>
  <si>
    <t>LF</t>
  </si>
  <si>
    <t>add</t>
  </si>
  <si>
    <t>ded</t>
  </si>
  <si>
    <t>casing</t>
  </si>
  <si>
    <t xml:space="preserve">Includes the following: </t>
  </si>
  <si>
    <t>3,000 psi concrete, drilling, move soil to onsite location designated by GC, rebar, lifting equipment, casing will be an add price,</t>
  </si>
  <si>
    <t>layout from building corners (corners supplied by other).</t>
  </si>
  <si>
    <t>Excludes:</t>
  </si>
  <si>
    <t xml:space="preserve">1 11/21/12 </t>
  </si>
  <si>
    <t>haul off site spoils, temporary casing.</t>
  </si>
  <si>
    <t>Grade Beam</t>
  </si>
  <si>
    <t>Type</t>
  </si>
  <si>
    <t>LF.</t>
  </si>
  <si>
    <t>FF</t>
  </si>
  <si>
    <t xml:space="preserve">4,000 psi concrete 6 sack .50 W/C ratio excavation from sub grade, carton form, retainer board, </t>
  </si>
  <si>
    <t>shoring, backfill &amp; compaction, layout from building corners (corners supplied by other).</t>
  </si>
  <si>
    <t>haul off site excess spoils, material to moved to onsite location (at GC's discretion).</t>
  </si>
  <si>
    <t>Walls &amp; Footings</t>
  </si>
  <si>
    <t>3,000 psi 5 sack concrete w/ 20% fly ash, excavation from top of earth formed footings,</t>
  </si>
  <si>
    <t>backfill up to 5' behind walls with onsite materials.</t>
  </si>
  <si>
    <t>rock excavation, moisture conditioning of backfill material.</t>
  </si>
  <si>
    <t>P.T. Slabs</t>
  </si>
  <si>
    <t>Thick</t>
  </si>
  <si>
    <t>Area</t>
  </si>
  <si>
    <t>Total</t>
  </si>
  <si>
    <t>Sqft</t>
  </si>
  <si>
    <t>Avg.</t>
  </si>
  <si>
    <t>/sq ft</t>
  </si>
  <si>
    <t>3,000 psi concrete 5 sack .57 W/C ratio w/ 20% fly ash, grading sand, 10 mil yellow guard vapor barrier, rebar, pt cables,</t>
  </si>
  <si>
    <t>pumping where required, layout from building corners (corners supplied by other), Kure-n-Seal curing compound.</t>
  </si>
  <si>
    <t>rock excavation, radon mitigation</t>
  </si>
  <si>
    <t>SLAB ON GRADE</t>
  </si>
  <si>
    <t>SF</t>
  </si>
  <si>
    <t>3,000 psi concrete w/ 20% fly ash, grading sand, 10 mil standard vapor barrier, rebar,</t>
  </si>
  <si>
    <t>joint sealant</t>
  </si>
  <si>
    <t>Site Walls &amp; Footings</t>
  </si>
  <si>
    <t>Total Site:</t>
  </si>
  <si>
    <t>Total Bldg:</t>
  </si>
  <si>
    <t>Wall / Footing</t>
  </si>
  <si>
    <t>4,000 psi concrete .50 W/C ratio 6 sack w/ 20% fly ash, excavation from top earth formed footings, waterproofing, french drain,</t>
  </si>
  <si>
    <t>backfill up to 5' behind walls with onsite materials only.</t>
  </si>
  <si>
    <t>Columns</t>
  </si>
  <si>
    <t>ea</t>
  </si>
  <si>
    <t>columns</t>
  </si>
  <si>
    <t xml:space="preserve">5,000 psi concrete .44 W/C ratio 6.5 sack w/ 20% fly ash, </t>
  </si>
  <si>
    <t>pumping, layout from building corners (corners supplied by other).</t>
  </si>
  <si>
    <t>Embeds</t>
  </si>
  <si>
    <t>CIP Decks</t>
  </si>
  <si>
    <t>5,000 psi concrete .44 W/C ratio 6.5 sack w/ 20% fly ash, rebar, pt cables, stressed cut and grout,</t>
  </si>
  <si>
    <t>extended shoring beyond our scope of work.</t>
  </si>
  <si>
    <t>slab on deck</t>
  </si>
  <si>
    <t>3,000 psi  NWC concrete 20% fly ash, rebar, wire mesh</t>
  </si>
  <si>
    <t>pumping, Kure-n-Seal curing compound Sawed control joints</t>
  </si>
  <si>
    <t xml:space="preserve">landings and stairs,  (add $500 / flight if poured with mezzinine slabs.) fall protection. </t>
  </si>
  <si>
    <t>paving</t>
  </si>
  <si>
    <t>Value</t>
  </si>
  <si>
    <t>Includes:</t>
  </si>
  <si>
    <t>3,500 psi w/ 20% fly ash concrete, mono curb and gutter, sawed control joints,</t>
  </si>
  <si>
    <t>#3 rebar 18" ocew, city paving bond, redwood expansion and saw joints per plan, silicone joint sealant.</t>
  </si>
  <si>
    <t>demo of existing concrete, stabilizing of soils, barricades, Vertical joint sealant at curbs,</t>
  </si>
  <si>
    <t>colored, stamped, or patterned concrete (UNO).</t>
  </si>
  <si>
    <t>sidewalks</t>
  </si>
  <si>
    <t>incl</t>
  </si>
  <si>
    <t>Total:</t>
  </si>
  <si>
    <t>sq ft</t>
  </si>
  <si>
    <t>3,000 psi concrete w/ 20% fly ash, truncated dome pavers at ramps into roadways, rebar, sealed expansion joints @ 20' oc,</t>
  </si>
  <si>
    <t>light broom finish, standard curing compound, sawed control joints.</t>
  </si>
  <si>
    <t xml:space="preserve">Excludes: </t>
  </si>
  <si>
    <t>pool deck, colored, stamped, or patterned concrete (UNO).</t>
  </si>
  <si>
    <t>Miscellaneous</t>
  </si>
  <si>
    <t>OPTIONS:</t>
  </si>
  <si>
    <t>THE FOLLOWING ARE SPECIFICALLY INCLUDED FOR THE ABOVE:</t>
  </si>
  <si>
    <r>
      <rPr>
        <sz val="10"/>
        <rFont val="Symbol"/>
        <family val="1"/>
        <charset val="2"/>
      </rPr>
      <t>·</t>
    </r>
    <r>
      <rPr>
        <sz val="7"/>
        <rFont val="Times New Roman"/>
        <family val="1"/>
        <charset val="1"/>
      </rPr>
      <t xml:space="preserve">         </t>
    </r>
    <r>
      <rPr>
        <sz val="10"/>
        <rFont val="Times New Roman"/>
        <family val="1"/>
        <charset val="1"/>
      </rPr>
      <t xml:space="preserve">Batter boards set from building corners( corners supplied by other), forming as shown on structural plans </t>
    </r>
  </si>
  <si>
    <r>
      <rPr>
        <sz val="10"/>
        <rFont val="Symbol"/>
        <family val="1"/>
        <charset val="2"/>
      </rPr>
      <t>·</t>
    </r>
    <r>
      <rPr>
        <sz val="7"/>
        <rFont val="Times New Roman"/>
        <family val="1"/>
        <charset val="1"/>
      </rPr>
      <t xml:space="preserve">         </t>
    </r>
    <r>
      <rPr>
        <sz val="10"/>
        <rFont val="Times New Roman"/>
        <family val="1"/>
        <charset val="1"/>
      </rPr>
      <t xml:space="preserve">Trench &amp; Grading @ building foundations, beam spoils and sand  used as needed for fine grade material, excess spoils relocated on site </t>
    </r>
  </si>
  <si>
    <r>
      <rPr>
        <sz val="10"/>
        <rFont val="Symbol"/>
        <family val="1"/>
        <charset val="2"/>
      </rPr>
      <t>·</t>
    </r>
    <r>
      <rPr>
        <sz val="7"/>
        <rFont val="Times New Roman"/>
        <family val="1"/>
        <charset val="1"/>
      </rPr>
      <t xml:space="preserve">         </t>
    </r>
    <r>
      <rPr>
        <sz val="10"/>
        <rFont val="Times New Roman"/>
        <family val="1"/>
        <charset val="1"/>
      </rPr>
      <t>Reinforcement and accessories , Pt Cables, Pre-Stress if required, Stress, cut and grout, one time.</t>
    </r>
  </si>
  <si>
    <r>
      <rPr>
        <sz val="10"/>
        <rFont val="Symbol"/>
        <family val="1"/>
        <charset val="2"/>
      </rPr>
      <t>·</t>
    </r>
    <r>
      <rPr>
        <sz val="7"/>
        <rFont val="Times New Roman"/>
        <family val="1"/>
        <charset val="1"/>
      </rPr>
      <t xml:space="preserve">         </t>
    </r>
    <r>
      <rPr>
        <sz val="10"/>
        <rFont val="Times New Roman"/>
        <family val="1"/>
        <charset val="1"/>
      </rPr>
      <t xml:space="preserve">Anchor bolts-furnish and install, 4’ on center at slab perimeter only (1/2” x 10”). All interior anchor bolts, hold downs and </t>
    </r>
  </si>
  <si>
    <t xml:space="preserve">                straps by others.</t>
  </si>
  <si>
    <r>
      <rPr>
        <sz val="10"/>
        <rFont val="Symbol"/>
        <family val="1"/>
        <charset val="2"/>
      </rPr>
      <t>·</t>
    </r>
    <r>
      <rPr>
        <sz val="7"/>
        <rFont val="Times New Roman"/>
        <family val="1"/>
        <charset val="1"/>
      </rPr>
      <t xml:space="preserve">         </t>
    </r>
    <r>
      <rPr>
        <sz val="10"/>
        <rFont val="Times New Roman"/>
        <family val="1"/>
        <charset val="1"/>
      </rPr>
      <t xml:space="preserve">Concrete mix designs at foundations &amp; </t>
    </r>
    <r>
      <rPr>
        <sz val="10"/>
        <color rgb="FF000000"/>
        <rFont val="Times New Roman"/>
        <family val="1"/>
        <charset val="1"/>
      </rPr>
      <t>paving as specified (water</t>
    </r>
    <r>
      <rPr>
        <sz val="10"/>
        <rFont val="Times New Roman"/>
        <family val="1"/>
        <charset val="1"/>
      </rPr>
      <t xml:space="preserve"> reducer for pouring a 5” slump)</t>
    </r>
  </si>
  <si>
    <r>
      <rPr>
        <sz val="10"/>
        <rFont val="Symbol"/>
        <family val="1"/>
        <charset val="2"/>
      </rPr>
      <t>·</t>
    </r>
    <r>
      <rPr>
        <sz val="7"/>
        <rFont val="Times New Roman"/>
        <family val="1"/>
        <charset val="1"/>
      </rPr>
      <t xml:space="preserve">         </t>
    </r>
    <r>
      <rPr>
        <sz val="10"/>
        <rFont val="Times New Roman"/>
        <family val="1"/>
        <charset val="1"/>
      </rPr>
      <t>Concrete pumping equipment at building foundations and Paving as needed</t>
    </r>
  </si>
  <si>
    <r>
      <rPr>
        <sz val="10"/>
        <rFont val="Symbol"/>
        <family val="1"/>
        <charset val="2"/>
      </rPr>
      <t>·</t>
    </r>
    <r>
      <rPr>
        <sz val="7"/>
        <rFont val="Times New Roman"/>
        <family val="1"/>
        <charset val="1"/>
      </rPr>
      <t xml:space="preserve">         </t>
    </r>
    <r>
      <rPr>
        <sz val="10"/>
        <rFont val="Times New Roman"/>
        <family val="1"/>
        <charset val="1"/>
      </rPr>
      <t>Place, finish and chemically cure all concrete for items listed in scope above</t>
    </r>
  </si>
  <si>
    <r>
      <rPr>
        <sz val="10"/>
        <rFont val="Symbol"/>
        <family val="1"/>
        <charset val="2"/>
      </rPr>
      <t>·</t>
    </r>
    <r>
      <rPr>
        <sz val="7"/>
        <rFont val="Times New Roman"/>
        <family val="1"/>
        <charset val="1"/>
      </rPr>
      <t xml:space="preserve">         </t>
    </r>
    <r>
      <rPr>
        <sz val="10"/>
        <rFont val="Times New Roman"/>
        <family val="1"/>
        <charset val="1"/>
      </rPr>
      <t>Strip and clean all debris propagated by subcontractors work process (haul off by others)</t>
    </r>
  </si>
  <si>
    <r>
      <rPr>
        <sz val="10"/>
        <rFont val="Symbol"/>
        <family val="1"/>
        <charset val="2"/>
      </rPr>
      <t>·</t>
    </r>
    <r>
      <rPr>
        <sz val="7"/>
        <rFont val="Times New Roman"/>
        <family val="1"/>
        <charset val="1"/>
      </rPr>
      <t>         T</t>
    </r>
    <r>
      <rPr>
        <sz val="10"/>
        <rFont val="Times New Roman"/>
        <family val="1"/>
        <charset val="1"/>
      </rPr>
      <t>rash generated by subcontractor is placed in receptacle provided by General Contractors or</t>
    </r>
  </si>
  <si>
    <t xml:space="preserve">            in an area designated by General Contractor.</t>
  </si>
  <si>
    <t>THE FOLLOWING ARE SPECIFICALLY EXCLUDED FOR THE ABOVE</t>
  </si>
  <si>
    <r>
      <rPr>
        <sz val="10"/>
        <rFont val="Symbol"/>
        <family val="1"/>
        <charset val="2"/>
      </rPr>
      <t>·</t>
    </r>
    <r>
      <rPr>
        <sz val="7"/>
        <rFont val="Times New Roman"/>
        <family val="1"/>
        <charset val="1"/>
      </rPr>
      <t xml:space="preserve">         </t>
    </r>
    <r>
      <rPr>
        <sz val="10"/>
        <rFont val="Times New Roman"/>
        <family val="1"/>
        <charset val="1"/>
      </rPr>
      <t xml:space="preserve">Rock Excavation, Haul off of excess soil generated by Beam spoils.  </t>
    </r>
  </si>
  <si>
    <r>
      <rPr>
        <sz val="10"/>
        <rFont val="Symbol"/>
        <family val="1"/>
        <charset val="2"/>
      </rPr>
      <t>·</t>
    </r>
    <r>
      <rPr>
        <sz val="7"/>
        <rFont val="Times New Roman"/>
        <family val="1"/>
        <charset val="1"/>
      </rPr>
      <t xml:space="preserve">         </t>
    </r>
    <r>
      <rPr>
        <sz val="10"/>
        <rFont val="Times New Roman"/>
        <family val="1"/>
        <charset val="1"/>
      </rPr>
      <t>Dirt work (sub grade to be plus or minus as stated above)</t>
    </r>
  </si>
  <si>
    <r>
      <rPr>
        <sz val="10"/>
        <rFont val="Symbol"/>
        <family val="1"/>
        <charset val="2"/>
      </rPr>
      <t>·</t>
    </r>
    <r>
      <rPr>
        <sz val="7"/>
        <rFont val="Times New Roman"/>
        <family val="1"/>
        <charset val="1"/>
      </rPr>
      <t xml:space="preserve">         </t>
    </r>
    <r>
      <rPr>
        <sz val="10"/>
        <rFont val="Times New Roman"/>
        <family val="1"/>
        <charset val="1"/>
      </rPr>
      <t>Soil erosion protection</t>
    </r>
  </si>
  <si>
    <r>
      <rPr>
        <sz val="10"/>
        <rFont val="Symbol"/>
        <family val="1"/>
        <charset val="2"/>
      </rPr>
      <t>·</t>
    </r>
    <r>
      <rPr>
        <sz val="7"/>
        <rFont val="Times New Roman"/>
        <family val="1"/>
        <charset val="1"/>
      </rPr>
      <t xml:space="preserve">         </t>
    </r>
    <r>
      <rPr>
        <sz val="10"/>
        <rFont val="Times New Roman"/>
        <family val="1"/>
        <charset val="1"/>
      </rPr>
      <t>Sand over stabilized material</t>
    </r>
  </si>
  <si>
    <r>
      <rPr>
        <sz val="10"/>
        <rFont val="Symbol"/>
        <family val="1"/>
        <charset val="2"/>
      </rPr>
      <t>·</t>
    </r>
    <r>
      <rPr>
        <sz val="7"/>
        <rFont val="Times New Roman"/>
        <family val="1"/>
        <charset val="1"/>
      </rPr>
      <t xml:space="preserve">         </t>
    </r>
    <r>
      <rPr>
        <sz val="10"/>
        <rFont val="Times New Roman"/>
        <family val="1"/>
        <charset val="1"/>
      </rPr>
      <t>De-watering as a result of subsurface water</t>
    </r>
  </si>
  <si>
    <r>
      <rPr>
        <sz val="10"/>
        <rFont val="Symbol"/>
        <family val="1"/>
        <charset val="2"/>
      </rPr>
      <t>·</t>
    </r>
    <r>
      <rPr>
        <sz val="7"/>
        <rFont val="Times New Roman"/>
        <family val="1"/>
        <charset val="1"/>
      </rPr>
      <t xml:space="preserve">         </t>
    </r>
    <r>
      <rPr>
        <sz val="10"/>
        <rFont val="Times New Roman"/>
        <family val="1"/>
        <charset val="1"/>
      </rPr>
      <t>Surveying, engineering, layout of building corners, back of curbs, and blue tops</t>
    </r>
  </si>
  <si>
    <r>
      <rPr>
        <sz val="10"/>
        <rFont val="Symbol"/>
        <family val="1"/>
        <charset val="2"/>
      </rPr>
      <t>·</t>
    </r>
    <r>
      <rPr>
        <sz val="7"/>
        <rFont val="Times New Roman"/>
        <family val="1"/>
        <charset val="1"/>
      </rPr>
      <t xml:space="preserve">         </t>
    </r>
    <r>
      <rPr>
        <sz val="10"/>
        <rFont val="Times New Roman"/>
        <family val="1"/>
        <charset val="1"/>
      </rPr>
      <t>Saw cutting, demolition or haul off of existing concrete (except as noted)</t>
    </r>
  </si>
  <si>
    <r>
      <rPr>
        <sz val="10"/>
        <rFont val="Symbol"/>
        <family val="1"/>
        <charset val="2"/>
      </rPr>
      <t>·</t>
    </r>
    <r>
      <rPr>
        <sz val="7"/>
        <rFont val="Times New Roman"/>
        <family val="1"/>
        <charset val="1"/>
      </rPr>
      <t xml:space="preserve">         </t>
    </r>
    <r>
      <rPr>
        <sz val="10"/>
        <color rgb="FF000000"/>
        <rFont val="Times New Roman"/>
        <family val="1"/>
        <charset val="1"/>
      </rPr>
      <t>Stamped, colored, patterned, grooved concrete or pavers (unless specified above)</t>
    </r>
  </si>
  <si>
    <r>
      <rPr>
        <sz val="10"/>
        <rFont val="Symbol"/>
        <family val="1"/>
        <charset val="2"/>
      </rPr>
      <t>·</t>
    </r>
    <r>
      <rPr>
        <sz val="7"/>
        <rFont val="Times New Roman"/>
        <family val="1"/>
        <charset val="1"/>
      </rPr>
      <t xml:space="preserve">         </t>
    </r>
    <r>
      <rPr>
        <sz val="10"/>
        <rFont val="Times New Roman"/>
        <family val="1"/>
        <charset val="1"/>
      </rPr>
      <t>Concrete testing and temperature control (heating, ice or blankets etc.)</t>
    </r>
  </si>
  <si>
    <r>
      <rPr>
        <sz val="10"/>
        <rFont val="Symbol"/>
        <family val="1"/>
        <charset val="2"/>
      </rPr>
      <t>·</t>
    </r>
    <r>
      <rPr>
        <sz val="7"/>
        <rFont val="Times New Roman"/>
        <family val="1"/>
        <charset val="1"/>
      </rPr>
      <t xml:space="preserve">         </t>
    </r>
    <r>
      <rPr>
        <sz val="10"/>
        <rFont val="Times New Roman"/>
        <family val="1"/>
        <charset val="1"/>
      </rPr>
      <t>Hoisting materials or equipment to upper floors</t>
    </r>
  </si>
  <si>
    <r>
      <rPr>
        <sz val="10"/>
        <rFont val="Symbol"/>
        <family val="1"/>
        <charset val="2"/>
      </rPr>
      <t>·</t>
    </r>
    <r>
      <rPr>
        <sz val="7"/>
        <rFont val="Times New Roman"/>
        <family val="1"/>
        <charset val="1"/>
      </rPr>
      <t xml:space="preserve">         </t>
    </r>
    <r>
      <rPr>
        <sz val="10"/>
        <rFont val="Times New Roman"/>
        <family val="1"/>
        <charset val="1"/>
      </rPr>
      <t>Masonry reinforcing or grouting</t>
    </r>
  </si>
  <si>
    <r>
      <rPr>
        <sz val="10"/>
        <rFont val="Symbol"/>
        <family val="1"/>
        <charset val="2"/>
      </rPr>
      <t>·</t>
    </r>
    <r>
      <rPr>
        <sz val="7"/>
        <rFont val="Times New Roman"/>
        <family val="1"/>
        <charset val="1"/>
      </rPr>
      <t xml:space="preserve">         </t>
    </r>
    <r>
      <rPr>
        <sz val="10"/>
        <rFont val="Times New Roman"/>
        <family val="1"/>
        <charset val="1"/>
      </rPr>
      <t>Sawed control joints at post tension foundations</t>
    </r>
  </si>
  <si>
    <r>
      <rPr>
        <sz val="10"/>
        <rFont val="Symbol"/>
        <family val="1"/>
        <charset val="2"/>
      </rPr>
      <t>·</t>
    </r>
    <r>
      <rPr>
        <sz val="7"/>
        <rFont val="Times New Roman"/>
        <family val="1"/>
        <charset val="1"/>
      </rPr>
      <t xml:space="preserve">         </t>
    </r>
    <r>
      <rPr>
        <sz val="10"/>
        <rFont val="Times New Roman"/>
        <family val="1"/>
        <charset val="1"/>
      </rPr>
      <t xml:space="preserve">Embedded materials and shop drawings (anchor bolts, pipe bollards, embedded plates, angles, hold downs, </t>
    </r>
  </si>
  <si>
    <t xml:space="preserve">                Simpson anchors etc.)</t>
  </si>
  <si>
    <r>
      <rPr>
        <sz val="10"/>
        <rFont val="Symbol"/>
        <family val="1"/>
        <charset val="2"/>
      </rPr>
      <t>·</t>
    </r>
    <r>
      <rPr>
        <sz val="7"/>
        <rFont val="Times New Roman"/>
        <family val="1"/>
        <charset val="1"/>
      </rPr>
      <t xml:space="preserve">         </t>
    </r>
    <r>
      <rPr>
        <sz val="10"/>
        <rFont val="Times New Roman"/>
        <family val="1"/>
        <charset val="1"/>
      </rPr>
      <t>Permits, fees, performance or payment bonds</t>
    </r>
  </si>
  <si>
    <r>
      <rPr>
        <sz val="10"/>
        <rFont val="Symbol"/>
        <family val="1"/>
        <charset val="2"/>
      </rPr>
      <t>·</t>
    </r>
    <r>
      <rPr>
        <sz val="7"/>
        <rFont val="Times New Roman"/>
        <family val="1"/>
        <charset val="1"/>
      </rPr>
      <t xml:space="preserve">         </t>
    </r>
    <r>
      <rPr>
        <sz val="10"/>
        <rFont val="Times New Roman"/>
        <family val="1"/>
        <charset val="1"/>
      </rPr>
      <t>Joint sealant unless noted otherwise above</t>
    </r>
  </si>
  <si>
    <r>
      <rPr>
        <sz val="10"/>
        <rFont val="Symbol"/>
        <family val="1"/>
        <charset val="2"/>
      </rPr>
      <t>·</t>
    </r>
    <r>
      <rPr>
        <sz val="7"/>
        <rFont val="Times New Roman"/>
        <family val="1"/>
        <charset val="1"/>
      </rPr>
      <t xml:space="preserve">         </t>
    </r>
    <r>
      <rPr>
        <sz val="10"/>
        <rFont val="Times New Roman"/>
        <family val="1"/>
        <charset val="1"/>
      </rPr>
      <t>Wet curing, Hardeners or Sealers</t>
    </r>
  </si>
  <si>
    <r>
      <rPr>
        <sz val="10"/>
        <rFont val="Symbol"/>
        <family val="1"/>
        <charset val="2"/>
      </rPr>
      <t>·</t>
    </r>
    <r>
      <rPr>
        <sz val="7"/>
        <rFont val="Times New Roman"/>
        <family val="1"/>
        <charset val="1"/>
      </rPr>
      <t xml:space="preserve">         </t>
    </r>
    <r>
      <rPr>
        <sz val="10"/>
        <rFont val="Times New Roman"/>
        <family val="1"/>
        <charset val="1"/>
      </rPr>
      <t>Removal of trash or concrete spoils from site (we will place in dumpster or designated area)</t>
    </r>
  </si>
  <si>
    <r>
      <rPr>
        <sz val="10"/>
        <rFont val="Symbol"/>
        <family val="1"/>
        <charset val="2"/>
      </rPr>
      <t>·</t>
    </r>
    <r>
      <rPr>
        <sz val="7"/>
        <rFont val="Times New Roman"/>
        <family val="1"/>
        <charset val="1"/>
      </rPr>
      <t xml:space="preserve">         </t>
    </r>
    <r>
      <rPr>
        <sz val="10"/>
        <rFont val="Times New Roman"/>
        <family val="1"/>
        <charset val="1"/>
      </rPr>
      <t>Backfill at back of curbs or around buildings</t>
    </r>
  </si>
  <si>
    <r>
      <rPr>
        <sz val="10"/>
        <rFont val="Symbol"/>
        <family val="1"/>
        <charset val="2"/>
      </rPr>
      <t>·</t>
    </r>
    <r>
      <rPr>
        <sz val="7"/>
        <rFont val="Times New Roman"/>
        <family val="1"/>
        <charset val="1"/>
      </rPr>
      <t xml:space="preserve">         </t>
    </r>
    <r>
      <rPr>
        <sz val="10"/>
        <rFont val="Times New Roman"/>
        <family val="1"/>
        <charset val="1"/>
      </rPr>
      <t>Waterproofing</t>
    </r>
    <r>
      <rPr>
        <sz val="10"/>
        <color rgb="FF000000"/>
        <rFont val="Times New Roman"/>
        <family val="1"/>
        <charset val="1"/>
      </rPr>
      <t>, French drain, or backfill at foundation perimeter, drop or stem wall</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</si>
  <si>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Soil poisoning</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</si>
  <si>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Traffic control or barricades unless noted above</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</si>
  <si>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PVC for electrical or landscaping sleeves</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</si>
  <si>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Sweeping or washing down of pavement</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</si>
  <si>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Concrete wheel stops, pavement markings (stripping or buttons) &amp; misc. signs</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</si>
  <si>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Inlets, drains, catch basins, box culverts</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</si>
  <si>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 xml:space="preserve">Stair nosing, non slip surface treatment or sleeves for handrails </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</si>
  <si>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Repair of existing underground if damaged</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</si>
  <si>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Grouting of thresholds</t>
    </r>
  </si>
  <si>
    <r>
      <rPr>
        <sz val="10"/>
        <rFont val="Symbol"/>
        <family val="1"/>
        <charset val="2"/>
      </rPr>
      <t>·</t>
    </r>
    <r>
      <rPr>
        <sz val="7"/>
        <rFont val="Times New Roman"/>
        <family val="1"/>
        <charset val="1"/>
      </rPr>
      <t xml:space="preserve">         </t>
    </r>
    <r>
      <rPr>
        <sz val="10"/>
        <color rgb="FF000000"/>
        <rFont val="Times New Roman"/>
        <family val="1"/>
        <charset val="1"/>
      </rPr>
      <t>Safety railing, hand railing or perimeter cables at slabs, upper floors, pits, drops, and openings</t>
    </r>
  </si>
  <si>
    <r>
      <rPr>
        <sz val="10"/>
        <color rgb="FF000000"/>
        <rFont val="Symbol"/>
        <family val="1"/>
        <charset val="2"/>
      </rPr>
      <t>·</t>
    </r>
    <r>
      <rPr>
        <sz val="7"/>
        <color rgb="FF000000"/>
        <rFont val="Times New Roman"/>
        <family val="1"/>
        <charset val="1"/>
      </rPr>
      <t xml:space="preserve">         </t>
    </r>
    <r>
      <rPr>
        <sz val="10"/>
        <rFont val="Times New Roman"/>
        <family val="1"/>
        <charset val="1"/>
      </rPr>
      <t>Light weight concrete, gypcrete or any other cementious topping -furnish or install.</t>
    </r>
  </si>
  <si>
    <r>
      <rPr>
        <sz val="10"/>
        <rFont val="Symbol"/>
        <family val="1"/>
        <charset val="2"/>
      </rPr>
      <t>·</t>
    </r>
    <r>
      <rPr>
        <sz val="7"/>
        <rFont val="Times New Roman"/>
        <family val="1"/>
        <charset val="1"/>
      </rPr>
      <t xml:space="preserve">         </t>
    </r>
    <r>
      <rPr>
        <sz val="10"/>
        <color rgb="FF000000"/>
        <rFont val="Times New Roman"/>
        <family val="1"/>
        <charset val="1"/>
      </rPr>
      <t>Pool decks, transformer pads or site retaining walls.</t>
    </r>
  </si>
  <si>
    <r>
      <rPr>
        <sz val="10"/>
        <rFont val="Symbol"/>
        <family val="1"/>
        <charset val="2"/>
      </rPr>
      <t>·</t>
    </r>
    <r>
      <rPr>
        <sz val="7"/>
        <rFont val="Times New Roman"/>
        <family val="1"/>
        <charset val="1"/>
      </rPr>
      <t xml:space="preserve">         </t>
    </r>
    <r>
      <rPr>
        <b/>
        <sz val="11"/>
        <color rgb="FF000000"/>
        <rFont val="Times New Roman"/>
        <family val="1"/>
        <charset val="1"/>
      </rPr>
      <t>Any item not on the Bid Schedule</t>
    </r>
  </si>
  <si>
    <r>
      <rPr>
        <sz val="10"/>
        <rFont val="Symbol"/>
        <family val="1"/>
        <charset val="2"/>
      </rPr>
      <t>·</t>
    </r>
    <r>
      <rPr>
        <sz val="7"/>
        <rFont val="Times New Roman"/>
        <family val="1"/>
        <charset val="1"/>
      </rPr>
      <t xml:space="preserve">         </t>
    </r>
    <r>
      <rPr>
        <b/>
        <sz val="11"/>
        <color rgb="FF000000"/>
        <rFont val="Times New Roman"/>
        <family val="1"/>
        <charset val="1"/>
      </rPr>
      <t>This proposal shall become part of the contract.</t>
    </r>
  </si>
  <si>
    <t xml:space="preserve">REV </t>
  </si>
  <si>
    <t xml:space="preserve">ARCHITECTUAL: </t>
  </si>
  <si>
    <t>CITY, STATE:</t>
  </si>
  <si>
    <t>Entered by:</t>
  </si>
  <si>
    <t>Approved by:</t>
  </si>
  <si>
    <t xml:space="preserve"> BID: </t>
  </si>
  <si>
    <t xml:space="preserve">REVISION: </t>
  </si>
  <si>
    <t xml:space="preserve">JOB COST SUMMARY </t>
  </si>
  <si>
    <t>Concrete Supplier:</t>
  </si>
  <si>
    <t>FORMS &amp;</t>
  </si>
  <si>
    <t>GRADE</t>
  </si>
  <si>
    <t>POLY</t>
  </si>
  <si>
    <t>PT CABLES</t>
  </si>
  <si>
    <t>REBAR</t>
  </si>
  <si>
    <t xml:space="preserve">REBAR </t>
  </si>
  <si>
    <t>CONCRETE</t>
  </si>
  <si>
    <t>SEAL/</t>
  </si>
  <si>
    <t xml:space="preserve">OTHER </t>
  </si>
  <si>
    <t>SUB</t>
  </si>
  <si>
    <t>LABOR</t>
  </si>
  <si>
    <t>SUPV</t>
  </si>
  <si>
    <t>PM</t>
  </si>
  <si>
    <t>EQUIP</t>
  </si>
  <si>
    <t>OUT OF</t>
  </si>
  <si>
    <t>MARGIN</t>
  </si>
  <si>
    <t>UNIT</t>
  </si>
  <si>
    <t>TOTAL COST</t>
  </si>
  <si>
    <t>%</t>
  </si>
  <si>
    <t>SALE</t>
  </si>
  <si>
    <t>Sale by</t>
  </si>
  <si>
    <t>MATERIAL</t>
  </si>
  <si>
    <t>SEALING</t>
  </si>
  <si>
    <t>WTR PRF</t>
  </si>
  <si>
    <t>SUBS</t>
  </si>
  <si>
    <t>TOWN</t>
  </si>
  <si>
    <t>CONTINGENCY</t>
  </si>
  <si>
    <t>COST</t>
  </si>
  <si>
    <t>of</t>
  </si>
  <si>
    <t>DESCRIPTION</t>
  </si>
  <si>
    <t>QUANTITY</t>
  </si>
  <si>
    <t>UNT</t>
  </si>
  <si>
    <t>AMOUNT</t>
  </si>
  <si>
    <t>CURE</t>
  </si>
  <si>
    <t>sale</t>
  </si>
  <si>
    <t>CY</t>
  </si>
  <si>
    <t>01-PIERS</t>
  </si>
  <si>
    <t>EA</t>
  </si>
  <si>
    <t>02-GRADE BEAMS</t>
  </si>
  <si>
    <t>03-WALL\FOOTINGS</t>
  </si>
  <si>
    <t>04-PT SLABS</t>
  </si>
  <si>
    <t>$ /SF</t>
  </si>
  <si>
    <t>05-SLABS</t>
  </si>
  <si>
    <t>06-WALLS</t>
  </si>
  <si>
    <t>06-Footings</t>
  </si>
  <si>
    <t>06-Garage Walls</t>
  </si>
  <si>
    <t>06-Garage Footings</t>
  </si>
  <si>
    <t>07-COLUMNS</t>
  </si>
  <si>
    <t>08-CIP ELEV.   SLAB</t>
  </si>
  <si>
    <t>09-SLAB ON DECK</t>
  </si>
  <si>
    <t>12-TILT PANELS</t>
  </si>
  <si>
    <t>SITEWORK</t>
  </si>
  <si>
    <t>10-PAVING</t>
  </si>
  <si>
    <t>11-SIDEWALKS</t>
  </si>
  <si>
    <t>13-MISCELLANEOUS</t>
  </si>
  <si>
    <t>LS</t>
  </si>
  <si>
    <t>TONS</t>
  </si>
  <si>
    <t>WKS</t>
  </si>
  <si>
    <t>Labor Sheet</t>
  </si>
  <si>
    <t xml:space="preserve">    TOTALS</t>
  </si>
  <si>
    <t>total CY</t>
  </si>
  <si>
    <t>TOTAL BOND</t>
  </si>
  <si>
    <t>$/CY</t>
  </si>
  <si>
    <t>CONTRACT PRICE</t>
  </si>
  <si>
    <t>Budget Price</t>
  </si>
  <si>
    <t>BOND ?</t>
  </si>
  <si>
    <t>n</t>
  </si>
  <si>
    <t>BONDING PRICE</t>
  </si>
  <si>
    <t>Last Bid</t>
  </si>
  <si>
    <t>Value of CCIP</t>
  </si>
  <si>
    <t>LABOR INSURANCE</t>
  </si>
  <si>
    <t>TOTAL MATERIAL</t>
  </si>
  <si>
    <t>TOTAL LABOR</t>
  </si>
  <si>
    <t>Margin</t>
  </si>
  <si>
    <t>Rebar Origin</t>
  </si>
  <si>
    <t>TOTAL SUB LABOR</t>
  </si>
  <si>
    <t>Contingency</t>
  </si>
  <si>
    <t>Structural</t>
  </si>
  <si>
    <t>Import</t>
  </si>
  <si>
    <t>TOTAL OTHER</t>
  </si>
  <si>
    <t>Adjusted Margin</t>
  </si>
  <si>
    <t>Civil</t>
  </si>
  <si>
    <t xml:space="preserve">Margin Contingency </t>
  </si>
  <si>
    <t>Tax Exempt</t>
  </si>
  <si>
    <t>N</t>
  </si>
  <si>
    <t>Tax Rate</t>
  </si>
  <si>
    <t>ESTIMATED PROFIT</t>
  </si>
  <si>
    <t>Harris:</t>
  </si>
  <si>
    <t>LOCATION:</t>
  </si>
  <si>
    <t>BID #</t>
  </si>
  <si>
    <t>ITEM</t>
  </si>
  <si>
    <t>Summary</t>
  </si>
  <si>
    <t>Code</t>
  </si>
  <si>
    <t>Grade Beams</t>
  </si>
  <si>
    <t>PT Wrap</t>
  </si>
  <si>
    <t>PT  Foundation Slabs</t>
  </si>
  <si>
    <t>Slab on Grade</t>
  </si>
  <si>
    <t>Footings</t>
  </si>
  <si>
    <t>Walls</t>
  </si>
  <si>
    <t>Garage Walls</t>
  </si>
  <si>
    <t>Slab on Deck</t>
  </si>
  <si>
    <t>Paving</t>
  </si>
  <si>
    <t>Sidewalks</t>
  </si>
  <si>
    <t>Panels</t>
  </si>
  <si>
    <t>MISCELLANEOUS</t>
  </si>
  <si>
    <t>01</t>
  </si>
  <si>
    <t>02</t>
  </si>
  <si>
    <t>03</t>
  </si>
  <si>
    <t>04</t>
  </si>
  <si>
    <t>05</t>
  </si>
  <si>
    <t>06</t>
  </si>
  <si>
    <t>07</t>
  </si>
  <si>
    <t>08</t>
  </si>
  <si>
    <t>09</t>
  </si>
  <si>
    <t>12</t>
  </si>
  <si>
    <t>13</t>
  </si>
  <si>
    <t>Material</t>
  </si>
  <si>
    <t>000001</t>
  </si>
  <si>
    <t>General Requirements</t>
  </si>
  <si>
    <t>000002</t>
  </si>
  <si>
    <t>Lumber</t>
  </si>
  <si>
    <t>000003</t>
  </si>
  <si>
    <t>Sand Material</t>
  </si>
  <si>
    <t>000004</t>
  </si>
  <si>
    <t>Rock Material</t>
  </si>
  <si>
    <t>000005</t>
  </si>
  <si>
    <t>Reinforcement Material</t>
  </si>
  <si>
    <t>000006</t>
  </si>
  <si>
    <t>Reinforcement Accessories</t>
  </si>
  <si>
    <t>000007</t>
  </si>
  <si>
    <t>PT Cables</t>
  </si>
  <si>
    <t>000008</t>
  </si>
  <si>
    <t>Concrete Material</t>
  </si>
  <si>
    <t>000009</t>
  </si>
  <si>
    <t>Carton Forms</t>
  </si>
  <si>
    <t>000010</t>
  </si>
  <si>
    <t>Cure/Sealers</t>
  </si>
  <si>
    <t>000011</t>
  </si>
  <si>
    <t>Patch/Grout</t>
  </si>
  <si>
    <t>000012</t>
  </si>
  <si>
    <t>Poly/Vapor Barrier</t>
  </si>
  <si>
    <t>000013</t>
  </si>
  <si>
    <t>Special Material</t>
  </si>
  <si>
    <t>000014</t>
  </si>
  <si>
    <t>000015</t>
  </si>
  <si>
    <t>PPE/Safety</t>
  </si>
  <si>
    <t>000020</t>
  </si>
  <si>
    <t>Supervision</t>
  </si>
  <si>
    <t>000021</t>
  </si>
  <si>
    <t>Supervision Expense</t>
  </si>
  <si>
    <t>In House Labor</t>
  </si>
  <si>
    <t>000022</t>
  </si>
  <si>
    <t>Project Management</t>
  </si>
  <si>
    <t>000023</t>
  </si>
  <si>
    <t>Labor Grade, Poly, Reinf.</t>
  </si>
  <si>
    <t>000024</t>
  </si>
  <si>
    <t>Labor Place &amp; Finish</t>
  </si>
  <si>
    <t>000025</t>
  </si>
  <si>
    <t>Labor Drops</t>
  </si>
  <si>
    <t>000026</t>
  </si>
  <si>
    <t>Labor Strip Forms</t>
  </si>
  <si>
    <t>000027</t>
  </si>
  <si>
    <t>Labor Burden</t>
  </si>
  <si>
    <t>000028</t>
  </si>
  <si>
    <t>Surveying</t>
  </si>
  <si>
    <t>Contract Services</t>
  </si>
  <si>
    <t>000030</t>
  </si>
  <si>
    <t>Pumping</t>
  </si>
  <si>
    <t>000031</t>
  </si>
  <si>
    <t>Earth Work/Excavation</t>
  </si>
  <si>
    <t>000032</t>
  </si>
  <si>
    <t>000033</t>
  </si>
  <si>
    <t>Haul off</t>
  </si>
  <si>
    <t>000034</t>
  </si>
  <si>
    <t>Saw Cutting/Sealing</t>
  </si>
  <si>
    <t>000035</t>
  </si>
  <si>
    <t>Demolition</t>
  </si>
  <si>
    <t>000037</t>
  </si>
  <si>
    <t>Waterproofing</t>
  </si>
  <si>
    <t>000038</t>
  </si>
  <si>
    <t>Crain/Hoisting</t>
  </si>
  <si>
    <t>000039</t>
  </si>
  <si>
    <t>Forming Systems</t>
  </si>
  <si>
    <t>Labor</t>
  </si>
  <si>
    <t>000040</t>
  </si>
  <si>
    <t>Total Sub Labor</t>
  </si>
  <si>
    <t>000041</t>
  </si>
  <si>
    <t>Labor Forming</t>
  </si>
  <si>
    <t>000042</t>
  </si>
  <si>
    <t>000043</t>
  </si>
  <si>
    <t>000044</t>
  </si>
  <si>
    <t>000045</t>
  </si>
  <si>
    <t>000046</t>
  </si>
  <si>
    <t>000047</t>
  </si>
  <si>
    <t>000048</t>
  </si>
  <si>
    <t>PT Installation</t>
  </si>
  <si>
    <t>Extra Hours</t>
  </si>
  <si>
    <t>Equipment</t>
  </si>
  <si>
    <t>000060</t>
  </si>
  <si>
    <t>Total Equipment Rental</t>
  </si>
  <si>
    <t>000061</t>
  </si>
  <si>
    <t>000062</t>
  </si>
  <si>
    <t>Mini Excavator</t>
  </si>
  <si>
    <t>Mini Ex</t>
  </si>
  <si>
    <t>000063</t>
  </si>
  <si>
    <t>Trencher</t>
  </si>
  <si>
    <t>000064</t>
  </si>
  <si>
    <t>Skid Steer</t>
  </si>
  <si>
    <t>000065</t>
  </si>
  <si>
    <t>General Equipment Rental</t>
  </si>
  <si>
    <t>000066</t>
  </si>
  <si>
    <t>Fuel</t>
  </si>
  <si>
    <t>000067</t>
  </si>
  <si>
    <t>Purchased Tools</t>
  </si>
  <si>
    <t>000068</t>
  </si>
  <si>
    <t>Stolen/Damaged</t>
  </si>
  <si>
    <t>TRAVEL</t>
  </si>
  <si>
    <t>000070</t>
  </si>
  <si>
    <t>Out of Town Expense</t>
  </si>
  <si>
    <t>MISELLANIOUS</t>
  </si>
  <si>
    <t>000071</t>
  </si>
  <si>
    <t>000072</t>
  </si>
  <si>
    <t>Repairs</t>
  </si>
  <si>
    <t>000073</t>
  </si>
  <si>
    <t>Engineering</t>
  </si>
  <si>
    <t>000090</t>
  </si>
  <si>
    <t>Not Used</t>
  </si>
  <si>
    <t>000091</t>
  </si>
  <si>
    <t>Margin Contingency</t>
  </si>
  <si>
    <t>Version 2</t>
  </si>
  <si>
    <t>DATE:</t>
  </si>
  <si>
    <t>Rev.</t>
  </si>
  <si>
    <t>CONCRETE FOR PIER CAPS</t>
  </si>
  <si>
    <t>Concrete Supplier</t>
  </si>
  <si>
    <t xml:space="preserve">PIERS </t>
  </si>
  <si>
    <t>VERTICAL RENFORCING</t>
  </si>
  <si>
    <t xml:space="preserve">STIRRUPS </t>
  </si>
  <si>
    <t>DOWELS</t>
  </si>
  <si>
    <t>QUANTITIES</t>
  </si>
  <si>
    <t>ADD/DED</t>
  </si>
  <si>
    <t>LABOR SHEET</t>
  </si>
  <si>
    <t>ADD / DEDUCT</t>
  </si>
  <si>
    <t>COST Drilling</t>
  </si>
  <si>
    <t>concrete</t>
  </si>
  <si>
    <t>Enter Group</t>
  </si>
  <si>
    <t xml:space="preserve">TYPE </t>
  </si>
  <si>
    <t>MIX DESIGN</t>
  </si>
  <si>
    <t>DIA INCHES</t>
  </si>
  <si>
    <t>BASE DEPTH (FT)</t>
  </si>
  <si>
    <t>ROCK PENETR (FT)</t>
  </si>
  <si>
    <t>BELL SIZE (INCHES)</t>
  </si>
  <si>
    <t>TOTAL DEPTH (FT)</t>
  </si>
  <si>
    <t>SIZE</t>
  </si>
  <si>
    <t>SPACING</t>
  </si>
  <si>
    <t>LGTH (FT)</t>
  </si>
  <si>
    <t>STEEL WEIGHT (LBS)</t>
  </si>
  <si>
    <t>TOTAL CY CONCRETE</t>
  </si>
  <si>
    <t>ADD/FT</t>
  </si>
  <si>
    <t>DED / FT</t>
  </si>
  <si>
    <t>CASING / FT</t>
  </si>
  <si>
    <t>WTS</t>
  </si>
  <si>
    <t>EXCAVATION</t>
  </si>
  <si>
    <t>CASING CON</t>
  </si>
  <si>
    <t>CONC STRAIT</t>
  </si>
  <si>
    <t>STEEL WT / FT</t>
  </si>
  <si>
    <t>HAUL CASING</t>
  </si>
  <si>
    <t>CASING CONCRETE</t>
  </si>
  <si>
    <t>DED</t>
  </si>
  <si>
    <t>DRILLING</t>
  </si>
  <si>
    <t xml:space="preserve">LABOR </t>
  </si>
  <si>
    <t>SHAFT CONCRETE</t>
  </si>
  <si>
    <t>HAUL OFF</t>
  </si>
  <si>
    <t>mix 1</t>
  </si>
  <si>
    <t>mix 2</t>
  </si>
  <si>
    <t>mix 3</t>
  </si>
  <si>
    <t>mix 4</t>
  </si>
  <si>
    <t>mix 5</t>
  </si>
  <si>
    <t>mix 6</t>
  </si>
  <si>
    <t>mix 7</t>
  </si>
  <si>
    <t>mix 8</t>
  </si>
  <si>
    <t>mix 9</t>
  </si>
  <si>
    <t>mix 10</t>
  </si>
  <si>
    <t>bell dia total</t>
  </si>
  <si>
    <t>price if from quote</t>
  </si>
  <si>
    <t>42"</t>
  </si>
  <si>
    <t>BELL COST</t>
  </si>
  <si>
    <t>General Labor</t>
  </si>
  <si>
    <t>Excavation</t>
  </si>
  <si>
    <t>Rebar Labor</t>
  </si>
  <si>
    <t>Piers Caps</t>
  </si>
  <si>
    <t>SUPER</t>
  </si>
  <si>
    <t>SUB Contract</t>
  </si>
  <si>
    <t>Contengency</t>
  </si>
  <si>
    <t>G</t>
  </si>
  <si>
    <t>R</t>
  </si>
  <si>
    <t>TOTALS</t>
  </si>
  <si>
    <t>LN FT</t>
  </si>
  <si>
    <t xml:space="preserve">  TOTAL LBS.</t>
  </si>
  <si>
    <t>Enter Target Price:</t>
  </si>
  <si>
    <t>UNIT SALE / FT</t>
  </si>
  <si>
    <t>MARK UP OF SALE:</t>
  </si>
  <si>
    <t>UNIT COST:</t>
  </si>
  <si>
    <t>COST +</t>
  </si>
  <si>
    <t>TAX  @…………</t>
  </si>
  <si>
    <t>EXEMPT</t>
  </si>
  <si>
    <t>Rate</t>
  </si>
  <si>
    <t>PRICE:</t>
  </si>
  <si>
    <t>Target Price</t>
  </si>
  <si>
    <t>Notes:</t>
  </si>
  <si>
    <t>$$$</t>
  </si>
  <si>
    <t>Pod</t>
  </si>
  <si>
    <t>RCI QUOTE</t>
  </si>
  <si>
    <t>Rebar Wt per CY</t>
  </si>
  <si>
    <t>TS Budget</t>
  </si>
  <si>
    <t>TOTAL INCHES OF BELLS</t>
  </si>
  <si>
    <t>LUMBER %</t>
  </si>
  <si>
    <t>TOTAL COST FOR BELLS</t>
  </si>
  <si>
    <t>Mix #</t>
  </si>
  <si>
    <t xml:space="preserve"> MATERIAL COSTS:</t>
  </si>
  <si>
    <t>Waste</t>
  </si>
  <si>
    <t>LUMBER AND ACCESS</t>
  </si>
  <si>
    <t>ACC #</t>
  </si>
  <si>
    <t>/CY</t>
  </si>
  <si>
    <t>CY   =</t>
  </si>
  <si>
    <t>TOTAL STEEL COST @</t>
  </si>
  <si>
    <t>LBS</t>
  </si>
  <si>
    <t>PIER QUOTE</t>
  </si>
  <si>
    <t>BY</t>
  </si>
  <si>
    <t>Quote:</t>
  </si>
  <si>
    <t>3/8" X 12" X 16' SIDING</t>
  </si>
  <si>
    <t>SHEET</t>
  </si>
  <si>
    <t>ROAD BASE</t>
  </si>
  <si>
    <t xml:space="preserve"> LABOR</t>
  </si>
  <si>
    <t>Sub</t>
  </si>
  <si>
    <t>SUB LABOR</t>
  </si>
  <si>
    <t>2 x 2 x 30 STAKES</t>
  </si>
  <si>
    <t>BNDLS</t>
  </si>
  <si>
    <t>/BUNDL</t>
  </si>
  <si>
    <t>LAYOUT</t>
  </si>
  <si>
    <t>y</t>
  </si>
  <si>
    <t>BOX</t>
  </si>
  <si>
    <t>PLACE &amp; FINISH</t>
  </si>
  <si>
    <t>CLEANUP</t>
  </si>
  <si>
    <t>Y</t>
  </si>
  <si>
    <t>TIE STEEL</t>
  </si>
  <si>
    <t>/TON</t>
  </si>
  <si>
    <t xml:space="preserve">TONS =   </t>
  </si>
  <si>
    <t>ANCHOR BOLTS</t>
  </si>
  <si>
    <t>PIER CAPS</t>
  </si>
  <si>
    <t>EACH</t>
  </si>
  <si>
    <t>EXTRA HOURS</t>
  </si>
  <si>
    <t>COST PER PIER</t>
  </si>
  <si>
    <t xml:space="preserve">SUPERVISION </t>
  </si>
  <si>
    <t>SUPERINTENDENT</t>
  </si>
  <si>
    <t>DAYS@</t>
  </si>
  <si>
    <t>FORMAN</t>
  </si>
  <si>
    <t>TACK STRIPS</t>
  </si>
  <si>
    <t>EXPENSE ALLOWANCE</t>
  </si>
  <si>
    <t>PROJECT MANAGEMENT</t>
  </si>
  <si>
    <t>Concrete Haul OFF</t>
  </si>
  <si>
    <t>Loads</t>
  </si>
  <si>
    <t>/Load</t>
  </si>
  <si>
    <t>EQUIPMENT</t>
  </si>
  <si>
    <t>SKY TRACK</t>
  </si>
  <si>
    <t xml:space="preserve">Days </t>
  </si>
  <si>
    <t>14</t>
  </si>
  <si>
    <t>FUEL &amp; MAINT.</t>
  </si>
  <si>
    <t>15</t>
  </si>
  <si>
    <t>6</t>
  </si>
  <si>
    <t>LIGHT TOWER</t>
  </si>
  <si>
    <t>VAULT</t>
  </si>
  <si>
    <t>CARTON FORMS</t>
  </si>
  <si>
    <t>9</t>
  </si>
  <si>
    <t>CONTRACT SERVICES</t>
  </si>
  <si>
    <t>SONOTUBES</t>
  </si>
  <si>
    <t>/LF</t>
  </si>
  <si>
    <t>SURVEYING</t>
  </si>
  <si>
    <t>DEMO</t>
  </si>
  <si>
    <t>/LN FT</t>
  </si>
  <si>
    <t>10</t>
  </si>
  <si>
    <t>CONCRETE PUMPING</t>
  </si>
  <si>
    <t>DRUMS</t>
  </si>
  <si>
    <t>OFF SITE HAUL OFF</t>
  </si>
  <si>
    <t>OUT OF TOWN EXP</t>
  </si>
  <si>
    <t>DAYS</t>
  </si>
  <si>
    <t xml:space="preserve">FOR </t>
  </si>
  <si>
    <t>Spacing</t>
  </si>
  <si>
    <t>C . C</t>
  </si>
  <si>
    <t>Margin Contengency</t>
  </si>
  <si>
    <t>Mark Up</t>
  </si>
  <si>
    <t>1/2" Smooth Dowels</t>
  </si>
  <si>
    <t>PCS</t>
  </si>
  <si>
    <t>JOB NAME</t>
  </si>
  <si>
    <t>GB DIMENSIONS</t>
  </si>
  <si>
    <t>TOP BARS</t>
  </si>
  <si>
    <t>BOTTOM BARS</t>
  </si>
  <si>
    <t>MID BARS</t>
  </si>
  <si>
    <t>STIRRUPS</t>
  </si>
  <si>
    <t>"L" BARS</t>
  </si>
  <si>
    <t>PILASTERS</t>
  </si>
  <si>
    <t>LBS OF STEEL</t>
  </si>
  <si>
    <t>mix design</t>
  </si>
  <si>
    <t>GB TYPE</t>
  </si>
  <si>
    <t>LENGTH FT.</t>
  </si>
  <si>
    <t>WIDTH IN.</t>
  </si>
  <si>
    <t>HEIGHT IN.</t>
  </si>
  <si>
    <t># BARS</t>
  </si>
  <si>
    <t>LNTH</t>
  </si>
  <si>
    <t>LGTH</t>
  </si>
  <si>
    <t>WIDTH</t>
  </si>
  <si>
    <t>By Yrds</t>
  </si>
  <si>
    <t>MIX #1</t>
  </si>
  <si>
    <t>MIX #2</t>
  </si>
  <si>
    <t>MIX #3</t>
  </si>
  <si>
    <t>MIX #4</t>
  </si>
  <si>
    <t>MIX#5</t>
  </si>
  <si>
    <t>MIX#6</t>
  </si>
  <si>
    <t>MIX#7</t>
  </si>
  <si>
    <t>MIX#8</t>
  </si>
  <si>
    <t>MIX#9</t>
  </si>
  <si>
    <t>MIX#10</t>
  </si>
  <si>
    <t>TOTAL CONCRETE</t>
  </si>
  <si>
    <t>TOTAL STEEL</t>
  </si>
  <si>
    <t>CONTACT FT</t>
  </si>
  <si>
    <t>FACE FT</t>
  </si>
  <si>
    <t>CONCRETE COST</t>
  </si>
  <si>
    <t>FORMING COST</t>
  </si>
  <si>
    <t>PHILASTER COST</t>
  </si>
  <si>
    <t>STEEL LABOR</t>
  </si>
  <si>
    <t>EXCAVATE LABOR</t>
  </si>
  <si>
    <t>EQUIP,SUP,CONTRACT</t>
  </si>
  <si>
    <t>By FF</t>
  </si>
  <si>
    <t>Average Cost</t>
  </si>
  <si>
    <t>rebar</t>
  </si>
  <si>
    <t>Backfill</t>
  </si>
  <si>
    <t>TOTAL LINEAR FEET BEAMS</t>
  </si>
  <si>
    <t xml:space="preserve"> TOTAL WIEGHT LBS.</t>
  </si>
  <si>
    <t xml:space="preserve"> TOTAL WEIGHT TONS</t>
  </si>
  <si>
    <t>Enter</t>
  </si>
  <si>
    <t>Answer</t>
  </si>
  <si>
    <t>0 FF = Elevation</t>
  </si>
  <si>
    <t>NOTES;</t>
  </si>
  <si>
    <t>Garage:</t>
  </si>
  <si>
    <t>Enter FF elevation</t>
  </si>
  <si>
    <t>Res:</t>
  </si>
  <si>
    <t>COST OF FORMING / FACE FOOT</t>
  </si>
  <si>
    <t>Enter sea level FF</t>
  </si>
  <si>
    <t xml:space="preserve">Rebar Wt. Per CY </t>
  </si>
  <si>
    <t>Rebar Calculator</t>
  </si>
  <si>
    <t>includes waste</t>
  </si>
  <si>
    <t xml:space="preserve"> MATERIAL COSTS :</t>
  </si>
  <si>
    <t>TOTAL WT</t>
  </si>
  <si>
    <t>% OF FORMING</t>
  </si>
  <si>
    <t>Ln ft</t>
  </si>
  <si>
    <t>/FT</t>
  </si>
  <si>
    <t>SQ FT</t>
  </si>
  <si>
    <t>POST TENSION</t>
  </si>
  <si>
    <t>SHT</t>
  </si>
  <si>
    <t>TOTAL COST SAND</t>
  </si>
  <si>
    <t xml:space="preserve">2 x 2 x 30 stakes </t>
  </si>
  <si>
    <t>bndls</t>
  </si>
  <si>
    <t>ROCK COST</t>
  </si>
  <si>
    <t>Box</t>
  </si>
  <si>
    <t>/' SQ FT</t>
  </si>
  <si>
    <t>CARTON FORMS (GR BMS)</t>
  </si>
  <si>
    <t>Y/N</t>
  </si>
  <si>
    <t>DURROCK RETAINER</t>
  </si>
  <si>
    <t>/ LN FT</t>
  </si>
  <si>
    <t>FORM RENTAL</t>
  </si>
  <si>
    <t>/CONTACT FT.</t>
  </si>
  <si>
    <t>% of forming</t>
  </si>
  <si>
    <t xml:space="preserve"> LABOR: SLAB</t>
  </si>
  <si>
    <t>/FC. FT.</t>
  </si>
  <si>
    <t>FC. FT=</t>
  </si>
  <si>
    <t>FORMING</t>
  </si>
  <si>
    <t>/FC FT.</t>
  </si>
  <si>
    <t>FC.FT.=</t>
  </si>
  <si>
    <t>Water Stops</t>
  </si>
  <si>
    <t>Ln Ft</t>
  </si>
  <si>
    <t>PLACE AND FINISH</t>
  </si>
  <si>
    <t>WRECK AND CLEAN UP</t>
  </si>
  <si>
    <t>RUB AND PATCH</t>
  </si>
  <si>
    <t>EXCAVATE</t>
  </si>
  <si>
    <t>BACKFILL/COMPACTION</t>
  </si>
  <si>
    <t>COST PER SQ FT</t>
  </si>
  <si>
    <t>39</t>
  </si>
  <si>
    <t>SUPERVISION MONO SLAB</t>
  </si>
  <si>
    <t>$/DAY</t>
  </si>
  <si>
    <t>11</t>
  </si>
  <si>
    <t>BAGS</t>
  </si>
  <si>
    <t>POLY 6 mill</t>
  </si>
  <si>
    <t>Rolls</t>
  </si>
  <si>
    <t>Insulation Board</t>
  </si>
  <si>
    <t>Concrete Haul off</t>
  </si>
  <si>
    <t>BOLSTERS</t>
  </si>
  <si>
    <t>PUMP ALLOWANCE</t>
  </si>
  <si>
    <t>/ CY</t>
  </si>
  <si>
    <t>drms</t>
  </si>
  <si>
    <t>WATERPROOFING</t>
  </si>
  <si>
    <t>SAW CUTTING</t>
  </si>
  <si>
    <t>UNITS</t>
  </si>
  <si>
    <t>/UNIT</t>
  </si>
  <si>
    <t>Mark up</t>
  </si>
  <si>
    <t>If Rows are added</t>
  </si>
  <si>
    <t xml:space="preserve">go to cost code below </t>
  </si>
  <si>
    <t>and follow directions</t>
  </si>
  <si>
    <t>CONCRETE GRADE BEAMS</t>
  </si>
  <si>
    <t>Dirt Haul off</t>
  </si>
  <si>
    <t>Area of Beam</t>
  </si>
  <si>
    <t>PT SOG TYPE</t>
  </si>
  <si>
    <t>LABOR ADD</t>
  </si>
  <si>
    <t>SQ</t>
  </si>
  <si>
    <t>THICK INCH</t>
  </si>
  <si>
    <t xml:space="preserve">QTY </t>
  </si>
  <si>
    <t>CABLE</t>
  </si>
  <si>
    <t>INCH OF</t>
  </si>
  <si>
    <t>PERM. EDGE</t>
  </si>
  <si>
    <t>RE</t>
  </si>
  <si>
    <t>BAR</t>
  </si>
  <si>
    <t>Hold Dwn</t>
  </si>
  <si>
    <t>STEEL WT LBS</t>
  </si>
  <si>
    <t>PRICE PER SQ FT</t>
  </si>
  <si>
    <t>TOTAL PRICE EACH</t>
  </si>
  <si>
    <t>Drops</t>
  </si>
  <si>
    <t>Wts</t>
  </si>
  <si>
    <t>DROPS</t>
  </si>
  <si>
    <t>Vertical Stems</t>
  </si>
  <si>
    <t>Extended Beams</t>
  </si>
  <si>
    <t>Beam 1</t>
  </si>
  <si>
    <t>Beam 2</t>
  </si>
  <si>
    <t>beam 3</t>
  </si>
  <si>
    <t>beam 4</t>
  </si>
  <si>
    <t>beam 5</t>
  </si>
  <si>
    <t>beam 6</t>
  </si>
  <si>
    <t>beam 7</t>
  </si>
  <si>
    <t>drops</t>
  </si>
  <si>
    <t>Vertical Stem</t>
  </si>
  <si>
    <t>Beam 3</t>
  </si>
  <si>
    <t>Beam 4</t>
  </si>
  <si>
    <t>Beam 5</t>
  </si>
  <si>
    <t>Beam 6</t>
  </si>
  <si>
    <t>Beam 7</t>
  </si>
  <si>
    <t>yrds conc. Beams</t>
  </si>
  <si>
    <t>Lbs rebar. Beams</t>
  </si>
  <si>
    <t>Cost Center</t>
  </si>
  <si>
    <t>Poly for Slabs</t>
  </si>
  <si>
    <t>Total Area of Beams</t>
  </si>
  <si>
    <t>/SF</t>
  </si>
  <si>
    <t>FT</t>
  </si>
  <si>
    <t>SLABS</t>
  </si>
  <si>
    <t>SAND</t>
  </si>
  <si>
    <t>SPACE</t>
  </si>
  <si>
    <t>Count</t>
  </si>
  <si>
    <t>ADDERS</t>
  </si>
  <si>
    <t>TYPE</t>
  </si>
  <si>
    <t>SLAB REBAR</t>
  </si>
  <si>
    <t>SQ FTWIRE MESH</t>
  </si>
  <si>
    <t>QTY SLABS</t>
  </si>
  <si>
    <t>Traf con</t>
  </si>
  <si>
    <t>MIX #6</t>
  </si>
  <si>
    <t>MIX #7</t>
  </si>
  <si>
    <t>MIX #8</t>
  </si>
  <si>
    <t>MIX #9</t>
  </si>
  <si>
    <t>MIX #10</t>
  </si>
  <si>
    <t xml:space="preserve">TOTAL </t>
  </si>
  <si>
    <t>SQ FT CABLES</t>
  </si>
  <si>
    <t>TOTAL PERIMITER</t>
  </si>
  <si>
    <t xml:space="preserve"> FF DROPS</t>
  </si>
  <si>
    <t>FF Stem Walls</t>
  </si>
  <si>
    <t>FF extended Beam</t>
  </si>
  <si>
    <t>TOTAL SQ FT</t>
  </si>
  <si>
    <t>Hold Down Count</t>
  </si>
  <si>
    <t>TOTAL COST EACH</t>
  </si>
  <si>
    <t>Labor Adder</t>
  </si>
  <si>
    <t>labor</t>
  </si>
  <si>
    <t>Drops Labor</t>
  </si>
  <si>
    <t>CURBS</t>
  </si>
  <si>
    <t>SUPR</t>
  </si>
  <si>
    <t>LUMBER</t>
  </si>
  <si>
    <t>CONTRACT</t>
  </si>
  <si>
    <t>ACCESS</t>
  </si>
  <si>
    <t>CABLES</t>
  </si>
  <si>
    <t>HOLD DOWNS</t>
  </si>
  <si>
    <t>GB1</t>
  </si>
  <si>
    <t>GB2</t>
  </si>
  <si>
    <t>GB3</t>
  </si>
  <si>
    <t>GB4</t>
  </si>
  <si>
    <t>GB5</t>
  </si>
  <si>
    <t>GB6</t>
  </si>
  <si>
    <t>GB7</t>
  </si>
  <si>
    <t>Pour 1</t>
  </si>
  <si>
    <t>Pour 2</t>
  </si>
  <si>
    <t>Pour 3</t>
  </si>
  <si>
    <t>Pour 4</t>
  </si>
  <si>
    <t>Pour 5</t>
  </si>
  <si>
    <t>Pour 6</t>
  </si>
  <si>
    <t>Pour 7</t>
  </si>
  <si>
    <t>Pour 8</t>
  </si>
  <si>
    <t>Pour 9</t>
  </si>
  <si>
    <t>Pour 10</t>
  </si>
  <si>
    <t>Pour 11</t>
  </si>
  <si>
    <t>Pour 12</t>
  </si>
  <si>
    <t>Pour 13</t>
  </si>
  <si>
    <t>Pour 14</t>
  </si>
  <si>
    <t>Pour 15</t>
  </si>
  <si>
    <t>16</t>
  </si>
  <si>
    <t>Pour 16</t>
  </si>
  <si>
    <t>17</t>
  </si>
  <si>
    <t>18</t>
  </si>
  <si>
    <t>19</t>
  </si>
  <si>
    <t>20</t>
  </si>
  <si>
    <t>21</t>
  </si>
  <si>
    <t>22</t>
  </si>
  <si>
    <t>23</t>
  </si>
  <si>
    <t>24</t>
  </si>
  <si>
    <t>25</t>
  </si>
  <si>
    <t>Pour Strip</t>
  </si>
  <si>
    <t>26</t>
  </si>
  <si>
    <t>27</t>
  </si>
  <si>
    <t>28</t>
  </si>
  <si>
    <t>29</t>
  </si>
  <si>
    <t>30</t>
  </si>
  <si>
    <t>31</t>
  </si>
  <si>
    <t>32</t>
  </si>
  <si>
    <t>Total SF</t>
  </si>
  <si>
    <t>SQ FT PER CY</t>
  </si>
  <si>
    <t xml:space="preserve">Sub Grade </t>
  </si>
  <si>
    <t>BOT BARS</t>
  </si>
  <si>
    <t>LBS OF</t>
  </si>
  <si>
    <t xml:space="preserve">CONCRETE </t>
  </si>
  <si>
    <t>SF/CY</t>
  </si>
  <si>
    <t>TOTAL POLY</t>
  </si>
  <si>
    <t>GB #</t>
  </si>
  <si>
    <t>HEIGHT IN</t>
  </si>
  <si>
    <t>SPACING IN.</t>
  </si>
  <si>
    <t>LNTH  FT</t>
  </si>
  <si>
    <t>STEEL  / FT</t>
  </si>
  <si>
    <t>Dirt Calculation</t>
  </si>
  <si>
    <t>Total Area of Beam</t>
  </si>
  <si>
    <t>AVERAGE WT /SQ FT</t>
  </si>
  <si>
    <t>poly area</t>
  </si>
  <si>
    <t>COST CON. / FT</t>
  </si>
  <si>
    <t>COST/ FT</t>
  </si>
  <si>
    <t>2 x 4 BRACING</t>
  </si>
  <si>
    <t>Supplier</t>
  </si>
  <si>
    <t>Date</t>
  </si>
  <si>
    <t>LNGT</t>
  </si>
  <si>
    <t>/LNGTH</t>
  </si>
  <si>
    <t xml:space="preserve"> SAND</t>
  </si>
  <si>
    <t>CARTON GRADE BEAMS</t>
  </si>
  <si>
    <t>Y/N         ?</t>
  </si>
  <si>
    <t>CARTON FORMS SLAB</t>
  </si>
  <si>
    <t>COVER SHEETS</t>
  </si>
  <si>
    <t>/UNITS</t>
  </si>
  <si>
    <t>20p NAILS</t>
  </si>
  <si>
    <t>/SQ FT.</t>
  </si>
  <si>
    <t>GRADING / CABLES</t>
  </si>
  <si>
    <t>/FC FT</t>
  </si>
  <si>
    <t>SQFT</t>
  </si>
  <si>
    <t>Box Delivery</t>
  </si>
  <si>
    <t>Boxes</t>
  </si>
  <si>
    <t>/EA</t>
  </si>
  <si>
    <t>8.5" Box</t>
  </si>
  <si>
    <t>EXCAVATION ADD</t>
  </si>
  <si>
    <t>12" Box</t>
  </si>
  <si>
    <t>HOLD DOWNS / FTGS</t>
  </si>
  <si>
    <t>10 Mil  vapor barrier</t>
  </si>
  <si>
    <t>2,000 sf/roll</t>
  </si>
  <si>
    <t>/roll</t>
  </si>
  <si>
    <t xml:space="preserve">10 Mil Yellow Guard  </t>
  </si>
  <si>
    <t>14' x 210'</t>
  </si>
  <si>
    <t>15 Mil Stego Wrap</t>
  </si>
  <si>
    <t>14' x 140'</t>
  </si>
  <si>
    <t>11 Mil barrier bac</t>
  </si>
  <si>
    <t>12.75' X 250'</t>
  </si>
  <si>
    <t>Concrete Deduct</t>
  </si>
  <si>
    <t>yds</t>
  </si>
  <si>
    <t>FOREMAN</t>
  </si>
  <si>
    <t>Poly Tape</t>
  </si>
  <si>
    <t>/Roll</t>
  </si>
  <si>
    <t>Concrete Haul Off</t>
  </si>
  <si>
    <t>ROLL</t>
  </si>
  <si>
    <t>Days</t>
  </si>
  <si>
    <t>ENGINEERING</t>
  </si>
  <si>
    <t>SAW JOINT SEALANT</t>
  </si>
  <si>
    <t>SPACING FT</t>
  </si>
  <si>
    <t>DRMS</t>
  </si>
  <si>
    <t>3/4" Smooth Dowels</t>
  </si>
  <si>
    <t>Rebar Total:</t>
  </si>
  <si>
    <t xml:space="preserve">Concrete Total: </t>
  </si>
  <si>
    <t>Labor Total</t>
  </si>
  <si>
    <t>Item</t>
  </si>
  <si>
    <t>Mono Slab on Grade</t>
  </si>
  <si>
    <t>&lt;&lt;&lt;&lt;&lt;&lt;&lt;&lt;&lt;&lt;&lt;&lt;&lt;   Copy Drag  down from Column G to H</t>
  </si>
  <si>
    <t>Patch Material</t>
  </si>
  <si>
    <t>Bags</t>
  </si>
  <si>
    <t>Concrete haul Off</t>
  </si>
  <si>
    <t>BACKFILL</t>
  </si>
  <si>
    <t>Mix</t>
  </si>
  <si>
    <t>WALL DIMENSIONS</t>
  </si>
  <si>
    <t>HORIZONTAL STEEL</t>
  </si>
  <si>
    <t>VERTICAL STEEL</t>
  </si>
  <si>
    <t>FOOTING INFO</t>
  </si>
  <si>
    <t>mix design FOOTERS</t>
  </si>
  <si>
    <t>mix design WALLS</t>
  </si>
  <si>
    <t>FTG / WALL TYPE</t>
  </si>
  <si>
    <t>Design</t>
  </si>
  <si>
    <t>THICK IN.</t>
  </si>
  <si>
    <t>#  OF MATS</t>
  </si>
  <si>
    <t># OF MATS</t>
  </si>
  <si>
    <t>INCHES WIDE</t>
  </si>
  <si>
    <t>INCHES THICK</t>
  </si>
  <si>
    <t>LGTH INCHES</t>
  </si>
  <si>
    <t>WIDTH INCHES</t>
  </si>
  <si>
    <t>CONCRETE FOOTERS</t>
  </si>
  <si>
    <t>TOTAL CONCRETE WALLS</t>
  </si>
  <si>
    <t>FOOTER SQ FT</t>
  </si>
  <si>
    <t>ROCK</t>
  </si>
  <si>
    <t>WALL Aggregate</t>
  </si>
  <si>
    <t>FOOTER  COST</t>
  </si>
  <si>
    <t>Wall EXCAVATE LABOR</t>
  </si>
  <si>
    <t>FOOTER COST</t>
  </si>
  <si>
    <t>COST PER FT</t>
  </si>
  <si>
    <t>WALL COST</t>
  </si>
  <si>
    <t>COST / FT</t>
  </si>
  <si>
    <t>by Yard</t>
  </si>
  <si>
    <t>by sf</t>
  </si>
  <si>
    <t>WALL Qty</t>
  </si>
  <si>
    <t>French Drain</t>
  </si>
  <si>
    <t>FTG QTY</t>
  </si>
  <si>
    <t>WALL</t>
  </si>
  <si>
    <t>FOOTING:</t>
  </si>
  <si>
    <t>Shoring Cost / sq ft</t>
  </si>
  <si>
    <t>Target .80/ FF</t>
  </si>
  <si>
    <t>NOTES:</t>
  </si>
  <si>
    <t>Form Cost / sq ft</t>
  </si>
  <si>
    <t>Target  $2.75 / FF</t>
  </si>
  <si>
    <t>/burden</t>
  </si>
  <si>
    <t>Mn Hr</t>
  </si>
  <si>
    <t>Forming</t>
  </si>
  <si>
    <t>P/F</t>
  </si>
  <si>
    <t>LNFT</t>
  </si>
  <si>
    <t>BUNDL</t>
  </si>
  <si>
    <t>CARTON FORMS(GR BMS)</t>
  </si>
  <si>
    <t>RETAINER BOARDS (GR BMS)</t>
  </si>
  <si>
    <t>% of FORMING</t>
  </si>
  <si>
    <t>FOOTINGS</t>
  </si>
  <si>
    <t>WATER STOP</t>
  </si>
  <si>
    <t>ROLLS</t>
  </si>
  <si>
    <t>FRENCH DRAIN</t>
  </si>
  <si>
    <t>37</t>
  </si>
  <si>
    <t>Mirafi 140N or equal</t>
  </si>
  <si>
    <t>FRENCH DRAINS</t>
  </si>
  <si>
    <t xml:space="preserve">EXCAVATE </t>
  </si>
  <si>
    <t>Pipe Bracing</t>
  </si>
  <si>
    <t>LOADS</t>
  </si>
  <si>
    <t>/LOAD</t>
  </si>
  <si>
    <t>DRUM</t>
  </si>
  <si>
    <t>WATERPROOFING  Carlisle 860 Mira Dri</t>
  </si>
  <si>
    <t>COLUMN DIM.</t>
  </si>
  <si>
    <t xml:space="preserve">VERTICAL </t>
  </si>
  <si>
    <t>VERTICAL</t>
  </si>
  <si>
    <t>SALE PRICE/COLUMN</t>
  </si>
  <si>
    <t>COLUMN TYPE</t>
  </si>
  <si>
    <t>HEIGHT FT</t>
  </si>
  <si>
    <t>COST / COLUMN</t>
  </si>
  <si>
    <t>Total SALE</t>
  </si>
  <si>
    <t>Build up</t>
  </si>
  <si>
    <t>Patch</t>
  </si>
  <si>
    <t>SETUP/TEARDOWN</t>
  </si>
  <si>
    <t>EMBEDS</t>
  </si>
  <si>
    <t>Total Cost</t>
  </si>
  <si>
    <t>TOTAL SALE</t>
  </si>
  <si>
    <t>TOTAL COLUMNS</t>
  </si>
  <si>
    <t>COST PER CY</t>
  </si>
  <si>
    <t>UNIT SALE / EACH</t>
  </si>
  <si>
    <t>exempt</t>
  </si>
  <si>
    <t>Rebar by Volume</t>
  </si>
  <si>
    <t>/CONTACT FT</t>
  </si>
  <si>
    <t>\</t>
  </si>
  <si>
    <t>BUILD-UP</t>
  </si>
  <si>
    <t>FC. FT</t>
  </si>
  <si>
    <t>FC.FT.</t>
  </si>
  <si>
    <t>SUB COST PER COLUMN</t>
  </si>
  <si>
    <t>/Loads</t>
  </si>
  <si>
    <t>HOISTING</t>
  </si>
  <si>
    <t>STORAGE</t>
  </si>
  <si>
    <t>DIAMOND HARD CURE</t>
  </si>
  <si>
    <t xml:space="preserve">set up tear down </t>
  </si>
  <si>
    <t>PAVING TYPE</t>
  </si>
  <si>
    <t>slip form Y/N</t>
  </si>
  <si>
    <t>SQUARE FOOTAGE</t>
  </si>
  <si>
    <t>THICK INCHES</t>
  </si>
  <si>
    <t>Paving Add $$/SF</t>
  </si>
  <si>
    <t>Traffic Control  Y/N</t>
  </si>
  <si>
    <t>LN FT DEMO</t>
  </si>
  <si>
    <t>LF CURBS</t>
  </si>
  <si>
    <t>LN FT THICK EDGE</t>
  </si>
  <si>
    <t>SAND INCHES</t>
  </si>
  <si>
    <t>STEEL REINFORCING</t>
  </si>
  <si>
    <t>MESH GUAGE</t>
  </si>
  <si>
    <t>CY    SAND</t>
  </si>
  <si>
    <t>MESH WT</t>
  </si>
  <si>
    <t>PRICE PER FT</t>
  </si>
  <si>
    <t>TOTAL PRICE</t>
  </si>
  <si>
    <t>SQ FT MACH POUR</t>
  </si>
  <si>
    <t>1 X 6</t>
  </si>
  <si>
    <t>1 X 8</t>
  </si>
  <si>
    <t>Base Labor</t>
  </si>
  <si>
    <t>Labor Adjustment</t>
  </si>
  <si>
    <t>THICK EDGE</t>
  </si>
  <si>
    <t>SLIB FORMINNG</t>
  </si>
  <si>
    <t>traffic control</t>
  </si>
  <si>
    <t>Extra Curbs</t>
  </si>
  <si>
    <t>paving add</t>
  </si>
  <si>
    <t>TOTAL LBS STEEL</t>
  </si>
  <si>
    <t>.81 includes backfill of curb</t>
  </si>
  <si>
    <t>BUNDLS</t>
  </si>
  <si>
    <t>TOTAL ROCK</t>
  </si>
  <si>
    <t>LABOR ADJUSTMENT</t>
  </si>
  <si>
    <t xml:space="preserve">CURB  </t>
  </si>
  <si>
    <t>1 X 1 TACK STRIPS</t>
  </si>
  <si>
    <t>TEXTURE COMB</t>
  </si>
  <si>
    <t>FORK TRUCK</t>
  </si>
  <si>
    <t>1 BOB CAT</t>
  </si>
  <si>
    <t>EASY DRILL</t>
  </si>
  <si>
    <t>CONCRETE HAUL OFF</t>
  </si>
  <si>
    <t>3-1/4 Paving Chairs</t>
  </si>
  <si>
    <t>BARRICADES</t>
  </si>
  <si>
    <t>MONTH</t>
  </si>
  <si>
    <t>/MONTH</t>
  </si>
  <si>
    <t>DOWEL BASKETS</t>
  </si>
  <si>
    <t>HOT POUR JOINT SEALANT</t>
  </si>
  <si>
    <t>X</t>
  </si>
  <si>
    <t>Special Materal</t>
  </si>
  <si>
    <t>HOT POUR CTRL JOINT SEALANT</t>
  </si>
  <si>
    <t>SOFT CUT</t>
  </si>
  <si>
    <t>CONCRETE PUMP</t>
  </si>
  <si>
    <t>STAMPING</t>
  </si>
  <si>
    <t>SLIP FORMING</t>
  </si>
  <si>
    <t>BOND</t>
  </si>
  <si>
    <t>UNIT PRICE</t>
  </si>
  <si>
    <t>ARCHITECTUAL:</t>
  </si>
  <si>
    <t>STRUCTURAL:</t>
  </si>
  <si>
    <t>CIP EL. DECK TYPE</t>
  </si>
  <si>
    <t>TOP REINFORCING</t>
  </si>
  <si>
    <t>BOTTOM REINFORCING</t>
  </si>
  <si>
    <t>SQ FT WIRE MESH</t>
  </si>
  <si>
    <t>BEAMS</t>
  </si>
  <si>
    <t>Gradebeams Rebar</t>
  </si>
  <si>
    <t>Materials</t>
  </si>
  <si>
    <t>rebar grade beams</t>
  </si>
  <si>
    <t>face ft</t>
  </si>
  <si>
    <t>Cables</t>
  </si>
  <si>
    <t>Stud Rails</t>
  </si>
  <si>
    <t>Safety Rails/ EDGE</t>
  </si>
  <si>
    <t>GB Forming</t>
  </si>
  <si>
    <t>Cable &amp; Embeds</t>
  </si>
  <si>
    <t>Contingent</t>
  </si>
  <si>
    <t>CARTONS</t>
  </si>
  <si>
    <t>Rebar Wts</t>
  </si>
  <si>
    <t>PT Wts</t>
  </si>
  <si>
    <t>LBS OF STEEL PER LN FT</t>
  </si>
  <si>
    <t>CONCRETE CY / LN FT</t>
  </si>
  <si>
    <t>sq ft / yd</t>
  </si>
  <si>
    <t>BEAM #</t>
  </si>
  <si>
    <t>lbs / ft</t>
  </si>
  <si>
    <t>ff/ln ft</t>
  </si>
  <si>
    <t>Skyline Budget</t>
  </si>
  <si>
    <t>Skyline Quote</t>
  </si>
  <si>
    <t>Qty Rails</t>
  </si>
  <si>
    <t>Garage :</t>
  </si>
  <si>
    <t>Skyline</t>
  </si>
  <si>
    <t>Skyline Delta</t>
  </si>
  <si>
    <t>Avg wt per column</t>
  </si>
  <si>
    <t>Retail:</t>
  </si>
  <si>
    <t>RECI QUOTE</t>
  </si>
  <si>
    <t>Deck</t>
  </si>
  <si>
    <t>Total Columns</t>
  </si>
  <si>
    <t>Beams</t>
  </si>
  <si>
    <t>Total Stud Rail Wt</t>
  </si>
  <si>
    <t>Stud Rail ID</t>
  </si>
  <si>
    <t># rails per column</t>
  </si>
  <si>
    <t># studs per rail</t>
  </si>
  <si>
    <t>Stud spac (in)</t>
  </si>
  <si>
    <t>Dist. To first stud</t>
  </si>
  <si>
    <t>Rail thickness</t>
  </si>
  <si>
    <t>Stud dia (in)</t>
  </si>
  <si>
    <t>Stud Length</t>
  </si>
  <si>
    <t>wt per column</t>
  </si>
  <si>
    <t>Number of columns</t>
  </si>
  <si>
    <t>qty rails</t>
  </si>
  <si>
    <t>Total Wt</t>
  </si>
  <si>
    <t>SR1</t>
  </si>
  <si>
    <t>SR2</t>
  </si>
  <si>
    <t>SR3</t>
  </si>
  <si>
    <t>SR4</t>
  </si>
  <si>
    <t>STUD RAILS</t>
  </si>
  <si>
    <t>/LBS</t>
  </si>
  <si>
    <t>SR5</t>
  </si>
  <si>
    <t>POST TENSION (Encapsulated)</t>
  </si>
  <si>
    <t>SR6</t>
  </si>
  <si>
    <t>SR7</t>
  </si>
  <si>
    <t xml:space="preserve">PLYWOOD FORMING </t>
  </si>
  <si>
    <t>OF COVERAGE</t>
  </si>
  <si>
    <t>SR8</t>
  </si>
  <si>
    <t>RESHORING</t>
  </si>
  <si>
    <t>SR9</t>
  </si>
  <si>
    <t>FORM RENTAL SHORING</t>
  </si>
  <si>
    <t>SR10</t>
  </si>
  <si>
    <t>CuYd</t>
  </si>
  <si>
    <t>W</t>
  </si>
  <si>
    <t>H</t>
  </si>
  <si>
    <t>SR11</t>
  </si>
  <si>
    <t>SR12</t>
  </si>
  <si>
    <t>SR13</t>
  </si>
  <si>
    <t>WRECK AND CLEAN</t>
  </si>
  <si>
    <t xml:space="preserve">EDGE / SAFETY RAILS </t>
  </si>
  <si>
    <t>POLY 6 MILL</t>
  </si>
  <si>
    <t>/ ROLL</t>
  </si>
  <si>
    <t>GB FORMING</t>
  </si>
  <si>
    <t>/FF</t>
  </si>
  <si>
    <t>BUILD-UP LUMBER</t>
  </si>
  <si>
    <t>RUB &amp; PATCH</t>
  </si>
  <si>
    <t>HARDWARE</t>
  </si>
  <si>
    <t>ton</t>
  </si>
  <si>
    <t>PLYWOOD</t>
  </si>
  <si>
    <t>SHEETS</t>
  </si>
  <si>
    <t>CABLE PLACEMENT</t>
  </si>
  <si>
    <t>LB</t>
  </si>
  <si>
    <t>FORMING SYSTEM</t>
  </si>
  <si>
    <t>PAVECRETE</t>
  </si>
  <si>
    <t>20 TON LIFT</t>
  </si>
  <si>
    <t>CRANE &amp; OPERATOR</t>
  </si>
  <si>
    <t>SLAB BOLSTERS</t>
  </si>
  <si>
    <t>/PC</t>
  </si>
  <si>
    <t>FREIGHT</t>
  </si>
  <si>
    <t>WATERPROOFING CT YD</t>
  </si>
  <si>
    <t>SUB CONTRACT BARRICADES</t>
  </si>
  <si>
    <t>"/LF</t>
  </si>
  <si>
    <t>Magrin Contingency</t>
  </si>
  <si>
    <t>CIP</t>
  </si>
  <si>
    <t>SLAB ON DECK TYPE</t>
  </si>
  <si>
    <t>SF/YD</t>
  </si>
  <si>
    <t>WASTE</t>
  </si>
  <si>
    <t>Ready Cable</t>
  </si>
  <si>
    <t>SLAB PREP</t>
  </si>
  <si>
    <t>12'</t>
  </si>
  <si>
    <t>14' x 140</t>
  </si>
  <si>
    <t>12.75' x 250'</t>
  </si>
  <si>
    <t>Concete Haul Off</t>
  </si>
  <si>
    <t>Rebar total:</t>
  </si>
  <si>
    <t>SIDEWALK TYPE</t>
  </si>
  <si>
    <t>Cost Adder</t>
  </si>
  <si>
    <t>STAIR TREADS</t>
  </si>
  <si>
    <t xml:space="preserve"> REINFORCING</t>
  </si>
  <si>
    <t>MESH SQ FT</t>
  </si>
  <si>
    <t>HT</t>
  </si>
  <si>
    <t>WDTH</t>
  </si>
  <si>
    <t>Stamped QQTy</t>
  </si>
  <si>
    <t>Traffic Control QTY</t>
  </si>
  <si>
    <t>ADA Ramps</t>
  </si>
  <si>
    <t>Finishes</t>
  </si>
  <si>
    <t>Steps</t>
  </si>
  <si>
    <t>finish add</t>
  </si>
  <si>
    <t>ADA RAMPS</t>
  </si>
  <si>
    <t>CONCRETE WASTAGE</t>
  </si>
  <si>
    <t xml:space="preserve"> WASTAGE</t>
  </si>
  <si>
    <t>3/8" X 12" X 16' Siding</t>
  </si>
  <si>
    <t>2 X 2 X 18 STAKES</t>
  </si>
  <si>
    <t>QNTY</t>
  </si>
  <si>
    <t>ADA BRICKS</t>
  </si>
  <si>
    <t>BOB CATS</t>
  </si>
  <si>
    <t>FUEL&amp;MAINT.</t>
  </si>
  <si>
    <t>BUGGIE</t>
  </si>
  <si>
    <t>MISCELLANIOUS</t>
  </si>
  <si>
    <t>BARRACADES</t>
  </si>
  <si>
    <t>CONTRACT  SERVICES</t>
  </si>
  <si>
    <t>EXPANSION JOINT SEALANT</t>
  </si>
  <si>
    <t>CONTROL JOINT SEALANT</t>
  </si>
  <si>
    <t>PPE/Saftey</t>
  </si>
  <si>
    <t>PUMPING</t>
  </si>
  <si>
    <t>Sealers</t>
  </si>
  <si>
    <t>Gal.</t>
  </si>
  <si>
    <t>/Gal</t>
  </si>
  <si>
    <t>CURB DEMO</t>
  </si>
  <si>
    <t>SIDEWALKS</t>
  </si>
  <si>
    <t>Budget Name</t>
  </si>
  <si>
    <t>No Buget</t>
  </si>
  <si>
    <t>LUMBER total:</t>
  </si>
  <si>
    <t>REBAR TOTAL</t>
  </si>
  <si>
    <t>SUPERVISION</t>
  </si>
  <si>
    <t>EQUIP.  TOTAL</t>
  </si>
  <si>
    <t>SITE CONCRETE MIX MIX DESIGN:</t>
  </si>
  <si>
    <t>STRUCTURAL CONCRETE MIX DESIGN:</t>
  </si>
  <si>
    <t>SUB LABOR?</t>
  </si>
  <si>
    <t>UNIT SALE</t>
  </si>
  <si>
    <t>U/M</t>
  </si>
  <si>
    <t>LABOR  COST</t>
  </si>
  <si>
    <t>TOTAL SALES</t>
  </si>
  <si>
    <t>DIA</t>
  </si>
  <si>
    <t>DEPTH</t>
  </si>
  <si>
    <t>CY   CONC.</t>
  </si>
  <si>
    <t>STEEL WT</t>
  </si>
  <si>
    <t>FORMS</t>
  </si>
  <si>
    <t>SUPRVSN</t>
  </si>
  <si>
    <t>EQUIP.</t>
  </si>
  <si>
    <t>Lumber Material</t>
  </si>
  <si>
    <t>Description</t>
  </si>
  <si>
    <t>set up/pour</t>
  </si>
  <si>
    <t>Clean up</t>
  </si>
  <si>
    <t>1301 - Light Pole Bases</t>
  </si>
  <si>
    <t>1302 - Bollard / Landscape Light Bases</t>
  </si>
  <si>
    <t>1303 - Bike Rack (Installation)</t>
  </si>
  <si>
    <t>1304 - Pipe Bollards (Install Only)</t>
  </si>
  <si>
    <t>1305 -</t>
  </si>
  <si>
    <t>LABOR COST</t>
  </si>
  <si>
    <t>HEIGHT INCHES</t>
  </si>
  <si>
    <t>P.T. Cable Material</t>
  </si>
  <si>
    <t>1306 - Elevator Pits</t>
  </si>
  <si>
    <t>1307 - Elevator Water Proofing</t>
  </si>
  <si>
    <t>1308 - Monument Base (15' x 3' x 36")</t>
  </si>
  <si>
    <t>Cures / Sealers</t>
  </si>
  <si>
    <t xml:space="preserve">1309 - Bldg Transformer Pad </t>
  </si>
  <si>
    <t>Patch &amp; Grout Materials</t>
  </si>
  <si>
    <t>1310 - Transformer Pads (Three Phase)</t>
  </si>
  <si>
    <t>1311- Gate Track</t>
  </si>
  <si>
    <t>Panel Accessories</t>
  </si>
  <si>
    <t>Carton Forms Material</t>
  </si>
  <si>
    <t>CY CONC.</t>
  </si>
  <si>
    <t>Column Form Rental</t>
  </si>
  <si>
    <t>1312 - Trellis Ftgs</t>
  </si>
  <si>
    <t>Deck form Rental</t>
  </si>
  <si>
    <t>1313 -Gate Column Ftgs 3'x3'x2'</t>
  </si>
  <si>
    <t>Wall Form Rental</t>
  </si>
  <si>
    <t>1314 - Fire Pit Footings</t>
  </si>
  <si>
    <t>1315 - Site Wall Footing</t>
  </si>
  <si>
    <t>Supervision Expenses</t>
  </si>
  <si>
    <t>1316 - landscape Curb</t>
  </si>
  <si>
    <t>1317 - Call Box&amp; motor pad  Ftg</t>
  </si>
  <si>
    <t>1318 - Outdoor Prep counter</t>
  </si>
  <si>
    <t>1319 - Grill Footing (12" thick 369 sq ft)</t>
  </si>
  <si>
    <t>LNTH INCHES</t>
  </si>
  <si>
    <t>DEPTH INCHES</t>
  </si>
  <si>
    <t>1320 - Radon Pits</t>
  </si>
  <si>
    <t>In House Labor - Walks &amp; Site</t>
  </si>
  <si>
    <t>1321 - Stair Treads</t>
  </si>
  <si>
    <t>Sub Pumping</t>
  </si>
  <si>
    <t>1322 - Pour Back Block Outs (3' x 3')</t>
  </si>
  <si>
    <t>Sub Surveying</t>
  </si>
  <si>
    <t>1323 - ADA Ramps</t>
  </si>
  <si>
    <t>Sub Drilling</t>
  </si>
  <si>
    <t>1324-</t>
  </si>
  <si>
    <t>Sub Haul-Off Spoils</t>
  </si>
  <si>
    <t>1325-</t>
  </si>
  <si>
    <t>Sub Sawcutting/Sealing</t>
  </si>
  <si>
    <t>1326-</t>
  </si>
  <si>
    <t>Sub Demolition</t>
  </si>
  <si>
    <t>Sub Panel Drawings</t>
  </si>
  <si>
    <t>EXCLUSIONS</t>
  </si>
  <si>
    <t>Sub Labor Pier Caps</t>
  </si>
  <si>
    <t>Sub Labor</t>
  </si>
  <si>
    <t>Sub Labor Forming</t>
  </si>
  <si>
    <t>Sub Labor Grade, Poly, Reinf.</t>
  </si>
  <si>
    <t>Sub Labor Place &amp; Finish</t>
  </si>
  <si>
    <t>Sub Labor - Drops</t>
  </si>
  <si>
    <t>Sub Labor Strip Forms</t>
  </si>
  <si>
    <t>Sub Labor Piers</t>
  </si>
  <si>
    <t>Sub Labor Paving</t>
  </si>
  <si>
    <t>Sub Labor Metal Decks</t>
  </si>
  <si>
    <t>Sub Labor Walks</t>
  </si>
  <si>
    <t>Sub Labor Panels</t>
  </si>
  <si>
    <t>Sub Labor Curbs</t>
  </si>
  <si>
    <t>Sub Labor Columns</t>
  </si>
  <si>
    <t>Sub Labor - Elevator Pit</t>
  </si>
  <si>
    <t>Sub Labor - Footing</t>
  </si>
  <si>
    <t>Sub Labor Other</t>
  </si>
  <si>
    <t>Sub Labor Rebar Per Ton</t>
  </si>
  <si>
    <t>Equipment Rental</t>
  </si>
  <si>
    <t>Small Tools</t>
  </si>
  <si>
    <t>WALL DEMINSIONS</t>
  </si>
  <si>
    <t>OPENINGS</t>
  </si>
  <si>
    <t># EDGE BAR</t>
  </si>
  <si>
    <t># CNER BARS</t>
  </si>
  <si>
    <t>LBS OF STEEL/ PANEL</t>
  </si>
  <si>
    <t>CONCRETE CU. YDS.</t>
  </si>
  <si>
    <t>SQ FT EACH</t>
  </si>
  <si>
    <t>COST PER PANEL</t>
  </si>
  <si>
    <t>MIX DESIGN PANELS</t>
  </si>
  <si>
    <t>TOP  EL.</t>
  </si>
  <si>
    <t>BOT EL.</t>
  </si>
  <si>
    <t>LGTH FT</t>
  </si>
  <si>
    <t>WIDE FT</t>
  </si>
  <si>
    <t xml:space="preserve">ELE. </t>
  </si>
  <si>
    <t>TOTAL PANELS</t>
  </si>
  <si>
    <t>LN FT PERIMETER</t>
  </si>
  <si>
    <t>CARTON FORM</t>
  </si>
  <si>
    <t>2 X 6</t>
  </si>
  <si>
    <t>2 X 8</t>
  </si>
  <si>
    <t>PANEL LABOR</t>
  </si>
  <si>
    <t>SUP LABOR</t>
  </si>
  <si>
    <t>EQUIP,CONTRACT</t>
  </si>
  <si>
    <t>lbs / sqft</t>
  </si>
  <si>
    <t>/CU. YD.</t>
  </si>
  <si>
    <t>YDS.   =</t>
  </si>
  <si>
    <t>/ YD</t>
  </si>
  <si>
    <t>TBD</t>
  </si>
  <si>
    <t>CARTON FORM QUOTE</t>
  </si>
  <si>
    <t>DURROCK</t>
  </si>
  <si>
    <t>BRICK LEDGE</t>
  </si>
  <si>
    <t>REVEL</t>
  </si>
  <si>
    <t>BACK FILL</t>
  </si>
  <si>
    <t>CU YD</t>
  </si>
  <si>
    <t>CU/YD</t>
  </si>
  <si>
    <t>Bracing</t>
  </si>
  <si>
    <t>Pave Crete</t>
  </si>
  <si>
    <t>Special Materials</t>
  </si>
  <si>
    <t>units</t>
  </si>
  <si>
    <t>PANEL CHAIRS</t>
  </si>
  <si>
    <t>LIFTING INSERTS</t>
  </si>
  <si>
    <t>Compactor</t>
  </si>
  <si>
    <t>BRACING INSERTS</t>
  </si>
  <si>
    <t>/YARD</t>
  </si>
  <si>
    <t>YARDS</t>
  </si>
  <si>
    <t>PANEL ENG.</t>
  </si>
  <si>
    <t>ELEVATIONS</t>
  </si>
  <si>
    <t>YDS</t>
  </si>
  <si>
    <t>Units</t>
  </si>
  <si>
    <t>Tilt Wall Panel</t>
  </si>
  <si>
    <t>PT-SOG</t>
  </si>
  <si>
    <t>Slabs</t>
  </si>
  <si>
    <t>CIP EL. Deck</t>
  </si>
  <si>
    <t>Job Name:</t>
  </si>
  <si>
    <t>Job Address:</t>
  </si>
  <si>
    <t>subcontractor:</t>
  </si>
  <si>
    <t>signature</t>
  </si>
  <si>
    <t>total</t>
  </si>
  <si>
    <t>Scope</t>
  </si>
  <si>
    <t>unit price</t>
  </si>
  <si>
    <t>/ln ft</t>
  </si>
  <si>
    <t>/ ton</t>
  </si>
  <si>
    <t>Walls and footings</t>
  </si>
  <si>
    <t>/ton</t>
  </si>
  <si>
    <t>/yrd</t>
  </si>
  <si>
    <t>CIP Deck</t>
  </si>
  <si>
    <t>pipe bollards</t>
  </si>
  <si>
    <t>each</t>
  </si>
  <si>
    <t>elevator pits</t>
  </si>
  <si>
    <t>monument sign base</t>
  </si>
  <si>
    <t>gate track</t>
  </si>
  <si>
    <t>plate and bolt placement</t>
  </si>
  <si>
    <t>pier caps</t>
  </si>
  <si>
    <t>fence footins</t>
  </si>
  <si>
    <t>Light Duty parking</t>
  </si>
  <si>
    <t>Firelane</t>
  </si>
  <si>
    <t>Heavy Duty</t>
  </si>
  <si>
    <t>C1</t>
  </si>
  <si>
    <t>C2</t>
  </si>
  <si>
    <t>C3</t>
  </si>
  <si>
    <t>C4</t>
  </si>
  <si>
    <t>level 2</t>
  </si>
  <si>
    <t>l</t>
  </si>
  <si>
    <t>level 3</t>
  </si>
  <si>
    <t>Panel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</si>
</sst>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0">
    <numFmt numFmtId="164" formatCode="0.0000_)"/>
    <numFmt numFmtId="165" formatCode="[&lt;=9999999]###\-####;\(###&quot;) &quot;###\-####"/>
    <numFmt numFmtId="166" formatCode="mm/dd/yy"/>
    <numFmt numFmtId="167" formatCode="_(\$* #,##0.00_);_(\$* \(#,##0.00\);_(\$* \-??_);_(@_)"/>
    <numFmt numFmtId="168" formatCode="mm/dd/yy;@"/>
    <numFmt numFmtId="169" formatCode="0_)"/>
    <numFmt numFmtId="170" formatCode="\$#,##0.00_);[Red]&quot;($&quot;#,##0.00\)"/>
    <numFmt numFmtId="171" formatCode="m/d/yy"/>
    <numFmt numFmtId="172" formatCode="\$#,##0.00"/>
    <numFmt numFmtId="173" formatCode="#.##&quot; X&quot;"/>
    <numFmt numFmtId="174" formatCode="0&quot; ft&quot;"/>
    <numFmt numFmtId="175" formatCode="#.#&quot; X&quot;"/>
    <numFmt numFmtId="176" formatCode="\$#,##0.00_);&quot;($&quot;#,##0.00\)"/>
    <numFmt numFmtId="177" formatCode="_(\$* #,##0_);_(\$* \(#,##0\);_(\$* \-??_);_(@_)"/>
    <numFmt numFmtId="178" formatCode="0.00_)"/>
    <numFmt numFmtId="179" formatCode="_(* #,##0.00_);_(* \(#,##0.00\);_(* \-??_);_(@_)"/>
    <numFmt numFmtId="180" formatCode="0.0%"/>
    <numFmt numFmtId="181" formatCode="\$#,##0_);[Red]&quot;($&quot;#,##0\)"/>
    <numFmt numFmtId="182" formatCode="[$-409]mmmm\ d&quot;, &quot;yyyy;@"/>
    <numFmt numFmtId="183" formatCode="\$#,##0"/>
    <numFmt numFmtId="184" formatCode="0&quot; ea - &quot;"/>
    <numFmt numFmtId="185" formatCode="0_)&quot; in.dia&quot;"/>
    <numFmt numFmtId="186" formatCode="_(* #,##0_);_(* \(#,##0\);_(* \-_);_(@_)"/>
    <numFmt numFmtId="187" formatCode="_(\$* #,##0_);_(\$* \(#,##0\);_(\$* \-_);_(@_)"/>
    <numFmt numFmtId="188" formatCode="0&quot; ea&quot;"/>
    <numFmt numFmtId="189" formatCode="0&quot; LF&quot;"/>
    <numFmt numFmtId="190" formatCode="0&quot; 48in dia&quot;"/>
    <numFmt numFmtId="191" formatCode="_(* #,##0_);_(* \(#,##0\);_(* \-??_);_(@_)"/>
    <numFmt numFmtId="192" formatCode="0_)&quot; in&quot;"/>
    <numFmt numFmtId="193" formatCode="\$#,##0_);&quot;($&quot;#,##0\)"/>
    <numFmt numFmtId="194" formatCode="_(\$* #,##0.0_);_(\$* \(#,##0.0\);_(\$* \-??_);_(@_)"/>
    <numFmt numFmtId="195" formatCode="0.0000"/>
    <numFmt numFmtId="196" formatCode="000000.0_)"/>
    <numFmt numFmtId="197" formatCode="000000_)"/>
    <numFmt numFmtId="198" formatCode="0.0_)"/>
    <numFmt numFmtId="199" formatCode="_([$$-409]* #,##0.00_);_([$$-409]* \(#,##0.00\);_([$$-409]* \-??_);_(@_)"/>
    <numFmt numFmtId="200" formatCode="0000"/>
    <numFmt numFmtId="201" formatCode="0.0"/>
    <numFmt numFmtId="202" formatCode="_(\$* #,##0.0_);_(\$* \(#,##0.0\);_(\$* \-?_);_(@_)"/>
    <numFmt numFmtId="203" formatCode="0.00000"/>
    <numFmt numFmtId="204" formatCode="0&quot; ff&quot;"/>
    <numFmt numFmtId="205" formatCode="0&quot; lbs&quot;"/>
    <numFmt numFmtId="206" formatCode="0&quot; yds&quot;"/>
    <numFmt numFmtId="207" formatCode="_(* #,##0.00_);_(* \(#,##0.00\);_(* \-_);_(@_)"/>
    <numFmt numFmtId="208" formatCode="&quot;Bld  &quot;##."/>
    <numFmt numFmtId="209" formatCode="00.0_)"/>
    <numFmt numFmtId="210" formatCode="_(\$* #,##0.000000_);_(\$* \(#,##0.000000\);_(\$* \-??_);_(@_)"/>
    <numFmt numFmtId="211" formatCode="0.00&quot;  - ff/mh&quot;"/>
    <numFmt numFmtId="212" formatCode="0.000000"/>
    <numFmt numFmtId="213" formatCode="0.00&quot; -cy/mh&quot;"/>
    <numFmt numFmtId="214" formatCode="0_);\(0\)"/>
    <numFmt numFmtId="215" formatCode="0&quot;  mh&quot;"/>
    <numFmt numFmtId="216" formatCode="0.00&quot;  -ff/mh&quot;"/>
    <numFmt numFmtId="217" formatCode="_(* #,##0.0000_);_(* \(#,##0.0000\);_(* \-??_);_(@_)"/>
    <numFmt numFmtId="218" formatCode="0.000%"/>
    <numFmt numFmtId="219" formatCode="\$#,##0.00&quot; /hr&quot;"/>
    <numFmt numFmtId="220" formatCode="#,##0&quot; mh&quot;"/>
    <numFmt numFmtId="221" formatCode="0_)&quot; sf/hr&quot;"/>
    <numFmt numFmtId="222" formatCode="_(* #,##0.0_);_(* \(#,##0.0\);_(* \-?_);_(@_)"/>
    <numFmt numFmtId="223" formatCode="0.000"/>
  </numFmts>
  <fonts count="89">
    <font>
      <sz val="10"/>
      <name val="Arial"/>
      <charset val="1"/>
    </font>
    <font>
      <sz val="10"/>
      <name val="Arial"/>
      <family val="2"/>
      <charset val="1"/>
    </font>
    <font>
      <sz val="12"/>
      <name val="Courier New"/>
      <family val="3"/>
      <charset val="1"/>
    </font>
    <font>
      <b/>
      <sz val="12"/>
      <name val="Arial"/>
      <family val="2"/>
      <charset val="1"/>
    </font>
    <font>
      <sz val="12"/>
      <color theme="1"/>
      <name val="Arial"/>
      <family val="2"/>
      <charset val="1"/>
    </font>
    <font>
      <sz val="12"/>
      <name val="Arial"/>
      <family val="2"/>
      <charset val="1"/>
    </font>
    <font>
      <u/>
      <sz val="12"/>
      <color rgb="FF0000FF"/>
      <name val="Arial"/>
      <family val="2"/>
      <charset val="1"/>
    </font>
    <font>
      <u/>
      <sz val="10"/>
      <color rgb="FF0000FF"/>
      <name val="Arial"/>
      <family val="2"/>
      <charset val="1"/>
    </font>
    <font>
      <sz val="12"/>
      <color rgb="FF000000"/>
      <name val="Arial"/>
      <family val="2"/>
      <charset val="1"/>
    </font>
    <font>
      <b/>
      <sz val="14"/>
      <name val="Arial"/>
      <family val="2"/>
      <charset val="1"/>
    </font>
    <font>
      <b/>
      <sz val="10"/>
      <name val="Arial"/>
      <family val="2"/>
      <charset val="1"/>
    </font>
    <font>
      <sz val="11"/>
      <name val="Arial"/>
      <family val="2"/>
      <charset val="1"/>
    </font>
    <font>
      <sz val="10"/>
      <color rgb="FF000000"/>
      <name val="Arial"/>
      <family val="2"/>
      <charset val="1"/>
    </font>
    <font>
      <b/>
      <sz val="10"/>
      <color rgb="FF000000"/>
      <name val="Arial"/>
      <family val="2"/>
      <charset val="1"/>
    </font>
    <font>
      <sz val="10"/>
      <color rgb="FF00B0F0"/>
      <name val="Arial"/>
      <family val="2"/>
      <charset val="1"/>
    </font>
    <font>
      <sz val="12"/>
      <color rgb="FF191919"/>
      <name val="Arial"/>
      <family val="2"/>
      <charset val="1"/>
    </font>
    <font>
      <sz val="12"/>
      <color rgb="FF222222"/>
      <name val="Arial"/>
      <family val="2"/>
      <charset val="1"/>
    </font>
    <font>
      <sz val="12"/>
      <color theme="5" tint="0.39988402966399123"/>
      <name val="Arial"/>
      <family val="2"/>
      <charset val="1"/>
    </font>
    <font>
      <sz val="12"/>
      <color rgb="FF0000FF"/>
      <name val="Arial"/>
      <family val="2"/>
      <charset val="1"/>
    </font>
    <font>
      <b/>
      <sz val="12"/>
      <color rgb="FF000000"/>
      <name val="Arial"/>
      <family val="2"/>
      <charset val="1"/>
    </font>
    <font>
      <sz val="14"/>
      <name val="Arial"/>
      <family val="2"/>
      <charset val="1"/>
    </font>
    <font>
      <sz val="10"/>
      <color rgb="FFFF0000"/>
      <name val="Arial"/>
      <family val="2"/>
      <charset val="1"/>
    </font>
    <font>
      <sz val="14"/>
      <color theme="1"/>
      <name val="Century Schoolbook"/>
      <family val="1"/>
      <charset val="1"/>
    </font>
    <font>
      <sz val="11"/>
      <color theme="1"/>
      <name val="Century Schoolbook"/>
      <family val="1"/>
      <charset val="1"/>
    </font>
    <font>
      <b/>
      <u/>
      <sz val="14"/>
      <color theme="1"/>
      <name val="Century Schoolbook"/>
      <family val="1"/>
      <charset val="1"/>
    </font>
    <font>
      <b/>
      <u/>
      <sz val="11"/>
      <color theme="1"/>
      <name val="Century Schoolbook"/>
      <family val="1"/>
      <charset val="1"/>
    </font>
    <font>
      <b/>
      <i/>
      <sz val="12"/>
      <name val="Calibri"/>
      <family val="2"/>
      <charset val="1"/>
    </font>
    <font>
      <b/>
      <sz val="11"/>
      <color theme="1"/>
      <name val="Calibri"/>
      <family val="2"/>
      <charset val="1"/>
    </font>
    <font>
      <b/>
      <i/>
      <sz val="10"/>
      <name val="Arial"/>
      <family val="2"/>
      <charset val="1"/>
    </font>
    <font>
      <sz val="9"/>
      <name val="Copperplate Gothic Light"/>
      <family val="2"/>
      <charset val="1"/>
    </font>
    <font>
      <sz val="9"/>
      <name val="Engravers MT"/>
      <family val="1"/>
      <charset val="1"/>
    </font>
    <font>
      <sz val="8"/>
      <name val="Engravers MT"/>
      <family val="1"/>
      <charset val="1"/>
    </font>
    <font>
      <sz val="10"/>
      <name val="Copperplate Gothic Light"/>
      <family val="2"/>
      <charset val="1"/>
    </font>
    <font>
      <b/>
      <sz val="10"/>
      <name val="Copperplate Gothic Light"/>
      <family val="2"/>
      <charset val="1"/>
    </font>
    <font>
      <sz val="12"/>
      <name val="Times New Roman"/>
      <family val="1"/>
      <charset val="1"/>
    </font>
    <font>
      <b/>
      <sz val="9"/>
      <name val="Copperplate Gothic Light"/>
      <family val="2"/>
      <charset val="1"/>
    </font>
    <font>
      <sz val="9"/>
      <name val="Arial"/>
      <family val="2"/>
      <charset val="1"/>
    </font>
    <font>
      <b/>
      <sz val="10"/>
      <name val="Albertus Medium"/>
      <family val="2"/>
      <charset val="1"/>
    </font>
    <font>
      <b/>
      <sz val="10"/>
      <color rgb="FFFF0000"/>
      <name val="Arial"/>
      <family val="2"/>
      <charset val="1"/>
    </font>
    <font>
      <b/>
      <sz val="12"/>
      <name val="Times New Roman"/>
      <family val="1"/>
      <charset val="1"/>
    </font>
    <font>
      <i/>
      <sz val="12"/>
      <name val="Times New Roman"/>
      <family val="1"/>
      <charset val="1"/>
    </font>
    <font>
      <b/>
      <sz val="10"/>
      <color rgb="FFFF0000"/>
      <name val="Copperplate Gothic Light"/>
      <family val="2"/>
      <charset val="1"/>
    </font>
    <font>
      <sz val="10"/>
      <name val="Times New Roman"/>
      <family val="1"/>
      <charset val="1"/>
    </font>
    <font>
      <sz val="11"/>
      <name val="Copperplate Gothic Light"/>
      <family val="2"/>
      <charset val="1"/>
    </font>
    <font>
      <b/>
      <sz val="11"/>
      <name val="Copperplate Gothic Light"/>
      <family val="2"/>
      <charset val="1"/>
    </font>
    <font>
      <b/>
      <sz val="10"/>
      <name val="Engravers MT"/>
      <family val="1"/>
      <charset val="1"/>
    </font>
    <font>
      <b/>
      <u/>
      <sz val="10"/>
      <name val="Copperplate Gothic Light"/>
      <family val="2"/>
      <charset val="1"/>
    </font>
    <font>
      <u/>
      <sz val="10"/>
      <name val="Copperplate Gothic Light"/>
      <family val="2"/>
      <charset val="1"/>
    </font>
    <font>
      <i/>
      <sz val="10"/>
      <name val="Copperplate Gothic Light"/>
      <family val="2"/>
      <charset val="1"/>
    </font>
    <font>
      <sz val="10"/>
      <name val="Engravers MT"/>
      <family val="1"/>
      <charset val="1"/>
    </font>
    <font>
      <i/>
      <sz val="10"/>
      <name val="Arial"/>
      <family val="2"/>
      <charset val="1"/>
    </font>
    <font>
      <b/>
      <sz val="10"/>
      <color rgb="FF663300"/>
      <name val="Copperplate Gothic Light"/>
      <family val="2"/>
      <charset val="1"/>
    </font>
    <font>
      <sz val="10"/>
      <color rgb="FF663300"/>
      <name val="Copperplate Gothic Light"/>
      <family val="2"/>
      <charset val="1"/>
    </font>
    <font>
      <b/>
      <sz val="12"/>
      <name val="Copperplate Gothic Light"/>
      <family val="2"/>
      <charset val="1"/>
    </font>
    <font>
      <b/>
      <u/>
      <sz val="11"/>
      <name val="Times New Roman"/>
      <family val="1"/>
      <charset val="1"/>
    </font>
    <font>
      <sz val="10"/>
      <name val="Symbol"/>
      <family val="1"/>
      <charset val="2"/>
    </font>
    <font>
      <sz val="7"/>
      <name val="Times New Roman"/>
      <family val="1"/>
      <charset val="1"/>
    </font>
    <font>
      <sz val="10"/>
      <color rgb="FF000000"/>
      <name val="Times New Roman"/>
      <family val="1"/>
      <charset val="1"/>
    </font>
    <font>
      <sz val="10"/>
      <color rgb="FF000000"/>
      <name val="Symbol"/>
      <family val="1"/>
      <charset val="2"/>
    </font>
    <font>
      <sz val="7"/>
      <color rgb="FF000000"/>
      <name val="Times New Roman"/>
      <family val="1"/>
      <charset val="1"/>
    </font>
    <font>
      <b/>
      <sz val="11"/>
      <color rgb="FF000000"/>
      <name val="Times New Roman"/>
      <family val="1"/>
      <charset val="1"/>
    </font>
    <font>
      <sz val="8"/>
      <name val="Arial"/>
      <family val="2"/>
      <charset val="1"/>
    </font>
    <font>
      <b/>
      <sz val="16"/>
      <color rgb="FFFF0000"/>
      <name val="Arial"/>
      <family val="2"/>
      <charset val="1"/>
    </font>
    <font>
      <sz val="11"/>
      <color theme="1"/>
      <name val="Arial"/>
      <family val="2"/>
      <charset val="1"/>
    </font>
    <font>
      <sz val="10"/>
      <color theme="1"/>
      <name val="Arial"/>
      <family val="2"/>
      <charset val="1"/>
    </font>
    <font>
      <b/>
      <sz val="12"/>
      <color rgb="FFFF0000"/>
      <name val="Arial"/>
      <family val="2"/>
      <charset val="1"/>
    </font>
    <font>
      <b/>
      <sz val="9"/>
      <name val="Arial"/>
      <family val="2"/>
      <charset val="1"/>
    </font>
    <font>
      <sz val="18"/>
      <name val="Arial"/>
      <family val="2"/>
      <charset val="1"/>
    </font>
    <font>
      <sz val="16"/>
      <name val="Arial"/>
      <family val="2"/>
      <charset val="1"/>
    </font>
    <font>
      <sz val="10"/>
      <color rgb="FFC0C0C0"/>
      <name val="Arial"/>
      <family val="2"/>
      <charset val="1"/>
    </font>
    <font>
      <b/>
      <sz val="16"/>
      <name val="Arial"/>
      <family val="2"/>
      <charset val="1"/>
    </font>
    <font>
      <sz val="11"/>
      <color rgb="FFFF0000"/>
      <name val="Arial"/>
      <family val="2"/>
      <charset val="1"/>
    </font>
    <font>
      <sz val="12"/>
      <color rgb="FFFF0000"/>
      <name val="Arial"/>
      <family val="2"/>
      <charset val="1"/>
    </font>
    <font>
      <b/>
      <sz val="11"/>
      <name val="Arial"/>
      <family val="2"/>
      <charset val="1"/>
    </font>
    <font>
      <sz val="12"/>
      <color rgb="FF000000"/>
      <name val="Times New Roman"/>
      <family val="1"/>
      <charset val="1"/>
    </font>
    <font>
      <b/>
      <sz val="12"/>
      <color rgb="FF969696"/>
      <name val="Arial"/>
      <family val="2"/>
      <charset val="1"/>
    </font>
    <font>
      <sz val="11"/>
      <color rgb="FF9C0006"/>
      <name val="Calibri"/>
      <family val="2"/>
      <charset val="1"/>
    </font>
    <font>
      <sz val="12"/>
      <color rgb="FF002060"/>
      <name val="Arial"/>
      <family val="2"/>
      <charset val="1"/>
    </font>
    <font>
      <sz val="12"/>
      <color rgb="FF0000FF"/>
      <name val="Arial"/>
      <family val="2"/>
      <charset val="1"/>
    </font>
    <font>
      <b/>
      <sz val="12"/>
      <color theme="1" tint="4.9897762993255407E-2"/>
      <name val="Arial"/>
      <family val="2"/>
      <charset val="1"/>
    </font>
    <font>
      <b/>
      <sz val="12"/>
      <color rgb="FF002060"/>
      <name val="Arial"/>
      <family val="2"/>
      <charset val="1"/>
    </font>
    <font>
      <i/>
      <sz val="12"/>
      <name val="Arial"/>
      <family val="2"/>
      <charset val="1"/>
    </font>
    <font>
      <sz val="10"/>
      <name val="Arial"/>
      <family val="2"/>
    </font>
    <font>
      <b/>
      <sz val="12"/>
      <color theme="1"/>
      <name val="Arial"/>
      <family val="2"/>
      <charset val="1"/>
    </font>
    <font>
      <sz val="12"/>
      <color theme="5"/>
      <name val="Arial"/>
      <family val="2"/>
      <charset val="1"/>
    </font>
    <font>
      <b/>
      <sz val="12"/>
      <color theme="0" tint="-0.14999847407452621"/>
      <name val="Arial"/>
      <family val="2"/>
      <charset val="1"/>
    </font>
    <font>
      <b/>
      <sz val="12"/>
      <color theme="5"/>
      <name val="Arial"/>
      <family val="2"/>
      <charset val="1"/>
    </font>
    <font>
      <sz val="10"/>
      <name val="Arial"/>
      <charset val="1"/>
    </font>
    <font>
      <sz val="11"/>
      <color rgb="FF000000"/>
      <name val="Calibri"/>
      <family val="2"/>
    </font>
  </fonts>
  <fills count="46">
    <fill>
      <patternFill patternType="none"/>
    </fill>
    <fill>
      <patternFill patternType="gray125"/>
    </fill>
    <fill>
      <patternFill patternType="solid">
        <fgColor rgb="FFFFC7CE"/>
        <bgColor rgb="FFFCD5B5"/>
      </patternFill>
    </fill>
    <fill>
      <patternFill patternType="solid">
        <fgColor rgb="FFFFFF99"/>
        <bgColor rgb="FFFFFFC0"/>
      </patternFill>
    </fill>
    <fill>
      <patternFill patternType="solid">
        <fgColor rgb="FFFFFFCC"/>
        <bgColor rgb="FFFFFFC0"/>
      </patternFill>
    </fill>
    <fill>
      <patternFill patternType="solid">
        <fgColor theme="0" tint="-0.14999847407452621"/>
        <bgColor rgb="FFDDD9C3"/>
      </patternFill>
    </fill>
    <fill>
      <patternFill patternType="solid">
        <fgColor rgb="FFE3E3E3"/>
        <bgColor rgb="FFDCE6F2"/>
      </patternFill>
    </fill>
    <fill>
      <patternFill patternType="solid">
        <fgColor theme="9" tint="0.79989013336588644"/>
        <bgColor rgb="FFF6E7E6"/>
      </patternFill>
    </fill>
    <fill>
      <patternFill patternType="solid">
        <fgColor rgb="FFFFFF00"/>
        <bgColor rgb="FFFFC000"/>
      </patternFill>
    </fill>
    <fill>
      <patternFill patternType="solid">
        <fgColor rgb="FFFFFFFF"/>
        <bgColor rgb="FFFEF4EC"/>
      </patternFill>
    </fill>
    <fill>
      <patternFill patternType="solid">
        <fgColor theme="5" tint="0.59987182226020086"/>
        <bgColor rgb="FFFAC090"/>
      </patternFill>
    </fill>
    <fill>
      <patternFill patternType="solid">
        <fgColor rgb="FFFFC000"/>
        <bgColor rgb="FFFAC090"/>
      </patternFill>
    </fill>
    <fill>
      <patternFill patternType="solid">
        <fgColor theme="4" tint="0.59987182226020086"/>
        <bgColor rgb="FFB7DEE8"/>
      </patternFill>
    </fill>
    <fill>
      <patternFill patternType="solid">
        <fgColor theme="8" tint="0.59987182226020086"/>
        <bgColor rgb="FFB9CDE5"/>
      </patternFill>
    </fill>
    <fill>
      <patternFill patternType="solid">
        <fgColor rgb="FFC0C0C0"/>
        <bgColor rgb="FFBFBFBF"/>
      </patternFill>
    </fill>
    <fill>
      <patternFill patternType="solid">
        <fgColor rgb="FFCCFFCC"/>
        <bgColor rgb="FFE5FFE5"/>
      </patternFill>
    </fill>
    <fill>
      <patternFill patternType="solid">
        <fgColor theme="9" tint="0.39988402966399123"/>
        <bgColor rgb="FFE6B9B8"/>
      </patternFill>
    </fill>
    <fill>
      <patternFill patternType="solid">
        <fgColor rgb="FFFF0000"/>
        <bgColor rgb="FF9C0006"/>
      </patternFill>
    </fill>
    <fill>
      <patternFill patternType="solid">
        <fgColor rgb="FFFFFFC0"/>
        <bgColor rgb="FFFFFFCC"/>
      </patternFill>
    </fill>
    <fill>
      <patternFill patternType="mediumGray">
        <fgColor theme="3" tint="0.59987182226020086"/>
        <bgColor rgb="FFB9CDE5"/>
      </patternFill>
    </fill>
    <fill>
      <patternFill patternType="solid">
        <fgColor theme="9" tint="0.59987182226020086"/>
        <bgColor rgb="FFFFC7CE"/>
      </patternFill>
    </fill>
    <fill>
      <patternFill patternType="solid">
        <fgColor rgb="FF99FF99"/>
        <bgColor rgb="FFCCFFCC"/>
      </patternFill>
    </fill>
    <fill>
      <patternFill patternType="solid">
        <fgColor rgb="FF69FFFF"/>
        <bgColor rgb="FF66FFFF"/>
      </patternFill>
    </fill>
    <fill>
      <patternFill patternType="solid">
        <fgColor rgb="FF66FFFF"/>
        <bgColor rgb="FF69FFFF"/>
      </patternFill>
    </fill>
    <fill>
      <patternFill patternType="solid">
        <fgColor theme="8" tint="0.79989013336588644"/>
        <bgColor rgb="FFDFF1F5"/>
      </patternFill>
    </fill>
    <fill>
      <patternFill patternType="solid">
        <fgColor theme="1" tint="0.3498947111423078"/>
        <bgColor rgb="FF996666"/>
      </patternFill>
    </fill>
    <fill>
      <patternFill patternType="solid">
        <fgColor rgb="FFF76C65"/>
        <bgColor rgb="FFC0504D"/>
      </patternFill>
    </fill>
    <fill>
      <patternFill patternType="solid">
        <fgColor theme="2" tint="-0.249977111117893"/>
        <bgColor rgb="FFBFBFBF"/>
      </patternFill>
    </fill>
    <fill>
      <patternFill patternType="solid">
        <fgColor theme="4" tint="0.79989013336588644"/>
        <bgColor rgb="FFDBEEF4"/>
      </patternFill>
    </fill>
    <fill>
      <patternFill patternType="solid">
        <fgColor theme="5" tint="0.79989013336588644"/>
        <bgColor rgb="FFF6E7E6"/>
      </patternFill>
    </fill>
    <fill>
      <patternFill patternType="solid">
        <fgColor rgb="FF996666"/>
        <bgColor rgb="FF7F7F7F"/>
      </patternFill>
    </fill>
    <fill>
      <patternFill patternType="solid">
        <fgColor theme="6" tint="0.79989013336588644"/>
        <bgColor rgb="FFEEECE1"/>
      </patternFill>
    </fill>
    <fill>
      <patternFill patternType="solid">
        <fgColor theme="6" tint="0.59987182226020086"/>
        <bgColor rgb="FFDDD9C3"/>
      </patternFill>
    </fill>
    <fill>
      <patternFill patternType="solid">
        <fgColor theme="1" tint="0.49989318521683401"/>
        <bgColor rgb="FF808080"/>
      </patternFill>
    </fill>
    <fill>
      <patternFill patternType="solid">
        <fgColor theme="0" tint="-0.249977111117893"/>
        <bgColor rgb="FFC0C0C0"/>
      </patternFill>
    </fill>
    <fill>
      <patternFill patternType="solid">
        <fgColor theme="0" tint="-4.9989318521683403E-2"/>
        <bgColor rgb="FFEDEAF2"/>
      </patternFill>
    </fill>
    <fill>
      <patternFill patternType="solid">
        <fgColor theme="2" tint="-9.9978637043366805E-2"/>
        <bgColor rgb="FFD9D9D9"/>
      </patternFill>
    </fill>
    <fill>
      <patternFill patternType="solid">
        <fgColor theme="0" tint="-0.34998626667073579"/>
        <bgColor rgb="FF969696"/>
      </patternFill>
    </fill>
    <fill>
      <patternFill patternType="solid">
        <fgColor theme="7" tint="0.59987182226020086"/>
        <bgColor rgb="FFC0C0C0"/>
      </patternFill>
    </fill>
    <fill>
      <patternFill patternType="solid">
        <fgColor rgb="FFDFF1F5"/>
        <bgColor rgb="FFDBEEF4"/>
      </patternFill>
    </fill>
    <fill>
      <patternFill patternType="solid">
        <fgColor rgb="FFEDEAF2"/>
        <bgColor rgb="FFEEECE1"/>
      </patternFill>
    </fill>
    <fill>
      <patternFill patternType="solid">
        <fgColor rgb="FFF6E7E6"/>
        <bgColor rgb="FFFDEADA"/>
      </patternFill>
    </fill>
    <fill>
      <patternFill patternType="solid">
        <fgColor rgb="FFE5FFE5"/>
        <bgColor rgb="FFEBF1DE"/>
      </patternFill>
    </fill>
    <fill>
      <patternFill patternType="solid">
        <fgColor rgb="FFFEF4EC"/>
        <bgColor rgb="FFF2F2F2"/>
      </patternFill>
    </fill>
    <fill>
      <patternFill patternType="solid">
        <fgColor theme="2"/>
        <bgColor rgb="FFEBF1DE"/>
      </patternFill>
    </fill>
    <fill>
      <patternFill patternType="solid">
        <fgColor theme="0" tint="-0.499984740745262"/>
        <bgColor rgb="FF7F7F7F"/>
      </patternFill>
    </fill>
  </fills>
  <borders count="151">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double">
        <color auto="1"/>
      </bottom>
      <diagonal/>
    </border>
    <border>
      <left/>
      <right/>
      <top style="medium">
        <color auto="1"/>
      </top>
      <bottom style="double">
        <color auto="1"/>
      </bottom>
      <diagonal/>
    </border>
    <border>
      <left/>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thin">
        <color auto="1"/>
      </right>
      <top/>
      <bottom/>
      <diagonal/>
    </border>
    <border>
      <left style="thin">
        <color auto="1"/>
      </left>
      <right style="thin">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top/>
      <bottom/>
      <diagonal/>
    </border>
    <border>
      <left style="thin">
        <color auto="1"/>
      </left>
      <right/>
      <top/>
      <bottom style="medium">
        <color auto="1"/>
      </bottom>
      <diagonal/>
    </border>
    <border>
      <left/>
      <right/>
      <top/>
      <bottom style="double">
        <color auto="1"/>
      </bottom>
      <diagonal/>
    </border>
    <border>
      <left/>
      <right/>
      <top style="double">
        <color auto="1"/>
      </top>
      <bottom/>
      <diagonal/>
    </border>
    <border>
      <left/>
      <right/>
      <top style="thin">
        <color auto="1"/>
      </top>
      <bottom/>
      <diagonal/>
    </border>
    <border>
      <left/>
      <right style="thin">
        <color auto="1"/>
      </right>
      <top style="medium">
        <color auto="1"/>
      </top>
      <bottom/>
      <diagonal/>
    </border>
    <border>
      <left style="thin">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right style="thin">
        <color auto="1"/>
      </right>
      <top/>
      <bottom/>
      <diagonal/>
    </border>
    <border>
      <left style="thin">
        <color auto="1"/>
      </left>
      <right/>
      <top style="thin">
        <color auto="1"/>
      </top>
      <bottom style="thin">
        <color auto="1"/>
      </bottom>
      <diagonal/>
    </border>
    <border>
      <left style="medium">
        <color auto="1"/>
      </left>
      <right style="medium">
        <color auto="1"/>
      </right>
      <top style="thin">
        <color auto="1"/>
      </top>
      <bottom style="thin">
        <color auto="1"/>
      </bottom>
      <diagonal/>
    </border>
    <border>
      <left/>
      <right/>
      <top style="medium">
        <color auto="1"/>
      </top>
      <bottom style="thin">
        <color rgb="FFFF0000"/>
      </bottom>
      <diagonal/>
    </border>
    <border>
      <left/>
      <right style="medium">
        <color auto="1"/>
      </right>
      <top style="medium">
        <color auto="1"/>
      </top>
      <bottom style="thin">
        <color rgb="FFFF0000"/>
      </bottom>
      <diagonal/>
    </border>
    <border>
      <left/>
      <right style="medium">
        <color auto="1"/>
      </right>
      <top style="thin">
        <color rgb="FFFF0000"/>
      </top>
      <bottom style="thin">
        <color rgb="FFFF0000"/>
      </bottom>
      <diagonal/>
    </border>
    <border>
      <left/>
      <right style="thin">
        <color auto="1"/>
      </right>
      <top/>
      <bottom style="medium">
        <color auto="1"/>
      </bottom>
      <diagonal/>
    </border>
    <border>
      <left style="thin">
        <color auto="1"/>
      </left>
      <right/>
      <top style="thin">
        <color auto="1"/>
      </top>
      <bottom style="medium">
        <color auto="1"/>
      </bottom>
      <diagonal/>
    </border>
    <border>
      <left style="medium">
        <color auto="1"/>
      </left>
      <right style="medium">
        <color auto="1"/>
      </right>
      <top style="thin">
        <color auto="1"/>
      </top>
      <bottom style="medium">
        <color auto="1"/>
      </bottom>
      <diagonal/>
    </border>
    <border>
      <left/>
      <right style="medium">
        <color auto="1"/>
      </right>
      <top style="thin">
        <color rgb="FFFF0000"/>
      </top>
      <bottom style="medium">
        <color auto="1"/>
      </bottom>
      <diagonal/>
    </border>
    <border>
      <left style="thin">
        <color auto="1"/>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diagonal/>
    </border>
    <border>
      <left style="medium">
        <color auto="1"/>
      </left>
      <right/>
      <top/>
      <bottom style="double">
        <color auto="1"/>
      </bottom>
      <diagonal/>
    </border>
    <border>
      <left style="thin">
        <color auto="1"/>
      </left>
      <right style="thin">
        <color auto="1"/>
      </right>
      <top/>
      <bottom style="double">
        <color auto="1"/>
      </bottom>
      <diagonal/>
    </border>
    <border>
      <left/>
      <right style="medium">
        <color auto="1"/>
      </right>
      <top/>
      <bottom style="double">
        <color auto="1"/>
      </bottom>
      <diagonal/>
    </border>
    <border>
      <left style="thin">
        <color auto="1"/>
      </left>
      <right style="medium">
        <color auto="1"/>
      </right>
      <top/>
      <bottom style="double">
        <color auto="1"/>
      </bottom>
      <diagonal/>
    </border>
    <border>
      <left style="medium">
        <color auto="1"/>
      </left>
      <right style="medium">
        <color auto="1"/>
      </right>
      <top/>
      <bottom style="double">
        <color auto="1"/>
      </bottom>
      <diagonal/>
    </border>
    <border>
      <left style="thin">
        <color auto="1"/>
      </left>
      <right style="thin">
        <color auto="1"/>
      </right>
      <top style="double">
        <color auto="1"/>
      </top>
      <bottom/>
      <diagonal/>
    </border>
    <border>
      <left/>
      <right style="thin">
        <color auto="1"/>
      </right>
      <top style="double">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right style="medium">
        <color auto="1"/>
      </right>
      <top/>
      <bottom style="thin">
        <color auto="1"/>
      </bottom>
      <diagonal/>
    </border>
    <border>
      <left style="medium">
        <color auto="1"/>
      </left>
      <right/>
      <top/>
      <bottom style="thin">
        <color auto="1"/>
      </bottom>
      <diagonal/>
    </border>
    <border>
      <left style="medium">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diagonal/>
    </border>
    <border>
      <left style="thin">
        <color auto="1"/>
      </left>
      <right/>
      <top/>
      <bottom style="thin">
        <color auto="1"/>
      </bottom>
      <diagonal/>
    </border>
    <border>
      <left style="medium">
        <color auto="1"/>
      </left>
      <right style="thin">
        <color auto="1"/>
      </right>
      <top/>
      <bottom style="thin">
        <color auto="1"/>
      </bottom>
      <diagonal/>
    </border>
    <border>
      <left/>
      <right style="medium">
        <color auto="1"/>
      </right>
      <top style="thin">
        <color auto="1"/>
      </top>
      <bottom style="thin">
        <color auto="1"/>
      </bottom>
      <diagonal/>
    </border>
    <border>
      <left/>
      <right style="thin">
        <color auto="1"/>
      </right>
      <top/>
      <bottom style="double">
        <color auto="1"/>
      </bottom>
      <diagonal/>
    </border>
    <border>
      <left style="medium">
        <color auto="1"/>
      </left>
      <right style="thin">
        <color auto="1"/>
      </right>
      <top style="thin">
        <color auto="1"/>
      </top>
      <bottom style="double">
        <color auto="1"/>
      </bottom>
      <diagonal/>
    </border>
    <border>
      <left/>
      <right style="medium">
        <color auto="1"/>
      </right>
      <top style="thin">
        <color auto="1"/>
      </top>
      <bottom style="double">
        <color auto="1"/>
      </bottom>
      <diagonal/>
    </border>
    <border>
      <left style="thin">
        <color auto="1"/>
      </left>
      <right style="thin">
        <color auto="1"/>
      </right>
      <top style="double">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medium">
        <color auto="1"/>
      </right>
      <top style="double">
        <color auto="1"/>
      </top>
      <bottom style="thin">
        <color auto="1"/>
      </bottom>
      <diagonal/>
    </border>
    <border>
      <left style="medium">
        <color auto="1"/>
      </left>
      <right style="thin">
        <color auto="1"/>
      </right>
      <top style="double">
        <color auto="1"/>
      </top>
      <bottom style="thin">
        <color auto="1"/>
      </bottom>
      <diagonal/>
    </border>
    <border>
      <left style="thin">
        <color auto="1"/>
      </left>
      <right/>
      <top/>
      <bottom style="double">
        <color auto="1"/>
      </bottom>
      <diagonal/>
    </border>
    <border>
      <left style="medium">
        <color auto="1"/>
      </left>
      <right style="thin">
        <color auto="1"/>
      </right>
      <top/>
      <bottom style="double">
        <color auto="1"/>
      </bottom>
      <diagonal/>
    </border>
    <border>
      <left/>
      <right/>
      <top style="double">
        <color auto="1"/>
      </top>
      <bottom style="double">
        <color auto="1"/>
      </bottom>
      <diagonal/>
    </border>
    <border>
      <left/>
      <right style="thin">
        <color auto="1"/>
      </right>
      <top/>
      <bottom style="thin">
        <color auto="1"/>
      </bottom>
      <diagonal/>
    </border>
    <border>
      <left style="thin">
        <color auto="1"/>
      </left>
      <right/>
      <top style="thin">
        <color auto="1"/>
      </top>
      <bottom style="double">
        <color auto="1"/>
      </bottom>
      <diagonal/>
    </border>
    <border>
      <left style="thin">
        <color auto="1"/>
      </left>
      <right style="thin">
        <color auto="1"/>
      </right>
      <top style="thin">
        <color auto="1"/>
      </top>
      <bottom style="double">
        <color auto="1"/>
      </bottom>
      <diagonal/>
    </border>
    <border>
      <left/>
      <right/>
      <top style="thin">
        <color auto="1"/>
      </top>
      <bottom style="double">
        <color auto="1"/>
      </bottom>
      <diagonal/>
    </border>
    <border>
      <left/>
      <right style="medium">
        <color auto="1"/>
      </right>
      <top style="double">
        <color auto="1"/>
      </top>
      <bottom style="double">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medium">
        <color auto="1"/>
      </left>
      <right style="medium">
        <color auto="1"/>
      </right>
      <top style="medium">
        <color auto="1"/>
      </top>
      <bottom style="double">
        <color auto="1"/>
      </bottom>
      <diagonal/>
    </border>
    <border>
      <left/>
      <right style="thin">
        <color auto="1"/>
      </right>
      <top style="medium">
        <color auto="1"/>
      </top>
      <bottom style="double">
        <color auto="1"/>
      </bottom>
      <diagonal/>
    </border>
    <border>
      <left/>
      <right style="medium">
        <color auto="1"/>
      </right>
      <top style="medium">
        <color auto="1"/>
      </top>
      <bottom style="double">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double">
        <color auto="1"/>
      </top>
      <bottom/>
      <diagonal/>
    </border>
    <border>
      <left style="medium">
        <color auto="1"/>
      </left>
      <right style="medium">
        <color auto="1"/>
      </right>
      <top style="thin">
        <color auto="1"/>
      </top>
      <bottom style="double">
        <color auto="1"/>
      </bottom>
      <diagonal/>
    </border>
    <border>
      <left style="thin">
        <color auto="1"/>
      </left>
      <right/>
      <top style="double">
        <color auto="1"/>
      </top>
      <bottom/>
      <diagonal/>
    </border>
    <border>
      <left/>
      <right style="medium">
        <color auto="1"/>
      </right>
      <top style="double">
        <color auto="1"/>
      </top>
      <bottom/>
      <diagonal/>
    </border>
    <border>
      <left style="thin">
        <color auto="1"/>
      </left>
      <right style="thin">
        <color auto="1"/>
      </right>
      <top style="medium">
        <color auto="1"/>
      </top>
      <bottom style="thin">
        <color auto="1"/>
      </bottom>
      <diagonal/>
    </border>
    <border>
      <left style="thin">
        <color auto="1"/>
      </left>
      <right/>
      <top style="medium">
        <color auto="1"/>
      </top>
      <bottom/>
      <diagonal/>
    </border>
    <border>
      <left style="medium">
        <color auto="1"/>
      </left>
      <right style="thin">
        <color auto="1"/>
      </right>
      <top style="thin">
        <color auto="1"/>
      </top>
      <bottom/>
      <diagonal/>
    </border>
    <border>
      <left/>
      <right/>
      <top style="thick">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right style="thin">
        <color auto="1"/>
      </right>
      <top style="double">
        <color auto="1"/>
      </top>
      <bottom style="medium">
        <color auto="1"/>
      </bottom>
      <diagonal/>
    </border>
    <border>
      <left style="thin">
        <color auto="1"/>
      </left>
      <right/>
      <top style="double">
        <color auto="1"/>
      </top>
      <bottom style="medium">
        <color auto="1"/>
      </bottom>
      <diagonal/>
    </border>
    <border>
      <left/>
      <right style="medium">
        <color auto="1"/>
      </right>
      <top style="double">
        <color auto="1"/>
      </top>
      <bottom style="medium">
        <color auto="1"/>
      </bottom>
      <diagonal/>
    </border>
    <border>
      <left/>
      <right style="thin">
        <color auto="1"/>
      </right>
      <top style="thin">
        <color auto="1"/>
      </top>
      <bottom style="medium">
        <color auto="1"/>
      </bottom>
      <diagonal/>
    </border>
    <border>
      <left/>
      <right style="thin">
        <color auto="1"/>
      </right>
      <top style="thin">
        <color auto="1"/>
      </top>
      <bottom style="double">
        <color auto="1"/>
      </bottom>
      <diagonal/>
    </border>
    <border>
      <left/>
      <right style="medium">
        <color auto="1"/>
      </right>
      <top style="thin">
        <color auto="1"/>
      </top>
      <bottom/>
      <diagonal/>
    </border>
    <border>
      <left style="thin">
        <color auto="1"/>
      </left>
      <right style="medium">
        <color auto="1"/>
      </right>
      <top/>
      <bottom style="thin">
        <color auto="1"/>
      </bottom>
      <diagonal/>
    </border>
    <border>
      <left/>
      <right style="thin">
        <color auto="1"/>
      </right>
      <top style="medium">
        <color auto="1"/>
      </top>
      <bottom style="thin">
        <color auto="1"/>
      </bottom>
      <diagonal/>
    </border>
    <border>
      <left style="medium">
        <color auto="1"/>
      </left>
      <right style="medium">
        <color auto="1"/>
      </right>
      <top style="thin">
        <color auto="1"/>
      </top>
      <bottom/>
      <diagonal/>
    </border>
    <border>
      <left style="thin">
        <color auto="1"/>
      </left>
      <right/>
      <top style="double">
        <color auto="1"/>
      </top>
      <bottom style="double">
        <color auto="1"/>
      </bottom>
      <diagonal/>
    </border>
    <border>
      <left/>
      <right/>
      <top style="double">
        <color auto="1"/>
      </top>
      <bottom style="medium">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style="thin">
        <color auto="1"/>
      </right>
      <top style="thick">
        <color auto="1"/>
      </top>
      <bottom/>
      <diagonal/>
    </border>
    <border>
      <left style="medium">
        <color auto="1"/>
      </left>
      <right/>
      <top style="thin">
        <color auto="1"/>
      </top>
      <bottom/>
      <diagonal/>
    </border>
    <border>
      <left style="medium">
        <color auto="1"/>
      </left>
      <right style="medium">
        <color auto="1"/>
      </right>
      <top style="double">
        <color auto="1"/>
      </top>
      <bottom style="thin">
        <color auto="1"/>
      </bottom>
      <diagonal/>
    </border>
    <border>
      <left style="medium">
        <color auto="1"/>
      </left>
      <right/>
      <top style="medium">
        <color auto="1"/>
      </top>
      <bottom style="hair">
        <color auto="1"/>
      </bottom>
      <diagonal/>
    </border>
    <border>
      <left/>
      <right style="thin">
        <color auto="1"/>
      </right>
      <top style="medium">
        <color auto="1"/>
      </top>
      <bottom style="hair">
        <color auto="1"/>
      </bottom>
      <diagonal/>
    </border>
    <border>
      <left style="thin">
        <color auto="1"/>
      </left>
      <right style="thin">
        <color auto="1"/>
      </right>
      <top style="medium">
        <color auto="1"/>
      </top>
      <bottom style="hair">
        <color auto="1"/>
      </bottom>
      <diagonal/>
    </border>
    <border>
      <left style="thin">
        <color auto="1"/>
      </left>
      <right/>
      <top style="medium">
        <color auto="1"/>
      </top>
      <bottom style="hair">
        <color auto="1"/>
      </bottom>
      <diagonal/>
    </border>
    <border>
      <left/>
      <right/>
      <top style="medium">
        <color auto="1"/>
      </top>
      <bottom style="hair">
        <color auto="1"/>
      </bottom>
      <diagonal/>
    </border>
    <border>
      <left style="medium">
        <color auto="1"/>
      </left>
      <right/>
      <top style="hair">
        <color auto="1"/>
      </top>
      <bottom style="hair">
        <color auto="1"/>
      </bottom>
      <diagonal/>
    </border>
    <border>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medium">
        <color auto="1"/>
      </left>
      <right/>
      <top style="hair">
        <color auto="1"/>
      </top>
      <bottom style="medium">
        <color auto="1"/>
      </bottom>
      <diagonal/>
    </border>
    <border>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top style="hair">
        <color auto="1"/>
      </top>
      <bottom style="medium">
        <color auto="1"/>
      </bottom>
      <diagonal/>
    </border>
    <border>
      <left/>
      <right/>
      <top/>
      <bottom style="thick">
        <color auto="1"/>
      </bottom>
      <diagonal/>
    </border>
    <border>
      <left style="medium">
        <color auto="1"/>
      </left>
      <right/>
      <top style="double">
        <color auto="1"/>
      </top>
      <bottom style="thin">
        <color auto="1"/>
      </bottom>
      <diagonal/>
    </border>
    <border>
      <left/>
      <right style="thin">
        <color auto="1"/>
      </right>
      <top style="double">
        <color auto="1"/>
      </top>
      <bottom style="thin">
        <color auto="1"/>
      </bottom>
      <diagonal/>
    </border>
    <border>
      <left style="medium">
        <color auto="1"/>
      </left>
      <right style="thin">
        <color auto="1"/>
      </right>
      <top style="double">
        <color auto="1"/>
      </top>
      <bottom/>
      <diagonal/>
    </border>
  </borders>
  <cellStyleXfs count="8">
    <xf numFmtId="0" fontId="0" fillId="0" borderId="0"/>
    <xf numFmtId="179" fontId="87" fillId="0" borderId="0" applyBorder="0" applyProtection="0"/>
    <xf numFmtId="167" fontId="87" fillId="0" borderId="0" applyBorder="0" applyProtection="0"/>
    <xf numFmtId="9" fontId="87" fillId="0" borderId="0" applyBorder="0" applyProtection="0"/>
    <xf numFmtId="0" fontId="7" fillId="0" borderId="0" applyBorder="0" applyProtection="0"/>
    <xf numFmtId="0" fontId="1" fillId="0" borderId="0"/>
    <xf numFmtId="164" fontId="2" fillId="0" borderId="0"/>
    <xf numFmtId="0" fontId="76" fillId="2" borderId="0" applyBorder="0" applyProtection="0"/>
  </cellStyleXfs>
  <cellXfs count="3349">
    <xf numFmtId="0" fontId="0" fillId="0" borderId="0" xfId="0"/>
    <xf numFmtId="0" fontId="0" fillId="0" borderId="9" xfId="0" applyBorder="1" applyAlignment="1">
      <alignment horizontal="center"/>
    </xf>
    <xf numFmtId="0" fontId="0" fillId="0" borderId="0" xfId="0" applyAlignment="1">
      <alignment horizontal="center"/>
    </xf>
    <xf numFmtId="0" fontId="14" fillId="5" borderId="0" xfId="0" applyFont="1" applyFill="1" applyAlignment="1">
      <alignment horizontal="left"/>
    </xf>
    <xf numFmtId="0" fontId="0" fillId="0" borderId="0" xfId="0" applyAlignment="1">
      <alignment horizontal="left"/>
    </xf>
    <xf numFmtId="165" fontId="0" fillId="0" borderId="0" xfId="0" applyNumberFormat="1" applyAlignment="1">
      <alignment horizontal="center"/>
    </xf>
    <xf numFmtId="165" fontId="0" fillId="0" borderId="0" xfId="0" applyNumberFormat="1"/>
    <xf numFmtId="0" fontId="3" fillId="0" borderId="0" xfId="0" applyFont="1" applyAlignment="1">
      <alignment horizontal="right"/>
    </xf>
    <xf numFmtId="0" fontId="1" fillId="3" borderId="0" xfId="0" applyFont="1" applyFill="1" applyProtection="1">
      <protection locked="0"/>
    </xf>
    <xf numFmtId="0" fontId="0" fillId="3" borderId="0" xfId="0" applyFill="1" applyProtection="1">
      <protection locked="0"/>
    </xf>
    <xf numFmtId="0" fontId="0" fillId="3" borderId="1" xfId="0" applyFill="1" applyBorder="1" applyAlignment="1" applyProtection="1">
      <alignment horizontal="center"/>
      <protection locked="0"/>
    </xf>
    <xf numFmtId="166" fontId="0" fillId="3" borderId="1" xfId="0" applyNumberFormat="1" applyFill="1" applyBorder="1" applyAlignment="1" applyProtection="1">
      <alignment horizontal="center"/>
      <protection locked="0"/>
    </xf>
    <xf numFmtId="0" fontId="1" fillId="0" borderId="0" xfId="0" applyFont="1"/>
    <xf numFmtId="0" fontId="1" fillId="0" borderId="0" xfId="0" applyFont="1" applyAlignment="1">
      <alignment horizontal="left"/>
    </xf>
    <xf numFmtId="165" fontId="1" fillId="0" borderId="0" xfId="0" applyNumberFormat="1" applyFont="1" applyAlignment="1">
      <alignment horizontal="center"/>
    </xf>
    <xf numFmtId="165" fontId="1" fillId="0" borderId="0" xfId="0" applyNumberFormat="1" applyFont="1"/>
    <xf numFmtId="0" fontId="4" fillId="0" borderId="0" xfId="0" applyFont="1"/>
    <xf numFmtId="0" fontId="5" fillId="0" borderId="0" xfId="0" applyFont="1" applyAlignment="1">
      <alignment horizontal="left"/>
    </xf>
    <xf numFmtId="0" fontId="5" fillId="0" borderId="0" xfId="0" applyFont="1"/>
    <xf numFmtId="165" fontId="5" fillId="0" borderId="0" xfId="0" applyNumberFormat="1" applyFont="1" applyAlignment="1">
      <alignment horizontal="center"/>
    </xf>
    <xf numFmtId="0" fontId="6" fillId="0" borderId="0" xfId="4" applyFont="1" applyBorder="1" applyAlignment="1" applyProtection="1">
      <alignment horizontal="left"/>
    </xf>
    <xf numFmtId="0" fontId="1" fillId="3" borderId="2" xfId="0" applyFont="1" applyFill="1" applyBorder="1" applyProtection="1">
      <protection locked="0"/>
    </xf>
    <xf numFmtId="0" fontId="8" fillId="0" borderId="0" xfId="0" applyFont="1" applyAlignment="1">
      <alignment vertical="top"/>
    </xf>
    <xf numFmtId="0" fontId="8" fillId="0" borderId="0" xfId="0" applyFont="1" applyAlignment="1">
      <alignment horizontal="center" vertical="top"/>
    </xf>
    <xf numFmtId="165" fontId="5" fillId="0" borderId="0" xfId="0" applyNumberFormat="1" applyFont="1"/>
    <xf numFmtId="0" fontId="6" fillId="0" borderId="0" xfId="4" applyFont="1" applyBorder="1" applyAlignment="1" applyProtection="1">
      <alignment vertical="top"/>
    </xf>
    <xf numFmtId="166" fontId="0" fillId="3" borderId="0" xfId="0" applyNumberFormat="1" applyFill="1" applyAlignment="1" applyProtection="1">
      <alignment horizontal="left"/>
      <protection locked="0"/>
    </xf>
    <xf numFmtId="14" fontId="0" fillId="3" borderId="0" xfId="0" applyNumberFormat="1" applyFill="1" applyProtection="1">
      <protection locked="0"/>
    </xf>
    <xf numFmtId="0" fontId="0" fillId="0" borderId="0" xfId="0" applyAlignment="1">
      <alignment horizontal="right"/>
    </xf>
    <xf numFmtId="0" fontId="9" fillId="0" borderId="0" xfId="0" applyFont="1" applyAlignment="1">
      <alignment horizontal="right"/>
    </xf>
    <xf numFmtId="0" fontId="3" fillId="4" borderId="3" xfId="0" applyFont="1" applyFill="1" applyBorder="1" applyAlignment="1">
      <alignment horizontal="center"/>
    </xf>
    <xf numFmtId="0" fontId="10" fillId="0" borderId="0" xfId="0" applyFont="1" applyAlignment="1">
      <alignment horizontal="center"/>
    </xf>
    <xf numFmtId="0" fontId="11" fillId="0" borderId="0" xfId="0" applyFont="1" applyAlignment="1">
      <alignment horizontal="right"/>
    </xf>
    <xf numFmtId="0" fontId="12" fillId="5" borderId="0" xfId="0" applyFont="1" applyFill="1"/>
    <xf numFmtId="0" fontId="0" fillId="5" borderId="0" xfId="0" applyFill="1" applyProtection="1">
      <protection locked="0"/>
    </xf>
    <xf numFmtId="166" fontId="1" fillId="3" borderId="1" xfId="0" applyNumberFormat="1" applyFont="1" applyFill="1" applyBorder="1" applyProtection="1">
      <protection locked="0"/>
    </xf>
    <xf numFmtId="0" fontId="13" fillId="5" borderId="0" xfId="0" applyFont="1" applyFill="1"/>
    <xf numFmtId="165" fontId="12" fillId="5" borderId="0" xfId="0" applyNumberFormat="1" applyFont="1" applyFill="1" applyAlignment="1">
      <alignment horizontal="left"/>
    </xf>
    <xf numFmtId="0" fontId="1" fillId="5" borderId="0" xfId="0" applyFont="1" applyFill="1" applyAlignment="1" applyProtection="1">
      <alignment horizontal="right"/>
      <protection locked="0"/>
    </xf>
    <xf numFmtId="0" fontId="1" fillId="0" borderId="0" xfId="0" applyFont="1" applyAlignment="1">
      <alignment horizontal="right"/>
    </xf>
    <xf numFmtId="14" fontId="0" fillId="0" borderId="0" xfId="0" applyNumberFormat="1"/>
    <xf numFmtId="0" fontId="0" fillId="0" borderId="0" xfId="0" applyProtection="1">
      <protection locked="0"/>
    </xf>
    <xf numFmtId="0" fontId="4" fillId="0" borderId="0" xfId="0" applyFont="1" applyAlignment="1">
      <alignment horizontal="center"/>
    </xf>
    <xf numFmtId="0" fontId="6" fillId="0" borderId="0" xfId="4" applyFont="1" applyBorder="1" applyProtection="1"/>
    <xf numFmtId="166" fontId="0" fillId="3" borderId="1" xfId="0" applyNumberFormat="1" applyFill="1" applyBorder="1" applyProtection="1">
      <protection locked="0"/>
    </xf>
    <xf numFmtId="165" fontId="4" fillId="0" borderId="0" xfId="0" applyNumberFormat="1" applyFont="1"/>
    <xf numFmtId="0" fontId="4" fillId="0" borderId="0" xfId="0" applyFont="1" applyAlignment="1">
      <alignment horizontal="left"/>
    </xf>
    <xf numFmtId="0" fontId="1" fillId="0" borderId="0" xfId="5"/>
    <xf numFmtId="0" fontId="15" fillId="0" borderId="0" xfId="0" applyFont="1"/>
    <xf numFmtId="0" fontId="16" fillId="0" borderId="0" xfId="0" applyFont="1"/>
    <xf numFmtId="165" fontId="17" fillId="0" borderId="0" xfId="0" applyNumberFormat="1" applyFont="1" applyAlignment="1">
      <alignment horizontal="center"/>
    </xf>
    <xf numFmtId="0" fontId="18" fillId="0" borderId="0" xfId="4" applyFont="1" applyBorder="1" applyAlignment="1" applyProtection="1">
      <alignment horizontal="left" vertical="center"/>
    </xf>
    <xf numFmtId="165" fontId="6" fillId="0" borderId="0" xfId="4" applyNumberFormat="1" applyFont="1" applyBorder="1" applyAlignment="1" applyProtection="1">
      <alignment horizontal="left"/>
    </xf>
    <xf numFmtId="0" fontId="1" fillId="0" borderId="0" xfId="0" applyFont="1" applyAlignment="1">
      <alignment horizontal="center"/>
    </xf>
    <xf numFmtId="167" fontId="87" fillId="0" borderId="0" xfId="2" applyBorder="1" applyProtection="1"/>
    <xf numFmtId="168" fontId="0" fillId="0" borderId="0" xfId="0" applyNumberFormat="1"/>
    <xf numFmtId="169" fontId="1" fillId="0" borderId="4" xfId="0" applyNumberFormat="1" applyFont="1" applyBorder="1" applyAlignment="1">
      <alignment horizontal="left"/>
    </xf>
    <xf numFmtId="169" fontId="1" fillId="0" borderId="5" xfId="0" applyNumberFormat="1" applyFont="1" applyBorder="1"/>
    <xf numFmtId="0" fontId="1" fillId="0" borderId="5" xfId="0" applyFont="1" applyBorder="1" applyAlignment="1">
      <alignment horizontal="right" textRotation="90"/>
    </xf>
    <xf numFmtId="169" fontId="1" fillId="0" borderId="5" xfId="0" applyNumberFormat="1" applyFont="1" applyBorder="1" applyAlignment="1">
      <alignment horizontal="left" textRotation="90" wrapText="1"/>
    </xf>
    <xf numFmtId="0" fontId="1" fillId="0" borderId="6" xfId="0" applyFont="1" applyBorder="1"/>
    <xf numFmtId="0" fontId="1" fillId="6" borderId="7" xfId="0" applyFont="1" applyFill="1" applyBorder="1" applyAlignment="1">
      <alignment horizontal="left"/>
    </xf>
    <xf numFmtId="0" fontId="1" fillId="6" borderId="0" xfId="0" applyFont="1" applyFill="1"/>
    <xf numFmtId="169" fontId="1" fillId="6" borderId="0" xfId="0" applyNumberFormat="1" applyFont="1" applyFill="1"/>
    <xf numFmtId="170" fontId="1" fillId="6" borderId="0" xfId="2" applyNumberFormat="1" applyFont="1" applyFill="1" applyBorder="1" applyProtection="1"/>
    <xf numFmtId="170" fontId="1" fillId="6" borderId="8" xfId="2" applyNumberFormat="1" applyFont="1" applyFill="1" applyBorder="1" applyProtection="1"/>
    <xf numFmtId="0" fontId="10" fillId="6" borderId="0" xfId="0" applyFont="1" applyFill="1"/>
    <xf numFmtId="169" fontId="10" fillId="6" borderId="9" xfId="0" applyNumberFormat="1" applyFont="1" applyFill="1" applyBorder="1"/>
    <xf numFmtId="169" fontId="10" fillId="6" borderId="9" xfId="0" applyNumberFormat="1" applyFont="1" applyFill="1" applyBorder="1" applyAlignment="1">
      <alignment horizontal="center"/>
    </xf>
    <xf numFmtId="169" fontId="10" fillId="6" borderId="0" xfId="0" applyNumberFormat="1" applyFont="1" applyFill="1"/>
    <xf numFmtId="167" fontId="10" fillId="0" borderId="0" xfId="2" applyFont="1" applyBorder="1" applyProtection="1"/>
    <xf numFmtId="0" fontId="1" fillId="0" borderId="7" xfId="0" applyFont="1" applyBorder="1" applyAlignment="1">
      <alignment horizontal="left"/>
    </xf>
    <xf numFmtId="169" fontId="1" fillId="0" borderId="0" xfId="0" applyNumberFormat="1" applyFont="1"/>
    <xf numFmtId="171" fontId="1" fillId="0" borderId="0" xfId="0" applyNumberFormat="1" applyFont="1"/>
    <xf numFmtId="172" fontId="1" fillId="0" borderId="0" xfId="2" applyNumberFormat="1" applyFont="1" applyBorder="1" applyProtection="1"/>
    <xf numFmtId="172" fontId="1" fillId="0" borderId="8" xfId="2" applyNumberFormat="1" applyFont="1" applyBorder="1" applyProtection="1"/>
    <xf numFmtId="167" fontId="1" fillId="0" borderId="0" xfId="2" applyFont="1" applyBorder="1" applyProtection="1"/>
    <xf numFmtId="0" fontId="5" fillId="0" borderId="0" xfId="0" applyFont="1" applyProtection="1">
      <protection locked="0"/>
    </xf>
    <xf numFmtId="173" fontId="1" fillId="5" borderId="10" xfId="0" applyNumberFormat="1" applyFont="1" applyFill="1" applyBorder="1" applyAlignment="1">
      <alignment horizontal="center"/>
    </xf>
    <xf numFmtId="174" fontId="1" fillId="5" borderId="0" xfId="0" applyNumberFormat="1" applyFont="1" applyFill="1" applyAlignment="1">
      <alignment horizontal="center"/>
    </xf>
    <xf numFmtId="14" fontId="1" fillId="0" borderId="0" xfId="0" applyNumberFormat="1" applyFont="1"/>
    <xf numFmtId="173" fontId="1" fillId="5" borderId="11" xfId="0" applyNumberFormat="1" applyFont="1" applyFill="1" applyBorder="1" applyAlignment="1">
      <alignment horizontal="center"/>
    </xf>
    <xf numFmtId="169" fontId="1" fillId="0" borderId="0" xfId="0" applyNumberFormat="1" applyFont="1" applyAlignment="1" applyProtection="1">
      <alignment horizontal="left"/>
      <protection locked="0"/>
    </xf>
    <xf numFmtId="175" fontId="1" fillId="5" borderId="11" xfId="0" applyNumberFormat="1" applyFont="1" applyFill="1" applyBorder="1" applyAlignment="1">
      <alignment horizontal="center"/>
    </xf>
    <xf numFmtId="0" fontId="1" fillId="0" borderId="12" xfId="0" applyFont="1" applyBorder="1" applyAlignment="1">
      <alignment horizontal="left"/>
    </xf>
    <xf numFmtId="0" fontId="1" fillId="0" borderId="6" xfId="0" applyFont="1" applyBorder="1" applyAlignment="1">
      <alignment horizontal="center"/>
    </xf>
    <xf numFmtId="165" fontId="1" fillId="0" borderId="6" xfId="0" applyNumberFormat="1" applyFont="1" applyBorder="1"/>
    <xf numFmtId="171" fontId="1" fillId="0" borderId="6" xfId="0" applyNumberFormat="1" applyFont="1" applyBorder="1"/>
    <xf numFmtId="172" fontId="1" fillId="0" borderId="6" xfId="2" applyNumberFormat="1" applyFont="1" applyBorder="1" applyProtection="1"/>
    <xf numFmtId="172" fontId="1" fillId="0" borderId="13" xfId="2" applyNumberFormat="1" applyFont="1" applyBorder="1" applyProtection="1"/>
    <xf numFmtId="0" fontId="8" fillId="6" borderId="14" xfId="0" applyFont="1" applyFill="1" applyBorder="1" applyAlignment="1" applyProtection="1">
      <alignment horizontal="left"/>
      <protection locked="0"/>
    </xf>
    <xf numFmtId="0" fontId="8" fillId="6" borderId="15" xfId="0" applyFont="1" applyFill="1" applyBorder="1" applyAlignment="1" applyProtection="1">
      <alignment horizontal="center"/>
      <protection locked="0"/>
    </xf>
    <xf numFmtId="176" fontId="8" fillId="3" borderId="15" xfId="0" applyNumberFormat="1" applyFont="1" applyFill="1" applyBorder="1" applyProtection="1">
      <protection locked="0"/>
    </xf>
    <xf numFmtId="0" fontId="1" fillId="6" borderId="8" xfId="0" applyFont="1" applyFill="1" applyBorder="1"/>
    <xf numFmtId="177" fontId="1" fillId="0" borderId="0" xfId="2" applyNumberFormat="1" applyFont="1" applyBorder="1" applyProtection="1"/>
    <xf numFmtId="0" fontId="5" fillId="6" borderId="16" xfId="0" applyFont="1" applyFill="1" applyBorder="1" applyAlignment="1">
      <alignment horizontal="left"/>
    </xf>
    <xf numFmtId="0" fontId="5" fillId="6" borderId="9" xfId="0" applyFont="1" applyFill="1" applyBorder="1" applyAlignment="1">
      <alignment horizontal="center"/>
    </xf>
    <xf numFmtId="0" fontId="5" fillId="6" borderId="17" xfId="0" applyFont="1" applyFill="1" applyBorder="1" applyAlignment="1">
      <alignment horizontal="center"/>
    </xf>
    <xf numFmtId="0" fontId="8" fillId="0" borderId="1" xfId="0" applyFont="1" applyBorder="1" applyAlignment="1">
      <alignment horizontal="left"/>
    </xf>
    <xf numFmtId="0" fontId="8" fillId="0" borderId="1" xfId="0" applyFont="1" applyBorder="1" applyAlignment="1">
      <alignment horizontal="center"/>
    </xf>
    <xf numFmtId="0" fontId="5" fillId="0" borderId="1" xfId="0" applyFont="1" applyBorder="1" applyAlignment="1">
      <alignment horizontal="center"/>
    </xf>
    <xf numFmtId="176" fontId="8" fillId="3" borderId="18" xfId="0" applyNumberFormat="1" applyFont="1" applyFill="1" applyBorder="1" applyAlignment="1" applyProtection="1">
      <alignment horizontal="left"/>
      <protection locked="0"/>
    </xf>
    <xf numFmtId="176" fontId="8" fillId="3" borderId="19" xfId="0" applyNumberFormat="1" applyFont="1" applyFill="1" applyBorder="1" applyProtection="1">
      <protection locked="0"/>
    </xf>
    <xf numFmtId="167" fontId="1" fillId="3" borderId="0" xfId="2" applyFont="1" applyFill="1" applyBorder="1" applyProtection="1"/>
    <xf numFmtId="176" fontId="8" fillId="3" borderId="20" xfId="0" applyNumberFormat="1" applyFont="1" applyFill="1" applyBorder="1" applyProtection="1">
      <protection locked="0"/>
    </xf>
    <xf numFmtId="176" fontId="19" fillId="6" borderId="21" xfId="0" applyNumberFormat="1" applyFont="1" applyFill="1" applyBorder="1" applyAlignment="1" applyProtection="1">
      <alignment horizontal="left"/>
      <protection locked="0"/>
    </xf>
    <xf numFmtId="176" fontId="19" fillId="6" borderId="22" xfId="0" applyNumberFormat="1" applyFont="1" applyFill="1" applyBorder="1" applyAlignment="1" applyProtection="1">
      <alignment horizontal="center"/>
      <protection locked="0"/>
    </xf>
    <xf numFmtId="176" fontId="19" fillId="6" borderId="23" xfId="0" applyNumberFormat="1" applyFont="1" applyFill="1" applyBorder="1" applyAlignment="1" applyProtection="1">
      <alignment horizontal="center"/>
      <protection locked="0"/>
    </xf>
    <xf numFmtId="175" fontId="1" fillId="5" borderId="0" xfId="0" applyNumberFormat="1" applyFont="1" applyFill="1" applyAlignment="1">
      <alignment horizontal="center"/>
    </xf>
    <xf numFmtId="176" fontId="8" fillId="3" borderId="14" xfId="0" applyNumberFormat="1" applyFont="1" applyFill="1" applyBorder="1" applyAlignment="1" applyProtection="1">
      <alignment horizontal="left"/>
      <protection locked="0"/>
    </xf>
    <xf numFmtId="167" fontId="1" fillId="3" borderId="15" xfId="2" applyFont="1" applyFill="1" applyBorder="1" applyProtection="1"/>
    <xf numFmtId="176" fontId="8" fillId="3" borderId="24" xfId="0" applyNumberFormat="1" applyFont="1" applyFill="1" applyBorder="1" applyProtection="1">
      <protection locked="0"/>
    </xf>
    <xf numFmtId="0" fontId="10" fillId="6" borderId="25" xfId="0" applyFont="1" applyFill="1" applyBorder="1" applyAlignment="1">
      <alignment horizontal="left"/>
    </xf>
    <xf numFmtId="0" fontId="10" fillId="6" borderId="26" xfId="0" applyFont="1" applyFill="1" applyBorder="1" applyAlignment="1">
      <alignment horizontal="center"/>
    </xf>
    <xf numFmtId="0" fontId="10" fillId="6" borderId="27" xfId="0" applyFont="1" applyFill="1" applyBorder="1" applyAlignment="1">
      <alignment horizontal="center"/>
    </xf>
    <xf numFmtId="176" fontId="1" fillId="3" borderId="18" xfId="0" applyNumberFormat="1" applyFont="1" applyFill="1" applyBorder="1" applyAlignment="1">
      <alignment horizontal="left"/>
    </xf>
    <xf numFmtId="176" fontId="1" fillId="3" borderId="19" xfId="0" applyNumberFormat="1" applyFont="1" applyFill="1" applyBorder="1"/>
    <xf numFmtId="176" fontId="1" fillId="3" borderId="20" xfId="0" applyNumberFormat="1" applyFont="1" applyFill="1" applyBorder="1"/>
    <xf numFmtId="167" fontId="1" fillId="0" borderId="0" xfId="2" applyFont="1" applyBorder="1" applyAlignment="1" applyProtection="1">
      <alignment horizontal="left"/>
    </xf>
    <xf numFmtId="169" fontId="1" fillId="0" borderId="0" xfId="0" applyNumberFormat="1" applyFont="1" applyAlignment="1">
      <alignment horizontal="left"/>
    </xf>
    <xf numFmtId="0" fontId="10" fillId="0" borderId="16" xfId="0" applyFont="1" applyBorder="1" applyAlignment="1">
      <alignment wrapText="1"/>
    </xf>
    <xf numFmtId="0" fontId="1" fillId="0" borderId="9" xfId="0" applyFont="1" applyBorder="1" applyAlignment="1">
      <alignment wrapText="1"/>
    </xf>
    <xf numFmtId="0" fontId="1" fillId="0" borderId="17" xfId="0" applyFont="1" applyBorder="1" applyAlignment="1">
      <alignment wrapText="1"/>
    </xf>
    <xf numFmtId="167" fontId="1" fillId="0" borderId="0" xfId="2" applyFont="1" applyBorder="1" applyProtection="1">
      <protection locked="0"/>
    </xf>
    <xf numFmtId="0" fontId="1" fillId="0" borderId="0" xfId="0" applyFont="1" applyProtection="1">
      <protection locked="0"/>
    </xf>
    <xf numFmtId="0" fontId="1" fillId="0" borderId="7" xfId="0" applyFont="1" applyBorder="1"/>
    <xf numFmtId="0" fontId="1" fillId="0" borderId="8" xfId="0" applyFont="1" applyBorder="1"/>
    <xf numFmtId="169" fontId="10" fillId="6" borderId="0" xfId="0" applyNumberFormat="1" applyFont="1" applyFill="1" applyAlignment="1">
      <alignment horizontal="left"/>
    </xf>
    <xf numFmtId="167" fontId="1" fillId="6" borderId="0" xfId="2" applyFont="1" applyFill="1" applyBorder="1" applyAlignment="1" applyProtection="1">
      <alignment horizontal="left"/>
    </xf>
    <xf numFmtId="0" fontId="1" fillId="0" borderId="28" xfId="0" applyFont="1" applyBorder="1" applyAlignment="1">
      <alignment horizontal="center"/>
    </xf>
    <xf numFmtId="0" fontId="1" fillId="0" borderId="29" xfId="0" applyFont="1" applyBorder="1" applyAlignment="1">
      <alignment horizontal="center"/>
    </xf>
    <xf numFmtId="0" fontId="1" fillId="0" borderId="30" xfId="0" applyFont="1" applyBorder="1" applyAlignment="1">
      <alignment horizontal="center"/>
    </xf>
    <xf numFmtId="167" fontId="1" fillId="0" borderId="12" xfId="2" applyFont="1" applyBorder="1" applyProtection="1"/>
    <xf numFmtId="167" fontId="1" fillId="0" borderId="6" xfId="2" applyFont="1" applyBorder="1" applyProtection="1"/>
    <xf numFmtId="167" fontId="1" fillId="7" borderId="13" xfId="2" applyFont="1" applyFill="1" applyBorder="1" applyProtection="1"/>
    <xf numFmtId="168" fontId="1" fillId="0" borderId="0" xfId="0" applyNumberFormat="1" applyFont="1"/>
    <xf numFmtId="167" fontId="1" fillId="6" borderId="0" xfId="2" applyFont="1" applyFill="1" applyBorder="1" applyProtection="1"/>
    <xf numFmtId="167" fontId="1" fillId="8" borderId="12" xfId="2" applyFont="1" applyFill="1" applyBorder="1" applyAlignment="1" applyProtection="1">
      <alignment horizontal="center"/>
    </xf>
    <xf numFmtId="167" fontId="1" fillId="8" borderId="6" xfId="2" applyFont="1" applyFill="1" applyBorder="1" applyAlignment="1" applyProtection="1">
      <alignment horizontal="center"/>
    </xf>
    <xf numFmtId="0" fontId="1" fillId="0" borderId="13" xfId="0" applyFont="1" applyBorder="1"/>
    <xf numFmtId="169" fontId="1" fillId="0" borderId="0" xfId="0" applyNumberFormat="1" applyFont="1" applyProtection="1">
      <protection locked="0"/>
    </xf>
    <xf numFmtId="178" fontId="1" fillId="0" borderId="0" xfId="0" applyNumberFormat="1" applyFont="1" applyProtection="1">
      <protection locked="0"/>
    </xf>
    <xf numFmtId="0" fontId="5" fillId="9" borderId="31" xfId="0" applyFont="1" applyFill="1" applyBorder="1"/>
    <xf numFmtId="0" fontId="5" fillId="9" borderId="1" xfId="0" applyFont="1" applyFill="1" applyBorder="1"/>
    <xf numFmtId="0" fontId="0" fillId="9" borderId="1" xfId="0" applyFill="1" applyBorder="1"/>
    <xf numFmtId="2" fontId="0" fillId="9" borderId="32" xfId="0" applyNumberFormat="1" applyFill="1" applyBorder="1"/>
    <xf numFmtId="0" fontId="10" fillId="6" borderId="0" xfId="0" applyFont="1" applyFill="1" applyAlignment="1">
      <alignment horizontal="left"/>
    </xf>
    <xf numFmtId="0" fontId="1" fillId="6" borderId="0" xfId="0" applyFont="1" applyFill="1" applyAlignment="1">
      <alignment horizontal="center"/>
    </xf>
    <xf numFmtId="167" fontId="1" fillId="6" borderId="0" xfId="2" applyFont="1" applyFill="1" applyBorder="1" applyAlignment="1" applyProtection="1">
      <alignment horizontal="center"/>
    </xf>
    <xf numFmtId="169" fontId="1" fillId="6" borderId="0" xfId="0" applyNumberFormat="1" applyFont="1" applyFill="1" applyProtection="1">
      <protection locked="0"/>
    </xf>
    <xf numFmtId="178" fontId="1" fillId="6" borderId="0" xfId="0" applyNumberFormat="1" applyFont="1" applyFill="1" applyProtection="1">
      <protection locked="0"/>
    </xf>
    <xf numFmtId="175" fontId="1" fillId="5" borderId="11" xfId="0" applyNumberFormat="1" applyFont="1" applyFill="1" applyBorder="1" applyAlignment="1" applyProtection="1">
      <alignment horizontal="center"/>
      <protection locked="0"/>
    </xf>
    <xf numFmtId="175" fontId="1" fillId="5" borderId="0" xfId="0" applyNumberFormat="1" applyFont="1" applyFill="1" applyAlignment="1" applyProtection="1">
      <alignment horizontal="center"/>
      <protection locked="0"/>
    </xf>
    <xf numFmtId="179" fontId="1" fillId="0" borderId="0" xfId="1" applyFont="1" applyBorder="1" applyProtection="1"/>
    <xf numFmtId="10" fontId="1" fillId="0" borderId="0" xfId="3" applyNumberFormat="1" applyFont="1" applyBorder="1" applyProtection="1"/>
    <xf numFmtId="180" fontId="1" fillId="0" borderId="0" xfId="3" applyNumberFormat="1" applyFont="1" applyBorder="1" applyProtection="1"/>
    <xf numFmtId="0" fontId="10" fillId="0" borderId="0" xfId="0" applyFont="1" applyAlignment="1">
      <alignment horizontal="left"/>
    </xf>
    <xf numFmtId="0" fontId="10" fillId="0" borderId="16" xfId="0" applyFont="1" applyBorder="1" applyAlignment="1">
      <alignment horizontal="left"/>
    </xf>
    <xf numFmtId="0" fontId="1" fillId="0" borderId="9" xfId="0" applyFont="1" applyBorder="1"/>
    <xf numFmtId="14" fontId="1" fillId="0" borderId="9" xfId="0" applyNumberFormat="1" applyFont="1" applyBorder="1"/>
    <xf numFmtId="0" fontId="1" fillId="0" borderId="17" xfId="0" applyFont="1" applyBorder="1"/>
    <xf numFmtId="175" fontId="0" fillId="5" borderId="11" xfId="0" applyNumberFormat="1" applyFill="1" applyBorder="1" applyAlignment="1">
      <alignment horizontal="center"/>
    </xf>
    <xf numFmtId="175" fontId="0" fillId="5" borderId="0" xfId="0" applyNumberFormat="1" applyFill="1" applyAlignment="1">
      <alignment horizontal="center"/>
    </xf>
    <xf numFmtId="0" fontId="21" fillId="0" borderId="0" xfId="0" applyFont="1"/>
    <xf numFmtId="181" fontId="1" fillId="0" borderId="0" xfId="0" applyNumberFormat="1" applyFont="1"/>
    <xf numFmtId="181" fontId="1" fillId="0" borderId="8" xfId="0" applyNumberFormat="1" applyFont="1" applyBorder="1"/>
    <xf numFmtId="167" fontId="10" fillId="6" borderId="0" xfId="2" applyFont="1" applyFill="1" applyBorder="1" applyProtection="1"/>
    <xf numFmtId="0" fontId="22" fillId="0" borderId="16" xfId="0" applyFont="1" applyBorder="1"/>
    <xf numFmtId="0" fontId="0" fillId="0" borderId="9" xfId="0" applyBorder="1"/>
    <xf numFmtId="0" fontId="23" fillId="0" borderId="7" xfId="0" applyFont="1" applyBorder="1"/>
    <xf numFmtId="167" fontId="1" fillId="0" borderId="0" xfId="2" applyFont="1" applyBorder="1" applyAlignment="1" applyProtection="1">
      <alignment horizontal="left"/>
      <protection locked="0"/>
    </xf>
    <xf numFmtId="0" fontId="7" fillId="0" borderId="0" xfId="4" applyBorder="1" applyProtection="1"/>
    <xf numFmtId="0" fontId="0" fillId="0" borderId="7" xfId="0" applyBorder="1"/>
    <xf numFmtId="173" fontId="0" fillId="5" borderId="11" xfId="0" applyNumberFormat="1" applyFill="1" applyBorder="1" applyAlignment="1">
      <alignment horizontal="center"/>
    </xf>
    <xf numFmtId="0" fontId="23" fillId="0" borderId="0" xfId="0" applyFont="1"/>
    <xf numFmtId="0" fontId="24" fillId="0" borderId="0" xfId="0" applyFont="1"/>
    <xf numFmtId="167" fontId="1" fillId="0" borderId="0" xfId="2" applyFont="1" applyBorder="1" applyAlignment="1" applyProtection="1">
      <alignment horizontal="center"/>
    </xf>
    <xf numFmtId="175" fontId="0" fillId="5" borderId="33" xfId="0" applyNumberFormat="1" applyFill="1" applyBorder="1" applyAlignment="1">
      <alignment horizontal="center"/>
    </xf>
    <xf numFmtId="0" fontId="25" fillId="0" borderId="7" xfId="0" applyFont="1" applyBorder="1"/>
    <xf numFmtId="0" fontId="25" fillId="0" borderId="0" xfId="0" applyFont="1"/>
    <xf numFmtId="0" fontId="25" fillId="0" borderId="2" xfId="0" applyFont="1" applyBorder="1"/>
    <xf numFmtId="0" fontId="0" fillId="0" borderId="0" xfId="0" applyAlignment="1">
      <alignment horizontal="center" wrapText="1"/>
    </xf>
    <xf numFmtId="0" fontId="0" fillId="13" borderId="0" xfId="0" applyFill="1" applyAlignment="1">
      <alignment horizontal="center" wrapText="1"/>
    </xf>
    <xf numFmtId="15" fontId="1" fillId="13" borderId="0" xfId="0" applyNumberFormat="1" applyFont="1" applyFill="1"/>
    <xf numFmtId="167" fontId="1" fillId="13" borderId="3" xfId="2" applyFont="1" applyFill="1" applyBorder="1" applyProtection="1"/>
    <xf numFmtId="17" fontId="1" fillId="13" borderId="0" xfId="0" applyNumberFormat="1" applyFont="1" applyFill="1"/>
    <xf numFmtId="167" fontId="1" fillId="13" borderId="11" xfId="2" applyFont="1" applyFill="1" applyBorder="1" applyProtection="1"/>
    <xf numFmtId="167" fontId="1" fillId="13" borderId="33" xfId="2" applyFont="1" applyFill="1" applyBorder="1" applyProtection="1"/>
    <xf numFmtId="0" fontId="1" fillId="13" borderId="0" xfId="0" applyFont="1" applyFill="1"/>
    <xf numFmtId="0" fontId="28" fillId="0" borderId="0" xfId="0" applyFont="1" applyAlignment="1">
      <alignment horizontal="center"/>
    </xf>
    <xf numFmtId="0" fontId="28" fillId="0" borderId="21" xfId="0" applyFont="1" applyBorder="1" applyAlignment="1">
      <alignment horizontal="center"/>
    </xf>
    <xf numFmtId="0" fontId="28" fillId="0" borderId="22" xfId="0" applyFont="1" applyBorder="1" applyAlignment="1">
      <alignment horizontal="center"/>
    </xf>
    <xf numFmtId="0" fontId="28" fillId="0" borderId="23" xfId="0" applyFont="1" applyBorder="1" applyAlignment="1">
      <alignment horizontal="center"/>
    </xf>
    <xf numFmtId="167" fontId="10" fillId="0" borderId="0" xfId="2" applyFont="1" applyBorder="1" applyAlignment="1" applyProtection="1">
      <alignment horizontal="center"/>
    </xf>
    <xf numFmtId="0" fontId="28" fillId="0" borderId="21" xfId="0" applyFont="1" applyBorder="1" applyAlignment="1">
      <alignment horizontal="center" wrapText="1"/>
    </xf>
    <xf numFmtId="0" fontId="28" fillId="0" borderId="22" xfId="0" applyFont="1" applyBorder="1" applyAlignment="1">
      <alignment horizontal="center" wrapText="1"/>
    </xf>
    <xf numFmtId="0" fontId="28" fillId="0" borderId="3" xfId="0" applyFont="1" applyBorder="1" applyAlignment="1">
      <alignment horizontal="center"/>
    </xf>
    <xf numFmtId="14" fontId="28" fillId="0" borderId="17" xfId="0" applyNumberFormat="1" applyFont="1" applyBorder="1" applyAlignment="1">
      <alignment horizontal="center" wrapText="1"/>
    </xf>
    <xf numFmtId="0" fontId="28" fillId="0" borderId="3" xfId="0" applyFont="1" applyBorder="1" applyAlignment="1">
      <alignment horizontal="center" wrapText="1"/>
    </xf>
    <xf numFmtId="0" fontId="28" fillId="0" borderId="17" xfId="0" applyFont="1" applyBorder="1" applyAlignment="1">
      <alignment horizontal="center" wrapText="1"/>
    </xf>
    <xf numFmtId="167" fontId="10" fillId="0" borderId="17" xfId="2" applyFont="1" applyBorder="1" applyProtection="1"/>
    <xf numFmtId="0" fontId="0" fillId="0" borderId="34" xfId="0" applyBorder="1" applyAlignment="1">
      <alignment horizontal="center"/>
    </xf>
    <xf numFmtId="0" fontId="0" fillId="0" borderId="35" xfId="0" applyBorder="1" applyAlignment="1">
      <alignment horizontal="center"/>
    </xf>
    <xf numFmtId="2" fontId="0" fillId="0" borderId="35" xfId="0" applyNumberFormat="1" applyBorder="1" applyAlignment="1">
      <alignment horizontal="center"/>
    </xf>
    <xf numFmtId="0" fontId="1" fillId="0" borderId="36" xfId="0" applyFont="1" applyBorder="1"/>
    <xf numFmtId="172" fontId="0" fillId="0" borderId="10" xfId="0" applyNumberFormat="1" applyBorder="1" applyAlignment="1">
      <alignment horizontal="center"/>
    </xf>
    <xf numFmtId="172" fontId="10" fillId="0" borderId="8" xfId="0" applyNumberFormat="1" applyFont="1" applyBorder="1"/>
    <xf numFmtId="0" fontId="28" fillId="0" borderId="8" xfId="0" applyFont="1" applyBorder="1" applyAlignment="1">
      <alignment horizontal="right" textRotation="90"/>
    </xf>
    <xf numFmtId="0" fontId="1" fillId="0" borderId="14" xfId="5" applyBorder="1" applyAlignment="1">
      <alignment horizontal="center"/>
    </xf>
    <xf numFmtId="0" fontId="1" fillId="0" borderId="15" xfId="5" applyBorder="1" applyAlignment="1">
      <alignment horizontal="center"/>
    </xf>
    <xf numFmtId="2" fontId="1" fillId="0" borderId="15" xfId="5" applyNumberFormat="1" applyBorder="1" applyAlignment="1">
      <alignment horizontal="center"/>
    </xf>
    <xf numFmtId="0" fontId="1" fillId="0" borderId="35" xfId="5" applyBorder="1" applyAlignment="1">
      <alignment horizontal="center"/>
    </xf>
    <xf numFmtId="172" fontId="1" fillId="0" borderId="10" xfId="5" applyNumberFormat="1" applyBorder="1" applyAlignment="1">
      <alignment horizontal="center"/>
    </xf>
    <xf numFmtId="172" fontId="1" fillId="0" borderId="8" xfId="5" applyNumberFormat="1" applyBorder="1" applyAlignment="1">
      <alignment horizontal="center"/>
    </xf>
    <xf numFmtId="172" fontId="10" fillId="0" borderId="8" xfId="2" applyNumberFormat="1" applyFont="1" applyBorder="1" applyProtection="1"/>
    <xf numFmtId="0" fontId="0" fillId="0" borderId="14" xfId="0" applyBorder="1" applyAlignment="1">
      <alignment horizontal="center"/>
    </xf>
    <xf numFmtId="0" fontId="0" fillId="0" borderId="15" xfId="0" applyBorder="1" applyAlignment="1">
      <alignment horizontal="center"/>
    </xf>
    <xf numFmtId="2" fontId="0" fillId="0" borderId="15" xfId="0" applyNumberFormat="1" applyBorder="1" applyAlignment="1">
      <alignment horizontal="center"/>
    </xf>
    <xf numFmtId="0" fontId="1" fillId="0" borderId="24" xfId="0" applyFont="1" applyBorder="1"/>
    <xf numFmtId="172" fontId="0" fillId="0" borderId="11" xfId="0" applyNumberFormat="1" applyBorder="1" applyAlignment="1">
      <alignment horizontal="center"/>
    </xf>
    <xf numFmtId="0" fontId="1" fillId="0" borderId="0" xfId="5" applyAlignment="1">
      <alignment horizontal="center"/>
    </xf>
    <xf numFmtId="0" fontId="1" fillId="0" borderId="37" xfId="5" applyBorder="1"/>
    <xf numFmtId="172" fontId="1" fillId="0" borderId="11" xfId="5" applyNumberFormat="1" applyBorder="1" applyAlignment="1">
      <alignment horizontal="center"/>
    </xf>
    <xf numFmtId="0" fontId="0" fillId="0" borderId="24" xfId="0" applyBorder="1"/>
    <xf numFmtId="2" fontId="0" fillId="0" borderId="14" xfId="0" applyNumberFormat="1" applyBorder="1" applyAlignment="1">
      <alignment horizontal="center"/>
    </xf>
    <xf numFmtId="172" fontId="0" fillId="0" borderId="8" xfId="0" applyNumberFormat="1" applyBorder="1" applyAlignment="1">
      <alignment horizontal="center"/>
    </xf>
    <xf numFmtId="167" fontId="10" fillId="0" borderId="8" xfId="2" applyFont="1" applyBorder="1" applyProtection="1"/>
    <xf numFmtId="0" fontId="0" fillId="0" borderId="18" xfId="0" applyBorder="1" applyAlignment="1">
      <alignment horizontal="center"/>
    </xf>
    <xf numFmtId="0" fontId="0" fillId="0" borderId="19" xfId="0" applyBorder="1" applyAlignment="1">
      <alignment horizontal="center"/>
    </xf>
    <xf numFmtId="0" fontId="0" fillId="0" borderId="6" xfId="0" applyBorder="1"/>
    <xf numFmtId="0" fontId="0" fillId="0" borderId="20" xfId="0" applyBorder="1"/>
    <xf numFmtId="0" fontId="0" fillId="0" borderId="38" xfId="0" applyBorder="1"/>
    <xf numFmtId="172" fontId="0" fillId="0" borderId="33" xfId="0" applyNumberFormat="1" applyBorder="1" applyAlignment="1">
      <alignment horizontal="center"/>
    </xf>
    <xf numFmtId="172" fontId="10" fillId="0" borderId="13" xfId="0" applyNumberFormat="1" applyFont="1" applyBorder="1"/>
    <xf numFmtId="2" fontId="0" fillId="0" borderId="19" xfId="0" applyNumberFormat="1" applyBorder="1" applyAlignment="1">
      <alignment horizontal="center"/>
    </xf>
    <xf numFmtId="172" fontId="0" fillId="0" borderId="13" xfId="0" applyNumberFormat="1" applyBorder="1" applyAlignment="1">
      <alignment horizontal="center"/>
    </xf>
    <xf numFmtId="167" fontId="10" fillId="0" borderId="13" xfId="2" applyFont="1" applyBorder="1" applyProtection="1"/>
    <xf numFmtId="172" fontId="10" fillId="0" borderId="0" xfId="0" applyNumberFormat="1" applyFont="1"/>
    <xf numFmtId="0" fontId="28" fillId="0" borderId="25" xfId="0" applyFont="1" applyBorder="1" applyAlignment="1">
      <alignment horizontal="center" wrapText="1"/>
    </xf>
    <xf numFmtId="0" fontId="28" fillId="0" borderId="26" xfId="0" applyFont="1" applyBorder="1" applyAlignment="1">
      <alignment horizontal="center" wrapText="1"/>
    </xf>
    <xf numFmtId="0" fontId="0" fillId="0" borderId="27" xfId="0" applyBorder="1"/>
    <xf numFmtId="172" fontId="10" fillId="0" borderId="17" xfId="0" applyNumberFormat="1" applyFont="1" applyBorder="1"/>
    <xf numFmtId="0" fontId="28" fillId="0" borderId="17" xfId="0" applyFont="1" applyBorder="1" applyAlignment="1">
      <alignment horizontal="center"/>
    </xf>
    <xf numFmtId="2" fontId="1" fillId="0" borderId="14" xfId="5" applyNumberFormat="1" applyBorder="1" applyAlignment="1">
      <alignment horizontal="center"/>
    </xf>
    <xf numFmtId="0" fontId="1" fillId="0" borderId="24" xfId="5" applyBorder="1"/>
    <xf numFmtId="4" fontId="0" fillId="0" borderId="14" xfId="0" applyNumberFormat="1" applyBorder="1" applyAlignment="1">
      <alignment horizontal="center"/>
    </xf>
    <xf numFmtId="0" fontId="10" fillId="0" borderId="8" xfId="0" applyFont="1" applyBorder="1"/>
    <xf numFmtId="0" fontId="0" fillId="0" borderId="8" xfId="0" applyBorder="1"/>
    <xf numFmtId="0" fontId="0" fillId="0" borderId="39" xfId="0" applyBorder="1"/>
    <xf numFmtId="0" fontId="0" fillId="0" borderId="39" xfId="0" applyBorder="1" applyAlignment="1">
      <alignment horizontal="center"/>
    </xf>
    <xf numFmtId="0" fontId="29" fillId="0" borderId="39" xfId="0" applyFont="1" applyBorder="1" applyAlignment="1">
      <alignment horizontal="center"/>
    </xf>
    <xf numFmtId="0" fontId="30" fillId="0" borderId="39" xfId="0" applyFont="1" applyBorder="1" applyAlignment="1">
      <alignment horizontal="center"/>
    </xf>
    <xf numFmtId="49" fontId="31" fillId="0" borderId="39" xfId="0" applyNumberFormat="1" applyFont="1" applyBorder="1" applyAlignment="1">
      <alignment horizontal="center" wrapText="1"/>
    </xf>
    <xf numFmtId="172" fontId="0" fillId="0" borderId="39" xfId="0" applyNumberFormat="1" applyBorder="1"/>
    <xf numFmtId="0" fontId="32" fillId="0" borderId="0" xfId="0" applyFont="1"/>
    <xf numFmtId="0" fontId="33" fillId="0" borderId="0" xfId="0" applyFont="1"/>
    <xf numFmtId="0" fontId="33" fillId="0" borderId="0" xfId="0" applyFont="1" applyAlignment="1">
      <alignment horizontal="right"/>
    </xf>
    <xf numFmtId="0" fontId="33" fillId="0" borderId="0" xfId="0" applyFont="1" applyAlignment="1">
      <alignment horizontal="left"/>
    </xf>
    <xf numFmtId="0" fontId="10" fillId="0" borderId="0" xfId="0" applyFont="1" applyAlignment="1">
      <alignment horizontal="right"/>
    </xf>
    <xf numFmtId="0" fontId="34" fillId="0" borderId="0" xfId="0" applyFont="1"/>
    <xf numFmtId="171" fontId="32" fillId="0" borderId="0" xfId="0" applyNumberFormat="1" applyFont="1" applyAlignment="1">
      <alignment horizontal="left"/>
    </xf>
    <xf numFmtId="0" fontId="12" fillId="0" borderId="0" xfId="0" applyFont="1"/>
    <xf numFmtId="0" fontId="29" fillId="0" borderId="0" xfId="0" applyFont="1"/>
    <xf numFmtId="0" fontId="35" fillId="0" borderId="0" xfId="0" applyFont="1" applyAlignment="1">
      <alignment horizontal="right"/>
    </xf>
    <xf numFmtId="171" fontId="29" fillId="0" borderId="0" xfId="0" applyNumberFormat="1" applyFont="1" applyAlignment="1">
      <alignment horizontal="left"/>
    </xf>
    <xf numFmtId="0" fontId="36" fillId="0" borderId="0" xfId="0" applyFont="1"/>
    <xf numFmtId="0" fontId="29" fillId="0" borderId="0" xfId="0" applyFont="1" applyAlignment="1">
      <alignment horizontal="right"/>
    </xf>
    <xf numFmtId="0" fontId="37" fillId="0" borderId="0" xfId="0" applyFont="1"/>
    <xf numFmtId="0" fontId="10" fillId="0" borderId="0" xfId="0" applyFont="1"/>
    <xf numFmtId="0" fontId="32" fillId="0" borderId="0" xfId="0" applyFont="1" applyAlignment="1">
      <alignment horizontal="right"/>
    </xf>
    <xf numFmtId="0" fontId="38" fillId="0" borderId="0" xfId="0" applyFont="1"/>
    <xf numFmtId="177" fontId="32" fillId="0" borderId="0" xfId="2" applyNumberFormat="1" applyFont="1" applyBorder="1" applyAlignment="1" applyProtection="1">
      <alignment horizontal="right"/>
    </xf>
    <xf numFmtId="0" fontId="34" fillId="0" borderId="0" xfId="0" applyFont="1" applyAlignment="1">
      <alignment vertical="center"/>
    </xf>
    <xf numFmtId="177" fontId="87" fillId="0" borderId="0" xfId="2" applyNumberFormat="1" applyBorder="1" applyProtection="1"/>
    <xf numFmtId="0" fontId="39" fillId="0" borderId="0" xfId="0" applyFont="1"/>
    <xf numFmtId="181" fontId="32" fillId="0" borderId="0" xfId="0" applyNumberFormat="1" applyFont="1"/>
    <xf numFmtId="0" fontId="40" fillId="0" borderId="0" xfId="0" applyFont="1"/>
    <xf numFmtId="177" fontId="33" fillId="0" borderId="0" xfId="2" applyNumberFormat="1" applyFont="1" applyBorder="1" applyProtection="1"/>
    <xf numFmtId="181" fontId="33" fillId="0" borderId="0" xfId="0" applyNumberFormat="1" applyFont="1"/>
    <xf numFmtId="0" fontId="41" fillId="0" borderId="0" xfId="0" applyFont="1"/>
    <xf numFmtId="0" fontId="34" fillId="0" borderId="0" xfId="0" applyFont="1" applyAlignment="1">
      <alignment vertical="center" wrapText="1"/>
    </xf>
    <xf numFmtId="177" fontId="32" fillId="0" borderId="0" xfId="2" applyNumberFormat="1" applyFont="1" applyBorder="1" applyProtection="1"/>
    <xf numFmtId="0" fontId="42" fillId="0" borderId="0" xfId="0" applyFont="1"/>
    <xf numFmtId="177" fontId="33" fillId="0" borderId="0" xfId="2" applyNumberFormat="1" applyFont="1" applyBorder="1" applyAlignment="1" applyProtection="1">
      <alignment horizontal="right"/>
    </xf>
    <xf numFmtId="177" fontId="29" fillId="0" borderId="0" xfId="2" applyNumberFormat="1" applyFont="1" applyBorder="1" applyAlignment="1" applyProtection="1">
      <alignment horizontal="left"/>
    </xf>
    <xf numFmtId="0" fontId="32" fillId="0" borderId="0" xfId="0" applyFont="1" applyAlignment="1">
      <alignment horizontal="left"/>
    </xf>
    <xf numFmtId="183" fontId="32" fillId="0" borderId="0" xfId="0" applyNumberFormat="1" applyFont="1"/>
    <xf numFmtId="177" fontId="32" fillId="0" borderId="2" xfId="2" applyNumberFormat="1" applyFont="1" applyBorder="1" applyProtection="1"/>
    <xf numFmtId="0" fontId="43" fillId="0" borderId="2" xfId="0" applyFont="1" applyBorder="1" applyAlignment="1">
      <alignment horizontal="right"/>
    </xf>
    <xf numFmtId="183" fontId="44" fillId="0" borderId="2" xfId="0" applyNumberFormat="1" applyFont="1" applyBorder="1"/>
    <xf numFmtId="183" fontId="0" fillId="0" borderId="0" xfId="0" applyNumberFormat="1"/>
    <xf numFmtId="171" fontId="32" fillId="0" borderId="0" xfId="0" applyNumberFormat="1" applyFont="1" applyAlignment="1">
      <alignment horizontal="right"/>
    </xf>
    <xf numFmtId="0" fontId="32" fillId="0" borderId="0" xfId="0" applyFont="1" applyAlignment="1">
      <alignment horizontal="center"/>
    </xf>
    <xf numFmtId="172" fontId="32" fillId="0" borderId="0" xfId="0" applyNumberFormat="1" applyFont="1"/>
    <xf numFmtId="0" fontId="45" fillId="0" borderId="2" xfId="0" applyFont="1" applyBorder="1"/>
    <xf numFmtId="0" fontId="1" fillId="0" borderId="2" xfId="0" applyFont="1" applyBorder="1"/>
    <xf numFmtId="0" fontId="0" fillId="0" borderId="2" xfId="0" applyBorder="1"/>
    <xf numFmtId="0" fontId="46" fillId="0" borderId="0" xfId="0" applyFont="1" applyAlignment="1">
      <alignment horizontal="right"/>
    </xf>
    <xf numFmtId="0" fontId="46" fillId="0" borderId="0" xfId="0" applyFont="1"/>
    <xf numFmtId="0" fontId="46" fillId="0" borderId="0" xfId="0" applyFont="1" applyAlignment="1">
      <alignment horizontal="center"/>
    </xf>
    <xf numFmtId="172" fontId="47" fillId="0" borderId="0" xfId="0" applyNumberFormat="1" applyFont="1" applyAlignment="1">
      <alignment horizontal="right"/>
    </xf>
    <xf numFmtId="172" fontId="0" fillId="0" borderId="0" xfId="0" applyNumberFormat="1"/>
    <xf numFmtId="1" fontId="32" fillId="0" borderId="0" xfId="0" applyNumberFormat="1" applyFont="1" applyAlignment="1">
      <alignment horizontal="left"/>
    </xf>
    <xf numFmtId="184" fontId="32" fillId="0" borderId="0" xfId="0" applyNumberFormat="1" applyFont="1" applyAlignment="1">
      <alignment horizontal="right"/>
    </xf>
    <xf numFmtId="185" fontId="32" fillId="0" borderId="0" xfId="0" applyNumberFormat="1" applyFont="1" applyAlignment="1">
      <alignment horizontal="left"/>
    </xf>
    <xf numFmtId="1" fontId="32" fillId="0" borderId="0" xfId="0" applyNumberFormat="1" applyFont="1" applyAlignment="1">
      <alignment horizontal="center"/>
    </xf>
    <xf numFmtId="186" fontId="32" fillId="0" borderId="0" xfId="0" applyNumberFormat="1" applyFont="1"/>
    <xf numFmtId="187" fontId="29" fillId="0" borderId="0" xfId="0" applyNumberFormat="1" applyFont="1" applyAlignment="1">
      <alignment horizontal="left"/>
    </xf>
    <xf numFmtId="167" fontId="32" fillId="0" borderId="0" xfId="0" applyNumberFormat="1" applyFont="1" applyAlignment="1">
      <alignment horizontal="right"/>
    </xf>
    <xf numFmtId="167" fontId="32" fillId="0" borderId="0" xfId="0" applyNumberFormat="1" applyFont="1"/>
    <xf numFmtId="188" fontId="32" fillId="0" borderId="41" xfId="0" applyNumberFormat="1" applyFont="1" applyBorder="1" applyAlignment="1">
      <alignment horizontal="center"/>
    </xf>
    <xf numFmtId="189" fontId="32" fillId="0" borderId="41" xfId="0" applyNumberFormat="1" applyFont="1" applyBorder="1" applyAlignment="1">
      <alignment horizontal="center"/>
    </xf>
    <xf numFmtId="1" fontId="32" fillId="0" borderId="0" xfId="0" applyNumberFormat="1" applyFont="1" applyAlignment="1">
      <alignment horizontal="right"/>
    </xf>
    <xf numFmtId="190" fontId="32" fillId="0" borderId="0" xfId="0" applyNumberFormat="1" applyFont="1" applyAlignment="1">
      <alignment horizontal="center"/>
    </xf>
    <xf numFmtId="167" fontId="1" fillId="0" borderId="0" xfId="0" applyNumberFormat="1" applyFont="1"/>
    <xf numFmtId="0" fontId="48" fillId="0" borderId="0" xfId="0" applyFont="1"/>
    <xf numFmtId="172" fontId="48" fillId="0" borderId="0" xfId="0" applyNumberFormat="1" applyFont="1"/>
    <xf numFmtId="4" fontId="48" fillId="0" borderId="0" xfId="0" applyNumberFormat="1" applyFont="1"/>
    <xf numFmtId="4" fontId="32" fillId="0" borderId="0" xfId="0" applyNumberFormat="1" applyFont="1"/>
    <xf numFmtId="0" fontId="49" fillId="0" borderId="0" xfId="0" applyFont="1"/>
    <xf numFmtId="172" fontId="32" fillId="0" borderId="2" xfId="0" applyNumberFormat="1" applyFont="1" applyBorder="1"/>
    <xf numFmtId="0" fontId="45" fillId="0" borderId="0" xfId="0" applyFont="1"/>
    <xf numFmtId="183" fontId="33" fillId="0" borderId="0" xfId="0" applyNumberFormat="1" applyFont="1" applyAlignment="1">
      <alignment horizontal="center"/>
    </xf>
    <xf numFmtId="1" fontId="32" fillId="0" borderId="0" xfId="0" applyNumberFormat="1" applyFont="1"/>
    <xf numFmtId="4" fontId="32" fillId="0" borderId="0" xfId="0" applyNumberFormat="1" applyFont="1" applyAlignment="1">
      <alignment horizontal="right"/>
    </xf>
    <xf numFmtId="1" fontId="32" fillId="0" borderId="41" xfId="0" applyNumberFormat="1" applyFont="1" applyBorder="1"/>
    <xf numFmtId="172" fontId="33" fillId="0" borderId="0" xfId="0" applyNumberFormat="1" applyFont="1" applyAlignment="1">
      <alignment horizontal="left"/>
    </xf>
    <xf numFmtId="191" fontId="32" fillId="0" borderId="0" xfId="1" applyNumberFormat="1" applyFont="1" applyBorder="1" applyProtection="1"/>
    <xf numFmtId="172" fontId="33" fillId="0" borderId="0" xfId="0" applyNumberFormat="1" applyFont="1"/>
    <xf numFmtId="0" fontId="50" fillId="0" borderId="0" xfId="0" applyFont="1"/>
    <xf numFmtId="0" fontId="32" fillId="0" borderId="2" xfId="0" applyFont="1" applyBorder="1"/>
    <xf numFmtId="4" fontId="32" fillId="0" borderId="2" xfId="0" applyNumberFormat="1" applyFont="1" applyBorder="1"/>
    <xf numFmtId="191" fontId="32" fillId="0" borderId="0" xfId="0" applyNumberFormat="1" applyFont="1"/>
    <xf numFmtId="172" fontId="32" fillId="0" borderId="0" xfId="0" applyNumberFormat="1" applyFont="1" applyAlignment="1">
      <alignment horizontal="right"/>
    </xf>
    <xf numFmtId="191" fontId="0" fillId="0" borderId="0" xfId="0" applyNumberFormat="1"/>
    <xf numFmtId="0" fontId="51" fillId="0" borderId="0" xfId="0" applyFont="1" applyAlignment="1">
      <alignment horizontal="right"/>
    </xf>
    <xf numFmtId="172" fontId="52" fillId="0" borderId="0" xfId="0" applyNumberFormat="1" applyFont="1"/>
    <xf numFmtId="191" fontId="32" fillId="0" borderId="41" xfId="1" applyNumberFormat="1" applyFont="1" applyBorder="1" applyProtection="1"/>
    <xf numFmtId="191" fontId="87" fillId="0" borderId="0" xfId="1" applyNumberFormat="1" applyBorder="1" applyProtection="1"/>
    <xf numFmtId="191" fontId="1" fillId="0" borderId="0" xfId="0" applyNumberFormat="1" applyFont="1"/>
    <xf numFmtId="0" fontId="46" fillId="0" borderId="0" xfId="0" applyFont="1" applyAlignment="1">
      <alignment horizontal="left"/>
    </xf>
    <xf numFmtId="1" fontId="10" fillId="0" borderId="0" xfId="0" applyNumberFormat="1" applyFont="1" applyAlignment="1">
      <alignment horizontal="center" wrapText="1"/>
    </xf>
    <xf numFmtId="0" fontId="10" fillId="0" borderId="0" xfId="0" applyFont="1" applyAlignment="1">
      <alignment horizontal="center" wrapText="1"/>
    </xf>
    <xf numFmtId="1" fontId="32" fillId="0" borderId="0" xfId="0" applyNumberFormat="1" applyFont="1" applyAlignment="1">
      <alignment horizontal="left" wrapText="1"/>
    </xf>
    <xf numFmtId="0" fontId="32" fillId="0" borderId="0" xfId="0" applyFont="1" applyAlignment="1">
      <alignment horizontal="center" wrapText="1"/>
    </xf>
    <xf numFmtId="191" fontId="32" fillId="0" borderId="0" xfId="1" applyNumberFormat="1" applyFont="1" applyBorder="1" applyAlignment="1" applyProtection="1">
      <alignment horizontal="right" wrapText="1"/>
    </xf>
    <xf numFmtId="1" fontId="33" fillId="0" borderId="0" xfId="0" applyNumberFormat="1" applyFont="1" applyAlignment="1">
      <alignment horizontal="left" wrapText="1"/>
    </xf>
    <xf numFmtId="0" fontId="33" fillId="0" borderId="0" xfId="0" applyFont="1" applyAlignment="1">
      <alignment horizontal="center" wrapText="1"/>
    </xf>
    <xf numFmtId="1" fontId="33" fillId="0" borderId="0" xfId="0" applyNumberFormat="1" applyFont="1" applyAlignment="1">
      <alignment horizontal="center" wrapText="1"/>
    </xf>
    <xf numFmtId="191" fontId="32" fillId="0" borderId="41" xfId="0" applyNumberFormat="1" applyFont="1" applyBorder="1"/>
    <xf numFmtId="167" fontId="32" fillId="0" borderId="0" xfId="0" applyNumberFormat="1" applyFont="1" applyAlignment="1">
      <alignment horizontal="center"/>
    </xf>
    <xf numFmtId="177" fontId="0" fillId="0" borderId="0" xfId="0" applyNumberFormat="1"/>
    <xf numFmtId="177" fontId="1" fillId="0" borderId="0" xfId="0" applyNumberFormat="1" applyFont="1"/>
    <xf numFmtId="183" fontId="52" fillId="0" borderId="0" xfId="0" applyNumberFormat="1" applyFont="1"/>
    <xf numFmtId="177" fontId="32" fillId="0" borderId="0" xfId="2" applyNumberFormat="1" applyFont="1" applyBorder="1" applyAlignment="1" applyProtection="1">
      <alignment horizontal="center"/>
    </xf>
    <xf numFmtId="177" fontId="32" fillId="0" borderId="0" xfId="0" applyNumberFormat="1" applyFont="1" applyAlignment="1">
      <alignment horizontal="center"/>
    </xf>
    <xf numFmtId="177" fontId="32" fillId="0" borderId="0" xfId="0" applyNumberFormat="1" applyFont="1"/>
    <xf numFmtId="172" fontId="32" fillId="0" borderId="41" xfId="0" applyNumberFormat="1" applyFont="1" applyBorder="1"/>
    <xf numFmtId="192" fontId="32" fillId="0" borderId="0" xfId="0" applyNumberFormat="1" applyFont="1" applyAlignment="1">
      <alignment horizontal="center"/>
    </xf>
    <xf numFmtId="191" fontId="32" fillId="0" borderId="0" xfId="1" applyNumberFormat="1" applyFont="1" applyBorder="1" applyAlignment="1" applyProtection="1">
      <alignment horizontal="center"/>
    </xf>
    <xf numFmtId="192" fontId="32" fillId="0" borderId="0" xfId="0" applyNumberFormat="1" applyFont="1" applyAlignment="1">
      <alignment horizontal="left"/>
    </xf>
    <xf numFmtId="3" fontId="32" fillId="0" borderId="0" xfId="0" applyNumberFormat="1" applyFont="1"/>
    <xf numFmtId="167" fontId="32" fillId="0" borderId="0" xfId="2" applyFont="1" applyBorder="1" applyAlignment="1" applyProtection="1">
      <alignment horizontal="center"/>
    </xf>
    <xf numFmtId="172" fontId="32" fillId="0" borderId="0" xfId="0" applyNumberFormat="1" applyFont="1" applyAlignment="1">
      <alignment horizontal="left"/>
    </xf>
    <xf numFmtId="0" fontId="52" fillId="0" borderId="0" xfId="0" applyFont="1"/>
    <xf numFmtId="183" fontId="32" fillId="0" borderId="0" xfId="0" applyNumberFormat="1" applyFont="1" applyAlignment="1">
      <alignment horizontal="center"/>
    </xf>
    <xf numFmtId="172" fontId="32" fillId="0" borderId="0" xfId="0" applyNumberFormat="1" applyFont="1" applyAlignment="1">
      <alignment horizontal="center"/>
    </xf>
    <xf numFmtId="167" fontId="32" fillId="0" borderId="0" xfId="2" applyFont="1" applyBorder="1" applyAlignment="1" applyProtection="1">
      <alignment horizontal="left"/>
    </xf>
    <xf numFmtId="193" fontId="0" fillId="0" borderId="0" xfId="0" applyNumberFormat="1"/>
    <xf numFmtId="193" fontId="32" fillId="0" borderId="0" xfId="0" applyNumberFormat="1" applyFont="1"/>
    <xf numFmtId="183" fontId="32" fillId="0" borderId="2" xfId="0" applyNumberFormat="1" applyFont="1" applyBorder="1"/>
    <xf numFmtId="177" fontId="33" fillId="0" borderId="2" xfId="2" applyNumberFormat="1" applyFont="1" applyBorder="1" applyProtection="1"/>
    <xf numFmtId="0" fontId="32" fillId="0" borderId="39" xfId="0" applyFont="1" applyBorder="1"/>
    <xf numFmtId="0" fontId="5" fillId="0" borderId="39" xfId="0" applyFont="1" applyBorder="1"/>
    <xf numFmtId="4" fontId="53" fillId="0" borderId="39" xfId="0" applyNumberFormat="1" applyFont="1" applyBorder="1" applyAlignment="1">
      <alignment horizontal="right"/>
    </xf>
    <xf numFmtId="183" fontId="53" fillId="0" borderId="39" xfId="0" applyNumberFormat="1" applyFont="1" applyBorder="1"/>
    <xf numFmtId="170" fontId="32" fillId="0" borderId="0" xfId="0" applyNumberFormat="1" applyFont="1"/>
    <xf numFmtId="0" fontId="54" fillId="0" borderId="0" xfId="0" applyFont="1"/>
    <xf numFmtId="0" fontId="55" fillId="0" borderId="0" xfId="0" applyFont="1" applyAlignment="1">
      <alignment horizontal="left" indent="2"/>
    </xf>
    <xf numFmtId="0" fontId="58" fillId="0" borderId="0" xfId="0" applyFont="1" applyAlignment="1">
      <alignment horizontal="left" indent="2"/>
    </xf>
    <xf numFmtId="0" fontId="5" fillId="0" borderId="0" xfId="0" applyFont="1" applyAlignment="1">
      <alignment horizontal="center"/>
    </xf>
    <xf numFmtId="0" fontId="5" fillId="9" borderId="16" xfId="0" applyFont="1" applyFill="1" applyBorder="1"/>
    <xf numFmtId="0" fontId="3" fillId="9" borderId="9" xfId="0" applyFont="1" applyFill="1" applyBorder="1" applyAlignment="1">
      <alignment horizontal="right"/>
    </xf>
    <xf numFmtId="0" fontId="1" fillId="14" borderId="16" xfId="0" applyFont="1" applyFill="1" applyBorder="1" applyAlignment="1">
      <alignment horizontal="left"/>
    </xf>
    <xf numFmtId="0" fontId="10" fillId="14" borderId="9" xfId="0" applyFont="1" applyFill="1" applyBorder="1" applyAlignment="1">
      <alignment horizontal="left"/>
    </xf>
    <xf numFmtId="0" fontId="1" fillId="14" borderId="9" xfId="0" applyFont="1" applyFill="1" applyBorder="1"/>
    <xf numFmtId="0" fontId="1" fillId="14" borderId="17" xfId="0" applyFont="1" applyFill="1" applyBorder="1"/>
    <xf numFmtId="0" fontId="1" fillId="9" borderId="9" xfId="0" applyFont="1" applyFill="1" applyBorder="1"/>
    <xf numFmtId="0" fontId="1" fillId="9" borderId="16" xfId="0" applyFont="1" applyFill="1" applyBorder="1"/>
    <xf numFmtId="0" fontId="1" fillId="9" borderId="9" xfId="0" applyFont="1" applyFill="1" applyBorder="1" applyAlignment="1">
      <alignment horizontal="right"/>
    </xf>
    <xf numFmtId="0" fontId="10" fillId="9" borderId="9" xfId="0" applyFont="1" applyFill="1" applyBorder="1" applyAlignment="1">
      <alignment horizontal="center"/>
    </xf>
    <xf numFmtId="0" fontId="10" fillId="0" borderId="9" xfId="0" applyFont="1" applyBorder="1" applyAlignment="1">
      <alignment horizontal="center"/>
    </xf>
    <xf numFmtId="0" fontId="10" fillId="0" borderId="17" xfId="0" applyFont="1" applyBorder="1" applyAlignment="1">
      <alignment horizontal="center"/>
    </xf>
    <xf numFmtId="15" fontId="10" fillId="0" borderId="9" xfId="0" applyNumberFormat="1" applyFont="1" applyBorder="1" applyAlignment="1">
      <alignment horizontal="left"/>
    </xf>
    <xf numFmtId="0" fontId="61" fillId="9" borderId="17" xfId="0" applyFont="1" applyFill="1" applyBorder="1" applyAlignment="1">
      <alignment horizontal="center"/>
    </xf>
    <xf numFmtId="0" fontId="1" fillId="9" borderId="17" xfId="0" applyFont="1" applyFill="1" applyBorder="1"/>
    <xf numFmtId="0" fontId="5" fillId="9" borderId="7" xfId="0" applyFont="1" applyFill="1" applyBorder="1"/>
    <xf numFmtId="0" fontId="3" fillId="9" borderId="0" xfId="0" applyFont="1" applyFill="1" applyAlignment="1">
      <alignment horizontal="right"/>
    </xf>
    <xf numFmtId="1" fontId="10" fillId="14" borderId="7" xfId="0" applyNumberFormat="1" applyFont="1" applyFill="1" applyBorder="1" applyAlignment="1">
      <alignment horizontal="left"/>
    </xf>
    <xf numFmtId="0" fontId="10" fillId="14" borderId="0" xfId="0" applyFont="1" applyFill="1" applyAlignment="1">
      <alignment horizontal="left"/>
    </xf>
    <xf numFmtId="0" fontId="1" fillId="14" borderId="0" xfId="0" applyFont="1" applyFill="1"/>
    <xf numFmtId="0" fontId="1" fillId="14" borderId="8" xfId="0" applyFont="1" applyFill="1" applyBorder="1"/>
    <xf numFmtId="0" fontId="1" fillId="9" borderId="0" xfId="0" applyFont="1" applyFill="1"/>
    <xf numFmtId="0" fontId="1" fillId="9" borderId="7" xfId="0" applyFont="1" applyFill="1" applyBorder="1"/>
    <xf numFmtId="0" fontId="1" fillId="9" borderId="0" xfId="0" applyFont="1" applyFill="1" applyAlignment="1">
      <alignment horizontal="right"/>
    </xf>
    <xf numFmtId="0" fontId="1" fillId="14" borderId="16" xfId="0" applyFont="1" applyFill="1" applyBorder="1" applyAlignment="1" applyProtection="1">
      <alignment horizontal="left"/>
      <protection locked="0"/>
    </xf>
    <xf numFmtId="0" fontId="1" fillId="14" borderId="9" xfId="0" applyFont="1" applyFill="1" applyBorder="1" applyAlignment="1" applyProtection="1">
      <alignment horizontal="left"/>
      <protection locked="0"/>
    </xf>
    <xf numFmtId="0" fontId="1" fillId="14" borderId="42" xfId="0" applyFont="1" applyFill="1" applyBorder="1" applyAlignment="1" applyProtection="1">
      <alignment horizontal="left"/>
      <protection locked="0"/>
    </xf>
    <xf numFmtId="14" fontId="1" fillId="14" borderId="43" xfId="0" applyNumberFormat="1" applyFont="1" applyFill="1" applyBorder="1" applyAlignment="1" applyProtection="1">
      <alignment horizontal="center"/>
      <protection locked="0"/>
    </xf>
    <xf numFmtId="14" fontId="1" fillId="14" borderId="44" xfId="0" applyNumberFormat="1" applyFont="1" applyFill="1" applyBorder="1" applyProtection="1">
      <protection locked="0"/>
    </xf>
    <xf numFmtId="0" fontId="61" fillId="9" borderId="8" xfId="0" applyFont="1" applyFill="1" applyBorder="1" applyAlignment="1">
      <alignment horizontal="center"/>
    </xf>
    <xf numFmtId="0" fontId="1" fillId="9" borderId="8" xfId="0" applyFont="1" applyFill="1" applyBorder="1"/>
    <xf numFmtId="0" fontId="1" fillId="14" borderId="12" xfId="0" applyFont="1" applyFill="1" applyBorder="1" applyAlignment="1">
      <alignment horizontal="left"/>
    </xf>
    <xf numFmtId="0" fontId="1" fillId="14" borderId="6" xfId="0" applyFont="1" applyFill="1" applyBorder="1" applyAlignment="1">
      <alignment horizontal="left"/>
    </xf>
    <xf numFmtId="0" fontId="10" fillId="14" borderId="6" xfId="0" applyFont="1" applyFill="1" applyBorder="1" applyAlignment="1">
      <alignment horizontal="left"/>
    </xf>
    <xf numFmtId="0" fontId="1" fillId="14" borderId="13" xfId="0" applyFont="1" applyFill="1" applyBorder="1" applyAlignment="1">
      <alignment horizontal="left"/>
    </xf>
    <xf numFmtId="0" fontId="1" fillId="14" borderId="7" xfId="0" applyFont="1" applyFill="1" applyBorder="1" applyAlignment="1" applyProtection="1">
      <alignment horizontal="left"/>
      <protection locked="0"/>
    </xf>
    <xf numFmtId="0" fontId="1" fillId="14" borderId="0" xfId="0" applyFont="1" applyFill="1" applyAlignment="1" applyProtection="1">
      <alignment horizontal="left"/>
      <protection locked="0"/>
    </xf>
    <xf numFmtId="0" fontId="1" fillId="14" borderId="45" xfId="0" applyFont="1" applyFill="1" applyBorder="1" applyAlignment="1" applyProtection="1">
      <alignment horizontal="left"/>
      <protection locked="0"/>
    </xf>
    <xf numFmtId="14" fontId="1" fillId="14" borderId="46" xfId="0" applyNumberFormat="1" applyFont="1" applyFill="1" applyBorder="1" applyAlignment="1" applyProtection="1">
      <alignment horizontal="center"/>
      <protection locked="0"/>
    </xf>
    <xf numFmtId="14" fontId="1" fillId="14" borderId="47" xfId="0" applyNumberFormat="1" applyFont="1" applyFill="1" applyBorder="1" applyProtection="1">
      <protection locked="0"/>
    </xf>
    <xf numFmtId="0" fontId="1" fillId="14" borderId="16" xfId="0" applyFont="1" applyFill="1" applyBorder="1"/>
    <xf numFmtId="0" fontId="1" fillId="14" borderId="48" xfId="0" applyFont="1" applyFill="1" applyBorder="1" applyAlignment="1" applyProtection="1">
      <alignment horizontal="center"/>
      <protection locked="0"/>
    </xf>
    <xf numFmtId="0" fontId="1" fillId="14" borderId="49" xfId="0" applyFont="1" applyFill="1" applyBorder="1" applyAlignment="1" applyProtection="1">
      <alignment horizontal="center"/>
      <protection locked="0"/>
    </xf>
    <xf numFmtId="0" fontId="1" fillId="3" borderId="7" xfId="0" applyFont="1" applyFill="1" applyBorder="1" applyAlignment="1" applyProtection="1">
      <alignment horizontal="left"/>
      <protection locked="0"/>
    </xf>
    <xf numFmtId="0" fontId="1" fillId="3" borderId="0" xfId="0" applyFont="1" applyFill="1" applyAlignment="1" applyProtection="1">
      <alignment horizontal="left"/>
      <protection locked="0"/>
    </xf>
    <xf numFmtId="0" fontId="1" fillId="3" borderId="45" xfId="0" applyFont="1" applyFill="1" applyBorder="1" applyAlignment="1" applyProtection="1">
      <alignment horizontal="left"/>
      <protection locked="0"/>
    </xf>
    <xf numFmtId="14" fontId="1" fillId="3" borderId="46" xfId="0" applyNumberFormat="1" applyFont="1" applyFill="1" applyBorder="1" applyAlignment="1" applyProtection="1">
      <alignment horizontal="center"/>
      <protection locked="0"/>
    </xf>
    <xf numFmtId="14" fontId="1" fillId="3" borderId="47" xfId="0" applyNumberFormat="1" applyFont="1" applyFill="1" applyBorder="1" applyProtection="1">
      <protection locked="0"/>
    </xf>
    <xf numFmtId="0" fontId="1" fillId="3" borderId="7" xfId="0" applyFont="1" applyFill="1" applyBorder="1"/>
    <xf numFmtId="0" fontId="1" fillId="3" borderId="0" xfId="0" applyFont="1" applyFill="1"/>
    <xf numFmtId="0" fontId="62" fillId="3" borderId="50" xfId="0" applyFont="1" applyFill="1" applyBorder="1" applyProtection="1">
      <protection locked="0"/>
    </xf>
    <xf numFmtId="0" fontId="1" fillId="3" borderId="1" xfId="0" applyFont="1" applyFill="1" applyBorder="1" applyProtection="1">
      <protection locked="0"/>
    </xf>
    <xf numFmtId="0" fontId="1" fillId="9" borderId="0" xfId="0" applyFont="1" applyFill="1" applyAlignment="1">
      <alignment horizontal="left"/>
    </xf>
    <xf numFmtId="14" fontId="1" fillId="3" borderId="1" xfId="0" applyNumberFormat="1" applyFont="1" applyFill="1" applyBorder="1" applyProtection="1">
      <protection locked="0"/>
    </xf>
    <xf numFmtId="0" fontId="1" fillId="9" borderId="12" xfId="0" applyFont="1" applyFill="1" applyBorder="1"/>
    <xf numFmtId="0" fontId="1" fillId="9" borderId="6" xfId="0" applyFont="1" applyFill="1" applyBorder="1" applyAlignment="1">
      <alignment horizontal="right"/>
    </xf>
    <xf numFmtId="0" fontId="1" fillId="3" borderId="12" xfId="0" applyFont="1" applyFill="1" applyBorder="1" applyAlignment="1" applyProtection="1">
      <alignment horizontal="left"/>
      <protection locked="0"/>
    </xf>
    <xf numFmtId="0" fontId="1" fillId="3" borderId="6" xfId="0" applyFont="1" applyFill="1" applyBorder="1" applyAlignment="1" applyProtection="1">
      <alignment horizontal="left"/>
      <protection locked="0"/>
    </xf>
    <xf numFmtId="0" fontId="1" fillId="3" borderId="51" xfId="0" applyFont="1" applyFill="1" applyBorder="1" applyAlignment="1" applyProtection="1">
      <alignment horizontal="left"/>
      <protection locked="0"/>
    </xf>
    <xf numFmtId="14" fontId="1" fillId="3" borderId="52" xfId="0" applyNumberFormat="1" applyFont="1" applyFill="1" applyBorder="1" applyAlignment="1" applyProtection="1">
      <alignment horizontal="center"/>
      <protection locked="0"/>
    </xf>
    <xf numFmtId="14" fontId="1" fillId="3" borderId="53" xfId="0" applyNumberFormat="1" applyFont="1" applyFill="1" applyBorder="1" applyProtection="1">
      <protection locked="0"/>
    </xf>
    <xf numFmtId="0" fontId="1" fillId="3" borderId="12" xfId="0" applyFont="1" applyFill="1" applyBorder="1"/>
    <xf numFmtId="0" fontId="1" fillId="3" borderId="6" xfId="0" applyFont="1" applyFill="1" applyBorder="1"/>
    <xf numFmtId="0" fontId="1" fillId="3" borderId="6" xfId="0" applyFont="1" applyFill="1" applyBorder="1" applyProtection="1">
      <protection locked="0"/>
    </xf>
    <xf numFmtId="0" fontId="1" fillId="3" borderId="54" xfId="0" applyFont="1" applyFill="1" applyBorder="1" applyProtection="1">
      <protection locked="0"/>
    </xf>
    <xf numFmtId="0" fontId="1" fillId="3" borderId="55" xfId="0" applyFont="1" applyFill="1" applyBorder="1" applyProtection="1">
      <protection locked="0"/>
    </xf>
    <xf numFmtId="14" fontId="1" fillId="3" borderId="55" xfId="0" applyNumberFormat="1" applyFont="1" applyFill="1" applyBorder="1" applyProtection="1">
      <protection locked="0"/>
    </xf>
    <xf numFmtId="0" fontId="10" fillId="9" borderId="0" xfId="0" applyFont="1" applyFill="1" applyAlignment="1">
      <alignment horizontal="left"/>
    </xf>
    <xf numFmtId="0" fontId="5" fillId="3" borderId="46" xfId="0" applyFont="1" applyFill="1" applyBorder="1"/>
    <xf numFmtId="0" fontId="28" fillId="3" borderId="56" xfId="0" applyFont="1" applyFill="1" applyBorder="1" applyAlignment="1">
      <alignment horizontal="center"/>
    </xf>
    <xf numFmtId="0" fontId="10" fillId="3" borderId="56" xfId="0" applyFont="1" applyFill="1" applyBorder="1"/>
    <xf numFmtId="0" fontId="28" fillId="3" borderId="56" xfId="0" applyFont="1" applyFill="1" applyBorder="1" applyAlignment="1">
      <alignment horizontal="left"/>
    </xf>
    <xf numFmtId="0" fontId="28" fillId="3" borderId="57" xfId="0" applyFont="1" applyFill="1" applyBorder="1" applyAlignment="1">
      <alignment horizontal="left"/>
    </xf>
    <xf numFmtId="0" fontId="1" fillId="14" borderId="16" xfId="0" applyFont="1" applyFill="1" applyBorder="1" applyAlignment="1">
      <alignment horizontal="center"/>
    </xf>
    <xf numFmtId="0" fontId="1" fillId="14" borderId="9" xfId="0" applyFont="1" applyFill="1" applyBorder="1" applyAlignment="1">
      <alignment horizontal="center" wrapText="1"/>
    </xf>
    <xf numFmtId="0" fontId="1" fillId="14" borderId="9" xfId="0" applyFont="1" applyFill="1" applyBorder="1" applyAlignment="1">
      <alignment horizontal="center"/>
    </xf>
    <xf numFmtId="0" fontId="36" fillId="14" borderId="9" xfId="0" applyFont="1" applyFill="1" applyBorder="1" applyAlignment="1">
      <alignment horizontal="center" wrapText="1"/>
    </xf>
    <xf numFmtId="0" fontId="10" fillId="14" borderId="17" xfId="0" applyFont="1" applyFill="1" applyBorder="1" applyAlignment="1">
      <alignment horizontal="center" wrapText="1"/>
    </xf>
    <xf numFmtId="0" fontId="10" fillId="0" borderId="58" xfId="0" applyFont="1" applyBorder="1" applyAlignment="1">
      <alignment horizontal="center"/>
    </xf>
    <xf numFmtId="0" fontId="1" fillId="0" borderId="15" xfId="0" applyFont="1" applyBorder="1"/>
    <xf numFmtId="0" fontId="1" fillId="9" borderId="15" xfId="0" applyFont="1" applyFill="1" applyBorder="1" applyAlignment="1">
      <alignment horizontal="left"/>
    </xf>
    <xf numFmtId="0" fontId="1" fillId="0" borderId="15" xfId="0" applyFont="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wrapText="1"/>
    </xf>
    <xf numFmtId="0" fontId="1" fillId="14" borderId="0" xfId="0" applyFont="1" applyFill="1" applyAlignment="1">
      <alignment horizontal="center"/>
    </xf>
    <xf numFmtId="0" fontId="36" fillId="14" borderId="0" xfId="0" applyFont="1" applyFill="1" applyAlignment="1">
      <alignment horizontal="center" wrapText="1"/>
    </xf>
    <xf numFmtId="0" fontId="10" fillId="14" borderId="8" xfId="0" applyFont="1" applyFill="1" applyBorder="1" applyAlignment="1">
      <alignment horizontal="center" wrapText="1"/>
    </xf>
    <xf numFmtId="0" fontId="10" fillId="0" borderId="24" xfId="0" applyFont="1" applyBorder="1" applyAlignment="1">
      <alignment horizontal="center"/>
    </xf>
    <xf numFmtId="0" fontId="1" fillId="0" borderId="59" xfId="0" applyFont="1" applyBorder="1" applyAlignment="1">
      <alignment horizontal="center"/>
    </xf>
    <xf numFmtId="0" fontId="1" fillId="0" borderId="39" xfId="0" applyFont="1" applyBorder="1" applyAlignment="1">
      <alignment horizontal="center"/>
    </xf>
    <xf numFmtId="0" fontId="1" fillId="0" borderId="60" xfId="0" applyFont="1" applyBorder="1" applyAlignment="1">
      <alignment horizontal="center"/>
    </xf>
    <xf numFmtId="0" fontId="61" fillId="0" borderId="60" xfId="0" applyFont="1" applyBorder="1" applyAlignment="1">
      <alignment horizontal="center"/>
    </xf>
    <xf numFmtId="0" fontId="1" fillId="0" borderId="61" xfId="0" applyFont="1" applyBorder="1" applyAlignment="1">
      <alignment horizontal="center"/>
    </xf>
    <xf numFmtId="0" fontId="1" fillId="14" borderId="59" xfId="0" applyFont="1" applyFill="1" applyBorder="1" applyAlignment="1">
      <alignment horizontal="center"/>
    </xf>
    <xf numFmtId="0" fontId="1" fillId="14" borderId="39" xfId="0" applyFont="1" applyFill="1" applyBorder="1" applyAlignment="1">
      <alignment horizontal="center" wrapText="1"/>
    </xf>
    <xf numFmtId="0" fontId="1" fillId="14" borderId="39" xfId="0" applyFont="1" applyFill="1" applyBorder="1" applyAlignment="1">
      <alignment horizontal="center"/>
    </xf>
    <xf numFmtId="0" fontId="36" fillId="14" borderId="39" xfId="0" applyFont="1" applyFill="1" applyBorder="1" applyAlignment="1">
      <alignment horizontal="center" wrapText="1"/>
    </xf>
    <xf numFmtId="0" fontId="10" fillId="14" borderId="61" xfId="0" applyFont="1" applyFill="1" applyBorder="1" applyAlignment="1">
      <alignment horizontal="center" wrapText="1"/>
    </xf>
    <xf numFmtId="0" fontId="10" fillId="0" borderId="62" xfId="0" applyFont="1" applyBorder="1" applyAlignment="1">
      <alignment horizontal="center"/>
    </xf>
    <xf numFmtId="0" fontId="1" fillId="0" borderId="63" xfId="0" applyFont="1" applyBorder="1" applyAlignment="1">
      <alignment horizontal="center"/>
    </xf>
    <xf numFmtId="177" fontId="5" fillId="0" borderId="0" xfId="2" applyNumberFormat="1" applyFont="1" applyBorder="1" applyProtection="1"/>
    <xf numFmtId="0" fontId="5" fillId="0" borderId="7" xfId="0" applyFont="1" applyBorder="1" applyAlignment="1" applyProtection="1">
      <alignment horizontal="left"/>
      <protection locked="0"/>
    </xf>
    <xf numFmtId="0" fontId="1" fillId="0" borderId="2" xfId="0" applyFont="1" applyBorder="1" applyAlignment="1">
      <alignment horizontal="left"/>
    </xf>
    <xf numFmtId="0" fontId="1" fillId="0" borderId="64" xfId="0" applyFont="1" applyBorder="1"/>
    <xf numFmtId="187" fontId="1" fillId="0" borderId="0" xfId="0" applyNumberFormat="1" applyFont="1"/>
    <xf numFmtId="191" fontId="1" fillId="0" borderId="65" xfId="1" applyNumberFormat="1" applyFont="1" applyBorder="1" applyProtection="1"/>
    <xf numFmtId="0" fontId="10" fillId="0" borderId="8" xfId="0" applyFont="1" applyBorder="1" applyAlignment="1">
      <alignment horizontal="center"/>
    </xf>
    <xf numFmtId="0" fontId="1" fillId="0" borderId="11" xfId="0" applyFont="1" applyBorder="1"/>
    <xf numFmtId="0" fontId="1" fillId="0" borderId="7" xfId="0" applyFont="1" applyBorder="1" applyAlignment="1" applyProtection="1">
      <alignment horizontal="left"/>
      <protection locked="0"/>
    </xf>
    <xf numFmtId="0" fontId="1" fillId="0" borderId="0" xfId="0" applyFont="1" applyAlignment="1" applyProtection="1">
      <alignment horizontal="left"/>
      <protection locked="0"/>
    </xf>
    <xf numFmtId="1" fontId="1" fillId="0" borderId="0" xfId="1" applyNumberFormat="1" applyFont="1" applyBorder="1" applyProtection="1"/>
    <xf numFmtId="0" fontId="1" fillId="6" borderId="46" xfId="0" applyFont="1" applyFill="1" applyBorder="1"/>
    <xf numFmtId="177" fontId="1" fillId="0" borderId="15" xfId="2" applyNumberFormat="1" applyFont="1" applyBorder="1" applyAlignment="1" applyProtection="1">
      <alignment horizontal="right"/>
    </xf>
    <xf numFmtId="177" fontId="36" fillId="15" borderId="1" xfId="2" applyNumberFormat="1" applyFont="1" applyFill="1" applyBorder="1" applyAlignment="1" applyProtection="1">
      <alignment horizontal="center"/>
    </xf>
    <xf numFmtId="177" fontId="11" fillId="0" borderId="0" xfId="2" applyNumberFormat="1" applyFont="1" applyBorder="1" applyProtection="1"/>
    <xf numFmtId="177" fontId="11" fillId="0" borderId="0" xfId="2" applyNumberFormat="1" applyFont="1" applyBorder="1" applyAlignment="1" applyProtection="1">
      <alignment horizontal="right"/>
    </xf>
    <xf numFmtId="177" fontId="11" fillId="0" borderId="45" xfId="2" applyNumberFormat="1" applyFont="1" applyBorder="1" applyProtection="1"/>
    <xf numFmtId="10" fontId="10" fillId="0" borderId="8" xfId="3" applyNumberFormat="1" applyFont="1" applyBorder="1" applyAlignment="1" applyProtection="1">
      <alignment horizontal="center"/>
    </xf>
    <xf numFmtId="1" fontId="1" fillId="0" borderId="11" xfId="0" applyNumberFormat="1" applyFont="1" applyBorder="1"/>
    <xf numFmtId="177" fontId="5" fillId="0" borderId="0" xfId="0" applyNumberFormat="1" applyFont="1"/>
    <xf numFmtId="1" fontId="1" fillId="0" borderId="0" xfId="0" applyNumberFormat="1" applyFont="1"/>
    <xf numFmtId="167" fontId="36" fillId="15" borderId="1" xfId="2" applyFont="1" applyFill="1" applyBorder="1" applyAlignment="1" applyProtection="1">
      <alignment horizontal="center"/>
    </xf>
    <xf numFmtId="0" fontId="5" fillId="0" borderId="0" xfId="0" applyFont="1" applyAlignment="1" applyProtection="1">
      <alignment horizontal="center"/>
      <protection locked="0"/>
    </xf>
    <xf numFmtId="176" fontId="36" fillId="0" borderId="1" xfId="0" applyNumberFormat="1" applyFont="1" applyBorder="1" applyAlignment="1">
      <alignment horizontal="center"/>
    </xf>
    <xf numFmtId="0" fontId="1" fillId="9" borderId="57" xfId="0" applyFont="1" applyFill="1" applyBorder="1"/>
    <xf numFmtId="191" fontId="1" fillId="0" borderId="0" xfId="1" applyNumberFormat="1" applyFont="1" applyBorder="1" applyProtection="1"/>
    <xf numFmtId="167" fontId="1" fillId="15" borderId="1" xfId="2" applyFont="1" applyFill="1" applyBorder="1" applyProtection="1"/>
    <xf numFmtId="167" fontId="36" fillId="0" borderId="1" xfId="2" applyFont="1" applyBorder="1" applyAlignment="1" applyProtection="1">
      <alignment horizontal="right"/>
    </xf>
    <xf numFmtId="167" fontId="1" fillId="6" borderId="0" xfId="2" applyFont="1" applyFill="1" applyBorder="1" applyAlignment="1" applyProtection="1">
      <alignment horizontal="right"/>
    </xf>
    <xf numFmtId="167" fontId="1" fillId="6" borderId="45" xfId="2" applyFont="1" applyFill="1" applyBorder="1" applyAlignment="1" applyProtection="1">
      <alignment horizontal="right"/>
    </xf>
    <xf numFmtId="177" fontId="1" fillId="6" borderId="0" xfId="2" applyNumberFormat="1" applyFont="1" applyFill="1" applyBorder="1" applyAlignment="1" applyProtection="1">
      <alignment horizontal="center"/>
    </xf>
    <xf numFmtId="177" fontId="1" fillId="6" borderId="0" xfId="2" applyNumberFormat="1" applyFont="1" applyFill="1" applyBorder="1" applyAlignment="1" applyProtection="1">
      <alignment horizontal="right"/>
    </xf>
    <xf numFmtId="177" fontId="1" fillId="6" borderId="45" xfId="2" applyNumberFormat="1" applyFont="1" applyFill="1" applyBorder="1" applyAlignment="1" applyProtection="1">
      <alignment horizontal="right"/>
    </xf>
    <xf numFmtId="177" fontId="1" fillId="0" borderId="15" xfId="2" applyNumberFormat="1" applyFont="1" applyBorder="1" applyAlignment="1" applyProtection="1">
      <alignment horizontal="center" vertical="center"/>
    </xf>
    <xf numFmtId="167" fontId="36" fillId="15" borderId="1" xfId="0" applyNumberFormat="1" applyFont="1" applyFill="1" applyBorder="1" applyAlignment="1">
      <alignment horizontal="center"/>
    </xf>
    <xf numFmtId="0" fontId="1" fillId="0" borderId="0" xfId="0" applyFont="1" applyAlignment="1" applyProtection="1">
      <alignment horizontal="right"/>
      <protection locked="0"/>
    </xf>
    <xf numFmtId="1" fontId="1" fillId="0" borderId="0" xfId="1" applyNumberFormat="1" applyFont="1" applyBorder="1" applyAlignment="1" applyProtection="1">
      <alignment horizontal="right"/>
    </xf>
    <xf numFmtId="0" fontId="1" fillId="0" borderId="46" xfId="0" applyFont="1" applyBorder="1"/>
    <xf numFmtId="167" fontId="36" fillId="0" borderId="1" xfId="0" applyNumberFormat="1" applyFont="1" applyBorder="1" applyAlignment="1">
      <alignment horizontal="center"/>
    </xf>
    <xf numFmtId="177" fontId="11" fillId="0" borderId="45" xfId="2" applyNumberFormat="1" applyFont="1" applyBorder="1" applyAlignment="1" applyProtection="1">
      <alignment horizontal="right"/>
    </xf>
    <xf numFmtId="177" fontId="63" fillId="0" borderId="0" xfId="2" applyNumberFormat="1" applyFont="1" applyBorder="1" applyProtection="1"/>
    <xf numFmtId="177" fontId="63" fillId="0" borderId="0" xfId="2" applyNumberFormat="1" applyFont="1" applyBorder="1" applyAlignment="1" applyProtection="1">
      <alignment horizontal="right"/>
    </xf>
    <xf numFmtId="0" fontId="1" fillId="9" borderId="41" xfId="0" applyFont="1" applyFill="1" applyBorder="1"/>
    <xf numFmtId="177" fontId="1" fillId="0" borderId="45" xfId="2" applyNumberFormat="1" applyFont="1" applyBorder="1" applyAlignment="1" applyProtection="1">
      <alignment horizontal="right"/>
      <protection locked="0"/>
    </xf>
    <xf numFmtId="167" fontId="36" fillId="9" borderId="1" xfId="2" applyFont="1" applyFill="1" applyBorder="1" applyAlignment="1" applyProtection="1">
      <alignment horizontal="center"/>
    </xf>
    <xf numFmtId="177" fontId="64" fillId="6" borderId="0" xfId="2" applyNumberFormat="1" applyFont="1" applyFill="1" applyBorder="1" applyAlignment="1" applyProtection="1">
      <alignment horizontal="right"/>
    </xf>
    <xf numFmtId="191" fontId="1" fillId="0" borderId="0" xfId="1" applyNumberFormat="1" applyFont="1" applyBorder="1" applyAlignment="1" applyProtection="1">
      <alignment horizontal="right"/>
    </xf>
    <xf numFmtId="177" fontId="1" fillId="15" borderId="1" xfId="2" applyNumberFormat="1" applyFont="1" applyFill="1" applyBorder="1" applyProtection="1"/>
    <xf numFmtId="177" fontId="36" fillId="0" borderId="0" xfId="0" applyNumberFormat="1" applyFont="1"/>
    <xf numFmtId="191" fontId="11" fillId="0" borderId="0" xfId="1" applyNumberFormat="1" applyFont="1" applyBorder="1" applyProtection="1"/>
    <xf numFmtId="167" fontId="11" fillId="0" borderId="0" xfId="2" applyFont="1" applyBorder="1" applyAlignment="1" applyProtection="1">
      <alignment horizontal="right"/>
    </xf>
    <xf numFmtId="191" fontId="11" fillId="0" borderId="45" xfId="1" applyNumberFormat="1" applyFont="1" applyBorder="1" applyProtection="1"/>
    <xf numFmtId="176" fontId="5" fillId="0" borderId="7" xfId="0" applyNumberFormat="1" applyFont="1" applyBorder="1" applyAlignment="1" applyProtection="1">
      <alignment horizontal="left"/>
      <protection locked="0"/>
    </xf>
    <xf numFmtId="176" fontId="5" fillId="0" borderId="0" xfId="0" applyNumberFormat="1" applyFont="1" applyAlignment="1" applyProtection="1">
      <alignment horizontal="center"/>
      <protection locked="0"/>
    </xf>
    <xf numFmtId="167" fontId="36" fillId="0" borderId="1" xfId="2" applyFont="1" applyBorder="1" applyAlignment="1" applyProtection="1">
      <alignment horizontal="center"/>
    </xf>
    <xf numFmtId="167" fontId="1" fillId="6" borderId="45" xfId="2" applyFont="1" applyFill="1" applyBorder="1" applyProtection="1"/>
    <xf numFmtId="0" fontId="1" fillId="5" borderId="1" xfId="0" applyFont="1" applyFill="1" applyBorder="1" applyAlignment="1">
      <alignment horizontal="left"/>
    </xf>
    <xf numFmtId="193" fontId="11" fillId="9" borderId="0" xfId="2" applyNumberFormat="1" applyFont="1" applyFill="1" applyBorder="1" applyAlignment="1" applyProtection="1">
      <alignment horizontal="left"/>
    </xf>
    <xf numFmtId="167" fontId="11" fillId="9" borderId="0" xfId="2" applyFont="1" applyFill="1" applyBorder="1" applyAlignment="1" applyProtection="1">
      <alignment horizontal="right"/>
    </xf>
    <xf numFmtId="193" fontId="11" fillId="9" borderId="0" xfId="2" applyNumberFormat="1" applyFont="1" applyFill="1" applyBorder="1" applyAlignment="1" applyProtection="1">
      <alignment horizontal="right"/>
    </xf>
    <xf numFmtId="0" fontId="5" fillId="0" borderId="45" xfId="0" applyFont="1" applyBorder="1" applyAlignment="1">
      <alignment horizontal="left"/>
    </xf>
    <xf numFmtId="177" fontId="1" fillId="9" borderId="0" xfId="2" applyNumberFormat="1" applyFont="1" applyFill="1" applyBorder="1" applyAlignment="1" applyProtection="1">
      <alignment horizontal="right"/>
    </xf>
    <xf numFmtId="167" fontId="36" fillId="9" borderId="0" xfId="2" applyFont="1" applyFill="1" applyBorder="1" applyAlignment="1" applyProtection="1">
      <alignment horizontal="center"/>
    </xf>
    <xf numFmtId="191" fontId="11" fillId="0" borderId="0" xfId="1" applyNumberFormat="1" applyFont="1" applyBorder="1" applyAlignment="1" applyProtection="1">
      <alignment horizontal="right"/>
    </xf>
    <xf numFmtId="191" fontId="11" fillId="0" borderId="45" xfId="1" applyNumberFormat="1" applyFont="1" applyBorder="1" applyAlignment="1" applyProtection="1">
      <alignment horizontal="right"/>
    </xf>
    <xf numFmtId="0" fontId="1" fillId="9" borderId="37" xfId="0" applyFont="1" applyFill="1" applyBorder="1"/>
    <xf numFmtId="177" fontId="1" fillId="0" borderId="0" xfId="2" applyNumberFormat="1" applyFont="1" applyBorder="1" applyAlignment="1" applyProtection="1">
      <alignment horizontal="right"/>
    </xf>
    <xf numFmtId="179" fontId="1" fillId="0" borderId="11" xfId="0" applyNumberFormat="1" applyFont="1" applyBorder="1"/>
    <xf numFmtId="0" fontId="10" fillId="0" borderId="7" xfId="0" applyFont="1" applyBorder="1" applyAlignment="1" applyProtection="1">
      <alignment horizontal="left"/>
      <protection locked="0"/>
    </xf>
    <xf numFmtId="0" fontId="10" fillId="0" borderId="0" xfId="0" applyFont="1" applyAlignment="1" applyProtection="1">
      <alignment horizontal="center"/>
      <protection locked="0"/>
    </xf>
    <xf numFmtId="176" fontId="36" fillId="0" borderId="0" xfId="0" applyNumberFormat="1" applyFont="1" applyAlignment="1">
      <alignment horizontal="center"/>
    </xf>
    <xf numFmtId="0" fontId="1" fillId="0" borderId="66" xfId="0" applyFont="1" applyBorder="1"/>
    <xf numFmtId="167" fontId="1" fillId="0" borderId="1" xfId="2" applyFont="1" applyBorder="1" applyProtection="1"/>
    <xf numFmtId="177" fontId="1" fillId="5" borderId="0" xfId="2" applyNumberFormat="1" applyFont="1" applyFill="1" applyBorder="1" applyProtection="1"/>
    <xf numFmtId="177" fontId="1" fillId="5" borderId="45" xfId="2" applyNumberFormat="1" applyFont="1" applyFill="1" applyBorder="1" applyProtection="1"/>
    <xf numFmtId="167" fontId="11" fillId="0" borderId="0" xfId="2" applyFont="1" applyBorder="1" applyProtection="1"/>
    <xf numFmtId="179" fontId="11" fillId="0" borderId="0" xfId="1" applyFont="1" applyBorder="1" applyAlignment="1" applyProtection="1">
      <alignment horizontal="right"/>
    </xf>
    <xf numFmtId="179" fontId="11" fillId="0" borderId="45" xfId="1" applyFont="1" applyBorder="1" applyAlignment="1" applyProtection="1">
      <alignment horizontal="right"/>
    </xf>
    <xf numFmtId="167" fontId="1" fillId="0" borderId="15" xfId="2" applyFont="1" applyBorder="1" applyAlignment="1" applyProtection="1">
      <alignment horizontal="right"/>
    </xf>
    <xf numFmtId="9" fontId="10" fillId="0" borderId="8" xfId="3" applyFont="1" applyBorder="1" applyAlignment="1" applyProtection="1">
      <alignment horizontal="center"/>
    </xf>
    <xf numFmtId="191" fontId="36" fillId="0" borderId="0" xfId="1" applyNumberFormat="1" applyFont="1" applyBorder="1" applyAlignment="1" applyProtection="1">
      <alignment horizontal="right"/>
    </xf>
    <xf numFmtId="177" fontId="1" fillId="0" borderId="45" xfId="2" applyNumberFormat="1" applyFont="1" applyBorder="1" applyProtection="1"/>
    <xf numFmtId="191" fontId="1" fillId="6" borderId="0" xfId="1" applyNumberFormat="1" applyFont="1" applyFill="1" applyBorder="1" applyProtection="1"/>
    <xf numFmtId="191" fontId="1" fillId="6" borderId="0" xfId="1" applyNumberFormat="1" applyFont="1" applyFill="1" applyBorder="1" applyAlignment="1" applyProtection="1">
      <alignment horizontal="center"/>
    </xf>
    <xf numFmtId="191" fontId="61" fillId="6" borderId="0" xfId="1" applyNumberFormat="1" applyFont="1" applyFill="1" applyBorder="1" applyAlignment="1" applyProtection="1">
      <alignment horizontal="right"/>
    </xf>
    <xf numFmtId="177" fontId="1" fillId="6" borderId="45" xfId="2" applyNumberFormat="1" applyFont="1" applyFill="1" applyBorder="1" applyProtection="1"/>
    <xf numFmtId="0" fontId="5" fillId="0" borderId="21" xfId="0" applyFont="1" applyBorder="1"/>
    <xf numFmtId="0" fontId="5" fillId="0" borderId="22" xfId="0" applyFont="1" applyBorder="1"/>
    <xf numFmtId="0" fontId="5" fillId="0" borderId="23" xfId="0" applyFont="1" applyBorder="1"/>
    <xf numFmtId="0" fontId="5" fillId="0" borderId="7" xfId="0" applyFont="1" applyBorder="1" applyAlignment="1" applyProtection="1">
      <alignment horizontal="center"/>
      <protection locked="0"/>
    </xf>
    <xf numFmtId="191" fontId="1" fillId="0" borderId="0" xfId="1" applyNumberFormat="1" applyFont="1" applyBorder="1" applyAlignment="1" applyProtection="1">
      <alignment horizontal="center"/>
    </xf>
    <xf numFmtId="1" fontId="1" fillId="0" borderId="0" xfId="1" applyNumberFormat="1" applyFont="1" applyBorder="1" applyAlignment="1" applyProtection="1">
      <alignment horizontal="center"/>
    </xf>
    <xf numFmtId="177" fontId="21" fillId="0" borderId="45" xfId="2" applyNumberFormat="1" applyFont="1" applyBorder="1" applyProtection="1"/>
    <xf numFmtId="0" fontId="5" fillId="0" borderId="7" xfId="0" applyFont="1" applyBorder="1"/>
    <xf numFmtId="191" fontId="5" fillId="0" borderId="0" xfId="0" applyNumberFormat="1" applyFont="1"/>
    <xf numFmtId="191" fontId="5" fillId="0" borderId="8" xfId="0" applyNumberFormat="1" applyFont="1" applyBorder="1"/>
    <xf numFmtId="0" fontId="5" fillId="0" borderId="12" xfId="0" applyFont="1" applyBorder="1"/>
    <xf numFmtId="0" fontId="10" fillId="0" borderId="6" xfId="0" applyFont="1" applyBorder="1"/>
    <xf numFmtId="191" fontId="10" fillId="0" borderId="6" xfId="1" applyNumberFormat="1" applyFont="1" applyBorder="1" applyProtection="1"/>
    <xf numFmtId="191" fontId="10" fillId="0" borderId="6" xfId="1" applyNumberFormat="1" applyFont="1" applyBorder="1" applyAlignment="1" applyProtection="1">
      <alignment horizontal="left"/>
    </xf>
    <xf numFmtId="183" fontId="10" fillId="0" borderId="19" xfId="1" applyNumberFormat="1" applyFont="1" applyBorder="1" applyAlignment="1" applyProtection="1">
      <alignment horizontal="right"/>
    </xf>
    <xf numFmtId="1" fontId="1" fillId="0" borderId="6" xfId="0" applyNumberFormat="1" applyFont="1" applyBorder="1"/>
    <xf numFmtId="183" fontId="21" fillId="3" borderId="6" xfId="1" applyNumberFormat="1" applyFont="1" applyFill="1" applyBorder="1" applyProtection="1"/>
    <xf numFmtId="183" fontId="1" fillId="3" borderId="6" xfId="1" applyNumberFormat="1" applyFont="1" applyFill="1" applyBorder="1" applyProtection="1"/>
    <xf numFmtId="177" fontId="10" fillId="3" borderId="51" xfId="2" applyNumberFormat="1" applyFont="1" applyFill="1" applyBorder="1" applyProtection="1"/>
    <xf numFmtId="0" fontId="61" fillId="0" borderId="13" xfId="0" applyFont="1" applyBorder="1" applyAlignment="1">
      <alignment horizontal="center"/>
    </xf>
    <xf numFmtId="1" fontId="1" fillId="0" borderId="33" xfId="0" applyNumberFormat="1" applyFont="1" applyBorder="1"/>
    <xf numFmtId="183" fontId="1" fillId="0" borderId="0" xfId="0" applyNumberFormat="1" applyFont="1"/>
    <xf numFmtId="0" fontId="5" fillId="9" borderId="9" xfId="0" applyFont="1" applyFill="1" applyBorder="1"/>
    <xf numFmtId="0" fontId="3" fillId="9" borderId="9" xfId="0" applyFont="1" applyFill="1" applyBorder="1"/>
    <xf numFmtId="0" fontId="10" fillId="9" borderId="0" xfId="0" applyFont="1" applyFill="1"/>
    <xf numFmtId="177" fontId="10" fillId="9" borderId="0" xfId="2" applyNumberFormat="1" applyFont="1" applyFill="1" applyBorder="1" applyAlignment="1" applyProtection="1">
      <alignment horizontal="center"/>
    </xf>
    <xf numFmtId="9" fontId="1" fillId="9" borderId="0" xfId="0" applyNumberFormat="1" applyFont="1" applyFill="1"/>
    <xf numFmtId="9" fontId="1" fillId="9" borderId="0" xfId="0" applyNumberFormat="1" applyFont="1" applyFill="1" applyAlignment="1">
      <alignment horizontal="right"/>
    </xf>
    <xf numFmtId="180" fontId="1" fillId="9" borderId="0" xfId="0" applyNumberFormat="1" applyFont="1" applyFill="1" applyAlignment="1">
      <alignment horizontal="right"/>
    </xf>
    <xf numFmtId="0" fontId="61" fillId="0" borderId="0" xfId="0" applyFont="1" applyAlignment="1">
      <alignment horizontal="center"/>
    </xf>
    <xf numFmtId="172" fontId="10" fillId="0" borderId="8" xfId="0" applyNumberFormat="1" applyFont="1" applyBorder="1" applyAlignment="1">
      <alignment horizontal="right"/>
    </xf>
    <xf numFmtId="0" fontId="3" fillId="9" borderId="21" xfId="0" applyFont="1" applyFill="1" applyBorder="1" applyAlignment="1">
      <alignment horizontal="left"/>
    </xf>
    <xf numFmtId="0" fontId="3" fillId="9" borderId="22" xfId="0" applyFont="1" applyFill="1" applyBorder="1" applyAlignment="1">
      <alignment horizontal="right"/>
    </xf>
    <xf numFmtId="191" fontId="3" fillId="9" borderId="23" xfId="1" applyNumberFormat="1" applyFont="1" applyFill="1" applyBorder="1" applyAlignment="1" applyProtection="1">
      <alignment horizontal="right"/>
    </xf>
    <xf numFmtId="177" fontId="1" fillId="9" borderId="0" xfId="2" applyNumberFormat="1" applyFont="1" applyFill="1" applyBorder="1" applyProtection="1"/>
    <xf numFmtId="0" fontId="10" fillId="9" borderId="0" xfId="0" applyFont="1" applyFill="1" applyAlignment="1">
      <alignment horizontal="center"/>
    </xf>
    <xf numFmtId="177" fontId="1" fillId="9" borderId="0" xfId="0" applyNumberFormat="1" applyFont="1" applyFill="1" applyAlignment="1">
      <alignment horizontal="center"/>
    </xf>
    <xf numFmtId="9" fontId="1" fillId="3" borderId="1" xfId="0" applyNumberFormat="1" applyFont="1" applyFill="1" applyBorder="1" applyAlignment="1">
      <alignment horizontal="center"/>
    </xf>
    <xf numFmtId="0" fontId="3" fillId="9" borderId="0" xfId="0" applyFont="1" applyFill="1"/>
    <xf numFmtId="177" fontId="5" fillId="9" borderId="0" xfId="0" applyNumberFormat="1" applyFont="1" applyFill="1" applyAlignment="1">
      <alignment horizontal="center"/>
    </xf>
    <xf numFmtId="177" fontId="65" fillId="9" borderId="0" xfId="2" applyNumberFormat="1" applyFont="1" applyFill="1" applyBorder="1" applyProtection="1"/>
    <xf numFmtId="9" fontId="21" fillId="9" borderId="0" xfId="0" applyNumberFormat="1" applyFont="1" applyFill="1" applyAlignment="1">
      <alignment horizontal="right"/>
    </xf>
    <xf numFmtId="1" fontId="1" fillId="10" borderId="21" xfId="0" applyNumberFormat="1" applyFont="1" applyFill="1" applyBorder="1"/>
    <xf numFmtId="1" fontId="1" fillId="10" borderId="22" xfId="0" applyNumberFormat="1" applyFont="1" applyFill="1" applyBorder="1"/>
    <xf numFmtId="177" fontId="1" fillId="10" borderId="3" xfId="2" applyNumberFormat="1" applyFont="1" applyFill="1" applyBorder="1" applyProtection="1"/>
    <xf numFmtId="10" fontId="1" fillId="10" borderId="23" xfId="0" applyNumberFormat="1" applyFont="1" applyFill="1" applyBorder="1"/>
    <xf numFmtId="9" fontId="10" fillId="9" borderId="0" xfId="0" applyNumberFormat="1" applyFont="1" applyFill="1" applyAlignment="1">
      <alignment horizontal="left"/>
    </xf>
    <xf numFmtId="177" fontId="10" fillId="9" borderId="0" xfId="2" applyNumberFormat="1" applyFont="1" applyFill="1" applyBorder="1" applyAlignment="1" applyProtection="1">
      <alignment horizontal="right"/>
    </xf>
    <xf numFmtId="177" fontId="5" fillId="9" borderId="7" xfId="2" applyNumberFormat="1" applyFont="1" applyFill="1" applyBorder="1" applyAlignment="1" applyProtection="1">
      <alignment horizontal="center"/>
    </xf>
    <xf numFmtId="167" fontId="1" fillId="9" borderId="0" xfId="2" applyFont="1" applyFill="1" applyBorder="1" applyProtection="1"/>
    <xf numFmtId="1" fontId="1" fillId="9" borderId="0" xfId="0" applyNumberFormat="1" applyFont="1" applyFill="1"/>
    <xf numFmtId="10" fontId="1" fillId="9" borderId="0" xfId="3" applyNumberFormat="1" applyFont="1" applyFill="1" applyBorder="1" applyProtection="1"/>
    <xf numFmtId="1" fontId="1" fillId="0" borderId="16" xfId="0" applyNumberFormat="1" applyFont="1" applyBorder="1"/>
    <xf numFmtId="1" fontId="1" fillId="0" borderId="9" xfId="0" applyNumberFormat="1" applyFont="1" applyBorder="1"/>
    <xf numFmtId="177" fontId="1" fillId="0" borderId="10" xfId="2" applyNumberFormat="1" applyFont="1" applyBorder="1" applyProtection="1"/>
    <xf numFmtId="9" fontId="1" fillId="0" borderId="17" xfId="0" applyNumberFormat="1" applyFont="1" applyBorder="1"/>
    <xf numFmtId="1" fontId="1" fillId="9" borderId="0" xfId="0" applyNumberFormat="1" applyFont="1" applyFill="1" applyAlignment="1">
      <alignment horizontal="center"/>
    </xf>
    <xf numFmtId="1" fontId="1" fillId="9" borderId="0" xfId="0" applyNumberFormat="1" applyFont="1" applyFill="1" applyAlignment="1">
      <alignment horizontal="right"/>
    </xf>
    <xf numFmtId="0" fontId="61" fillId="9" borderId="0" xfId="0" applyFont="1" applyFill="1" applyAlignment="1">
      <alignment horizontal="center"/>
    </xf>
    <xf numFmtId="0" fontId="5" fillId="9" borderId="0" xfId="0" applyFont="1" applyFill="1"/>
    <xf numFmtId="0" fontId="5" fillId="9" borderId="0" xfId="0" applyFont="1" applyFill="1" applyAlignment="1">
      <alignment horizontal="center"/>
    </xf>
    <xf numFmtId="177" fontId="5" fillId="9" borderId="0" xfId="0" applyNumberFormat="1" applyFont="1" applyFill="1"/>
    <xf numFmtId="1" fontId="1" fillId="0" borderId="7" xfId="0" applyNumberFormat="1" applyFont="1" applyBorder="1"/>
    <xf numFmtId="177" fontId="1" fillId="0" borderId="11" xfId="2" applyNumberFormat="1" applyFont="1" applyBorder="1" applyProtection="1"/>
    <xf numFmtId="9" fontId="1" fillId="0" borderId="8" xfId="0" applyNumberFormat="1" applyFont="1" applyBorder="1"/>
    <xf numFmtId="1" fontId="1" fillId="6" borderId="34" xfId="0" applyNumberFormat="1" applyFont="1" applyFill="1" applyBorder="1"/>
    <xf numFmtId="9" fontId="1" fillId="6" borderId="42" xfId="3" applyFont="1" applyFill="1" applyBorder="1" applyProtection="1">
      <protection locked="0"/>
    </xf>
    <xf numFmtId="167" fontId="5" fillId="9" borderId="0" xfId="2" applyFont="1" applyFill="1" applyBorder="1" applyProtection="1"/>
    <xf numFmtId="167" fontId="5" fillId="9" borderId="0" xfId="0" applyNumberFormat="1" applyFont="1" applyFill="1"/>
    <xf numFmtId="1" fontId="1" fillId="6" borderId="14" xfId="0" applyNumberFormat="1" applyFont="1" applyFill="1" applyBorder="1"/>
    <xf numFmtId="9" fontId="1" fillId="6" borderId="45" xfId="3" applyFont="1" applyFill="1" applyBorder="1" applyProtection="1">
      <protection locked="0"/>
    </xf>
    <xf numFmtId="1" fontId="10" fillId="9" borderId="1" xfId="0" applyNumberFormat="1" applyFont="1" applyFill="1" applyBorder="1"/>
    <xf numFmtId="1" fontId="38" fillId="9" borderId="1" xfId="0" applyNumberFormat="1" applyFont="1" applyFill="1" applyBorder="1" applyAlignment="1">
      <alignment horizontal="center"/>
    </xf>
    <xf numFmtId="9" fontId="1" fillId="9" borderId="0" xfId="3" applyFont="1" applyFill="1" applyBorder="1" applyProtection="1"/>
    <xf numFmtId="1" fontId="21" fillId="3" borderId="7" xfId="0" applyNumberFormat="1" applyFont="1" applyFill="1" applyBorder="1"/>
    <xf numFmtId="9" fontId="21" fillId="3" borderId="67" xfId="3" applyFont="1" applyFill="1" applyBorder="1" applyProtection="1"/>
    <xf numFmtId="177" fontId="21" fillId="3" borderId="0" xfId="2" applyNumberFormat="1" applyFont="1" applyFill="1" applyBorder="1" applyAlignment="1" applyProtection="1">
      <alignment horizontal="center"/>
    </xf>
    <xf numFmtId="9" fontId="10" fillId="0" borderId="69" xfId="0" applyNumberFormat="1" applyFont="1" applyBorder="1" applyAlignment="1">
      <alignment horizontal="left"/>
    </xf>
    <xf numFmtId="9" fontId="1" fillId="0" borderId="2" xfId="0" applyNumberFormat="1" applyFont="1" applyBorder="1" applyAlignment="1">
      <alignment horizontal="right"/>
    </xf>
    <xf numFmtId="177" fontId="1" fillId="0" borderId="70" xfId="2" applyNumberFormat="1" applyFont="1" applyBorder="1" applyAlignment="1" applyProtection="1">
      <alignment horizontal="right"/>
    </xf>
    <xf numFmtId="10" fontId="1" fillId="0" borderId="8" xfId="0" applyNumberFormat="1" applyFont="1" applyBorder="1" applyAlignment="1">
      <alignment horizontal="right"/>
    </xf>
    <xf numFmtId="1" fontId="1" fillId="6" borderId="71" xfId="0" applyNumberFormat="1" applyFont="1" applyFill="1" applyBorder="1"/>
    <xf numFmtId="1" fontId="1" fillId="8" borderId="72" xfId="0" applyNumberFormat="1" applyFont="1" applyFill="1" applyBorder="1" applyAlignment="1">
      <alignment horizontal="center"/>
    </xf>
    <xf numFmtId="1" fontId="1" fillId="9" borderId="72" xfId="0" applyNumberFormat="1" applyFont="1" applyFill="1" applyBorder="1"/>
    <xf numFmtId="10" fontId="1" fillId="8" borderId="73" xfId="3" applyNumberFormat="1" applyFont="1" applyFill="1" applyBorder="1" applyProtection="1"/>
    <xf numFmtId="10" fontId="1" fillId="8" borderId="0" xfId="3" applyNumberFormat="1" applyFont="1" applyFill="1" applyBorder="1" applyProtection="1"/>
    <xf numFmtId="0" fontId="5" fillId="9" borderId="12" xfId="0" applyFont="1" applyFill="1" applyBorder="1"/>
    <xf numFmtId="0" fontId="1" fillId="9" borderId="6" xfId="0" applyFont="1" applyFill="1" applyBorder="1"/>
    <xf numFmtId="0" fontId="1" fillId="9" borderId="6" xfId="0" applyFont="1" applyFill="1" applyBorder="1" applyAlignment="1">
      <alignment horizontal="left"/>
    </xf>
    <xf numFmtId="1" fontId="1" fillId="9" borderId="6" xfId="0" applyNumberFormat="1" applyFont="1" applyFill="1" applyBorder="1"/>
    <xf numFmtId="1" fontId="10" fillId="0" borderId="21" xfId="0" applyNumberFormat="1" applyFont="1" applyBorder="1"/>
    <xf numFmtId="1" fontId="1" fillId="0" borderId="22" xfId="0" applyNumberFormat="1" applyFont="1" applyBorder="1"/>
    <xf numFmtId="183" fontId="66" fillId="0" borderId="3" xfId="1" applyNumberFormat="1" applyFont="1" applyBorder="1" applyProtection="1"/>
    <xf numFmtId="180" fontId="87" fillId="17" borderId="13" xfId="3" applyNumberFormat="1" applyFill="1" applyBorder="1" applyProtection="1"/>
    <xf numFmtId="167" fontId="1" fillId="9" borderId="6" xfId="2" applyFont="1" applyFill="1" applyBorder="1" applyAlignment="1" applyProtection="1">
      <alignment horizontal="center"/>
    </xf>
    <xf numFmtId="0" fontId="61" fillId="9" borderId="6" xfId="0" applyFont="1" applyFill="1" applyBorder="1" applyAlignment="1">
      <alignment horizontal="center"/>
    </xf>
    <xf numFmtId="0" fontId="5" fillId="0" borderId="9" xfId="0" applyFont="1" applyBorder="1" applyAlignment="1">
      <alignment horizontal="center"/>
    </xf>
    <xf numFmtId="191" fontId="5" fillId="0" borderId="6" xfId="0" applyNumberFormat="1" applyFont="1" applyBorder="1"/>
    <xf numFmtId="191" fontId="5" fillId="0" borderId="13" xfId="0" applyNumberFormat="1" applyFont="1" applyBorder="1"/>
    <xf numFmtId="195" fontId="1" fillId="9" borderId="0" xfId="0" applyNumberFormat="1" applyFont="1" applyFill="1"/>
    <xf numFmtId="0" fontId="61" fillId="0" borderId="1" xfId="0" applyFont="1" applyBorder="1" applyAlignment="1">
      <alignment horizontal="right"/>
    </xf>
    <xf numFmtId="0" fontId="1" fillId="0" borderId="46" xfId="0" applyFont="1" applyBorder="1" applyAlignment="1">
      <alignment horizontal="left"/>
    </xf>
    <xf numFmtId="0" fontId="1" fillId="0" borderId="56" xfId="0" applyFont="1" applyBorder="1"/>
    <xf numFmtId="0" fontId="5" fillId="0" borderId="56" xfId="0" applyFont="1" applyBorder="1"/>
    <xf numFmtId="0" fontId="1" fillId="0" borderId="57" xfId="0" applyFont="1" applyBorder="1" applyAlignment="1">
      <alignment horizontal="left"/>
    </xf>
    <xf numFmtId="0" fontId="61" fillId="0" borderId="55" xfId="0" applyFont="1" applyBorder="1" applyAlignment="1">
      <alignment horizontal="right"/>
    </xf>
    <xf numFmtId="0" fontId="1" fillId="0" borderId="74" xfId="0" applyFont="1" applyBorder="1" applyAlignment="1">
      <alignment horizontal="left"/>
    </xf>
    <xf numFmtId="0" fontId="1" fillId="0" borderId="66" xfId="0" applyFont="1" applyBorder="1" applyAlignment="1">
      <alignment horizontal="left"/>
    </xf>
    <xf numFmtId="0" fontId="9" fillId="0" borderId="16" xfId="0" applyFont="1" applyBorder="1" applyAlignment="1">
      <alignment horizontal="center"/>
    </xf>
    <xf numFmtId="0" fontId="67" fillId="0" borderId="9" xfId="0" applyFont="1" applyBorder="1"/>
    <xf numFmtId="0" fontId="3" fillId="0" borderId="16" xfId="0" applyFont="1" applyBorder="1"/>
    <xf numFmtId="0" fontId="68" fillId="0" borderId="9" xfId="0" applyFont="1" applyBorder="1"/>
    <xf numFmtId="177" fontId="21" fillId="0" borderId="17" xfId="2" applyNumberFormat="1" applyFont="1" applyBorder="1" applyProtection="1"/>
    <xf numFmtId="1" fontId="5" fillId="9" borderId="16" xfId="0" applyNumberFormat="1" applyFont="1" applyFill="1" applyBorder="1" applyAlignment="1">
      <alignment horizontal="center"/>
    </xf>
    <xf numFmtId="0" fontId="68" fillId="9" borderId="9" xfId="0" applyFont="1" applyFill="1" applyBorder="1" applyAlignment="1">
      <alignment horizontal="left"/>
    </xf>
    <xf numFmtId="177" fontId="1" fillId="0" borderId="17" xfId="0" applyNumberFormat="1" applyFont="1" applyBorder="1"/>
    <xf numFmtId="0" fontId="68" fillId="9" borderId="9" xfId="0" applyFont="1" applyFill="1" applyBorder="1" applyAlignment="1">
      <alignment horizontal="center"/>
    </xf>
    <xf numFmtId="1" fontId="3" fillId="9" borderId="16" xfId="0" applyNumberFormat="1" applyFont="1" applyFill="1" applyBorder="1" applyAlignment="1">
      <alignment horizontal="center"/>
    </xf>
    <xf numFmtId="1" fontId="20" fillId="9" borderId="9" xfId="0" applyNumberFormat="1" applyFont="1" applyFill="1" applyBorder="1" applyAlignment="1">
      <alignment horizontal="left"/>
    </xf>
    <xf numFmtId="1" fontId="5" fillId="9" borderId="9" xfId="0" applyNumberFormat="1" applyFont="1" applyFill="1" applyBorder="1" applyAlignment="1">
      <alignment horizontal="center"/>
    </xf>
    <xf numFmtId="177" fontId="69" fillId="9" borderId="17" xfId="2" applyNumberFormat="1" applyFont="1" applyFill="1" applyBorder="1" applyAlignment="1" applyProtection="1">
      <alignment horizontal="center"/>
    </xf>
    <xf numFmtId="1" fontId="68" fillId="9" borderId="9" xfId="0" applyNumberFormat="1" applyFont="1" applyFill="1" applyBorder="1" applyAlignment="1">
      <alignment horizontal="left"/>
    </xf>
    <xf numFmtId="177" fontId="21" fillId="9" borderId="17" xfId="2" applyNumberFormat="1" applyFont="1" applyFill="1" applyBorder="1" applyAlignment="1" applyProtection="1">
      <alignment horizontal="center"/>
    </xf>
    <xf numFmtId="177" fontId="21" fillId="0" borderId="17" xfId="0" applyNumberFormat="1" applyFont="1" applyBorder="1"/>
    <xf numFmtId="0" fontId="3" fillId="0" borderId="16" xfId="0" applyFont="1" applyBorder="1" applyAlignment="1">
      <alignment horizontal="center"/>
    </xf>
    <xf numFmtId="0" fontId="5" fillId="9" borderId="9" xfId="0" applyFont="1" applyFill="1" applyBorder="1" applyAlignment="1">
      <alignment horizontal="left"/>
    </xf>
    <xf numFmtId="0" fontId="5" fillId="9" borderId="6" xfId="0" applyFont="1" applyFill="1" applyBorder="1"/>
    <xf numFmtId="0" fontId="1" fillId="9" borderId="13" xfId="0" applyFont="1" applyFill="1" applyBorder="1"/>
    <xf numFmtId="0" fontId="20" fillId="0" borderId="12" xfId="0" applyFont="1" applyBorder="1" applyAlignment="1">
      <alignment horizontal="center"/>
    </xf>
    <xf numFmtId="0" fontId="20" fillId="0" borderId="6" xfId="0" applyFont="1" applyBorder="1" applyAlignment="1">
      <alignment horizontal="left"/>
    </xf>
    <xf numFmtId="177" fontId="5" fillId="0" borderId="13" xfId="2" applyNumberFormat="1" applyFont="1" applyBorder="1" applyAlignment="1" applyProtection="1">
      <alignment horizontal="center"/>
    </xf>
    <xf numFmtId="0" fontId="5" fillId="0" borderId="12" xfId="0" applyFont="1" applyBorder="1" applyAlignment="1">
      <alignment horizontal="center"/>
    </xf>
    <xf numFmtId="177" fontId="0" fillId="0" borderId="13" xfId="0" applyNumberFormat="1" applyBorder="1"/>
    <xf numFmtId="1" fontId="5" fillId="9" borderId="12" xfId="0" applyNumberFormat="1" applyFont="1" applyFill="1" applyBorder="1" applyAlignment="1">
      <alignment horizontal="center"/>
    </xf>
    <xf numFmtId="1" fontId="11" fillId="9" borderId="12" xfId="0" applyNumberFormat="1" applyFont="1" applyFill="1" applyBorder="1" applyAlignment="1">
      <alignment horizontal="center"/>
    </xf>
    <xf numFmtId="1" fontId="5" fillId="9" borderId="6" xfId="0" applyNumberFormat="1" applyFont="1" applyFill="1" applyBorder="1" applyAlignment="1">
      <alignment horizontal="center"/>
    </xf>
    <xf numFmtId="177" fontId="5" fillId="9" borderId="13" xfId="2" applyNumberFormat="1" applyFont="1" applyFill="1" applyBorder="1" applyAlignment="1" applyProtection="1">
      <alignment horizontal="center"/>
    </xf>
    <xf numFmtId="0" fontId="1" fillId="9" borderId="45" xfId="0" applyFont="1" applyFill="1" applyBorder="1"/>
    <xf numFmtId="196" fontId="11" fillId="6" borderId="67" xfId="0" applyNumberFormat="1" applyFont="1" applyFill="1" applyBorder="1" applyAlignment="1">
      <alignment horizontal="right"/>
    </xf>
    <xf numFmtId="0" fontId="1" fillId="0" borderId="67" xfId="0" applyFont="1" applyBorder="1"/>
    <xf numFmtId="0" fontId="1" fillId="0" borderId="75" xfId="0" applyFont="1" applyBorder="1"/>
    <xf numFmtId="177" fontId="87" fillId="0" borderId="68" xfId="2" applyNumberFormat="1" applyBorder="1" applyAlignment="1" applyProtection="1">
      <alignment horizontal="center"/>
    </xf>
    <xf numFmtId="197" fontId="11" fillId="6" borderId="67" xfId="0" applyNumberFormat="1" applyFont="1" applyFill="1" applyBorder="1" applyAlignment="1">
      <alignment horizontal="right"/>
    </xf>
    <xf numFmtId="177" fontId="87" fillId="18" borderId="68" xfId="2" applyNumberFormat="1" applyFill="1" applyBorder="1" applyAlignment="1" applyProtection="1">
      <alignment horizontal="center"/>
    </xf>
    <xf numFmtId="197" fontId="11" fillId="6" borderId="31" xfId="0" applyNumberFormat="1" applyFont="1" applyFill="1" applyBorder="1" applyAlignment="1">
      <alignment horizontal="right"/>
    </xf>
    <xf numFmtId="197" fontId="11" fillId="6" borderId="1" xfId="0" applyNumberFormat="1" applyFont="1" applyFill="1" applyBorder="1" applyAlignment="1">
      <alignment horizontal="right"/>
    </xf>
    <xf numFmtId="197" fontId="11" fillId="6" borderId="76" xfId="0" applyNumberFormat="1" applyFont="1" applyFill="1" applyBorder="1" applyAlignment="1">
      <alignment horizontal="right"/>
    </xf>
    <xf numFmtId="196" fontId="11" fillId="6" borderId="1" xfId="0" applyNumberFormat="1" applyFont="1" applyFill="1" applyBorder="1" applyAlignment="1">
      <alignment horizontal="right"/>
    </xf>
    <xf numFmtId="0" fontId="0" fillId="0" borderId="56" xfId="0" applyBorder="1"/>
    <xf numFmtId="197" fontId="11" fillId="6" borderId="57" xfId="0" applyNumberFormat="1" applyFont="1" applyFill="1" applyBorder="1" applyAlignment="1">
      <alignment horizontal="right"/>
    </xf>
    <xf numFmtId="177" fontId="87" fillId="0" borderId="77" xfId="2" applyNumberFormat="1" applyBorder="1" applyAlignment="1" applyProtection="1">
      <alignment horizontal="center"/>
    </xf>
    <xf numFmtId="177" fontId="87" fillId="18" borderId="77" xfId="2" applyNumberFormat="1" applyFill="1" applyBorder="1" applyAlignment="1" applyProtection="1">
      <alignment horizontal="center"/>
    </xf>
    <xf numFmtId="0" fontId="1" fillId="9" borderId="78" xfId="0" applyFont="1" applyFill="1" applyBorder="1"/>
    <xf numFmtId="197" fontId="11" fillId="6" borderId="79" xfId="0" applyNumberFormat="1" applyFont="1" applyFill="1" applyBorder="1" applyAlignment="1">
      <alignment horizontal="right"/>
    </xf>
    <xf numFmtId="0" fontId="0" fillId="0" borderId="80" xfId="0" applyBorder="1"/>
    <xf numFmtId="177" fontId="87" fillId="0" borderId="80" xfId="2" applyNumberFormat="1" applyBorder="1" applyAlignment="1" applyProtection="1">
      <alignment horizontal="center"/>
    </xf>
    <xf numFmtId="0" fontId="3" fillId="9" borderId="0" xfId="0" applyFont="1" applyFill="1" applyAlignment="1">
      <alignment horizontal="left" vertical="center" textRotation="180"/>
    </xf>
    <xf numFmtId="196" fontId="11" fillId="6" borderId="81" xfId="0" applyNumberFormat="1" applyFont="1" applyFill="1" applyBorder="1" applyAlignment="1">
      <alignment horizontal="right"/>
    </xf>
    <xf numFmtId="0" fontId="1" fillId="0" borderId="82" xfId="0" applyFont="1" applyBorder="1"/>
    <xf numFmtId="0" fontId="0" fillId="0" borderId="83" xfId="0" applyBorder="1"/>
    <xf numFmtId="197" fontId="11" fillId="6" borderId="81" xfId="0" applyNumberFormat="1" applyFont="1" applyFill="1" applyBorder="1" applyAlignment="1">
      <alignment horizontal="right"/>
    </xf>
    <xf numFmtId="177" fontId="87" fillId="0" borderId="84" xfId="2" applyNumberFormat="1" applyBorder="1" applyAlignment="1" applyProtection="1">
      <alignment horizontal="center"/>
    </xf>
    <xf numFmtId="197" fontId="11" fillId="6" borderId="85" xfId="0" applyNumberFormat="1" applyFont="1" applyFill="1" applyBorder="1" applyAlignment="1">
      <alignment horizontal="right"/>
    </xf>
    <xf numFmtId="197" fontId="11" fillId="0" borderId="83" xfId="0" applyNumberFormat="1" applyFont="1" applyBorder="1"/>
    <xf numFmtId="0" fontId="5" fillId="0" borderId="83" xfId="0" applyFont="1" applyBorder="1"/>
    <xf numFmtId="167" fontId="5" fillId="0" borderId="83" xfId="2" applyFont="1" applyBorder="1" applyProtection="1"/>
    <xf numFmtId="0" fontId="3" fillId="9" borderId="39" xfId="0" applyFont="1" applyFill="1" applyBorder="1" applyAlignment="1">
      <alignment vertical="center"/>
    </xf>
    <xf numFmtId="0" fontId="1" fillId="9" borderId="39" xfId="0" applyFont="1" applyFill="1" applyBorder="1"/>
    <xf numFmtId="196" fontId="11" fillId="6" borderId="60" xfId="0" applyNumberFormat="1" applyFont="1" applyFill="1" applyBorder="1" applyAlignment="1">
      <alignment horizontal="right"/>
    </xf>
    <xf numFmtId="0" fontId="1" fillId="0" borderId="86" xfId="0" applyFont="1" applyBorder="1"/>
    <xf numFmtId="197" fontId="11" fillId="6" borderId="87" xfId="0" applyNumberFormat="1" applyFont="1" applyFill="1" applyBorder="1" applyAlignment="1">
      <alignment horizontal="right"/>
    </xf>
    <xf numFmtId="177" fontId="87" fillId="0" borderId="61" xfId="2" applyNumberFormat="1" applyBorder="1" applyAlignment="1" applyProtection="1">
      <alignment horizontal="center"/>
    </xf>
    <xf numFmtId="197" fontId="11" fillId="6" borderId="60" xfId="0" applyNumberFormat="1" applyFont="1" applyFill="1" applyBorder="1" applyAlignment="1">
      <alignment horizontal="right"/>
    </xf>
    <xf numFmtId="177" fontId="87" fillId="18" borderId="61" xfId="2" applyNumberFormat="1" applyFill="1" applyBorder="1" applyAlignment="1" applyProtection="1">
      <alignment horizontal="center"/>
    </xf>
    <xf numFmtId="0" fontId="5" fillId="9" borderId="65" xfId="0" applyFont="1" applyFill="1" applyBorder="1"/>
    <xf numFmtId="197" fontId="11" fillId="6" borderId="89" xfId="0" applyNumberFormat="1" applyFont="1" applyFill="1" applyBorder="1" applyAlignment="1">
      <alignment horizontal="right"/>
    </xf>
    <xf numFmtId="0" fontId="5" fillId="9" borderId="45" xfId="0" applyFont="1" applyFill="1" applyBorder="1"/>
    <xf numFmtId="1" fontId="1" fillId="9" borderId="46" xfId="0" applyNumberFormat="1" applyFont="1" applyFill="1" applyBorder="1"/>
    <xf numFmtId="1" fontId="1" fillId="9" borderId="2" xfId="0" applyNumberFormat="1" applyFont="1" applyFill="1" applyBorder="1"/>
    <xf numFmtId="0" fontId="5" fillId="0" borderId="75" xfId="0" applyFont="1" applyBorder="1"/>
    <xf numFmtId="0" fontId="5" fillId="0" borderId="2" xfId="0" applyFont="1" applyBorder="1"/>
    <xf numFmtId="0" fontId="5" fillId="9" borderId="46" xfId="0" applyFont="1" applyFill="1" applyBorder="1"/>
    <xf numFmtId="0" fontId="5" fillId="9" borderId="2" xfId="0" applyFont="1" applyFill="1" applyBorder="1"/>
    <xf numFmtId="0" fontId="5" fillId="9" borderId="75" xfId="0" applyFont="1" applyFill="1" applyBorder="1"/>
    <xf numFmtId="0" fontId="5" fillId="0" borderId="46" xfId="0" applyFont="1" applyBorder="1"/>
    <xf numFmtId="196" fontId="11" fillId="6" borderId="15" xfId="0" applyNumberFormat="1" applyFont="1" applyFill="1" applyBorder="1" applyAlignment="1">
      <alignment horizontal="right"/>
    </xf>
    <xf numFmtId="0" fontId="1" fillId="0" borderId="90" xfId="0" applyFont="1" applyBorder="1"/>
    <xf numFmtId="197" fontId="11" fillId="6" borderId="45" xfId="0" applyNumberFormat="1" applyFont="1" applyFill="1" applyBorder="1" applyAlignment="1">
      <alignment horizontal="right"/>
    </xf>
    <xf numFmtId="0" fontId="1" fillId="0" borderId="37" xfId="0" applyFont="1" applyBorder="1"/>
    <xf numFmtId="197" fontId="11" fillId="6" borderId="15" xfId="0" applyNumberFormat="1" applyFont="1" applyFill="1" applyBorder="1" applyAlignment="1">
      <alignment horizontal="right"/>
    </xf>
    <xf numFmtId="177" fontId="87" fillId="0" borderId="8" xfId="2" applyNumberFormat="1" applyBorder="1" applyAlignment="1" applyProtection="1">
      <alignment horizontal="center"/>
    </xf>
    <xf numFmtId="177" fontId="87" fillId="18" borderId="80" xfId="2" applyNumberFormat="1" applyFill="1" applyBorder="1" applyAlignment="1" applyProtection="1">
      <alignment horizontal="center"/>
    </xf>
    <xf numFmtId="177" fontId="87" fillId="18" borderId="8" xfId="2" applyNumberFormat="1" applyFill="1" applyBorder="1" applyAlignment="1" applyProtection="1">
      <alignment horizontal="center"/>
    </xf>
    <xf numFmtId="0" fontId="1" fillId="9" borderId="65" xfId="0" applyFont="1" applyFill="1" applyBorder="1"/>
    <xf numFmtId="177" fontId="87" fillId="18" borderId="84" xfId="2" applyNumberFormat="1" applyFill="1" applyBorder="1" applyAlignment="1" applyProtection="1">
      <alignment horizontal="center"/>
    </xf>
    <xf numFmtId="196" fontId="11" fillId="6" borderId="2" xfId="0" applyNumberFormat="1" applyFont="1" applyFill="1" applyBorder="1" applyAlignment="1">
      <alignment horizontal="right"/>
    </xf>
    <xf numFmtId="196" fontId="11" fillId="6" borderId="56" xfId="0" applyNumberFormat="1" applyFont="1" applyFill="1" applyBorder="1" applyAlignment="1">
      <alignment horizontal="right"/>
    </xf>
    <xf numFmtId="196" fontId="11" fillId="6" borderId="91" xfId="0" applyNumberFormat="1" applyFont="1" applyFill="1" applyBorder="1" applyAlignment="1">
      <alignment horizontal="right"/>
    </xf>
    <xf numFmtId="0" fontId="0" fillId="0" borderId="92" xfId="0" applyBorder="1"/>
    <xf numFmtId="197" fontId="11" fillId="6" borderId="91" xfId="0" applyNumberFormat="1" applyFont="1" applyFill="1" applyBorder="1" applyAlignment="1">
      <alignment horizontal="right"/>
    </xf>
    <xf numFmtId="0" fontId="21" fillId="9" borderId="65" xfId="0" applyFont="1" applyFill="1" applyBorder="1"/>
    <xf numFmtId="196" fontId="71" fillId="6" borderId="67" xfId="0" applyNumberFormat="1" applyFont="1" applyFill="1" applyBorder="1" applyAlignment="1">
      <alignment horizontal="right"/>
    </xf>
    <xf numFmtId="0" fontId="21" fillId="0" borderId="2" xfId="0" applyFont="1" applyBorder="1"/>
    <xf numFmtId="0" fontId="21" fillId="0" borderId="75" xfId="0" applyFont="1" applyBorder="1"/>
    <xf numFmtId="197" fontId="71" fillId="6" borderId="67" xfId="0" applyNumberFormat="1" applyFont="1" applyFill="1" applyBorder="1" applyAlignment="1">
      <alignment horizontal="right"/>
    </xf>
    <xf numFmtId="177" fontId="21" fillId="0" borderId="68" xfId="2" applyNumberFormat="1" applyFont="1" applyBorder="1" applyAlignment="1" applyProtection="1">
      <alignment horizontal="center"/>
    </xf>
    <xf numFmtId="177" fontId="21" fillId="18" borderId="68" xfId="2" applyNumberFormat="1" applyFont="1" applyFill="1" applyBorder="1" applyAlignment="1" applyProtection="1">
      <alignment horizontal="center"/>
    </xf>
    <xf numFmtId="0" fontId="72" fillId="0" borderId="0" xfId="0" applyFont="1"/>
    <xf numFmtId="196" fontId="11" fillId="0" borderId="1" xfId="5" applyNumberFormat="1" applyFont="1" applyBorder="1" applyAlignment="1">
      <alignment horizontal="right"/>
    </xf>
    <xf numFmtId="196" fontId="11" fillId="0" borderId="91" xfId="5" applyNumberFormat="1" applyFont="1" applyBorder="1" applyAlignment="1">
      <alignment horizontal="right"/>
    </xf>
    <xf numFmtId="0" fontId="1" fillId="0" borderId="92" xfId="0" applyFont="1" applyBorder="1"/>
    <xf numFmtId="177" fontId="0" fillId="0" borderId="92" xfId="0" applyNumberFormat="1" applyBorder="1"/>
    <xf numFmtId="0" fontId="1" fillId="0" borderId="39" xfId="0" applyFont="1" applyBorder="1"/>
    <xf numFmtId="197" fontId="11" fillId="0" borderId="60" xfId="5" applyNumberFormat="1" applyFont="1" applyBorder="1"/>
    <xf numFmtId="177" fontId="87" fillId="0" borderId="93" xfId="2" applyNumberFormat="1" applyBorder="1" applyAlignment="1" applyProtection="1">
      <alignment horizontal="center"/>
    </xf>
    <xf numFmtId="0" fontId="21" fillId="0" borderId="65" xfId="0" applyFont="1" applyBorder="1"/>
    <xf numFmtId="196" fontId="71" fillId="19" borderId="67" xfId="5" applyNumberFormat="1" applyFont="1" applyFill="1" applyBorder="1" applyAlignment="1">
      <alignment horizontal="right"/>
    </xf>
    <xf numFmtId="0" fontId="21" fillId="19" borderId="2" xfId="0" applyFont="1" applyFill="1" applyBorder="1"/>
    <xf numFmtId="197" fontId="71" fillId="6" borderId="76" xfId="0" applyNumberFormat="1" applyFont="1" applyFill="1" applyBorder="1" applyAlignment="1">
      <alignment horizontal="right"/>
    </xf>
    <xf numFmtId="196" fontId="11" fillId="0" borderId="67" xfId="5" applyNumberFormat="1" applyFont="1" applyBorder="1" applyAlignment="1">
      <alignment horizontal="right"/>
    </xf>
    <xf numFmtId="0" fontId="11" fillId="0" borderId="0" xfId="5" applyFont="1"/>
    <xf numFmtId="2" fontId="1" fillId="0" borderId="0" xfId="1" applyNumberFormat="1" applyFont="1" applyBorder="1" applyAlignment="1" applyProtection="1">
      <alignment horizontal="left"/>
    </xf>
    <xf numFmtId="0" fontId="11" fillId="0" borderId="0" xfId="0" applyFont="1"/>
    <xf numFmtId="14" fontId="5" fillId="0" borderId="0" xfId="0" applyNumberFormat="1" applyFont="1"/>
    <xf numFmtId="0" fontId="3" fillId="0" borderId="0" xfId="0" applyFont="1"/>
    <xf numFmtId="0" fontId="3" fillId="0" borderId="6" xfId="0" applyFont="1" applyBorder="1" applyAlignment="1">
      <alignment horizontal="right"/>
    </xf>
    <xf numFmtId="0" fontId="5" fillId="0" borderId="0" xfId="0" applyFont="1" applyAlignment="1">
      <alignment horizontal="right"/>
    </xf>
    <xf numFmtId="0" fontId="3" fillId="0" borderId="0" xfId="0" applyFont="1" applyAlignment="1">
      <alignment horizontal="center"/>
    </xf>
    <xf numFmtId="0" fontId="5" fillId="0" borderId="16" xfId="0" applyFont="1" applyBorder="1"/>
    <xf numFmtId="0" fontId="5" fillId="0" borderId="29" xfId="0" applyFont="1" applyBorder="1" applyAlignment="1">
      <alignment horizontal="center"/>
    </xf>
    <xf numFmtId="0" fontId="5" fillId="0" borderId="30" xfId="0" applyFont="1" applyBorder="1" applyAlignment="1">
      <alignment horizontal="center"/>
    </xf>
    <xf numFmtId="0" fontId="5" fillId="0" borderId="8" xfId="0" applyFont="1" applyBorder="1"/>
    <xf numFmtId="0" fontId="5" fillId="0" borderId="2" xfId="0" applyFont="1" applyBorder="1" applyAlignment="1">
      <alignment horizontal="center"/>
    </xf>
    <xf numFmtId="0" fontId="5" fillId="0" borderId="68" xfId="0" applyFont="1" applyBorder="1" applyAlignment="1">
      <alignment horizontal="center"/>
    </xf>
    <xf numFmtId="0" fontId="5" fillId="3" borderId="55" xfId="0" applyFont="1" applyFill="1" applyBorder="1" applyProtection="1">
      <protection locked="0"/>
    </xf>
    <xf numFmtId="0" fontId="5" fillId="0" borderId="6" xfId="0" applyFont="1" applyBorder="1" applyAlignment="1">
      <alignment horizontal="center"/>
    </xf>
    <xf numFmtId="0" fontId="5" fillId="0" borderId="13" xfId="0" applyFont="1" applyBorder="1" applyAlignment="1">
      <alignment horizontal="center"/>
    </xf>
    <xf numFmtId="0" fontId="5" fillId="3" borderId="1" xfId="0" applyFont="1" applyFill="1" applyBorder="1" applyProtection="1">
      <protection locked="0"/>
    </xf>
    <xf numFmtId="0" fontId="5" fillId="9" borderId="37" xfId="0" applyFont="1" applyFill="1" applyBorder="1"/>
    <xf numFmtId="0" fontId="5" fillId="0" borderId="6" xfId="0" applyFont="1" applyBorder="1" applyAlignment="1">
      <alignment horizontal="left"/>
    </xf>
    <xf numFmtId="0" fontId="3" fillId="3" borderId="42" xfId="0" applyFont="1" applyFill="1" applyBorder="1" applyAlignment="1">
      <alignment horizontal="center"/>
    </xf>
    <xf numFmtId="0" fontId="3" fillId="0" borderId="17" xfId="0" applyFont="1" applyBorder="1" applyAlignment="1">
      <alignment horizontal="center"/>
    </xf>
    <xf numFmtId="0" fontId="0" fillId="0" borderId="16" xfId="0" applyBorder="1"/>
    <xf numFmtId="0" fontId="0" fillId="0" borderId="46" xfId="0" applyBorder="1"/>
    <xf numFmtId="0" fontId="0" fillId="0" borderId="57" xfId="0" applyBorder="1"/>
    <xf numFmtId="0" fontId="0" fillId="0" borderId="17" xfId="0" applyBorder="1"/>
    <xf numFmtId="0" fontId="5" fillId="0" borderId="98" xfId="0" applyFont="1" applyBorder="1" applyAlignment="1">
      <alignment horizontal="center" wrapText="1"/>
    </xf>
    <xf numFmtId="0" fontId="5" fillId="0" borderId="99" xfId="0" applyFont="1" applyBorder="1" applyAlignment="1">
      <alignment horizontal="center" wrapText="1"/>
    </xf>
    <xf numFmtId="0" fontId="5" fillId="0" borderId="100" xfId="0" applyFont="1" applyBorder="1" applyAlignment="1">
      <alignment horizontal="center" wrapText="1"/>
    </xf>
    <xf numFmtId="0" fontId="5" fillId="0" borderId="97" xfId="0" applyFont="1" applyBorder="1" applyAlignment="1">
      <alignment horizontal="center" wrapText="1"/>
    </xf>
    <xf numFmtId="0" fontId="5" fillId="0" borderId="101" xfId="0" applyFont="1" applyBorder="1" applyAlignment="1">
      <alignment horizontal="center" wrapText="1"/>
    </xf>
    <xf numFmtId="0" fontId="5" fillId="0" borderId="5" xfId="0" applyFont="1" applyBorder="1" applyAlignment="1">
      <alignment horizontal="center"/>
    </xf>
    <xf numFmtId="0" fontId="5" fillId="0" borderId="102" xfId="0" applyFont="1" applyBorder="1" applyAlignment="1">
      <alignment horizontal="center" wrapText="1"/>
    </xf>
    <xf numFmtId="0" fontId="5" fillId="6" borderId="5" xfId="0" applyFont="1" applyFill="1" applyBorder="1" applyAlignment="1">
      <alignment horizontal="center" wrapText="1"/>
    </xf>
    <xf numFmtId="0" fontId="5" fillId="6" borderId="98" xfId="0" applyFont="1" applyFill="1" applyBorder="1" applyAlignment="1">
      <alignment horizontal="center" wrapText="1"/>
    </xf>
    <xf numFmtId="0" fontId="5" fillId="6" borderId="102" xfId="0" applyFont="1" applyFill="1" applyBorder="1" applyAlignment="1">
      <alignment wrapText="1"/>
    </xf>
    <xf numFmtId="191" fontId="5" fillId="0" borderId="97" xfId="1" applyNumberFormat="1" applyFont="1" applyBorder="1" applyAlignment="1" applyProtection="1">
      <alignment horizontal="center" wrapText="1"/>
    </xf>
    <xf numFmtId="0" fontId="1" fillId="0" borderId="12" xfId="0" applyFont="1" applyBorder="1"/>
    <xf numFmtId="0" fontId="0" fillId="0" borderId="75" xfId="0" applyBorder="1"/>
    <xf numFmtId="0" fontId="0" fillId="0" borderId="89" xfId="0" applyBorder="1"/>
    <xf numFmtId="0" fontId="1" fillId="0" borderId="46" xfId="0" applyFont="1" applyBorder="1" applyAlignment="1">
      <alignment horizontal="center" wrapText="1"/>
    </xf>
    <xf numFmtId="0" fontId="1" fillId="0" borderId="56" xfId="0" applyFont="1" applyBorder="1" applyAlignment="1">
      <alignment horizontal="center" wrapText="1"/>
    </xf>
    <xf numFmtId="0" fontId="1" fillId="0" borderId="57" xfId="0" applyFont="1" applyBorder="1" applyAlignment="1">
      <alignment horizontal="center" wrapText="1"/>
    </xf>
    <xf numFmtId="0" fontId="0" fillId="0" borderId="1" xfId="0" applyBorder="1"/>
    <xf numFmtId="0" fontId="0" fillId="0" borderId="55" xfId="0" applyBorder="1"/>
    <xf numFmtId="0" fontId="1" fillId="0" borderId="0" xfId="0" applyFont="1" applyAlignment="1">
      <alignment wrapText="1"/>
    </xf>
    <xf numFmtId="0" fontId="5" fillId="0" borderId="37" xfId="0" applyFont="1" applyBorder="1" applyAlignment="1">
      <alignment horizontal="left"/>
    </xf>
    <xf numFmtId="0" fontId="5" fillId="0" borderId="45" xfId="0" applyFont="1" applyBorder="1" applyAlignment="1" applyProtection="1">
      <alignment horizontal="center"/>
      <protection locked="0"/>
    </xf>
    <xf numFmtId="1" fontId="74" fillId="3" borderId="67" xfId="6" applyNumberFormat="1" applyFont="1" applyFill="1" applyBorder="1" applyAlignment="1">
      <alignment horizontal="center"/>
    </xf>
    <xf numFmtId="0" fontId="74" fillId="0" borderId="0" xfId="6" applyNumberFormat="1" applyFont="1" applyProtection="1">
      <protection locked="0"/>
    </xf>
    <xf numFmtId="0" fontId="5" fillId="0" borderId="8" xfId="0" applyFont="1" applyBorder="1" applyProtection="1">
      <protection locked="0"/>
    </xf>
    <xf numFmtId="186" fontId="5" fillId="6" borderId="11" xfId="0" applyNumberFormat="1" applyFont="1" applyFill="1" applyBorder="1"/>
    <xf numFmtId="0" fontId="5" fillId="0" borderId="45" xfId="0" applyFont="1" applyBorder="1" applyProtection="1">
      <protection locked="0"/>
    </xf>
    <xf numFmtId="0" fontId="5" fillId="0" borderId="37" xfId="0" applyFont="1" applyBorder="1" applyProtection="1">
      <protection locked="0"/>
    </xf>
    <xf numFmtId="186" fontId="5" fillId="6" borderId="0" xfId="1" applyNumberFormat="1" applyFont="1" applyFill="1" applyBorder="1" applyProtection="1"/>
    <xf numFmtId="177" fontId="5" fillId="6" borderId="0" xfId="2" applyNumberFormat="1" applyFont="1" applyFill="1" applyBorder="1" applyProtection="1"/>
    <xf numFmtId="167" fontId="5" fillId="0" borderId="7" xfId="2" applyFont="1" applyBorder="1" applyProtection="1"/>
    <xf numFmtId="167" fontId="5" fillId="0" borderId="0" xfId="0" applyNumberFormat="1" applyFont="1"/>
    <xf numFmtId="167" fontId="5" fillId="0" borderId="8" xfId="2" applyFont="1" applyBorder="1" applyProtection="1"/>
    <xf numFmtId="1" fontId="0" fillId="0" borderId="7" xfId="0" applyNumberFormat="1" applyBorder="1"/>
    <xf numFmtId="186" fontId="0" fillId="0" borderId="0" xfId="0" applyNumberFormat="1"/>
    <xf numFmtId="1" fontId="0" fillId="0" borderId="8" xfId="0" applyNumberFormat="1" applyBorder="1"/>
    <xf numFmtId="167" fontId="0" fillId="0" borderId="0" xfId="0" applyNumberFormat="1"/>
    <xf numFmtId="177" fontId="87" fillId="0" borderId="7" xfId="2" applyNumberFormat="1" applyBorder="1" applyProtection="1"/>
    <xf numFmtId="177" fontId="87" fillId="0" borderId="74" xfId="2" applyNumberFormat="1" applyBorder="1" applyProtection="1"/>
    <xf numFmtId="177" fontId="87" fillId="0" borderId="41" xfId="2" applyNumberFormat="1" applyBorder="1" applyProtection="1"/>
    <xf numFmtId="177" fontId="87" fillId="0" borderId="66" xfId="2" applyNumberFormat="1" applyBorder="1" applyProtection="1"/>
    <xf numFmtId="177" fontId="87" fillId="0" borderId="37" xfId="2" applyNumberFormat="1" applyBorder="1" applyProtection="1"/>
    <xf numFmtId="177" fontId="87" fillId="0" borderId="45" xfId="2" applyNumberFormat="1" applyBorder="1" applyProtection="1"/>
    <xf numFmtId="167" fontId="87" fillId="0" borderId="45" xfId="2" applyBorder="1" applyProtection="1"/>
    <xf numFmtId="177" fontId="87" fillId="0" borderId="15" xfId="2" applyNumberFormat="1" applyBorder="1" applyProtection="1"/>
    <xf numFmtId="177" fontId="87" fillId="0" borderId="8" xfId="2" applyNumberFormat="1" applyBorder="1" applyProtection="1"/>
    <xf numFmtId="0" fontId="5" fillId="0" borderId="7" xfId="0" applyFont="1" applyBorder="1" applyProtection="1">
      <protection locked="0"/>
    </xf>
    <xf numFmtId="177" fontId="5" fillId="6" borderId="13" xfId="2" applyNumberFormat="1" applyFont="1" applyFill="1" applyBorder="1" applyProtection="1"/>
    <xf numFmtId="167" fontId="5" fillId="0" borderId="0" xfId="2" applyFont="1" applyBorder="1" applyProtection="1"/>
    <xf numFmtId="1" fontId="0" fillId="0" borderId="12" xfId="0" applyNumberFormat="1" applyBorder="1"/>
    <xf numFmtId="186" fontId="0" fillId="0" borderId="6" xfId="0" applyNumberFormat="1" applyBorder="1"/>
    <xf numFmtId="1" fontId="0" fillId="0" borderId="13" xfId="0" applyNumberFormat="1" applyBorder="1"/>
    <xf numFmtId="177" fontId="87" fillId="0" borderId="69" xfId="2" applyNumberFormat="1" applyBorder="1" applyProtection="1"/>
    <xf numFmtId="177" fontId="87" fillId="0" borderId="75" xfId="2" applyNumberFormat="1" applyBorder="1" applyProtection="1"/>
    <xf numFmtId="177" fontId="87" fillId="0" borderId="2" xfId="2" applyNumberFormat="1" applyBorder="1" applyProtection="1"/>
    <xf numFmtId="177" fontId="87" fillId="0" borderId="89" xfId="2" applyNumberFormat="1" applyBorder="1" applyProtection="1"/>
    <xf numFmtId="0" fontId="3" fillId="0" borderId="21" xfId="0" applyFont="1" applyBorder="1"/>
    <xf numFmtId="0" fontId="5" fillId="9" borderId="22" xfId="0" applyFont="1" applyFill="1" applyBorder="1"/>
    <xf numFmtId="1" fontId="5" fillId="0" borderId="22" xfId="0" applyNumberFormat="1" applyFont="1" applyBorder="1"/>
    <xf numFmtId="0" fontId="5" fillId="0" borderId="22" xfId="0" applyFont="1" applyBorder="1" applyAlignment="1">
      <alignment horizontal="left"/>
    </xf>
    <xf numFmtId="0" fontId="5" fillId="9" borderId="22" xfId="0" applyFont="1" applyFill="1" applyBorder="1" applyAlignment="1">
      <alignment horizontal="left"/>
    </xf>
    <xf numFmtId="0" fontId="5" fillId="9" borderId="23" xfId="0" applyFont="1" applyFill="1" applyBorder="1"/>
    <xf numFmtId="0" fontId="5" fillId="0" borderId="3" xfId="0" applyFont="1" applyBorder="1"/>
    <xf numFmtId="0" fontId="5" fillId="9" borderId="103" xfId="0" applyFont="1" applyFill="1" applyBorder="1"/>
    <xf numFmtId="0" fontId="5" fillId="9" borderId="104" xfId="0" applyFont="1" applyFill="1" applyBorder="1"/>
    <xf numFmtId="169" fontId="5" fillId="0" borderId="22" xfId="0" applyNumberFormat="1" applyFont="1" applyBorder="1"/>
    <xf numFmtId="198" fontId="5" fillId="0" borderId="22" xfId="0" applyNumberFormat="1" applyFont="1" applyBorder="1"/>
    <xf numFmtId="191" fontId="5" fillId="0" borderId="23" xfId="0" applyNumberFormat="1" applyFont="1" applyBorder="1"/>
    <xf numFmtId="191" fontId="5" fillId="0" borderId="21" xfId="1" applyNumberFormat="1" applyFont="1" applyBorder="1" applyProtection="1"/>
    <xf numFmtId="167" fontId="5" fillId="0" borderId="22" xfId="0" applyNumberFormat="1" applyFont="1" applyBorder="1"/>
    <xf numFmtId="9" fontId="5" fillId="3" borderId="3" xfId="3" applyFont="1" applyFill="1" applyBorder="1" applyAlignment="1" applyProtection="1">
      <alignment horizontal="center"/>
    </xf>
    <xf numFmtId="177" fontId="87" fillId="0" borderId="12" xfId="2" applyNumberFormat="1" applyBorder="1" applyProtection="1"/>
    <xf numFmtId="177" fontId="87" fillId="0" borderId="6" xfId="2" applyNumberFormat="1" applyBorder="1" applyProtection="1"/>
    <xf numFmtId="177" fontId="87" fillId="0" borderId="67" xfId="2" applyNumberFormat="1" applyBorder="1" applyProtection="1"/>
    <xf numFmtId="177" fontId="87" fillId="0" borderId="13" xfId="2" applyNumberFormat="1" applyBorder="1" applyProtection="1"/>
    <xf numFmtId="0" fontId="5" fillId="14" borderId="16" xfId="0" applyFont="1" applyFill="1" applyBorder="1" applyProtection="1">
      <protection locked="0"/>
    </xf>
    <xf numFmtId="0" fontId="5" fillId="14" borderId="9" xfId="0" applyFont="1" applyFill="1" applyBorder="1" applyProtection="1">
      <protection locked="0"/>
    </xf>
    <xf numFmtId="0" fontId="65" fillId="14" borderId="9" xfId="0" applyFont="1" applyFill="1" applyBorder="1" applyAlignment="1" applyProtection="1">
      <alignment horizontal="right"/>
      <protection locked="0"/>
    </xf>
    <xf numFmtId="0" fontId="5" fillId="14" borderId="9" xfId="0" applyFont="1" applyFill="1" applyBorder="1" applyAlignment="1" applyProtection="1">
      <alignment horizontal="center"/>
      <protection locked="0"/>
    </xf>
    <xf numFmtId="0" fontId="5" fillId="14" borderId="9" xfId="0" applyFont="1" applyFill="1" applyBorder="1"/>
    <xf numFmtId="193" fontId="5" fillId="14" borderId="9" xfId="0" applyNumberFormat="1" applyFont="1" applyFill="1" applyBorder="1"/>
    <xf numFmtId="177" fontId="5" fillId="14" borderId="17" xfId="2" applyNumberFormat="1" applyFont="1" applyFill="1" applyBorder="1" applyAlignment="1" applyProtection="1">
      <alignment horizontal="center"/>
    </xf>
    <xf numFmtId="0" fontId="5" fillId="14" borderId="0" xfId="0" applyFont="1" applyFill="1"/>
    <xf numFmtId="1" fontId="5" fillId="3" borderId="1" xfId="0" applyNumberFormat="1" applyFont="1" applyFill="1" applyBorder="1" applyAlignment="1" applyProtection="1">
      <alignment horizontal="center"/>
      <protection locked="0"/>
    </xf>
    <xf numFmtId="10" fontId="5" fillId="3" borderId="1" xfId="3" applyNumberFormat="1" applyFont="1" applyFill="1" applyBorder="1" applyProtection="1"/>
    <xf numFmtId="0" fontId="5" fillId="14" borderId="8" xfId="0" applyFont="1" applyFill="1" applyBorder="1"/>
    <xf numFmtId="0" fontId="3" fillId="9" borderId="12" xfId="0" applyFont="1" applyFill="1" applyBorder="1" applyProtection="1">
      <protection locked="0"/>
    </xf>
    <xf numFmtId="167" fontId="5" fillId="0" borderId="13" xfId="2" applyFont="1" applyBorder="1" applyAlignment="1" applyProtection="1">
      <alignment horizontal="center"/>
      <protection locked="0"/>
    </xf>
    <xf numFmtId="180" fontId="3" fillId="9" borderId="12" xfId="3" applyNumberFormat="1" applyFont="1" applyFill="1" applyBorder="1" applyAlignment="1" applyProtection="1">
      <alignment horizontal="center"/>
    </xf>
    <xf numFmtId="0" fontId="3" fillId="0" borderId="7" xfId="0" applyFont="1" applyBorder="1"/>
    <xf numFmtId="177" fontId="3" fillId="0" borderId="0" xfId="0" applyNumberFormat="1" applyFont="1" applyAlignment="1">
      <alignment horizontal="center"/>
    </xf>
    <xf numFmtId="0" fontId="5" fillId="14" borderId="12" xfId="0" applyFont="1" applyFill="1" applyBorder="1"/>
    <xf numFmtId="0" fontId="5" fillId="14" borderId="6" xfId="0" applyFont="1" applyFill="1" applyBorder="1"/>
    <xf numFmtId="0" fontId="65" fillId="14" borderId="6" xfId="0" applyFont="1" applyFill="1" applyBorder="1" applyAlignment="1">
      <alignment horizontal="right"/>
    </xf>
    <xf numFmtId="0" fontId="5" fillId="15" borderId="22" xfId="0" applyFont="1" applyFill="1" applyBorder="1"/>
    <xf numFmtId="0" fontId="5" fillId="15" borderId="23" xfId="0" applyFont="1" applyFill="1" applyBorder="1"/>
    <xf numFmtId="0" fontId="5" fillId="14" borderId="21" xfId="0" applyFont="1" applyFill="1" applyBorder="1"/>
    <xf numFmtId="191" fontId="5" fillId="14" borderId="22" xfId="0" applyNumberFormat="1" applyFont="1" applyFill="1" applyBorder="1" applyAlignment="1">
      <alignment horizontal="center"/>
    </xf>
    <xf numFmtId="177" fontId="5" fillId="14" borderId="6" xfId="2" applyNumberFormat="1" applyFont="1" applyFill="1" applyBorder="1" applyAlignment="1" applyProtection="1">
      <alignment horizontal="center"/>
      <protection locked="0"/>
    </xf>
    <xf numFmtId="0" fontId="3" fillId="14" borderId="6" xfId="0" applyFont="1" applyFill="1" applyBorder="1"/>
    <xf numFmtId="0" fontId="5" fillId="14" borderId="13" xfId="0" applyFont="1" applyFill="1" applyBorder="1"/>
    <xf numFmtId="1" fontId="5" fillId="3" borderId="0" xfId="0" applyNumberFormat="1" applyFont="1" applyFill="1" applyAlignment="1">
      <alignment horizontal="left"/>
    </xf>
    <xf numFmtId="0" fontId="5" fillId="3" borderId="0" xfId="0" applyFont="1" applyFill="1" applyAlignment="1">
      <alignment horizontal="center"/>
    </xf>
    <xf numFmtId="198" fontId="5" fillId="20" borderId="3" xfId="0" applyNumberFormat="1" applyFont="1" applyFill="1" applyBorder="1" applyAlignment="1">
      <alignment horizontal="center"/>
    </xf>
    <xf numFmtId="198" fontId="5" fillId="9" borderId="0" xfId="0" applyNumberFormat="1" applyFont="1" applyFill="1"/>
    <xf numFmtId="177" fontId="72" fillId="9" borderId="0" xfId="0" applyNumberFormat="1" applyFont="1" applyFill="1"/>
    <xf numFmtId="0" fontId="5" fillId="3" borderId="0" xfId="0" applyFont="1" applyFill="1"/>
    <xf numFmtId="0" fontId="5" fillId="3" borderId="0" xfId="1" applyNumberFormat="1" applyFont="1" applyFill="1" applyBorder="1" applyAlignment="1" applyProtection="1">
      <alignment horizontal="center"/>
    </xf>
    <xf numFmtId="167" fontId="5" fillId="3" borderId="0" xfId="1" applyNumberFormat="1" applyFont="1" applyFill="1" applyBorder="1" applyAlignment="1" applyProtection="1">
      <alignment horizontal="center"/>
    </xf>
    <xf numFmtId="186" fontId="5" fillId="3" borderId="0" xfId="1" applyNumberFormat="1" applyFont="1" applyFill="1" applyBorder="1" applyAlignment="1" applyProtection="1">
      <alignment horizontal="center"/>
    </xf>
    <xf numFmtId="177" fontId="5" fillId="3" borderId="0" xfId="2" applyNumberFormat="1" applyFont="1" applyFill="1" applyBorder="1" applyAlignment="1" applyProtection="1">
      <alignment horizontal="center"/>
    </xf>
    <xf numFmtId="169" fontId="5" fillId="20" borderId="10" xfId="0" applyNumberFormat="1" applyFont="1" applyFill="1" applyBorder="1" applyAlignment="1">
      <alignment horizontal="center"/>
    </xf>
    <xf numFmtId="191" fontId="5" fillId="20" borderId="10" xfId="1" applyNumberFormat="1" applyFont="1" applyFill="1" applyBorder="1" applyProtection="1"/>
    <xf numFmtId="177" fontId="5" fillId="20" borderId="11" xfId="2" applyNumberFormat="1" applyFont="1" applyFill="1" applyBorder="1" applyProtection="1"/>
    <xf numFmtId="177" fontId="5" fillId="9" borderId="0" xfId="2" applyNumberFormat="1" applyFont="1" applyFill="1" applyBorder="1" applyProtection="1"/>
    <xf numFmtId="0" fontId="5" fillId="9" borderId="0" xfId="0" applyFont="1" applyFill="1" applyAlignment="1">
      <alignment horizontal="right"/>
    </xf>
    <xf numFmtId="10" fontId="5" fillId="9" borderId="0" xfId="3" applyNumberFormat="1" applyFont="1" applyFill="1" applyBorder="1" applyProtection="1"/>
    <xf numFmtId="176" fontId="0" fillId="0" borderId="0" xfId="0" applyNumberFormat="1"/>
    <xf numFmtId="1" fontId="5" fillId="3" borderId="0" xfId="1" applyNumberFormat="1" applyFont="1" applyFill="1" applyBorder="1" applyAlignment="1" applyProtection="1">
      <alignment horizontal="center"/>
    </xf>
    <xf numFmtId="169" fontId="5" fillId="20" borderId="33" xfId="0" applyNumberFormat="1" applyFont="1" applyFill="1" applyBorder="1" applyAlignment="1">
      <alignment horizontal="center"/>
    </xf>
    <xf numFmtId="191" fontId="5" fillId="20" borderId="33" xfId="1" applyNumberFormat="1" applyFont="1" applyFill="1" applyBorder="1" applyProtection="1"/>
    <xf numFmtId="177" fontId="5" fillId="20" borderId="33" xfId="2" applyNumberFormat="1" applyFont="1" applyFill="1" applyBorder="1" applyProtection="1"/>
    <xf numFmtId="0" fontId="76" fillId="2" borderId="0" xfId="7" applyBorder="1" applyProtection="1"/>
    <xf numFmtId="177" fontId="5" fillId="3" borderId="0" xfId="1" applyNumberFormat="1" applyFont="1" applyFill="1" applyBorder="1" applyAlignment="1" applyProtection="1">
      <alignment horizontal="center"/>
    </xf>
    <xf numFmtId="1" fontId="3" fillId="3" borderId="0" xfId="1" applyNumberFormat="1" applyFont="1" applyFill="1" applyBorder="1" applyAlignment="1" applyProtection="1">
      <alignment horizontal="center"/>
    </xf>
    <xf numFmtId="177" fontId="5" fillId="9" borderId="6" xfId="2" applyNumberFormat="1" applyFont="1" applyFill="1" applyBorder="1" applyProtection="1"/>
    <xf numFmtId="177" fontId="5" fillId="9" borderId="6" xfId="2" applyNumberFormat="1" applyFont="1" applyFill="1" applyBorder="1" applyAlignment="1" applyProtection="1">
      <alignment horizontal="right"/>
    </xf>
    <xf numFmtId="9" fontId="5" fillId="9" borderId="0" xfId="3" applyFont="1" applyFill="1" applyBorder="1" applyProtection="1"/>
    <xf numFmtId="0" fontId="5" fillId="6" borderId="100" xfId="0" applyFont="1" applyFill="1" applyBorder="1" applyAlignment="1">
      <alignment horizontal="center"/>
    </xf>
    <xf numFmtId="0" fontId="3" fillId="6" borderId="4" xfId="0" applyFont="1" applyFill="1" applyBorder="1" applyAlignment="1">
      <alignment horizontal="center"/>
    </xf>
    <xf numFmtId="0" fontId="3" fillId="6" borderId="5" xfId="0" applyFont="1" applyFill="1" applyBorder="1" applyAlignment="1">
      <alignment horizontal="center"/>
    </xf>
    <xf numFmtId="0" fontId="3" fillId="6" borderId="5" xfId="0" applyFont="1" applyFill="1" applyBorder="1" applyAlignment="1">
      <alignment horizontal="center" wrapText="1"/>
    </xf>
    <xf numFmtId="0" fontId="3" fillId="6" borderId="102" xfId="0" applyFont="1" applyFill="1" applyBorder="1" applyAlignment="1">
      <alignment horizontal="center"/>
    </xf>
    <xf numFmtId="0" fontId="5" fillId="0" borderId="4" xfId="0" applyFont="1" applyBorder="1" applyAlignment="1">
      <alignment horizontal="center" wrapText="1"/>
    </xf>
    <xf numFmtId="0" fontId="5" fillId="0" borderId="5" xfId="0" applyFont="1" applyBorder="1"/>
    <xf numFmtId="0" fontId="3" fillId="0" borderId="5" xfId="0" applyFont="1" applyBorder="1" applyAlignment="1">
      <alignment horizontal="center"/>
    </xf>
    <xf numFmtId="0" fontId="3" fillId="0" borderId="102" xfId="0" applyFont="1" applyBorder="1" applyAlignment="1">
      <alignment horizontal="center"/>
    </xf>
    <xf numFmtId="0" fontId="1" fillId="21" borderId="0" xfId="0" applyFont="1" applyFill="1"/>
    <xf numFmtId="0" fontId="5" fillId="0" borderId="70" xfId="0" applyFont="1" applyBorder="1" applyAlignment="1">
      <alignment horizontal="center"/>
    </xf>
    <xf numFmtId="0" fontId="5" fillId="0" borderId="105" xfId="0" applyFont="1" applyBorder="1"/>
    <xf numFmtId="167" fontId="77" fillId="15" borderId="67" xfId="2" applyFont="1" applyFill="1" applyBorder="1" applyAlignment="1" applyProtection="1">
      <alignment horizontal="center"/>
      <protection locked="0"/>
    </xf>
    <xf numFmtId="9" fontId="5" fillId="0" borderId="78" xfId="3" applyFont="1" applyBorder="1" applyAlignment="1" applyProtection="1">
      <alignment horizontal="center" vertical="center" wrapText="1"/>
      <protection locked="0"/>
    </xf>
    <xf numFmtId="9" fontId="5" fillId="3" borderId="60" xfId="3" applyFont="1" applyFill="1" applyBorder="1" applyAlignment="1" applyProtection="1">
      <alignment horizontal="center" vertical="center"/>
      <protection locked="0"/>
    </xf>
    <xf numFmtId="191" fontId="5" fillId="0" borderId="37" xfId="1" applyNumberFormat="1" applyFont="1" applyBorder="1" applyProtection="1"/>
    <xf numFmtId="191" fontId="5" fillId="0" borderId="0" xfId="1" applyNumberFormat="1" applyFont="1" applyBorder="1" applyProtection="1"/>
    <xf numFmtId="0" fontId="5" fillId="0" borderId="40" xfId="0" applyFont="1" applyBorder="1" applyAlignment="1">
      <alignment horizontal="left"/>
    </xf>
    <xf numFmtId="1" fontId="5" fillId="0" borderId="0" xfId="0" applyNumberFormat="1" applyFont="1"/>
    <xf numFmtId="177" fontId="5" fillId="9" borderId="8" xfId="2" applyNumberFormat="1" applyFont="1" applyFill="1" applyBorder="1" applyAlignment="1" applyProtection="1">
      <alignment horizontal="center"/>
    </xf>
    <xf numFmtId="0" fontId="1" fillId="21" borderId="0" xfId="0" applyFont="1" applyFill="1" applyAlignment="1">
      <alignment horizontal="center"/>
    </xf>
    <xf numFmtId="0" fontId="5" fillId="0" borderId="47" xfId="0" applyFont="1" applyBorder="1" applyAlignment="1">
      <alignment horizontal="center"/>
    </xf>
    <xf numFmtId="0" fontId="5" fillId="0" borderId="7" xfId="0" applyFont="1" applyBorder="1" applyAlignment="1">
      <alignment horizontal="left"/>
    </xf>
    <xf numFmtId="191" fontId="5" fillId="0" borderId="0" xfId="1" applyNumberFormat="1" applyFont="1" applyBorder="1" applyAlignment="1" applyProtection="1">
      <alignment horizontal="center"/>
    </xf>
    <xf numFmtId="0" fontId="5" fillId="0" borderId="106" xfId="0" applyFont="1" applyBorder="1" applyAlignment="1">
      <alignment horizontal="center"/>
    </xf>
    <xf numFmtId="0" fontId="5" fillId="0" borderId="59" xfId="0" applyFont="1" applyBorder="1"/>
    <xf numFmtId="0" fontId="5" fillId="0" borderId="39" xfId="0" applyFont="1" applyBorder="1" applyAlignment="1">
      <alignment horizontal="left"/>
    </xf>
    <xf numFmtId="1" fontId="65" fillId="0" borderId="11" xfId="0" applyNumberFormat="1" applyFont="1" applyBorder="1"/>
    <xf numFmtId="167" fontId="5" fillId="15" borderId="67" xfId="2" applyFont="1" applyFill="1" applyBorder="1" applyAlignment="1" applyProtection="1">
      <alignment horizontal="center"/>
      <protection locked="0"/>
    </xf>
    <xf numFmtId="9" fontId="5" fillId="3" borderId="1" xfId="3" applyFont="1" applyFill="1" applyBorder="1" applyProtection="1">
      <protection locked="0"/>
    </xf>
    <xf numFmtId="0" fontId="5" fillId="0" borderId="39" xfId="0" applyFont="1" applyBorder="1" applyAlignment="1" applyProtection="1">
      <alignment horizontal="center"/>
      <protection locked="0"/>
    </xf>
    <xf numFmtId="177" fontId="5" fillId="3" borderId="91" xfId="2" applyNumberFormat="1" applyFont="1" applyFill="1" applyBorder="1" applyAlignment="1" applyProtection="1">
      <alignment horizontal="center"/>
      <protection locked="0"/>
    </xf>
    <xf numFmtId="191" fontId="5" fillId="0" borderId="39" xfId="1" applyNumberFormat="1" applyFont="1" applyBorder="1" applyAlignment="1" applyProtection="1">
      <alignment horizontal="center"/>
    </xf>
    <xf numFmtId="177" fontId="5" fillId="9" borderId="61" xfId="2" applyNumberFormat="1" applyFont="1" applyFill="1" applyBorder="1" applyAlignment="1" applyProtection="1">
      <alignment horizontal="center"/>
    </xf>
    <xf numFmtId="0" fontId="5" fillId="0" borderId="33" xfId="0" applyFont="1" applyBorder="1"/>
    <xf numFmtId="0" fontId="5" fillId="0" borderId="6" xfId="0" applyFont="1" applyBorder="1"/>
    <xf numFmtId="167" fontId="5" fillId="15" borderId="19" xfId="2" applyFont="1" applyFill="1" applyBorder="1" applyProtection="1">
      <protection locked="0"/>
    </xf>
    <xf numFmtId="9" fontId="5" fillId="3" borderId="19" xfId="3" applyFont="1" applyFill="1" applyBorder="1" applyProtection="1">
      <protection locked="0"/>
    </xf>
    <xf numFmtId="0" fontId="3" fillId="6" borderId="7" xfId="0" applyFont="1" applyFill="1" applyBorder="1" applyAlignment="1">
      <alignment horizontal="left"/>
    </xf>
    <xf numFmtId="0" fontId="3" fillId="6" borderId="0" xfId="0" applyFont="1" applyFill="1" applyAlignment="1">
      <alignment horizontal="center"/>
    </xf>
    <xf numFmtId="0" fontId="10" fillId="6" borderId="0" xfId="0" applyFont="1" applyFill="1" applyAlignment="1">
      <alignment horizontal="center"/>
    </xf>
    <xf numFmtId="0" fontId="5" fillId="0" borderId="109" xfId="0" applyFont="1" applyBorder="1" applyAlignment="1" applyProtection="1">
      <alignment horizontal="center"/>
      <protection locked="0"/>
    </xf>
    <xf numFmtId="0" fontId="5" fillId="0" borderId="9" xfId="0" applyFont="1" applyBorder="1"/>
    <xf numFmtId="0" fontId="5" fillId="0" borderId="1" xfId="0" applyFont="1" applyBorder="1" applyAlignment="1" applyProtection="1">
      <alignment horizontal="center"/>
      <protection locked="0"/>
    </xf>
    <xf numFmtId="167" fontId="5" fillId="0" borderId="0" xfId="2" applyFont="1" applyBorder="1" applyAlignment="1" applyProtection="1">
      <alignment horizontal="center" vertical="center"/>
    </xf>
    <xf numFmtId="0" fontId="5" fillId="0" borderId="0" xfId="0" applyFont="1" applyAlignment="1">
      <alignment horizontal="center" vertical="center"/>
    </xf>
    <xf numFmtId="0" fontId="5" fillId="0" borderId="59" xfId="0" applyFont="1" applyBorder="1" applyAlignment="1">
      <alignment horizontal="left"/>
    </xf>
    <xf numFmtId="0" fontId="5" fillId="0" borderId="39" xfId="0" applyFont="1" applyBorder="1" applyAlignment="1">
      <alignment horizontal="center"/>
    </xf>
    <xf numFmtId="0" fontId="5" fillId="0" borderId="91" xfId="0" applyFont="1" applyBorder="1" applyAlignment="1" applyProtection="1">
      <alignment horizontal="center"/>
      <protection locked="0"/>
    </xf>
    <xf numFmtId="0" fontId="3" fillId="0" borderId="12" xfId="0" applyFont="1" applyBorder="1" applyAlignment="1">
      <alignment horizontal="left"/>
    </xf>
    <xf numFmtId="0" fontId="3" fillId="0" borderId="6" xfId="0" applyFont="1" applyBorder="1" applyAlignment="1">
      <alignment horizontal="center"/>
    </xf>
    <xf numFmtId="0" fontId="3" fillId="0" borderId="51" xfId="0" applyFont="1" applyBorder="1" applyAlignment="1">
      <alignment horizontal="center"/>
    </xf>
    <xf numFmtId="167" fontId="5" fillId="6" borderId="38" xfId="2" applyFont="1" applyFill="1" applyBorder="1" applyAlignment="1" applyProtection="1">
      <alignment horizontal="center"/>
      <protection locked="0"/>
    </xf>
    <xf numFmtId="0" fontId="10" fillId="6" borderId="21" xfId="0" applyFont="1" applyFill="1" applyBorder="1" applyAlignment="1">
      <alignment horizontal="left"/>
    </xf>
    <xf numFmtId="0" fontId="10" fillId="6" borderId="22" xfId="0" applyFont="1" applyFill="1" applyBorder="1" applyAlignment="1">
      <alignment horizontal="left"/>
    </xf>
    <xf numFmtId="0" fontId="10" fillId="6" borderId="23" xfId="0" applyFont="1" applyFill="1" applyBorder="1" applyAlignment="1">
      <alignment horizontal="left"/>
    </xf>
    <xf numFmtId="0" fontId="5" fillId="0" borderId="16" xfId="0" applyFont="1" applyBorder="1" applyAlignment="1">
      <alignment horizontal="left"/>
    </xf>
    <xf numFmtId="1" fontId="5" fillId="0" borderId="9" xfId="0" applyNumberFormat="1" applyFont="1" applyBorder="1" applyProtection="1">
      <protection locked="0"/>
    </xf>
    <xf numFmtId="1" fontId="5" fillId="3" borderId="109" xfId="0" applyNumberFormat="1" applyFont="1" applyFill="1" applyBorder="1" applyProtection="1">
      <protection locked="0"/>
    </xf>
    <xf numFmtId="177" fontId="5" fillId="15" borderId="109" xfId="2" applyNumberFormat="1" applyFont="1" applyFill="1" applyBorder="1" applyProtection="1">
      <protection locked="0"/>
    </xf>
    <xf numFmtId="169" fontId="5" fillId="0" borderId="9" xfId="0" applyNumberFormat="1" applyFont="1" applyBorder="1"/>
    <xf numFmtId="1" fontId="5" fillId="3" borderId="1" xfId="0" applyNumberFormat="1" applyFont="1" applyFill="1" applyBorder="1" applyProtection="1">
      <protection locked="0"/>
    </xf>
    <xf numFmtId="0" fontId="5" fillId="0" borderId="67" xfId="0" applyFont="1" applyBorder="1"/>
    <xf numFmtId="177" fontId="5" fillId="15" borderId="1" xfId="2" applyNumberFormat="1" applyFont="1" applyFill="1" applyBorder="1" applyProtection="1">
      <protection locked="0"/>
    </xf>
    <xf numFmtId="1" fontId="5" fillId="0" borderId="39" xfId="0" applyNumberFormat="1" applyFont="1" applyBorder="1"/>
    <xf numFmtId="167" fontId="5" fillId="0" borderId="39" xfId="2" applyFont="1" applyBorder="1" applyProtection="1"/>
    <xf numFmtId="0" fontId="5" fillId="0" borderId="12" xfId="0" applyFont="1" applyBorder="1" applyAlignment="1">
      <alignment horizontal="left"/>
    </xf>
    <xf numFmtId="1" fontId="5" fillId="3" borderId="72" xfId="0" applyNumberFormat="1" applyFont="1" applyFill="1" applyBorder="1" applyProtection="1">
      <protection locked="0"/>
    </xf>
    <xf numFmtId="0" fontId="78" fillId="0" borderId="0" xfId="0" applyFont="1"/>
    <xf numFmtId="167" fontId="5" fillId="15" borderId="72" xfId="2" applyFont="1" applyFill="1" applyBorder="1" applyProtection="1">
      <protection locked="0"/>
    </xf>
    <xf numFmtId="0" fontId="5" fillId="0" borderId="42" xfId="0" applyFont="1" applyBorder="1"/>
    <xf numFmtId="1" fontId="5" fillId="3" borderId="67" xfId="0" applyNumberFormat="1" applyFont="1" applyFill="1" applyBorder="1" applyProtection="1">
      <protection locked="0"/>
    </xf>
    <xf numFmtId="0" fontId="5" fillId="0" borderId="45" xfId="0" applyFont="1" applyBorder="1"/>
    <xf numFmtId="177" fontId="5" fillId="15" borderId="67" xfId="2" applyNumberFormat="1" applyFont="1" applyFill="1" applyBorder="1" applyProtection="1">
      <protection locked="0"/>
    </xf>
    <xf numFmtId="0" fontId="1" fillId="0" borderId="59" xfId="0" applyFont="1" applyBorder="1"/>
    <xf numFmtId="167" fontId="5" fillId="9" borderId="61" xfId="2" applyFont="1" applyFill="1" applyBorder="1" applyProtection="1"/>
    <xf numFmtId="199" fontId="5" fillId="9" borderId="8" xfId="2" applyNumberFormat="1" applyFont="1" applyFill="1" applyBorder="1" applyAlignment="1" applyProtection="1">
      <alignment horizontal="center"/>
    </xf>
    <xf numFmtId="199" fontId="5" fillId="9" borderId="61" xfId="2" applyNumberFormat="1" applyFont="1" applyFill="1" applyBorder="1" applyAlignment="1" applyProtection="1">
      <alignment horizontal="center"/>
    </xf>
    <xf numFmtId="0" fontId="5" fillId="0" borderId="51" xfId="0" applyFont="1" applyBorder="1"/>
    <xf numFmtId="177" fontId="5" fillId="15" borderId="72" xfId="2" applyNumberFormat="1" applyFont="1" applyFill="1" applyBorder="1" applyProtection="1">
      <protection locked="0"/>
    </xf>
    <xf numFmtId="177" fontId="5" fillId="0" borderId="6" xfId="0" applyNumberFormat="1" applyFont="1" applyBorder="1"/>
    <xf numFmtId="0" fontId="10" fillId="6" borderId="16" xfId="0" applyFont="1" applyFill="1" applyBorder="1" applyAlignment="1">
      <alignment horizontal="left"/>
    </xf>
    <xf numFmtId="0" fontId="10" fillId="6" borderId="9" xfId="0" applyFont="1" applyFill="1" applyBorder="1" applyAlignment="1">
      <alignment horizontal="left"/>
    </xf>
    <xf numFmtId="0" fontId="10" fillId="6" borderId="17" xfId="0" applyFont="1" applyFill="1" applyBorder="1" applyAlignment="1">
      <alignment horizontal="left"/>
    </xf>
    <xf numFmtId="0" fontId="5" fillId="24" borderId="109" xfId="0" applyFont="1" applyFill="1" applyBorder="1" applyAlignment="1">
      <alignment horizontal="center"/>
    </xf>
    <xf numFmtId="167" fontId="5" fillId="3" borderId="109" xfId="2" applyFont="1" applyFill="1" applyBorder="1" applyAlignment="1" applyProtection="1">
      <alignment horizontal="left"/>
      <protection locked="0"/>
    </xf>
    <xf numFmtId="0" fontId="5" fillId="0" borderId="9" xfId="0" applyFont="1" applyBorder="1" applyAlignment="1">
      <alignment horizontal="left"/>
    </xf>
    <xf numFmtId="200" fontId="72" fillId="0" borderId="9" xfId="0" applyNumberFormat="1" applyFont="1" applyBorder="1"/>
    <xf numFmtId="167" fontId="5" fillId="3" borderId="1" xfId="2" applyFont="1" applyFill="1" applyBorder="1" applyProtection="1">
      <protection locked="0"/>
    </xf>
    <xf numFmtId="191" fontId="5" fillId="3" borderId="1" xfId="1" applyNumberFormat="1" applyFont="1" applyFill="1" applyBorder="1" applyAlignment="1" applyProtection="1">
      <alignment horizontal="center"/>
      <protection locked="0"/>
    </xf>
    <xf numFmtId="200" fontId="72" fillId="0" borderId="0" xfId="0" applyNumberFormat="1" applyFont="1"/>
    <xf numFmtId="177" fontId="5" fillId="9" borderId="108" xfId="2" applyNumberFormat="1" applyFont="1" applyFill="1" applyBorder="1" applyAlignment="1" applyProtection="1">
      <alignment horizontal="center"/>
    </xf>
    <xf numFmtId="0" fontId="5" fillId="24" borderId="1" xfId="0" applyFont="1" applyFill="1" applyBorder="1" applyAlignment="1">
      <alignment horizontal="center"/>
    </xf>
    <xf numFmtId="167" fontId="5" fillId="3" borderId="55" xfId="2" applyFont="1" applyFill="1" applyBorder="1" applyProtection="1">
      <protection locked="0"/>
    </xf>
    <xf numFmtId="0" fontId="5" fillId="0" borderId="37" xfId="0" applyFont="1" applyBorder="1"/>
    <xf numFmtId="1" fontId="5" fillId="3" borderId="1" xfId="2" applyNumberFormat="1" applyFont="1" applyFill="1" applyBorder="1" applyProtection="1">
      <protection locked="0"/>
    </xf>
    <xf numFmtId="177" fontId="5" fillId="25" borderId="108" xfId="2" applyNumberFormat="1" applyFont="1" applyFill="1" applyBorder="1" applyAlignment="1" applyProtection="1">
      <alignment horizontal="center"/>
    </xf>
    <xf numFmtId="0" fontId="0" fillId="21" borderId="0" xfId="0" applyFill="1" applyAlignment="1">
      <alignment horizontal="center"/>
    </xf>
    <xf numFmtId="0" fontId="5" fillId="3" borderId="91" xfId="0" applyFont="1" applyFill="1" applyBorder="1" applyProtection="1">
      <protection locked="0"/>
    </xf>
    <xf numFmtId="0" fontId="72" fillId="0" borderId="39" xfId="0" applyFont="1" applyBorder="1"/>
    <xf numFmtId="0" fontId="3" fillId="0" borderId="7" xfId="0" applyFont="1" applyBorder="1" applyAlignment="1">
      <alignment horizontal="right"/>
    </xf>
    <xf numFmtId="177" fontId="5" fillId="25" borderId="8" xfId="0" applyNumberFormat="1" applyFont="1" applyFill="1" applyBorder="1" applyAlignment="1">
      <alignment horizontal="center"/>
    </xf>
    <xf numFmtId="0" fontId="79" fillId="26" borderId="12" xfId="0" applyFont="1" applyFill="1" applyBorder="1" applyAlignment="1">
      <alignment horizontal="left"/>
    </xf>
    <xf numFmtId="0" fontId="80" fillId="26" borderId="6" xfId="0" applyFont="1" applyFill="1" applyBorder="1" applyAlignment="1">
      <alignment horizontal="left"/>
    </xf>
    <xf numFmtId="0" fontId="3" fillId="26" borderId="6" xfId="0" applyFont="1" applyFill="1" applyBorder="1" applyAlignment="1">
      <alignment horizontal="left"/>
    </xf>
    <xf numFmtId="10" fontId="3" fillId="26" borderId="19" xfId="3" applyNumberFormat="1" applyFont="1" applyFill="1" applyBorder="1" applyAlignment="1" applyProtection="1">
      <alignment horizontal="center"/>
      <protection locked="0"/>
    </xf>
    <xf numFmtId="0" fontId="3" fillId="26" borderId="6" xfId="0" applyFont="1" applyFill="1" applyBorder="1"/>
    <xf numFmtId="0" fontId="3" fillId="27" borderId="6" xfId="0" applyFont="1" applyFill="1" applyBorder="1"/>
    <xf numFmtId="0" fontId="65" fillId="27" borderId="6" xfId="0" applyFont="1" applyFill="1" applyBorder="1"/>
    <xf numFmtId="167" fontId="5" fillId="0" borderId="6" xfId="0" applyNumberFormat="1" applyFont="1" applyBorder="1" applyAlignment="1">
      <alignment horizontal="center"/>
    </xf>
    <xf numFmtId="180" fontId="5" fillId="9" borderId="0" xfId="3" applyNumberFormat="1" applyFont="1" applyFill="1" applyBorder="1" applyProtection="1"/>
    <xf numFmtId="177" fontId="5" fillId="22" borderId="10" xfId="0" applyNumberFormat="1" applyFont="1" applyFill="1" applyBorder="1" applyAlignment="1">
      <alignment horizontal="center"/>
    </xf>
    <xf numFmtId="0" fontId="5" fillId="14" borderId="17" xfId="0" applyFont="1" applyFill="1" applyBorder="1" applyProtection="1">
      <protection locked="0"/>
    </xf>
    <xf numFmtId="0" fontId="3" fillId="9" borderId="16" xfId="0" applyFont="1" applyFill="1" applyBorder="1" applyAlignment="1">
      <alignment horizontal="center" wrapText="1"/>
    </xf>
    <xf numFmtId="0" fontId="3" fillId="9" borderId="9" xfId="0" applyFont="1" applyFill="1" applyBorder="1" applyAlignment="1">
      <alignment horizontal="center" wrapText="1"/>
    </xf>
    <xf numFmtId="0" fontId="3" fillId="9" borderId="17" xfId="0" applyFont="1" applyFill="1" applyBorder="1" applyAlignment="1">
      <alignment horizontal="center" wrapText="1"/>
    </xf>
    <xf numFmtId="0" fontId="3" fillId="9" borderId="16" xfId="0" applyFont="1" applyFill="1" applyBorder="1" applyAlignment="1">
      <alignment horizontal="center"/>
    </xf>
    <xf numFmtId="0" fontId="3" fillId="9" borderId="9" xfId="0" applyFont="1" applyFill="1" applyBorder="1" applyAlignment="1">
      <alignment horizontal="center"/>
    </xf>
    <xf numFmtId="0" fontId="3" fillId="9" borderId="17" xfId="0" applyFont="1" applyFill="1" applyBorder="1" applyAlignment="1">
      <alignment horizontal="center"/>
    </xf>
    <xf numFmtId="0" fontId="5" fillId="3" borderId="1" xfId="0" applyFont="1" applyFill="1" applyBorder="1" applyAlignment="1">
      <alignment horizontal="center"/>
    </xf>
    <xf numFmtId="9" fontId="5" fillId="3" borderId="32" xfId="3" applyFont="1" applyFill="1" applyBorder="1" applyProtection="1"/>
    <xf numFmtId="0" fontId="3" fillId="9" borderId="12" xfId="0" applyFont="1" applyFill="1" applyBorder="1"/>
    <xf numFmtId="10" fontId="5" fillId="3" borderId="12" xfId="3" applyNumberFormat="1" applyFont="1" applyFill="1" applyBorder="1" applyAlignment="1" applyProtection="1">
      <alignment horizontal="center"/>
    </xf>
    <xf numFmtId="10" fontId="5" fillId="3" borderId="6" xfId="3" applyNumberFormat="1" applyFont="1" applyFill="1" applyBorder="1" applyAlignment="1" applyProtection="1">
      <alignment horizontal="center"/>
    </xf>
    <xf numFmtId="10" fontId="5" fillId="3" borderId="13" xfId="3" applyNumberFormat="1" applyFont="1" applyFill="1" applyBorder="1" applyAlignment="1" applyProtection="1">
      <alignment horizontal="center"/>
    </xf>
    <xf numFmtId="177" fontId="5" fillId="14" borderId="0" xfId="2" applyNumberFormat="1" applyFont="1" applyFill="1" applyBorder="1" applyAlignment="1" applyProtection="1">
      <alignment horizontal="center"/>
    </xf>
    <xf numFmtId="177" fontId="72" fillId="0" borderId="17" xfId="0" applyNumberFormat="1" applyFont="1" applyBorder="1"/>
    <xf numFmtId="0" fontId="5" fillId="0" borderId="7" xfId="0" applyFont="1" applyBorder="1" applyAlignment="1">
      <alignment horizontal="center"/>
    </xf>
    <xf numFmtId="177" fontId="5" fillId="0" borderId="13" xfId="0" applyNumberFormat="1" applyFont="1" applyBorder="1"/>
    <xf numFmtId="197" fontId="5" fillId="6" borderId="1" xfId="0" applyNumberFormat="1" applyFont="1" applyFill="1" applyBorder="1" applyAlignment="1">
      <alignment horizontal="right"/>
    </xf>
    <xf numFmtId="177" fontId="5" fillId="0" borderId="68" xfId="2" applyNumberFormat="1" applyFont="1" applyBorder="1" applyAlignment="1" applyProtection="1">
      <alignment horizontal="center"/>
    </xf>
    <xf numFmtId="177" fontId="5" fillId="0" borderId="77" xfId="2" applyNumberFormat="1" applyFont="1" applyBorder="1" applyAlignment="1" applyProtection="1">
      <alignment horizontal="center"/>
    </xf>
    <xf numFmtId="197" fontId="5" fillId="6" borderId="91" xfId="0" applyNumberFormat="1" applyFont="1" applyFill="1" applyBorder="1" applyAlignment="1">
      <alignment horizontal="right"/>
    </xf>
    <xf numFmtId="0" fontId="5" fillId="0" borderId="90" xfId="0" applyFont="1" applyBorder="1"/>
    <xf numFmtId="0" fontId="5" fillId="0" borderId="92" xfId="0" applyFont="1" applyBorder="1"/>
    <xf numFmtId="177" fontId="5" fillId="0" borderId="80" xfId="2" applyNumberFormat="1" applyFont="1" applyBorder="1" applyAlignment="1" applyProtection="1">
      <alignment horizontal="center"/>
    </xf>
    <xf numFmtId="197" fontId="72" fillId="6" borderId="60" xfId="0" applyNumberFormat="1" applyFont="1" applyFill="1" applyBorder="1" applyAlignment="1">
      <alignment horizontal="right"/>
    </xf>
    <xf numFmtId="0" fontId="72" fillId="0" borderId="86" xfId="0" applyFont="1" applyBorder="1"/>
    <xf numFmtId="177" fontId="72" fillId="0" borderId="61" xfId="2" applyNumberFormat="1" applyFont="1" applyBorder="1" applyAlignment="1" applyProtection="1">
      <alignment horizontal="center"/>
    </xf>
    <xf numFmtId="197" fontId="5" fillId="6" borderId="67" xfId="0" applyNumberFormat="1" applyFont="1" applyFill="1" applyBorder="1" applyAlignment="1">
      <alignment horizontal="right"/>
    </xf>
    <xf numFmtId="0" fontId="3" fillId="0" borderId="22" xfId="0" applyFont="1" applyBorder="1" applyAlignment="1">
      <alignment horizontal="right"/>
    </xf>
    <xf numFmtId="15" fontId="3" fillId="0" borderId="17" xfId="0" applyNumberFormat="1" applyFont="1" applyBorder="1" applyAlignment="1">
      <alignment horizontal="center"/>
    </xf>
    <xf numFmtId="0" fontId="0" fillId="9" borderId="0" xfId="0" applyFill="1" applyAlignment="1">
      <alignment horizontal="center"/>
    </xf>
    <xf numFmtId="0" fontId="5" fillId="9" borderId="16" xfId="0" applyFont="1" applyFill="1" applyBorder="1" applyAlignment="1">
      <alignment horizontal="left"/>
    </xf>
    <xf numFmtId="0" fontId="3" fillId="0" borderId="9" xfId="0" applyFont="1" applyBorder="1" applyAlignment="1">
      <alignment horizontal="center"/>
    </xf>
    <xf numFmtId="0" fontId="3" fillId="0" borderId="23" xfId="0" applyFont="1" applyBorder="1" applyAlignment="1">
      <alignment horizontal="center"/>
    </xf>
    <xf numFmtId="0" fontId="5" fillId="0" borderId="11" xfId="0" applyFont="1" applyBorder="1"/>
    <xf numFmtId="0" fontId="5" fillId="9" borderId="7" xfId="0" applyFont="1" applyFill="1" applyBorder="1" applyAlignment="1">
      <alignment horizontal="right"/>
    </xf>
    <xf numFmtId="0" fontId="5" fillId="3" borderId="31" xfId="0" applyFont="1" applyFill="1" applyBorder="1" applyProtection="1">
      <protection locked="0"/>
    </xf>
    <xf numFmtId="0" fontId="5" fillId="9" borderId="6" xfId="0" applyFont="1" applyFill="1" applyBorder="1" applyAlignment="1">
      <alignment horizontal="right"/>
    </xf>
    <xf numFmtId="0" fontId="5" fillId="3" borderId="111" xfId="0" applyFont="1" applyFill="1" applyBorder="1" applyProtection="1">
      <protection locked="0"/>
    </xf>
    <xf numFmtId="0" fontId="5" fillId="9" borderId="0" xfId="0" applyFont="1" applyFill="1" applyAlignment="1">
      <alignment horizontal="left"/>
    </xf>
    <xf numFmtId="0" fontId="5" fillId="9" borderId="8" xfId="0" applyFont="1" applyFill="1" applyBorder="1"/>
    <xf numFmtId="0" fontId="5" fillId="3" borderId="16" xfId="0" applyFont="1" applyFill="1" applyBorder="1"/>
    <xf numFmtId="0" fontId="5" fillId="3" borderId="9" xfId="0" applyFont="1" applyFill="1" applyBorder="1"/>
    <xf numFmtId="0" fontId="3" fillId="3" borderId="101" xfId="0" applyFont="1" applyFill="1" applyBorder="1" applyAlignment="1">
      <alignment horizontal="center" wrapText="1"/>
    </xf>
    <xf numFmtId="0" fontId="3" fillId="3" borderId="35" xfId="0" applyFont="1" applyFill="1" applyBorder="1" applyAlignment="1">
      <alignment horizontal="center"/>
    </xf>
    <xf numFmtId="0" fontId="5" fillId="0" borderId="5" xfId="0" applyFont="1" applyBorder="1" applyAlignment="1">
      <alignment horizontal="center" wrapText="1"/>
    </xf>
    <xf numFmtId="0" fontId="5" fillId="3" borderId="60" xfId="0" applyFont="1" applyFill="1" applyBorder="1" applyAlignment="1">
      <alignment horizontal="center" wrapText="1"/>
    </xf>
    <xf numFmtId="0" fontId="5" fillId="3" borderId="86" xfId="0" applyFont="1" applyFill="1" applyBorder="1" applyAlignment="1">
      <alignment horizontal="center" wrapText="1"/>
    </xf>
    <xf numFmtId="0" fontId="5" fillId="3" borderId="39" xfId="0" applyFont="1" applyFill="1" applyBorder="1" applyAlignment="1">
      <alignment horizontal="center" wrapText="1"/>
    </xf>
    <xf numFmtId="0" fontId="5" fillId="3" borderId="78" xfId="0" applyFont="1" applyFill="1" applyBorder="1" applyAlignment="1">
      <alignment horizontal="center"/>
    </xf>
    <xf numFmtId="0" fontId="5" fillId="3" borderId="86" xfId="0" applyFont="1" applyFill="1" applyBorder="1" applyAlignment="1">
      <alignment horizontal="center"/>
    </xf>
    <xf numFmtId="0" fontId="5" fillId="3" borderId="39" xfId="0" applyFont="1" applyFill="1" applyBorder="1" applyAlignment="1">
      <alignment horizontal="center"/>
    </xf>
    <xf numFmtId="0" fontId="1" fillId="9" borderId="0" xfId="0" applyFont="1" applyFill="1" applyAlignment="1">
      <alignment horizontal="center"/>
    </xf>
    <xf numFmtId="0" fontId="3" fillId="0" borderId="0" xfId="0" applyFont="1" applyAlignment="1" applyProtection="1">
      <alignment horizontal="center"/>
      <protection locked="0"/>
    </xf>
    <xf numFmtId="1" fontId="8" fillId="3" borderId="15" xfId="0" applyNumberFormat="1" applyFont="1" applyFill="1" applyBorder="1"/>
    <xf numFmtId="186" fontId="5" fillId="0" borderId="0" xfId="0" applyNumberFormat="1" applyFont="1" applyAlignment="1" applyProtection="1">
      <alignment horizontal="center"/>
      <protection locked="0"/>
    </xf>
    <xf numFmtId="186" fontId="5" fillId="0" borderId="45" xfId="0" applyNumberFormat="1" applyFont="1" applyBorder="1" applyAlignment="1" applyProtection="1">
      <alignment horizontal="center"/>
      <protection locked="0"/>
    </xf>
    <xf numFmtId="186" fontId="5" fillId="0" borderId="37" xfId="0" applyNumberFormat="1" applyFont="1" applyBorder="1" applyAlignment="1" applyProtection="1">
      <alignment horizontal="center"/>
      <protection locked="0"/>
    </xf>
    <xf numFmtId="186" fontId="5" fillId="0" borderId="0" xfId="2" applyNumberFormat="1" applyFont="1" applyBorder="1" applyAlignment="1" applyProtection="1">
      <alignment horizontal="center"/>
      <protection locked="0"/>
    </xf>
    <xf numFmtId="186" fontId="5" fillId="3" borderId="15" xfId="0" applyNumberFormat="1" applyFont="1" applyFill="1" applyBorder="1" applyAlignment="1" applyProtection="1">
      <alignment horizontal="center"/>
      <protection locked="0"/>
    </xf>
    <xf numFmtId="191" fontId="5" fillId="0" borderId="0" xfId="1" applyNumberFormat="1" applyFont="1" applyBorder="1" applyProtection="1">
      <protection locked="0"/>
    </xf>
    <xf numFmtId="186" fontId="5" fillId="6" borderId="0" xfId="0" applyNumberFormat="1" applyFont="1" applyFill="1"/>
    <xf numFmtId="177" fontId="1" fillId="9" borderId="55" xfId="2" applyNumberFormat="1" applyFont="1" applyFill="1" applyBorder="1" applyAlignment="1" applyProtection="1">
      <alignment horizontal="center"/>
    </xf>
    <xf numFmtId="1" fontId="0" fillId="0" borderId="0" xfId="0" applyNumberFormat="1"/>
    <xf numFmtId="186" fontId="5" fillId="6" borderId="6" xfId="0" applyNumberFormat="1" applyFont="1" applyFill="1" applyBorder="1"/>
    <xf numFmtId="1" fontId="0" fillId="0" borderId="2" xfId="0" applyNumberFormat="1" applyBorder="1"/>
    <xf numFmtId="186" fontId="0" fillId="0" borderId="2" xfId="0" applyNumberFormat="1" applyBorder="1"/>
    <xf numFmtId="1" fontId="3" fillId="9" borderId="9" xfId="0" applyNumberFormat="1" applyFont="1" applyFill="1" applyBorder="1"/>
    <xf numFmtId="0" fontId="0" fillId="9" borderId="9" xfId="0" applyFill="1" applyBorder="1"/>
    <xf numFmtId="191" fontId="5" fillId="9" borderId="9" xfId="1" applyNumberFormat="1" applyFont="1" applyFill="1" applyBorder="1" applyProtection="1"/>
    <xf numFmtId="1" fontId="5" fillId="9" borderId="9" xfId="0" applyNumberFormat="1" applyFont="1" applyFill="1" applyBorder="1"/>
    <xf numFmtId="1" fontId="5" fillId="9" borderId="36" xfId="0" applyNumberFormat="1" applyFont="1" applyFill="1" applyBorder="1"/>
    <xf numFmtId="1" fontId="5" fillId="9" borderId="110" xfId="0" applyNumberFormat="1" applyFont="1" applyFill="1" applyBorder="1"/>
    <xf numFmtId="177" fontId="10" fillId="9" borderId="67" xfId="0" applyNumberFormat="1" applyFont="1" applyFill="1" applyBorder="1" applyAlignment="1">
      <alignment horizontal="center"/>
    </xf>
    <xf numFmtId="0" fontId="0" fillId="0" borderId="112" xfId="0" applyBorder="1"/>
    <xf numFmtId="0" fontId="0" fillId="9" borderId="6" xfId="0" applyFill="1" applyBorder="1"/>
    <xf numFmtId="191" fontId="5" fillId="9" borderId="6" xfId="1" applyNumberFormat="1" applyFont="1" applyFill="1" applyBorder="1" applyProtection="1"/>
    <xf numFmtId="198" fontId="5" fillId="9" borderId="6" xfId="0" applyNumberFormat="1" applyFont="1" applyFill="1" applyBorder="1"/>
    <xf numFmtId="201" fontId="5" fillId="9" borderId="13" xfId="0" applyNumberFormat="1" applyFont="1" applyFill="1" applyBorder="1"/>
    <xf numFmtId="0" fontId="5" fillId="9" borderId="13" xfId="0" applyFont="1" applyFill="1" applyBorder="1"/>
    <xf numFmtId="177" fontId="21" fillId="9" borderId="0" xfId="0" applyNumberFormat="1" applyFont="1" applyFill="1" applyAlignment="1">
      <alignment horizontal="center"/>
    </xf>
    <xf numFmtId="0" fontId="3" fillId="14" borderId="9" xfId="0" applyFont="1" applyFill="1" applyBorder="1" applyAlignment="1" applyProtection="1">
      <alignment horizontal="right"/>
      <protection locked="0"/>
    </xf>
    <xf numFmtId="191" fontId="5" fillId="14" borderId="9" xfId="1" applyNumberFormat="1" applyFont="1" applyFill="1" applyBorder="1" applyProtection="1">
      <protection locked="0"/>
    </xf>
    <xf numFmtId="10" fontId="5" fillId="3" borderId="1" xfId="3" applyNumberFormat="1" applyFont="1" applyFill="1" applyBorder="1" applyProtection="1">
      <protection locked="0"/>
    </xf>
    <xf numFmtId="177" fontId="5" fillId="14" borderId="0" xfId="2" applyNumberFormat="1" applyFont="1" applyFill="1" applyBorder="1" applyAlignment="1" applyProtection="1">
      <alignment horizontal="center"/>
      <protection locked="0"/>
    </xf>
    <xf numFmtId="0" fontId="65" fillId="14" borderId="6" xfId="0" applyFont="1" applyFill="1" applyBorder="1"/>
    <xf numFmtId="0" fontId="1" fillId="9" borderId="16" xfId="0" applyFont="1" applyFill="1" applyBorder="1" applyAlignment="1">
      <alignment horizontal="center"/>
    </xf>
    <xf numFmtId="0" fontId="5" fillId="9" borderId="9" xfId="0" applyFont="1" applyFill="1" applyBorder="1" applyAlignment="1">
      <alignment horizontal="right"/>
    </xf>
    <xf numFmtId="0" fontId="72" fillId="28" borderId="10" xfId="0" applyFont="1" applyFill="1" applyBorder="1"/>
    <xf numFmtId="0" fontId="1" fillId="9" borderId="2" xfId="0" applyFont="1" applyFill="1" applyBorder="1" applyAlignment="1">
      <alignment horizontal="center"/>
    </xf>
    <xf numFmtId="0" fontId="5" fillId="3" borderId="0" xfId="0" applyFont="1" applyFill="1" applyProtection="1">
      <protection locked="0"/>
    </xf>
    <xf numFmtId="177" fontId="5" fillId="3" borderId="0" xfId="2" applyNumberFormat="1" applyFont="1" applyFill="1" applyBorder="1" applyProtection="1">
      <protection locked="0"/>
    </xf>
    <xf numFmtId="0" fontId="5" fillId="20" borderId="3" xfId="0" applyFont="1" applyFill="1" applyBorder="1" applyAlignment="1">
      <alignment horizontal="center"/>
    </xf>
    <xf numFmtId="0" fontId="5" fillId="28" borderId="21" xfId="0" applyFont="1" applyFill="1" applyBorder="1"/>
    <xf numFmtId="0" fontId="1" fillId="9" borderId="7" xfId="0" applyFont="1" applyFill="1" applyBorder="1" applyAlignment="1">
      <alignment horizontal="center"/>
    </xf>
    <xf numFmtId="0" fontId="5" fillId="9" borderId="47" xfId="0" applyFont="1" applyFill="1" applyBorder="1"/>
    <xf numFmtId="0" fontId="0" fillId="9" borderId="56" xfId="0" applyFill="1" applyBorder="1" applyAlignment="1">
      <alignment horizontal="center"/>
    </xf>
    <xf numFmtId="0" fontId="10" fillId="0" borderId="44" xfId="0" applyFont="1" applyBorder="1"/>
    <xf numFmtId="1" fontId="5" fillId="3" borderId="0" xfId="0" applyNumberFormat="1" applyFont="1" applyFill="1" applyProtection="1">
      <protection locked="0"/>
    </xf>
    <xf numFmtId="177" fontId="5" fillId="3" borderId="0" xfId="2" applyNumberFormat="1" applyFont="1" applyFill="1" applyBorder="1" applyAlignment="1" applyProtection="1">
      <alignment horizontal="center"/>
      <protection locked="0"/>
    </xf>
    <xf numFmtId="0" fontId="0" fillId="9" borderId="7" xfId="0" applyFill="1" applyBorder="1" applyAlignment="1">
      <alignment horizontal="center"/>
    </xf>
    <xf numFmtId="0" fontId="10" fillId="0" borderId="47" xfId="0" applyFont="1" applyBorder="1"/>
    <xf numFmtId="177" fontId="5" fillId="20" borderId="33" xfId="0" applyNumberFormat="1" applyFont="1" applyFill="1" applyBorder="1"/>
    <xf numFmtId="0" fontId="0" fillId="9" borderId="12" xfId="0" applyFill="1" applyBorder="1" applyAlignment="1">
      <alignment horizontal="center"/>
    </xf>
    <xf numFmtId="0" fontId="0" fillId="0" borderId="33" xfId="0" applyBorder="1"/>
    <xf numFmtId="0" fontId="81" fillId="0" borderId="0" xfId="0" applyFont="1"/>
    <xf numFmtId="0" fontId="81" fillId="9" borderId="0" xfId="0" applyFont="1" applyFill="1"/>
    <xf numFmtId="0" fontId="81" fillId="3" borderId="0" xfId="0" applyFont="1" applyFill="1" applyProtection="1">
      <protection locked="0"/>
    </xf>
    <xf numFmtId="0" fontId="50" fillId="9" borderId="0" xfId="0" applyFont="1" applyFill="1" applyAlignment="1">
      <alignment horizontal="center"/>
    </xf>
    <xf numFmtId="0" fontId="76" fillId="2" borderId="6" xfId="7" applyBorder="1" applyProtection="1"/>
    <xf numFmtId="0" fontId="3" fillId="6" borderId="4" xfId="0" applyFont="1" applyFill="1" applyBorder="1" applyAlignment="1">
      <alignment horizontal="left"/>
    </xf>
    <xf numFmtId="0" fontId="5" fillId="6" borderId="5" xfId="0" applyFont="1" applyFill="1" applyBorder="1" applyAlignment="1">
      <alignment horizontal="center"/>
    </xf>
    <xf numFmtId="0" fontId="5" fillId="6" borderId="102" xfId="0" applyFont="1" applyFill="1" applyBorder="1" applyAlignment="1">
      <alignment horizontal="center"/>
    </xf>
    <xf numFmtId="0" fontId="5" fillId="0" borderId="100" xfId="0" applyFont="1" applyBorder="1"/>
    <xf numFmtId="0" fontId="3" fillId="0" borderId="39" xfId="0" applyFont="1" applyBorder="1" applyAlignment="1">
      <alignment horizontal="center"/>
    </xf>
    <xf numFmtId="0" fontId="5" fillId="9" borderId="113" xfId="0" applyFont="1" applyFill="1" applyBorder="1"/>
    <xf numFmtId="0" fontId="5" fillId="9" borderId="109" xfId="0" applyFont="1" applyFill="1" applyBorder="1"/>
    <xf numFmtId="0" fontId="0" fillId="9" borderId="109" xfId="0" applyFill="1" applyBorder="1"/>
    <xf numFmtId="0" fontId="0" fillId="9" borderId="114" xfId="0" applyFill="1" applyBorder="1"/>
    <xf numFmtId="0" fontId="5" fillId="21" borderId="0" xfId="0" applyFont="1" applyFill="1" applyAlignment="1">
      <alignment horizontal="center"/>
    </xf>
    <xf numFmtId="9" fontId="5" fillId="3" borderId="81" xfId="3" applyFont="1" applyFill="1" applyBorder="1" applyProtection="1">
      <protection locked="0"/>
    </xf>
    <xf numFmtId="167" fontId="5" fillId="0" borderId="0" xfId="2" applyFont="1" applyBorder="1" applyProtection="1">
      <protection locked="0"/>
    </xf>
    <xf numFmtId="177" fontId="5" fillId="0" borderId="8" xfId="2" applyNumberFormat="1" applyFont="1" applyBorder="1" applyAlignment="1" applyProtection="1">
      <alignment horizontal="center"/>
    </xf>
    <xf numFmtId="1" fontId="5" fillId="0" borderId="0" xfId="0" applyNumberFormat="1" applyFont="1" applyProtection="1">
      <protection locked="0"/>
    </xf>
    <xf numFmtId="0" fontId="5" fillId="0" borderId="0" xfId="0" applyFont="1" applyAlignment="1" applyProtection="1">
      <alignment horizontal="left"/>
      <protection locked="0"/>
    </xf>
    <xf numFmtId="0" fontId="0" fillId="29" borderId="0" xfId="0" applyFill="1" applyAlignment="1">
      <alignment horizontal="center"/>
    </xf>
    <xf numFmtId="0" fontId="5" fillId="0" borderId="78" xfId="0" applyFont="1" applyBorder="1"/>
    <xf numFmtId="167" fontId="5" fillId="15" borderId="91" xfId="2" applyFont="1" applyFill="1" applyBorder="1" applyAlignment="1" applyProtection="1">
      <alignment horizontal="center"/>
      <protection locked="0"/>
    </xf>
    <xf numFmtId="1" fontId="65" fillId="9" borderId="7" xfId="0" applyNumberFormat="1" applyFont="1" applyFill="1" applyBorder="1"/>
    <xf numFmtId="167" fontId="5" fillId="15" borderId="1" xfId="2" applyFont="1" applyFill="1" applyBorder="1" applyAlignment="1" applyProtection="1">
      <alignment horizontal="center"/>
      <protection locked="0"/>
    </xf>
    <xf numFmtId="0" fontId="5" fillId="0" borderId="45" xfId="0" applyFont="1" applyBorder="1" applyAlignment="1">
      <alignment horizontal="center"/>
    </xf>
    <xf numFmtId="9" fontId="5" fillId="3" borderId="55" xfId="3" applyFont="1" applyFill="1" applyBorder="1" applyProtection="1">
      <protection locked="0"/>
    </xf>
    <xf numFmtId="0" fontId="5" fillId="9" borderId="71" xfId="0" applyFont="1" applyFill="1" applyBorder="1"/>
    <xf numFmtId="191" fontId="5" fillId="9" borderId="72" xfId="0" applyNumberFormat="1" applyFont="1" applyFill="1" applyBorder="1"/>
    <xf numFmtId="0" fontId="0" fillId="9" borderId="72" xfId="0" applyFill="1" applyBorder="1"/>
    <xf numFmtId="2" fontId="0" fillId="9" borderId="73" xfId="0" applyNumberFormat="1" applyFill="1" applyBorder="1"/>
    <xf numFmtId="177" fontId="5" fillId="0" borderId="61" xfId="2" applyNumberFormat="1" applyFont="1" applyBorder="1" applyAlignment="1" applyProtection="1">
      <alignment horizontal="center"/>
    </xf>
    <xf numFmtId="0" fontId="5" fillId="9" borderId="11" xfId="0" applyFont="1" applyFill="1" applyBorder="1"/>
    <xf numFmtId="167" fontId="5" fillId="15" borderId="15" xfId="0" applyNumberFormat="1" applyFont="1" applyFill="1" applyBorder="1" applyProtection="1">
      <protection locked="0"/>
    </xf>
    <xf numFmtId="0" fontId="5" fillId="0" borderId="39" xfId="0" applyFont="1" applyBorder="1" applyAlignment="1">
      <alignment horizontal="right"/>
    </xf>
    <xf numFmtId="167" fontId="5" fillId="15" borderId="60" xfId="2" applyFont="1" applyFill="1" applyBorder="1" applyProtection="1">
      <protection locked="0"/>
    </xf>
    <xf numFmtId="0" fontId="5" fillId="15" borderId="67" xfId="0" applyFont="1" applyFill="1" applyBorder="1" applyProtection="1">
      <protection locked="0"/>
    </xf>
    <xf numFmtId="177" fontId="5" fillId="9" borderId="31" xfId="0" applyNumberFormat="1" applyFont="1" applyFill="1" applyBorder="1"/>
    <xf numFmtId="0" fontId="5" fillId="15" borderId="1" xfId="0" applyFont="1" applyFill="1" applyBorder="1" applyAlignment="1" applyProtection="1">
      <alignment horizontal="center"/>
      <protection locked="0"/>
    </xf>
    <xf numFmtId="167" fontId="5" fillId="15" borderId="1" xfId="2" applyFont="1" applyFill="1" applyBorder="1" applyProtection="1">
      <protection locked="0"/>
    </xf>
    <xf numFmtId="0" fontId="5" fillId="15" borderId="91" xfId="0" applyFont="1" applyFill="1" applyBorder="1" applyAlignment="1" applyProtection="1">
      <alignment horizontal="center"/>
      <protection locked="0"/>
    </xf>
    <xf numFmtId="167" fontId="5" fillId="15" borderId="91" xfId="2" applyFont="1" applyFill="1" applyBorder="1" applyProtection="1">
      <protection locked="0"/>
    </xf>
    <xf numFmtId="0" fontId="5" fillId="15" borderId="19" xfId="0" applyFont="1" applyFill="1" applyBorder="1" applyProtection="1">
      <protection locked="0"/>
    </xf>
    <xf numFmtId="191" fontId="5" fillId="0" borderId="118" xfId="1" applyNumberFormat="1" applyFont="1" applyBorder="1" applyAlignment="1" applyProtection="1">
      <alignment horizontal="center"/>
    </xf>
    <xf numFmtId="0" fontId="3" fillId="6" borderId="21" xfId="0" applyFont="1" applyFill="1" applyBorder="1" applyAlignment="1">
      <alignment horizontal="left"/>
    </xf>
    <xf numFmtId="0" fontId="3" fillId="6" borderId="22" xfId="0" applyFont="1" applyFill="1" applyBorder="1" applyAlignment="1">
      <alignment horizontal="center"/>
    </xf>
    <xf numFmtId="0" fontId="5" fillId="0" borderId="16" xfId="0" applyFont="1" applyBorder="1" applyProtection="1">
      <protection locked="0"/>
    </xf>
    <xf numFmtId="0" fontId="5" fillId="0" borderId="109" xfId="0" applyFont="1" applyBorder="1" applyAlignment="1">
      <alignment horizontal="center"/>
    </xf>
    <xf numFmtId="0" fontId="5" fillId="0" borderId="67" xfId="0" applyFont="1" applyBorder="1" applyAlignment="1" applyProtection="1">
      <alignment horizontal="center"/>
      <protection locked="0"/>
    </xf>
    <xf numFmtId="0" fontId="5" fillId="0" borderId="55" xfId="0" applyFont="1" applyBorder="1" applyAlignment="1" applyProtection="1">
      <alignment horizontal="center"/>
      <protection locked="0"/>
    </xf>
    <xf numFmtId="0" fontId="5" fillId="0" borderId="59" xfId="0" applyFont="1" applyBorder="1" applyProtection="1">
      <protection locked="0"/>
    </xf>
    <xf numFmtId="0" fontId="5" fillId="0" borderId="39" xfId="0" applyFont="1" applyBorder="1" applyProtection="1">
      <protection locked="0"/>
    </xf>
    <xf numFmtId="1" fontId="5" fillId="0" borderId="39" xfId="0" applyNumberFormat="1" applyFont="1" applyBorder="1" applyProtection="1">
      <protection locked="0"/>
    </xf>
    <xf numFmtId="167" fontId="5" fillId="0" borderId="39" xfId="2" applyFont="1" applyBorder="1" applyProtection="1">
      <protection locked="0"/>
    </xf>
    <xf numFmtId="0" fontId="3" fillId="0" borderId="0" xfId="0" applyFont="1" applyProtection="1">
      <protection locked="0"/>
    </xf>
    <xf numFmtId="191" fontId="5" fillId="0" borderId="39" xfId="1" applyNumberFormat="1" applyFont="1" applyBorder="1" applyProtection="1"/>
    <xf numFmtId="177" fontId="5" fillId="0" borderId="39" xfId="2" applyNumberFormat="1" applyFont="1" applyBorder="1" applyProtection="1"/>
    <xf numFmtId="0" fontId="3" fillId="6" borderId="0" xfId="0" applyFont="1" applyFill="1" applyAlignment="1">
      <alignment horizontal="left"/>
    </xf>
    <xf numFmtId="1" fontId="5" fillId="15" borderId="109" xfId="0" applyNumberFormat="1" applyFont="1" applyFill="1" applyBorder="1" applyProtection="1">
      <protection locked="0"/>
    </xf>
    <xf numFmtId="0" fontId="5" fillId="15" borderId="1" xfId="0" applyFont="1" applyFill="1" applyBorder="1" applyProtection="1">
      <protection locked="0"/>
    </xf>
    <xf numFmtId="0" fontId="5" fillId="15" borderId="72" xfId="0" applyFont="1" applyFill="1" applyBorder="1" applyProtection="1">
      <protection locked="0"/>
    </xf>
    <xf numFmtId="191" fontId="0" fillId="0" borderId="39" xfId="0" applyNumberFormat="1" applyBorder="1"/>
    <xf numFmtId="0" fontId="5" fillId="0" borderId="29" xfId="0" applyFont="1" applyBorder="1"/>
    <xf numFmtId="1" fontId="5" fillId="15" borderId="1" xfId="0" applyNumberFormat="1" applyFont="1" applyFill="1" applyBorder="1" applyProtection="1">
      <protection locked="0"/>
    </xf>
    <xf numFmtId="186" fontId="5" fillId="0" borderId="39" xfId="0" applyNumberFormat="1" applyFont="1" applyBorder="1" applyProtection="1">
      <protection locked="0"/>
    </xf>
    <xf numFmtId="0" fontId="5" fillId="0" borderId="51" xfId="0" applyFont="1" applyBorder="1" applyAlignment="1">
      <alignment horizontal="left"/>
    </xf>
    <xf numFmtId="0" fontId="5" fillId="3" borderId="71" xfId="0" applyFont="1" applyFill="1" applyBorder="1" applyAlignment="1">
      <alignment horizontal="right"/>
    </xf>
    <xf numFmtId="1" fontId="5" fillId="15" borderId="72" xfId="0" applyNumberFormat="1" applyFont="1" applyFill="1" applyBorder="1" applyProtection="1">
      <protection locked="0"/>
    </xf>
    <xf numFmtId="191" fontId="5" fillId="3" borderId="109" xfId="1" applyNumberFormat="1" applyFont="1" applyFill="1" applyBorder="1" applyAlignment="1" applyProtection="1">
      <alignment horizontal="left"/>
      <protection locked="0"/>
    </xf>
    <xf numFmtId="0" fontId="5" fillId="0" borderId="42" xfId="0" applyFont="1" applyBorder="1" applyAlignment="1">
      <alignment horizontal="left"/>
    </xf>
    <xf numFmtId="167" fontId="5" fillId="15" borderId="109" xfId="2" applyFont="1" applyFill="1" applyBorder="1" applyProtection="1">
      <protection locked="0"/>
    </xf>
    <xf numFmtId="179" fontId="5" fillId="0" borderId="0" xfId="0" applyNumberFormat="1" applyFont="1" applyProtection="1">
      <protection locked="0"/>
    </xf>
    <xf numFmtId="177" fontId="5" fillId="0" borderId="39" xfId="2" applyNumberFormat="1" applyFont="1" applyBorder="1" applyProtection="1">
      <protection locked="0"/>
    </xf>
    <xf numFmtId="167" fontId="5" fillId="0" borderId="0" xfId="2" applyFont="1" applyBorder="1" applyAlignment="1" applyProtection="1">
      <alignment horizontal="left"/>
    </xf>
    <xf numFmtId="0" fontId="5" fillId="25" borderId="8" xfId="0" applyFont="1" applyFill="1" applyBorder="1" applyAlignment="1">
      <alignment horizontal="center"/>
    </xf>
    <xf numFmtId="191" fontId="5" fillId="3" borderId="55" xfId="1" applyNumberFormat="1" applyFont="1" applyFill="1" applyBorder="1" applyProtection="1">
      <protection locked="0"/>
    </xf>
    <xf numFmtId="167" fontId="5" fillId="15" borderId="55" xfId="2" applyFont="1" applyFill="1" applyBorder="1" applyProtection="1">
      <protection locked="0"/>
    </xf>
    <xf numFmtId="191" fontId="5" fillId="3" borderId="60" xfId="1" applyNumberFormat="1" applyFont="1" applyFill="1" applyBorder="1" applyProtection="1">
      <protection locked="0"/>
    </xf>
    <xf numFmtId="177" fontId="5" fillId="22" borderId="3" xfId="0" applyNumberFormat="1" applyFont="1" applyFill="1" applyBorder="1" applyAlignment="1">
      <alignment horizontal="center"/>
    </xf>
    <xf numFmtId="9" fontId="5" fillId="26" borderId="19" xfId="3" applyFont="1" applyFill="1" applyBorder="1" applyProtection="1">
      <protection locked="0"/>
    </xf>
    <xf numFmtId="167" fontId="5" fillId="26" borderId="6" xfId="2" applyFont="1" applyFill="1" applyBorder="1" applyProtection="1"/>
    <xf numFmtId="177" fontId="5" fillId="26" borderId="19" xfId="2" applyNumberFormat="1" applyFont="1" applyFill="1" applyBorder="1" applyProtection="1">
      <protection locked="0"/>
    </xf>
    <xf numFmtId="0" fontId="5" fillId="27" borderId="6" xfId="0" applyFont="1" applyFill="1" applyBorder="1"/>
    <xf numFmtId="180" fontId="5" fillId="14" borderId="9" xfId="3" applyNumberFormat="1" applyFont="1" applyFill="1" applyBorder="1" applyProtection="1">
      <protection locked="0"/>
    </xf>
    <xf numFmtId="9" fontId="5" fillId="3" borderId="1" xfId="3" applyFont="1" applyFill="1" applyBorder="1" applyProtection="1"/>
    <xf numFmtId="1" fontId="5" fillId="9" borderId="9" xfId="0" applyNumberFormat="1" applyFont="1" applyFill="1" applyBorder="1" applyAlignment="1">
      <alignment horizontal="left"/>
    </xf>
    <xf numFmtId="197" fontId="1" fillId="6" borderId="67" xfId="0" applyNumberFormat="1" applyFont="1" applyFill="1" applyBorder="1" applyAlignment="1">
      <alignment horizontal="right"/>
    </xf>
    <xf numFmtId="202" fontId="87" fillId="0" borderId="77" xfId="2" applyNumberFormat="1" applyBorder="1" applyAlignment="1" applyProtection="1">
      <alignment horizontal="center"/>
    </xf>
    <xf numFmtId="197" fontId="1" fillId="6" borderId="91" xfId="0" applyNumberFormat="1" applyFont="1" applyFill="1" applyBorder="1" applyAlignment="1">
      <alignment horizontal="right"/>
    </xf>
    <xf numFmtId="197" fontId="21" fillId="6" borderId="60" xfId="0" applyNumberFormat="1" applyFont="1" applyFill="1" applyBorder="1" applyAlignment="1">
      <alignment horizontal="right"/>
    </xf>
    <xf numFmtId="0" fontId="21" fillId="0" borderId="86" xfId="0" applyFont="1" applyBorder="1"/>
    <xf numFmtId="0" fontId="21" fillId="0" borderId="39" xfId="0" applyFont="1" applyBorder="1"/>
    <xf numFmtId="177" fontId="21" fillId="0" borderId="61" xfId="2" applyNumberFormat="1" applyFont="1" applyBorder="1" applyAlignment="1" applyProtection="1">
      <alignment horizontal="center"/>
    </xf>
    <xf numFmtId="0" fontId="5" fillId="8" borderId="0" xfId="0" applyFont="1" applyFill="1"/>
    <xf numFmtId="0" fontId="3" fillId="9" borderId="6" xfId="0" applyFont="1" applyFill="1" applyBorder="1" applyAlignment="1">
      <alignment horizontal="right"/>
    </xf>
    <xf numFmtId="15" fontId="3" fillId="0" borderId="0" xfId="0" applyNumberFormat="1" applyFont="1" applyAlignment="1">
      <alignment horizontal="center"/>
    </xf>
    <xf numFmtId="0" fontId="0" fillId="9" borderId="0" xfId="0" applyFill="1"/>
    <xf numFmtId="0" fontId="5" fillId="14" borderId="113" xfId="0" applyFont="1" applyFill="1" applyBorder="1" applyAlignment="1">
      <alignment horizontal="left"/>
    </xf>
    <xf numFmtId="0" fontId="5" fillId="14" borderId="109" xfId="0" applyFont="1" applyFill="1" applyBorder="1" applyAlignment="1">
      <alignment horizontal="left"/>
    </xf>
    <xf numFmtId="0" fontId="5" fillId="14" borderId="114" xfId="0" applyFont="1" applyFill="1" applyBorder="1" applyAlignment="1">
      <alignment horizontal="left"/>
    </xf>
    <xf numFmtId="0" fontId="38" fillId="9" borderId="0" xfId="0" applyFont="1" applyFill="1"/>
    <xf numFmtId="0" fontId="5" fillId="0" borderId="9" xfId="0" applyFont="1" applyBorder="1" applyAlignment="1">
      <alignment horizontal="right"/>
    </xf>
    <xf numFmtId="0" fontId="5" fillId="14" borderId="31" xfId="0" applyFont="1" applyFill="1" applyBorder="1" applyAlignment="1">
      <alignment horizontal="left"/>
    </xf>
    <xf numFmtId="0" fontId="5" fillId="14" borderId="1" xfId="0" applyFont="1" applyFill="1" applyBorder="1" applyAlignment="1">
      <alignment horizontal="left"/>
    </xf>
    <xf numFmtId="0" fontId="5" fillId="14" borderId="32" xfId="0" applyFont="1" applyFill="1" applyBorder="1" applyAlignment="1">
      <alignment horizontal="left"/>
    </xf>
    <xf numFmtId="14" fontId="5" fillId="14" borderId="109" xfId="0" applyNumberFormat="1" applyFont="1" applyFill="1" applyBorder="1" applyAlignment="1">
      <alignment horizontal="center"/>
    </xf>
    <xf numFmtId="0" fontId="5" fillId="14" borderId="114" xfId="0" applyFont="1" applyFill="1" applyBorder="1" applyAlignment="1">
      <alignment horizontal="center"/>
    </xf>
    <xf numFmtId="0" fontId="5" fillId="14" borderId="71" xfId="0" applyFont="1" applyFill="1" applyBorder="1" applyAlignment="1">
      <alignment horizontal="left"/>
    </xf>
    <xf numFmtId="0" fontId="5" fillId="14" borderId="72" xfId="0" applyFont="1" applyFill="1" applyBorder="1" applyAlignment="1">
      <alignment horizontal="left"/>
    </xf>
    <xf numFmtId="0" fontId="5" fillId="14" borderId="73" xfId="0" applyFont="1" applyFill="1" applyBorder="1" applyAlignment="1">
      <alignment horizontal="left"/>
    </xf>
    <xf numFmtId="14" fontId="5" fillId="14" borderId="1" xfId="0" applyNumberFormat="1" applyFont="1" applyFill="1" applyBorder="1" applyAlignment="1">
      <alignment horizontal="center"/>
    </xf>
    <xf numFmtId="0" fontId="5" fillId="14" borderId="32" xfId="0" applyFont="1" applyFill="1" applyBorder="1" applyAlignment="1">
      <alignment horizontal="center"/>
    </xf>
    <xf numFmtId="1" fontId="5" fillId="9" borderId="0" xfId="0" applyNumberFormat="1" applyFont="1" applyFill="1"/>
    <xf numFmtId="203" fontId="5" fillId="0" borderId="0" xfId="0" applyNumberFormat="1" applyFont="1"/>
    <xf numFmtId="14" fontId="5" fillId="3" borderId="1" xfId="0" applyNumberFormat="1" applyFont="1" applyFill="1" applyBorder="1" applyAlignment="1" applyProtection="1">
      <alignment horizontal="center"/>
      <protection locked="0"/>
    </xf>
    <xf numFmtId="14" fontId="5" fillId="14" borderId="72" xfId="0" applyNumberFormat="1" applyFont="1" applyFill="1" applyBorder="1" applyAlignment="1">
      <alignment horizontal="center"/>
    </xf>
    <xf numFmtId="0" fontId="5" fillId="14" borderId="73" xfId="0" applyFont="1" applyFill="1" applyBorder="1" applyAlignment="1">
      <alignment horizontal="center"/>
    </xf>
    <xf numFmtId="2" fontId="5" fillId="9" borderId="0" xfId="0" applyNumberFormat="1" applyFont="1" applyFill="1"/>
    <xf numFmtId="0" fontId="5" fillId="3" borderId="72" xfId="0" applyFont="1" applyFill="1" applyBorder="1" applyProtection="1">
      <protection locked="0"/>
    </xf>
    <xf numFmtId="14" fontId="5" fillId="3" borderId="52" xfId="0" applyNumberFormat="1" applyFont="1" applyFill="1" applyBorder="1" applyAlignment="1" applyProtection="1">
      <alignment horizontal="center"/>
      <protection locked="0"/>
    </xf>
    <xf numFmtId="14" fontId="5" fillId="3" borderId="120" xfId="0" applyNumberFormat="1" applyFont="1" applyFill="1" applyBorder="1" applyAlignment="1" applyProtection="1">
      <alignment horizontal="center"/>
      <protection locked="0"/>
    </xf>
    <xf numFmtId="0" fontId="3" fillId="3" borderId="16" xfId="0" applyFont="1" applyFill="1" applyBorder="1" applyAlignment="1">
      <alignment horizontal="center"/>
    </xf>
    <xf numFmtId="0" fontId="1" fillId="3" borderId="10" xfId="0" applyFont="1" applyFill="1" applyBorder="1" applyAlignment="1">
      <alignment horizontal="center" wrapText="1"/>
    </xf>
    <xf numFmtId="169" fontId="3" fillId="3" borderId="9" xfId="0" applyNumberFormat="1" applyFont="1" applyFill="1" applyBorder="1" applyAlignment="1">
      <alignment horizontal="center" wrapText="1"/>
    </xf>
    <xf numFmtId="169" fontId="3" fillId="3" borderId="42" xfId="0" applyNumberFormat="1" applyFont="1" applyFill="1" applyBorder="1" applyAlignment="1">
      <alignment horizontal="center" wrapText="1"/>
    </xf>
    <xf numFmtId="0" fontId="5" fillId="3" borderId="35" xfId="0" applyFont="1" applyFill="1" applyBorder="1" applyAlignment="1">
      <alignment horizontal="center" wrapText="1"/>
    </xf>
    <xf numFmtId="0" fontId="5" fillId="3" borderId="9" xfId="0" applyFont="1" applyFill="1" applyBorder="1" applyAlignment="1">
      <alignment horizontal="center" wrapText="1"/>
    </xf>
    <xf numFmtId="0" fontId="5" fillId="3" borderId="34" xfId="0" applyFont="1" applyFill="1" applyBorder="1" applyAlignment="1">
      <alignment horizontal="center" wrapText="1"/>
    </xf>
    <xf numFmtId="0" fontId="5" fillId="3" borderId="42" xfId="0" applyFont="1" applyFill="1" applyBorder="1" applyAlignment="1">
      <alignment horizontal="center" wrapText="1"/>
    </xf>
    <xf numFmtId="169" fontId="5" fillId="3" borderId="110" xfId="0" applyNumberFormat="1" applyFont="1" applyFill="1" applyBorder="1" applyAlignment="1">
      <alignment horizontal="right" wrapText="1" shrinkToFit="1"/>
    </xf>
    <xf numFmtId="169" fontId="5" fillId="3" borderId="42" xfId="0" applyNumberFormat="1" applyFont="1" applyFill="1" applyBorder="1" applyAlignment="1">
      <alignment horizontal="left" wrapText="1" shrinkToFit="1"/>
    </xf>
    <xf numFmtId="0" fontId="5" fillId="3" borderId="36" xfId="0" applyFont="1" applyFill="1" applyBorder="1" applyAlignment="1">
      <alignment horizontal="center" wrapText="1"/>
    </xf>
    <xf numFmtId="0" fontId="5" fillId="0" borderId="16" xfId="0" applyFont="1" applyBorder="1" applyAlignment="1">
      <alignment horizontal="center" wrapText="1"/>
    </xf>
    <xf numFmtId="0" fontId="5" fillId="0" borderId="9" xfId="0" applyFont="1" applyBorder="1" applyAlignment="1">
      <alignment horizontal="center" wrapText="1"/>
    </xf>
    <xf numFmtId="0" fontId="3" fillId="0" borderId="9" xfId="0" applyFont="1" applyBorder="1" applyAlignment="1">
      <alignment horizontal="center" wrapText="1"/>
    </xf>
    <xf numFmtId="177" fontId="3" fillId="0" borderId="17" xfId="2" applyNumberFormat="1" applyFont="1" applyBorder="1" applyAlignment="1" applyProtection="1">
      <alignment horizontal="center" wrapText="1"/>
    </xf>
    <xf numFmtId="177" fontId="3" fillId="0" borderId="16" xfId="2" applyNumberFormat="1" applyFont="1" applyBorder="1" applyAlignment="1" applyProtection="1">
      <alignment horizontal="center" wrapText="1"/>
    </xf>
    <xf numFmtId="177" fontId="3" fillId="0" borderId="9" xfId="2" applyNumberFormat="1" applyFont="1" applyBorder="1" applyAlignment="1" applyProtection="1">
      <alignment horizontal="center" wrapText="1"/>
    </xf>
    <xf numFmtId="0" fontId="3" fillId="3" borderId="9" xfId="0" applyFont="1" applyFill="1" applyBorder="1" applyAlignment="1">
      <alignment horizontal="center"/>
    </xf>
    <xf numFmtId="0" fontId="11" fillId="3" borderId="9" xfId="0" applyFont="1" applyFill="1" applyBorder="1"/>
    <xf numFmtId="0" fontId="11" fillId="3" borderId="17" xfId="0" applyFont="1" applyFill="1" applyBorder="1"/>
    <xf numFmtId="0" fontId="11" fillId="3" borderId="42" xfId="0" applyFont="1" applyFill="1" applyBorder="1"/>
    <xf numFmtId="0" fontId="5" fillId="9" borderId="16" xfId="0" applyFont="1" applyFill="1" applyBorder="1" applyAlignment="1">
      <alignment horizontal="center"/>
    </xf>
    <xf numFmtId="0" fontId="5" fillId="9" borderId="9" xfId="0" applyFont="1" applyFill="1" applyBorder="1" applyAlignment="1">
      <alignment horizontal="center"/>
    </xf>
    <xf numFmtId="0" fontId="5" fillId="9" borderId="17" xfId="0" applyFont="1" applyFill="1" applyBorder="1"/>
    <xf numFmtId="0" fontId="5" fillId="9" borderId="7" xfId="0" applyFont="1" applyFill="1" applyBorder="1" applyAlignment="1">
      <alignment horizontal="center"/>
    </xf>
    <xf numFmtId="0" fontId="5" fillId="9" borderId="8" xfId="0" applyFont="1" applyFill="1" applyBorder="1" applyAlignment="1">
      <alignment horizontal="center"/>
    </xf>
    <xf numFmtId="0" fontId="5" fillId="8" borderId="0" xfId="0" applyFont="1" applyFill="1" applyAlignment="1">
      <alignment horizontal="center"/>
    </xf>
    <xf numFmtId="0" fontId="5" fillId="18" borderId="56" xfId="0" applyFont="1" applyFill="1" applyBorder="1"/>
    <xf numFmtId="0" fontId="5" fillId="18" borderId="57" xfId="0" applyFont="1" applyFill="1" applyBorder="1"/>
    <xf numFmtId="0" fontId="0" fillId="3" borderId="59" xfId="0" applyFill="1" applyBorder="1" applyAlignment="1">
      <alignment horizontal="center"/>
    </xf>
    <xf numFmtId="0" fontId="1" fillId="3" borderId="63" xfId="0" applyFont="1" applyFill="1" applyBorder="1" applyAlignment="1">
      <alignment horizontal="center"/>
    </xf>
    <xf numFmtId="169" fontId="3" fillId="3" borderId="39" xfId="0" applyNumberFormat="1" applyFont="1" applyFill="1" applyBorder="1" applyAlignment="1">
      <alignment horizontal="center" wrapText="1"/>
    </xf>
    <xf numFmtId="169" fontId="3" fillId="3" borderId="78" xfId="0" applyNumberFormat="1" applyFont="1" applyFill="1" applyBorder="1" applyAlignment="1">
      <alignment horizontal="center" wrapText="1"/>
    </xf>
    <xf numFmtId="0" fontId="5" fillId="3" borderId="62" xfId="0" applyFont="1" applyFill="1" applyBorder="1" applyAlignment="1">
      <alignment horizontal="center" wrapText="1"/>
    </xf>
    <xf numFmtId="0" fontId="5" fillId="3" borderId="87" xfId="0" applyFont="1" applyFill="1" applyBorder="1" applyAlignment="1">
      <alignment horizontal="center" wrapText="1"/>
    </xf>
    <xf numFmtId="0" fontId="5" fillId="3" borderId="78" xfId="0" applyFont="1" applyFill="1" applyBorder="1" applyAlignment="1">
      <alignment horizontal="center" wrapText="1"/>
    </xf>
    <xf numFmtId="0" fontId="5" fillId="3" borderId="78" xfId="0" applyFont="1" applyFill="1" applyBorder="1"/>
    <xf numFmtId="0" fontId="5" fillId="0" borderId="59" xfId="0" applyFont="1" applyBorder="1" applyAlignment="1">
      <alignment horizontal="center" wrapText="1"/>
    </xf>
    <xf numFmtId="0" fontId="5" fillId="0" borderId="39" xfId="0" applyFont="1" applyBorder="1" applyAlignment="1">
      <alignment horizontal="center" wrapText="1"/>
    </xf>
    <xf numFmtId="0" fontId="3" fillId="0" borderId="39" xfId="0" applyFont="1" applyBorder="1" applyAlignment="1">
      <alignment horizontal="center" wrapText="1"/>
    </xf>
    <xf numFmtId="177" fontId="3" fillId="0" borderId="61" xfId="2" applyNumberFormat="1" applyFont="1" applyBorder="1" applyAlignment="1" applyProtection="1">
      <alignment horizontal="center" wrapText="1"/>
    </xf>
    <xf numFmtId="0" fontId="3" fillId="3" borderId="39" xfId="0" applyFont="1" applyFill="1" applyBorder="1" applyAlignment="1">
      <alignment horizontal="center"/>
    </xf>
    <xf numFmtId="0" fontId="3" fillId="3" borderId="61" xfId="0" applyFont="1" applyFill="1" applyBorder="1" applyAlignment="1">
      <alignment horizontal="center"/>
    </xf>
    <xf numFmtId="0" fontId="3" fillId="3" borderId="78" xfId="0" applyFont="1" applyFill="1" applyBorder="1" applyAlignment="1">
      <alignment horizontal="center"/>
    </xf>
    <xf numFmtId="0" fontId="3" fillId="3" borderId="86" xfId="0" applyFont="1" applyFill="1" applyBorder="1" applyAlignment="1">
      <alignment horizontal="center"/>
    </xf>
    <xf numFmtId="0" fontId="5" fillId="9" borderId="59" xfId="0" applyFont="1" applyFill="1" applyBorder="1"/>
    <xf numFmtId="0" fontId="5" fillId="9" borderId="39" xfId="0" applyFont="1" applyFill="1" applyBorder="1"/>
    <xf numFmtId="0" fontId="5" fillId="9" borderId="61" xfId="0" applyFont="1" applyFill="1" applyBorder="1"/>
    <xf numFmtId="0" fontId="5" fillId="9" borderId="59" xfId="0" applyFont="1" applyFill="1" applyBorder="1" applyAlignment="1">
      <alignment horizontal="center"/>
    </xf>
    <xf numFmtId="0" fontId="5" fillId="9" borderId="39" xfId="0" applyFont="1" applyFill="1" applyBorder="1" applyAlignment="1">
      <alignment horizontal="center"/>
    </xf>
    <xf numFmtId="0" fontId="5" fillId="9" borderId="61" xfId="0" applyFont="1" applyFill="1" applyBorder="1" applyAlignment="1">
      <alignment horizontal="center"/>
    </xf>
    <xf numFmtId="0" fontId="5" fillId="9" borderId="46" xfId="0" applyFont="1" applyFill="1" applyBorder="1" applyAlignment="1">
      <alignment horizontal="center"/>
    </xf>
    <xf numFmtId="0" fontId="5" fillId="9" borderId="56" xfId="0" applyFont="1" applyFill="1" applyBorder="1" applyAlignment="1">
      <alignment horizontal="center"/>
    </xf>
    <xf numFmtId="0" fontId="5" fillId="9" borderId="57" xfId="0" applyFont="1" applyFill="1" applyBorder="1" applyAlignment="1">
      <alignment horizontal="center"/>
    </xf>
    <xf numFmtId="0" fontId="5" fillId="9" borderId="1" xfId="0" applyFont="1" applyFill="1" applyBorder="1" applyAlignment="1">
      <alignment horizontal="center"/>
    </xf>
    <xf numFmtId="0" fontId="5" fillId="9" borderId="78" xfId="0" applyFont="1" applyFill="1" applyBorder="1"/>
    <xf numFmtId="0" fontId="5" fillId="9" borderId="90" xfId="0" applyFont="1" applyFill="1" applyBorder="1" applyAlignment="1">
      <alignment horizontal="center"/>
    </xf>
    <xf numFmtId="0" fontId="5" fillId="30" borderId="92" xfId="0" applyFont="1" applyFill="1" applyBorder="1" applyAlignment="1">
      <alignment horizontal="center"/>
    </xf>
    <xf numFmtId="0" fontId="5" fillId="30" borderId="121" xfId="0" applyFont="1" applyFill="1" applyBorder="1" applyAlignment="1">
      <alignment horizontal="center"/>
    </xf>
    <xf numFmtId="0" fontId="5" fillId="30" borderId="39" xfId="0" applyFont="1" applyFill="1" applyBorder="1" applyAlignment="1">
      <alignment horizontal="center"/>
    </xf>
    <xf numFmtId="0" fontId="5" fillId="9" borderId="2" xfId="0" applyFont="1" applyFill="1" applyBorder="1" applyAlignment="1">
      <alignment horizontal="center"/>
    </xf>
    <xf numFmtId="0" fontId="5" fillId="9" borderId="89" xfId="0" applyFont="1" applyFill="1" applyBorder="1"/>
    <xf numFmtId="1" fontId="8" fillId="0" borderId="7" xfId="0" applyNumberFormat="1" applyFont="1" applyBorder="1" applyProtection="1">
      <protection locked="0"/>
    </xf>
    <xf numFmtId="167" fontId="3" fillId="31" borderId="70" xfId="2" applyFont="1" applyFill="1" applyBorder="1" applyAlignment="1" applyProtection="1">
      <alignment horizontal="center"/>
      <protection locked="0"/>
    </xf>
    <xf numFmtId="191" fontId="4" fillId="3" borderId="41" xfId="1" applyNumberFormat="1" applyFont="1" applyFill="1" applyBorder="1" applyAlignment="1" applyProtection="1">
      <alignment horizontal="center"/>
      <protection locked="0"/>
    </xf>
    <xf numFmtId="191" fontId="5" fillId="3" borderId="66" xfId="1" applyNumberFormat="1" applyFont="1" applyFill="1" applyBorder="1" applyAlignment="1" applyProtection="1">
      <alignment horizontal="center"/>
      <protection locked="0"/>
    </xf>
    <xf numFmtId="0" fontId="5" fillId="3" borderId="67" xfId="0" applyFont="1" applyFill="1" applyBorder="1" applyAlignment="1" applyProtection="1">
      <alignment horizontal="center"/>
      <protection locked="0"/>
    </xf>
    <xf numFmtId="186" fontId="8" fillId="3" borderId="67" xfId="0" applyNumberFormat="1" applyFont="1" applyFill="1" applyBorder="1" applyAlignment="1" applyProtection="1">
      <alignment horizontal="center"/>
      <protection locked="0"/>
    </xf>
    <xf numFmtId="0" fontId="5" fillId="0" borderId="41" xfId="0" applyFont="1" applyBorder="1" applyAlignment="1" applyProtection="1">
      <alignment horizontal="center"/>
      <protection locked="0"/>
    </xf>
    <xf numFmtId="0" fontId="5" fillId="0" borderId="66" xfId="0" applyFont="1" applyBorder="1" applyAlignment="1" applyProtection="1">
      <alignment horizontal="center"/>
      <protection locked="0"/>
    </xf>
    <xf numFmtId="191" fontId="5" fillId="0" borderId="24" xfId="1" applyNumberFormat="1" applyFont="1" applyBorder="1" applyAlignment="1" applyProtection="1">
      <alignment horizontal="center"/>
      <protection locked="0"/>
    </xf>
    <xf numFmtId="191" fontId="5" fillId="0" borderId="24" xfId="1" applyNumberFormat="1" applyFont="1" applyBorder="1" applyProtection="1">
      <protection locked="0"/>
    </xf>
    <xf numFmtId="191" fontId="5" fillId="6" borderId="0" xfId="1" applyNumberFormat="1" applyFont="1" applyFill="1" applyBorder="1" applyProtection="1">
      <protection locked="0"/>
    </xf>
    <xf numFmtId="169" fontId="5" fillId="6" borderId="0" xfId="0" applyNumberFormat="1" applyFont="1" applyFill="1" applyProtection="1">
      <protection locked="0"/>
    </xf>
    <xf numFmtId="167" fontId="3" fillId="15" borderId="1" xfId="2" applyFont="1" applyFill="1" applyBorder="1" applyProtection="1"/>
    <xf numFmtId="177" fontId="5" fillId="6" borderId="8" xfId="2" applyNumberFormat="1" applyFont="1" applyFill="1" applyBorder="1" applyProtection="1"/>
    <xf numFmtId="204" fontId="5" fillId="6" borderId="31" xfId="1" applyNumberFormat="1" applyFont="1" applyFill="1" applyBorder="1" applyProtection="1"/>
    <xf numFmtId="205" fontId="5" fillId="6" borderId="1" xfId="1" applyNumberFormat="1" applyFont="1" applyFill="1" applyBorder="1" applyProtection="1"/>
    <xf numFmtId="206" fontId="5" fillId="6" borderId="32" xfId="1" applyNumberFormat="1" applyFont="1" applyFill="1" applyBorder="1" applyProtection="1"/>
    <xf numFmtId="1" fontId="8" fillId="0" borderId="41" xfId="1" applyNumberFormat="1" applyFont="1" applyBorder="1" applyAlignment="1" applyProtection="1">
      <alignment horizontal="center"/>
      <protection locked="0"/>
    </xf>
    <xf numFmtId="0" fontId="5" fillId="0" borderId="74" xfId="0" applyFont="1" applyBorder="1" applyAlignment="1" applyProtection="1">
      <alignment horizontal="center"/>
      <protection locked="0"/>
    </xf>
    <xf numFmtId="0" fontId="5" fillId="0" borderId="122" xfId="0" applyFont="1" applyBorder="1" applyAlignment="1" applyProtection="1">
      <alignment horizontal="center"/>
      <protection locked="0"/>
    </xf>
    <xf numFmtId="0" fontId="5" fillId="0" borderId="74" xfId="1" applyNumberFormat="1" applyFont="1" applyBorder="1" applyAlignment="1" applyProtection="1">
      <alignment horizontal="center"/>
      <protection locked="0"/>
    </xf>
    <xf numFmtId="1" fontId="8" fillId="0" borderId="45" xfId="1" applyNumberFormat="1" applyFont="1" applyBorder="1" applyAlignment="1" applyProtection="1">
      <alignment horizontal="center"/>
      <protection locked="0"/>
    </xf>
    <xf numFmtId="1" fontId="8" fillId="0" borderId="45" xfId="0" applyNumberFormat="1" applyFont="1" applyBorder="1" applyAlignment="1" applyProtection="1">
      <alignment horizontal="center"/>
      <protection locked="0"/>
    </xf>
    <xf numFmtId="1" fontId="5" fillId="0" borderId="0" xfId="1" applyNumberFormat="1" applyFont="1" applyBorder="1" applyAlignment="1" applyProtection="1">
      <alignment horizontal="center"/>
      <protection locked="0"/>
    </xf>
    <xf numFmtId="1" fontId="5" fillId="0" borderId="0" xfId="0" applyNumberFormat="1" applyFont="1" applyAlignment="1">
      <alignment horizontal="center"/>
    </xf>
    <xf numFmtId="1" fontId="8" fillId="0" borderId="66" xfId="1" applyNumberFormat="1" applyFont="1" applyBorder="1" applyAlignment="1" applyProtection="1">
      <alignment horizontal="center"/>
      <protection locked="0"/>
    </xf>
    <xf numFmtId="1" fontId="5" fillId="0" borderId="0" xfId="0" applyNumberFormat="1" applyFont="1" applyAlignment="1" applyProtection="1">
      <alignment horizontal="center"/>
      <protection locked="0"/>
    </xf>
    <xf numFmtId="1" fontId="5" fillId="0" borderId="122" xfId="0" applyNumberFormat="1" applyFont="1" applyBorder="1" applyAlignment="1" applyProtection="1">
      <alignment horizontal="center"/>
      <protection locked="0"/>
    </xf>
    <xf numFmtId="1" fontId="5" fillId="9" borderId="7" xfId="0" applyNumberFormat="1" applyFont="1" applyFill="1" applyBorder="1"/>
    <xf numFmtId="1" fontId="5" fillId="9" borderId="65" xfId="0" applyNumberFormat="1" applyFont="1" applyFill="1" applyBorder="1"/>
    <xf numFmtId="1" fontId="5" fillId="9" borderId="8" xfId="0" applyNumberFormat="1" applyFont="1" applyFill="1" applyBorder="1"/>
    <xf numFmtId="179" fontId="5" fillId="9" borderId="0" xfId="0" applyNumberFormat="1" applyFont="1" applyFill="1"/>
    <xf numFmtId="191" fontId="5" fillId="9" borderId="0" xfId="0" applyNumberFormat="1" applyFont="1" applyFill="1"/>
    <xf numFmtId="191" fontId="5" fillId="9" borderId="0" xfId="1" applyNumberFormat="1" applyFont="1" applyFill="1" applyBorder="1" applyProtection="1"/>
    <xf numFmtId="179" fontId="5" fillId="9" borderId="74" xfId="0" applyNumberFormat="1" applyFont="1" applyFill="1" applyBorder="1"/>
    <xf numFmtId="179" fontId="5" fillId="9" borderId="41" xfId="0" applyNumberFormat="1" applyFont="1" applyFill="1" applyBorder="1"/>
    <xf numFmtId="179" fontId="5" fillId="9" borderId="66" xfId="0" applyNumberFormat="1" applyFont="1" applyFill="1" applyBorder="1"/>
    <xf numFmtId="191" fontId="5" fillId="9" borderId="0" xfId="1" applyNumberFormat="1" applyFont="1" applyFill="1" applyBorder="1" applyAlignment="1" applyProtection="1">
      <alignment horizontal="center" vertical="center"/>
    </xf>
    <xf numFmtId="177" fontId="5" fillId="9" borderId="14" xfId="2" applyNumberFormat="1" applyFont="1" applyFill="1" applyBorder="1" applyProtection="1"/>
    <xf numFmtId="177" fontId="5" fillId="9" borderId="37" xfId="0" applyNumberFormat="1" applyFont="1" applyFill="1" applyBorder="1"/>
    <xf numFmtId="177" fontId="5" fillId="9" borderId="45" xfId="0" applyNumberFormat="1" applyFont="1" applyFill="1" applyBorder="1"/>
    <xf numFmtId="177" fontId="5" fillId="9" borderId="8" xfId="0" applyNumberFormat="1" applyFont="1" applyFill="1" applyBorder="1"/>
    <xf numFmtId="0" fontId="5" fillId="9" borderId="41" xfId="0" applyFont="1" applyFill="1" applyBorder="1"/>
    <xf numFmtId="191" fontId="5" fillId="9" borderId="66" xfId="0" applyNumberFormat="1" applyFont="1" applyFill="1" applyBorder="1"/>
    <xf numFmtId="0" fontId="5" fillId="0" borderId="69" xfId="0" applyFont="1" applyBorder="1" applyProtection="1">
      <protection locked="0"/>
    </xf>
    <xf numFmtId="167" fontId="3" fillId="31" borderId="47" xfId="2" applyFont="1" applyFill="1" applyBorder="1" applyAlignment="1" applyProtection="1">
      <alignment horizontal="center"/>
      <protection locked="0"/>
    </xf>
    <xf numFmtId="191" fontId="4" fillId="3" borderId="2" xfId="1" applyNumberFormat="1" applyFont="1" applyFill="1" applyBorder="1" applyAlignment="1" applyProtection="1">
      <alignment horizontal="center"/>
      <protection locked="0"/>
    </xf>
    <xf numFmtId="191" fontId="5" fillId="3" borderId="89" xfId="1" applyNumberFormat="1" applyFont="1" applyFill="1" applyBorder="1" applyAlignment="1" applyProtection="1">
      <alignment horizontal="center"/>
      <protection locked="0"/>
    </xf>
    <xf numFmtId="0" fontId="5" fillId="3" borderId="1" xfId="0" applyFont="1" applyFill="1" applyBorder="1" applyAlignment="1" applyProtection="1">
      <alignment horizontal="center"/>
      <protection locked="0"/>
    </xf>
    <xf numFmtId="186" fontId="8" fillId="3" borderId="1" xfId="0" applyNumberFormat="1" applyFont="1" applyFill="1" applyBorder="1" applyAlignment="1" applyProtection="1">
      <alignment horizontal="center"/>
      <protection locked="0"/>
    </xf>
    <xf numFmtId="0" fontId="5" fillId="0" borderId="75" xfId="0" applyFont="1" applyBorder="1" applyAlignment="1" applyProtection="1">
      <alignment horizontal="center"/>
      <protection locked="0"/>
    </xf>
    <xf numFmtId="0" fontId="5" fillId="0" borderId="89" xfId="0" applyFont="1" applyBorder="1" applyAlignment="1" applyProtection="1">
      <alignment horizontal="center"/>
      <protection locked="0"/>
    </xf>
    <xf numFmtId="191" fontId="5" fillId="0" borderId="123" xfId="1" applyNumberFormat="1" applyFont="1" applyBorder="1" applyAlignment="1" applyProtection="1">
      <alignment horizontal="center"/>
      <protection locked="0"/>
    </xf>
    <xf numFmtId="191" fontId="5" fillId="0" borderId="123" xfId="1" applyNumberFormat="1" applyFont="1" applyBorder="1" applyProtection="1">
      <protection locked="0"/>
    </xf>
    <xf numFmtId="0" fontId="5" fillId="0" borderId="2" xfId="0" applyFont="1" applyBorder="1" applyAlignment="1" applyProtection="1">
      <alignment horizontal="center"/>
      <protection locked="0"/>
    </xf>
    <xf numFmtId="1" fontId="8" fillId="0" borderId="89" xfId="1" applyNumberFormat="1" applyFont="1" applyBorder="1" applyAlignment="1" applyProtection="1">
      <alignment horizontal="center"/>
      <protection locked="0"/>
    </xf>
    <xf numFmtId="0" fontId="5" fillId="0" borderId="68" xfId="0" applyFont="1" applyBorder="1" applyAlignment="1" applyProtection="1">
      <alignment horizontal="center"/>
      <protection locked="0"/>
    </xf>
    <xf numFmtId="0" fontId="5" fillId="0" borderId="75" xfId="1" applyNumberFormat="1" applyFont="1" applyBorder="1" applyAlignment="1" applyProtection="1">
      <alignment horizontal="center"/>
      <protection locked="0"/>
    </xf>
    <xf numFmtId="1" fontId="8" fillId="0" borderId="89" xfId="0" applyNumberFormat="1" applyFont="1" applyBorder="1" applyAlignment="1" applyProtection="1">
      <alignment horizontal="center"/>
      <protection locked="0"/>
    </xf>
    <xf numFmtId="1" fontId="5" fillId="0" borderId="2" xfId="1" applyNumberFormat="1" applyFont="1" applyBorder="1" applyAlignment="1" applyProtection="1">
      <alignment horizontal="center"/>
      <protection locked="0"/>
    </xf>
    <xf numFmtId="1" fontId="5" fillId="0" borderId="2" xfId="0" applyNumberFormat="1" applyFont="1" applyBorder="1" applyAlignment="1" applyProtection="1">
      <alignment horizontal="center"/>
      <protection locked="0"/>
    </xf>
    <xf numFmtId="1" fontId="5" fillId="0" borderId="68" xfId="0" applyNumberFormat="1" applyFont="1" applyBorder="1" applyAlignment="1" applyProtection="1">
      <alignment horizontal="center"/>
      <protection locked="0"/>
    </xf>
    <xf numFmtId="179" fontId="5" fillId="9" borderId="37" xfId="0" applyNumberFormat="1" applyFont="1" applyFill="1" applyBorder="1"/>
    <xf numFmtId="179" fontId="5" fillId="9" borderId="45" xfId="0" applyNumberFormat="1" applyFont="1" applyFill="1" applyBorder="1"/>
    <xf numFmtId="191" fontId="5" fillId="9" borderId="45" xfId="0" applyNumberFormat="1" applyFont="1" applyFill="1" applyBorder="1"/>
    <xf numFmtId="191" fontId="5" fillId="0" borderId="58" xfId="1" applyNumberFormat="1" applyFont="1" applyBorder="1" applyAlignment="1" applyProtection="1">
      <alignment horizontal="center"/>
      <protection locked="0"/>
    </xf>
    <xf numFmtId="191" fontId="5" fillId="0" borderId="58" xfId="1" applyNumberFormat="1" applyFont="1" applyBorder="1" applyProtection="1">
      <protection locked="0"/>
    </xf>
    <xf numFmtId="1" fontId="5" fillId="0" borderId="41" xfId="0" applyNumberFormat="1" applyFont="1" applyBorder="1" applyAlignment="1" applyProtection="1">
      <alignment horizontal="center"/>
      <protection locked="0"/>
    </xf>
    <xf numFmtId="1" fontId="8" fillId="0" borderId="66" xfId="0" applyNumberFormat="1" applyFont="1" applyBorder="1" applyAlignment="1" applyProtection="1">
      <alignment horizontal="center"/>
      <protection locked="0"/>
    </xf>
    <xf numFmtId="0" fontId="5" fillId="0" borderId="8" xfId="0" applyFont="1" applyBorder="1" applyAlignment="1" applyProtection="1">
      <alignment horizontal="center"/>
      <protection locked="0"/>
    </xf>
    <xf numFmtId="1" fontId="5" fillId="0" borderId="8" xfId="0" applyNumberFormat="1" applyFont="1" applyBorder="1" applyAlignment="1" applyProtection="1">
      <alignment horizontal="center"/>
      <protection locked="0"/>
    </xf>
    <xf numFmtId="1" fontId="5" fillId="0" borderId="75" xfId="0" applyNumberFormat="1" applyFont="1" applyBorder="1" applyAlignment="1" applyProtection="1">
      <alignment horizontal="center"/>
      <protection locked="0"/>
    </xf>
    <xf numFmtId="0" fontId="8" fillId="0" borderId="68" xfId="0" applyFont="1" applyBorder="1" applyAlignment="1" applyProtection="1">
      <alignment horizontal="center"/>
      <protection locked="0"/>
    </xf>
    <xf numFmtId="1" fontId="8" fillId="0" borderId="68" xfId="0" applyNumberFormat="1" applyFont="1" applyBorder="1" applyAlignment="1" applyProtection="1">
      <alignment horizontal="center"/>
      <protection locked="0"/>
    </xf>
    <xf numFmtId="0" fontId="8" fillId="0" borderId="8" xfId="0" applyFont="1" applyBorder="1" applyAlignment="1" applyProtection="1">
      <alignment horizontal="center"/>
      <protection locked="0"/>
    </xf>
    <xf numFmtId="1" fontId="8" fillId="0" borderId="8" xfId="0" applyNumberFormat="1" applyFont="1" applyBorder="1" applyAlignment="1" applyProtection="1">
      <alignment horizontal="center"/>
      <protection locked="0"/>
    </xf>
    <xf numFmtId="1" fontId="5" fillId="0" borderId="89" xfId="0" applyNumberFormat="1" applyFont="1" applyBorder="1" applyAlignment="1" applyProtection="1">
      <alignment horizontal="center"/>
      <protection locked="0"/>
    </xf>
    <xf numFmtId="1" fontId="5" fillId="0" borderId="45" xfId="0" applyNumberFormat="1" applyFont="1" applyBorder="1" applyAlignment="1" applyProtection="1">
      <alignment horizontal="center"/>
      <protection locked="0"/>
    </xf>
    <xf numFmtId="186" fontId="5" fillId="3" borderId="1" xfId="0" applyNumberFormat="1" applyFont="1" applyFill="1" applyBorder="1" applyAlignment="1" applyProtection="1">
      <alignment horizontal="center"/>
      <protection locked="0"/>
    </xf>
    <xf numFmtId="179" fontId="5" fillId="9" borderId="8" xfId="0" applyNumberFormat="1" applyFont="1" applyFill="1" applyBorder="1"/>
    <xf numFmtId="0" fontId="5" fillId="0" borderId="37" xfId="1" applyNumberFormat="1" applyFont="1" applyBorder="1" applyAlignment="1" applyProtection="1">
      <alignment horizontal="center"/>
      <protection locked="0"/>
    </xf>
    <xf numFmtId="191" fontId="4" fillId="3" borderId="0" xfId="1" applyNumberFormat="1" applyFont="1" applyFill="1" applyBorder="1" applyAlignment="1" applyProtection="1">
      <alignment horizontal="center"/>
      <protection locked="0"/>
    </xf>
    <xf numFmtId="191" fontId="5" fillId="3" borderId="45" xfId="1" applyNumberFormat="1" applyFont="1" applyFill="1" applyBorder="1" applyAlignment="1" applyProtection="1">
      <alignment horizontal="center"/>
      <protection locked="0"/>
    </xf>
    <xf numFmtId="186" fontId="5" fillId="3" borderId="67" xfId="0" applyNumberFormat="1" applyFont="1" applyFill="1" applyBorder="1" applyAlignment="1" applyProtection="1">
      <alignment horizontal="center"/>
      <protection locked="0"/>
    </xf>
    <xf numFmtId="1" fontId="5" fillId="0" borderId="45" xfId="1" applyNumberFormat="1" applyFont="1" applyBorder="1" applyAlignment="1" applyProtection="1">
      <alignment horizontal="center"/>
      <protection locked="0"/>
    </xf>
    <xf numFmtId="186" fontId="8" fillId="3" borderId="45" xfId="0" applyNumberFormat="1" applyFont="1" applyFill="1" applyBorder="1" applyAlignment="1" applyProtection="1">
      <alignment horizontal="center"/>
      <protection locked="0"/>
    </xf>
    <xf numFmtId="0" fontId="5" fillId="0" borderId="45" xfId="1" applyNumberFormat="1" applyFont="1" applyBorder="1" applyAlignment="1" applyProtection="1">
      <alignment horizontal="center"/>
      <protection locked="0"/>
    </xf>
    <xf numFmtId="0" fontId="8" fillId="0" borderId="45" xfId="0" applyFont="1" applyBorder="1" applyAlignment="1" applyProtection="1">
      <alignment horizontal="center"/>
      <protection locked="0"/>
    </xf>
    <xf numFmtId="0" fontId="5" fillId="0" borderId="0" xfId="1" applyNumberFormat="1" applyFont="1" applyBorder="1" applyAlignment="1" applyProtection="1">
      <alignment horizontal="center"/>
      <protection locked="0"/>
    </xf>
    <xf numFmtId="0" fontId="5" fillId="0" borderId="89" xfId="1" applyNumberFormat="1" applyFont="1" applyBorder="1" applyAlignment="1" applyProtection="1">
      <alignment horizontal="center"/>
      <protection locked="0"/>
    </xf>
    <xf numFmtId="0" fontId="5" fillId="0" borderId="2" xfId="1" applyNumberFormat="1" applyFont="1" applyBorder="1" applyAlignment="1" applyProtection="1">
      <alignment horizontal="center"/>
      <protection locked="0"/>
    </xf>
    <xf numFmtId="0" fontId="5" fillId="0" borderId="66" xfId="1" applyNumberFormat="1" applyFont="1" applyBorder="1" applyAlignment="1" applyProtection="1">
      <alignment horizontal="center"/>
      <protection locked="0"/>
    </xf>
    <xf numFmtId="0" fontId="5" fillId="0" borderId="1" xfId="1" applyNumberFormat="1" applyFont="1" applyBorder="1" applyAlignment="1" applyProtection="1">
      <alignment horizontal="center"/>
      <protection locked="0"/>
    </xf>
    <xf numFmtId="2" fontId="5" fillId="0" borderId="7" xfId="0" applyNumberFormat="1" applyFont="1" applyBorder="1" applyProtection="1">
      <protection locked="0"/>
    </xf>
    <xf numFmtId="0" fontId="5" fillId="0" borderId="12" xfId="0" applyFont="1" applyBorder="1" applyProtection="1">
      <protection locked="0"/>
    </xf>
    <xf numFmtId="167" fontId="3" fillId="31" borderId="53" xfId="2" applyFont="1" applyFill="1" applyBorder="1" applyAlignment="1" applyProtection="1">
      <alignment horizontal="center"/>
      <protection locked="0"/>
    </xf>
    <xf numFmtId="191" fontId="4" fillId="3" borderId="6" xfId="1" applyNumberFormat="1" applyFont="1" applyFill="1" applyBorder="1" applyAlignment="1" applyProtection="1">
      <alignment horizontal="center"/>
      <protection locked="0"/>
    </xf>
    <xf numFmtId="191" fontId="5" fillId="3" borderId="51" xfId="1" applyNumberFormat="1" applyFont="1" applyFill="1" applyBorder="1" applyAlignment="1" applyProtection="1">
      <alignment horizontal="center"/>
      <protection locked="0"/>
    </xf>
    <xf numFmtId="0" fontId="5" fillId="0" borderId="19" xfId="0" applyFont="1" applyBorder="1" applyAlignment="1" applyProtection="1">
      <alignment horizontal="center"/>
      <protection locked="0"/>
    </xf>
    <xf numFmtId="0" fontId="5" fillId="3" borderId="72" xfId="0" applyFont="1" applyFill="1" applyBorder="1" applyAlignment="1" applyProtection="1">
      <alignment horizontal="center"/>
      <protection locked="0"/>
    </xf>
    <xf numFmtId="0" fontId="5" fillId="0" borderId="6" xfId="0" applyFont="1" applyBorder="1" applyAlignment="1" applyProtection="1">
      <alignment horizontal="center"/>
      <protection locked="0"/>
    </xf>
    <xf numFmtId="0" fontId="5" fillId="3" borderId="19" xfId="0" applyFont="1" applyFill="1" applyBorder="1" applyAlignment="1" applyProtection="1">
      <alignment horizontal="center"/>
      <protection locked="0"/>
    </xf>
    <xf numFmtId="0" fontId="5" fillId="0" borderId="19" xfId="1" applyNumberFormat="1" applyFont="1" applyBorder="1" applyAlignment="1" applyProtection="1">
      <alignment horizontal="center"/>
      <protection locked="0"/>
    </xf>
    <xf numFmtId="186" fontId="5" fillId="3" borderId="51" xfId="0" applyNumberFormat="1" applyFont="1" applyFill="1" applyBorder="1" applyAlignment="1" applyProtection="1">
      <alignment horizontal="center"/>
      <protection locked="0"/>
    </xf>
    <xf numFmtId="0" fontId="5" fillId="0" borderId="51" xfId="0" applyFont="1" applyBorder="1" applyAlignment="1" applyProtection="1">
      <alignment horizontal="center"/>
      <protection locked="0"/>
    </xf>
    <xf numFmtId="191" fontId="5" fillId="0" borderId="20" xfId="1" applyNumberFormat="1" applyFont="1" applyBorder="1" applyAlignment="1" applyProtection="1">
      <alignment horizontal="center"/>
      <protection locked="0"/>
    </xf>
    <xf numFmtId="191" fontId="5" fillId="0" borderId="20" xfId="1" applyNumberFormat="1" applyFont="1" applyBorder="1" applyProtection="1">
      <protection locked="0"/>
    </xf>
    <xf numFmtId="191" fontId="5" fillId="6" borderId="12" xfId="1" applyNumberFormat="1" applyFont="1" applyFill="1" applyBorder="1" applyProtection="1">
      <protection locked="0"/>
    </xf>
    <xf numFmtId="169" fontId="5" fillId="6" borderId="6" xfId="0" applyNumberFormat="1" applyFont="1" applyFill="1" applyBorder="1" applyProtection="1">
      <protection locked="0"/>
    </xf>
    <xf numFmtId="167" fontId="3" fillId="15" borderId="72" xfId="2" applyFont="1" applyFill="1" applyBorder="1" applyProtection="1"/>
    <xf numFmtId="0" fontId="5" fillId="0" borderId="13" xfId="0" applyFont="1" applyBorder="1" applyAlignment="1" applyProtection="1">
      <alignment horizontal="center"/>
      <protection locked="0"/>
    </xf>
    <xf numFmtId="1" fontId="5" fillId="9" borderId="6" xfId="0" applyNumberFormat="1" applyFont="1" applyFill="1" applyBorder="1"/>
    <xf numFmtId="1" fontId="5" fillId="9" borderId="13" xfId="0" applyNumberFormat="1" applyFont="1" applyFill="1" applyBorder="1"/>
    <xf numFmtId="1" fontId="5" fillId="9" borderId="12" xfId="0" applyNumberFormat="1" applyFont="1" applyFill="1" applyBorder="1"/>
    <xf numFmtId="179" fontId="5" fillId="9" borderId="13" xfId="0" applyNumberFormat="1" applyFont="1" applyFill="1" applyBorder="1"/>
    <xf numFmtId="179" fontId="5" fillId="9" borderId="75" xfId="0" applyNumberFormat="1" applyFont="1" applyFill="1" applyBorder="1"/>
    <xf numFmtId="179" fontId="5" fillId="9" borderId="2" xfId="0" applyNumberFormat="1" applyFont="1" applyFill="1" applyBorder="1"/>
    <xf numFmtId="179" fontId="5" fillId="9" borderId="89" xfId="0" applyNumberFormat="1" applyFont="1" applyFill="1" applyBorder="1"/>
    <xf numFmtId="186" fontId="5" fillId="9" borderId="0" xfId="0" applyNumberFormat="1" applyFont="1" applyFill="1"/>
    <xf numFmtId="169" fontId="5" fillId="9" borderId="6" xfId="0" applyNumberFormat="1" applyFont="1" applyFill="1" applyBorder="1"/>
    <xf numFmtId="186" fontId="72" fillId="9" borderId="0" xfId="0" applyNumberFormat="1" applyFont="1" applyFill="1" applyAlignment="1">
      <alignment horizontal="center"/>
    </xf>
    <xf numFmtId="205" fontId="5" fillId="9" borderId="0" xfId="0" applyNumberFormat="1" applyFont="1" applyFill="1"/>
    <xf numFmtId="191" fontId="5" fillId="6" borderId="28" xfId="0" applyNumberFormat="1" applyFont="1" applyFill="1" applyBorder="1" applyAlignment="1">
      <alignment horizontal="center"/>
    </xf>
    <xf numFmtId="191" fontId="5" fillId="6" borderId="30" xfId="0" applyNumberFormat="1" applyFont="1" applyFill="1" applyBorder="1" applyAlignment="1">
      <alignment horizontal="center"/>
    </xf>
    <xf numFmtId="0" fontId="0" fillId="0" borderId="12" xfId="0" applyBorder="1"/>
    <xf numFmtId="177" fontId="5" fillId="9" borderId="21" xfId="2" applyNumberFormat="1" applyFont="1" applyFill="1" applyBorder="1" applyProtection="1"/>
    <xf numFmtId="177" fontId="5" fillId="9" borderId="22" xfId="2" applyNumberFormat="1" applyFont="1" applyFill="1" applyBorder="1" applyProtection="1"/>
    <xf numFmtId="177" fontId="5" fillId="9" borderId="43" xfId="2" applyNumberFormat="1" applyFont="1" applyFill="1" applyBorder="1" applyProtection="1"/>
    <xf numFmtId="177" fontId="5" fillId="9" borderId="29" xfId="2" applyNumberFormat="1" applyFont="1" applyFill="1" applyBorder="1" applyProtection="1"/>
    <xf numFmtId="177" fontId="5" fillId="9" borderId="124" xfId="2" applyNumberFormat="1" applyFont="1" applyFill="1" applyBorder="1" applyProtection="1"/>
    <xf numFmtId="177" fontId="5" fillId="9" borderId="23" xfId="2" applyNumberFormat="1" applyFont="1" applyFill="1" applyBorder="1" applyProtection="1"/>
    <xf numFmtId="1" fontId="5" fillId="9" borderId="22" xfId="0" applyNumberFormat="1" applyFont="1" applyFill="1" applyBorder="1"/>
    <xf numFmtId="1" fontId="5" fillId="9" borderId="23" xfId="0" applyNumberFormat="1" applyFont="1" applyFill="1" applyBorder="1"/>
    <xf numFmtId="0" fontId="0" fillId="14" borderId="9" xfId="0" applyFill="1" applyBorder="1"/>
    <xf numFmtId="177" fontId="5" fillId="14" borderId="17" xfId="2" applyNumberFormat="1" applyFont="1" applyFill="1" applyBorder="1" applyAlignment="1" applyProtection="1">
      <alignment horizontal="left"/>
    </xf>
    <xf numFmtId="0" fontId="3" fillId="9" borderId="16" xfId="0" applyFont="1" applyFill="1" applyBorder="1" applyAlignment="1" applyProtection="1">
      <alignment horizontal="center"/>
      <protection locked="0"/>
    </xf>
    <xf numFmtId="0" fontId="3" fillId="9" borderId="9"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0" fillId="14" borderId="0" xfId="0" applyFill="1"/>
    <xf numFmtId="177" fontId="0" fillId="14" borderId="0" xfId="0" applyNumberFormat="1" applyFill="1"/>
    <xf numFmtId="0" fontId="5" fillId="32" borderId="10" xfId="0" applyFont="1" applyFill="1" applyBorder="1" applyAlignment="1">
      <alignment horizontal="center"/>
    </xf>
    <xf numFmtId="177" fontId="65" fillId="9" borderId="0" xfId="0" applyNumberFormat="1" applyFont="1" applyFill="1"/>
    <xf numFmtId="167" fontId="5" fillId="0" borderId="6" xfId="2" applyFont="1" applyBorder="1" applyAlignment="1" applyProtection="1">
      <alignment horizontal="center"/>
      <protection locked="0"/>
    </xf>
    <xf numFmtId="180" fontId="3" fillId="9" borderId="6" xfId="3" applyNumberFormat="1" applyFont="1" applyFill="1" applyBorder="1" applyAlignment="1" applyProtection="1">
      <alignment horizontal="center"/>
    </xf>
    <xf numFmtId="167" fontId="5" fillId="9" borderId="12" xfId="2" applyFont="1" applyFill="1" applyBorder="1" applyAlignment="1" applyProtection="1">
      <alignment horizontal="center"/>
      <protection locked="0"/>
    </xf>
    <xf numFmtId="167" fontId="5" fillId="9" borderId="6" xfId="2" applyFont="1" applyFill="1" applyBorder="1" applyAlignment="1" applyProtection="1">
      <alignment horizontal="center"/>
      <protection locked="0"/>
    </xf>
    <xf numFmtId="167" fontId="5" fillId="9" borderId="13" xfId="2" applyFont="1" applyFill="1" applyBorder="1" applyAlignment="1" applyProtection="1">
      <alignment horizontal="center"/>
      <protection locked="0"/>
    </xf>
    <xf numFmtId="180" fontId="5" fillId="3" borderId="12" xfId="3" applyNumberFormat="1" applyFont="1" applyFill="1" applyBorder="1" applyAlignment="1" applyProtection="1">
      <alignment horizontal="center"/>
      <protection locked="0"/>
    </xf>
    <xf numFmtId="10" fontId="5" fillId="3" borderId="6" xfId="3" applyNumberFormat="1" applyFont="1" applyFill="1" applyBorder="1" applyAlignment="1" applyProtection="1">
      <alignment horizontal="center"/>
      <protection locked="0"/>
    </xf>
    <xf numFmtId="10" fontId="5" fillId="3" borderId="13" xfId="3" applyNumberFormat="1" applyFont="1" applyFill="1" applyBorder="1" applyAlignment="1" applyProtection="1">
      <alignment horizontal="center"/>
      <protection locked="0"/>
    </xf>
    <xf numFmtId="0" fontId="5" fillId="32" borderId="33" xfId="0" applyFont="1" applyFill="1" applyBorder="1" applyAlignment="1">
      <alignment horizontal="center"/>
    </xf>
    <xf numFmtId="0" fontId="5" fillId="14" borderId="16" xfId="0" applyFont="1" applyFill="1" applyBorder="1"/>
    <xf numFmtId="0" fontId="65" fillId="14" borderId="0" xfId="0" applyFont="1" applyFill="1" applyAlignment="1">
      <alignment horizontal="right"/>
    </xf>
    <xf numFmtId="191" fontId="5" fillId="14" borderId="103" xfId="0" applyNumberFormat="1" applyFont="1" applyFill="1" applyBorder="1" applyAlignment="1">
      <alignment horizontal="center"/>
    </xf>
    <xf numFmtId="0" fontId="3" fillId="14" borderId="0" xfId="0" applyFont="1" applyFill="1"/>
    <xf numFmtId="177" fontId="65" fillId="14" borderId="0" xfId="0" applyNumberFormat="1" applyFont="1" applyFill="1" applyAlignment="1">
      <alignment horizontal="center"/>
    </xf>
    <xf numFmtId="0" fontId="3" fillId="0" borderId="16" xfId="0" applyFont="1" applyBorder="1" applyAlignment="1">
      <alignment horizontal="left"/>
    </xf>
    <xf numFmtId="0" fontId="3" fillId="0" borderId="110" xfId="0" applyFont="1" applyBorder="1" applyAlignment="1">
      <alignment horizontal="center"/>
    </xf>
    <xf numFmtId="0" fontId="3" fillId="0" borderId="42" xfId="0" applyFont="1" applyBorder="1" applyAlignment="1">
      <alignment horizontal="center"/>
    </xf>
    <xf numFmtId="0" fontId="5" fillId="0" borderId="42" xfId="0" applyFont="1" applyBorder="1" applyAlignment="1">
      <alignment horizontal="center" wrapText="1"/>
    </xf>
    <xf numFmtId="0" fontId="5" fillId="0" borderId="17" xfId="0" applyFont="1" applyBorder="1" applyAlignment="1">
      <alignment horizontal="center" wrapText="1"/>
    </xf>
    <xf numFmtId="1" fontId="5" fillId="9" borderId="95" xfId="0" applyNumberFormat="1" applyFont="1" applyFill="1" applyBorder="1" applyAlignment="1">
      <alignment horizontal="center"/>
    </xf>
    <xf numFmtId="1" fontId="5" fillId="6" borderId="96" xfId="0" applyNumberFormat="1" applyFont="1" applyFill="1" applyBorder="1" applyAlignment="1">
      <alignment horizontal="center"/>
    </xf>
    <xf numFmtId="0" fontId="5" fillId="18" borderId="46" xfId="0" applyFont="1" applyFill="1" applyBorder="1"/>
    <xf numFmtId="1" fontId="5" fillId="18" borderId="56" xfId="0" applyNumberFormat="1" applyFont="1" applyFill="1" applyBorder="1"/>
    <xf numFmtId="0" fontId="5" fillId="0" borderId="87" xfId="0" applyFont="1" applyBorder="1" applyAlignment="1">
      <alignment horizontal="center" wrapText="1"/>
    </xf>
    <xf numFmtId="0" fontId="5" fillId="3" borderId="60" xfId="0" applyFont="1" applyFill="1" applyBorder="1" applyAlignment="1">
      <alignment horizontal="left" wrapText="1"/>
    </xf>
    <xf numFmtId="0" fontId="5" fillId="3" borderId="61" xfId="0" applyFont="1" applyFill="1" applyBorder="1" applyAlignment="1">
      <alignment horizontal="center" wrapText="1"/>
    </xf>
    <xf numFmtId="0" fontId="5" fillId="0" borderId="78" xfId="0" applyFont="1" applyBorder="1" applyAlignment="1">
      <alignment horizontal="center" wrapText="1"/>
    </xf>
    <xf numFmtId="0" fontId="5" fillId="0" borderId="61" xfId="0" applyFont="1" applyBorder="1" applyAlignment="1">
      <alignment horizontal="center" wrapText="1"/>
    </xf>
    <xf numFmtId="0" fontId="5" fillId="0" borderId="33" xfId="0" applyFont="1" applyBorder="1" applyAlignment="1">
      <alignment horizontal="center" wrapText="1"/>
    </xf>
    <xf numFmtId="0" fontId="5" fillId="3" borderId="14" xfId="0" applyFont="1" applyFill="1" applyBorder="1" applyProtection="1">
      <protection locked="0"/>
    </xf>
    <xf numFmtId="0" fontId="5" fillId="0" borderId="37" xfId="0" applyFont="1" applyBorder="1" applyAlignment="1" applyProtection="1">
      <alignment horizontal="center"/>
      <protection locked="0"/>
    </xf>
    <xf numFmtId="207" fontId="5" fillId="0" borderId="0" xfId="0" applyNumberFormat="1" applyFont="1" applyAlignment="1">
      <alignment horizontal="center"/>
    </xf>
    <xf numFmtId="207" fontId="5" fillId="0" borderId="45" xfId="0" applyNumberFormat="1" applyFont="1" applyBorder="1" applyAlignment="1">
      <alignment horizontal="center"/>
    </xf>
    <xf numFmtId="207" fontId="5" fillId="0" borderId="107" xfId="0" applyNumberFormat="1" applyFont="1" applyBorder="1" applyAlignment="1">
      <alignment horizontal="center"/>
    </xf>
    <xf numFmtId="207" fontId="5" fillId="0" borderId="8" xfId="0" applyNumberFormat="1" applyFont="1" applyBorder="1" applyAlignment="1">
      <alignment horizontal="center"/>
    </xf>
    <xf numFmtId="0" fontId="5" fillId="3" borderId="7" xfId="0" applyFont="1" applyFill="1" applyBorder="1" applyProtection="1">
      <protection locked="0"/>
    </xf>
    <xf numFmtId="207" fontId="5" fillId="0" borderId="37" xfId="0" applyNumberFormat="1" applyFont="1" applyBorder="1" applyAlignment="1">
      <alignment horizontal="center"/>
    </xf>
    <xf numFmtId="0" fontId="5" fillId="0" borderId="0" xfId="2" applyNumberFormat="1" applyFont="1" applyBorder="1" applyAlignment="1" applyProtection="1">
      <alignment horizontal="center"/>
      <protection locked="0"/>
    </xf>
    <xf numFmtId="0" fontId="5" fillId="3" borderId="76" xfId="0" applyFont="1" applyFill="1" applyBorder="1" applyProtection="1">
      <protection locked="0"/>
    </xf>
    <xf numFmtId="207" fontId="5" fillId="0" borderId="2" xfId="0" applyNumberFormat="1" applyFont="1" applyBorder="1" applyAlignment="1">
      <alignment horizontal="center"/>
    </xf>
    <xf numFmtId="207" fontId="5" fillId="0" borderId="89" xfId="0" applyNumberFormat="1" applyFont="1" applyBorder="1" applyAlignment="1">
      <alignment horizontal="center"/>
    </xf>
    <xf numFmtId="207" fontId="5" fillId="0" borderId="75" xfId="0" applyNumberFormat="1" applyFont="1" applyBorder="1" applyAlignment="1">
      <alignment horizontal="center"/>
    </xf>
    <xf numFmtId="207" fontId="5" fillId="0" borderId="13" xfId="0" applyNumberFormat="1" applyFont="1" applyBorder="1" applyAlignment="1">
      <alignment horizontal="center"/>
    </xf>
    <xf numFmtId="0" fontId="0" fillId="0" borderId="13" xfId="0" applyBorder="1"/>
    <xf numFmtId="191" fontId="5" fillId="9" borderId="2" xfId="0" applyNumberFormat="1" applyFont="1" applyFill="1" applyBorder="1" applyAlignment="1">
      <alignment horizontal="center"/>
    </xf>
    <xf numFmtId="177" fontId="0" fillId="9" borderId="2" xfId="0" applyNumberFormat="1" applyFill="1" applyBorder="1"/>
    <xf numFmtId="0" fontId="0" fillId="9" borderId="2" xfId="0" applyFill="1" applyBorder="1"/>
    <xf numFmtId="177" fontId="65" fillId="3" borderId="0" xfId="0" applyNumberFormat="1" applyFont="1" applyFill="1" applyProtection="1">
      <protection locked="0"/>
    </xf>
    <xf numFmtId="167" fontId="72" fillId="3" borderId="0" xfId="2" applyFont="1" applyFill="1" applyBorder="1" applyProtection="1">
      <protection locked="0"/>
    </xf>
    <xf numFmtId="167" fontId="72" fillId="3" borderId="0" xfId="2" applyFont="1" applyFill="1" applyBorder="1" applyAlignment="1" applyProtection="1">
      <alignment horizontal="center"/>
      <protection locked="0"/>
    </xf>
    <xf numFmtId="177" fontId="72" fillId="3" borderId="0" xfId="2" applyNumberFormat="1" applyFont="1" applyFill="1" applyBorder="1" applyAlignment="1" applyProtection="1">
      <alignment horizontal="center"/>
      <protection locked="0"/>
    </xf>
    <xf numFmtId="177" fontId="72" fillId="3" borderId="0" xfId="0" applyNumberFormat="1" applyFont="1" applyFill="1" applyProtection="1">
      <protection locked="0"/>
    </xf>
    <xf numFmtId="167" fontId="5" fillId="9" borderId="7" xfId="0" applyNumberFormat="1" applyFont="1" applyFill="1" applyBorder="1"/>
    <xf numFmtId="177" fontId="72" fillId="3" borderId="37" xfId="0" applyNumberFormat="1" applyFont="1" applyFill="1" applyBorder="1" applyProtection="1">
      <protection locked="0"/>
    </xf>
    <xf numFmtId="0" fontId="72" fillId="3" borderId="0" xfId="0" applyFont="1" applyFill="1" applyProtection="1">
      <protection locked="0"/>
    </xf>
    <xf numFmtId="167" fontId="72" fillId="3" borderId="0" xfId="0" applyNumberFormat="1" applyFont="1" applyFill="1" applyAlignment="1" applyProtection="1">
      <alignment horizontal="center"/>
      <protection locked="0"/>
    </xf>
    <xf numFmtId="2" fontId="72" fillId="3" borderId="0" xfId="0" applyNumberFormat="1" applyFont="1" applyFill="1" applyAlignment="1" applyProtection="1">
      <alignment horizontal="center"/>
      <protection locked="0"/>
    </xf>
    <xf numFmtId="177" fontId="5" fillId="3" borderId="0" xfId="0" applyNumberFormat="1" applyFont="1" applyFill="1" applyProtection="1">
      <protection locked="0"/>
    </xf>
    <xf numFmtId="177" fontId="72" fillId="3" borderId="0" xfId="0" applyNumberFormat="1" applyFont="1" applyFill="1" applyAlignment="1" applyProtection="1">
      <alignment horizontal="center"/>
      <protection locked="0"/>
    </xf>
    <xf numFmtId="0" fontId="72" fillId="3" borderId="0" xfId="0" applyFont="1" applyFill="1" applyAlignment="1" applyProtection="1">
      <alignment horizontal="center"/>
      <protection locked="0"/>
    </xf>
    <xf numFmtId="191" fontId="5" fillId="3" borderId="0" xfId="0" applyNumberFormat="1" applyFont="1" applyFill="1" applyProtection="1">
      <protection locked="0"/>
    </xf>
    <xf numFmtId="179" fontId="0" fillId="0" borderId="0" xfId="0" applyNumberFormat="1"/>
    <xf numFmtId="177" fontId="72" fillId="3" borderId="38" xfId="0" applyNumberFormat="1" applyFont="1" applyFill="1" applyBorder="1" applyProtection="1">
      <protection locked="0"/>
    </xf>
    <xf numFmtId="0" fontId="5" fillId="3" borderId="51" xfId="0" applyFont="1" applyFill="1" applyBorder="1" applyProtection="1">
      <protection locked="0"/>
    </xf>
    <xf numFmtId="0" fontId="5" fillId="6" borderId="10" xfId="0" applyFont="1" applyFill="1" applyBorder="1" applyAlignment="1">
      <alignment horizontal="center"/>
    </xf>
    <xf numFmtId="0" fontId="5" fillId="3" borderId="44" xfId="0" applyFont="1" applyFill="1" applyBorder="1" applyAlignment="1" applyProtection="1">
      <alignment horizontal="center"/>
      <protection locked="0"/>
    </xf>
    <xf numFmtId="0" fontId="5" fillId="0" borderId="40" xfId="0" applyFont="1" applyBorder="1"/>
    <xf numFmtId="167" fontId="5" fillId="15" borderId="81" xfId="2" applyFont="1" applyFill="1" applyBorder="1" applyAlignment="1" applyProtection="1">
      <alignment horizontal="center"/>
      <protection locked="0"/>
    </xf>
    <xf numFmtId="9" fontId="5" fillId="0" borderId="40" xfId="3" applyFont="1" applyBorder="1" applyAlignment="1" applyProtection="1">
      <alignment horizontal="center" vertical="center" wrapText="1"/>
      <protection locked="0"/>
    </xf>
    <xf numFmtId="9" fontId="5" fillId="0" borderId="65" xfId="3" applyFont="1" applyBorder="1" applyAlignment="1" applyProtection="1">
      <alignment horizontal="center" vertical="center" wrapText="1"/>
      <protection locked="0"/>
    </xf>
    <xf numFmtId="9" fontId="5" fillId="3" borderId="67" xfId="3" applyFont="1" applyFill="1" applyBorder="1" applyProtection="1"/>
    <xf numFmtId="167" fontId="5" fillId="14" borderId="0" xfId="2" applyFont="1" applyFill="1" applyBorder="1" applyProtection="1"/>
    <xf numFmtId="177" fontId="5" fillId="6" borderId="8" xfId="2" applyNumberFormat="1" applyFont="1" applyFill="1" applyBorder="1" applyAlignment="1" applyProtection="1">
      <alignment horizontal="center"/>
    </xf>
    <xf numFmtId="0" fontId="5" fillId="3" borderId="47" xfId="0" applyFont="1" applyFill="1" applyBorder="1" applyAlignment="1" applyProtection="1">
      <alignment horizontal="center"/>
      <protection locked="0"/>
    </xf>
    <xf numFmtId="9" fontId="5" fillId="0" borderId="0" xfId="3" applyFont="1" applyBorder="1" applyAlignment="1" applyProtection="1">
      <alignment horizontal="center" vertical="center" wrapText="1"/>
      <protection locked="0"/>
    </xf>
    <xf numFmtId="9" fontId="5" fillId="0" borderId="45" xfId="3" applyFont="1" applyBorder="1" applyAlignment="1" applyProtection="1">
      <alignment horizontal="center" vertical="center" wrapText="1"/>
      <protection locked="0"/>
    </xf>
    <xf numFmtId="177" fontId="5" fillId="6" borderId="8" xfId="2" applyNumberFormat="1" applyFont="1" applyFill="1" applyBorder="1" applyAlignment="1" applyProtection="1">
      <alignment horizontal="center"/>
      <protection locked="0"/>
    </xf>
    <xf numFmtId="0" fontId="5" fillId="3" borderId="125" xfId="0" applyFont="1" applyFill="1" applyBorder="1" applyAlignment="1" applyProtection="1">
      <alignment horizontal="center"/>
      <protection locked="0"/>
    </xf>
    <xf numFmtId="0" fontId="5" fillId="3" borderId="106" xfId="0" applyFont="1" applyFill="1" applyBorder="1" applyAlignment="1" applyProtection="1">
      <alignment horizontal="center"/>
      <protection locked="0"/>
    </xf>
    <xf numFmtId="9" fontId="5" fillId="0" borderId="39" xfId="3" applyFont="1" applyBorder="1" applyAlignment="1" applyProtection="1">
      <alignment horizontal="center" vertical="center" wrapText="1"/>
      <protection locked="0"/>
    </xf>
    <xf numFmtId="1" fontId="65" fillId="0" borderId="7" xfId="0" applyNumberFormat="1" applyFont="1" applyBorder="1" applyAlignment="1" applyProtection="1">
      <alignment horizontal="center"/>
      <protection locked="0"/>
    </xf>
    <xf numFmtId="0" fontId="5" fillId="0" borderId="45" xfId="0" applyFont="1" applyBorder="1" applyAlignment="1">
      <alignment horizontal="right"/>
    </xf>
    <xf numFmtId="9" fontId="5" fillId="3" borderId="67" xfId="3" applyFont="1" applyFill="1" applyBorder="1" applyProtection="1">
      <protection locked="0"/>
    </xf>
    <xf numFmtId="0" fontId="5" fillId="0" borderId="59" xfId="0" applyFont="1" applyBorder="1" applyAlignment="1" applyProtection="1">
      <alignment horizontal="left"/>
      <protection locked="0"/>
    </xf>
    <xf numFmtId="0" fontId="5" fillId="0" borderId="39" xfId="0" applyFont="1" applyBorder="1" applyAlignment="1" applyProtection="1">
      <alignment horizontal="left"/>
      <protection locked="0"/>
    </xf>
    <xf numFmtId="0" fontId="5" fillId="0" borderId="92" xfId="0" applyFont="1" applyBorder="1" applyAlignment="1">
      <alignment horizontal="right"/>
    </xf>
    <xf numFmtId="0" fontId="5" fillId="0" borderId="121" xfId="0" applyFont="1" applyBorder="1" applyAlignment="1">
      <alignment horizontal="right"/>
    </xf>
    <xf numFmtId="9" fontId="5" fillId="3" borderId="91" xfId="3" applyFont="1" applyFill="1" applyBorder="1" applyAlignment="1" applyProtection="1">
      <alignment horizontal="center"/>
      <protection locked="0"/>
    </xf>
    <xf numFmtId="0" fontId="5" fillId="3" borderId="67" xfId="0" applyFont="1" applyFill="1" applyBorder="1" applyAlignment="1">
      <alignment horizontal="center"/>
    </xf>
    <xf numFmtId="167" fontId="5" fillId="15" borderId="67" xfId="2" applyFont="1" applyFill="1" applyBorder="1" applyProtection="1">
      <protection locked="0"/>
    </xf>
    <xf numFmtId="9" fontId="5" fillId="3" borderId="67" xfId="3" applyFont="1" applyFill="1" applyBorder="1" applyAlignment="1" applyProtection="1">
      <alignment horizontal="center"/>
      <protection locked="0"/>
    </xf>
    <xf numFmtId="9" fontId="5" fillId="3" borderId="1" xfId="3" applyFont="1" applyFill="1" applyBorder="1" applyAlignment="1" applyProtection="1">
      <alignment horizontal="center"/>
      <protection locked="0"/>
    </xf>
    <xf numFmtId="0" fontId="5" fillId="0" borderId="51" xfId="0" applyFont="1" applyBorder="1" applyAlignment="1">
      <alignment horizontal="center"/>
    </xf>
    <xf numFmtId="9" fontId="5" fillId="3" borderId="6" xfId="3" applyFont="1" applyFill="1" applyBorder="1" applyAlignment="1" applyProtection="1">
      <alignment horizontal="center"/>
      <protection locked="0"/>
    </xf>
    <xf numFmtId="191" fontId="5" fillId="0" borderId="6" xfId="1" applyNumberFormat="1" applyFont="1" applyBorder="1" applyAlignment="1" applyProtection="1">
      <alignment horizontal="center"/>
    </xf>
    <xf numFmtId="0" fontId="3" fillId="6" borderId="16" xfId="0" applyFont="1" applyFill="1" applyBorder="1" applyAlignment="1">
      <alignment horizontal="left"/>
    </xf>
    <xf numFmtId="0" fontId="3" fillId="6" borderId="9" xfId="0" applyFont="1" applyFill="1" applyBorder="1" applyAlignment="1">
      <alignment horizontal="center"/>
    </xf>
    <xf numFmtId="0" fontId="3" fillId="6" borderId="17" xfId="0" applyFont="1" applyFill="1" applyBorder="1" applyAlignment="1">
      <alignment horizontal="center"/>
    </xf>
    <xf numFmtId="169" fontId="5" fillId="0" borderId="0" xfId="0" applyNumberFormat="1" applyFont="1"/>
    <xf numFmtId="167" fontId="5" fillId="33" borderId="46" xfId="2" applyFont="1" applyFill="1" applyBorder="1" applyAlignment="1" applyProtection="1">
      <alignment horizontal="center"/>
      <protection locked="0"/>
    </xf>
    <xf numFmtId="167" fontId="5" fillId="33" borderId="57" xfId="2" applyFont="1" applyFill="1" applyBorder="1" applyAlignment="1" applyProtection="1">
      <alignment horizontal="center"/>
      <protection locked="0"/>
    </xf>
    <xf numFmtId="0" fontId="5" fillId="33" borderId="0" xfId="0" applyFont="1" applyFill="1"/>
    <xf numFmtId="0" fontId="0" fillId="33" borderId="0" xfId="0" applyFill="1"/>
    <xf numFmtId="1" fontId="5" fillId="33" borderId="56" xfId="1" applyNumberFormat="1" applyFont="1" applyFill="1" applyBorder="1" applyAlignment="1" applyProtection="1">
      <alignment horizontal="center"/>
    </xf>
    <xf numFmtId="167" fontId="5" fillId="33" borderId="0" xfId="2" applyFont="1" applyFill="1" applyBorder="1" applyAlignment="1" applyProtection="1">
      <alignment horizontal="center"/>
    </xf>
    <xf numFmtId="177" fontId="5" fillId="6" borderId="61" xfId="2" applyNumberFormat="1" applyFont="1" applyFill="1" applyBorder="1" applyAlignment="1" applyProtection="1">
      <alignment horizontal="center"/>
    </xf>
    <xf numFmtId="1" fontId="5" fillId="0" borderId="92" xfId="1" applyNumberFormat="1" applyFont="1" applyBorder="1" applyAlignment="1" applyProtection="1">
      <alignment horizontal="center"/>
    </xf>
    <xf numFmtId="167" fontId="5" fillId="6" borderId="51" xfId="2" applyFont="1" applyFill="1" applyBorder="1" applyAlignment="1" applyProtection="1">
      <alignment horizontal="center"/>
      <protection locked="0"/>
    </xf>
    <xf numFmtId="0" fontId="3" fillId="6" borderId="22" xfId="0" applyFont="1" applyFill="1" applyBorder="1" applyAlignment="1">
      <alignment horizontal="left"/>
    </xf>
    <xf numFmtId="0" fontId="3" fillId="6" borderId="23" xfId="0" applyFont="1" applyFill="1" applyBorder="1" applyAlignment="1">
      <alignment horizontal="left"/>
    </xf>
    <xf numFmtId="0" fontId="5" fillId="0" borderId="16" xfId="0" applyFont="1" applyBorder="1" applyAlignment="1" applyProtection="1">
      <alignment horizontal="left"/>
      <protection locked="0"/>
    </xf>
    <xf numFmtId="2" fontId="5" fillId="0" borderId="0" xfId="0" applyNumberFormat="1" applyFont="1"/>
    <xf numFmtId="0" fontId="5" fillId="0" borderId="12" xfId="0" applyFont="1" applyBorder="1" applyAlignment="1" applyProtection="1">
      <alignment horizontal="left"/>
      <protection locked="0"/>
    </xf>
    <xf numFmtId="0" fontId="5" fillId="0" borderId="9" xfId="0" applyFont="1" applyBorder="1" applyAlignment="1" applyProtection="1">
      <alignment horizontal="left"/>
      <protection locked="0"/>
    </xf>
    <xf numFmtId="0" fontId="5" fillId="0" borderId="42" xfId="0" applyFont="1" applyBorder="1" applyAlignment="1" applyProtection="1">
      <alignment horizontal="left"/>
      <protection locked="0"/>
    </xf>
    <xf numFmtId="0" fontId="5" fillId="0" borderId="45" xfId="0" applyFont="1" applyBorder="1" applyAlignment="1" applyProtection="1">
      <alignment horizontal="left"/>
      <protection locked="0"/>
    </xf>
    <xf numFmtId="0" fontId="5" fillId="0" borderId="6" xfId="0" applyFont="1" applyBorder="1" applyAlignment="1" applyProtection="1">
      <alignment horizontal="left"/>
      <protection locked="0"/>
    </xf>
    <xf numFmtId="0" fontId="5" fillId="0" borderId="51" xfId="0" applyFont="1" applyBorder="1" applyAlignment="1" applyProtection="1">
      <alignment horizontal="left"/>
      <protection locked="0"/>
    </xf>
    <xf numFmtId="167" fontId="5" fillId="15" borderId="110" xfId="2" applyFont="1" applyFill="1" applyBorder="1" applyAlignment="1" applyProtection="1">
      <alignment horizontal="center"/>
      <protection locked="0"/>
    </xf>
    <xf numFmtId="1" fontId="5" fillId="15" borderId="42" xfId="1" applyNumberFormat="1" applyFont="1" applyFill="1" applyBorder="1" applyAlignment="1" applyProtection="1">
      <alignment horizontal="center"/>
      <protection locked="0"/>
    </xf>
    <xf numFmtId="0" fontId="3" fillId="12" borderId="1" xfId="0" applyFont="1" applyFill="1" applyBorder="1" applyAlignment="1" applyProtection="1">
      <alignment horizontal="center"/>
      <protection locked="0"/>
    </xf>
    <xf numFmtId="191" fontId="5" fillId="3" borderId="67" xfId="1" applyNumberFormat="1" applyFont="1" applyFill="1" applyBorder="1" applyProtection="1">
      <protection locked="0"/>
    </xf>
    <xf numFmtId="167" fontId="5" fillId="15" borderId="37" xfId="2" applyFont="1" applyFill="1" applyBorder="1" applyAlignment="1" applyProtection="1">
      <alignment horizontal="center"/>
      <protection locked="0"/>
    </xf>
    <xf numFmtId="1" fontId="5" fillId="15" borderId="45" xfId="0" applyNumberFormat="1" applyFont="1" applyFill="1" applyBorder="1" applyAlignment="1" applyProtection="1">
      <alignment horizontal="center"/>
      <protection locked="0"/>
    </xf>
    <xf numFmtId="0" fontId="5" fillId="0" borderId="0" xfId="0" applyFont="1" applyAlignment="1">
      <alignment horizontal="left" vertical="center"/>
    </xf>
    <xf numFmtId="0" fontId="5" fillId="0" borderId="45" xfId="0" applyFont="1" applyBorder="1" applyAlignment="1">
      <alignment horizontal="right" vertical="center"/>
    </xf>
    <xf numFmtId="0" fontId="5" fillId="3" borderId="1" xfId="0" applyFont="1" applyFill="1" applyBorder="1" applyAlignment="1" applyProtection="1">
      <alignment horizontal="center" vertical="center"/>
      <protection locked="0"/>
    </xf>
    <xf numFmtId="191" fontId="5" fillId="3" borderId="1" xfId="1" applyNumberFormat="1" applyFont="1" applyFill="1" applyBorder="1" applyProtection="1">
      <protection locked="0"/>
    </xf>
    <xf numFmtId="1" fontId="5" fillId="15" borderId="45" xfId="1" applyNumberFormat="1" applyFont="1" applyFill="1" applyBorder="1" applyAlignment="1" applyProtection="1">
      <alignment horizontal="center"/>
      <protection locked="0"/>
    </xf>
    <xf numFmtId="0" fontId="5" fillId="0" borderId="0" xfId="0" applyFont="1" applyAlignment="1">
      <alignment horizontal="right" vertical="center"/>
    </xf>
    <xf numFmtId="167" fontId="5" fillId="15" borderId="37" xfId="2" applyFont="1" applyFill="1" applyBorder="1" applyAlignment="1" applyProtection="1">
      <alignment horizontal="right"/>
      <protection locked="0"/>
    </xf>
    <xf numFmtId="1" fontId="5" fillId="15" borderId="45" xfId="1" applyNumberFormat="1" applyFont="1" applyFill="1" applyBorder="1" applyAlignment="1" applyProtection="1">
      <alignment horizontal="right"/>
      <protection locked="0"/>
    </xf>
    <xf numFmtId="177" fontId="5" fillId="25" borderId="8" xfId="2" applyNumberFormat="1" applyFont="1" applyFill="1" applyBorder="1" applyAlignment="1" applyProtection="1">
      <alignment horizontal="center"/>
    </xf>
    <xf numFmtId="167" fontId="5" fillId="15" borderId="45" xfId="2" applyFont="1" applyFill="1" applyBorder="1" applyAlignment="1" applyProtection="1">
      <alignment horizontal="center"/>
      <protection locked="0"/>
    </xf>
    <xf numFmtId="0" fontId="3" fillId="0" borderId="7" xfId="0" applyFont="1" applyBorder="1" applyAlignment="1" applyProtection="1">
      <alignment horizontal="right"/>
      <protection locked="0"/>
    </xf>
    <xf numFmtId="0" fontId="3" fillId="0" borderId="0" xfId="0" applyFont="1" applyAlignment="1" applyProtection="1">
      <alignment horizontal="right"/>
      <protection locked="0"/>
    </xf>
    <xf numFmtId="167" fontId="5" fillId="15" borderId="38" xfId="2" applyFont="1" applyFill="1" applyBorder="1" applyAlignment="1" applyProtection="1">
      <alignment horizontal="center"/>
      <protection locked="0"/>
    </xf>
    <xf numFmtId="167" fontId="5" fillId="15" borderId="51" xfId="2" applyFont="1" applyFill="1" applyBorder="1" applyAlignment="1" applyProtection="1">
      <alignment horizontal="center"/>
      <protection locked="0"/>
    </xf>
    <xf numFmtId="0" fontId="5" fillId="0" borderId="6" xfId="0" applyFont="1" applyBorder="1" applyProtection="1">
      <protection locked="0"/>
    </xf>
    <xf numFmtId="167" fontId="5" fillId="0" borderId="6" xfId="0" applyNumberFormat="1" applyFont="1" applyBorder="1" applyAlignment="1" applyProtection="1">
      <alignment horizontal="center"/>
      <protection locked="0"/>
    </xf>
    <xf numFmtId="10" fontId="5" fillId="3" borderId="12" xfId="3" applyNumberFormat="1" applyFont="1" applyFill="1" applyBorder="1" applyAlignment="1" applyProtection="1">
      <alignment horizontal="center"/>
      <protection locked="0"/>
    </xf>
    <xf numFmtId="0" fontId="0" fillId="0" borderId="10" xfId="0" applyBorder="1"/>
    <xf numFmtId="0" fontId="10" fillId="0" borderId="16" xfId="0" applyFont="1" applyBorder="1" applyAlignment="1">
      <alignment horizontal="right"/>
    </xf>
    <xf numFmtId="177" fontId="0" fillId="0" borderId="17" xfId="0" applyNumberFormat="1" applyBorder="1"/>
    <xf numFmtId="177" fontId="1" fillId="0" borderId="16" xfId="0" applyNumberFormat="1" applyFont="1" applyBorder="1"/>
    <xf numFmtId="177" fontId="10" fillId="0" borderId="16" xfId="0" applyNumberFormat="1" applyFont="1" applyBorder="1"/>
    <xf numFmtId="0" fontId="0" fillId="0" borderId="11" xfId="0" applyBorder="1"/>
    <xf numFmtId="0" fontId="0" fillId="0" borderId="106" xfId="0" applyBorder="1"/>
    <xf numFmtId="0" fontId="1" fillId="0" borderId="59" xfId="0" applyFont="1" applyBorder="1" applyAlignment="1">
      <alignment horizontal="center" vertical="center"/>
    </xf>
    <xf numFmtId="0" fontId="1" fillId="0" borderId="61" xfId="0" applyFont="1" applyBorder="1" applyAlignment="1">
      <alignment horizontal="right" vertical="center"/>
    </xf>
    <xf numFmtId="0" fontId="1" fillId="0" borderId="59" xfId="0" applyFont="1" applyBorder="1" applyAlignment="1">
      <alignment horizontal="right" vertical="center"/>
    </xf>
    <xf numFmtId="208" fontId="1" fillId="0" borderId="11" xfId="0" applyNumberFormat="1" applyFont="1" applyBorder="1"/>
    <xf numFmtId="197" fontId="1" fillId="0" borderId="7" xfId="0" applyNumberFormat="1" applyFont="1" applyBorder="1"/>
    <xf numFmtId="177" fontId="0" fillId="0" borderId="123" xfId="0" applyNumberFormat="1" applyBorder="1"/>
    <xf numFmtId="197" fontId="0" fillId="0" borderId="7" xfId="0" applyNumberFormat="1" applyBorder="1"/>
    <xf numFmtId="209" fontId="0" fillId="0" borderId="0" xfId="0" applyNumberFormat="1"/>
    <xf numFmtId="177" fontId="0" fillId="0" borderId="32" xfId="0" applyNumberFormat="1" applyBorder="1"/>
    <xf numFmtId="177" fontId="1" fillId="0" borderId="77" xfId="2" applyNumberFormat="1" applyFont="1" applyBorder="1" applyAlignment="1" applyProtection="1">
      <alignment horizontal="center"/>
    </xf>
    <xf numFmtId="208" fontId="1" fillId="0" borderId="0" xfId="0" applyNumberFormat="1" applyFont="1"/>
    <xf numFmtId="197" fontId="1" fillId="0" borderId="0" xfId="0" applyNumberFormat="1" applyFont="1"/>
    <xf numFmtId="197" fontId="0" fillId="0" borderId="0" xfId="0" applyNumberFormat="1"/>
    <xf numFmtId="197" fontId="21" fillId="26" borderId="116" xfId="0" applyNumberFormat="1" applyFont="1" applyFill="1" applyBorder="1" applyAlignment="1">
      <alignment horizontal="right"/>
    </xf>
    <xf numFmtId="0" fontId="1" fillId="0" borderId="126" xfId="0" applyFont="1" applyBorder="1"/>
    <xf numFmtId="0" fontId="21" fillId="26" borderId="88" xfId="0" applyFont="1" applyFill="1" applyBorder="1"/>
    <xf numFmtId="177" fontId="21" fillId="26" borderId="93" xfId="2" applyNumberFormat="1" applyFont="1" applyFill="1" applyBorder="1" applyAlignment="1" applyProtection="1">
      <alignment horizontal="center"/>
    </xf>
    <xf numFmtId="197" fontId="1" fillId="6" borderId="1" xfId="0" applyNumberFormat="1" applyFont="1" applyFill="1" applyBorder="1" applyAlignment="1">
      <alignment horizontal="right"/>
    </xf>
    <xf numFmtId="197" fontId="1" fillId="6" borderId="60" xfId="0" applyNumberFormat="1" applyFont="1" applyFill="1" applyBorder="1" applyAlignment="1">
      <alignment horizontal="right"/>
    </xf>
    <xf numFmtId="191" fontId="4" fillId="3" borderId="40" xfId="0" applyNumberFormat="1" applyFont="1" applyFill="1" applyBorder="1" applyProtection="1">
      <protection locked="0"/>
    </xf>
    <xf numFmtId="191" fontId="8" fillId="3" borderId="45" xfId="0" applyNumberFormat="1" applyFont="1" applyFill="1" applyBorder="1" applyProtection="1">
      <protection locked="0"/>
    </xf>
    <xf numFmtId="0" fontId="8" fillId="0" borderId="66" xfId="1" applyNumberFormat="1" applyFont="1" applyBorder="1" applyAlignment="1" applyProtection="1">
      <alignment horizontal="center"/>
      <protection locked="0"/>
    </xf>
    <xf numFmtId="1" fontId="0" fillId="0" borderId="0" xfId="0" applyNumberFormat="1" applyAlignment="1">
      <alignment horizontal="center"/>
    </xf>
    <xf numFmtId="191" fontId="4" fillId="3" borderId="2" xfId="0" applyNumberFormat="1" applyFont="1" applyFill="1" applyBorder="1" applyProtection="1">
      <protection locked="0"/>
    </xf>
    <xf numFmtId="191" fontId="8" fillId="3" borderId="89" xfId="0" applyNumberFormat="1" applyFont="1" applyFill="1" applyBorder="1" applyProtection="1">
      <protection locked="0"/>
    </xf>
    <xf numFmtId="0" fontId="8" fillId="0" borderId="89" xfId="1" applyNumberFormat="1" applyFont="1" applyBorder="1" applyAlignment="1" applyProtection="1">
      <alignment horizontal="center"/>
      <protection locked="0"/>
    </xf>
    <xf numFmtId="191" fontId="4" fillId="3" borderId="41" xfId="0" applyNumberFormat="1" applyFont="1" applyFill="1" applyBorder="1" applyProtection="1">
      <protection locked="0"/>
    </xf>
    <xf numFmtId="191" fontId="8" fillId="3" borderId="66" xfId="0" applyNumberFormat="1" applyFont="1" applyFill="1" applyBorder="1" applyProtection="1">
      <protection locked="0"/>
    </xf>
    <xf numFmtId="0" fontId="5" fillId="0" borderId="69" xfId="1" applyNumberFormat="1" applyFont="1" applyBorder="1" applyAlignment="1" applyProtection="1">
      <alignment horizontal="center"/>
      <protection locked="0"/>
    </xf>
    <xf numFmtId="0" fontId="5" fillId="0" borderId="107" xfId="0" applyFont="1" applyBorder="1" applyAlignment="1" applyProtection="1">
      <alignment horizontal="center"/>
      <protection locked="0"/>
    </xf>
    <xf numFmtId="0" fontId="5" fillId="0" borderId="65" xfId="0" applyFont="1" applyBorder="1" applyAlignment="1" applyProtection="1">
      <alignment horizontal="center"/>
      <protection locked="0"/>
    </xf>
    <xf numFmtId="207" fontId="5" fillId="0" borderId="68" xfId="0" applyNumberFormat="1" applyFont="1" applyBorder="1" applyAlignment="1">
      <alignment horizontal="center"/>
    </xf>
    <xf numFmtId="0" fontId="3" fillId="0" borderId="66" xfId="0" applyFont="1" applyBorder="1"/>
    <xf numFmtId="0" fontId="5" fillId="12" borderId="1" xfId="0" applyFont="1" applyFill="1" applyBorder="1" applyAlignment="1" applyProtection="1">
      <alignment horizontal="center"/>
      <protection locked="0"/>
    </xf>
    <xf numFmtId="197" fontId="21" fillId="26" borderId="60" xfId="0" applyNumberFormat="1" applyFont="1" applyFill="1" applyBorder="1" applyAlignment="1">
      <alignment horizontal="right"/>
    </xf>
    <xf numFmtId="0" fontId="21" fillId="26" borderId="86" xfId="0" applyFont="1" applyFill="1" applyBorder="1"/>
    <xf numFmtId="0" fontId="21" fillId="26" borderId="39" xfId="0" applyFont="1" applyFill="1" applyBorder="1"/>
    <xf numFmtId="177" fontId="21" fillId="26" borderId="61" xfId="2" applyNumberFormat="1" applyFont="1" applyFill="1" applyBorder="1" applyAlignment="1" applyProtection="1">
      <alignment horizontal="center"/>
    </xf>
    <xf numFmtId="15" fontId="3" fillId="0" borderId="9" xfId="0" applyNumberFormat="1" applyFont="1" applyBorder="1" applyAlignment="1">
      <alignment horizontal="center"/>
    </xf>
    <xf numFmtId="0" fontId="5" fillId="14" borderId="113" xfId="0" applyFont="1" applyFill="1" applyBorder="1" applyAlignment="1" applyProtection="1">
      <alignment horizontal="left"/>
      <protection locked="0"/>
    </xf>
    <xf numFmtId="0" fontId="5" fillId="14" borderId="109" xfId="0" applyFont="1" applyFill="1" applyBorder="1" applyAlignment="1" applyProtection="1">
      <alignment horizontal="left"/>
      <protection locked="0"/>
    </xf>
    <xf numFmtId="14" fontId="5" fillId="14" borderId="109" xfId="0" applyNumberFormat="1" applyFont="1" applyFill="1" applyBorder="1" applyAlignment="1" applyProtection="1">
      <alignment horizontal="center"/>
      <protection locked="0"/>
    </xf>
    <xf numFmtId="0" fontId="5" fillId="14" borderId="31" xfId="0" applyFont="1" applyFill="1" applyBorder="1" applyAlignment="1" applyProtection="1">
      <alignment horizontal="left"/>
      <protection locked="0"/>
    </xf>
    <xf numFmtId="0" fontId="5" fillId="14" borderId="1" xfId="0" applyFont="1" applyFill="1" applyBorder="1" applyAlignment="1" applyProtection="1">
      <alignment horizontal="left"/>
      <protection locked="0"/>
    </xf>
    <xf numFmtId="14" fontId="5" fillId="14" borderId="1" xfId="0" applyNumberFormat="1" applyFont="1" applyFill="1" applyBorder="1" applyAlignment="1" applyProtection="1">
      <alignment horizontal="center"/>
      <protection locked="0"/>
    </xf>
    <xf numFmtId="0" fontId="5" fillId="3" borderId="31" xfId="0" applyFont="1" applyFill="1" applyBorder="1" applyAlignment="1" applyProtection="1">
      <alignment horizontal="left"/>
      <protection locked="0"/>
    </xf>
    <xf numFmtId="0" fontId="5" fillId="3" borderId="1" xfId="0" applyFont="1" applyFill="1" applyBorder="1" applyAlignment="1" applyProtection="1">
      <alignment horizontal="left"/>
      <protection locked="0"/>
    </xf>
    <xf numFmtId="14" fontId="5" fillId="3" borderId="1" xfId="0" applyNumberFormat="1" applyFont="1" applyFill="1" applyBorder="1" applyAlignment="1">
      <alignment horizontal="center"/>
    </xf>
    <xf numFmtId="0" fontId="5" fillId="3" borderId="32" xfId="0" applyFont="1" applyFill="1" applyBorder="1" applyAlignment="1">
      <alignment horizontal="center"/>
    </xf>
    <xf numFmtId="0" fontId="5" fillId="3" borderId="71" xfId="0" applyFont="1" applyFill="1" applyBorder="1" applyAlignment="1" applyProtection="1">
      <alignment horizontal="left"/>
      <protection locked="0"/>
    </xf>
    <xf numFmtId="0" fontId="5" fillId="3" borderId="72" xfId="0" applyFont="1" applyFill="1" applyBorder="1" applyAlignment="1" applyProtection="1">
      <alignment horizontal="left"/>
      <protection locked="0"/>
    </xf>
    <xf numFmtId="14" fontId="5" fillId="3" borderId="72" xfId="0" applyNumberFormat="1" applyFont="1" applyFill="1" applyBorder="1" applyAlignment="1" applyProtection="1">
      <alignment horizontal="center"/>
      <protection locked="0"/>
    </xf>
    <xf numFmtId="14" fontId="5" fillId="3" borderId="72" xfId="0" applyNumberFormat="1" applyFont="1" applyFill="1" applyBorder="1" applyAlignment="1">
      <alignment horizontal="center"/>
    </xf>
    <xf numFmtId="0" fontId="5" fillId="3" borderId="73" xfId="0" applyFont="1" applyFill="1" applyBorder="1" applyAlignment="1">
      <alignment horizontal="center"/>
    </xf>
    <xf numFmtId="0" fontId="5" fillId="3" borderId="17" xfId="0" applyFont="1" applyFill="1" applyBorder="1"/>
    <xf numFmtId="0" fontId="3" fillId="3" borderId="17" xfId="0" applyFont="1" applyFill="1" applyBorder="1" applyAlignment="1">
      <alignment horizontal="center"/>
    </xf>
    <xf numFmtId="0" fontId="3" fillId="3" borderId="10" xfId="0" applyFont="1" applyFill="1" applyBorder="1" applyAlignment="1">
      <alignment horizontal="center" wrapText="1"/>
    </xf>
    <xf numFmtId="0" fontId="3" fillId="3" borderId="9" xfId="0" applyFont="1" applyFill="1" applyBorder="1" applyAlignment="1">
      <alignment horizontal="left"/>
    </xf>
    <xf numFmtId="0" fontId="3" fillId="3" borderId="0" xfId="0" applyFont="1" applyFill="1" applyAlignment="1">
      <alignment horizontal="center"/>
    </xf>
    <xf numFmtId="0" fontId="3" fillId="3" borderId="45" xfId="0" applyFont="1" applyFill="1" applyBorder="1" applyAlignment="1">
      <alignment horizontal="center"/>
    </xf>
    <xf numFmtId="0" fontId="3" fillId="3" borderId="37" xfId="0" applyFont="1" applyFill="1" applyBorder="1" applyAlignment="1">
      <alignment horizontal="left"/>
    </xf>
    <xf numFmtId="0" fontId="3" fillId="3" borderId="16" xfId="0" applyFont="1" applyFill="1" applyBorder="1" applyAlignment="1">
      <alignment horizontal="left"/>
    </xf>
    <xf numFmtId="0" fontId="3" fillId="15" borderId="3" xfId="0" applyFont="1" applyFill="1" applyBorder="1" applyAlignment="1" applyProtection="1">
      <alignment horizontal="center" vertical="center"/>
      <protection locked="0"/>
    </xf>
    <xf numFmtId="0" fontId="10" fillId="9" borderId="22" xfId="0" applyFont="1" applyFill="1" applyBorder="1"/>
    <xf numFmtId="0" fontId="10" fillId="9" borderId="23" xfId="0" applyFont="1" applyFill="1" applyBorder="1"/>
    <xf numFmtId="0" fontId="1" fillId="0" borderId="9" xfId="0" applyFont="1" applyBorder="1" applyAlignment="1">
      <alignment horizontal="center"/>
    </xf>
    <xf numFmtId="0" fontId="0" fillId="9" borderId="17" xfId="0" applyFill="1" applyBorder="1"/>
    <xf numFmtId="0" fontId="3" fillId="3" borderId="63" xfId="0" applyFont="1" applyFill="1" applyBorder="1" applyAlignment="1">
      <alignment horizontal="center" vertical="center" wrapText="1"/>
    </xf>
    <xf numFmtId="0" fontId="5" fillId="3" borderId="59" xfId="0" applyFont="1" applyFill="1" applyBorder="1" applyAlignment="1">
      <alignment horizontal="center" wrapText="1"/>
    </xf>
    <xf numFmtId="0" fontId="0" fillId="9" borderId="90" xfId="0" applyFill="1" applyBorder="1"/>
    <xf numFmtId="0" fontId="0" fillId="9" borderId="92" xfId="0" applyFill="1" applyBorder="1"/>
    <xf numFmtId="0" fontId="0" fillId="9" borderId="121" xfId="0" applyFill="1" applyBorder="1"/>
    <xf numFmtId="0" fontId="0" fillId="9" borderId="4" xfId="0" applyFill="1" applyBorder="1" applyAlignment="1">
      <alignment horizontal="center"/>
    </xf>
    <xf numFmtId="0" fontId="0" fillId="9" borderId="5" xfId="0" applyFill="1" applyBorder="1" applyAlignment="1">
      <alignment horizontal="center"/>
    </xf>
    <xf numFmtId="0" fontId="1" fillId="9" borderId="5" xfId="0" applyFont="1" applyFill="1" applyBorder="1" applyAlignment="1">
      <alignment horizontal="center" wrapText="1"/>
    </xf>
    <xf numFmtId="0" fontId="0" fillId="9" borderId="102" xfId="0" applyFill="1" applyBorder="1" applyAlignment="1">
      <alignment horizontal="center"/>
    </xf>
    <xf numFmtId="0" fontId="1" fillId="0" borderId="69" xfId="0" applyFont="1" applyBorder="1" applyAlignment="1">
      <alignment horizontal="center"/>
    </xf>
    <xf numFmtId="0" fontId="1" fillId="0" borderId="2" xfId="0" applyFont="1" applyBorder="1" applyAlignment="1">
      <alignment horizontal="center"/>
    </xf>
    <xf numFmtId="0" fontId="1" fillId="9" borderId="68" xfId="0" applyFont="1" applyFill="1" applyBorder="1" applyAlignment="1">
      <alignment horizontal="center"/>
    </xf>
    <xf numFmtId="0" fontId="5" fillId="0" borderId="11" xfId="0" applyFont="1" applyBorder="1" applyAlignment="1" applyProtection="1">
      <alignment horizontal="center"/>
      <protection locked="0"/>
    </xf>
    <xf numFmtId="0" fontId="3" fillId="0" borderId="11" xfId="0" applyFont="1" applyBorder="1" applyAlignment="1" applyProtection="1">
      <alignment horizontal="center"/>
      <protection locked="0"/>
    </xf>
    <xf numFmtId="0" fontId="5" fillId="3" borderId="45" xfId="0" applyFont="1" applyFill="1" applyBorder="1" applyProtection="1">
      <protection locked="0"/>
    </xf>
    <xf numFmtId="186" fontId="5" fillId="0" borderId="7" xfId="0" applyNumberFormat="1" applyFont="1" applyBorder="1" applyAlignment="1" applyProtection="1">
      <alignment horizontal="center"/>
      <protection locked="0"/>
    </xf>
    <xf numFmtId="186" fontId="5" fillId="0" borderId="8" xfId="0" applyNumberFormat="1" applyFont="1" applyBorder="1" applyAlignment="1" applyProtection="1">
      <alignment horizontal="center"/>
      <protection locked="0"/>
    </xf>
    <xf numFmtId="186" fontId="5" fillId="3" borderId="45" xfId="0" applyNumberFormat="1" applyFont="1" applyFill="1" applyBorder="1" applyAlignment="1" applyProtection="1">
      <alignment horizontal="center"/>
      <protection locked="0"/>
    </xf>
    <xf numFmtId="191" fontId="5" fillId="6" borderId="0" xfId="0" applyNumberFormat="1" applyFont="1" applyFill="1"/>
    <xf numFmtId="186" fontId="5" fillId="6" borderId="8" xfId="0" applyNumberFormat="1" applyFont="1" applyFill="1" applyBorder="1"/>
    <xf numFmtId="191" fontId="87" fillId="9" borderId="37" xfId="1" applyNumberFormat="1" applyFill="1" applyBorder="1" applyProtection="1"/>
    <xf numFmtId="191" fontId="0" fillId="9" borderId="0" xfId="0" applyNumberFormat="1" applyFill="1"/>
    <xf numFmtId="191" fontId="0" fillId="9" borderId="37" xfId="0" applyNumberFormat="1" applyFill="1" applyBorder="1"/>
    <xf numFmtId="191" fontId="0" fillId="9" borderId="45" xfId="0" applyNumberFormat="1" applyFill="1" applyBorder="1"/>
    <xf numFmtId="177" fontId="87" fillId="9" borderId="7" xfId="2" applyNumberFormat="1" applyFill="1" applyBorder="1" applyProtection="1"/>
    <xf numFmtId="177" fontId="87" fillId="9" borderId="0" xfId="2" applyNumberFormat="1" applyFill="1" applyBorder="1" applyProtection="1"/>
    <xf numFmtId="177" fontId="87" fillId="9" borderId="8" xfId="2" applyNumberFormat="1" applyFill="1" applyBorder="1" applyProtection="1"/>
    <xf numFmtId="177" fontId="87" fillId="9" borderId="45" xfId="2" applyNumberFormat="1" applyFill="1" applyBorder="1" applyProtection="1"/>
    <xf numFmtId="177" fontId="0" fillId="9" borderId="55" xfId="0" applyNumberFormat="1" applyFill="1" applyBorder="1"/>
    <xf numFmtId="186" fontId="0" fillId="9" borderId="8" xfId="0" applyNumberFormat="1" applyFill="1" applyBorder="1"/>
    <xf numFmtId="179" fontId="8" fillId="3" borderId="45" xfId="0" applyNumberFormat="1" applyFont="1" applyFill="1" applyBorder="1" applyProtection="1">
      <protection locked="0"/>
    </xf>
    <xf numFmtId="0" fontId="5" fillId="0" borderId="33" xfId="0" applyFont="1" applyBorder="1" applyAlignment="1" applyProtection="1">
      <alignment horizontal="center"/>
      <protection locked="0"/>
    </xf>
    <xf numFmtId="191" fontId="0" fillId="9" borderId="75" xfId="0" applyNumberFormat="1" applyFill="1" applyBorder="1"/>
    <xf numFmtId="191" fontId="0" fillId="9" borderId="2" xfId="0" applyNumberFormat="1" applyFill="1" applyBorder="1"/>
    <xf numFmtId="191" fontId="0" fillId="9" borderId="89" xfId="0" applyNumberFormat="1" applyFill="1" applyBorder="1"/>
    <xf numFmtId="177" fontId="87" fillId="9" borderId="12" xfId="2" applyNumberFormat="1" applyFill="1" applyBorder="1" applyProtection="1"/>
    <xf numFmtId="177" fontId="87" fillId="9" borderId="6" xfId="2" applyNumberFormat="1" applyFill="1" applyBorder="1" applyProtection="1"/>
    <xf numFmtId="177" fontId="87" fillId="9" borderId="13" xfId="2" applyNumberFormat="1" applyFill="1" applyBorder="1" applyProtection="1"/>
    <xf numFmtId="177" fontId="87" fillId="9" borderId="51" xfId="2" applyNumberFormat="1" applyFill="1" applyBorder="1" applyProtection="1"/>
    <xf numFmtId="0" fontId="3" fillId="0" borderId="9" xfId="0" applyFont="1" applyBorder="1" applyAlignment="1">
      <alignment horizontal="left"/>
    </xf>
    <xf numFmtId="1" fontId="5" fillId="9" borderId="17" xfId="0" applyNumberFormat="1" applyFont="1" applyFill="1" applyBorder="1"/>
    <xf numFmtId="177" fontId="0" fillId="9" borderId="0" xfId="0" applyNumberFormat="1" applyFill="1"/>
    <xf numFmtId="186" fontId="0" fillId="9" borderId="6" xfId="0" applyNumberFormat="1" applyFill="1" applyBorder="1"/>
    <xf numFmtId="0" fontId="5" fillId="9" borderId="12" xfId="0" applyFont="1" applyFill="1" applyBorder="1" applyAlignment="1">
      <alignment horizontal="center"/>
    </xf>
    <xf numFmtId="0" fontId="5" fillId="9" borderId="6" xfId="0" applyFont="1" applyFill="1" applyBorder="1" applyAlignment="1">
      <alignment horizontal="center"/>
    </xf>
    <xf numFmtId="178" fontId="5" fillId="9" borderId="6" xfId="0" applyNumberFormat="1" applyFont="1" applyFill="1" applyBorder="1"/>
    <xf numFmtId="0" fontId="3" fillId="9" borderId="16" xfId="0" applyFont="1" applyFill="1" applyBorder="1" applyAlignment="1" applyProtection="1">
      <alignment horizontal="left"/>
      <protection locked="0"/>
    </xf>
    <xf numFmtId="1" fontId="5" fillId="3" borderId="109" xfId="0" applyNumberFormat="1" applyFont="1" applyFill="1" applyBorder="1" applyAlignment="1">
      <alignment horizontal="center"/>
    </xf>
    <xf numFmtId="10" fontId="5" fillId="3" borderId="114" xfId="3" applyNumberFormat="1" applyFont="1" applyFill="1" applyBorder="1" applyProtection="1"/>
    <xf numFmtId="180" fontId="3" fillId="9" borderId="7" xfId="3" applyNumberFormat="1" applyFont="1" applyFill="1" applyBorder="1" applyAlignment="1" applyProtection="1">
      <alignment horizontal="center"/>
    </xf>
    <xf numFmtId="167" fontId="5" fillId="9" borderId="8" xfId="2" applyFont="1" applyFill="1" applyBorder="1" applyAlignment="1" applyProtection="1">
      <alignment horizontal="center"/>
      <protection locked="0"/>
    </xf>
    <xf numFmtId="9" fontId="5" fillId="3" borderId="7" xfId="3" applyFont="1" applyFill="1" applyBorder="1" applyAlignment="1" applyProtection="1">
      <alignment horizontal="center"/>
      <protection locked="0"/>
    </xf>
    <xf numFmtId="9" fontId="5" fillId="3" borderId="0" xfId="3" applyFont="1" applyFill="1" applyBorder="1" applyAlignment="1" applyProtection="1">
      <alignment horizontal="center"/>
      <protection locked="0"/>
    </xf>
    <xf numFmtId="9" fontId="5" fillId="3" borderId="8" xfId="3" applyFont="1" applyFill="1" applyBorder="1" applyAlignment="1" applyProtection="1">
      <alignment horizontal="center"/>
      <protection locked="0"/>
    </xf>
    <xf numFmtId="167" fontId="65" fillId="0" borderId="6" xfId="2" applyFont="1" applyBorder="1" applyAlignment="1" applyProtection="1">
      <alignment horizontal="center"/>
      <protection locked="0"/>
    </xf>
    <xf numFmtId="180" fontId="3" fillId="34" borderId="21" xfId="3" applyNumberFormat="1" applyFont="1" applyFill="1" applyBorder="1" applyAlignment="1" applyProtection="1">
      <alignment horizontal="center"/>
    </xf>
    <xf numFmtId="177" fontId="5" fillId="34" borderId="22" xfId="2" applyNumberFormat="1" applyFont="1" applyFill="1" applyBorder="1" applyAlignment="1" applyProtection="1">
      <alignment horizontal="center"/>
    </xf>
    <xf numFmtId="167" fontId="5" fillId="34" borderId="22" xfId="2" applyFont="1" applyFill="1" applyBorder="1" applyAlignment="1" applyProtection="1">
      <alignment horizontal="center"/>
      <protection locked="0"/>
    </xf>
    <xf numFmtId="9" fontId="5" fillId="34" borderId="22" xfId="3" applyFont="1" applyFill="1" applyBorder="1" applyAlignment="1" applyProtection="1">
      <alignment horizontal="center"/>
      <protection locked="0"/>
    </xf>
    <xf numFmtId="9" fontId="5" fillId="34" borderId="23" xfId="3" applyFont="1" applyFill="1" applyBorder="1" applyAlignment="1" applyProtection="1">
      <alignment horizontal="center"/>
      <protection locked="0"/>
    </xf>
    <xf numFmtId="0" fontId="3" fillId="0" borderId="12" xfId="0" applyFont="1" applyBorder="1"/>
    <xf numFmtId="177" fontId="3" fillId="0" borderId="6" xfId="0" applyNumberFormat="1" applyFont="1" applyBorder="1" applyAlignment="1">
      <alignment horizontal="center"/>
    </xf>
    <xf numFmtId="0" fontId="5" fillId="0" borderId="13" xfId="0" applyFont="1" applyBorder="1"/>
    <xf numFmtId="0" fontId="3" fillId="14" borderId="12" xfId="0" applyFont="1" applyFill="1" applyBorder="1"/>
    <xf numFmtId="167" fontId="5" fillId="14" borderId="22" xfId="2" applyFont="1" applyFill="1" applyBorder="1" applyAlignment="1" applyProtection="1">
      <alignment horizontal="center"/>
    </xf>
    <xf numFmtId="0" fontId="3" fillId="14" borderId="22" xfId="0" applyFont="1" applyFill="1" applyBorder="1" applyAlignment="1">
      <alignment horizontal="right"/>
    </xf>
    <xf numFmtId="167" fontId="5" fillId="14" borderId="6" xfId="2" applyFont="1" applyFill="1" applyBorder="1" applyAlignment="1" applyProtection="1">
      <alignment horizontal="center"/>
    </xf>
    <xf numFmtId="0" fontId="5" fillId="15" borderId="6" xfId="0" applyFont="1" applyFill="1" applyBorder="1"/>
    <xf numFmtId="0" fontId="5" fillId="15" borderId="13" xfId="0" applyFont="1" applyFill="1" applyBorder="1"/>
    <xf numFmtId="0" fontId="5" fillId="15" borderId="12" xfId="0" applyFont="1" applyFill="1" applyBorder="1" applyAlignment="1">
      <alignment horizontal="center"/>
    </xf>
    <xf numFmtId="0" fontId="5" fillId="15" borderId="13" xfId="0" applyFont="1" applyFill="1" applyBorder="1" applyAlignment="1">
      <alignment horizontal="center"/>
    </xf>
    <xf numFmtId="191" fontId="5" fillId="14" borderId="6" xfId="0" applyNumberFormat="1" applyFont="1" applyFill="1" applyBorder="1" applyAlignment="1">
      <alignment horizontal="center"/>
    </xf>
    <xf numFmtId="191" fontId="5" fillId="14" borderId="51" xfId="0" applyNumberFormat="1" applyFont="1" applyFill="1" applyBorder="1" applyAlignment="1">
      <alignment horizontal="center"/>
    </xf>
    <xf numFmtId="0" fontId="75" fillId="14" borderId="6" xfId="0" applyFont="1" applyFill="1" applyBorder="1" applyAlignment="1">
      <alignment horizontal="center"/>
    </xf>
    <xf numFmtId="177" fontId="65" fillId="3" borderId="0" xfId="2" applyNumberFormat="1" applyFont="1" applyFill="1" applyBorder="1" applyProtection="1">
      <protection locked="0"/>
    </xf>
    <xf numFmtId="0" fontId="65" fillId="3" borderId="0" xfId="0" applyFont="1" applyFill="1" applyProtection="1">
      <protection locked="0"/>
    </xf>
    <xf numFmtId="167" fontId="65" fillId="3" borderId="0" xfId="2" applyFont="1" applyFill="1" applyBorder="1" applyProtection="1">
      <protection locked="0"/>
    </xf>
    <xf numFmtId="177" fontId="65" fillId="3" borderId="0" xfId="2" applyNumberFormat="1" applyFont="1" applyFill="1" applyBorder="1" applyAlignment="1" applyProtection="1">
      <alignment horizontal="center"/>
      <protection locked="0"/>
    </xf>
    <xf numFmtId="191" fontId="65" fillId="3" borderId="0" xfId="1" applyNumberFormat="1" applyFont="1" applyFill="1" applyBorder="1" applyAlignment="1" applyProtection="1">
      <alignment horizontal="center"/>
      <protection locked="0"/>
    </xf>
    <xf numFmtId="0" fontId="5" fillId="9" borderId="56" xfId="0" applyFont="1" applyFill="1" applyBorder="1"/>
    <xf numFmtId="167" fontId="5" fillId="9" borderId="56" xfId="2" applyFont="1" applyFill="1" applyBorder="1" applyProtection="1"/>
    <xf numFmtId="0" fontId="72" fillId="9" borderId="56" xfId="0" applyFont="1" applyFill="1" applyBorder="1"/>
    <xf numFmtId="0" fontId="72" fillId="9" borderId="57" xfId="0" applyFont="1" applyFill="1" applyBorder="1"/>
    <xf numFmtId="210" fontId="5" fillId="3" borderId="0" xfId="0" applyNumberFormat="1" applyFont="1" applyFill="1" applyProtection="1">
      <protection locked="0"/>
    </xf>
    <xf numFmtId="179" fontId="5" fillId="3" borderId="0" xfId="0" applyNumberFormat="1" applyFont="1" applyFill="1" applyProtection="1">
      <protection locked="0"/>
    </xf>
    <xf numFmtId="0" fontId="5" fillId="9" borderId="66" xfId="0" applyFont="1" applyFill="1" applyBorder="1"/>
    <xf numFmtId="186" fontId="5" fillId="3" borderId="0" xfId="0" applyNumberFormat="1" applyFont="1" applyFill="1" applyProtection="1">
      <protection locked="0"/>
    </xf>
    <xf numFmtId="194" fontId="5" fillId="9" borderId="0" xfId="2" applyNumberFormat="1" applyFont="1" applyFill="1" applyBorder="1" applyAlignment="1" applyProtection="1">
      <alignment horizontal="center"/>
    </xf>
    <xf numFmtId="1" fontId="5" fillId="9" borderId="0" xfId="0" applyNumberFormat="1" applyFont="1" applyFill="1" applyAlignment="1">
      <alignment horizontal="center"/>
    </xf>
    <xf numFmtId="167" fontId="5" fillId="3" borderId="0" xfId="0" applyNumberFormat="1" applyFont="1" applyFill="1" applyProtection="1">
      <protection locked="0"/>
    </xf>
    <xf numFmtId="212" fontId="5" fillId="3" borderId="0" xfId="0" applyNumberFormat="1" applyFont="1" applyFill="1" applyProtection="1">
      <protection locked="0"/>
    </xf>
    <xf numFmtId="177" fontId="5" fillId="9" borderId="2" xfId="0" applyNumberFormat="1" applyFont="1" applyFill="1" applyBorder="1" applyAlignment="1">
      <alignment horizontal="center"/>
    </xf>
    <xf numFmtId="0" fontId="0" fillId="9" borderId="89" xfId="0" applyFill="1" applyBorder="1"/>
    <xf numFmtId="0" fontId="5" fillId="0" borderId="70" xfId="0" applyFont="1" applyBorder="1" applyAlignment="1" applyProtection="1">
      <alignment horizontal="center"/>
      <protection locked="0"/>
    </xf>
    <xf numFmtId="0" fontId="5" fillId="0" borderId="47" xfId="0" applyFont="1" applyBorder="1" applyAlignment="1" applyProtection="1">
      <alignment horizontal="center"/>
      <protection locked="0"/>
    </xf>
    <xf numFmtId="0" fontId="5" fillId="0" borderId="125" xfId="0" applyFont="1" applyBorder="1" applyAlignment="1" applyProtection="1">
      <alignment horizontal="center"/>
      <protection locked="0"/>
    </xf>
    <xf numFmtId="0" fontId="5" fillId="0" borderId="53" xfId="0" applyFont="1" applyBorder="1" applyAlignment="1" applyProtection="1">
      <alignment horizontal="center"/>
      <protection locked="0"/>
    </xf>
    <xf numFmtId="1" fontId="65" fillId="0" borderId="7" xfId="0" applyNumberFormat="1" applyFont="1" applyBorder="1"/>
    <xf numFmtId="167" fontId="5" fillId="15" borderId="67" xfId="0" applyNumberFormat="1" applyFont="1" applyFill="1" applyBorder="1" applyProtection="1">
      <protection locked="0"/>
    </xf>
    <xf numFmtId="177" fontId="5" fillId="0" borderId="108" xfId="2" applyNumberFormat="1" applyFont="1" applyBorder="1" applyAlignment="1" applyProtection="1">
      <alignment horizontal="center"/>
    </xf>
    <xf numFmtId="167" fontId="5" fillId="15" borderId="19" xfId="0" applyNumberFormat="1" applyFont="1" applyFill="1" applyBorder="1" applyProtection="1">
      <protection locked="0"/>
    </xf>
    <xf numFmtId="0" fontId="21" fillId="0" borderId="127" xfId="1" applyNumberFormat="1" applyFont="1" applyBorder="1" applyAlignment="1" applyProtection="1">
      <alignment horizontal="center"/>
    </xf>
    <xf numFmtId="0" fontId="3" fillId="6" borderId="22" xfId="0" applyFont="1" applyFill="1" applyBorder="1" applyAlignment="1" applyProtection="1">
      <alignment horizontal="center"/>
      <protection locked="0"/>
    </xf>
    <xf numFmtId="0" fontId="3" fillId="0" borderId="22" xfId="0" applyFont="1" applyBorder="1" applyAlignment="1">
      <alignment horizontal="center"/>
    </xf>
    <xf numFmtId="0" fontId="5" fillId="0" borderId="9" xfId="0" applyFont="1" applyBorder="1" applyProtection="1">
      <protection locked="0"/>
    </xf>
    <xf numFmtId="167" fontId="5" fillId="6" borderId="6" xfId="2" applyFont="1" applyFill="1" applyBorder="1" applyAlignment="1" applyProtection="1">
      <alignment horizontal="center"/>
      <protection locked="0"/>
    </xf>
    <xf numFmtId="0" fontId="3" fillId="0" borderId="39" xfId="0" applyFont="1" applyBorder="1" applyProtection="1">
      <protection locked="0"/>
    </xf>
    <xf numFmtId="177" fontId="5" fillId="15" borderId="109" xfId="0" applyNumberFormat="1" applyFont="1" applyFill="1" applyBorder="1" applyProtection="1">
      <protection locked="0"/>
    </xf>
    <xf numFmtId="169" fontId="5" fillId="0" borderId="9" xfId="0" applyNumberFormat="1" applyFont="1" applyBorder="1" applyProtection="1">
      <protection locked="0"/>
    </xf>
    <xf numFmtId="0" fontId="5" fillId="0" borderId="67" xfId="0" applyFont="1" applyBorder="1" applyProtection="1">
      <protection locked="0"/>
    </xf>
    <xf numFmtId="177" fontId="5" fillId="15" borderId="1" xfId="0" applyNumberFormat="1" applyFont="1" applyFill="1" applyBorder="1" applyProtection="1">
      <protection locked="0"/>
    </xf>
    <xf numFmtId="0" fontId="5" fillId="0" borderId="75" xfId="0" applyFont="1" applyBorder="1" applyProtection="1">
      <protection locked="0"/>
    </xf>
    <xf numFmtId="1" fontId="5" fillId="3" borderId="55" xfId="0" applyNumberFormat="1" applyFont="1" applyFill="1" applyBorder="1" applyProtection="1">
      <protection locked="0"/>
    </xf>
    <xf numFmtId="177" fontId="5" fillId="15" borderId="55" xfId="0" applyNumberFormat="1" applyFont="1" applyFill="1" applyBorder="1" applyProtection="1">
      <protection locked="0"/>
    </xf>
    <xf numFmtId="167" fontId="5" fillId="0" borderId="0" xfId="0" applyNumberFormat="1" applyFont="1" applyAlignment="1">
      <alignment horizontal="center"/>
    </xf>
    <xf numFmtId="177" fontId="5" fillId="15" borderId="72" xfId="0" applyNumberFormat="1" applyFont="1" applyFill="1" applyBorder="1" applyProtection="1">
      <protection locked="0"/>
    </xf>
    <xf numFmtId="191" fontId="5" fillId="0" borderId="39" xfId="0" applyNumberFormat="1" applyFont="1" applyBorder="1"/>
    <xf numFmtId="1" fontId="5" fillId="3" borderId="19" xfId="0" applyNumberFormat="1" applyFont="1" applyFill="1" applyBorder="1" applyProtection="1">
      <protection locked="0"/>
    </xf>
    <xf numFmtId="0" fontId="5" fillId="0" borderId="9" xfId="0" applyFont="1" applyBorder="1" applyAlignment="1" applyProtection="1">
      <alignment horizontal="center"/>
      <protection locked="0"/>
    </xf>
    <xf numFmtId="0" fontId="5" fillId="0" borderId="42" xfId="0" applyFont="1" applyBorder="1" applyAlignment="1" applyProtection="1">
      <alignment horizontal="center"/>
      <protection locked="0"/>
    </xf>
    <xf numFmtId="191" fontId="5" fillId="3" borderId="109" xfId="1" applyNumberFormat="1" applyFont="1" applyFill="1" applyBorder="1" applyAlignment="1" applyProtection="1">
      <alignment horizontal="right"/>
      <protection locked="0"/>
    </xf>
    <xf numFmtId="191" fontId="5" fillId="3" borderId="1" xfId="1" applyNumberFormat="1" applyFont="1" applyFill="1" applyBorder="1" applyAlignment="1" applyProtection="1">
      <alignment horizontal="right"/>
      <protection locked="0"/>
    </xf>
    <xf numFmtId="0" fontId="65" fillId="0" borderId="7" xfId="0" applyFont="1" applyBorder="1" applyAlignment="1" applyProtection="1">
      <alignment horizontal="left"/>
      <protection locked="0"/>
    </xf>
    <xf numFmtId="0" fontId="65" fillId="0" borderId="0" xfId="0" applyFont="1" applyAlignment="1" applyProtection="1">
      <alignment horizontal="center"/>
      <protection locked="0"/>
    </xf>
    <xf numFmtId="0" fontId="65" fillId="0" borderId="45" xfId="0" applyFont="1" applyBorder="1" applyAlignment="1" applyProtection="1">
      <alignment horizontal="center"/>
      <protection locked="0"/>
    </xf>
    <xf numFmtId="214" fontId="5" fillId="3" borderId="1" xfId="2" applyNumberFormat="1" applyFont="1" applyFill="1" applyBorder="1" applyAlignment="1" applyProtection="1">
      <alignment horizontal="right"/>
      <protection locked="0"/>
    </xf>
    <xf numFmtId="167" fontId="5" fillId="0" borderId="0" xfId="2" applyFont="1" applyBorder="1" applyAlignment="1" applyProtection="1">
      <alignment horizontal="center"/>
      <protection locked="0"/>
    </xf>
    <xf numFmtId="177" fontId="5" fillId="15" borderId="1" xfId="1" applyNumberFormat="1" applyFont="1" applyFill="1" applyBorder="1" applyProtection="1">
      <protection locked="0"/>
    </xf>
    <xf numFmtId="167" fontId="5" fillId="0" borderId="0" xfId="2" applyFont="1" applyBorder="1" applyAlignment="1" applyProtection="1">
      <alignment horizontal="left"/>
      <protection locked="0"/>
    </xf>
    <xf numFmtId="177" fontId="5" fillId="35" borderId="13" xfId="2" applyNumberFormat="1" applyFont="1" applyFill="1" applyBorder="1" applyAlignment="1" applyProtection="1">
      <alignment horizontal="center"/>
    </xf>
    <xf numFmtId="1" fontId="5" fillId="3" borderId="19" xfId="2" applyNumberFormat="1" applyFont="1" applyFill="1" applyBorder="1" applyAlignment="1" applyProtection="1">
      <alignment horizontal="right"/>
      <protection locked="0"/>
    </xf>
    <xf numFmtId="167" fontId="5" fillId="0" borderId="6" xfId="2" applyFont="1" applyBorder="1" applyProtection="1">
      <protection locked="0"/>
    </xf>
    <xf numFmtId="177" fontId="5" fillId="15" borderId="19" xfId="1" applyNumberFormat="1" applyFont="1" applyFill="1" applyBorder="1" applyProtection="1">
      <protection locked="0"/>
    </xf>
    <xf numFmtId="177" fontId="5" fillId="26" borderId="19" xfId="1" applyNumberFormat="1" applyFont="1" applyFill="1" applyBorder="1" applyProtection="1">
      <protection locked="0"/>
    </xf>
    <xf numFmtId="177" fontId="87" fillId="35" borderId="80" xfId="2" applyNumberFormat="1" applyFill="1" applyBorder="1" applyAlignment="1" applyProtection="1">
      <alignment horizontal="center"/>
    </xf>
    <xf numFmtId="197" fontId="21" fillId="6" borderId="116" xfId="0" applyNumberFormat="1" applyFont="1" applyFill="1" applyBorder="1" applyAlignment="1">
      <alignment horizontal="right"/>
    </xf>
    <xf numFmtId="0" fontId="21" fillId="0" borderId="126" xfId="0" applyFont="1" applyBorder="1"/>
    <xf numFmtId="0" fontId="21" fillId="0" borderId="88" xfId="0" applyFont="1" applyBorder="1"/>
    <xf numFmtId="177" fontId="21" fillId="0" borderId="93" xfId="2" applyNumberFormat="1" applyFont="1" applyBorder="1" applyAlignment="1" applyProtection="1">
      <alignment horizontal="center"/>
    </xf>
    <xf numFmtId="179" fontId="5" fillId="3" borderId="45" xfId="0" applyNumberFormat="1" applyFont="1" applyFill="1" applyBorder="1" applyProtection="1">
      <protection locked="0"/>
    </xf>
    <xf numFmtId="0" fontId="5" fillId="3" borderId="42" xfId="0" applyFont="1" applyFill="1" applyBorder="1" applyAlignment="1">
      <alignment horizontal="center"/>
    </xf>
    <xf numFmtId="0" fontId="5" fillId="0" borderId="17" xfId="0" applyFont="1" applyBorder="1"/>
    <xf numFmtId="0" fontId="1" fillId="0" borderId="16" xfId="0" applyFont="1" applyBorder="1"/>
    <xf numFmtId="0" fontId="5" fillId="3" borderId="60" xfId="0" applyFont="1" applyFill="1" applyBorder="1" applyAlignment="1">
      <alignment horizontal="center"/>
    </xf>
    <xf numFmtId="0" fontId="5" fillId="3" borderId="61" xfId="0" applyFont="1" applyFill="1" applyBorder="1" applyAlignment="1">
      <alignment horizontal="center"/>
    </xf>
    <xf numFmtId="0" fontId="5" fillId="0" borderId="61" xfId="0" applyFont="1" applyBorder="1" applyAlignment="1">
      <alignment horizontal="center"/>
    </xf>
    <xf numFmtId="0" fontId="0" fillId="0" borderId="52" xfId="0" applyBorder="1"/>
    <xf numFmtId="0" fontId="0" fillId="0" borderId="128" xfId="0" applyBorder="1"/>
    <xf numFmtId="0" fontId="1" fillId="0" borderId="128" xfId="0" applyFont="1" applyBorder="1"/>
    <xf numFmtId="0" fontId="1" fillId="0" borderId="120" xfId="0" applyFont="1" applyBorder="1"/>
    <xf numFmtId="0" fontId="0" fillId="0" borderId="19" xfId="0" applyBorder="1"/>
    <xf numFmtId="0" fontId="0" fillId="0" borderId="6" xfId="0" applyBorder="1" applyAlignment="1">
      <alignment horizontal="center"/>
    </xf>
    <xf numFmtId="0" fontId="5" fillId="3" borderId="15" xfId="0" applyFont="1" applyFill="1" applyBorder="1" applyProtection="1">
      <protection locked="0"/>
    </xf>
    <xf numFmtId="0" fontId="5" fillId="3" borderId="15" xfId="0" applyFont="1" applyFill="1" applyBorder="1" applyAlignment="1" applyProtection="1">
      <alignment horizontal="center"/>
      <protection locked="0"/>
    </xf>
    <xf numFmtId="177" fontId="5" fillId="3" borderId="14" xfId="2" applyNumberFormat="1" applyFont="1" applyFill="1" applyBorder="1" applyAlignment="1" applyProtection="1">
      <alignment horizontal="center"/>
      <protection locked="0"/>
    </xf>
    <xf numFmtId="1" fontId="0" fillId="0" borderId="59" xfId="0" applyNumberFormat="1" applyBorder="1"/>
    <xf numFmtId="186" fontId="0" fillId="0" borderId="39" xfId="0" applyNumberFormat="1" applyBorder="1"/>
    <xf numFmtId="1" fontId="0" fillId="0" borderId="61" xfId="0" applyNumberFormat="1" applyBorder="1"/>
    <xf numFmtId="167" fontId="0" fillId="0" borderId="37" xfId="0" applyNumberFormat="1" applyBorder="1"/>
    <xf numFmtId="186" fontId="5" fillId="9" borderId="9" xfId="0" applyNumberFormat="1" applyFont="1" applyFill="1" applyBorder="1"/>
    <xf numFmtId="177" fontId="5" fillId="9" borderId="9" xfId="2" applyNumberFormat="1" applyFont="1" applyFill="1" applyBorder="1" applyProtection="1"/>
    <xf numFmtId="177" fontId="87" fillId="0" borderId="55" xfId="2" applyNumberFormat="1" applyBorder="1" applyProtection="1"/>
    <xf numFmtId="178" fontId="5" fillId="9" borderId="0" xfId="0" applyNumberFormat="1" applyFont="1" applyFill="1"/>
    <xf numFmtId="177" fontId="72" fillId="9" borderId="6" xfId="0" applyNumberFormat="1" applyFont="1" applyFill="1" applyBorder="1"/>
    <xf numFmtId="167" fontId="5" fillId="14" borderId="8" xfId="0" applyNumberFormat="1" applyFont="1" applyFill="1" applyBorder="1"/>
    <xf numFmtId="177" fontId="72" fillId="14" borderId="6" xfId="0" applyNumberFormat="1" applyFont="1" applyFill="1" applyBorder="1"/>
    <xf numFmtId="177" fontId="5" fillId="3" borderId="0" xfId="2" applyNumberFormat="1" applyFont="1" applyFill="1" applyBorder="1" applyProtection="1"/>
    <xf numFmtId="177" fontId="5" fillId="3" borderId="0" xfId="0" applyNumberFormat="1" applyFont="1" applyFill="1"/>
    <xf numFmtId="0" fontId="5" fillId="9" borderId="10" xfId="0" applyFont="1" applyFill="1" applyBorder="1"/>
    <xf numFmtId="0" fontId="5" fillId="9" borderId="74" xfId="0" applyFont="1" applyFill="1" applyBorder="1" applyAlignment="1">
      <alignment horizontal="right"/>
    </xf>
    <xf numFmtId="215" fontId="5" fillId="9" borderId="41" xfId="0" applyNumberFormat="1" applyFont="1" applyFill="1" applyBorder="1"/>
    <xf numFmtId="216" fontId="5" fillId="9" borderId="66" xfId="0" applyNumberFormat="1" applyFont="1" applyFill="1" applyBorder="1"/>
    <xf numFmtId="0" fontId="5" fillId="9" borderId="37" xfId="0" applyFont="1" applyFill="1" applyBorder="1" applyAlignment="1">
      <alignment horizontal="right"/>
    </xf>
    <xf numFmtId="215" fontId="5" fillId="9" borderId="0" xfId="0" applyNumberFormat="1" applyFont="1" applyFill="1"/>
    <xf numFmtId="213" fontId="5" fillId="9" borderId="45" xfId="0" applyNumberFormat="1" applyFont="1" applyFill="1" applyBorder="1"/>
    <xf numFmtId="0" fontId="5" fillId="9" borderId="75" xfId="0" applyFont="1" applyFill="1" applyBorder="1" applyAlignment="1">
      <alignment horizontal="right"/>
    </xf>
    <xf numFmtId="1" fontId="0" fillId="9" borderId="0" xfId="0" applyNumberFormat="1" applyFill="1"/>
    <xf numFmtId="0" fontId="5" fillId="6" borderId="5" xfId="0" applyFont="1" applyFill="1" applyBorder="1" applyAlignment="1">
      <alignment horizontal="left"/>
    </xf>
    <xf numFmtId="0" fontId="5" fillId="6" borderId="102" xfId="0" applyFont="1" applyFill="1" applyBorder="1" applyAlignment="1">
      <alignment horizontal="left"/>
    </xf>
    <xf numFmtId="1" fontId="65" fillId="0" borderId="7" xfId="0" applyNumberFormat="1" applyFont="1" applyBorder="1" applyAlignment="1">
      <alignment horizontal="center"/>
    </xf>
    <xf numFmtId="0" fontId="5" fillId="0" borderId="78" xfId="0" applyFont="1" applyBorder="1" applyAlignment="1">
      <alignment horizontal="right"/>
    </xf>
    <xf numFmtId="0" fontId="3" fillId="6" borderId="23" xfId="0" applyFont="1" applyFill="1" applyBorder="1" applyAlignment="1">
      <alignment horizontal="center"/>
    </xf>
    <xf numFmtId="0" fontId="5" fillId="15" borderId="55" xfId="0" applyFont="1" applyFill="1" applyBorder="1" applyProtection="1">
      <protection locked="0"/>
    </xf>
    <xf numFmtId="0" fontId="5" fillId="0" borderId="86" xfId="0" applyFont="1" applyBorder="1"/>
    <xf numFmtId="0" fontId="5" fillId="0" borderId="42" xfId="0" applyFont="1" applyBorder="1" applyProtection="1">
      <protection locked="0"/>
    </xf>
    <xf numFmtId="0" fontId="5" fillId="0" borderId="51" xfId="0" applyFont="1" applyBorder="1" applyProtection="1">
      <protection locked="0"/>
    </xf>
    <xf numFmtId="179" fontId="5" fillId="3" borderId="109" xfId="1" applyFont="1" applyFill="1" applyBorder="1" applyAlignment="1" applyProtection="1">
      <alignment horizontal="left"/>
      <protection locked="0"/>
    </xf>
    <xf numFmtId="0" fontId="21" fillId="0" borderId="9" xfId="0" applyFont="1" applyBorder="1"/>
    <xf numFmtId="179" fontId="5" fillId="3" borderId="1" xfId="1" applyFont="1" applyFill="1" applyBorder="1" applyAlignment="1" applyProtection="1">
      <alignment horizontal="center"/>
      <protection locked="0"/>
    </xf>
    <xf numFmtId="179" fontId="5" fillId="3" borderId="55" xfId="1" applyFont="1" applyFill="1" applyBorder="1" applyProtection="1">
      <protection locked="0"/>
    </xf>
    <xf numFmtId="191" fontId="5" fillId="3" borderId="19" xfId="1" applyNumberFormat="1" applyFont="1" applyFill="1" applyBorder="1" applyProtection="1">
      <protection locked="0"/>
    </xf>
    <xf numFmtId="0" fontId="21" fillId="0" borderId="6" xfId="0" applyFont="1" applyBorder="1"/>
    <xf numFmtId="180" fontId="5" fillId="26" borderId="19" xfId="3" applyNumberFormat="1" applyFont="1" applyFill="1" applyBorder="1" applyProtection="1">
      <protection locked="0"/>
    </xf>
    <xf numFmtId="167" fontId="5" fillId="26" borderId="6" xfId="2" applyFont="1" applyFill="1" applyBorder="1" applyProtection="1">
      <protection locked="0"/>
    </xf>
    <xf numFmtId="167" fontId="5" fillId="26" borderId="19" xfId="2" applyFont="1" applyFill="1" applyBorder="1" applyProtection="1">
      <protection locked="0"/>
    </xf>
    <xf numFmtId="0" fontId="5" fillId="27" borderId="6" xfId="0" applyFont="1" applyFill="1" applyBorder="1" applyProtection="1">
      <protection locked="0"/>
    </xf>
    <xf numFmtId="0" fontId="21" fillId="27" borderId="6" xfId="0" applyFont="1" applyFill="1" applyBorder="1"/>
    <xf numFmtId="177" fontId="1" fillId="0" borderId="13" xfId="0" applyNumberFormat="1" applyFont="1" applyBorder="1"/>
    <xf numFmtId="177" fontId="5" fillId="9" borderId="77" xfId="2" applyNumberFormat="1" applyFont="1" applyFill="1" applyBorder="1" applyAlignment="1" applyProtection="1">
      <alignment horizontal="center"/>
    </xf>
    <xf numFmtId="177" fontId="72" fillId="0" borderId="93" xfId="2" applyNumberFormat="1" applyFont="1" applyBorder="1" applyAlignment="1" applyProtection="1">
      <alignment horizontal="center"/>
    </xf>
    <xf numFmtId="0" fontId="3" fillId="3" borderId="16" xfId="0" applyFont="1" applyFill="1" applyBorder="1" applyAlignment="1">
      <alignment horizontal="center" wrapText="1"/>
    </xf>
    <xf numFmtId="0" fontId="0" fillId="9" borderId="16" xfId="0" applyFill="1" applyBorder="1"/>
    <xf numFmtId="0" fontId="0" fillId="9" borderId="46" xfId="0" applyFill="1" applyBorder="1"/>
    <xf numFmtId="0" fontId="0" fillId="9" borderId="56" xfId="0" applyFill="1" applyBorder="1"/>
    <xf numFmtId="0" fontId="1" fillId="9" borderId="46" xfId="0" applyFont="1" applyFill="1" applyBorder="1"/>
    <xf numFmtId="0" fontId="1" fillId="9" borderId="56" xfId="0" applyFont="1" applyFill="1" applyBorder="1"/>
    <xf numFmtId="0" fontId="0" fillId="9" borderId="57" xfId="0" applyFill="1" applyBorder="1"/>
    <xf numFmtId="0" fontId="1" fillId="9" borderId="21" xfId="0" applyFont="1" applyFill="1" applyBorder="1"/>
    <xf numFmtId="0" fontId="0" fillId="9" borderId="22" xfId="0" applyFill="1" applyBorder="1"/>
    <xf numFmtId="0" fontId="1" fillId="9" borderId="22" xfId="0" applyFont="1" applyFill="1" applyBorder="1"/>
    <xf numFmtId="0" fontId="0" fillId="9" borderId="23" xfId="0" applyFill="1" applyBorder="1"/>
    <xf numFmtId="0" fontId="8" fillId="0" borderId="7" xfId="5" applyFont="1" applyBorder="1" applyAlignment="1">
      <alignment horizontal="left"/>
    </xf>
    <xf numFmtId="0" fontId="5" fillId="0" borderId="45" xfId="5" applyFont="1" applyBorder="1" applyAlignment="1">
      <alignment horizontal="center"/>
    </xf>
    <xf numFmtId="191" fontId="4" fillId="3" borderId="0" xfId="5" applyNumberFormat="1" applyFont="1" applyFill="1" applyAlignment="1">
      <alignment horizontal="center"/>
    </xf>
    <xf numFmtId="3" fontId="5" fillId="3" borderId="65" xfId="5" applyNumberFormat="1" applyFont="1" applyFill="1" applyBorder="1" applyAlignment="1">
      <alignment horizontal="right"/>
    </xf>
    <xf numFmtId="167" fontId="5" fillId="0" borderId="107" xfId="2" applyFont="1" applyBorder="1" applyAlignment="1" applyProtection="1">
      <alignment horizontal="center"/>
    </xf>
    <xf numFmtId="0" fontId="5" fillId="0" borderId="65" xfId="5" applyFont="1" applyBorder="1" applyAlignment="1">
      <alignment horizontal="center"/>
    </xf>
    <xf numFmtId="1" fontId="8" fillId="0" borderId="107" xfId="5" applyNumberFormat="1" applyFont="1" applyBorder="1"/>
    <xf numFmtId="191" fontId="8" fillId="0" borderId="45" xfId="1" applyNumberFormat="1" applyFont="1" applyBorder="1" applyAlignment="1" applyProtection="1">
      <alignment horizontal="center"/>
    </xf>
    <xf numFmtId="0" fontId="5" fillId="3" borderId="67" xfId="5" applyFont="1" applyFill="1" applyBorder="1" applyAlignment="1">
      <alignment horizontal="center"/>
    </xf>
    <xf numFmtId="186" fontId="5" fillId="0" borderId="45" xfId="5" applyNumberFormat="1" applyFont="1" applyBorder="1" applyAlignment="1">
      <alignment horizontal="center"/>
    </xf>
    <xf numFmtId="0" fontId="5" fillId="0" borderId="64" xfId="5" applyFont="1" applyBorder="1" applyAlignment="1">
      <alignment horizontal="center"/>
    </xf>
    <xf numFmtId="0" fontId="5" fillId="0" borderId="40" xfId="5" applyFont="1" applyBorder="1" applyAlignment="1">
      <alignment horizontal="center"/>
    </xf>
    <xf numFmtId="186" fontId="5" fillId="6" borderId="37" xfId="0" applyNumberFormat="1" applyFont="1" applyFill="1" applyBorder="1" applyAlignment="1">
      <alignment horizontal="center"/>
    </xf>
    <xf numFmtId="186" fontId="5" fillId="6" borderId="37" xfId="0" applyNumberFormat="1" applyFont="1" applyFill="1" applyBorder="1" applyAlignment="1" applyProtection="1">
      <alignment horizontal="center"/>
      <protection locked="0"/>
    </xf>
    <xf numFmtId="167" fontId="5" fillId="15" borderId="65" xfId="2" applyFont="1" applyFill="1" applyBorder="1" applyProtection="1"/>
    <xf numFmtId="0" fontId="0" fillId="9" borderId="37" xfId="0" applyFill="1" applyBorder="1"/>
    <xf numFmtId="0" fontId="0" fillId="9" borderId="74" xfId="0" applyFill="1" applyBorder="1"/>
    <xf numFmtId="0" fontId="0" fillId="9" borderId="41" xfId="0" applyFill="1" applyBorder="1"/>
    <xf numFmtId="0" fontId="0" fillId="9" borderId="66" xfId="0" applyFill="1" applyBorder="1"/>
    <xf numFmtId="177" fontId="0" fillId="9" borderId="11" xfId="0" applyNumberFormat="1" applyFill="1" applyBorder="1"/>
    <xf numFmtId="177" fontId="87" fillId="9" borderId="37" xfId="2" applyNumberFormat="1" applyFill="1" applyBorder="1" applyProtection="1"/>
    <xf numFmtId="186" fontId="0" fillId="9" borderId="0" xfId="0" applyNumberFormat="1" applyFill="1"/>
    <xf numFmtId="3" fontId="0" fillId="9" borderId="0" xfId="0" applyNumberFormat="1" applyFill="1"/>
    <xf numFmtId="191" fontId="4" fillId="3" borderId="45" xfId="1" applyNumberFormat="1" applyFont="1" applyFill="1" applyBorder="1" applyAlignment="1" applyProtection="1">
      <alignment horizontal="center"/>
    </xf>
    <xf numFmtId="0" fontId="4" fillId="0" borderId="45" xfId="5" applyFont="1" applyBorder="1" applyAlignment="1">
      <alignment horizontal="center"/>
    </xf>
    <xf numFmtId="167" fontId="4" fillId="0" borderId="37" xfId="2" applyFont="1" applyBorder="1" applyAlignment="1" applyProtection="1">
      <alignment horizontal="center"/>
    </xf>
    <xf numFmtId="0" fontId="4" fillId="0" borderId="37" xfId="5" applyFont="1" applyBorder="1"/>
    <xf numFmtId="191" fontId="4" fillId="0" borderId="45" xfId="1" applyNumberFormat="1" applyFont="1" applyBorder="1" applyAlignment="1" applyProtection="1">
      <alignment horizontal="center"/>
    </xf>
    <xf numFmtId="0" fontId="5" fillId="3" borderId="1" xfId="5" applyFont="1" applyFill="1" applyBorder="1" applyAlignment="1">
      <alignment horizontal="center"/>
    </xf>
    <xf numFmtId="186" fontId="4" fillId="0" borderId="45" xfId="5" applyNumberFormat="1" applyFont="1" applyBorder="1" applyAlignment="1">
      <alignment horizontal="center"/>
    </xf>
    <xf numFmtId="0" fontId="4" fillId="0" borderId="15" xfId="5" applyFont="1" applyBorder="1" applyAlignment="1">
      <alignment horizontal="center"/>
    </xf>
    <xf numFmtId="0" fontId="5" fillId="0" borderId="0" xfId="5" applyFont="1" applyAlignment="1">
      <alignment horizontal="center"/>
    </xf>
    <xf numFmtId="167" fontId="5" fillId="15" borderId="45" xfId="2" applyFont="1" applyFill="1" applyBorder="1" applyProtection="1"/>
    <xf numFmtId="0" fontId="0" fillId="9" borderId="45" xfId="0" applyFill="1" applyBorder="1"/>
    <xf numFmtId="1" fontId="4" fillId="0" borderId="37" xfId="5" applyNumberFormat="1" applyFont="1" applyBorder="1"/>
    <xf numFmtId="0" fontId="4" fillId="3" borderId="1" xfId="5" applyFont="1" applyFill="1" applyBorder="1" applyAlignment="1">
      <alignment horizontal="center"/>
    </xf>
    <xf numFmtId="0" fontId="65" fillId="0" borderId="0" xfId="5" applyFont="1" applyAlignment="1">
      <alignment horizontal="center"/>
    </xf>
    <xf numFmtId="0" fontId="65" fillId="0" borderId="45" xfId="5" applyFont="1" applyBorder="1" applyAlignment="1">
      <alignment horizontal="center"/>
    </xf>
    <xf numFmtId="191" fontId="4" fillId="3" borderId="37" xfId="1" applyNumberFormat="1" applyFont="1" applyFill="1" applyBorder="1" applyAlignment="1" applyProtection="1">
      <alignment horizontal="center"/>
    </xf>
    <xf numFmtId="0" fontId="4" fillId="0" borderId="45" xfId="0" applyFont="1" applyBorder="1" applyAlignment="1">
      <alignment horizontal="center"/>
    </xf>
    <xf numFmtId="0" fontId="4" fillId="0" borderId="37" xfId="0" applyFont="1" applyBorder="1"/>
    <xf numFmtId="0" fontId="4" fillId="3" borderId="1" xfId="0" applyFont="1" applyFill="1" applyBorder="1" applyAlignment="1">
      <alignment horizontal="center"/>
    </xf>
    <xf numFmtId="186" fontId="4" fillId="0" borderId="45" xfId="0" applyNumberFormat="1" applyFont="1" applyBorder="1" applyAlignment="1">
      <alignment horizontal="center"/>
    </xf>
    <xf numFmtId="0" fontId="4" fillId="0" borderId="15" xfId="0" applyFont="1" applyBorder="1" applyAlignment="1">
      <alignment horizontal="center"/>
    </xf>
    <xf numFmtId="191" fontId="4" fillId="3" borderId="0" xfId="1" applyNumberFormat="1" applyFont="1" applyFill="1" applyBorder="1" applyAlignment="1" applyProtection="1">
      <alignment horizontal="center"/>
    </xf>
    <xf numFmtId="0" fontId="4" fillId="3" borderId="67" xfId="5" applyFont="1" applyFill="1" applyBorder="1" applyAlignment="1">
      <alignment horizontal="center"/>
    </xf>
    <xf numFmtId="0" fontId="4" fillId="0" borderId="0" xfId="5" applyFont="1" applyAlignment="1">
      <alignment horizontal="center"/>
    </xf>
    <xf numFmtId="179" fontId="8" fillId="0" borderId="7" xfId="5" applyNumberFormat="1" applyFont="1" applyBorder="1" applyAlignment="1">
      <alignment horizontal="left"/>
    </xf>
    <xf numFmtId="179" fontId="0" fillId="9" borderId="0" xfId="0" applyNumberFormat="1" applyFill="1"/>
    <xf numFmtId="191" fontId="4" fillId="3" borderId="6" xfId="1" applyNumberFormat="1" applyFont="1" applyFill="1" applyBorder="1" applyAlignment="1" applyProtection="1">
      <alignment horizontal="center"/>
    </xf>
    <xf numFmtId="191" fontId="4" fillId="3" borderId="51" xfId="1" applyNumberFormat="1" applyFont="1" applyFill="1" applyBorder="1" applyAlignment="1" applyProtection="1">
      <alignment horizontal="center"/>
    </xf>
    <xf numFmtId="0" fontId="4" fillId="0" borderId="51" xfId="0" applyFont="1" applyBorder="1" applyAlignment="1">
      <alignment horizontal="center"/>
    </xf>
    <xf numFmtId="167" fontId="4" fillId="0" borderId="38" xfId="2" applyFont="1" applyBorder="1" applyAlignment="1" applyProtection="1">
      <alignment horizontal="center"/>
    </xf>
    <xf numFmtId="0" fontId="4" fillId="0" borderId="38" xfId="0" applyFont="1" applyBorder="1"/>
    <xf numFmtId="191" fontId="4" fillId="0" borderId="51" xfId="1" applyNumberFormat="1" applyFont="1" applyBorder="1" applyAlignment="1" applyProtection="1">
      <alignment horizontal="center"/>
    </xf>
    <xf numFmtId="0" fontId="4" fillId="3" borderId="72" xfId="0" applyFont="1" applyFill="1" applyBorder="1" applyAlignment="1">
      <alignment horizontal="center"/>
    </xf>
    <xf numFmtId="186" fontId="4" fillId="0" borderId="51" xfId="0" applyNumberFormat="1" applyFont="1" applyBorder="1" applyAlignment="1">
      <alignment horizontal="center"/>
    </xf>
    <xf numFmtId="0" fontId="4" fillId="0" borderId="19" xfId="0" applyFont="1" applyBorder="1" applyAlignment="1">
      <alignment horizontal="center"/>
    </xf>
    <xf numFmtId="0" fontId="4" fillId="0" borderId="6" xfId="0" applyFont="1" applyBorder="1" applyAlignment="1">
      <alignment horizontal="center"/>
    </xf>
    <xf numFmtId="0" fontId="5" fillId="0" borderId="19" xfId="0" applyFont="1" applyBorder="1" applyAlignment="1">
      <alignment horizontal="center"/>
    </xf>
    <xf numFmtId="186" fontId="5" fillId="6" borderId="19" xfId="0" applyNumberFormat="1" applyFont="1" applyFill="1" applyBorder="1" applyAlignment="1">
      <alignment horizontal="center"/>
    </xf>
    <xf numFmtId="186" fontId="5" fillId="6" borderId="38" xfId="0" applyNumberFormat="1" applyFont="1" applyFill="1" applyBorder="1" applyAlignment="1" applyProtection="1">
      <alignment horizontal="center"/>
      <protection locked="0"/>
    </xf>
    <xf numFmtId="191" fontId="5" fillId="6" borderId="6" xfId="1" applyNumberFormat="1" applyFont="1" applyFill="1" applyBorder="1" applyProtection="1">
      <protection locked="0"/>
    </xf>
    <xf numFmtId="167" fontId="5" fillId="15" borderId="51" xfId="2" applyFont="1" applyFill="1" applyBorder="1" applyProtection="1"/>
    <xf numFmtId="0" fontId="0" fillId="9" borderId="75" xfId="0" applyFill="1" applyBorder="1"/>
    <xf numFmtId="177" fontId="0" fillId="9" borderId="33" xfId="0" applyNumberFormat="1" applyFill="1" applyBorder="1"/>
    <xf numFmtId="179" fontId="5" fillId="0" borderId="0" xfId="0" applyNumberFormat="1" applyFont="1"/>
    <xf numFmtId="186" fontId="5" fillId="0" borderId="0" xfId="0" applyNumberFormat="1" applyFont="1"/>
    <xf numFmtId="217" fontId="5" fillId="0" borderId="0" xfId="0" applyNumberFormat="1" applyFont="1"/>
    <xf numFmtId="0" fontId="3" fillId="0" borderId="22" xfId="0" applyFont="1" applyBorder="1" applyAlignment="1">
      <alignment horizontal="left"/>
    </xf>
    <xf numFmtId="0" fontId="3" fillId="0" borderId="22" xfId="0" applyFont="1" applyBorder="1"/>
    <xf numFmtId="191" fontId="3" fillId="0" borderId="23" xfId="0" applyNumberFormat="1" applyFont="1" applyBorder="1"/>
    <xf numFmtId="177" fontId="5" fillId="0" borderId="8" xfId="0" applyNumberFormat="1" applyFont="1" applyBorder="1"/>
    <xf numFmtId="177" fontId="0" fillId="9" borderId="7" xfId="0" applyNumberFormat="1" applyFill="1" applyBorder="1"/>
    <xf numFmtId="177" fontId="87" fillId="9" borderId="16" xfId="2" applyNumberFormat="1" applyFill="1" applyBorder="1" applyProtection="1"/>
    <xf numFmtId="177" fontId="87" fillId="9" borderId="9" xfId="2" applyNumberFormat="1" applyFill="1" applyBorder="1" applyProtection="1"/>
    <xf numFmtId="177" fontId="87" fillId="9" borderId="17" xfId="2" applyNumberFormat="1" applyFill="1" applyBorder="1" applyProtection="1"/>
    <xf numFmtId="177" fontId="0" fillId="9" borderId="112" xfId="0" applyNumberFormat="1" applyFill="1" applyBorder="1"/>
    <xf numFmtId="0" fontId="0" fillId="9" borderId="112" xfId="0" applyFill="1" applyBorder="1"/>
    <xf numFmtId="0" fontId="0" fillId="9" borderId="130" xfId="0" applyFill="1" applyBorder="1"/>
    <xf numFmtId="177" fontId="0" fillId="9" borderId="12" xfId="0" applyNumberFormat="1" applyFill="1" applyBorder="1"/>
    <xf numFmtId="177" fontId="0" fillId="9" borderId="6" xfId="0" applyNumberFormat="1" applyFill="1" applyBorder="1"/>
    <xf numFmtId="0" fontId="0" fillId="9" borderId="13" xfId="0" applyFill="1" applyBorder="1"/>
    <xf numFmtId="177" fontId="5" fillId="14" borderId="9" xfId="0" applyNumberFormat="1" applyFont="1" applyFill="1" applyBorder="1" applyProtection="1">
      <protection locked="0"/>
    </xf>
    <xf numFmtId="1" fontId="5" fillId="3" borderId="1" xfId="0" applyNumberFormat="1" applyFont="1" applyFill="1" applyBorder="1" applyAlignment="1">
      <alignment horizontal="center"/>
    </xf>
    <xf numFmtId="10" fontId="5" fillId="3" borderId="32" xfId="3" applyNumberFormat="1" applyFont="1" applyFill="1" applyBorder="1" applyProtection="1"/>
    <xf numFmtId="177" fontId="65" fillId="3" borderId="0" xfId="0" applyNumberFormat="1" applyFont="1" applyFill="1"/>
    <xf numFmtId="191" fontId="5" fillId="3" borderId="0" xfId="1" applyNumberFormat="1" applyFont="1" applyFill="1" applyBorder="1" applyProtection="1"/>
    <xf numFmtId="1" fontId="5" fillId="3" borderId="9" xfId="0" applyNumberFormat="1" applyFont="1" applyFill="1" applyBorder="1"/>
    <xf numFmtId="0" fontId="65" fillId="3" borderId="0" xfId="0" applyFont="1" applyFill="1"/>
    <xf numFmtId="181" fontId="5" fillId="3" borderId="0" xfId="0" applyNumberFormat="1" applyFont="1" applyFill="1"/>
    <xf numFmtId="0" fontId="5" fillId="20" borderId="10" xfId="0" applyFont="1" applyFill="1" applyBorder="1"/>
    <xf numFmtId="3" fontId="5" fillId="3" borderId="0" xfId="0" applyNumberFormat="1" applyFont="1" applyFill="1"/>
    <xf numFmtId="169" fontId="5" fillId="20" borderId="33" xfId="0" applyNumberFormat="1" applyFont="1" applyFill="1" applyBorder="1"/>
    <xf numFmtId="169" fontId="5" fillId="3" borderId="0" xfId="0" applyNumberFormat="1" applyFont="1" applyFill="1"/>
    <xf numFmtId="178" fontId="5" fillId="3" borderId="0" xfId="0" applyNumberFormat="1" applyFont="1" applyFill="1"/>
    <xf numFmtId="167" fontId="5" fillId="15" borderId="67" xfId="2" applyFont="1" applyFill="1" applyBorder="1" applyAlignment="1" applyProtection="1">
      <alignment horizontal="center"/>
    </xf>
    <xf numFmtId="9" fontId="5" fillId="8" borderId="0" xfId="3" applyFont="1" applyFill="1" applyBorder="1" applyProtection="1">
      <protection locked="0"/>
    </xf>
    <xf numFmtId="0" fontId="0" fillId="21" borderId="0" xfId="0" applyFill="1"/>
    <xf numFmtId="0" fontId="5" fillId="0" borderId="53" xfId="0" applyFont="1" applyBorder="1" applyAlignment="1">
      <alignment horizontal="center"/>
    </xf>
    <xf numFmtId="167" fontId="5" fillId="15" borderId="91" xfId="2" applyFont="1" applyFill="1" applyBorder="1" applyAlignment="1" applyProtection="1">
      <alignment horizontal="center"/>
    </xf>
    <xf numFmtId="1" fontId="5" fillId="0" borderId="0" xfId="5" applyNumberFormat="1" applyFont="1" applyProtection="1">
      <protection locked="0"/>
    </xf>
    <xf numFmtId="167" fontId="5" fillId="15" borderId="1" xfId="2" applyFont="1" applyFill="1" applyBorder="1" applyAlignment="1" applyProtection="1">
      <alignment horizontal="center"/>
    </xf>
    <xf numFmtId="9" fontId="5" fillId="3" borderId="55" xfId="3" applyFont="1" applyFill="1" applyBorder="1" applyProtection="1"/>
    <xf numFmtId="1" fontId="5" fillId="0" borderId="39" xfId="1" applyNumberFormat="1" applyFont="1" applyBorder="1" applyAlignment="1" applyProtection="1">
      <alignment horizontal="center"/>
    </xf>
    <xf numFmtId="167" fontId="5" fillId="15" borderId="81" xfId="2" applyFont="1" applyFill="1" applyBorder="1" applyProtection="1"/>
    <xf numFmtId="167" fontId="5" fillId="15" borderId="60" xfId="2" applyFont="1" applyFill="1" applyBorder="1" applyProtection="1"/>
    <xf numFmtId="1" fontId="5" fillId="0" borderId="0" xfId="0" applyNumberFormat="1" applyFont="1" applyAlignment="1" applyProtection="1">
      <alignment horizontal="right"/>
      <protection locked="0"/>
    </xf>
    <xf numFmtId="167" fontId="5" fillId="15" borderId="19" xfId="0" applyNumberFormat="1" applyFont="1" applyFill="1" applyBorder="1"/>
    <xf numFmtId="9" fontId="5" fillId="3" borderId="19" xfId="3" applyFont="1" applyFill="1" applyBorder="1" applyProtection="1"/>
    <xf numFmtId="0" fontId="5" fillId="25" borderId="0" xfId="0" applyFont="1" applyFill="1"/>
    <xf numFmtId="0" fontId="3" fillId="6" borderId="9" xfId="0" applyFont="1" applyFill="1" applyBorder="1" applyAlignment="1">
      <alignment horizontal="left"/>
    </xf>
    <xf numFmtId="0" fontId="3" fillId="6" borderId="17" xfId="0" applyFont="1" applyFill="1" applyBorder="1" applyAlignment="1">
      <alignment horizontal="left"/>
    </xf>
    <xf numFmtId="1" fontId="0" fillId="0" borderId="0" xfId="0" applyNumberFormat="1" applyProtection="1">
      <protection locked="0"/>
    </xf>
    <xf numFmtId="167" fontId="0" fillId="0" borderId="0" xfId="0" applyNumberFormat="1" applyProtection="1">
      <protection locked="0"/>
    </xf>
    <xf numFmtId="1" fontId="5" fillId="3" borderId="109" xfId="0" applyNumberFormat="1" applyFont="1" applyFill="1" applyBorder="1"/>
    <xf numFmtId="177" fontId="5" fillId="15" borderId="109" xfId="2" applyNumberFormat="1" applyFont="1" applyFill="1" applyBorder="1" applyProtection="1"/>
    <xf numFmtId="1" fontId="5" fillId="3" borderId="1" xfId="0" applyNumberFormat="1" applyFont="1" applyFill="1" applyBorder="1"/>
    <xf numFmtId="177" fontId="5" fillId="15" borderId="1" xfId="2" applyNumberFormat="1" applyFont="1" applyFill="1" applyBorder="1" applyProtection="1"/>
    <xf numFmtId="1" fontId="5" fillId="3" borderId="72" xfId="0" applyNumberFormat="1" applyFont="1" applyFill="1" applyBorder="1"/>
    <xf numFmtId="177" fontId="5" fillId="15" borderId="72" xfId="2" applyNumberFormat="1" applyFont="1" applyFill="1" applyBorder="1" applyProtection="1"/>
    <xf numFmtId="0" fontId="3" fillId="6" borderId="8" xfId="0" applyFont="1" applyFill="1" applyBorder="1" applyAlignment="1">
      <alignment horizontal="left"/>
    </xf>
    <xf numFmtId="1" fontId="5" fillId="3" borderId="67" xfId="0" applyNumberFormat="1" applyFont="1" applyFill="1" applyBorder="1"/>
    <xf numFmtId="167" fontId="5" fillId="3" borderId="109" xfId="2" applyFont="1" applyFill="1" applyBorder="1" applyAlignment="1" applyProtection="1">
      <alignment horizontal="left"/>
    </xf>
    <xf numFmtId="0" fontId="20" fillId="0" borderId="9" xfId="0" applyFont="1" applyBorder="1" applyAlignment="1">
      <alignment horizontal="center"/>
    </xf>
    <xf numFmtId="0" fontId="5" fillId="3" borderId="109" xfId="0" applyFont="1" applyFill="1" applyBorder="1" applyAlignment="1">
      <alignment horizontal="center"/>
    </xf>
    <xf numFmtId="167" fontId="5" fillId="3" borderId="1" xfId="2" applyFont="1" applyFill="1" applyBorder="1" applyProtection="1"/>
    <xf numFmtId="167" fontId="5" fillId="3" borderId="55" xfId="2" applyFont="1" applyFill="1" applyBorder="1" applyProtection="1"/>
    <xf numFmtId="167" fontId="5" fillId="3" borderId="67" xfId="2" applyFont="1" applyFill="1" applyBorder="1" applyProtection="1"/>
    <xf numFmtId="180" fontId="5" fillId="3" borderId="1" xfId="3" applyNumberFormat="1" applyFont="1" applyFill="1" applyBorder="1" applyProtection="1"/>
    <xf numFmtId="0" fontId="72" fillId="0" borderId="2" xfId="0" applyFont="1" applyBorder="1"/>
    <xf numFmtId="1" fontId="5" fillId="0" borderId="6" xfId="0" applyNumberFormat="1" applyFont="1" applyBorder="1"/>
    <xf numFmtId="180" fontId="5" fillId="26" borderId="19" xfId="3" applyNumberFormat="1" applyFont="1" applyFill="1" applyBorder="1" applyProtection="1"/>
    <xf numFmtId="0" fontId="5" fillId="26" borderId="6" xfId="0" applyFont="1" applyFill="1" applyBorder="1"/>
    <xf numFmtId="0" fontId="5" fillId="36" borderId="6" xfId="0" applyFont="1" applyFill="1" applyBorder="1"/>
    <xf numFmtId="0" fontId="72" fillId="36" borderId="6" xfId="0" applyFont="1" applyFill="1" applyBorder="1"/>
    <xf numFmtId="9" fontId="5" fillId="0" borderId="6" xfId="3" applyFont="1" applyBorder="1" applyProtection="1">
      <protection locked="0"/>
    </xf>
    <xf numFmtId="177" fontId="5" fillId="0" borderId="6" xfId="2" applyNumberFormat="1" applyFont="1" applyBorder="1" applyAlignment="1" applyProtection="1">
      <alignment horizontal="center"/>
    </xf>
    <xf numFmtId="177" fontId="5" fillId="0" borderId="22" xfId="2" applyNumberFormat="1" applyFont="1" applyBorder="1" applyAlignment="1" applyProtection="1">
      <alignment horizontal="center"/>
    </xf>
    <xf numFmtId="0" fontId="1" fillId="6" borderId="75" xfId="0" applyFont="1" applyFill="1" applyBorder="1" applyAlignment="1">
      <alignment horizontal="left" vertical="top"/>
    </xf>
    <xf numFmtId="0" fontId="1" fillId="6" borderId="90" xfId="0" applyFont="1" applyFill="1" applyBorder="1" applyAlignment="1">
      <alignment horizontal="left" vertical="top"/>
    </xf>
    <xf numFmtId="0" fontId="21" fillId="6" borderId="126" xfId="0" applyFont="1" applyFill="1" applyBorder="1" applyAlignment="1">
      <alignment horizontal="left"/>
    </xf>
    <xf numFmtId="0" fontId="5" fillId="3" borderId="1" xfId="0" applyFont="1" applyFill="1" applyBorder="1"/>
    <xf numFmtId="0" fontId="5" fillId="0" borderId="6" xfId="0" applyFont="1" applyBorder="1" applyAlignment="1">
      <alignment horizontal="right"/>
    </xf>
    <xf numFmtId="0" fontId="5" fillId="3" borderId="55" xfId="0" applyFont="1" applyFill="1" applyBorder="1"/>
    <xf numFmtId="0" fontId="5" fillId="0" borderId="74" xfId="0" applyFont="1" applyBorder="1"/>
    <xf numFmtId="0" fontId="5" fillId="0" borderId="41" xfId="0" applyFont="1" applyBorder="1"/>
    <xf numFmtId="0" fontId="5" fillId="0" borderId="66" xfId="0" applyFont="1" applyBorder="1"/>
    <xf numFmtId="0" fontId="5" fillId="0" borderId="86" xfId="0" applyFont="1" applyBorder="1" applyAlignment="1">
      <alignment horizontal="center"/>
    </xf>
    <xf numFmtId="0" fontId="5" fillId="0" borderId="78" xfId="0" applyFont="1" applyBorder="1" applyAlignment="1">
      <alignment horizontal="center"/>
    </xf>
    <xf numFmtId="0" fontId="5" fillId="0" borderId="61" xfId="0" applyFont="1" applyBorder="1"/>
    <xf numFmtId="191" fontId="8" fillId="3" borderId="37" xfId="1" applyNumberFormat="1" applyFont="1" applyFill="1" applyBorder="1" applyAlignment="1" applyProtection="1">
      <alignment horizontal="center"/>
      <protection locked="0"/>
    </xf>
    <xf numFmtId="0" fontId="5" fillId="0" borderId="64" xfId="0" applyFont="1" applyBorder="1" applyAlignment="1" applyProtection="1">
      <alignment horizontal="center"/>
      <protection locked="0"/>
    </xf>
    <xf numFmtId="0" fontId="5" fillId="0" borderId="40" xfId="0" applyFont="1" applyBorder="1" applyAlignment="1" applyProtection="1">
      <alignment horizontal="center"/>
      <protection locked="0"/>
    </xf>
    <xf numFmtId="0" fontId="5" fillId="3" borderId="81" xfId="0" applyFont="1" applyFill="1" applyBorder="1" applyAlignment="1" applyProtection="1">
      <alignment horizontal="center"/>
      <protection locked="0"/>
    </xf>
    <xf numFmtId="191" fontId="5" fillId="0" borderId="108" xfId="1" applyNumberFormat="1" applyFont="1" applyBorder="1" applyProtection="1">
      <protection locked="0"/>
    </xf>
    <xf numFmtId="0" fontId="8" fillId="0" borderId="65" xfId="0" applyFont="1" applyBorder="1" applyAlignment="1" applyProtection="1">
      <alignment horizontal="center"/>
      <protection locked="0"/>
    </xf>
    <xf numFmtId="1" fontId="5" fillId="0" borderId="65" xfId="0" applyNumberFormat="1" applyFont="1" applyBorder="1" applyAlignment="1" applyProtection="1">
      <alignment horizontal="center"/>
      <protection locked="0"/>
    </xf>
    <xf numFmtId="186" fontId="5" fillId="0" borderId="40" xfId="0" applyNumberFormat="1" applyFont="1" applyBorder="1" applyProtection="1">
      <protection locked="0"/>
    </xf>
    <xf numFmtId="186" fontId="5" fillId="0" borderId="108" xfId="0" applyNumberFormat="1" applyFont="1" applyBorder="1" applyProtection="1">
      <protection locked="0"/>
    </xf>
    <xf numFmtId="167" fontId="3" fillId="15" borderId="65" xfId="2" applyFont="1" applyFill="1" applyBorder="1" applyProtection="1"/>
    <xf numFmtId="177" fontId="5" fillId="3" borderId="7" xfId="2" applyNumberFormat="1" applyFont="1" applyFill="1" applyBorder="1" applyProtection="1"/>
    <xf numFmtId="177" fontId="5" fillId="3" borderId="37" xfId="2" applyNumberFormat="1" applyFont="1" applyFill="1" applyBorder="1" applyProtection="1"/>
    <xf numFmtId="177" fontId="5" fillId="3" borderId="45" xfId="2" applyNumberFormat="1" applyFont="1" applyFill="1" applyBorder="1" applyProtection="1"/>
    <xf numFmtId="177" fontId="5" fillId="3" borderId="8" xfId="2" applyNumberFormat="1" applyFont="1" applyFill="1" applyBorder="1" applyProtection="1"/>
    <xf numFmtId="0" fontId="5" fillId="0" borderId="69" xfId="0" applyFont="1" applyBorder="1" applyAlignment="1" applyProtection="1">
      <alignment horizontal="left"/>
      <protection locked="0"/>
    </xf>
    <xf numFmtId="191" fontId="8" fillId="3" borderId="75" xfId="1" applyNumberFormat="1" applyFont="1" applyFill="1" applyBorder="1" applyAlignment="1" applyProtection="1">
      <alignment horizontal="center"/>
      <protection locked="0"/>
    </xf>
    <xf numFmtId="191" fontId="5" fillId="0" borderId="68" xfId="1" applyNumberFormat="1" applyFont="1" applyBorder="1" applyProtection="1">
      <protection locked="0"/>
    </xf>
    <xf numFmtId="186" fontId="5" fillId="0" borderId="0" xfId="0" applyNumberFormat="1" applyFont="1" applyProtection="1">
      <protection locked="0"/>
    </xf>
    <xf numFmtId="186" fontId="5" fillId="0" borderId="8" xfId="0" applyNumberFormat="1" applyFont="1" applyBorder="1" applyProtection="1">
      <protection locked="0"/>
    </xf>
    <xf numFmtId="191" fontId="5" fillId="6" borderId="69" xfId="1" applyNumberFormat="1" applyFont="1" applyFill="1" applyBorder="1" applyProtection="1">
      <protection locked="0"/>
    </xf>
    <xf numFmtId="169" fontId="5" fillId="6" borderId="2" xfId="0" applyNumberFormat="1" applyFont="1" applyFill="1" applyBorder="1" applyProtection="1">
      <protection locked="0"/>
    </xf>
    <xf numFmtId="167" fontId="3" fillId="15" borderId="45" xfId="2" applyFont="1" applyFill="1" applyBorder="1" applyProtection="1"/>
    <xf numFmtId="0" fontId="5" fillId="0" borderId="41" xfId="0" applyFont="1" applyBorder="1" applyAlignment="1" applyProtection="1">
      <alignment horizontal="left"/>
      <protection locked="0"/>
    </xf>
    <xf numFmtId="0" fontId="5" fillId="0" borderId="15" xfId="0" applyFont="1" applyBorder="1" applyAlignment="1" applyProtection="1">
      <alignment horizontal="center"/>
      <protection locked="0"/>
    </xf>
    <xf numFmtId="186" fontId="5" fillId="0" borderId="66" xfId="0" applyNumberFormat="1" applyFont="1" applyBorder="1" applyAlignment="1" applyProtection="1">
      <alignment horizontal="center"/>
      <protection locked="0"/>
    </xf>
    <xf numFmtId="191" fontId="5" fillId="0" borderId="8" xfId="1" applyNumberFormat="1" applyFont="1" applyBorder="1" applyProtection="1">
      <protection locked="0"/>
    </xf>
    <xf numFmtId="1" fontId="5" fillId="0" borderId="66" xfId="0" applyNumberFormat="1" applyFont="1" applyBorder="1" applyAlignment="1" applyProtection="1">
      <alignment horizontal="center"/>
      <protection locked="0"/>
    </xf>
    <xf numFmtId="186" fontId="5" fillId="0" borderId="41" xfId="0" applyNumberFormat="1" applyFont="1" applyBorder="1" applyProtection="1">
      <protection locked="0"/>
    </xf>
    <xf numFmtId="186" fontId="5" fillId="0" borderId="122" xfId="0" applyNumberFormat="1" applyFont="1" applyBorder="1" applyProtection="1">
      <protection locked="0"/>
    </xf>
    <xf numFmtId="167" fontId="3" fillId="15" borderId="66" xfId="2" applyFont="1" applyFill="1" applyBorder="1" applyProtection="1"/>
    <xf numFmtId="0" fontId="5" fillId="0" borderId="2" xfId="0" applyFont="1" applyBorder="1" applyAlignment="1" applyProtection="1">
      <alignment horizontal="left"/>
      <protection locked="0"/>
    </xf>
    <xf numFmtId="186" fontId="5" fillId="0" borderId="89" xfId="0" applyNumberFormat="1" applyFont="1" applyBorder="1" applyAlignment="1" applyProtection="1">
      <alignment horizontal="center"/>
      <protection locked="0"/>
    </xf>
    <xf numFmtId="186" fontId="5" fillId="0" borderId="2" xfId="0" applyNumberFormat="1" applyFont="1" applyBorder="1" applyProtection="1">
      <protection locked="0"/>
    </xf>
    <xf numFmtId="186" fontId="5" fillId="0" borderId="68" xfId="0" applyNumberFormat="1" applyFont="1" applyBorder="1" applyProtection="1">
      <protection locked="0"/>
    </xf>
    <xf numFmtId="167" fontId="3" fillId="15" borderId="89" xfId="2" applyFont="1" applyFill="1" applyBorder="1" applyProtection="1"/>
    <xf numFmtId="191" fontId="8" fillId="3" borderId="74" xfId="1" applyNumberFormat="1" applyFont="1" applyFill="1" applyBorder="1" applyAlignment="1" applyProtection="1">
      <alignment horizontal="center"/>
      <protection locked="0"/>
    </xf>
    <xf numFmtId="0" fontId="8" fillId="0" borderId="0" xfId="0" applyFont="1" applyAlignment="1" applyProtection="1">
      <alignment horizontal="center"/>
      <protection locked="0"/>
    </xf>
    <xf numFmtId="0" fontId="5" fillId="0" borderId="131" xfId="0" applyFont="1" applyBorder="1" applyAlignment="1" applyProtection="1">
      <alignment horizontal="left"/>
      <protection locked="0"/>
    </xf>
    <xf numFmtId="0" fontId="5" fillId="0" borderId="66" xfId="0" applyFont="1" applyBorder="1" applyAlignment="1" applyProtection="1">
      <alignment horizontal="left"/>
      <protection locked="0"/>
    </xf>
    <xf numFmtId="0" fontId="8" fillId="0" borderId="66" xfId="0" applyFont="1" applyBorder="1" applyAlignment="1" applyProtection="1">
      <alignment horizontal="center"/>
      <protection locked="0"/>
    </xf>
    <xf numFmtId="0" fontId="5" fillId="0" borderId="89" xfId="0" applyFont="1" applyBorder="1" applyAlignment="1" applyProtection="1">
      <alignment horizontal="left"/>
      <protection locked="0"/>
    </xf>
    <xf numFmtId="191" fontId="5" fillId="3" borderId="75" xfId="1" applyNumberFormat="1" applyFont="1" applyFill="1" applyBorder="1" applyAlignment="1" applyProtection="1">
      <alignment horizontal="center"/>
      <protection locked="0"/>
    </xf>
    <xf numFmtId="191" fontId="5" fillId="3" borderId="74" xfId="1" applyNumberFormat="1" applyFont="1" applyFill="1" applyBorder="1" applyAlignment="1" applyProtection="1">
      <alignment horizontal="center"/>
      <protection locked="0"/>
    </xf>
    <xf numFmtId="191" fontId="5" fillId="0" borderId="122" xfId="1" applyNumberFormat="1" applyFont="1" applyBorder="1" applyProtection="1">
      <protection locked="0"/>
    </xf>
    <xf numFmtId="1" fontId="5" fillId="0" borderId="56" xfId="0" applyNumberFormat="1" applyFont="1" applyBorder="1"/>
    <xf numFmtId="186" fontId="5" fillId="0" borderId="89" xfId="0" applyNumberFormat="1" applyFont="1" applyBorder="1" applyProtection="1">
      <protection locked="0"/>
    </xf>
    <xf numFmtId="191" fontId="5" fillId="3" borderId="0" xfId="1" applyNumberFormat="1" applyFont="1" applyFill="1" applyBorder="1" applyAlignment="1" applyProtection="1">
      <alignment horizontal="center"/>
      <protection locked="0"/>
    </xf>
    <xf numFmtId="186" fontId="5" fillId="0" borderId="51" xfId="0" applyNumberFormat="1" applyFont="1" applyBorder="1" applyAlignment="1" applyProtection="1">
      <alignment horizontal="center"/>
      <protection locked="0"/>
    </xf>
    <xf numFmtId="191" fontId="5" fillId="0" borderId="13" xfId="1" applyNumberFormat="1" applyFont="1" applyBorder="1" applyProtection="1">
      <protection locked="0"/>
    </xf>
    <xf numFmtId="1" fontId="5" fillId="0" borderId="51" xfId="0" applyNumberFormat="1" applyFont="1" applyBorder="1" applyAlignment="1" applyProtection="1">
      <alignment horizontal="center"/>
      <protection locked="0"/>
    </xf>
    <xf numFmtId="186" fontId="5" fillId="0" borderId="6" xfId="0" applyNumberFormat="1" applyFont="1" applyBorder="1" applyProtection="1">
      <protection locked="0"/>
    </xf>
    <xf numFmtId="186" fontId="5" fillId="0" borderId="13" xfId="0" applyNumberFormat="1" applyFont="1" applyBorder="1" applyProtection="1">
      <protection locked="0"/>
    </xf>
    <xf numFmtId="167" fontId="3" fillId="15" borderId="51" xfId="2" applyFont="1" applyFill="1" applyBorder="1" applyProtection="1"/>
    <xf numFmtId="0" fontId="5" fillId="0" borderId="89" xfId="0" applyFont="1" applyBorder="1"/>
    <xf numFmtId="179" fontId="5" fillId="0" borderId="2" xfId="0" applyNumberFormat="1" applyFont="1" applyBorder="1"/>
    <xf numFmtId="191" fontId="5" fillId="0" borderId="2" xfId="0" applyNumberFormat="1" applyFont="1" applyBorder="1"/>
    <xf numFmtId="177" fontId="5" fillId="0" borderId="2" xfId="2" applyNumberFormat="1" applyFont="1" applyBorder="1" applyProtection="1"/>
    <xf numFmtId="177" fontId="5" fillId="3" borderId="2" xfId="2" applyNumberFormat="1" applyFont="1" applyFill="1" applyBorder="1" applyProtection="1"/>
    <xf numFmtId="177" fontId="5" fillId="3" borderId="75" xfId="2" applyNumberFormat="1" applyFont="1" applyFill="1" applyBorder="1" applyProtection="1"/>
    <xf numFmtId="177" fontId="5" fillId="3" borderId="89" xfId="2" applyNumberFormat="1" applyFont="1" applyFill="1" applyBorder="1" applyProtection="1"/>
    <xf numFmtId="177" fontId="5" fillId="3" borderId="68" xfId="2" applyNumberFormat="1" applyFont="1" applyFill="1" applyBorder="1" applyProtection="1"/>
    <xf numFmtId="186" fontId="5" fillId="9" borderId="37" xfId="0" applyNumberFormat="1" applyFont="1" applyFill="1" applyBorder="1" applyAlignment="1">
      <alignment horizontal="center"/>
    </xf>
    <xf numFmtId="177" fontId="5" fillId="0" borderId="55" xfId="2" applyNumberFormat="1" applyFont="1" applyBorder="1" applyProtection="1"/>
    <xf numFmtId="177" fontId="5" fillId="0" borderId="74" xfId="2" applyNumberFormat="1" applyFont="1" applyBorder="1" applyProtection="1"/>
    <xf numFmtId="177" fontId="5" fillId="0" borderId="41" xfId="2" applyNumberFormat="1" applyFont="1" applyBorder="1" applyProtection="1"/>
    <xf numFmtId="177" fontId="5" fillId="0" borderId="66" xfId="2" applyNumberFormat="1" applyFont="1" applyBorder="1" applyProtection="1"/>
    <xf numFmtId="177" fontId="5" fillId="0" borderId="37" xfId="2" applyNumberFormat="1" applyFont="1" applyBorder="1" applyProtection="1"/>
    <xf numFmtId="177" fontId="5" fillId="0" borderId="45" xfId="2" applyNumberFormat="1" applyFont="1" applyBorder="1" applyProtection="1"/>
    <xf numFmtId="177" fontId="5" fillId="0" borderId="8" xfId="2" applyNumberFormat="1" applyFont="1" applyBorder="1" applyProtection="1"/>
    <xf numFmtId="201" fontId="3" fillId="3" borderId="1" xfId="0" applyNumberFormat="1" applyFont="1" applyFill="1" applyBorder="1"/>
    <xf numFmtId="177" fontId="5" fillId="0" borderId="67" xfId="2" applyNumberFormat="1" applyFont="1" applyBorder="1" applyProtection="1"/>
    <xf numFmtId="177" fontId="5" fillId="0" borderId="75" xfId="0" applyNumberFormat="1" applyFont="1" applyBorder="1"/>
    <xf numFmtId="177" fontId="5" fillId="0" borderId="2" xfId="0" applyNumberFormat="1" applyFont="1" applyBorder="1"/>
    <xf numFmtId="177" fontId="5" fillId="0" borderId="89" xfId="0" applyNumberFormat="1" applyFont="1" applyBorder="1"/>
    <xf numFmtId="2" fontId="3" fillId="3" borderId="1" xfId="0" applyNumberFormat="1" applyFont="1" applyFill="1" applyBorder="1"/>
    <xf numFmtId="186" fontId="5" fillId="0" borderId="107" xfId="0" applyNumberFormat="1" applyFont="1" applyBorder="1" applyAlignment="1" applyProtection="1">
      <alignment horizontal="center"/>
      <protection locked="0"/>
    </xf>
    <xf numFmtId="186" fontId="5" fillId="0" borderId="65" xfId="0" applyNumberFormat="1" applyFont="1" applyBorder="1" applyAlignment="1" applyProtection="1">
      <alignment horizontal="center"/>
      <protection locked="0"/>
    </xf>
    <xf numFmtId="0" fontId="5" fillId="0" borderId="38" xfId="0" applyFont="1" applyBorder="1" applyProtection="1">
      <protection locked="0"/>
    </xf>
    <xf numFmtId="0" fontId="5" fillId="0" borderId="13" xfId="0" applyFont="1" applyBorder="1" applyProtection="1">
      <protection locked="0"/>
    </xf>
    <xf numFmtId="0" fontId="5" fillId="14" borderId="22" xfId="0" applyFont="1" applyFill="1" applyBorder="1"/>
    <xf numFmtId="0" fontId="65" fillId="14" borderId="22" xfId="0" applyFont="1" applyFill="1" applyBorder="1"/>
    <xf numFmtId="177" fontId="5" fillId="14" borderId="22" xfId="2" applyNumberFormat="1" applyFont="1" applyFill="1" applyBorder="1" applyAlignment="1" applyProtection="1">
      <alignment horizontal="center"/>
      <protection locked="0"/>
    </xf>
    <xf numFmtId="0" fontId="3" fillId="14" borderId="9" xfId="0" applyFont="1" applyFill="1" applyBorder="1"/>
    <xf numFmtId="0" fontId="5" fillId="14" borderId="23" xfId="0" applyFont="1" applyFill="1" applyBorder="1"/>
    <xf numFmtId="169" fontId="5" fillId="9" borderId="0" xfId="0" applyNumberFormat="1" applyFont="1" applyFill="1"/>
    <xf numFmtId="169" fontId="5" fillId="9" borderId="0" xfId="0" applyNumberFormat="1" applyFont="1" applyFill="1" applyAlignment="1">
      <alignment horizontal="left"/>
    </xf>
    <xf numFmtId="0" fontId="5" fillId="9" borderId="55" xfId="0" applyFont="1" applyFill="1" applyBorder="1"/>
    <xf numFmtId="177" fontId="5" fillId="31" borderId="66" xfId="2" applyNumberFormat="1" applyFont="1" applyFill="1" applyBorder="1" applyProtection="1"/>
    <xf numFmtId="177" fontId="5" fillId="3" borderId="0" xfId="2" applyNumberFormat="1" applyFont="1" applyFill="1" applyBorder="1" applyAlignment="1" applyProtection="1">
      <alignment horizontal="left"/>
    </xf>
    <xf numFmtId="0" fontId="5" fillId="20" borderId="21" xfId="0" applyFont="1" applyFill="1" applyBorder="1" applyAlignment="1">
      <alignment horizontal="center"/>
    </xf>
    <xf numFmtId="0" fontId="5" fillId="9" borderId="67" xfId="0" applyFont="1" applyFill="1" applyBorder="1"/>
    <xf numFmtId="177" fontId="5" fillId="9" borderId="89" xfId="0" applyNumberFormat="1" applyFont="1" applyFill="1" applyBorder="1"/>
    <xf numFmtId="0" fontId="3" fillId="9" borderId="21" xfId="0" applyFont="1" applyFill="1" applyBorder="1"/>
    <xf numFmtId="179" fontId="3" fillId="9" borderId="22" xfId="0" applyNumberFormat="1" applyFont="1" applyFill="1" applyBorder="1"/>
    <xf numFmtId="0" fontId="3" fillId="9" borderId="23" xfId="0" applyFont="1" applyFill="1" applyBorder="1"/>
    <xf numFmtId="191" fontId="5" fillId="3" borderId="0" xfId="0" applyNumberFormat="1" applyFont="1" applyFill="1" applyAlignment="1">
      <alignment horizontal="left"/>
    </xf>
    <xf numFmtId="167" fontId="5" fillId="9" borderId="66" xfId="2" applyFont="1" applyFill="1" applyBorder="1" applyProtection="1"/>
    <xf numFmtId="219" fontId="5" fillId="9" borderId="74" xfId="2" applyNumberFormat="1" applyFont="1" applyFill="1" applyBorder="1" applyProtection="1"/>
    <xf numFmtId="220" fontId="5" fillId="9" borderId="41" xfId="0" applyNumberFormat="1" applyFont="1" applyFill="1" applyBorder="1"/>
    <xf numFmtId="221" fontId="5" fillId="9" borderId="41" xfId="0" applyNumberFormat="1" applyFont="1" applyFill="1" applyBorder="1"/>
    <xf numFmtId="169" fontId="5" fillId="3" borderId="0" xfId="0" applyNumberFormat="1" applyFont="1" applyFill="1" applyAlignment="1">
      <alignment horizontal="left"/>
    </xf>
    <xf numFmtId="177" fontId="5" fillId="9" borderId="75" xfId="0" applyNumberFormat="1" applyFont="1" applyFill="1" applyBorder="1"/>
    <xf numFmtId="167" fontId="5" fillId="9" borderId="2" xfId="2" applyFont="1" applyFill="1" applyBorder="1" applyProtection="1"/>
    <xf numFmtId="219" fontId="5" fillId="9" borderId="67" xfId="2" applyNumberFormat="1" applyFont="1" applyFill="1" applyBorder="1" applyProtection="1"/>
    <xf numFmtId="220" fontId="5" fillId="9" borderId="75" xfId="0" applyNumberFormat="1" applyFont="1" applyFill="1" applyBorder="1"/>
    <xf numFmtId="221" fontId="5" fillId="9" borderId="2" xfId="0" applyNumberFormat="1" applyFont="1" applyFill="1" applyBorder="1"/>
    <xf numFmtId="191" fontId="3" fillId="9" borderId="0" xfId="1" applyNumberFormat="1" applyFont="1" applyFill="1" applyBorder="1" applyProtection="1"/>
    <xf numFmtId="0" fontId="3" fillId="6" borderId="5" xfId="0" applyFont="1" applyFill="1" applyBorder="1" applyAlignment="1">
      <alignment horizontal="left"/>
    </xf>
    <xf numFmtId="177" fontId="3" fillId="6" borderId="5" xfId="2" applyNumberFormat="1" applyFont="1" applyFill="1" applyBorder="1" applyAlignment="1" applyProtection="1">
      <alignment horizontal="left"/>
    </xf>
    <xf numFmtId="0" fontId="3" fillId="6" borderId="102" xfId="0" applyFont="1" applyFill="1" applyBorder="1" applyAlignment="1">
      <alignment horizontal="left"/>
    </xf>
    <xf numFmtId="0" fontId="5" fillId="0" borderId="102" xfId="0" applyFont="1" applyBorder="1"/>
    <xf numFmtId="0" fontId="5" fillId="0" borderId="25" xfId="0" applyFont="1" applyBorder="1" applyAlignment="1">
      <alignment horizontal="center" wrapText="1"/>
    </xf>
    <xf numFmtId="0" fontId="5" fillId="0" borderId="26" xfId="0" applyFont="1" applyBorder="1" applyAlignment="1">
      <alignment horizontal="center" wrapText="1"/>
    </xf>
    <xf numFmtId="0" fontId="5" fillId="0" borderId="104" xfId="0" applyFont="1" applyBorder="1" applyAlignment="1">
      <alignment horizontal="center" wrapText="1"/>
    </xf>
    <xf numFmtId="0" fontId="3" fillId="0" borderId="3" xfId="0" applyFont="1" applyBorder="1" applyAlignment="1">
      <alignment horizontal="center" wrapText="1"/>
    </xf>
    <xf numFmtId="0" fontId="5" fillId="0" borderId="22" xfId="0" applyFont="1" applyBorder="1" applyAlignment="1">
      <alignment horizontal="center" wrapText="1"/>
    </xf>
    <xf numFmtId="0" fontId="5" fillId="0" borderId="3" xfId="0" applyFont="1" applyBorder="1" applyAlignment="1">
      <alignment horizontal="center" wrapText="1"/>
    </xf>
    <xf numFmtId="0" fontId="3" fillId="0" borderId="3" xfId="0" applyFont="1" applyBorder="1"/>
    <xf numFmtId="0" fontId="4" fillId="3" borderId="132" xfId="0" applyFont="1" applyFill="1" applyBorder="1" applyAlignment="1" applyProtection="1">
      <alignment horizontal="center"/>
      <protection locked="0"/>
    </xf>
    <xf numFmtId="0" fontId="4" fillId="0" borderId="7" xfId="0" applyFont="1" applyBorder="1"/>
    <xf numFmtId="0" fontId="4" fillId="0" borderId="40" xfId="0" applyFont="1" applyBorder="1"/>
    <xf numFmtId="167" fontId="4" fillId="15" borderId="15" xfId="2" applyFont="1" applyFill="1" applyBorder="1" applyAlignment="1" applyProtection="1">
      <alignment horizontal="center"/>
      <protection locked="0"/>
    </xf>
    <xf numFmtId="0" fontId="4" fillId="0" borderId="40" xfId="0" applyFont="1" applyBorder="1" applyAlignment="1">
      <alignment horizontal="left"/>
    </xf>
    <xf numFmtId="177" fontId="4" fillId="9" borderId="8" xfId="2" applyNumberFormat="1" applyFont="1" applyFill="1" applyBorder="1" applyAlignment="1" applyProtection="1">
      <alignment horizontal="center"/>
      <protection locked="0"/>
    </xf>
    <xf numFmtId="223" fontId="3" fillId="3" borderId="70" xfId="0" applyNumberFormat="1" applyFont="1" applyFill="1" applyBorder="1"/>
    <xf numFmtId="1" fontId="3" fillId="0" borderId="70" xfId="0" applyNumberFormat="1" applyFont="1" applyBorder="1"/>
    <xf numFmtId="0" fontId="4" fillId="3" borderId="47" xfId="0" applyFont="1" applyFill="1" applyBorder="1" applyAlignment="1" applyProtection="1">
      <alignment horizontal="center"/>
      <protection locked="0"/>
    </xf>
    <xf numFmtId="177" fontId="4" fillId="9" borderId="8" xfId="2" applyNumberFormat="1" applyFont="1" applyFill="1" applyBorder="1" applyAlignment="1" applyProtection="1">
      <alignment horizontal="center"/>
    </xf>
    <xf numFmtId="0" fontId="5" fillId="0" borderId="1" xfId="0" applyFont="1" applyBorder="1"/>
    <xf numFmtId="223" fontId="3" fillId="3" borderId="47" xfId="0" applyNumberFormat="1" applyFont="1" applyFill="1" applyBorder="1"/>
    <xf numFmtId="1" fontId="3" fillId="0" borderId="47" xfId="0" applyNumberFormat="1" applyFont="1" applyBorder="1"/>
    <xf numFmtId="0" fontId="4" fillId="3" borderId="125" xfId="0" applyFont="1" applyFill="1" applyBorder="1" applyAlignment="1" applyProtection="1">
      <alignment horizontal="center"/>
      <protection locked="0"/>
    </xf>
    <xf numFmtId="0" fontId="4" fillId="3" borderId="106" xfId="0" applyFont="1" applyFill="1" applyBorder="1" applyAlignment="1" applyProtection="1">
      <alignment horizontal="center"/>
      <protection locked="0"/>
    </xf>
    <xf numFmtId="0" fontId="4" fillId="0" borderId="59" xfId="0" applyFont="1" applyBorder="1"/>
    <xf numFmtId="0" fontId="4" fillId="0" borderId="39" xfId="0" applyFont="1" applyBorder="1"/>
    <xf numFmtId="167" fontId="4" fillId="15" borderId="60" xfId="2" applyFont="1" applyFill="1" applyBorder="1" applyAlignment="1" applyProtection="1">
      <alignment horizontal="center"/>
      <protection locked="0"/>
    </xf>
    <xf numFmtId="0" fontId="4" fillId="0" borderId="39" xfId="0" applyFont="1" applyBorder="1" applyAlignment="1">
      <alignment horizontal="left"/>
    </xf>
    <xf numFmtId="1" fontId="83" fillId="0" borderId="105" xfId="0" applyNumberFormat="1" applyFont="1" applyBorder="1" applyAlignment="1" applyProtection="1">
      <alignment horizontal="center"/>
      <protection locked="0"/>
    </xf>
    <xf numFmtId="0" fontId="4" fillId="0" borderId="0" xfId="0" applyFont="1" applyProtection="1">
      <protection locked="0"/>
    </xf>
    <xf numFmtId="0" fontId="4" fillId="0" borderId="40" xfId="0" applyFont="1" applyBorder="1" applyProtection="1">
      <protection locked="0"/>
    </xf>
    <xf numFmtId="0" fontId="4" fillId="0" borderId="65" xfId="0" applyFont="1" applyBorder="1" applyProtection="1">
      <protection locked="0"/>
    </xf>
    <xf numFmtId="167" fontId="4" fillId="15" borderId="67" xfId="2" applyFont="1" applyFill="1" applyBorder="1" applyAlignment="1" applyProtection="1">
      <alignment horizontal="center"/>
      <protection locked="0"/>
    </xf>
    <xf numFmtId="9" fontId="4" fillId="3" borderId="67" xfId="3" applyFont="1" applyFill="1" applyBorder="1" applyProtection="1">
      <protection locked="0"/>
    </xf>
    <xf numFmtId="0" fontId="4" fillId="0" borderId="7" xfId="0" applyFont="1" applyBorder="1" applyAlignment="1" applyProtection="1">
      <alignment horizontal="left"/>
      <protection locked="0"/>
    </xf>
    <xf numFmtId="0" fontId="4" fillId="0" borderId="0" xfId="0" applyFont="1" applyAlignment="1" applyProtection="1">
      <alignment horizontal="left"/>
      <protection locked="0"/>
    </xf>
    <xf numFmtId="0" fontId="4" fillId="15" borderId="55" xfId="0" applyFont="1" applyFill="1" applyBorder="1" applyAlignment="1" applyProtection="1">
      <alignment horizontal="center"/>
      <protection locked="0"/>
    </xf>
    <xf numFmtId="0" fontId="4" fillId="0" borderId="45" xfId="0" applyFont="1" applyBorder="1" applyAlignment="1" applyProtection="1">
      <alignment horizontal="left"/>
      <protection locked="0"/>
    </xf>
    <xf numFmtId="167" fontId="4" fillId="15" borderId="1" xfId="2" applyFont="1" applyFill="1" applyBorder="1" applyAlignment="1" applyProtection="1">
      <alignment horizontal="center"/>
      <protection locked="0"/>
    </xf>
    <xf numFmtId="179" fontId="4" fillId="15" borderId="1" xfId="0" applyNumberFormat="1" applyFont="1" applyFill="1" applyBorder="1"/>
    <xf numFmtId="0" fontId="4" fillId="0" borderId="45" xfId="0" applyFont="1" applyBorder="1" applyAlignment="1">
      <alignment horizontal="left"/>
    </xf>
    <xf numFmtId="9" fontId="4" fillId="3" borderId="55" xfId="3" applyFont="1" applyFill="1" applyBorder="1" applyProtection="1">
      <protection locked="0"/>
    </xf>
    <xf numFmtId="0" fontId="4" fillId="0" borderId="69" xfId="0" applyFont="1" applyBorder="1" applyProtection="1">
      <protection locked="0"/>
    </xf>
    <xf numFmtId="0" fontId="4" fillId="0" borderId="2" xfId="0" applyFont="1" applyBorder="1" applyProtection="1">
      <protection locked="0"/>
    </xf>
    <xf numFmtId="0" fontId="4" fillId="0" borderId="1" xfId="0" applyFont="1" applyBorder="1" applyAlignment="1" applyProtection="1">
      <alignment horizontal="center"/>
      <protection locked="0"/>
    </xf>
    <xf numFmtId="0" fontId="4" fillId="0" borderId="2" xfId="0" applyFont="1" applyBorder="1"/>
    <xf numFmtId="167" fontId="4" fillId="0" borderId="1" xfId="0" applyNumberFormat="1" applyFont="1" applyBorder="1" applyProtection="1">
      <protection locked="0"/>
    </xf>
    <xf numFmtId="9" fontId="4" fillId="3" borderId="1" xfId="3" applyFont="1" applyFill="1" applyBorder="1" applyProtection="1">
      <protection locked="0"/>
    </xf>
    <xf numFmtId="2" fontId="4" fillId="3" borderId="1" xfId="0" applyNumberFormat="1" applyFont="1" applyFill="1" applyBorder="1" applyProtection="1">
      <protection locked="0"/>
    </xf>
    <xf numFmtId="167" fontId="4" fillId="15" borderId="1" xfId="2" applyFont="1" applyFill="1" applyBorder="1" applyProtection="1">
      <protection locked="0"/>
    </xf>
    <xf numFmtId="167" fontId="4" fillId="15" borderId="72" xfId="2" applyFont="1" applyFill="1" applyBorder="1" applyProtection="1">
      <protection locked="0"/>
    </xf>
    <xf numFmtId="0" fontId="4" fillId="0" borderId="6" xfId="0" applyFont="1" applyBorder="1"/>
    <xf numFmtId="0" fontId="4" fillId="9" borderId="12" xfId="0" applyFont="1" applyFill="1" applyBorder="1"/>
    <xf numFmtId="0" fontId="4" fillId="9" borderId="6" xfId="0" applyFont="1" applyFill="1" applyBorder="1"/>
    <xf numFmtId="0" fontId="4" fillId="9" borderId="6" xfId="0" applyFont="1" applyFill="1" applyBorder="1" applyAlignment="1">
      <alignment horizontal="center"/>
    </xf>
    <xf numFmtId="9" fontId="4" fillId="9" borderId="6" xfId="3" applyFont="1" applyFill="1" applyBorder="1" applyProtection="1">
      <protection locked="0"/>
    </xf>
    <xf numFmtId="191" fontId="4" fillId="9" borderId="6" xfId="1" applyNumberFormat="1" applyFont="1" applyFill="1" applyBorder="1" applyAlignment="1" applyProtection="1">
      <alignment horizontal="center"/>
    </xf>
    <xf numFmtId="177" fontId="4" fillId="9" borderId="6" xfId="2" applyNumberFormat="1" applyFont="1" applyFill="1" applyBorder="1" applyAlignment="1" applyProtection="1">
      <alignment horizontal="center"/>
    </xf>
    <xf numFmtId="177" fontId="4" fillId="9" borderId="13" xfId="2" applyNumberFormat="1" applyFont="1" applyFill="1" applyBorder="1" applyAlignment="1" applyProtection="1">
      <alignment horizontal="center"/>
    </xf>
    <xf numFmtId="0" fontId="83" fillId="6" borderId="21" xfId="0" applyFont="1" applyFill="1" applyBorder="1" applyAlignment="1">
      <alignment horizontal="left"/>
    </xf>
    <xf numFmtId="0" fontId="83" fillId="6" borderId="22" xfId="0" applyFont="1" applyFill="1" applyBorder="1" applyAlignment="1">
      <alignment horizontal="center"/>
    </xf>
    <xf numFmtId="0" fontId="83" fillId="6" borderId="9" xfId="0" applyFont="1" applyFill="1" applyBorder="1" applyAlignment="1">
      <alignment horizontal="center"/>
    </xf>
    <xf numFmtId="0" fontId="4" fillId="0" borderId="7" xfId="0" applyFont="1" applyBorder="1" applyProtection="1">
      <protection locked="0"/>
    </xf>
    <xf numFmtId="0" fontId="4" fillId="0" borderId="67" xfId="0" applyFont="1" applyBorder="1" applyAlignment="1" applyProtection="1">
      <alignment horizontal="center"/>
      <protection locked="0"/>
    </xf>
    <xf numFmtId="0" fontId="64" fillId="0" borderId="0" xfId="0" applyFont="1"/>
    <xf numFmtId="223" fontId="3" fillId="3" borderId="53" xfId="0" applyNumberFormat="1" applyFont="1" applyFill="1" applyBorder="1"/>
    <xf numFmtId="1" fontId="3" fillId="0" borderId="53" xfId="0" applyNumberFormat="1" applyFont="1" applyBorder="1"/>
    <xf numFmtId="0" fontId="4" fillId="0" borderId="55" xfId="0" applyFont="1" applyBorder="1" applyAlignment="1" applyProtection="1">
      <alignment horizontal="center"/>
      <protection locked="0"/>
    </xf>
    <xf numFmtId="177" fontId="4" fillId="9" borderId="61" xfId="2" applyNumberFormat="1" applyFont="1" applyFill="1" applyBorder="1" applyAlignment="1" applyProtection="1">
      <alignment horizontal="center"/>
    </xf>
    <xf numFmtId="0" fontId="4" fillId="0" borderId="2" xfId="0" applyFont="1" applyBorder="1" applyAlignment="1" applyProtection="1">
      <alignment horizontal="left"/>
      <protection locked="0"/>
    </xf>
    <xf numFmtId="0" fontId="4" fillId="0" borderId="2" xfId="0" applyFont="1" applyBorder="1" applyAlignment="1">
      <alignment horizontal="center"/>
    </xf>
    <xf numFmtId="167" fontId="4" fillId="6" borderId="67" xfId="2" applyFont="1" applyFill="1" applyBorder="1" applyAlignment="1" applyProtection="1">
      <alignment horizontal="center" vertical="center"/>
    </xf>
    <xf numFmtId="0" fontId="4" fillId="0" borderId="75" xfId="0" applyFont="1" applyBorder="1"/>
    <xf numFmtId="0" fontId="64" fillId="0" borderId="2" xfId="0" applyFont="1" applyBorder="1"/>
    <xf numFmtId="0" fontId="4" fillId="0" borderId="94" xfId="0" applyFont="1" applyBorder="1" applyAlignment="1" applyProtection="1">
      <alignment horizontal="left"/>
      <protection locked="0"/>
    </xf>
    <xf numFmtId="0" fontId="4" fillId="0" borderId="56" xfId="0" applyFont="1" applyBorder="1" applyAlignment="1">
      <alignment horizontal="center"/>
    </xf>
    <xf numFmtId="0" fontId="4" fillId="0" borderId="56" xfId="0" applyFont="1" applyBorder="1" applyProtection="1">
      <protection locked="0"/>
    </xf>
    <xf numFmtId="167" fontId="4" fillId="0" borderId="57" xfId="2" applyFont="1" applyBorder="1" applyAlignment="1" applyProtection="1">
      <alignment horizontal="center" vertical="center"/>
    </xf>
    <xf numFmtId="167" fontId="4" fillId="0" borderId="0" xfId="2" applyFont="1" applyBorder="1" applyAlignment="1" applyProtection="1">
      <alignment horizontal="center" vertical="center"/>
    </xf>
    <xf numFmtId="0" fontId="4" fillId="0" borderId="41" xfId="0" applyFont="1" applyBorder="1"/>
    <xf numFmtId="0" fontId="64" fillId="0" borderId="41" xfId="0" applyFont="1" applyBorder="1"/>
    <xf numFmtId="169" fontId="4" fillId="0" borderId="0" xfId="0" applyNumberFormat="1" applyFont="1"/>
    <xf numFmtId="0" fontId="4" fillId="0" borderId="59" xfId="0" applyFont="1" applyBorder="1" applyAlignment="1" applyProtection="1">
      <alignment horizontal="left"/>
      <protection locked="0"/>
    </xf>
    <xf numFmtId="0" fontId="4" fillId="0" borderId="39" xfId="0" applyFont="1" applyBorder="1" applyAlignment="1">
      <alignment horizontal="center"/>
    </xf>
    <xf numFmtId="0" fontId="4" fillId="0" borderId="91" xfId="0" applyFont="1" applyBorder="1" applyAlignment="1" applyProtection="1">
      <alignment horizontal="center"/>
      <protection locked="0"/>
    </xf>
    <xf numFmtId="0" fontId="4" fillId="0" borderId="39" xfId="0" applyFont="1" applyBorder="1" applyProtection="1">
      <protection locked="0"/>
    </xf>
    <xf numFmtId="191" fontId="4" fillId="0" borderId="39" xfId="1" applyNumberFormat="1" applyFont="1" applyBorder="1" applyAlignment="1" applyProtection="1">
      <alignment horizontal="center"/>
    </xf>
    <xf numFmtId="0" fontId="64" fillId="0" borderId="39" xfId="0" applyFont="1" applyBorder="1"/>
    <xf numFmtId="0" fontId="83" fillId="0" borderId="12" xfId="0" applyFont="1" applyBorder="1" applyAlignment="1">
      <alignment horizontal="left"/>
    </xf>
    <xf numFmtId="0" fontId="83" fillId="0" borderId="6" xfId="0" applyFont="1" applyBorder="1" applyAlignment="1">
      <alignment horizontal="center"/>
    </xf>
    <xf numFmtId="0" fontId="83" fillId="0" borderId="51" xfId="0" applyFont="1" applyBorder="1" applyAlignment="1">
      <alignment horizontal="center"/>
    </xf>
    <xf numFmtId="0" fontId="64" fillId="0" borderId="6" xfId="0" applyFont="1" applyBorder="1"/>
    <xf numFmtId="0" fontId="83" fillId="6" borderId="22" xfId="0" applyFont="1" applyFill="1" applyBorder="1" applyAlignment="1">
      <alignment horizontal="left"/>
    </xf>
    <xf numFmtId="0" fontId="4" fillId="0" borderId="16" xfId="0" applyFont="1" applyBorder="1" applyAlignment="1">
      <alignment horizontal="left"/>
    </xf>
    <xf numFmtId="0" fontId="4" fillId="0" borderId="9" xfId="0" applyFont="1" applyBorder="1"/>
    <xf numFmtId="1" fontId="4" fillId="0" borderId="9" xfId="0" applyNumberFormat="1" applyFont="1" applyBorder="1" applyProtection="1">
      <protection locked="0"/>
    </xf>
    <xf numFmtId="1" fontId="4" fillId="3" borderId="109" xfId="0" applyNumberFormat="1" applyFont="1" applyFill="1" applyBorder="1" applyProtection="1">
      <protection locked="0"/>
    </xf>
    <xf numFmtId="177" fontId="4" fillId="15" borderId="109" xfId="2" applyNumberFormat="1" applyFont="1" applyFill="1" applyBorder="1" applyProtection="1">
      <protection locked="0"/>
    </xf>
    <xf numFmtId="169" fontId="4" fillId="0" borderId="9" xfId="0" applyNumberFormat="1" applyFont="1" applyBorder="1"/>
    <xf numFmtId="0" fontId="4" fillId="0" borderId="7" xfId="0" applyFont="1" applyBorder="1" applyAlignment="1">
      <alignment horizontal="left"/>
    </xf>
    <xf numFmtId="1" fontId="4" fillId="3" borderId="1" xfId="0" applyNumberFormat="1" applyFont="1" applyFill="1" applyBorder="1" applyProtection="1">
      <protection locked="0"/>
    </xf>
    <xf numFmtId="177" fontId="4" fillId="15" borderId="1" xfId="2" applyNumberFormat="1" applyFont="1" applyFill="1" applyBorder="1" applyProtection="1">
      <protection locked="0"/>
    </xf>
    <xf numFmtId="0" fontId="4" fillId="0" borderId="6" xfId="0" applyFont="1" applyBorder="1" applyAlignment="1">
      <alignment horizontal="left"/>
    </xf>
    <xf numFmtId="1" fontId="4" fillId="3" borderId="72" xfId="0" applyNumberFormat="1" applyFont="1" applyFill="1" applyBorder="1" applyProtection="1">
      <protection locked="0"/>
    </xf>
    <xf numFmtId="177" fontId="4" fillId="15" borderId="72" xfId="2" applyNumberFormat="1" applyFont="1" applyFill="1" applyBorder="1" applyProtection="1">
      <protection locked="0"/>
    </xf>
    <xf numFmtId="0" fontId="83" fillId="6" borderId="6" xfId="0" applyFont="1" applyFill="1" applyBorder="1" applyAlignment="1">
      <alignment horizontal="left"/>
    </xf>
    <xf numFmtId="0" fontId="4" fillId="0" borderId="9" xfId="0" applyFont="1" applyBorder="1" applyProtection="1">
      <protection locked="0"/>
    </xf>
    <xf numFmtId="167" fontId="5" fillId="0" borderId="61" xfId="2" applyFont="1" applyBorder="1" applyProtection="1">
      <protection locked="0"/>
    </xf>
    <xf numFmtId="1" fontId="4" fillId="3" borderId="67" xfId="0" applyNumberFormat="1" applyFont="1" applyFill="1" applyBorder="1" applyProtection="1">
      <protection locked="0"/>
    </xf>
    <xf numFmtId="0" fontId="4" fillId="0" borderId="6" xfId="0" applyFont="1" applyBorder="1" applyProtection="1">
      <protection locked="0"/>
    </xf>
    <xf numFmtId="177" fontId="4" fillId="0" borderId="6" xfId="0" applyNumberFormat="1" applyFont="1" applyBorder="1"/>
    <xf numFmtId="191" fontId="4" fillId="3" borderId="109" xfId="1" applyNumberFormat="1" applyFont="1" applyFill="1" applyBorder="1" applyAlignment="1" applyProtection="1">
      <alignment horizontal="left"/>
      <protection locked="0"/>
    </xf>
    <xf numFmtId="0" fontId="4" fillId="0" borderId="9" xfId="0" applyFont="1" applyBorder="1" applyAlignment="1" applyProtection="1">
      <alignment horizontal="left"/>
      <protection locked="0"/>
    </xf>
    <xf numFmtId="0" fontId="64" fillId="0" borderId="9" xfId="0" applyFont="1" applyBorder="1"/>
    <xf numFmtId="191" fontId="4" fillId="3" borderId="1" xfId="1" applyNumberFormat="1" applyFont="1" applyFill="1" applyBorder="1" applyProtection="1">
      <protection locked="0"/>
    </xf>
    <xf numFmtId="191" fontId="4" fillId="3" borderId="55" xfId="1" applyNumberFormat="1" applyFont="1" applyFill="1" applyBorder="1" applyProtection="1">
      <protection locked="0"/>
    </xf>
    <xf numFmtId="0" fontId="4" fillId="0" borderId="37" xfId="0" applyFont="1" applyBorder="1" applyProtection="1">
      <protection locked="0"/>
    </xf>
    <xf numFmtId="167" fontId="4" fillId="0" borderId="0" xfId="2" applyFont="1" applyBorder="1" applyProtection="1">
      <protection locked="0"/>
    </xf>
    <xf numFmtId="191" fontId="4" fillId="3" borderId="67" xfId="1" applyNumberFormat="1" applyFont="1" applyFill="1" applyBorder="1" applyProtection="1">
      <protection locked="0"/>
    </xf>
    <xf numFmtId="177" fontId="4" fillId="25" borderId="108" xfId="2" applyNumberFormat="1" applyFont="1" applyFill="1" applyBorder="1" applyAlignment="1" applyProtection="1">
      <alignment horizontal="center"/>
    </xf>
    <xf numFmtId="1" fontId="4" fillId="3" borderId="1" xfId="2" applyNumberFormat="1" applyFont="1" applyFill="1" applyBorder="1" applyProtection="1">
      <protection locked="0"/>
    </xf>
    <xf numFmtId="177" fontId="4" fillId="25" borderId="8" xfId="0" applyNumberFormat="1" applyFont="1" applyFill="1" applyBorder="1" applyAlignment="1">
      <alignment horizontal="center"/>
    </xf>
    <xf numFmtId="0" fontId="4" fillId="0" borderId="69" xfId="0" applyFont="1" applyBorder="1" applyAlignment="1" applyProtection="1">
      <alignment horizontal="left"/>
      <protection locked="0"/>
    </xf>
    <xf numFmtId="0" fontId="4" fillId="0" borderId="89" xfId="0" applyFont="1" applyBorder="1" applyAlignment="1" applyProtection="1">
      <alignment horizontal="left"/>
      <protection locked="0"/>
    </xf>
    <xf numFmtId="167" fontId="4" fillId="0" borderId="2" xfId="2" applyFont="1" applyBorder="1" applyProtection="1">
      <protection locked="0"/>
    </xf>
    <xf numFmtId="0" fontId="5" fillId="21" borderId="6" xfId="0" applyFont="1" applyFill="1" applyBorder="1" applyAlignment="1">
      <alignment horizontal="center"/>
    </xf>
    <xf numFmtId="9" fontId="4" fillId="26" borderId="19" xfId="3" applyFont="1" applyFill="1" applyBorder="1" applyProtection="1">
      <protection locked="0"/>
    </xf>
    <xf numFmtId="0" fontId="4" fillId="26" borderId="6" xfId="0" applyFont="1" applyFill="1" applyBorder="1" applyProtection="1">
      <protection locked="0"/>
    </xf>
    <xf numFmtId="0" fontId="4" fillId="27" borderId="6" xfId="0" applyFont="1" applyFill="1" applyBorder="1"/>
    <xf numFmtId="0" fontId="64" fillId="27" borderId="6" xfId="0" applyFont="1" applyFill="1" applyBorder="1"/>
    <xf numFmtId="177" fontId="4" fillId="8" borderId="13" xfId="2" applyNumberFormat="1" applyFont="1" applyFill="1" applyBorder="1" applyAlignment="1" applyProtection="1">
      <alignment horizontal="center"/>
    </xf>
    <xf numFmtId="167" fontId="5" fillId="0" borderId="0" xfId="0" applyNumberFormat="1" applyFont="1" applyAlignment="1" applyProtection="1">
      <alignment horizontal="center"/>
      <protection locked="0"/>
    </xf>
    <xf numFmtId="0" fontId="5" fillId="37" borderId="0" xfId="0" applyFont="1" applyFill="1"/>
    <xf numFmtId="0" fontId="10" fillId="3" borderId="16" xfId="0" applyFont="1" applyFill="1" applyBorder="1" applyAlignment="1">
      <alignment horizontal="center"/>
    </xf>
    <xf numFmtId="0" fontId="8" fillId="0" borderId="41" xfId="1" applyNumberFormat="1" applyFont="1" applyBorder="1" applyAlignment="1" applyProtection="1">
      <alignment horizontal="center"/>
      <protection locked="0"/>
    </xf>
    <xf numFmtId="0" fontId="8" fillId="0" borderId="89" xfId="0" applyFont="1" applyBorder="1" applyAlignment="1" applyProtection="1">
      <alignment horizontal="center"/>
      <protection locked="0"/>
    </xf>
    <xf numFmtId="0" fontId="8" fillId="0" borderId="45" xfId="1" applyNumberFormat="1" applyFont="1" applyBorder="1" applyAlignment="1" applyProtection="1">
      <alignment horizontal="center"/>
      <protection locked="0"/>
    </xf>
    <xf numFmtId="0" fontId="3" fillId="0" borderId="111" xfId="0" applyFont="1" applyBorder="1"/>
    <xf numFmtId="0" fontId="65" fillId="3" borderId="37" xfId="0" applyFont="1" applyFill="1" applyBorder="1" applyProtection="1">
      <protection locked="0"/>
    </xf>
    <xf numFmtId="167" fontId="5" fillId="3" borderId="0" xfId="2" applyFont="1" applyFill="1" applyBorder="1" applyAlignment="1" applyProtection="1">
      <alignment horizontal="center"/>
      <protection locked="0"/>
    </xf>
    <xf numFmtId="2" fontId="5" fillId="3" borderId="0" xfId="0" applyNumberFormat="1" applyFont="1" applyFill="1" applyAlignment="1" applyProtection="1">
      <alignment horizontal="center"/>
      <protection locked="0"/>
    </xf>
    <xf numFmtId="0" fontId="5" fillId="3" borderId="37" xfId="0" applyFont="1" applyFill="1" applyBorder="1" applyProtection="1">
      <protection locked="0"/>
    </xf>
    <xf numFmtId="167" fontId="5" fillId="3" borderId="0" xfId="0" applyNumberFormat="1" applyFont="1" applyFill="1" applyAlignment="1" applyProtection="1">
      <alignment horizontal="center"/>
      <protection locked="0"/>
    </xf>
    <xf numFmtId="177" fontId="5" fillId="3" borderId="0" xfId="0" applyNumberFormat="1" applyFont="1" applyFill="1" applyAlignment="1" applyProtection="1">
      <alignment horizontal="center"/>
      <protection locked="0"/>
    </xf>
    <xf numFmtId="0" fontId="5" fillId="3" borderId="0" xfId="0" applyFont="1" applyFill="1" applyAlignment="1" applyProtection="1">
      <alignment horizontal="center"/>
      <protection locked="0"/>
    </xf>
    <xf numFmtId="0" fontId="5" fillId="3" borderId="38" xfId="0" applyFont="1" applyFill="1" applyBorder="1" applyProtection="1">
      <protection locked="0"/>
    </xf>
    <xf numFmtId="167" fontId="5" fillId="15" borderId="15" xfId="2" applyFont="1" applyFill="1" applyBorder="1" applyAlignment="1" applyProtection="1">
      <alignment horizontal="center"/>
      <protection locked="0"/>
    </xf>
    <xf numFmtId="167" fontId="5" fillId="15" borderId="60" xfId="2" applyFont="1" applyFill="1" applyBorder="1" applyAlignment="1" applyProtection="1">
      <alignment horizontal="center"/>
      <protection locked="0"/>
    </xf>
    <xf numFmtId="1" fontId="5" fillId="5" borderId="92" xfId="1" applyNumberFormat="1" applyFont="1" applyFill="1" applyBorder="1" applyAlignment="1" applyProtection="1">
      <alignment horizontal="center"/>
    </xf>
    <xf numFmtId="0" fontId="3" fillId="6" borderId="6" xfId="0" applyFont="1" applyFill="1" applyBorder="1" applyAlignment="1">
      <alignment horizontal="center"/>
    </xf>
    <xf numFmtId="197" fontId="1" fillId="27" borderId="91" xfId="0" applyNumberFormat="1" applyFont="1" applyFill="1" applyBorder="1" applyAlignment="1">
      <alignment horizontal="right"/>
    </xf>
    <xf numFmtId="0" fontId="1" fillId="27" borderId="90" xfId="0" applyFont="1" applyFill="1" applyBorder="1"/>
    <xf numFmtId="0" fontId="5" fillId="9" borderId="7" xfId="0" applyFont="1" applyFill="1" applyBorder="1" applyAlignment="1">
      <alignment horizontal="left"/>
    </xf>
    <xf numFmtId="0" fontId="1" fillId="0" borderId="28" xfId="0" applyFont="1" applyBorder="1"/>
    <xf numFmtId="0" fontId="1" fillId="0" borderId="29" xfId="0" applyFont="1" applyBorder="1"/>
    <xf numFmtId="0" fontId="1" fillId="0" borderId="30" xfId="0" applyFont="1" applyBorder="1"/>
    <xf numFmtId="0" fontId="0" fillId="0" borderId="131" xfId="0" applyBorder="1"/>
    <xf numFmtId="0" fontId="0" fillId="0" borderId="41" xfId="0" applyBorder="1"/>
    <xf numFmtId="0" fontId="0" fillId="0" borderId="74" xfId="0" applyBorder="1"/>
    <xf numFmtId="0" fontId="0" fillId="0" borderId="66" xfId="0" applyBorder="1"/>
    <xf numFmtId="0" fontId="0" fillId="0" borderId="122" xfId="0" applyBorder="1"/>
    <xf numFmtId="0" fontId="5" fillId="3" borderId="37" xfId="0" applyFont="1" applyFill="1" applyBorder="1" applyAlignment="1">
      <alignment horizontal="center"/>
    </xf>
    <xf numFmtId="0" fontId="5" fillId="3" borderId="45" xfId="0" applyFont="1" applyFill="1" applyBorder="1"/>
    <xf numFmtId="0" fontId="5" fillId="3" borderId="15" xfId="0" applyFont="1" applyFill="1" applyBorder="1"/>
    <xf numFmtId="0" fontId="0" fillId="0" borderId="59" xfId="0" applyBorder="1" applyAlignment="1">
      <alignment horizontal="center"/>
    </xf>
    <xf numFmtId="0" fontId="1" fillId="0" borderId="86" xfId="0" applyFont="1" applyBorder="1" applyAlignment="1">
      <alignment horizontal="center"/>
    </xf>
    <xf numFmtId="0" fontId="1" fillId="0" borderId="78" xfId="0" applyFont="1" applyBorder="1" applyAlignment="1">
      <alignment horizontal="center"/>
    </xf>
    <xf numFmtId="0" fontId="0" fillId="0" borderId="61" xfId="0" applyBorder="1" applyAlignment="1">
      <alignment horizontal="center"/>
    </xf>
    <xf numFmtId="0" fontId="5" fillId="0" borderId="133" xfId="5" applyFont="1" applyBorder="1" applyAlignment="1" applyProtection="1">
      <alignment horizontal="left"/>
      <protection locked="0"/>
    </xf>
    <xf numFmtId="0" fontId="5" fillId="0" borderId="134" xfId="5" applyFont="1" applyBorder="1" applyProtection="1">
      <protection locked="0"/>
    </xf>
    <xf numFmtId="37" fontId="4" fillId="3" borderId="135" xfId="5" applyNumberFormat="1" applyFont="1" applyFill="1" applyBorder="1"/>
    <xf numFmtId="191" fontId="8" fillId="0" borderId="134" xfId="5" applyNumberFormat="1" applyFont="1" applyBorder="1"/>
    <xf numFmtId="0" fontId="5" fillId="0" borderId="134" xfId="5" applyFont="1" applyBorder="1" applyAlignment="1" applyProtection="1">
      <alignment horizontal="center"/>
      <protection locked="0"/>
    </xf>
    <xf numFmtId="0" fontId="5" fillId="0" borderId="135" xfId="5" applyFont="1" applyBorder="1" applyAlignment="1" applyProtection="1">
      <alignment horizontal="center"/>
      <protection locked="0"/>
    </xf>
    <xf numFmtId="0" fontId="5" fillId="3" borderId="135" xfId="5" applyFont="1" applyFill="1" applyBorder="1" applyAlignment="1" applyProtection="1">
      <alignment horizontal="center"/>
      <protection locked="0"/>
    </xf>
    <xf numFmtId="167" fontId="5" fillId="0" borderId="136" xfId="2" applyFont="1" applyBorder="1" applyAlignment="1" applyProtection="1">
      <alignment horizontal="center"/>
      <protection locked="0"/>
    </xf>
    <xf numFmtId="0" fontId="5" fillId="0" borderId="136" xfId="5" applyFont="1" applyBorder="1" applyProtection="1">
      <protection locked="0"/>
    </xf>
    <xf numFmtId="0" fontId="5" fillId="0" borderId="137" xfId="5" applyFont="1" applyBorder="1" applyAlignment="1" applyProtection="1">
      <alignment horizontal="center"/>
      <protection locked="0"/>
    </xf>
    <xf numFmtId="186" fontId="5" fillId="6" borderId="110" xfId="0" applyNumberFormat="1" applyFont="1" applyFill="1" applyBorder="1" applyAlignment="1" applyProtection="1">
      <alignment horizontal="center"/>
      <protection locked="0"/>
    </xf>
    <xf numFmtId="191" fontId="5" fillId="6" borderId="9" xfId="1" applyNumberFormat="1" applyFont="1" applyFill="1" applyBorder="1" applyProtection="1">
      <protection locked="0"/>
    </xf>
    <xf numFmtId="169" fontId="5" fillId="6" borderId="42" xfId="0" applyNumberFormat="1" applyFont="1" applyFill="1" applyBorder="1" applyProtection="1">
      <protection locked="0"/>
    </xf>
    <xf numFmtId="167" fontId="5" fillId="15" borderId="42" xfId="2" applyFont="1" applyFill="1" applyBorder="1" applyProtection="1"/>
    <xf numFmtId="191" fontId="1" fillId="0" borderId="74" xfId="1" applyNumberFormat="1" applyFont="1" applyBorder="1" applyProtection="1"/>
    <xf numFmtId="191" fontId="1" fillId="0" borderId="41" xfId="1" applyNumberFormat="1" applyFont="1" applyBorder="1" applyProtection="1"/>
    <xf numFmtId="191" fontId="1" fillId="0" borderId="66" xfId="1" applyNumberFormat="1" applyFont="1" applyBorder="1" applyProtection="1"/>
    <xf numFmtId="177" fontId="1" fillId="0" borderId="7" xfId="2" applyNumberFormat="1" applyFont="1" applyBorder="1" applyProtection="1"/>
    <xf numFmtId="177" fontId="1" fillId="0" borderId="37" xfId="2" applyNumberFormat="1" applyFont="1" applyBorder="1" applyProtection="1"/>
    <xf numFmtId="177" fontId="1" fillId="0" borderId="8" xfId="2" applyNumberFormat="1" applyFont="1" applyBorder="1" applyProtection="1"/>
    <xf numFmtId="0" fontId="0" fillId="9" borderId="7" xfId="0" applyFill="1" applyBorder="1"/>
    <xf numFmtId="3" fontId="0" fillId="9" borderId="8" xfId="0" applyNumberFormat="1" applyFill="1" applyBorder="1"/>
    <xf numFmtId="0" fontId="5" fillId="0" borderId="138" xfId="5" applyFont="1" applyBorder="1" applyAlignment="1" applyProtection="1">
      <alignment horizontal="left"/>
      <protection locked="0"/>
    </xf>
    <xf numFmtId="0" fontId="5" fillId="0" borderId="139" xfId="5" applyFont="1" applyBorder="1" applyProtection="1">
      <protection locked="0"/>
    </xf>
    <xf numFmtId="37" fontId="4" fillId="3" borderId="140" xfId="5" applyNumberFormat="1" applyFont="1" applyFill="1" applyBorder="1"/>
    <xf numFmtId="191" fontId="8" fillId="0" borderId="139" xfId="5" applyNumberFormat="1" applyFont="1" applyBorder="1"/>
    <xf numFmtId="0" fontId="5" fillId="0" borderId="139" xfId="5" applyFont="1" applyBorder="1" applyAlignment="1" applyProtection="1">
      <alignment horizontal="center"/>
      <protection locked="0"/>
    </xf>
    <xf numFmtId="0" fontId="5" fillId="0" borderId="140" xfId="5" applyFont="1" applyBorder="1" applyAlignment="1" applyProtection="1">
      <alignment horizontal="center"/>
      <protection locked="0"/>
    </xf>
    <xf numFmtId="0" fontId="5" fillId="3" borderId="140" xfId="5" applyFont="1" applyFill="1" applyBorder="1" applyAlignment="1" applyProtection="1">
      <alignment horizontal="center"/>
      <protection locked="0"/>
    </xf>
    <xf numFmtId="167" fontId="5" fillId="0" borderId="141" xfId="2" applyFont="1" applyBorder="1" applyAlignment="1" applyProtection="1">
      <alignment horizontal="center"/>
      <protection locked="0"/>
    </xf>
    <xf numFmtId="0" fontId="5" fillId="0" borderId="141" xfId="5" applyFont="1" applyBorder="1" applyProtection="1">
      <protection locked="0"/>
    </xf>
    <xf numFmtId="0" fontId="5" fillId="0" borderId="142" xfId="5" applyFont="1" applyBorder="1" applyAlignment="1" applyProtection="1">
      <alignment horizontal="center"/>
      <protection locked="0"/>
    </xf>
    <xf numFmtId="169" fontId="5" fillId="6" borderId="45" xfId="0" applyNumberFormat="1" applyFont="1" applyFill="1" applyBorder="1" applyProtection="1">
      <protection locked="0"/>
    </xf>
    <xf numFmtId="191" fontId="1" fillId="0" borderId="37" xfId="1" applyNumberFormat="1" applyFont="1" applyBorder="1" applyProtection="1"/>
    <xf numFmtId="191" fontId="1" fillId="0" borderId="45" xfId="1" applyNumberFormat="1" applyFont="1" applyBorder="1" applyProtection="1"/>
    <xf numFmtId="37" fontId="4" fillId="3" borderId="140" xfId="5" applyNumberFormat="1" applyFont="1" applyFill="1" applyBorder="1" applyProtection="1">
      <protection locked="0"/>
    </xf>
    <xf numFmtId="191" fontId="8" fillId="0" borderId="139" xfId="5" applyNumberFormat="1" applyFont="1" applyBorder="1" applyProtection="1">
      <protection locked="0"/>
    </xf>
    <xf numFmtId="0" fontId="10" fillId="0" borderId="7" xfId="0" applyFont="1" applyBorder="1"/>
    <xf numFmtId="0" fontId="5" fillId="0" borderId="139" xfId="0" applyFont="1" applyBorder="1" applyAlignment="1" applyProtection="1">
      <alignment horizontal="left"/>
      <protection locked="0"/>
    </xf>
    <xf numFmtId="37" fontId="8" fillId="3" borderId="140" xfId="1" applyNumberFormat="1" applyFont="1" applyFill="1" applyBorder="1" applyProtection="1">
      <protection locked="0"/>
    </xf>
    <xf numFmtId="191" fontId="5" fillId="0" borderId="139" xfId="1" applyNumberFormat="1" applyFont="1" applyBorder="1" applyProtection="1">
      <protection locked="0"/>
    </xf>
    <xf numFmtId="0" fontId="5" fillId="0" borderId="139" xfId="0" applyFont="1" applyBorder="1" applyAlignment="1" applyProtection="1">
      <alignment horizontal="center"/>
      <protection locked="0"/>
    </xf>
    <xf numFmtId="0" fontId="5" fillId="0" borderId="140" xfId="0" applyFont="1" applyBorder="1" applyAlignment="1" applyProtection="1">
      <alignment horizontal="center"/>
      <protection locked="0"/>
    </xf>
    <xf numFmtId="0" fontId="5" fillId="3" borderId="140" xfId="0" applyFont="1" applyFill="1" applyBorder="1" applyAlignment="1" applyProtection="1">
      <alignment horizontal="center"/>
      <protection locked="0"/>
    </xf>
    <xf numFmtId="0" fontId="5" fillId="0" borderId="141" xfId="0" applyFont="1" applyBorder="1" applyProtection="1">
      <protection locked="0"/>
    </xf>
    <xf numFmtId="0" fontId="5" fillId="0" borderId="142" xfId="0" applyFont="1" applyBorder="1" applyAlignment="1" applyProtection="1">
      <alignment horizontal="center"/>
      <protection locked="0"/>
    </xf>
    <xf numFmtId="0" fontId="5" fillId="0" borderId="138" xfId="0" applyFont="1" applyBorder="1" applyAlignment="1" applyProtection="1">
      <alignment horizontal="left"/>
      <protection locked="0"/>
    </xf>
    <xf numFmtId="37" fontId="5" fillId="3" borderId="140" xfId="1" applyNumberFormat="1" applyFont="1" applyFill="1" applyBorder="1" applyProtection="1">
      <protection locked="0"/>
    </xf>
    <xf numFmtId="37" fontId="8" fillId="3" borderId="140" xfId="5" applyNumberFormat="1" applyFont="1" applyFill="1" applyBorder="1"/>
    <xf numFmtId="37" fontId="8" fillId="3" borderId="140" xfId="5" applyNumberFormat="1" applyFont="1" applyFill="1" applyBorder="1" applyProtection="1">
      <protection locked="0"/>
    </xf>
    <xf numFmtId="0" fontId="5" fillId="0" borderId="143" xfId="0" applyFont="1" applyBorder="1" applyAlignment="1" applyProtection="1">
      <alignment horizontal="left"/>
      <protection locked="0"/>
    </xf>
    <xf numFmtId="0" fontId="5" fillId="0" borderId="144" xfId="0" applyFont="1" applyBorder="1" applyAlignment="1" applyProtection="1">
      <alignment horizontal="left"/>
      <protection locked="0"/>
    </xf>
    <xf numFmtId="37" fontId="5" fillId="3" borderId="145" xfId="1" applyNumberFormat="1" applyFont="1" applyFill="1" applyBorder="1" applyProtection="1">
      <protection locked="0"/>
    </xf>
    <xf numFmtId="191" fontId="5" fillId="0" borderId="144" xfId="1" applyNumberFormat="1" applyFont="1" applyBorder="1" applyProtection="1">
      <protection locked="0"/>
    </xf>
    <xf numFmtId="0" fontId="5" fillId="0" borderId="144" xfId="0" applyFont="1" applyBorder="1" applyAlignment="1" applyProtection="1">
      <alignment horizontal="center"/>
      <protection locked="0"/>
    </xf>
    <xf numFmtId="0" fontId="5" fillId="0" borderId="145" xfId="0" applyFont="1" applyBorder="1" applyAlignment="1" applyProtection="1">
      <alignment horizontal="center"/>
      <protection locked="0"/>
    </xf>
    <xf numFmtId="0" fontId="5" fillId="3" borderId="145" xfId="0" applyFont="1" applyFill="1" applyBorder="1" applyAlignment="1" applyProtection="1">
      <alignment horizontal="center"/>
      <protection locked="0"/>
    </xf>
    <xf numFmtId="167" fontId="5" fillId="0" borderId="146" xfId="2" applyFont="1" applyBorder="1" applyAlignment="1" applyProtection="1">
      <alignment horizontal="center"/>
      <protection locked="0"/>
    </xf>
    <xf numFmtId="0" fontId="5" fillId="0" borderId="146" xfId="0" applyFont="1" applyBorder="1" applyProtection="1">
      <protection locked="0"/>
    </xf>
    <xf numFmtId="0" fontId="5" fillId="0" borderId="146" xfId="0" applyFont="1" applyBorder="1" applyAlignment="1" applyProtection="1">
      <alignment horizontal="center"/>
      <protection locked="0"/>
    </xf>
    <xf numFmtId="186" fontId="5" fillId="6" borderId="19" xfId="0" applyNumberFormat="1" applyFont="1" applyFill="1" applyBorder="1" applyAlignment="1" applyProtection="1">
      <alignment horizontal="center"/>
      <protection locked="0"/>
    </xf>
    <xf numFmtId="169" fontId="5" fillId="6" borderId="51" xfId="0" applyNumberFormat="1" applyFont="1" applyFill="1" applyBorder="1" applyProtection="1">
      <protection locked="0"/>
    </xf>
    <xf numFmtId="191" fontId="1" fillId="0" borderId="75" xfId="1" applyNumberFormat="1" applyFont="1" applyBorder="1" applyProtection="1"/>
    <xf numFmtId="191" fontId="1" fillId="0" borderId="2" xfId="1" applyNumberFormat="1" applyFont="1" applyBorder="1" applyProtection="1"/>
    <xf numFmtId="191" fontId="1" fillId="0" borderId="89" xfId="1" applyNumberFormat="1" applyFont="1" applyBorder="1" applyProtection="1"/>
    <xf numFmtId="0" fontId="0" fillId="9" borderId="12" xfId="0" applyFill="1" applyBorder="1"/>
    <xf numFmtId="191" fontId="0" fillId="9" borderId="6" xfId="0" applyNumberFormat="1" applyFill="1" applyBorder="1"/>
    <xf numFmtId="3" fontId="0" fillId="9" borderId="13" xfId="0" applyNumberFormat="1" applyFill="1" applyBorder="1"/>
    <xf numFmtId="177" fontId="87" fillId="0" borderId="16" xfId="2" applyNumberFormat="1" applyBorder="1" applyProtection="1"/>
    <xf numFmtId="177" fontId="87" fillId="0" borderId="9" xfId="2" applyNumberFormat="1" applyBorder="1" applyProtection="1"/>
    <xf numFmtId="177" fontId="87" fillId="0" borderId="110" xfId="2" applyNumberFormat="1" applyBorder="1" applyProtection="1"/>
    <xf numFmtId="177" fontId="87" fillId="0" borderId="42" xfId="2" applyNumberFormat="1" applyBorder="1" applyProtection="1"/>
    <xf numFmtId="177" fontId="87" fillId="0" borderId="17" xfId="2" applyNumberFormat="1" applyBorder="1" applyProtection="1"/>
    <xf numFmtId="177" fontId="84" fillId="9" borderId="0" xfId="0" applyNumberFormat="1" applyFont="1" applyFill="1"/>
    <xf numFmtId="177" fontId="87" fillId="0" borderId="38" xfId="2" applyNumberFormat="1" applyBorder="1" applyProtection="1"/>
    <xf numFmtId="177" fontId="87" fillId="0" borderId="51" xfId="2" applyNumberFormat="1" applyBorder="1" applyProtection="1"/>
    <xf numFmtId="1" fontId="5" fillId="3" borderId="55" xfId="0" applyNumberFormat="1" applyFont="1" applyFill="1" applyBorder="1" applyAlignment="1" applyProtection="1">
      <alignment horizontal="center"/>
      <protection locked="0"/>
    </xf>
    <xf numFmtId="10" fontId="5" fillId="3" borderId="32" xfId="3" applyNumberFormat="1" applyFont="1" applyFill="1" applyBorder="1" applyProtection="1">
      <protection locked="0"/>
    </xf>
    <xf numFmtId="0" fontId="3" fillId="9" borderId="7" xfId="0" applyFont="1" applyFill="1" applyBorder="1" applyProtection="1">
      <protection locked="0"/>
    </xf>
    <xf numFmtId="180" fontId="3" fillId="9" borderId="0" xfId="3" applyNumberFormat="1" applyFont="1" applyFill="1" applyBorder="1" applyAlignment="1" applyProtection="1">
      <alignment horizontal="center"/>
    </xf>
    <xf numFmtId="0" fontId="3" fillId="34" borderId="21" xfId="0" applyFont="1" applyFill="1" applyBorder="1" applyProtection="1">
      <protection locked="0"/>
    </xf>
    <xf numFmtId="167" fontId="65" fillId="34" borderId="22" xfId="2" applyFont="1" applyFill="1" applyBorder="1" applyAlignment="1" applyProtection="1">
      <alignment horizontal="center"/>
      <protection locked="0"/>
    </xf>
    <xf numFmtId="180" fontId="3" fillId="34" borderId="22" xfId="3" applyNumberFormat="1" applyFont="1" applyFill="1" applyBorder="1" applyAlignment="1" applyProtection="1">
      <alignment horizontal="center"/>
    </xf>
    <xf numFmtId="180" fontId="5" fillId="34" borderId="22" xfId="3" applyNumberFormat="1" applyFont="1" applyFill="1" applyBorder="1" applyAlignment="1" applyProtection="1">
      <alignment horizontal="center"/>
      <protection locked="0"/>
    </xf>
    <xf numFmtId="10" fontId="5" fillId="34" borderId="22" xfId="3" applyNumberFormat="1" applyFont="1" applyFill="1" applyBorder="1" applyAlignment="1" applyProtection="1">
      <alignment horizontal="center"/>
      <protection locked="0"/>
    </xf>
    <xf numFmtId="10" fontId="5" fillId="34" borderId="23" xfId="3" applyNumberFormat="1" applyFont="1" applyFill="1" applyBorder="1" applyAlignment="1" applyProtection="1">
      <alignment horizontal="center"/>
      <protection locked="0"/>
    </xf>
    <xf numFmtId="169" fontId="65" fillId="3" borderId="0" xfId="0" applyNumberFormat="1" applyFont="1" applyFill="1" applyProtection="1">
      <protection locked="0"/>
    </xf>
    <xf numFmtId="169" fontId="5" fillId="3" borderId="0" xfId="0" applyNumberFormat="1" applyFont="1" applyFill="1" applyProtection="1">
      <protection locked="0"/>
    </xf>
    <xf numFmtId="178" fontId="5" fillId="3" borderId="0" xfId="0" applyNumberFormat="1" applyFont="1" applyFill="1" applyProtection="1">
      <protection locked="0"/>
    </xf>
    <xf numFmtId="169" fontId="5" fillId="3" borderId="0" xfId="0" applyNumberFormat="1" applyFont="1" applyFill="1" applyAlignment="1" applyProtection="1">
      <alignment horizontal="left"/>
      <protection locked="0"/>
    </xf>
    <xf numFmtId="0" fontId="5" fillId="6" borderId="100" xfId="0" applyFont="1" applyFill="1" applyBorder="1"/>
    <xf numFmtId="0" fontId="5" fillId="6" borderId="5" xfId="0" applyFont="1" applyFill="1" applyBorder="1"/>
    <xf numFmtId="0" fontId="5" fillId="6" borderId="102" xfId="0" applyFont="1" applyFill="1" applyBorder="1"/>
    <xf numFmtId="0" fontId="5" fillId="21" borderId="0" xfId="0" applyFont="1" applyFill="1"/>
    <xf numFmtId="0" fontId="5" fillId="0" borderId="0" xfId="0" applyFont="1" applyAlignment="1">
      <alignment horizontal="left" indent="6"/>
    </xf>
    <xf numFmtId="9" fontId="5" fillId="9" borderId="6" xfId="3" applyFont="1" applyFill="1" applyBorder="1" applyProtection="1">
      <protection locked="0"/>
    </xf>
    <xf numFmtId="191" fontId="5" fillId="9" borderId="6" xfId="1" applyNumberFormat="1" applyFont="1" applyFill="1" applyBorder="1" applyAlignment="1" applyProtection="1">
      <alignment horizontal="center"/>
    </xf>
    <xf numFmtId="177" fontId="5" fillId="9" borderId="6" xfId="2" applyNumberFormat="1" applyFont="1" applyFill="1" applyBorder="1" applyAlignment="1" applyProtection="1">
      <alignment horizontal="center"/>
    </xf>
    <xf numFmtId="0" fontId="65" fillId="0" borderId="0" xfId="0" applyFont="1"/>
    <xf numFmtId="177" fontId="5" fillId="0" borderId="6" xfId="0" applyNumberFormat="1" applyFont="1" applyBorder="1" applyProtection="1">
      <protection locked="0"/>
    </xf>
    <xf numFmtId="167" fontId="5" fillId="15" borderId="110" xfId="2" applyFont="1" applyFill="1" applyBorder="1" applyAlignment="1" applyProtection="1">
      <alignment horizontal="right"/>
      <protection locked="0"/>
    </xf>
    <xf numFmtId="1" fontId="5" fillId="9" borderId="42" xfId="1" applyNumberFormat="1" applyFont="1" applyFill="1" applyBorder="1" applyProtection="1">
      <protection locked="0"/>
    </xf>
    <xf numFmtId="0" fontId="5" fillId="3" borderId="109" xfId="0" applyFont="1" applyFill="1" applyBorder="1" applyAlignment="1" applyProtection="1">
      <alignment horizontal="center"/>
      <protection locked="0"/>
    </xf>
    <xf numFmtId="1" fontId="5" fillId="9" borderId="45" xfId="1" applyNumberFormat="1" applyFont="1" applyFill="1" applyBorder="1" applyProtection="1">
      <protection locked="0"/>
    </xf>
    <xf numFmtId="191" fontId="5" fillId="3" borderId="55" xfId="1" applyNumberFormat="1" applyFont="1" applyFill="1" applyBorder="1" applyAlignment="1" applyProtection="1">
      <alignment horizontal="left"/>
      <protection locked="0"/>
    </xf>
    <xf numFmtId="1" fontId="5" fillId="9" borderId="45" xfId="1" applyNumberFormat="1" applyFont="1" applyFill="1" applyBorder="1" applyAlignment="1" applyProtection="1">
      <alignment horizontal="left"/>
      <protection locked="0"/>
    </xf>
    <xf numFmtId="0" fontId="5" fillId="9" borderId="57" xfId="0" applyFont="1" applyFill="1" applyBorder="1"/>
    <xf numFmtId="1" fontId="5" fillId="9" borderId="45" xfId="0" applyNumberFormat="1" applyFont="1" applyFill="1" applyBorder="1" applyProtection="1">
      <protection locked="0"/>
    </xf>
    <xf numFmtId="191" fontId="5" fillId="36" borderId="67" xfId="1" applyNumberFormat="1" applyFont="1" applyFill="1" applyBorder="1" applyProtection="1">
      <protection locked="0"/>
    </xf>
    <xf numFmtId="0" fontId="5" fillId="36" borderId="0" xfId="0" applyFont="1" applyFill="1" applyProtection="1">
      <protection locked="0"/>
    </xf>
    <xf numFmtId="167" fontId="5" fillId="36" borderId="37" xfId="2" applyFont="1" applyFill="1" applyBorder="1" applyAlignment="1" applyProtection="1">
      <alignment horizontal="right"/>
      <protection locked="0"/>
    </xf>
    <xf numFmtId="1" fontId="5" fillId="36" borderId="45" xfId="0" applyNumberFormat="1" applyFont="1" applyFill="1" applyBorder="1" applyProtection="1">
      <protection locked="0"/>
    </xf>
    <xf numFmtId="0" fontId="5" fillId="36" borderId="0" xfId="0" applyFont="1" applyFill="1"/>
    <xf numFmtId="0" fontId="21" fillId="36" borderId="0" xfId="0" applyFont="1" applyFill="1"/>
    <xf numFmtId="177" fontId="5" fillId="15" borderId="37" xfId="2" applyNumberFormat="1" applyFont="1" applyFill="1" applyBorder="1" applyAlignment="1" applyProtection="1">
      <alignment horizontal="right"/>
      <protection locked="0"/>
    </xf>
    <xf numFmtId="177" fontId="5" fillId="9" borderId="45" xfId="2" applyNumberFormat="1" applyFont="1" applyFill="1" applyBorder="1" applyAlignment="1" applyProtection="1">
      <alignment horizontal="left"/>
      <protection locked="0"/>
    </xf>
    <xf numFmtId="191" fontId="5" fillId="3" borderId="72" xfId="1" applyNumberFormat="1" applyFont="1" applyFill="1" applyBorder="1" applyProtection="1">
      <protection locked="0"/>
    </xf>
    <xf numFmtId="177" fontId="5" fillId="15" borderId="38" xfId="2" applyNumberFormat="1" applyFont="1" applyFill="1" applyBorder="1" applyAlignment="1" applyProtection="1">
      <alignment horizontal="right"/>
      <protection locked="0"/>
    </xf>
    <xf numFmtId="177" fontId="5" fillId="9" borderId="51" xfId="2" applyNumberFormat="1" applyFont="1" applyFill="1" applyBorder="1" applyProtection="1">
      <protection locked="0"/>
    </xf>
    <xf numFmtId="0" fontId="5" fillId="34" borderId="9" xfId="0" applyFont="1" applyFill="1" applyBorder="1" applyProtection="1">
      <protection locked="0"/>
    </xf>
    <xf numFmtId="0" fontId="5" fillId="0" borderId="41" xfId="0" applyFont="1" applyBorder="1" applyAlignment="1">
      <alignment horizontal="right"/>
    </xf>
    <xf numFmtId="0" fontId="0" fillId="34" borderId="0" xfId="0" applyFill="1"/>
    <xf numFmtId="0" fontId="3" fillId="0" borderId="75" xfId="0" applyFont="1" applyBorder="1"/>
    <xf numFmtId="0" fontId="5" fillId="34" borderId="8" xfId="0" applyFont="1" applyFill="1" applyBorder="1"/>
    <xf numFmtId="0" fontId="5" fillId="34" borderId="6" xfId="0" applyFont="1" applyFill="1" applyBorder="1"/>
    <xf numFmtId="169" fontId="5" fillId="0" borderId="0" xfId="0" applyNumberFormat="1" applyFont="1" applyAlignment="1">
      <alignment horizontal="left"/>
    </xf>
    <xf numFmtId="178" fontId="5" fillId="0" borderId="0" xfId="0" applyNumberFormat="1" applyFont="1"/>
    <xf numFmtId="0" fontId="1" fillId="6" borderId="43" xfId="0" applyFont="1" applyFill="1" applyBorder="1" applyAlignment="1">
      <alignment horizontal="left"/>
    </xf>
    <xf numFmtId="0" fontId="1" fillId="6" borderId="75" xfId="0" applyFont="1" applyFill="1" applyBorder="1" applyAlignment="1">
      <alignment horizontal="left"/>
    </xf>
    <xf numFmtId="0" fontId="1" fillId="6" borderId="90" xfId="0" applyFont="1" applyFill="1" applyBorder="1" applyAlignment="1">
      <alignment horizontal="left"/>
    </xf>
    <xf numFmtId="14" fontId="5" fillId="9" borderId="0" xfId="0" applyNumberFormat="1" applyFont="1" applyFill="1" applyAlignment="1" applyProtection="1">
      <alignment horizontal="center"/>
      <protection locked="0"/>
    </xf>
    <xf numFmtId="0" fontId="5" fillId="3" borderId="26" xfId="0" applyFont="1" applyFill="1" applyBorder="1" applyAlignment="1">
      <alignment horizontal="center"/>
    </xf>
    <xf numFmtId="0" fontId="5" fillId="3" borderId="22" xfId="0" applyFont="1" applyFill="1" applyBorder="1" applyAlignment="1">
      <alignment horizontal="center"/>
    </xf>
    <xf numFmtId="0" fontId="5" fillId="3" borderId="103" xfId="0" applyFont="1" applyFill="1" applyBorder="1" applyAlignment="1">
      <alignment horizontal="center"/>
    </xf>
    <xf numFmtId="167" fontId="5" fillId="0" borderId="3" xfId="2" applyFont="1" applyBorder="1" applyAlignment="1" applyProtection="1">
      <alignment horizontal="left"/>
    </xf>
    <xf numFmtId="0" fontId="5" fillId="3" borderId="3" xfId="0" applyFont="1" applyFill="1" applyBorder="1" applyAlignment="1">
      <alignment horizontal="center"/>
    </xf>
    <xf numFmtId="167" fontId="5" fillId="0" borderId="3" xfId="2" applyFont="1" applyBorder="1" applyProtection="1"/>
    <xf numFmtId="0" fontId="10" fillId="3" borderId="101" xfId="0" applyFont="1" applyFill="1" applyBorder="1" applyAlignment="1">
      <alignment horizontal="center" wrapText="1"/>
    </xf>
    <xf numFmtId="0" fontId="3" fillId="3" borderId="101" xfId="0" applyFont="1" applyFill="1" applyBorder="1" applyAlignment="1">
      <alignment horizontal="center"/>
    </xf>
    <xf numFmtId="0" fontId="3" fillId="13" borderId="101" xfId="0" applyFont="1" applyFill="1" applyBorder="1" applyAlignment="1">
      <alignment horizontal="center" wrapText="1"/>
    </xf>
    <xf numFmtId="0" fontId="3" fillId="38" borderId="101" xfId="0" applyFont="1" applyFill="1" applyBorder="1" applyAlignment="1">
      <alignment horizontal="center"/>
    </xf>
    <xf numFmtId="0" fontId="5" fillId="38" borderId="101" xfId="0" applyFont="1" applyFill="1" applyBorder="1" applyAlignment="1">
      <alignment horizontal="center"/>
    </xf>
    <xf numFmtId="0" fontId="3" fillId="10" borderId="101" xfId="0" applyFont="1" applyFill="1" applyBorder="1" applyAlignment="1">
      <alignment horizontal="center" wrapText="1"/>
    </xf>
    <xf numFmtId="0" fontId="3" fillId="21" borderId="101" xfId="0" applyFont="1" applyFill="1" applyBorder="1" applyAlignment="1">
      <alignment horizontal="center"/>
    </xf>
    <xf numFmtId="0" fontId="3" fillId="21" borderId="101" xfId="0" applyFont="1" applyFill="1" applyBorder="1" applyAlignment="1">
      <alignment horizontal="center" wrapText="1"/>
    </xf>
    <xf numFmtId="0" fontId="3" fillId="20" borderId="101" xfId="0" applyFont="1" applyFill="1" applyBorder="1" applyAlignment="1">
      <alignment horizontal="center" wrapText="1"/>
    </xf>
    <xf numFmtId="193" fontId="5" fillId="0" borderId="0" xfId="0" applyNumberFormat="1" applyFont="1"/>
    <xf numFmtId="0" fontId="3" fillId="0" borderId="147" xfId="0" applyFont="1" applyBorder="1"/>
    <xf numFmtId="0" fontId="5" fillId="0" borderId="147" xfId="0" applyFont="1" applyBorder="1"/>
    <xf numFmtId="0" fontId="1" fillId="0" borderId="7" xfId="0" applyFont="1" applyBorder="1" applyAlignment="1">
      <alignment horizontal="center" vertical="center"/>
    </xf>
    <xf numFmtId="0" fontId="1" fillId="0" borderId="8" xfId="0" applyFont="1" applyBorder="1" applyAlignment="1">
      <alignment horizontal="right" vertical="center"/>
    </xf>
    <xf numFmtId="0" fontId="1" fillId="0" borderId="7" xfId="0" applyFont="1" applyBorder="1" applyAlignment="1">
      <alignment horizontal="right" vertical="center"/>
    </xf>
    <xf numFmtId="0" fontId="5" fillId="0" borderId="148" xfId="0" applyFont="1" applyBorder="1" applyProtection="1">
      <protection locked="0"/>
    </xf>
    <xf numFmtId="0" fontId="5" fillId="0" borderId="83" xfId="0" applyFont="1" applyBorder="1" applyProtection="1">
      <protection locked="0"/>
    </xf>
    <xf numFmtId="0" fontId="5" fillId="0" borderId="149" xfId="0" applyFont="1" applyBorder="1" applyProtection="1">
      <protection locked="0"/>
    </xf>
    <xf numFmtId="0" fontId="8" fillId="0" borderId="81" xfId="5" applyFont="1" applyBorder="1" applyAlignment="1" applyProtection="1">
      <alignment horizontal="center"/>
      <protection locked="0"/>
    </xf>
    <xf numFmtId="0" fontId="5" fillId="0" borderId="81" xfId="5" applyFont="1" applyBorder="1" applyAlignment="1" applyProtection="1">
      <alignment horizontal="center"/>
      <protection locked="0"/>
    </xf>
    <xf numFmtId="193" fontId="5" fillId="39" borderId="82" xfId="5" applyNumberFormat="1" applyFont="1" applyFill="1" applyBorder="1" applyProtection="1">
      <protection locked="0"/>
    </xf>
    <xf numFmtId="193" fontId="11" fillId="39" borderId="81" xfId="5" applyNumberFormat="1" applyFont="1" applyFill="1" applyBorder="1" applyAlignment="1" applyProtection="1">
      <alignment horizontal="center"/>
      <protection locked="0"/>
    </xf>
    <xf numFmtId="183" fontId="5" fillId="0" borderId="81" xfId="2" applyNumberFormat="1" applyFont="1" applyBorder="1" applyProtection="1">
      <protection locked="0"/>
    </xf>
    <xf numFmtId="193" fontId="5" fillId="0" borderId="89" xfId="0" applyNumberFormat="1" applyFont="1" applyBorder="1" applyProtection="1">
      <protection locked="0"/>
    </xf>
    <xf numFmtId="0" fontId="5" fillId="40" borderId="89" xfId="0" applyFont="1" applyFill="1" applyBorder="1" applyAlignment="1" applyProtection="1">
      <alignment horizontal="center"/>
      <protection locked="0"/>
    </xf>
    <xf numFmtId="0" fontId="5" fillId="40" borderId="67" xfId="0" applyFont="1" applyFill="1" applyBorder="1" applyAlignment="1" applyProtection="1">
      <alignment horizontal="center"/>
      <protection locked="0"/>
    </xf>
    <xf numFmtId="0" fontId="5" fillId="40" borderId="81" xfId="0" applyFont="1" applyFill="1" applyBorder="1" applyProtection="1">
      <protection locked="0"/>
    </xf>
    <xf numFmtId="0" fontId="5" fillId="41" borderId="67" xfId="0" applyFont="1" applyFill="1" applyBorder="1" applyAlignment="1">
      <alignment horizontal="center"/>
    </xf>
    <xf numFmtId="191" fontId="5" fillId="41" borderId="89" xfId="1" applyNumberFormat="1" applyFont="1" applyFill="1" applyBorder="1" applyProtection="1"/>
    <xf numFmtId="183" fontId="5" fillId="42" borderId="89" xfId="0" applyNumberFormat="1" applyFont="1" applyFill="1" applyBorder="1"/>
    <xf numFmtId="183" fontId="5" fillId="42" borderId="89" xfId="2" applyNumberFormat="1" applyFont="1" applyFill="1" applyBorder="1" applyProtection="1"/>
    <xf numFmtId="183" fontId="5" fillId="43" borderId="89" xfId="2" applyNumberFormat="1" applyFont="1" applyFill="1" applyBorder="1" applyProtection="1"/>
    <xf numFmtId="9" fontId="5" fillId="0" borderId="0" xfId="3" applyFont="1" applyBorder="1" applyProtection="1"/>
    <xf numFmtId="167" fontId="5" fillId="0" borderId="45" xfId="0" applyNumberFormat="1" applyFont="1" applyBorder="1"/>
    <xf numFmtId="208" fontId="1" fillId="0" borderId="17" xfId="0" applyNumberFormat="1" applyFont="1" applyBorder="1"/>
    <xf numFmtId="197" fontId="1" fillId="0" borderId="16" xfId="0" applyNumberFormat="1" applyFont="1" applyBorder="1"/>
    <xf numFmtId="177" fontId="0" fillId="0" borderId="114" xfId="0" applyNumberFormat="1" applyBorder="1"/>
    <xf numFmtId="0" fontId="5" fillId="0" borderId="2" xfId="0" applyFont="1" applyBorder="1" applyProtection="1">
      <protection locked="0"/>
    </xf>
    <xf numFmtId="0" fontId="5" fillId="0" borderId="89" xfId="0" applyFont="1" applyBorder="1" applyProtection="1">
      <protection locked="0"/>
    </xf>
    <xf numFmtId="0" fontId="8" fillId="0" borderId="67" xfId="5" applyFont="1" applyBorder="1" applyAlignment="1" applyProtection="1">
      <alignment horizontal="center"/>
      <protection locked="0"/>
    </xf>
    <xf numFmtId="0" fontId="5" fillId="0" borderId="67" xfId="5" applyFont="1" applyBorder="1" applyAlignment="1" applyProtection="1">
      <alignment horizontal="center"/>
      <protection locked="0"/>
    </xf>
    <xf numFmtId="193" fontId="5" fillId="39" borderId="75" xfId="5" applyNumberFormat="1" applyFont="1" applyFill="1" applyBorder="1" applyProtection="1">
      <protection locked="0"/>
    </xf>
    <xf numFmtId="193" fontId="11" fillId="39" borderId="67" xfId="5" applyNumberFormat="1" applyFont="1" applyFill="1" applyBorder="1" applyAlignment="1" applyProtection="1">
      <alignment horizontal="center"/>
      <protection locked="0"/>
    </xf>
    <xf numFmtId="183" fontId="5" fillId="0" borderId="67" xfId="2" applyNumberFormat="1" applyFont="1" applyBorder="1" applyProtection="1">
      <protection locked="0"/>
    </xf>
    <xf numFmtId="0" fontId="5" fillId="40" borderId="57" xfId="0" applyFont="1" applyFill="1" applyBorder="1" applyAlignment="1" applyProtection="1">
      <alignment horizontal="center"/>
      <protection locked="0"/>
    </xf>
    <xf numFmtId="0" fontId="5" fillId="40" borderId="1" xfId="0" applyFont="1" applyFill="1" applyBorder="1" applyAlignment="1" applyProtection="1">
      <alignment horizontal="center"/>
      <protection locked="0"/>
    </xf>
    <xf numFmtId="0" fontId="5" fillId="40" borderId="1" xfId="0" applyFont="1" applyFill="1" applyBorder="1" applyProtection="1">
      <protection locked="0"/>
    </xf>
    <xf numFmtId="208" fontId="1" fillId="0" borderId="8" xfId="0" applyNumberFormat="1" applyFont="1" applyBorder="1"/>
    <xf numFmtId="183" fontId="5" fillId="0" borderId="0" xfId="0" applyNumberFormat="1" applyFont="1"/>
    <xf numFmtId="0" fontId="8" fillId="0" borderId="19" xfId="5" applyFont="1" applyBorder="1" applyAlignment="1" applyProtection="1">
      <alignment horizontal="center"/>
      <protection locked="0"/>
    </xf>
    <xf numFmtId="0" fontId="5" fillId="0" borderId="19" xfId="5" applyFont="1" applyBorder="1" applyAlignment="1" applyProtection="1">
      <alignment horizontal="center"/>
      <protection locked="0"/>
    </xf>
    <xf numFmtId="193" fontId="5" fillId="39" borderId="38" xfId="5" applyNumberFormat="1" applyFont="1" applyFill="1" applyBorder="1" applyProtection="1">
      <protection locked="0"/>
    </xf>
    <xf numFmtId="193" fontId="11" fillId="39" borderId="19" xfId="5" applyNumberFormat="1" applyFont="1" applyFill="1" applyBorder="1" applyAlignment="1" applyProtection="1">
      <alignment horizontal="center"/>
      <protection locked="0"/>
    </xf>
    <xf numFmtId="183" fontId="5" fillId="0" borderId="19" xfId="2" applyNumberFormat="1" applyFont="1" applyBorder="1" applyProtection="1">
      <protection locked="0"/>
    </xf>
    <xf numFmtId="193" fontId="5" fillId="0" borderId="51" xfId="0" applyNumberFormat="1" applyFont="1" applyBorder="1" applyProtection="1">
      <protection locked="0"/>
    </xf>
    <xf numFmtId="0" fontId="5" fillId="40" borderId="120" xfId="0" applyFont="1" applyFill="1" applyBorder="1" applyAlignment="1" applyProtection="1">
      <alignment horizontal="center"/>
      <protection locked="0"/>
    </xf>
    <xf numFmtId="0" fontId="5" fillId="40" borderId="72" xfId="0" applyFont="1" applyFill="1" applyBorder="1" applyAlignment="1" applyProtection="1">
      <alignment horizontal="center"/>
      <protection locked="0"/>
    </xf>
    <xf numFmtId="0" fontId="5" fillId="40" borderId="72" xfId="0" applyFont="1" applyFill="1" applyBorder="1" applyProtection="1">
      <protection locked="0"/>
    </xf>
    <xf numFmtId="0" fontId="5" fillId="41" borderId="51" xfId="0" applyFont="1" applyFill="1" applyBorder="1" applyAlignment="1">
      <alignment horizontal="center"/>
    </xf>
    <xf numFmtId="191" fontId="5" fillId="41" borderId="51" xfId="1" applyNumberFormat="1" applyFont="1" applyFill="1" applyBorder="1" applyProtection="1"/>
    <xf numFmtId="183" fontId="5" fillId="42" borderId="51" xfId="0" applyNumberFormat="1" applyFont="1" applyFill="1" applyBorder="1"/>
    <xf numFmtId="183" fontId="5" fillId="42" borderId="51" xfId="2" applyNumberFormat="1" applyFont="1" applyFill="1" applyBorder="1" applyProtection="1"/>
    <xf numFmtId="183" fontId="5" fillId="43" borderId="51" xfId="2" applyNumberFormat="1" applyFont="1" applyFill="1" applyBorder="1" applyProtection="1"/>
    <xf numFmtId="167" fontId="5" fillId="0" borderId="2" xfId="0" applyNumberFormat="1" applyFont="1" applyBorder="1"/>
    <xf numFmtId="167" fontId="5" fillId="0" borderId="89" xfId="0" applyNumberFormat="1" applyFont="1" applyBorder="1"/>
    <xf numFmtId="208" fontId="1" fillId="0" borderId="13" xfId="0" applyNumberFormat="1" applyFont="1" applyBorder="1"/>
    <xf numFmtId="197" fontId="1" fillId="0" borderId="12" xfId="0" applyNumberFormat="1" applyFont="1" applyBorder="1"/>
    <xf numFmtId="177" fontId="0" fillId="0" borderId="20" xfId="0" applyNumberFormat="1" applyBorder="1"/>
    <xf numFmtId="0" fontId="5" fillId="45" borderId="12" xfId="0" applyFont="1" applyFill="1" applyBorder="1" applyAlignment="1">
      <alignment horizontal="left"/>
    </xf>
    <xf numFmtId="0" fontId="5" fillId="45" borderId="6" xfId="0" applyFont="1" applyFill="1" applyBorder="1" applyAlignment="1">
      <alignment horizontal="left"/>
    </xf>
    <xf numFmtId="0" fontId="8" fillId="45" borderId="6" xfId="5" applyFont="1" applyFill="1" applyBorder="1" applyAlignment="1">
      <alignment horizontal="center"/>
    </xf>
    <xf numFmtId="0" fontId="5" fillId="45" borderId="6" xfId="5" applyFont="1" applyFill="1" applyBorder="1" applyAlignment="1" applyProtection="1">
      <alignment horizontal="center"/>
      <protection locked="0"/>
    </xf>
    <xf numFmtId="193" fontId="5" fillId="45" borderId="6" xfId="5" applyNumberFormat="1" applyFont="1" applyFill="1" applyBorder="1" applyProtection="1">
      <protection locked="0"/>
    </xf>
    <xf numFmtId="193" fontId="5" fillId="45" borderId="6" xfId="5" applyNumberFormat="1" applyFont="1" applyFill="1" applyBorder="1" applyAlignment="1" applyProtection="1">
      <alignment horizontal="center"/>
      <protection locked="0"/>
    </xf>
    <xf numFmtId="167" fontId="5" fillId="45" borderId="6" xfId="2" applyFont="1" applyFill="1" applyBorder="1" applyProtection="1"/>
    <xf numFmtId="193" fontId="5" fillId="45" borderId="6" xfId="0" applyNumberFormat="1" applyFont="1" applyFill="1" applyBorder="1"/>
    <xf numFmtId="0" fontId="5" fillId="45" borderId="6" xfId="0" applyFont="1" applyFill="1" applyBorder="1" applyAlignment="1">
      <alignment horizontal="center"/>
    </xf>
    <xf numFmtId="0" fontId="5" fillId="45" borderId="6" xfId="0" applyFont="1" applyFill="1" applyBorder="1"/>
    <xf numFmtId="193" fontId="5" fillId="45" borderId="6" xfId="2" applyNumberFormat="1" applyFont="1" applyFill="1" applyBorder="1" applyProtection="1"/>
    <xf numFmtId="177" fontId="3" fillId="45" borderId="6" xfId="2" applyNumberFormat="1" applyFont="1" applyFill="1" applyBorder="1" applyAlignment="1" applyProtection="1">
      <alignment horizontal="right"/>
    </xf>
    <xf numFmtId="177" fontId="3" fillId="45" borderId="13" xfId="2" applyNumberFormat="1" applyFont="1" applyFill="1" applyBorder="1" applyAlignment="1" applyProtection="1">
      <alignment horizontal="right"/>
    </xf>
    <xf numFmtId="167" fontId="5" fillId="0" borderId="41" xfId="0" applyNumberFormat="1" applyFont="1" applyBorder="1"/>
    <xf numFmtId="167" fontId="5" fillId="0" borderId="66" xfId="0" applyNumberFormat="1" applyFont="1" applyBorder="1"/>
    <xf numFmtId="177" fontId="0" fillId="0" borderId="24" xfId="0" applyNumberFormat="1" applyBorder="1"/>
    <xf numFmtId="0" fontId="13" fillId="3" borderId="101" xfId="5" applyFont="1" applyFill="1" applyBorder="1" applyAlignment="1">
      <alignment horizontal="center" wrapText="1"/>
    </xf>
    <xf numFmtId="0" fontId="3" fillId="3" borderId="101" xfId="5" applyFont="1" applyFill="1" applyBorder="1" applyAlignment="1" applyProtection="1">
      <alignment horizontal="center"/>
      <protection locked="0"/>
    </xf>
    <xf numFmtId="193" fontId="3" fillId="13" borderId="101" xfId="5" applyNumberFormat="1" applyFont="1" applyFill="1" applyBorder="1" applyAlignment="1" applyProtection="1">
      <alignment horizontal="center"/>
      <protection locked="0"/>
    </xf>
    <xf numFmtId="167" fontId="3" fillId="3" borderId="101" xfId="2" applyFont="1" applyFill="1" applyBorder="1" applyAlignment="1" applyProtection="1">
      <alignment horizontal="center" wrapText="1"/>
    </xf>
    <xf numFmtId="193" fontId="3" fillId="3" borderId="101" xfId="0" applyNumberFormat="1" applyFont="1" applyFill="1" applyBorder="1" applyAlignment="1">
      <alignment horizontal="center" wrapText="1"/>
    </xf>
    <xf numFmtId="0" fontId="3" fillId="38" borderId="101" xfId="0" applyFont="1" applyFill="1" applyBorder="1" applyAlignment="1">
      <alignment horizontal="center" wrapText="1"/>
    </xf>
    <xf numFmtId="0" fontId="3" fillId="10" borderId="101" xfId="0" applyFont="1" applyFill="1" applyBorder="1" applyAlignment="1">
      <alignment horizontal="center" wrapText="1" shrinkToFit="1"/>
    </xf>
    <xf numFmtId="193" fontId="3" fillId="21" borderId="101" xfId="0" applyNumberFormat="1" applyFont="1" applyFill="1" applyBorder="1" applyAlignment="1">
      <alignment horizontal="center"/>
    </xf>
    <xf numFmtId="193" fontId="3" fillId="20" borderId="101" xfId="0" applyNumberFormat="1" applyFont="1" applyFill="1" applyBorder="1" applyAlignment="1">
      <alignment horizontal="center" wrapText="1"/>
    </xf>
    <xf numFmtId="0" fontId="5" fillId="40" borderId="83" xfId="0" applyFont="1" applyFill="1" applyBorder="1" applyAlignment="1" applyProtection="1">
      <alignment horizontal="center"/>
      <protection locked="0"/>
    </xf>
    <xf numFmtId="0" fontId="5" fillId="40" borderId="81" xfId="0" applyFont="1" applyFill="1" applyBorder="1" applyAlignment="1" applyProtection="1">
      <alignment horizontal="center"/>
      <protection locked="0"/>
    </xf>
    <xf numFmtId="0" fontId="5" fillId="40" borderId="149" xfId="0" applyFont="1" applyFill="1" applyBorder="1" applyAlignment="1" applyProtection="1">
      <alignment horizontal="center"/>
      <protection locked="0"/>
    </xf>
    <xf numFmtId="0" fontId="5" fillId="41" borderId="81" xfId="0" applyFont="1" applyFill="1" applyBorder="1" applyAlignment="1">
      <alignment horizontal="center"/>
    </xf>
    <xf numFmtId="191" fontId="5" fillId="41" borderId="89" xfId="0" applyNumberFormat="1" applyFont="1" applyFill="1" applyBorder="1"/>
    <xf numFmtId="193" fontId="5" fillId="43" borderId="89" xfId="2" applyNumberFormat="1" applyFont="1" applyFill="1" applyBorder="1" applyProtection="1"/>
    <xf numFmtId="0" fontId="5" fillId="40" borderId="56" xfId="0" applyFont="1" applyFill="1" applyBorder="1" applyAlignment="1" applyProtection="1">
      <alignment horizontal="center"/>
      <protection locked="0"/>
    </xf>
    <xf numFmtId="176" fontId="11" fillId="39" borderId="67" xfId="5" applyNumberFormat="1" applyFont="1" applyFill="1" applyBorder="1" applyAlignment="1" applyProtection="1">
      <alignment horizontal="center"/>
      <protection locked="0"/>
    </xf>
    <xf numFmtId="0" fontId="5" fillId="0" borderId="94" xfId="0" applyFont="1" applyBorder="1" applyProtection="1">
      <protection locked="0"/>
    </xf>
    <xf numFmtId="0" fontId="5" fillId="0" borderId="56" xfId="0" applyFont="1" applyBorder="1" applyAlignment="1" applyProtection="1">
      <alignment horizontal="left"/>
      <protection locked="0"/>
    </xf>
    <xf numFmtId="0" fontId="8" fillId="0" borderId="1" xfId="5" applyFont="1" applyBorder="1" applyAlignment="1" applyProtection="1">
      <alignment horizontal="center"/>
      <protection locked="0"/>
    </xf>
    <xf numFmtId="0" fontId="5" fillId="0" borderId="1" xfId="5" applyFont="1" applyBorder="1" applyAlignment="1" applyProtection="1">
      <alignment horizontal="center"/>
      <protection locked="0"/>
    </xf>
    <xf numFmtId="193" fontId="5" fillId="39" borderId="46" xfId="5" applyNumberFormat="1" applyFont="1" applyFill="1" applyBorder="1" applyProtection="1">
      <protection locked="0"/>
    </xf>
    <xf numFmtId="176" fontId="11" fillId="39" borderId="1" xfId="5" applyNumberFormat="1" applyFont="1" applyFill="1" applyBorder="1" applyAlignment="1" applyProtection="1">
      <alignment horizontal="center"/>
      <protection locked="0"/>
    </xf>
    <xf numFmtId="183" fontId="5" fillId="0" borderId="1" xfId="2" applyNumberFormat="1" applyFont="1" applyBorder="1" applyProtection="1">
      <protection locked="0"/>
    </xf>
    <xf numFmtId="193" fontId="5" fillId="0" borderId="57" xfId="0" applyNumberFormat="1" applyFont="1" applyBorder="1" applyProtection="1">
      <protection locked="0"/>
    </xf>
    <xf numFmtId="183" fontId="5" fillId="42" borderId="57" xfId="0" applyNumberFormat="1" applyFont="1" applyFill="1" applyBorder="1"/>
    <xf numFmtId="183" fontId="5" fillId="42" borderId="57" xfId="2" applyNumberFormat="1" applyFont="1" applyFill="1" applyBorder="1" applyProtection="1"/>
    <xf numFmtId="0" fontId="8" fillId="0" borderId="15" xfId="5" applyFont="1" applyBorder="1" applyAlignment="1" applyProtection="1">
      <alignment horizontal="center"/>
      <protection locked="0"/>
    </xf>
    <xf numFmtId="0" fontId="5" fillId="0" borderId="15" xfId="5" applyFont="1" applyBorder="1" applyAlignment="1" applyProtection="1">
      <alignment horizontal="center"/>
      <protection locked="0"/>
    </xf>
    <xf numFmtId="193" fontId="5" fillId="39" borderId="37" xfId="5" applyNumberFormat="1" applyFont="1" applyFill="1" applyBorder="1" applyProtection="1">
      <protection locked="0"/>
    </xf>
    <xf numFmtId="176" fontId="11" fillId="39" borderId="15" xfId="5" applyNumberFormat="1" applyFont="1" applyFill="1" applyBorder="1" applyAlignment="1" applyProtection="1">
      <alignment horizontal="center"/>
      <protection locked="0"/>
    </xf>
    <xf numFmtId="183" fontId="5" fillId="0" borderId="15" xfId="2" applyNumberFormat="1" applyFont="1" applyBorder="1" applyProtection="1">
      <protection locked="0"/>
    </xf>
    <xf numFmtId="193" fontId="5" fillId="0" borderId="45" xfId="0" applyNumberFormat="1" applyFont="1" applyBorder="1" applyProtection="1">
      <protection locked="0"/>
    </xf>
    <xf numFmtId="0" fontId="5" fillId="40" borderId="0" xfId="0" applyFont="1" applyFill="1" applyAlignment="1" applyProtection="1">
      <alignment horizontal="center"/>
      <protection locked="0"/>
    </xf>
    <xf numFmtId="0" fontId="5" fillId="40" borderId="15" xfId="0" applyFont="1" applyFill="1" applyBorder="1" applyAlignment="1" applyProtection="1">
      <alignment horizontal="center"/>
      <protection locked="0"/>
    </xf>
    <xf numFmtId="0" fontId="5" fillId="40" borderId="45" xfId="0" applyFont="1" applyFill="1" applyBorder="1" applyAlignment="1" applyProtection="1">
      <alignment horizontal="center"/>
      <protection locked="0"/>
    </xf>
    <xf numFmtId="0" fontId="5" fillId="41" borderId="15" xfId="0" applyFont="1" applyFill="1" applyBorder="1" applyAlignment="1">
      <alignment horizontal="center"/>
    </xf>
    <xf numFmtId="191" fontId="5" fillId="41" borderId="45" xfId="0" applyNumberFormat="1" applyFont="1" applyFill="1" applyBorder="1"/>
    <xf numFmtId="183" fontId="5" fillId="42" borderId="45" xfId="0" applyNumberFormat="1" applyFont="1" applyFill="1" applyBorder="1"/>
    <xf numFmtId="183" fontId="5" fillId="42" borderId="45" xfId="2" applyNumberFormat="1" applyFont="1" applyFill="1" applyBorder="1" applyProtection="1"/>
    <xf numFmtId="193" fontId="5" fillId="43" borderId="45" xfId="2" applyNumberFormat="1" applyFont="1" applyFill="1" applyBorder="1" applyProtection="1"/>
    <xf numFmtId="0" fontId="5" fillId="45" borderId="21" xfId="0" applyFont="1" applyFill="1" applyBorder="1" applyAlignment="1">
      <alignment horizontal="left"/>
    </xf>
    <xf numFmtId="0" fontId="5" fillId="45" borderId="22" xfId="0" applyFont="1" applyFill="1" applyBorder="1" applyAlignment="1">
      <alignment horizontal="left"/>
    </xf>
    <xf numFmtId="0" fontId="5" fillId="45" borderId="22" xfId="5" applyFont="1" applyFill="1" applyBorder="1" applyAlignment="1">
      <alignment horizontal="center"/>
    </xf>
    <xf numFmtId="0" fontId="5" fillId="45" borderId="22" xfId="5" applyFont="1" applyFill="1" applyBorder="1" applyAlignment="1" applyProtection="1">
      <alignment horizontal="center"/>
      <protection locked="0"/>
    </xf>
    <xf numFmtId="176" fontId="5" fillId="45" borderId="22" xfId="5" applyNumberFormat="1" applyFont="1" applyFill="1" applyBorder="1" applyProtection="1">
      <protection locked="0"/>
    </xf>
    <xf numFmtId="176" fontId="5" fillId="45" borderId="22" xfId="5" applyNumberFormat="1" applyFont="1" applyFill="1" applyBorder="1" applyAlignment="1" applyProtection="1">
      <alignment horizontal="center"/>
      <protection locked="0"/>
    </xf>
    <xf numFmtId="167" fontId="5" fillId="45" borderId="22" xfId="2" applyFont="1" applyFill="1" applyBorder="1" applyProtection="1"/>
    <xf numFmtId="193" fontId="5" fillId="45" borderId="22" xfId="0" applyNumberFormat="1" applyFont="1" applyFill="1" applyBorder="1"/>
    <xf numFmtId="0" fontId="5" fillId="45" borderId="22" xfId="0" applyFont="1" applyFill="1" applyBorder="1" applyAlignment="1">
      <alignment horizontal="center"/>
    </xf>
    <xf numFmtId="0" fontId="5" fillId="45" borderId="22" xfId="0" applyFont="1" applyFill="1" applyBorder="1"/>
    <xf numFmtId="167" fontId="5" fillId="45" borderId="22" xfId="0" applyNumberFormat="1" applyFont="1" applyFill="1" applyBorder="1"/>
    <xf numFmtId="177" fontId="5" fillId="45" borderId="22" xfId="0" applyNumberFormat="1" applyFont="1" applyFill="1" applyBorder="1"/>
    <xf numFmtId="177" fontId="3" fillId="45" borderId="22" xfId="2" applyNumberFormat="1" applyFont="1" applyFill="1" applyBorder="1" applyAlignment="1" applyProtection="1">
      <alignment horizontal="center"/>
    </xf>
    <xf numFmtId="177" fontId="3" fillId="45" borderId="23" xfId="2" applyNumberFormat="1" applyFont="1" applyFill="1" applyBorder="1" applyAlignment="1" applyProtection="1">
      <alignment horizontal="center"/>
    </xf>
    <xf numFmtId="0" fontId="10" fillId="3" borderId="101" xfId="5" applyFont="1" applyFill="1" applyBorder="1" applyAlignment="1">
      <alignment horizontal="center" wrapText="1"/>
    </xf>
    <xf numFmtId="176" fontId="3" fillId="13" borderId="101" xfId="5" applyNumberFormat="1" applyFont="1" applyFill="1" applyBorder="1" applyProtection="1">
      <protection locked="0"/>
    </xf>
    <xf numFmtId="176" fontId="3" fillId="13" borderId="101" xfId="5" applyNumberFormat="1" applyFont="1" applyFill="1" applyBorder="1" applyAlignment="1" applyProtection="1">
      <alignment horizontal="center"/>
      <protection locked="0"/>
    </xf>
    <xf numFmtId="0" fontId="3" fillId="10" borderId="101" xfId="0" applyFont="1" applyFill="1" applyBorder="1" applyAlignment="1">
      <alignment horizontal="center"/>
    </xf>
    <xf numFmtId="167" fontId="3" fillId="21" borderId="101" xfId="0" applyNumberFormat="1" applyFont="1" applyFill="1" applyBorder="1" applyAlignment="1">
      <alignment horizontal="center"/>
    </xf>
    <xf numFmtId="167" fontId="3" fillId="20" borderId="101" xfId="0" applyNumberFormat="1" applyFont="1" applyFill="1" applyBorder="1" applyAlignment="1">
      <alignment horizontal="center" wrapText="1"/>
    </xf>
    <xf numFmtId="183" fontId="5" fillId="39" borderId="82" xfId="2" applyNumberFormat="1" applyFont="1" applyFill="1" applyBorder="1" applyProtection="1">
      <protection locked="0"/>
    </xf>
    <xf numFmtId="177" fontId="11" fillId="39" borderId="81" xfId="2" applyNumberFormat="1" applyFont="1" applyFill="1" applyBorder="1" applyAlignment="1" applyProtection="1">
      <alignment horizontal="center"/>
      <protection locked="0"/>
    </xf>
    <xf numFmtId="193" fontId="5" fillId="0" borderId="149" xfId="0" applyNumberFormat="1" applyFont="1" applyBorder="1" applyProtection="1">
      <protection locked="0"/>
    </xf>
    <xf numFmtId="191" fontId="5" fillId="41" borderId="67" xfId="1" applyNumberFormat="1" applyFont="1" applyFill="1" applyBorder="1" applyProtection="1"/>
    <xf numFmtId="1" fontId="5" fillId="41" borderId="89" xfId="0" applyNumberFormat="1" applyFont="1" applyFill="1" applyBorder="1" applyAlignment="1">
      <alignment horizontal="center"/>
    </xf>
    <xf numFmtId="183" fontId="5" fillId="39" borderId="75" xfId="2" applyNumberFormat="1" applyFont="1" applyFill="1" applyBorder="1" applyProtection="1">
      <protection locked="0"/>
    </xf>
    <xf numFmtId="177" fontId="11" fillId="39" borderId="67" xfId="2" applyNumberFormat="1" applyFont="1" applyFill="1" applyBorder="1" applyAlignment="1" applyProtection="1">
      <alignment horizontal="center"/>
      <protection locked="0"/>
    </xf>
    <xf numFmtId="2" fontId="5" fillId="40" borderId="1" xfId="0" applyNumberFormat="1" applyFont="1" applyFill="1" applyBorder="1" applyAlignment="1" applyProtection="1">
      <alignment horizontal="center"/>
      <protection locked="0"/>
    </xf>
    <xf numFmtId="183" fontId="5" fillId="39" borderId="1" xfId="2" applyNumberFormat="1" applyFont="1" applyFill="1" applyBorder="1" applyProtection="1">
      <protection locked="0"/>
    </xf>
    <xf numFmtId="0" fontId="11" fillId="39" borderId="1" xfId="5" applyFont="1" applyFill="1" applyBorder="1" applyAlignment="1" applyProtection="1">
      <alignment horizontal="center"/>
      <protection locked="0"/>
    </xf>
    <xf numFmtId="193" fontId="5" fillId="0" borderId="1" xfId="0" applyNumberFormat="1" applyFont="1" applyBorder="1" applyProtection="1">
      <protection locked="0"/>
    </xf>
    <xf numFmtId="0" fontId="5" fillId="0" borderId="1" xfId="0" applyFont="1" applyBorder="1" applyProtection="1">
      <protection locked="0"/>
    </xf>
    <xf numFmtId="183" fontId="5" fillId="39" borderId="38" xfId="2" applyNumberFormat="1" applyFont="1" applyFill="1" applyBorder="1" applyProtection="1">
      <protection locked="0"/>
    </xf>
    <xf numFmtId="0" fontId="11" fillId="39" borderId="19" xfId="5" applyFont="1" applyFill="1" applyBorder="1" applyAlignment="1" applyProtection="1">
      <alignment horizontal="center"/>
      <protection locked="0"/>
    </xf>
    <xf numFmtId="0" fontId="5" fillId="40" borderId="19" xfId="0" applyFont="1" applyFill="1" applyBorder="1" applyAlignment="1" applyProtection="1">
      <alignment horizontal="center"/>
      <protection locked="0"/>
    </xf>
    <xf numFmtId="191" fontId="5" fillId="41" borderId="45" xfId="1" applyNumberFormat="1" applyFont="1" applyFill="1" applyBorder="1" applyProtection="1"/>
    <xf numFmtId="1" fontId="5" fillId="41" borderId="45" xfId="0" applyNumberFormat="1" applyFont="1" applyFill="1" applyBorder="1" applyAlignment="1">
      <alignment horizontal="center"/>
    </xf>
    <xf numFmtId="0" fontId="3" fillId="3" borderId="101" xfId="5" applyFont="1" applyFill="1" applyBorder="1" applyAlignment="1">
      <alignment horizontal="center"/>
    </xf>
    <xf numFmtId="0" fontId="3" fillId="13" borderId="101" xfId="5" applyFont="1" applyFill="1" applyBorder="1"/>
    <xf numFmtId="0" fontId="3" fillId="13" borderId="101" xfId="5" applyFont="1" applyFill="1" applyBorder="1" applyAlignment="1">
      <alignment horizontal="center"/>
    </xf>
    <xf numFmtId="9" fontId="5" fillId="0" borderId="7" xfId="3" applyFont="1" applyBorder="1" applyProtection="1"/>
    <xf numFmtId="167" fontId="11" fillId="39" borderId="81" xfId="2" applyFont="1" applyFill="1" applyBorder="1" applyAlignment="1" applyProtection="1">
      <alignment horizontal="center"/>
      <protection locked="0"/>
    </xf>
    <xf numFmtId="191" fontId="5" fillId="41" borderId="89" xfId="1" applyNumberFormat="1" applyFont="1" applyFill="1" applyBorder="1" applyAlignment="1" applyProtection="1">
      <alignment horizontal="center"/>
    </xf>
    <xf numFmtId="0" fontId="8" fillId="0" borderId="69" xfId="0" applyFont="1" applyBorder="1" applyProtection="1">
      <protection locked="0"/>
    </xf>
    <xf numFmtId="0" fontId="8" fillId="0" borderId="2" xfId="0" applyFont="1" applyBorder="1" applyProtection="1">
      <protection locked="0"/>
    </xf>
    <xf numFmtId="0" fontId="8" fillId="0" borderId="89" xfId="0" applyFont="1" applyBorder="1" applyProtection="1">
      <protection locked="0"/>
    </xf>
    <xf numFmtId="167" fontId="11" fillId="39" borderId="67" xfId="2" applyFont="1" applyFill="1" applyBorder="1" applyAlignment="1" applyProtection="1">
      <alignment horizontal="center"/>
      <protection locked="0"/>
    </xf>
    <xf numFmtId="183" fontId="5" fillId="39" borderId="75" xfId="5" applyNumberFormat="1" applyFont="1" applyFill="1" applyBorder="1" applyProtection="1">
      <protection locked="0"/>
    </xf>
    <xf numFmtId="0" fontId="5" fillId="0" borderId="112" xfId="0" applyFont="1" applyBorder="1"/>
    <xf numFmtId="167" fontId="5" fillId="0" borderId="112" xfId="0" applyNumberFormat="1" applyFont="1" applyBorder="1"/>
    <xf numFmtId="183" fontId="5" fillId="39" borderId="38" xfId="5" applyNumberFormat="1" applyFont="1" applyFill="1" applyBorder="1" applyProtection="1">
      <protection locked="0"/>
    </xf>
    <xf numFmtId="0" fontId="5" fillId="40" borderId="55" xfId="0" applyFont="1" applyFill="1" applyBorder="1" applyAlignment="1" applyProtection="1">
      <alignment horizontal="center"/>
      <protection locked="0"/>
    </xf>
    <xf numFmtId="0" fontId="5" fillId="41" borderId="45" xfId="0" applyFont="1" applyFill="1" applyBorder="1" applyAlignment="1">
      <alignment horizontal="center"/>
    </xf>
    <xf numFmtId="191" fontId="5" fillId="41" borderId="45" xfId="1" applyNumberFormat="1" applyFont="1" applyFill="1" applyBorder="1" applyAlignment="1" applyProtection="1">
      <alignment horizontal="center"/>
    </xf>
    <xf numFmtId="208" fontId="1" fillId="0" borderId="33" xfId="0" applyNumberFormat="1" applyFont="1" applyBorder="1"/>
    <xf numFmtId="193" fontId="5" fillId="0" borderId="9" xfId="0" applyNumberFormat="1" applyFont="1" applyBorder="1"/>
    <xf numFmtId="191" fontId="5" fillId="0" borderId="9" xfId="1" applyNumberFormat="1" applyFont="1" applyBorder="1" applyProtection="1"/>
    <xf numFmtId="177" fontId="5" fillId="0" borderId="9" xfId="2" applyNumberFormat="1" applyFont="1" applyBorder="1" applyProtection="1"/>
    <xf numFmtId="0" fontId="5" fillId="26" borderId="0" xfId="0" applyFont="1" applyFill="1"/>
    <xf numFmtId="0" fontId="5" fillId="26" borderId="0" xfId="0" applyFont="1" applyFill="1" applyAlignment="1">
      <alignment horizontal="right"/>
    </xf>
    <xf numFmtId="0" fontId="0" fillId="0" borderId="0" xfId="0" applyAlignment="1" applyProtection="1">
      <alignment horizontal="center"/>
      <protection locked="0"/>
    </xf>
    <xf numFmtId="0" fontId="0" fillId="3" borderId="35" xfId="0" applyFill="1" applyBorder="1"/>
    <xf numFmtId="0" fontId="0" fillId="3" borderId="42" xfId="0" applyFill="1" applyBorder="1"/>
    <xf numFmtId="0" fontId="0" fillId="3" borderId="17" xfId="0" applyFill="1" applyBorder="1"/>
    <xf numFmtId="0" fontId="0" fillId="3" borderId="0" xfId="0" applyFill="1"/>
    <xf numFmtId="207" fontId="5" fillId="0" borderId="0" xfId="0" applyNumberFormat="1" applyFont="1" applyAlignment="1" applyProtection="1">
      <alignment horizontal="center"/>
      <protection locked="0"/>
    </xf>
    <xf numFmtId="186" fontId="5" fillId="0" borderId="8" xfId="2" applyNumberFormat="1" applyFont="1" applyBorder="1" applyAlignment="1" applyProtection="1">
      <alignment horizontal="center"/>
      <protection locked="0"/>
    </xf>
    <xf numFmtId="1" fontId="5" fillId="6" borderId="0" xfId="0" applyNumberFormat="1" applyFont="1" applyFill="1"/>
    <xf numFmtId="186" fontId="5" fillId="6" borderId="45" xfId="0" applyNumberFormat="1" applyFont="1" applyFill="1" applyBorder="1"/>
    <xf numFmtId="167" fontId="0" fillId="3" borderId="0" xfId="0" applyNumberFormat="1" applyFill="1"/>
    <xf numFmtId="179" fontId="0" fillId="3" borderId="0" xfId="0" applyNumberFormat="1" applyFill="1"/>
    <xf numFmtId="177" fontId="0" fillId="3" borderId="0" xfId="0" applyNumberFormat="1" applyFill="1"/>
    <xf numFmtId="2" fontId="5" fillId="3" borderId="14" xfId="0" applyNumberFormat="1" applyFont="1" applyFill="1" applyBorder="1" applyAlignment="1" applyProtection="1">
      <alignment horizontal="right"/>
      <protection locked="0"/>
    </xf>
    <xf numFmtId="2" fontId="5" fillId="3" borderId="14" xfId="0" applyNumberFormat="1" applyFont="1" applyFill="1" applyBorder="1" applyProtection="1">
      <protection locked="0"/>
    </xf>
    <xf numFmtId="1" fontId="5" fillId="0" borderId="24" xfId="0" applyNumberFormat="1" applyFont="1" applyBorder="1"/>
    <xf numFmtId="178" fontId="5" fillId="0" borderId="6" xfId="0" applyNumberFormat="1" applyFont="1" applyBorder="1"/>
    <xf numFmtId="0" fontId="5" fillId="9" borderId="0" xfId="0" applyFont="1" applyFill="1" applyProtection="1">
      <protection locked="0"/>
    </xf>
    <xf numFmtId="0" fontId="5" fillId="15" borderId="0" xfId="0" applyFont="1" applyFill="1"/>
    <xf numFmtId="177" fontId="5" fillId="5" borderId="8" xfId="2" applyNumberFormat="1" applyFont="1" applyFill="1" applyBorder="1" applyAlignment="1" applyProtection="1">
      <alignment horizontal="center"/>
    </xf>
    <xf numFmtId="9" fontId="5" fillId="3" borderId="57" xfId="3" applyFont="1" applyFill="1" applyBorder="1" applyAlignment="1" applyProtection="1">
      <alignment horizontal="center"/>
      <protection locked="0"/>
    </xf>
    <xf numFmtId="9" fontId="5" fillId="3" borderId="15" xfId="3" applyFont="1" applyFill="1" applyBorder="1" applyAlignment="1" applyProtection="1">
      <alignment horizontal="center" vertical="center"/>
      <protection locked="0"/>
    </xf>
    <xf numFmtId="9" fontId="5" fillId="3" borderId="55" xfId="3" applyFont="1" applyFill="1" applyBorder="1" applyAlignment="1" applyProtection="1">
      <alignment horizontal="center"/>
      <protection locked="0"/>
    </xf>
    <xf numFmtId="0" fontId="5" fillId="0" borderId="39" xfId="0" applyFont="1" applyBorder="1" applyAlignment="1">
      <alignment horizontal="center" vertical="center"/>
    </xf>
    <xf numFmtId="0" fontId="5" fillId="0" borderId="78" xfId="0" applyFont="1" applyBorder="1" applyAlignment="1">
      <alignment horizontal="center" vertical="center"/>
    </xf>
    <xf numFmtId="167" fontId="5" fillId="15" borderId="0" xfId="2" applyFont="1" applyFill="1" applyBorder="1" applyAlignment="1" applyProtection="1">
      <alignment horizontal="center"/>
      <protection locked="0"/>
    </xf>
    <xf numFmtId="9" fontId="5" fillId="3" borderId="19" xfId="3" applyFont="1" applyFill="1" applyBorder="1" applyAlignment="1" applyProtection="1">
      <alignment horizontal="center"/>
      <protection locked="0"/>
    </xf>
    <xf numFmtId="177" fontId="5" fillId="5" borderId="61" xfId="2" applyNumberFormat="1" applyFont="1" applyFill="1" applyBorder="1" applyAlignment="1" applyProtection="1">
      <alignment horizontal="center"/>
    </xf>
    <xf numFmtId="0" fontId="5" fillId="0" borderId="69" xfId="0" applyFont="1" applyBorder="1" applyAlignment="1">
      <alignment horizontal="left"/>
    </xf>
    <xf numFmtId="0" fontId="3" fillId="6" borderId="7" xfId="0" applyFont="1" applyFill="1" applyBorder="1" applyAlignment="1">
      <alignment horizontal="center"/>
    </xf>
    <xf numFmtId="177" fontId="5" fillId="5" borderId="13" xfId="2" applyNumberFormat="1" applyFont="1" applyFill="1" applyBorder="1" applyAlignment="1" applyProtection="1">
      <alignment horizontal="center"/>
    </xf>
    <xf numFmtId="177" fontId="87" fillId="0" borderId="39" xfId="2" applyNumberFormat="1" applyBorder="1" applyProtection="1"/>
    <xf numFmtId="191" fontId="5" fillId="15" borderId="109" xfId="1" applyNumberFormat="1" applyFont="1" applyFill="1" applyBorder="1" applyProtection="1">
      <protection locked="0"/>
    </xf>
    <xf numFmtId="177" fontId="5" fillId="5" borderId="108" xfId="2" applyNumberFormat="1" applyFont="1" applyFill="1" applyBorder="1" applyAlignment="1" applyProtection="1">
      <alignment horizontal="center"/>
    </xf>
    <xf numFmtId="191" fontId="5" fillId="15" borderId="1" xfId="1" applyNumberFormat="1" applyFont="1" applyFill="1" applyBorder="1" applyProtection="1">
      <protection locked="0"/>
    </xf>
    <xf numFmtId="194" fontId="5" fillId="3" borderId="1" xfId="2" applyNumberFormat="1" applyFont="1" applyFill="1" applyBorder="1" applyAlignment="1" applyProtection="1">
      <alignment horizontal="center"/>
      <protection locked="0"/>
    </xf>
    <xf numFmtId="1" fontId="5" fillId="0" borderId="39" xfId="0" applyNumberFormat="1" applyFont="1" applyBorder="1" applyAlignment="1" applyProtection="1">
      <alignment horizontal="center"/>
      <protection locked="0"/>
    </xf>
    <xf numFmtId="0" fontId="5" fillId="9" borderId="108" xfId="0" applyFont="1" applyFill="1" applyBorder="1" applyAlignment="1">
      <alignment horizontal="center"/>
    </xf>
    <xf numFmtId="177" fontId="5" fillId="15" borderId="55" xfId="2" applyNumberFormat="1" applyFont="1" applyFill="1" applyBorder="1" applyProtection="1">
      <protection locked="0"/>
    </xf>
    <xf numFmtId="177" fontId="5" fillId="15" borderId="19" xfId="2" applyNumberFormat="1" applyFont="1" applyFill="1" applyBorder="1" applyProtection="1">
      <protection locked="0"/>
    </xf>
    <xf numFmtId="9" fontId="5" fillId="26" borderId="19" xfId="3" applyFont="1" applyFill="1" applyBorder="1" applyProtection="1"/>
    <xf numFmtId="1" fontId="5" fillId="0" borderId="16" xfId="0" applyNumberFormat="1" applyFont="1" applyBorder="1"/>
    <xf numFmtId="1" fontId="5" fillId="0" borderId="9" xfId="0" applyNumberFormat="1" applyFont="1" applyBorder="1"/>
    <xf numFmtId="177" fontId="5" fillId="0" borderId="17" xfId="2" applyNumberFormat="1" applyFont="1" applyBorder="1" applyProtection="1"/>
    <xf numFmtId="1" fontId="5" fillId="0" borderId="7" xfId="0" applyNumberFormat="1" applyFont="1" applyBorder="1"/>
    <xf numFmtId="177" fontId="5" fillId="9" borderId="13" xfId="2" applyNumberFormat="1" applyFont="1" applyFill="1" applyBorder="1" applyAlignment="1" applyProtection="1">
      <alignment horizontal="right"/>
    </xf>
    <xf numFmtId="1" fontId="5" fillId="0" borderId="1" xfId="0" applyNumberFormat="1" applyFont="1" applyBorder="1"/>
    <xf numFmtId="0" fontId="5" fillId="0" borderId="57" xfId="0" applyFont="1" applyBorder="1"/>
    <xf numFmtId="200" fontId="1" fillId="6" borderId="67" xfId="0" applyNumberFormat="1" applyFont="1" applyFill="1" applyBorder="1" applyAlignment="1">
      <alignment horizontal="right"/>
    </xf>
    <xf numFmtId="1" fontId="5" fillId="0" borderId="46" xfId="0" applyNumberFormat="1" applyFont="1" applyBorder="1"/>
    <xf numFmtId="177" fontId="5" fillId="0" borderId="1" xfId="0" applyNumberFormat="1" applyFont="1" applyBorder="1"/>
    <xf numFmtId="1" fontId="5" fillId="0" borderId="55" xfId="0" applyNumberFormat="1" applyFont="1" applyBorder="1"/>
    <xf numFmtId="1" fontId="5" fillId="0" borderId="74" xfId="0" applyNumberFormat="1" applyFont="1" applyBorder="1"/>
    <xf numFmtId="177" fontId="5" fillId="0" borderId="55" xfId="0" applyNumberFormat="1" applyFont="1" applyBorder="1"/>
    <xf numFmtId="1" fontId="5" fillId="0" borderId="25" xfId="0" applyNumberFormat="1" applyFont="1" applyBorder="1"/>
    <xf numFmtId="1" fontId="5" fillId="0" borderId="104" xfId="0" applyNumberFormat="1" applyFont="1" applyBorder="1"/>
    <xf numFmtId="0" fontId="5" fillId="0" borderId="103" xfId="0" applyFont="1" applyBorder="1"/>
    <xf numFmtId="177" fontId="5" fillId="0" borderId="27" xfId="0" applyNumberFormat="1" applyFont="1" applyBorder="1"/>
    <xf numFmtId="1" fontId="5" fillId="0" borderId="67" xfId="0" applyNumberFormat="1" applyFont="1" applyBorder="1"/>
    <xf numFmtId="1" fontId="5" fillId="0" borderId="75" xfId="0" applyNumberFormat="1" applyFont="1" applyBorder="1"/>
    <xf numFmtId="177" fontId="5" fillId="0" borderId="67" xfId="0" applyNumberFormat="1" applyFont="1" applyBorder="1"/>
    <xf numFmtId="177" fontId="5" fillId="0" borderId="1" xfId="2" applyNumberFormat="1" applyFont="1" applyBorder="1" applyProtection="1"/>
    <xf numFmtId="0" fontId="5" fillId="14" borderId="0" xfId="0" applyFont="1" applyFill="1" applyAlignment="1">
      <alignment horizontal="left"/>
    </xf>
    <xf numFmtId="14" fontId="5" fillId="3" borderId="0" xfId="0" applyNumberFormat="1" applyFont="1" applyFill="1" applyAlignment="1" applyProtection="1">
      <alignment horizontal="center"/>
      <protection locked="0"/>
    </xf>
    <xf numFmtId="0" fontId="1" fillId="0" borderId="46" xfId="5" applyBorder="1"/>
    <xf numFmtId="0" fontId="1" fillId="0" borderId="56" xfId="5" applyBorder="1"/>
    <xf numFmtId="172" fontId="1" fillId="0" borderId="0" xfId="5" applyNumberFormat="1"/>
    <xf numFmtId="167" fontId="10" fillId="0" borderId="0" xfId="0" applyNumberFormat="1" applyFont="1" applyAlignment="1">
      <alignment horizontal="center"/>
    </xf>
    <xf numFmtId="0" fontId="10" fillId="0" borderId="91" xfId="0" applyFont="1" applyBorder="1" applyAlignment="1">
      <alignment horizontal="center"/>
    </xf>
    <xf numFmtId="0" fontId="0" fillId="0" borderId="121" xfId="0" applyBorder="1"/>
    <xf numFmtId="0" fontId="1" fillId="0" borderId="47" xfId="0" applyFont="1" applyBorder="1"/>
    <xf numFmtId="167" fontId="87" fillId="0" borderId="1" xfId="2" applyBorder="1" applyProtection="1"/>
    <xf numFmtId="167" fontId="0" fillId="0" borderId="45" xfId="0" applyNumberFormat="1" applyBorder="1"/>
    <xf numFmtId="0" fontId="1" fillId="0" borderId="53" xfId="0" applyFont="1" applyBorder="1"/>
    <xf numFmtId="167" fontId="87" fillId="0" borderId="72" xfId="2" applyBorder="1" applyProtection="1"/>
    <xf numFmtId="0" fontId="0" fillId="0" borderId="78" xfId="0" applyBorder="1"/>
    <xf numFmtId="0" fontId="1" fillId="0" borderId="98" xfId="0" applyFont="1" applyBorder="1"/>
    <xf numFmtId="167" fontId="87" fillId="0" borderId="98" xfId="2" applyBorder="1" applyProtection="1"/>
    <xf numFmtId="0" fontId="0" fillId="0" borderId="5" xfId="0" applyBorder="1"/>
    <xf numFmtId="167" fontId="0" fillId="0" borderId="101" xfId="0" applyNumberFormat="1" applyBorder="1"/>
    <xf numFmtId="170" fontId="87" fillId="0" borderId="1" xfId="2" applyNumberFormat="1" applyBorder="1" applyProtection="1"/>
    <xf numFmtId="167" fontId="0" fillId="0" borderId="51" xfId="0" applyNumberFormat="1" applyBorder="1"/>
    <xf numFmtId="0" fontId="1" fillId="0" borderId="60" xfId="0" applyFont="1" applyBorder="1"/>
    <xf numFmtId="0" fontId="1" fillId="0" borderId="39" xfId="0" applyFont="1" applyBorder="1" applyAlignment="1">
      <alignment horizontal="left"/>
    </xf>
    <xf numFmtId="167" fontId="87" fillId="0" borderId="60" xfId="2" applyBorder="1" applyProtection="1"/>
    <xf numFmtId="167" fontId="0" fillId="0" borderId="78" xfId="0" applyNumberFormat="1" applyBorder="1"/>
    <xf numFmtId="0" fontId="1" fillId="0" borderId="132" xfId="0" applyFont="1" applyBorder="1"/>
    <xf numFmtId="167" fontId="87" fillId="0" borderId="67" xfId="2" applyBorder="1" applyProtection="1"/>
    <xf numFmtId="167" fontId="87" fillId="0" borderId="5" xfId="2" applyBorder="1" applyProtection="1"/>
    <xf numFmtId="0" fontId="1" fillId="0" borderId="70" xfId="0" applyFont="1" applyBorder="1"/>
    <xf numFmtId="15" fontId="3" fillId="0" borderId="6" xfId="0" applyNumberFormat="1" applyFont="1" applyBorder="1" applyAlignment="1">
      <alignment horizontal="center"/>
    </xf>
    <xf numFmtId="0" fontId="5" fillId="14" borderId="44" xfId="0" applyFont="1" applyFill="1" applyBorder="1" applyAlignment="1">
      <alignment horizontal="left"/>
    </xf>
    <xf numFmtId="0" fontId="3" fillId="0" borderId="9" xfId="0" applyFont="1" applyBorder="1" applyAlignment="1">
      <alignment horizontal="center"/>
    </xf>
    <xf numFmtId="0" fontId="3" fillId="0" borderId="17" xfId="0" applyFont="1" applyBorder="1" applyAlignment="1">
      <alignment horizontal="center"/>
    </xf>
    <xf numFmtId="0" fontId="5" fillId="14" borderId="47" xfId="0" applyFont="1" applyFill="1" applyBorder="1" applyAlignment="1">
      <alignment horizontal="left"/>
    </xf>
    <xf numFmtId="0" fontId="5" fillId="14" borderId="113" xfId="0" applyFont="1" applyFill="1" applyBorder="1" applyAlignment="1" applyProtection="1">
      <alignment horizontal="left"/>
      <protection locked="0"/>
    </xf>
    <xf numFmtId="14" fontId="5" fillId="14" borderId="109" xfId="0" applyNumberFormat="1" applyFont="1" applyFill="1" applyBorder="1" applyAlignment="1" applyProtection="1">
      <alignment horizontal="center"/>
      <protection locked="0"/>
    </xf>
    <xf numFmtId="14" fontId="5" fillId="14" borderId="114" xfId="0" applyNumberFormat="1" applyFont="1" applyFill="1" applyBorder="1" applyAlignment="1">
      <alignment horizontal="center"/>
    </xf>
    <xf numFmtId="0" fontId="5" fillId="14" borderId="53" xfId="0" applyFont="1" applyFill="1" applyBorder="1" applyAlignment="1">
      <alignment horizontal="left"/>
    </xf>
    <xf numFmtId="0" fontId="5" fillId="14" borderId="31" xfId="0" applyFont="1" applyFill="1" applyBorder="1" applyAlignment="1" applyProtection="1">
      <alignment horizontal="left"/>
      <protection locked="0"/>
    </xf>
    <xf numFmtId="14" fontId="5" fillId="14" borderId="1" xfId="0" applyNumberFormat="1" applyFont="1" applyFill="1" applyBorder="1" applyAlignment="1" applyProtection="1">
      <alignment horizontal="center"/>
      <protection locked="0"/>
    </xf>
    <xf numFmtId="14" fontId="5" fillId="14" borderId="32" xfId="0" applyNumberFormat="1" applyFont="1" applyFill="1" applyBorder="1" applyAlignment="1">
      <alignment horizontal="center"/>
    </xf>
    <xf numFmtId="14" fontId="5" fillId="3" borderId="55" xfId="0" applyNumberFormat="1" applyFont="1" applyFill="1" applyBorder="1" applyAlignment="1" applyProtection="1">
      <alignment horizontal="center"/>
      <protection locked="0"/>
    </xf>
    <xf numFmtId="0" fontId="5" fillId="14" borderId="71" xfId="0" applyFont="1" applyFill="1" applyBorder="1" applyAlignment="1" applyProtection="1">
      <alignment horizontal="left"/>
      <protection locked="0"/>
    </xf>
    <xf numFmtId="14" fontId="5" fillId="14" borderId="72" xfId="0" applyNumberFormat="1" applyFont="1" applyFill="1" applyBorder="1" applyAlignment="1" applyProtection="1">
      <alignment horizontal="center"/>
      <protection locked="0"/>
    </xf>
    <xf numFmtId="14" fontId="5" fillId="14" borderId="73" xfId="0" applyNumberFormat="1" applyFont="1" applyFill="1" applyBorder="1" applyAlignment="1">
      <alignment horizontal="center"/>
    </xf>
    <xf numFmtId="14" fontId="5" fillId="3" borderId="19" xfId="0" applyNumberFormat="1" applyFont="1" applyFill="1" applyBorder="1" applyAlignment="1" applyProtection="1">
      <alignment horizontal="center"/>
      <protection locked="0"/>
    </xf>
    <xf numFmtId="0" fontId="5" fillId="9" borderId="0" xfId="0" applyFont="1" applyFill="1" applyAlignment="1">
      <alignment horizontal="right"/>
    </xf>
    <xf numFmtId="0" fontId="5" fillId="0" borderId="0" xfId="0" applyFont="1" applyAlignment="1">
      <alignment horizontal="left"/>
    </xf>
    <xf numFmtId="0" fontId="5" fillId="3" borderId="34" xfId="0" applyFont="1" applyFill="1" applyBorder="1" applyAlignment="1">
      <alignment horizontal="center" wrapText="1"/>
    </xf>
    <xf numFmtId="169" fontId="5" fillId="3" borderId="35" xfId="0" applyNumberFormat="1" applyFont="1" applyFill="1" applyBorder="1" applyAlignment="1">
      <alignment horizontal="center" wrapText="1"/>
    </xf>
    <xf numFmtId="0" fontId="5" fillId="3" borderId="9" xfId="0" applyFont="1" applyFill="1" applyBorder="1" applyAlignment="1">
      <alignment horizontal="center" wrapText="1"/>
    </xf>
    <xf numFmtId="0" fontId="5" fillId="3" borderId="35" xfId="0" applyFont="1" applyFill="1" applyBorder="1" applyAlignment="1">
      <alignment horizontal="center" wrapText="1"/>
    </xf>
    <xf numFmtId="0" fontId="3" fillId="3" borderId="42" xfId="0" applyFont="1" applyFill="1" applyBorder="1" applyAlignment="1">
      <alignment horizontal="center" wrapText="1"/>
    </xf>
    <xf numFmtId="0" fontId="3" fillId="3" borderId="35" xfId="0" applyFont="1" applyFill="1" applyBorder="1" applyAlignment="1">
      <alignment horizontal="center"/>
    </xf>
    <xf numFmtId="169" fontId="3" fillId="3" borderId="35" xfId="0" applyNumberFormat="1" applyFont="1" applyFill="1" applyBorder="1" applyAlignment="1">
      <alignment horizontal="center" wrapText="1" shrinkToFit="1"/>
    </xf>
    <xf numFmtId="0" fontId="5" fillId="0" borderId="9" xfId="0" applyFont="1" applyBorder="1" applyAlignment="1">
      <alignment horizontal="center" wrapText="1"/>
    </xf>
    <xf numFmtId="0" fontId="5" fillId="0" borderId="42" xfId="0" applyFont="1" applyBorder="1" applyAlignment="1">
      <alignment horizontal="center" wrapText="1"/>
    </xf>
    <xf numFmtId="0" fontId="5" fillId="0" borderId="17" xfId="0" applyFont="1" applyBorder="1" applyAlignment="1">
      <alignment horizontal="center" wrapText="1"/>
    </xf>
    <xf numFmtId="0" fontId="1" fillId="9" borderId="10" xfId="0" applyFont="1" applyFill="1" applyBorder="1" applyAlignment="1">
      <alignment horizontal="center"/>
    </xf>
    <xf numFmtId="177" fontId="5" fillId="0" borderId="17" xfId="2" applyNumberFormat="1" applyFont="1" applyBorder="1" applyAlignment="1" applyProtection="1">
      <alignment horizontal="center"/>
      <protection locked="0"/>
    </xf>
    <xf numFmtId="177" fontId="5" fillId="0" borderId="8" xfId="2" applyNumberFormat="1" applyFont="1" applyBorder="1" applyAlignment="1" applyProtection="1">
      <alignment horizontal="center"/>
      <protection locked="0"/>
    </xf>
    <xf numFmtId="177" fontId="5" fillId="0" borderId="13" xfId="2" applyNumberFormat="1" applyFont="1" applyBorder="1" applyAlignment="1" applyProtection="1">
      <alignment horizontal="center"/>
      <protection locked="0"/>
    </xf>
    <xf numFmtId="191" fontId="5" fillId="3" borderId="3" xfId="1" applyNumberFormat="1" applyFont="1" applyFill="1" applyBorder="1" applyAlignment="1" applyProtection="1">
      <alignment horizontal="center"/>
      <protection locked="0"/>
    </xf>
    <xf numFmtId="177" fontId="5" fillId="9" borderId="9" xfId="0" applyNumberFormat="1" applyFont="1" applyFill="1" applyBorder="1" applyAlignment="1">
      <alignment horizontal="center"/>
    </xf>
    <xf numFmtId="177" fontId="5" fillId="9" borderId="0" xfId="0" applyNumberFormat="1" applyFont="1" applyFill="1" applyAlignment="1">
      <alignment horizontal="center"/>
    </xf>
    <xf numFmtId="177" fontId="5" fillId="4" borderId="3" xfId="2" applyNumberFormat="1"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3" fillId="9" borderId="10"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0" xfId="0" applyFont="1" applyFill="1" applyBorder="1" applyAlignment="1">
      <alignment horizontal="center" wrapText="1"/>
    </xf>
    <xf numFmtId="0" fontId="3" fillId="9" borderId="16" xfId="0" applyFont="1" applyFill="1" applyBorder="1" applyAlignment="1">
      <alignment horizontal="center"/>
    </xf>
    <xf numFmtId="167" fontId="5" fillId="0" borderId="0" xfId="2" applyFont="1" applyBorder="1" applyAlignment="1" applyProtection="1">
      <alignment horizontal="center"/>
      <protection locked="0"/>
    </xf>
    <xf numFmtId="177" fontId="5" fillId="9" borderId="11" xfId="2" applyNumberFormat="1" applyFont="1" applyFill="1" applyBorder="1" applyAlignment="1" applyProtection="1">
      <alignment horizontal="center"/>
      <protection locked="0"/>
    </xf>
    <xf numFmtId="177" fontId="5" fillId="9" borderId="8" xfId="2" applyNumberFormat="1" applyFont="1" applyFill="1" applyBorder="1" applyAlignment="1" applyProtection="1">
      <alignment horizontal="center"/>
    </xf>
    <xf numFmtId="167" fontId="5" fillId="9" borderId="11" xfId="2" applyFont="1" applyFill="1" applyBorder="1" applyAlignment="1" applyProtection="1">
      <alignment horizontal="center"/>
      <protection locked="0"/>
    </xf>
    <xf numFmtId="180" fontId="5" fillId="3" borderId="11" xfId="3" applyNumberFormat="1" applyFont="1" applyFill="1" applyBorder="1" applyAlignment="1" applyProtection="1">
      <alignment horizontal="center"/>
      <protection locked="0"/>
    </xf>
    <xf numFmtId="177" fontId="3" fillId="0" borderId="3" xfId="0" applyNumberFormat="1" applyFont="1" applyBorder="1" applyAlignment="1">
      <alignment horizontal="center"/>
    </xf>
    <xf numFmtId="177" fontId="5" fillId="34" borderId="3" xfId="2" applyNumberFormat="1" applyFont="1" applyFill="1" applyBorder="1" applyAlignment="1" applyProtection="1">
      <alignment horizontal="center"/>
      <protection locked="0"/>
    </xf>
    <xf numFmtId="177" fontId="85" fillId="0" borderId="9" xfId="0" applyNumberFormat="1" applyFont="1" applyBorder="1" applyAlignment="1">
      <alignment horizontal="center"/>
    </xf>
    <xf numFmtId="167" fontId="5" fillId="14" borderId="6" xfId="2" applyFont="1" applyFill="1" applyBorder="1" applyAlignment="1" applyProtection="1">
      <alignment horizontal="center"/>
    </xf>
    <xf numFmtId="177" fontId="5" fillId="14" borderId="6" xfId="2" applyNumberFormat="1" applyFont="1" applyFill="1" applyBorder="1" applyAlignment="1" applyProtection="1">
      <alignment horizontal="center"/>
    </xf>
    <xf numFmtId="177" fontId="5" fillId="15" borderId="33" xfId="2" applyNumberFormat="1" applyFont="1" applyFill="1" applyBorder="1" applyAlignment="1" applyProtection="1">
      <alignment horizontal="center"/>
    </xf>
    <xf numFmtId="191" fontId="65" fillId="14" borderId="51" xfId="0" applyNumberFormat="1" applyFont="1" applyFill="1" applyBorder="1" applyAlignment="1">
      <alignment horizontal="center"/>
    </xf>
    <xf numFmtId="177" fontId="86" fillId="14" borderId="6" xfId="0" applyNumberFormat="1" applyFont="1" applyFill="1" applyBorder="1" applyAlignment="1">
      <alignment horizontal="center"/>
    </xf>
    <xf numFmtId="169" fontId="5" fillId="20" borderId="3" xfId="0" applyNumberFormat="1" applyFont="1" applyFill="1" applyBorder="1" applyAlignment="1">
      <alignment horizontal="center"/>
    </xf>
    <xf numFmtId="0" fontId="5" fillId="6" borderId="4" xfId="0" applyFont="1" applyFill="1" applyBorder="1" applyAlignment="1">
      <alignment horizontal="right" indent="1"/>
    </xf>
    <xf numFmtId="0" fontId="9" fillId="6" borderId="5" xfId="0" applyFont="1" applyFill="1" applyBorder="1" applyAlignment="1">
      <alignment horizontal="center" wrapText="1"/>
    </xf>
    <xf numFmtId="0" fontId="5" fillId="0" borderId="4" xfId="0" applyFont="1" applyBorder="1" applyAlignment="1">
      <alignment horizontal="center" wrapText="1"/>
    </xf>
    <xf numFmtId="9" fontId="5" fillId="0" borderId="78" xfId="3" applyFont="1" applyBorder="1" applyAlignment="1" applyProtection="1">
      <alignment horizontal="center" vertical="center" wrapText="1"/>
      <protection locked="0"/>
    </xf>
    <xf numFmtId="9" fontId="5" fillId="3" borderId="60" xfId="3" applyFont="1" applyFill="1" applyBorder="1" applyAlignment="1" applyProtection="1">
      <alignment horizontal="center" vertical="center"/>
      <protection locked="0"/>
    </xf>
    <xf numFmtId="1" fontId="5" fillId="0" borderId="37" xfId="1" applyNumberFormat="1" applyFont="1" applyBorder="1" applyAlignment="1" applyProtection="1">
      <alignment horizontal="center"/>
    </xf>
    <xf numFmtId="177" fontId="5" fillId="0" borderId="8" xfId="0" applyNumberFormat="1" applyFont="1" applyBorder="1" applyAlignment="1">
      <alignment horizontal="center"/>
    </xf>
    <xf numFmtId="0" fontId="5" fillId="0" borderId="65" xfId="0" applyFont="1" applyBorder="1" applyAlignment="1">
      <alignment horizontal="right"/>
    </xf>
    <xf numFmtId="1" fontId="5" fillId="0" borderId="107" xfId="1" applyNumberFormat="1" applyFont="1" applyBorder="1" applyAlignment="1" applyProtection="1">
      <alignment horizontal="center"/>
    </xf>
    <xf numFmtId="177" fontId="5" fillId="0" borderId="108" xfId="0" applyNumberFormat="1" applyFont="1" applyBorder="1" applyAlignment="1">
      <alignment horizontal="center"/>
    </xf>
    <xf numFmtId="0" fontId="5" fillId="0" borderId="45" xfId="0" applyFont="1" applyBorder="1" applyAlignment="1">
      <alignment horizontal="right"/>
    </xf>
    <xf numFmtId="177" fontId="5" fillId="0" borderId="61" xfId="2" applyNumberFormat="1" applyFont="1" applyBorder="1" applyAlignment="1" applyProtection="1">
      <alignment horizontal="center"/>
    </xf>
    <xf numFmtId="0" fontId="5" fillId="0" borderId="115" xfId="0" applyFont="1" applyBorder="1" applyAlignment="1">
      <alignment horizontal="center" vertical="center"/>
    </xf>
    <xf numFmtId="1" fontId="5" fillId="0" borderId="0" xfId="1" applyNumberFormat="1" applyFont="1" applyBorder="1" applyAlignment="1" applyProtection="1">
      <alignment horizontal="center"/>
    </xf>
    <xf numFmtId="1" fontId="5" fillId="0" borderId="39" xfId="1" applyNumberFormat="1" applyFont="1" applyBorder="1" applyAlignment="1" applyProtection="1">
      <alignment horizontal="center"/>
    </xf>
    <xf numFmtId="177" fontId="5" fillId="0" borderId="61" xfId="0" applyNumberFormat="1" applyFont="1" applyBorder="1" applyAlignment="1">
      <alignment horizontal="center"/>
    </xf>
    <xf numFmtId="0" fontId="5" fillId="0" borderId="117" xfId="0" applyFont="1" applyBorder="1" applyAlignment="1">
      <alignment horizontal="center"/>
    </xf>
    <xf numFmtId="1" fontId="5" fillId="0" borderId="118" xfId="1" applyNumberFormat="1" applyFont="1" applyBorder="1" applyAlignment="1" applyProtection="1">
      <alignment horizontal="center"/>
    </xf>
    <xf numFmtId="177" fontId="5" fillId="9" borderId="119" xfId="2" applyNumberFormat="1" applyFont="1" applyFill="1" applyBorder="1" applyAlignment="1" applyProtection="1">
      <alignment horizontal="center"/>
    </xf>
    <xf numFmtId="0" fontId="3" fillId="6" borderId="22" xfId="0" applyFont="1" applyFill="1" applyBorder="1" applyAlignment="1">
      <alignment horizontal="center"/>
    </xf>
    <xf numFmtId="0" fontId="3" fillId="6" borderId="23" xfId="0" applyFont="1" applyFill="1" applyBorder="1" applyAlignment="1">
      <alignment horizontal="center"/>
    </xf>
    <xf numFmtId="167" fontId="5" fillId="3" borderId="110" xfId="2" applyFont="1" applyFill="1" applyBorder="1" applyAlignment="1" applyProtection="1">
      <alignment horizontal="center"/>
      <protection locked="0"/>
    </xf>
    <xf numFmtId="167" fontId="5" fillId="6" borderId="42" xfId="2" applyFont="1" applyFill="1" applyBorder="1" applyAlignment="1" applyProtection="1">
      <alignment horizontal="center" vertical="center"/>
    </xf>
    <xf numFmtId="1" fontId="5" fillId="6" borderId="109" xfId="0" applyNumberFormat="1" applyFont="1" applyFill="1" applyBorder="1" applyAlignment="1">
      <alignment horizontal="center" vertical="center"/>
    </xf>
    <xf numFmtId="167" fontId="5" fillId="0" borderId="9" xfId="2" applyFont="1" applyBorder="1" applyAlignment="1" applyProtection="1">
      <alignment horizontal="center"/>
    </xf>
    <xf numFmtId="177" fontId="5" fillId="9" borderId="17" xfId="2" applyNumberFormat="1" applyFont="1" applyFill="1" applyBorder="1" applyAlignment="1" applyProtection="1">
      <alignment horizontal="center"/>
    </xf>
    <xf numFmtId="167" fontId="5" fillId="3" borderId="37" xfId="2" applyFont="1" applyFill="1" applyBorder="1" applyAlignment="1" applyProtection="1">
      <alignment horizontal="center"/>
      <protection locked="0"/>
    </xf>
    <xf numFmtId="167" fontId="5" fillId="0" borderId="0" xfId="2" applyFont="1" applyBorder="1" applyAlignment="1" applyProtection="1">
      <alignment horizontal="center"/>
    </xf>
    <xf numFmtId="191" fontId="5" fillId="0" borderId="0" xfId="1" applyNumberFormat="1" applyFont="1" applyBorder="1" applyAlignment="1" applyProtection="1">
      <alignment horizontal="center"/>
    </xf>
    <xf numFmtId="167" fontId="5" fillId="3" borderId="86" xfId="2" applyFont="1" applyFill="1" applyBorder="1" applyAlignment="1" applyProtection="1">
      <alignment horizontal="center"/>
      <protection locked="0"/>
    </xf>
    <xf numFmtId="167" fontId="5" fillId="0" borderId="39" xfId="2" applyFont="1" applyBorder="1" applyAlignment="1" applyProtection="1">
      <alignment horizontal="center"/>
    </xf>
    <xf numFmtId="177" fontId="5" fillId="9" borderId="61" xfId="2" applyNumberFormat="1" applyFont="1" applyFill="1" applyBorder="1" applyAlignment="1" applyProtection="1">
      <alignment horizontal="center"/>
    </xf>
    <xf numFmtId="167" fontId="5" fillId="6" borderId="38" xfId="2" applyFont="1" applyFill="1" applyBorder="1" applyAlignment="1" applyProtection="1">
      <alignment horizontal="center"/>
      <protection locked="0"/>
    </xf>
    <xf numFmtId="0" fontId="3" fillId="0" borderId="6" xfId="0" applyFont="1" applyBorder="1" applyAlignment="1">
      <alignment horizontal="center"/>
    </xf>
    <xf numFmtId="167" fontId="3" fillId="0" borderId="6" xfId="2" applyFont="1" applyBorder="1" applyAlignment="1" applyProtection="1">
      <alignment horizontal="center"/>
    </xf>
    <xf numFmtId="177" fontId="5" fillId="0" borderId="13" xfId="2" applyNumberFormat="1" applyFont="1" applyBorder="1" applyAlignment="1" applyProtection="1">
      <alignment horizontal="center"/>
    </xf>
    <xf numFmtId="0" fontId="3" fillId="6" borderId="8" xfId="0" applyFont="1" applyFill="1" applyBorder="1" applyAlignment="1">
      <alignment horizontal="center"/>
    </xf>
    <xf numFmtId="9" fontId="5" fillId="22" borderId="55" xfId="3" applyFont="1" applyFill="1" applyBorder="1" applyAlignment="1" applyProtection="1">
      <alignment horizontal="center"/>
    </xf>
    <xf numFmtId="167" fontId="5" fillId="0" borderId="67" xfId="0" applyNumberFormat="1" applyFont="1" applyBorder="1" applyAlignment="1">
      <alignment horizontal="center"/>
    </xf>
    <xf numFmtId="9" fontId="5" fillId="23" borderId="72" xfId="3" applyFont="1" applyFill="1" applyBorder="1" applyAlignment="1" applyProtection="1">
      <alignment horizontal="center"/>
    </xf>
    <xf numFmtId="0" fontId="5" fillId="0" borderId="34" xfId="0" applyFont="1" applyBorder="1" applyAlignment="1" applyProtection="1">
      <alignment horizontal="left"/>
      <protection locked="0"/>
    </xf>
    <xf numFmtId="177" fontId="5" fillId="9" borderId="17" xfId="2" applyNumberFormat="1" applyFont="1" applyFill="1" applyBorder="1" applyAlignment="1" applyProtection="1">
      <alignment horizontal="center"/>
      <protection locked="0"/>
    </xf>
    <xf numFmtId="0" fontId="5" fillId="0" borderId="14" xfId="0" applyFont="1" applyBorder="1" applyAlignment="1" applyProtection="1">
      <alignment horizontal="left"/>
      <protection locked="0"/>
    </xf>
    <xf numFmtId="0" fontId="3" fillId="0" borderId="91" xfId="0" applyFont="1" applyBorder="1" applyAlignment="1" applyProtection="1">
      <alignment horizontal="center"/>
      <protection locked="0"/>
    </xf>
    <xf numFmtId="9" fontId="5" fillId="22" borderId="55" xfId="3" applyFont="1" applyFill="1" applyBorder="1" applyAlignment="1" applyProtection="1">
      <alignment horizontal="center"/>
      <protection locked="0"/>
    </xf>
    <xf numFmtId="177" fontId="5" fillId="9" borderId="8" xfId="2" applyNumberFormat="1" applyFont="1" applyFill="1" applyBorder="1" applyAlignment="1" applyProtection="1">
      <alignment horizontal="center"/>
      <protection locked="0"/>
    </xf>
    <xf numFmtId="9" fontId="5" fillId="15" borderId="67" xfId="3" applyFont="1" applyFill="1" applyBorder="1" applyAlignment="1" applyProtection="1">
      <alignment horizontal="center"/>
      <protection locked="0"/>
    </xf>
    <xf numFmtId="167" fontId="5" fillId="0" borderId="67" xfId="0" applyNumberFormat="1" applyFont="1" applyBorder="1" applyAlignment="1" applyProtection="1">
      <alignment horizontal="center"/>
      <protection locked="0"/>
    </xf>
    <xf numFmtId="0" fontId="5" fillId="0" borderId="18" xfId="0" applyFont="1" applyBorder="1" applyAlignment="1" applyProtection="1">
      <alignment horizontal="left"/>
      <protection locked="0"/>
    </xf>
    <xf numFmtId="177" fontId="5" fillId="9" borderId="13" xfId="2" applyNumberFormat="1" applyFont="1" applyFill="1" applyBorder="1" applyAlignment="1" applyProtection="1">
      <alignment horizontal="center"/>
      <protection locked="0"/>
    </xf>
    <xf numFmtId="0" fontId="3" fillId="6" borderId="8" xfId="0" applyFont="1" applyFill="1" applyBorder="1" applyAlignment="1" applyProtection="1">
      <alignment horizontal="center"/>
      <protection locked="0"/>
    </xf>
    <xf numFmtId="0" fontId="5" fillId="0" borderId="9" xfId="0" applyFont="1" applyBorder="1" applyAlignment="1">
      <alignment horizontal="right"/>
    </xf>
    <xf numFmtId="177" fontId="5" fillId="0" borderId="17" xfId="2" applyNumberFormat="1" applyFont="1" applyBorder="1" applyAlignment="1" applyProtection="1">
      <alignment horizontal="center"/>
    </xf>
    <xf numFmtId="0" fontId="5" fillId="0" borderId="45" xfId="0" applyFont="1" applyBorder="1" applyAlignment="1">
      <alignment horizontal="right" vertical="center"/>
    </xf>
    <xf numFmtId="0" fontId="5" fillId="3" borderId="1" xfId="0" applyFont="1" applyFill="1" applyBorder="1" applyAlignment="1" applyProtection="1">
      <alignment horizontal="center" vertical="center"/>
      <protection locked="0"/>
    </xf>
    <xf numFmtId="177" fontId="5" fillId="0" borderId="8" xfId="2" applyNumberFormat="1" applyFont="1" applyBorder="1" applyAlignment="1" applyProtection="1">
      <alignment horizontal="center"/>
    </xf>
    <xf numFmtId="0" fontId="5" fillId="0" borderId="111" xfId="0" applyFont="1" applyBorder="1" applyAlignment="1" applyProtection="1">
      <alignment horizontal="left"/>
      <protection locked="0"/>
    </xf>
    <xf numFmtId="0" fontId="5" fillId="36" borderId="7" xfId="0" applyFont="1" applyFill="1" applyBorder="1" applyAlignment="1" applyProtection="1">
      <alignment horizontal="left"/>
      <protection locked="0"/>
    </xf>
    <xf numFmtId="177" fontId="5" fillId="36" borderId="8" xfId="2" applyNumberFormat="1" applyFont="1" applyFill="1" applyBorder="1" applyAlignment="1" applyProtection="1">
      <alignment horizontal="center"/>
    </xf>
    <xf numFmtId="0" fontId="5" fillId="0" borderId="7" xfId="0" applyFont="1" applyBorder="1" applyAlignment="1" applyProtection="1">
      <alignment horizontal="left"/>
      <protection locked="0"/>
    </xf>
    <xf numFmtId="0" fontId="3" fillId="0" borderId="7" xfId="0" applyFont="1" applyBorder="1" applyAlignment="1">
      <alignment horizontal="right"/>
    </xf>
    <xf numFmtId="167" fontId="5" fillId="0" borderId="13" xfId="2" applyFont="1" applyBorder="1" applyAlignment="1" applyProtection="1">
      <alignment horizontal="center"/>
      <protection locked="0"/>
    </xf>
    <xf numFmtId="177" fontId="5" fillId="9" borderId="33" xfId="2" applyNumberFormat="1" applyFont="1" applyFill="1" applyBorder="1" applyAlignment="1" applyProtection="1">
      <alignment horizontal="center"/>
      <protection locked="0"/>
    </xf>
    <xf numFmtId="177" fontId="5" fillId="9" borderId="13" xfId="2" applyNumberFormat="1" applyFont="1" applyFill="1" applyBorder="1" applyAlignment="1" applyProtection="1">
      <alignment horizontal="center"/>
    </xf>
    <xf numFmtId="167" fontId="5" fillId="9" borderId="33" xfId="2" applyFont="1" applyFill="1" applyBorder="1" applyAlignment="1" applyProtection="1">
      <alignment horizontal="center"/>
      <protection locked="0"/>
    </xf>
    <xf numFmtId="177" fontId="3" fillId="0" borderId="2" xfId="0" applyNumberFormat="1" applyFont="1" applyBorder="1" applyAlignment="1">
      <alignment horizontal="center"/>
    </xf>
    <xf numFmtId="0" fontId="5" fillId="0" borderId="12" xfId="0" applyFont="1" applyBorder="1" applyAlignment="1" applyProtection="1">
      <alignment horizontal="left"/>
      <protection locked="0"/>
    </xf>
    <xf numFmtId="167" fontId="5" fillId="0" borderId="6" xfId="0" applyNumberFormat="1" applyFont="1" applyBorder="1" applyAlignment="1">
      <alignment horizontal="center"/>
    </xf>
    <xf numFmtId="0" fontId="5" fillId="26" borderId="12" xfId="0" applyFont="1" applyFill="1" applyBorder="1" applyAlignment="1">
      <alignment horizontal="left"/>
    </xf>
    <xf numFmtId="177" fontId="5" fillId="26" borderId="19" xfId="2" applyNumberFormat="1" applyFont="1" applyFill="1" applyBorder="1" applyAlignment="1" applyProtection="1">
      <alignment horizontal="center"/>
    </xf>
    <xf numFmtId="177" fontId="5" fillId="36" borderId="13" xfId="2" applyNumberFormat="1" applyFont="1" applyFill="1" applyBorder="1" applyAlignment="1" applyProtection="1">
      <alignment horizontal="center"/>
    </xf>
    <xf numFmtId="167" fontId="5" fillId="0" borderId="17" xfId="0" applyNumberFormat="1" applyFont="1" applyBorder="1" applyAlignment="1">
      <alignment horizontal="center"/>
    </xf>
    <xf numFmtId="0" fontId="7" fillId="5" borderId="0" xfId="4" applyFill="1" applyBorder="1" applyAlignment="1" applyProtection="1">
      <alignment horizontal="left"/>
    </xf>
    <xf numFmtId="0" fontId="14" fillId="5" borderId="0" xfId="0" applyFont="1" applyFill="1" applyAlignment="1">
      <alignment horizontal="left"/>
    </xf>
    <xf numFmtId="167" fontId="1" fillId="0" borderId="3" xfId="2" applyFont="1" applyBorder="1" applyAlignment="1" applyProtection="1">
      <alignment horizontal="center" wrapText="1"/>
    </xf>
    <xf numFmtId="167" fontId="20" fillId="5" borderId="3" xfId="2" applyFont="1" applyFill="1" applyBorder="1" applyAlignment="1" applyProtection="1">
      <alignment horizontal="center"/>
    </xf>
    <xf numFmtId="167" fontId="1" fillId="8" borderId="7" xfId="2" applyFont="1" applyFill="1" applyBorder="1" applyAlignment="1" applyProtection="1">
      <alignment horizontal="center"/>
    </xf>
    <xf numFmtId="0" fontId="1" fillId="0" borderId="3" xfId="0" applyFont="1" applyBorder="1" applyAlignment="1">
      <alignment horizontal="center"/>
    </xf>
    <xf numFmtId="167" fontId="1" fillId="0" borderId="16" xfId="2" applyFont="1" applyBorder="1" applyAlignment="1" applyProtection="1">
      <alignment horizontal="center"/>
    </xf>
    <xf numFmtId="0" fontId="26" fillId="10" borderId="0" xfId="0" applyFont="1" applyFill="1" applyAlignment="1">
      <alignment horizontal="center"/>
    </xf>
    <xf numFmtId="0" fontId="27" fillId="11" borderId="0" xfId="0" applyFont="1" applyFill="1" applyAlignment="1">
      <alignment horizontal="center"/>
    </xf>
    <xf numFmtId="0" fontId="0" fillId="12" borderId="6" xfId="0"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7" fillId="0" borderId="9" xfId="4" applyBorder="1" applyAlignment="1" applyProtection="1">
      <alignment horizontal="center"/>
    </xf>
    <xf numFmtId="0" fontId="7" fillId="0" borderId="0" xfId="4" applyBorder="1" applyAlignment="1" applyProtection="1">
      <alignment horizontal="center"/>
    </xf>
    <xf numFmtId="0" fontId="28" fillId="0" borderId="10" xfId="0" applyFont="1" applyBorder="1" applyAlignment="1">
      <alignment horizontal="center"/>
    </xf>
    <xf numFmtId="0" fontId="28" fillId="0" borderId="11" xfId="0" applyFont="1" applyBorder="1" applyAlignment="1">
      <alignment horizontal="center" vertical="center" textRotation="90"/>
    </xf>
    <xf numFmtId="182" fontId="32" fillId="0" borderId="40" xfId="0" applyNumberFormat="1" applyFont="1" applyBorder="1" applyAlignment="1">
      <alignment horizontal="center"/>
    </xf>
    <xf numFmtId="0" fontId="34" fillId="0" borderId="0" xfId="0" applyFont="1" applyAlignment="1">
      <alignment horizontal="left" vertical="center" wrapText="1"/>
    </xf>
    <xf numFmtId="0" fontId="34" fillId="0" borderId="0" xfId="0" applyFont="1" applyAlignment="1">
      <alignment horizontal="left" wrapText="1"/>
    </xf>
    <xf numFmtId="0" fontId="34" fillId="0" borderId="0" xfId="0" applyFont="1" applyAlignment="1">
      <alignment vertical="center"/>
    </xf>
    <xf numFmtId="177" fontId="33" fillId="0" borderId="2" xfId="2" applyNumberFormat="1" applyFont="1" applyBorder="1" applyAlignment="1" applyProtection="1">
      <alignment horizontal="center"/>
    </xf>
    <xf numFmtId="0" fontId="47" fillId="0" borderId="41" xfId="0" applyFont="1" applyBorder="1" applyAlignment="1">
      <alignment horizontal="center"/>
    </xf>
    <xf numFmtId="177" fontId="32" fillId="0" borderId="0" xfId="2" applyNumberFormat="1" applyFont="1" applyBorder="1" applyAlignment="1" applyProtection="1">
      <alignment horizontal="center"/>
    </xf>
    <xf numFmtId="0" fontId="47" fillId="0" borderId="2" xfId="0" applyFont="1" applyBorder="1" applyAlignment="1">
      <alignment horizontal="center"/>
    </xf>
    <xf numFmtId="194" fontId="33" fillId="0" borderId="0" xfId="2" applyNumberFormat="1" applyFont="1" applyBorder="1" applyAlignment="1" applyProtection="1">
      <alignment horizontal="center"/>
    </xf>
    <xf numFmtId="177" fontId="10" fillId="9" borderId="0" xfId="0" applyNumberFormat="1" applyFont="1" applyFill="1" applyAlignment="1">
      <alignment horizontal="center"/>
    </xf>
    <xf numFmtId="177" fontId="5" fillId="9" borderId="0" xfId="2" applyNumberFormat="1" applyFont="1" applyFill="1" applyBorder="1" applyAlignment="1" applyProtection="1">
      <alignment horizontal="center"/>
    </xf>
    <xf numFmtId="0" fontId="5" fillId="9" borderId="0" xfId="0" applyFont="1" applyFill="1" applyAlignment="1">
      <alignment horizontal="center"/>
    </xf>
    <xf numFmtId="167" fontId="1" fillId="6" borderId="36" xfId="2" applyFont="1" applyFill="1" applyBorder="1" applyAlignment="1" applyProtection="1">
      <alignment horizontal="center"/>
    </xf>
    <xf numFmtId="0" fontId="3" fillId="16" borderId="1" xfId="0" applyFont="1" applyFill="1" applyBorder="1" applyAlignment="1">
      <alignment horizontal="center"/>
    </xf>
    <xf numFmtId="177" fontId="1" fillId="6" borderId="24" xfId="2" applyNumberFormat="1" applyFont="1" applyFill="1" applyBorder="1" applyAlignment="1" applyProtection="1">
      <alignment horizontal="center"/>
    </xf>
    <xf numFmtId="177" fontId="21" fillId="3" borderId="68" xfId="2" applyNumberFormat="1" applyFont="1" applyFill="1" applyBorder="1" applyAlignment="1" applyProtection="1">
      <alignment horizontal="center"/>
    </xf>
    <xf numFmtId="167" fontId="1" fillId="9" borderId="6" xfId="2" applyFont="1" applyFill="1" applyBorder="1" applyAlignment="1" applyProtection="1">
      <alignment horizontal="center"/>
    </xf>
    <xf numFmtId="177" fontId="21" fillId="0" borderId="17" xfId="0" applyNumberFormat="1" applyFont="1" applyBorder="1" applyAlignment="1">
      <alignment horizontal="center"/>
    </xf>
    <xf numFmtId="0" fontId="70" fillId="9" borderId="5" xfId="0" applyFont="1" applyFill="1" applyBorder="1" applyAlignment="1">
      <alignment horizontal="center" vertical="center" textRotation="180"/>
    </xf>
    <xf numFmtId="0" fontId="9" fillId="9" borderId="88" xfId="0" applyFont="1" applyFill="1" applyBorder="1" applyAlignment="1">
      <alignment horizontal="center" vertical="center" textRotation="180"/>
    </xf>
    <xf numFmtId="0" fontId="3" fillId="0" borderId="0" xfId="0" applyFont="1" applyAlignment="1">
      <alignment horizontal="center" vertical="center" textRotation="180"/>
    </xf>
    <xf numFmtId="0" fontId="3" fillId="0" borderId="88" xfId="0" applyFont="1" applyBorder="1" applyAlignment="1">
      <alignment horizontal="center" vertical="center" textRotation="180"/>
    </xf>
    <xf numFmtId="0" fontId="1" fillId="0" borderId="46" xfId="0" applyFont="1" applyBorder="1" applyAlignment="1">
      <alignment horizontal="left"/>
    </xf>
    <xf numFmtId="0" fontId="3" fillId="0" borderId="0" xfId="0" applyFont="1" applyAlignment="1">
      <alignment horizontal="center" vertical="center"/>
    </xf>
    <xf numFmtId="0" fontId="5" fillId="14" borderId="10" xfId="0" applyFont="1" applyFill="1" applyBorder="1" applyAlignment="1">
      <alignment horizontal="left"/>
    </xf>
    <xf numFmtId="0" fontId="3" fillId="0" borderId="0" xfId="0" applyFont="1" applyAlignment="1">
      <alignment horizontal="center"/>
    </xf>
    <xf numFmtId="0" fontId="5" fillId="14" borderId="11" xfId="0" applyFont="1" applyFill="1" applyBorder="1" applyAlignment="1">
      <alignment horizontal="left"/>
    </xf>
    <xf numFmtId="0" fontId="5" fillId="14" borderId="28" xfId="0" applyFont="1" applyFill="1" applyBorder="1" applyAlignment="1" applyProtection="1">
      <alignment horizontal="left"/>
      <protection locked="0"/>
    </xf>
    <xf numFmtId="14" fontId="5" fillId="14" borderId="44" xfId="0" applyNumberFormat="1" applyFont="1" applyFill="1" applyBorder="1" applyAlignment="1" applyProtection="1">
      <alignment horizontal="center"/>
      <protection locked="0"/>
    </xf>
    <xf numFmtId="14" fontId="5" fillId="14" borderId="30" xfId="0" applyNumberFormat="1" applyFont="1" applyFill="1" applyBorder="1" applyAlignment="1">
      <alignment horizontal="center"/>
    </xf>
    <xf numFmtId="0" fontId="5" fillId="14" borderId="33" xfId="0" applyFont="1" applyFill="1" applyBorder="1" applyAlignment="1">
      <alignment horizontal="left"/>
    </xf>
    <xf numFmtId="0" fontId="5" fillId="14" borderId="94" xfId="0" applyFont="1" applyFill="1" applyBorder="1" applyAlignment="1" applyProtection="1">
      <alignment horizontal="left"/>
      <protection locked="0"/>
    </xf>
    <xf numFmtId="14" fontId="5" fillId="14" borderId="47" xfId="0" applyNumberFormat="1" applyFont="1" applyFill="1" applyBorder="1" applyAlignment="1" applyProtection="1">
      <alignment horizontal="center"/>
      <protection locked="0"/>
    </xf>
    <xf numFmtId="14" fontId="5" fillId="14" borderId="77" xfId="0" applyNumberFormat="1" applyFont="1" applyFill="1" applyBorder="1" applyAlignment="1">
      <alignment horizontal="center"/>
    </xf>
    <xf numFmtId="0" fontId="5" fillId="14" borderId="95" xfId="0" applyFont="1" applyFill="1" applyBorder="1" applyAlignment="1" applyProtection="1">
      <alignment horizontal="left"/>
      <protection locked="0"/>
    </xf>
    <xf numFmtId="14" fontId="5" fillId="14" borderId="53" xfId="0" applyNumberFormat="1" applyFont="1" applyFill="1" applyBorder="1" applyAlignment="1" applyProtection="1">
      <alignment horizontal="center"/>
      <protection locked="0"/>
    </xf>
    <xf numFmtId="14" fontId="5" fillId="14" borderId="96" xfId="0" applyNumberFormat="1" applyFont="1" applyFill="1" applyBorder="1" applyAlignment="1">
      <alignment horizontal="center"/>
    </xf>
    <xf numFmtId="14" fontId="5" fillId="3" borderId="67" xfId="0" applyNumberFormat="1" applyFont="1" applyFill="1" applyBorder="1" applyAlignment="1" applyProtection="1">
      <alignment horizontal="center"/>
      <protection locked="0"/>
    </xf>
    <xf numFmtId="0" fontId="5" fillId="0" borderId="6" xfId="0" applyFont="1" applyBorder="1" applyAlignment="1">
      <alignment horizontal="left"/>
    </xf>
    <xf numFmtId="0" fontId="3" fillId="3" borderId="3" xfId="0" applyFont="1" applyFill="1" applyBorder="1" applyAlignment="1">
      <alignment horizontal="center"/>
    </xf>
    <xf numFmtId="0" fontId="73" fillId="3" borderId="42" xfId="0" applyFont="1" applyFill="1" applyBorder="1" applyAlignment="1">
      <alignment horizontal="center" wrapText="1"/>
    </xf>
    <xf numFmtId="0" fontId="3" fillId="3" borderId="42" xfId="0" applyFont="1" applyFill="1" applyBorder="1" applyAlignment="1">
      <alignment horizontal="center"/>
    </xf>
    <xf numFmtId="0" fontId="3" fillId="3" borderId="36" xfId="0" applyFont="1" applyFill="1" applyBorder="1" applyAlignment="1">
      <alignment horizontal="center"/>
    </xf>
    <xf numFmtId="0" fontId="5" fillId="0" borderId="3" xfId="0" applyFont="1" applyBorder="1" applyAlignment="1">
      <alignment horizontal="center"/>
    </xf>
    <xf numFmtId="0" fontId="1" fillId="0" borderId="10" xfId="0" applyFont="1" applyBorder="1" applyAlignment="1">
      <alignment horizontal="center"/>
    </xf>
    <xf numFmtId="0" fontId="1" fillId="0" borderId="1" xfId="0" applyFont="1" applyBorder="1" applyAlignment="1">
      <alignment horizontal="center"/>
    </xf>
    <xf numFmtId="0" fontId="3" fillId="0" borderId="97" xfId="0" applyFont="1" applyBorder="1" applyAlignment="1">
      <alignment horizontal="center" vertical="center"/>
    </xf>
    <xf numFmtId="177" fontId="5" fillId="14" borderId="22" xfId="0" applyNumberFormat="1" applyFont="1" applyFill="1" applyBorder="1" applyAlignment="1" applyProtection="1">
      <alignment horizontal="center"/>
      <protection locked="0"/>
    </xf>
    <xf numFmtId="0" fontId="5" fillId="0" borderId="10" xfId="0" applyFont="1" applyBorder="1" applyAlignment="1">
      <alignment horizontal="left"/>
    </xf>
    <xf numFmtId="9" fontId="5" fillId="3" borderId="33" xfId="3" applyFont="1" applyFill="1" applyBorder="1" applyAlignment="1" applyProtection="1">
      <alignment horizontal="center"/>
      <protection locked="0"/>
    </xf>
    <xf numFmtId="177" fontId="3" fillId="0" borderId="0" xfId="0" applyNumberFormat="1" applyFont="1" applyAlignment="1">
      <alignment horizontal="center"/>
    </xf>
    <xf numFmtId="177" fontId="5" fillId="14" borderId="3" xfId="2" applyNumberFormat="1" applyFont="1" applyFill="1" applyBorder="1" applyAlignment="1" applyProtection="1">
      <alignment horizontal="center"/>
    </xf>
    <xf numFmtId="0" fontId="5" fillId="15" borderId="3" xfId="0" applyFont="1" applyFill="1" applyBorder="1" applyAlignment="1">
      <alignment horizontal="center"/>
    </xf>
    <xf numFmtId="191" fontId="5" fillId="14" borderId="22" xfId="0" applyNumberFormat="1" applyFont="1" applyFill="1" applyBorder="1" applyAlignment="1">
      <alignment horizontal="center"/>
    </xf>
    <xf numFmtId="177" fontId="75" fillId="14" borderId="6" xfId="0" applyNumberFormat="1" applyFont="1" applyFill="1" applyBorder="1" applyAlignment="1">
      <alignment horizontal="center"/>
    </xf>
    <xf numFmtId="167" fontId="5" fillId="3" borderId="9" xfId="2" applyFont="1" applyFill="1" applyBorder="1" applyAlignment="1" applyProtection="1">
      <alignment horizontal="center"/>
    </xf>
    <xf numFmtId="177" fontId="5" fillId="3" borderId="9" xfId="2" applyNumberFormat="1" applyFont="1" applyFill="1" applyBorder="1" applyAlignment="1" applyProtection="1">
      <alignment horizontal="center"/>
    </xf>
    <xf numFmtId="186" fontId="5" fillId="3" borderId="9" xfId="0" applyNumberFormat="1" applyFont="1" applyFill="1" applyBorder="1" applyAlignment="1">
      <alignment horizontal="center"/>
    </xf>
    <xf numFmtId="167" fontId="5" fillId="3" borderId="0" xfId="2" applyFont="1" applyFill="1" applyBorder="1" applyAlignment="1" applyProtection="1">
      <alignment horizontal="center"/>
    </xf>
    <xf numFmtId="186" fontId="5" fillId="3" borderId="0" xfId="1" applyNumberFormat="1" applyFont="1" applyFill="1" applyBorder="1" applyAlignment="1" applyProtection="1">
      <alignment horizontal="center"/>
    </xf>
    <xf numFmtId="167" fontId="5" fillId="3" borderId="0" xfId="1" applyNumberFormat="1" applyFont="1" applyFill="1" applyBorder="1" applyAlignment="1" applyProtection="1">
      <alignment horizontal="center"/>
    </xf>
    <xf numFmtId="177" fontId="5" fillId="9" borderId="8" xfId="0" applyNumberFormat="1" applyFont="1" applyFill="1" applyBorder="1" applyAlignment="1">
      <alignment horizontal="center"/>
    </xf>
    <xf numFmtId="0" fontId="5" fillId="0" borderId="105" xfId="0" applyFont="1" applyBorder="1" applyAlignment="1">
      <alignment horizontal="left"/>
    </xf>
    <xf numFmtId="0" fontId="5" fillId="0" borderId="7" xfId="0" applyFont="1" applyBorder="1" applyAlignment="1">
      <alignment horizontal="left"/>
    </xf>
    <xf numFmtId="0" fontId="5" fillId="0" borderId="65" xfId="0" applyFont="1" applyBorder="1" applyAlignment="1">
      <alignment horizontal="center"/>
    </xf>
    <xf numFmtId="191" fontId="5" fillId="0" borderId="107" xfId="1" applyNumberFormat="1" applyFont="1" applyBorder="1" applyAlignment="1" applyProtection="1">
      <alignment horizontal="center"/>
    </xf>
    <xf numFmtId="177" fontId="5" fillId="9" borderId="108" xfId="0" applyNumberFormat="1" applyFont="1" applyFill="1" applyBorder="1" applyAlignment="1">
      <alignment horizontal="center"/>
    </xf>
    <xf numFmtId="0" fontId="5" fillId="0" borderId="39" xfId="0" applyFont="1" applyBorder="1" applyAlignment="1" applyProtection="1">
      <alignment horizontal="center"/>
      <protection locked="0"/>
    </xf>
    <xf numFmtId="177" fontId="5" fillId="3" borderId="91" xfId="2" applyNumberFormat="1" applyFont="1" applyFill="1" applyBorder="1" applyAlignment="1" applyProtection="1">
      <alignment horizontal="center"/>
      <protection locked="0"/>
    </xf>
    <xf numFmtId="191" fontId="5" fillId="0" borderId="39" xfId="1" applyNumberFormat="1" applyFont="1" applyBorder="1" applyAlignment="1" applyProtection="1">
      <alignment horizontal="center"/>
    </xf>
    <xf numFmtId="191" fontId="5" fillId="0" borderId="38" xfId="1" applyNumberFormat="1" applyFont="1" applyBorder="1" applyAlignment="1" applyProtection="1">
      <alignment horizontal="center"/>
    </xf>
    <xf numFmtId="0" fontId="3" fillId="6" borderId="0" xfId="0" applyFont="1" applyFill="1" applyAlignment="1">
      <alignment horizontal="center"/>
    </xf>
    <xf numFmtId="0" fontId="5" fillId="0" borderId="110" xfId="0" applyFont="1" applyBorder="1" applyAlignment="1">
      <alignment horizontal="center" vertical="center"/>
    </xf>
    <xf numFmtId="177" fontId="5" fillId="0" borderId="9" xfId="2" applyNumberFormat="1" applyFont="1" applyBorder="1" applyAlignment="1" applyProtection="1">
      <alignment horizontal="center"/>
    </xf>
    <xf numFmtId="177" fontId="87" fillId="9" borderId="17" xfId="2" applyNumberFormat="1" applyFill="1" applyBorder="1" applyAlignment="1" applyProtection="1">
      <alignment horizontal="center"/>
    </xf>
    <xf numFmtId="177" fontId="5" fillId="0" borderId="0" xfId="2" applyNumberFormat="1" applyFont="1" applyBorder="1" applyAlignment="1" applyProtection="1">
      <alignment horizontal="center"/>
    </xf>
    <xf numFmtId="177" fontId="87" fillId="9" borderId="8" xfId="2" applyNumberFormat="1" applyFill="1" applyBorder="1" applyAlignment="1" applyProtection="1">
      <alignment horizontal="center"/>
    </xf>
    <xf numFmtId="191" fontId="5" fillId="6" borderId="41" xfId="0" applyNumberFormat="1" applyFont="1" applyFill="1" applyBorder="1" applyAlignment="1">
      <alignment horizontal="center" vertical="center"/>
    </xf>
    <xf numFmtId="177" fontId="5" fillId="0" borderId="39" xfId="2" applyNumberFormat="1" applyFont="1" applyBorder="1" applyAlignment="1" applyProtection="1">
      <alignment horizontal="center"/>
    </xf>
    <xf numFmtId="177" fontId="87" fillId="9" borderId="61" xfId="2" applyNumberFormat="1" applyFill="1" applyBorder="1" applyAlignment="1" applyProtection="1">
      <alignment horizontal="center"/>
    </xf>
    <xf numFmtId="177" fontId="3" fillId="0" borderId="6" xfId="2" applyNumberFormat="1" applyFont="1" applyBorder="1" applyAlignment="1" applyProtection="1">
      <alignment horizontal="center"/>
    </xf>
    <xf numFmtId="177" fontId="87" fillId="9" borderId="13" xfId="2" applyNumberFormat="1" applyFill="1" applyBorder="1" applyAlignment="1" applyProtection="1">
      <alignment horizontal="center"/>
    </xf>
    <xf numFmtId="9" fontId="5" fillId="22" borderId="35" xfId="3" applyFont="1" applyFill="1" applyBorder="1" applyAlignment="1" applyProtection="1">
      <alignment horizontal="center"/>
    </xf>
    <xf numFmtId="177" fontId="5" fillId="0" borderId="67" xfId="0" applyNumberFormat="1" applyFont="1" applyBorder="1" applyAlignment="1">
      <alignment horizontal="center"/>
    </xf>
    <xf numFmtId="9" fontId="5" fillId="23" borderId="6" xfId="3" applyFont="1" applyFill="1" applyBorder="1" applyAlignment="1" applyProtection="1">
      <alignment horizontal="center"/>
    </xf>
    <xf numFmtId="0" fontId="3" fillId="0" borderId="91" xfId="0" applyFont="1" applyBorder="1" applyAlignment="1">
      <alignment horizontal="center"/>
    </xf>
    <xf numFmtId="0" fontId="5" fillId="0" borderId="16" xfId="0" applyFont="1" applyBorder="1" applyAlignment="1">
      <alignment horizontal="left"/>
    </xf>
    <xf numFmtId="191" fontId="5" fillId="3" borderId="35" xfId="1" applyNumberFormat="1" applyFont="1" applyFill="1" applyBorder="1" applyAlignment="1" applyProtection="1">
      <alignment horizontal="center"/>
      <protection locked="0"/>
    </xf>
    <xf numFmtId="191" fontId="5" fillId="3" borderId="1" xfId="1" applyNumberFormat="1" applyFont="1" applyFill="1" applyBorder="1" applyAlignment="1" applyProtection="1">
      <alignment horizontal="center"/>
      <protection locked="0"/>
    </xf>
    <xf numFmtId="191" fontId="5" fillId="6" borderId="1" xfId="1" applyNumberFormat="1" applyFont="1" applyFill="1" applyBorder="1" applyAlignment="1" applyProtection="1">
      <alignment horizontal="center"/>
      <protection locked="0"/>
    </xf>
    <xf numFmtId="177" fontId="5" fillId="15" borderId="15" xfId="2" applyNumberFormat="1" applyFont="1" applyFill="1" applyBorder="1" applyAlignment="1" applyProtection="1">
      <alignment horizontal="center"/>
      <protection locked="0"/>
    </xf>
    <xf numFmtId="0" fontId="5" fillId="0" borderId="59" xfId="0" applyFont="1" applyBorder="1" applyAlignment="1">
      <alignment horizontal="left"/>
    </xf>
    <xf numFmtId="177" fontId="5" fillId="15" borderId="60" xfId="2" applyNumberFormat="1" applyFont="1" applyFill="1" applyBorder="1" applyAlignment="1" applyProtection="1">
      <alignment horizontal="center"/>
      <protection locked="0"/>
    </xf>
    <xf numFmtId="177" fontId="3" fillId="26" borderId="19" xfId="2" applyNumberFormat="1" applyFont="1" applyFill="1" applyBorder="1" applyAlignment="1" applyProtection="1">
      <alignment horizontal="center"/>
      <protection locked="0"/>
    </xf>
    <xf numFmtId="177" fontId="3" fillId="27" borderId="13" xfId="2" applyNumberFormat="1" applyFont="1" applyFill="1" applyBorder="1" applyAlignment="1" applyProtection="1">
      <alignment horizontal="center"/>
    </xf>
    <xf numFmtId="0" fontId="3" fillId="9" borderId="10" xfId="0" applyFont="1" applyFill="1" applyBorder="1" applyAlignment="1">
      <alignment horizontal="center"/>
    </xf>
    <xf numFmtId="167" fontId="5" fillId="0" borderId="13" xfId="2" applyFont="1" applyBorder="1" applyAlignment="1" applyProtection="1">
      <alignment horizontal="center"/>
    </xf>
    <xf numFmtId="177" fontId="5" fillId="9" borderId="33" xfId="2" applyNumberFormat="1" applyFont="1" applyFill="1" applyBorder="1" applyAlignment="1" applyProtection="1">
      <alignment horizontal="center"/>
    </xf>
    <xf numFmtId="167" fontId="5" fillId="9" borderId="33" xfId="2" applyFont="1" applyFill="1" applyBorder="1" applyAlignment="1" applyProtection="1">
      <alignment horizontal="center"/>
    </xf>
    <xf numFmtId="0" fontId="3" fillId="0" borderId="22" xfId="0" applyFont="1" applyBorder="1" applyAlignment="1">
      <alignment horizontal="right"/>
    </xf>
    <xf numFmtId="15" fontId="3" fillId="0" borderId="17" xfId="0" applyNumberFormat="1" applyFont="1" applyBorder="1" applyAlignment="1">
      <alignment horizontal="center"/>
    </xf>
    <xf numFmtId="0" fontId="3" fillId="0" borderId="23" xfId="0" applyFont="1" applyBorder="1" applyAlignment="1">
      <alignment horizontal="center"/>
    </xf>
    <xf numFmtId="0" fontId="5" fillId="14" borderId="17" xfId="0" applyFont="1" applyFill="1" applyBorder="1" applyAlignment="1">
      <alignment horizontal="center"/>
    </xf>
    <xf numFmtId="0" fontId="5" fillId="14" borderId="8" xfId="0" applyFont="1" applyFill="1" applyBorder="1" applyAlignment="1">
      <alignment horizontal="center"/>
    </xf>
    <xf numFmtId="0" fontId="5" fillId="3" borderId="8" xfId="0" applyFont="1" applyFill="1" applyBorder="1" applyAlignment="1">
      <alignment horizontal="center"/>
    </xf>
    <xf numFmtId="0" fontId="5" fillId="3" borderId="13" xfId="0" applyFont="1" applyFill="1" applyBorder="1" applyAlignment="1">
      <alignment horizontal="center"/>
    </xf>
    <xf numFmtId="0" fontId="5" fillId="9" borderId="0" xfId="0" applyFont="1" applyFill="1" applyAlignment="1">
      <alignment horizontal="left"/>
    </xf>
    <xf numFmtId="0" fontId="3" fillId="3" borderId="101" xfId="0" applyFont="1" applyFill="1" applyBorder="1" applyAlignment="1">
      <alignment horizontal="center" wrapText="1"/>
    </xf>
    <xf numFmtId="0" fontId="5" fillId="0" borderId="5" xfId="0" applyFont="1" applyBorder="1" applyAlignment="1">
      <alignment horizontal="center" wrapText="1"/>
    </xf>
    <xf numFmtId="0" fontId="5" fillId="0" borderId="102" xfId="0" applyFont="1" applyBorder="1" applyAlignment="1">
      <alignment horizontal="center" wrapText="1"/>
    </xf>
    <xf numFmtId="0" fontId="3" fillId="3" borderId="59" xfId="0" applyFont="1" applyFill="1" applyBorder="1" applyAlignment="1">
      <alignment horizontal="center" vertical="top" wrapText="1"/>
    </xf>
    <xf numFmtId="191" fontId="5" fillId="9" borderId="33" xfId="2" applyNumberFormat="1" applyFont="1" applyFill="1" applyBorder="1" applyAlignment="1" applyProtection="1">
      <alignment horizontal="center"/>
      <protection locked="0"/>
    </xf>
    <xf numFmtId="177" fontId="5" fillId="3" borderId="9" xfId="2" applyNumberFormat="1" applyFont="1" applyFill="1" applyBorder="1" applyAlignment="1" applyProtection="1">
      <alignment horizontal="center"/>
      <protection locked="0"/>
    </xf>
    <xf numFmtId="177" fontId="5" fillId="3" borderId="0" xfId="2" applyNumberFormat="1" applyFont="1" applyFill="1" applyBorder="1" applyAlignment="1" applyProtection="1">
      <alignment horizontal="center"/>
      <protection locked="0"/>
    </xf>
    <xf numFmtId="167" fontId="5" fillId="9" borderId="2" xfId="2" applyFont="1" applyFill="1" applyBorder="1" applyAlignment="1" applyProtection="1">
      <alignment horizontal="center"/>
    </xf>
    <xf numFmtId="0" fontId="81" fillId="9" borderId="0" xfId="0" applyFont="1" applyFill="1" applyAlignment="1">
      <alignment horizontal="center"/>
    </xf>
    <xf numFmtId="0" fontId="28" fillId="0" borderId="0" xfId="0" applyFont="1" applyAlignment="1">
      <alignment horizontal="center"/>
    </xf>
    <xf numFmtId="0" fontId="3" fillId="6" borderId="5" xfId="0" applyFont="1" applyFill="1" applyBorder="1" applyAlignment="1">
      <alignment horizontal="center" wrapText="1"/>
    </xf>
    <xf numFmtId="191" fontId="5" fillId="0" borderId="37" xfId="1" applyNumberFormat="1" applyFont="1" applyBorder="1" applyAlignment="1" applyProtection="1">
      <alignment horizontal="center"/>
    </xf>
    <xf numFmtId="191" fontId="5" fillId="0" borderId="86" xfId="1" applyNumberFormat="1" applyFont="1" applyBorder="1" applyAlignment="1" applyProtection="1">
      <alignment horizontal="center"/>
    </xf>
    <xf numFmtId="0" fontId="5" fillId="0" borderId="45" xfId="0" applyFont="1" applyBorder="1" applyAlignment="1">
      <alignment horizontal="center"/>
    </xf>
    <xf numFmtId="9" fontId="5" fillId="3" borderId="116" xfId="3" applyFont="1" applyFill="1" applyBorder="1" applyAlignment="1" applyProtection="1">
      <alignment horizontal="center" vertical="center"/>
      <protection locked="0"/>
    </xf>
    <xf numFmtId="191" fontId="5" fillId="0" borderId="118" xfId="1" applyNumberFormat="1" applyFont="1" applyBorder="1" applyAlignment="1" applyProtection="1">
      <alignment horizontal="center"/>
    </xf>
    <xf numFmtId="177" fontId="5" fillId="0" borderId="119" xfId="2" applyNumberFormat="1" applyFont="1" applyBorder="1" applyAlignment="1" applyProtection="1">
      <alignment horizontal="center"/>
    </xf>
    <xf numFmtId="0" fontId="3" fillId="9" borderId="23" xfId="0" applyFont="1" applyFill="1" applyBorder="1" applyAlignment="1">
      <alignment horizontal="center"/>
    </xf>
    <xf numFmtId="167" fontId="5" fillId="3" borderId="9" xfId="2" applyFont="1" applyFill="1" applyBorder="1" applyAlignment="1" applyProtection="1">
      <alignment horizontal="center"/>
      <protection locked="0"/>
    </xf>
    <xf numFmtId="191" fontId="5" fillId="0" borderId="29" xfId="0" applyNumberFormat="1" applyFont="1" applyBorder="1" applyAlignment="1">
      <alignment horizontal="center"/>
    </xf>
    <xf numFmtId="167" fontId="5" fillId="0" borderId="17" xfId="2" applyFont="1" applyBorder="1" applyAlignment="1" applyProtection="1">
      <alignment horizontal="center"/>
    </xf>
    <xf numFmtId="167" fontId="5" fillId="6" borderId="45" xfId="2" applyFont="1" applyFill="1" applyBorder="1" applyAlignment="1" applyProtection="1">
      <alignment horizontal="center" vertical="center"/>
    </xf>
    <xf numFmtId="1" fontId="5" fillId="6" borderId="1" xfId="0" applyNumberFormat="1" applyFont="1" applyFill="1" applyBorder="1" applyAlignment="1">
      <alignment horizontal="right" vertical="center"/>
    </xf>
    <xf numFmtId="167" fontId="5" fillId="0" borderId="8" xfId="2" applyFont="1" applyBorder="1" applyAlignment="1" applyProtection="1">
      <alignment horizontal="center"/>
    </xf>
    <xf numFmtId="0" fontId="5" fillId="0" borderId="78" xfId="0" applyFont="1" applyBorder="1" applyAlignment="1">
      <alignment horizontal="left"/>
    </xf>
    <xf numFmtId="167" fontId="5" fillId="0" borderId="61" xfId="2" applyFont="1" applyBorder="1" applyAlignment="1" applyProtection="1">
      <alignment horizontal="center"/>
    </xf>
    <xf numFmtId="167" fontId="5" fillId="6" borderId="13" xfId="2" applyFont="1" applyFill="1" applyBorder="1" applyAlignment="1" applyProtection="1">
      <alignment horizontal="center"/>
    </xf>
    <xf numFmtId="0" fontId="5" fillId="0" borderId="34" xfId="0" applyFont="1" applyBorder="1" applyAlignment="1">
      <alignment horizontal="left"/>
    </xf>
    <xf numFmtId="0" fontId="5" fillId="0" borderId="14" xfId="0" applyFont="1" applyBorder="1" applyAlignment="1">
      <alignment horizontal="left"/>
    </xf>
    <xf numFmtId="0" fontId="5" fillId="0" borderId="87" xfId="0" applyFont="1" applyBorder="1" applyAlignment="1">
      <alignment horizontal="left"/>
    </xf>
    <xf numFmtId="0" fontId="3" fillId="26" borderId="18" xfId="0" applyFont="1" applyFill="1" applyBorder="1" applyAlignment="1">
      <alignment horizontal="center"/>
    </xf>
    <xf numFmtId="177" fontId="5" fillId="27" borderId="13" xfId="2" applyNumberFormat="1" applyFont="1" applyFill="1" applyBorder="1" applyAlignment="1" applyProtection="1">
      <alignment horizontal="center"/>
    </xf>
    <xf numFmtId="10" fontId="5" fillId="3" borderId="33" xfId="3" applyNumberFormat="1" applyFont="1" applyFill="1" applyBorder="1" applyAlignment="1" applyProtection="1">
      <alignment horizontal="center"/>
      <protection locked="0"/>
    </xf>
    <xf numFmtId="0" fontId="5" fillId="9" borderId="3" xfId="0" applyFont="1" applyFill="1" applyBorder="1" applyAlignment="1">
      <alignment horizontal="center"/>
    </xf>
    <xf numFmtId="0" fontId="3" fillId="18" borderId="10" xfId="0" applyFont="1" applyFill="1" applyBorder="1" applyAlignment="1">
      <alignment horizontal="center"/>
    </xf>
    <xf numFmtId="177" fontId="3" fillId="0" borderId="70" xfId="2" applyNumberFormat="1" applyFont="1" applyBorder="1" applyAlignment="1" applyProtection="1">
      <alignment horizontal="center" wrapText="1"/>
    </xf>
    <xf numFmtId="191" fontId="5" fillId="14" borderId="26" xfId="1" applyNumberFormat="1" applyFont="1" applyFill="1" applyBorder="1" applyAlignment="1" applyProtection="1">
      <alignment horizontal="center"/>
      <protection locked="0"/>
    </xf>
    <xf numFmtId="177" fontId="5" fillId="4" borderId="3" xfId="0" applyNumberFormat="1" applyFont="1" applyFill="1" applyBorder="1" applyAlignment="1" applyProtection="1">
      <alignment horizontal="center"/>
      <protection locked="0"/>
    </xf>
    <xf numFmtId="167" fontId="5" fillId="0" borderId="6" xfId="2" applyFont="1" applyBorder="1" applyAlignment="1" applyProtection="1">
      <alignment horizontal="center"/>
      <protection locked="0"/>
    </xf>
    <xf numFmtId="167" fontId="3" fillId="0" borderId="0" xfId="0" applyNumberFormat="1" applyFont="1" applyAlignment="1">
      <alignment horizontal="center"/>
    </xf>
    <xf numFmtId="177" fontId="5" fillId="14" borderId="3" xfId="0" applyNumberFormat="1" applyFont="1" applyFill="1" applyBorder="1" applyAlignment="1">
      <alignment horizontal="center"/>
    </xf>
    <xf numFmtId="177" fontId="5" fillId="14" borderId="103" xfId="2" applyNumberFormat="1" applyFont="1" applyFill="1" applyBorder="1" applyAlignment="1" applyProtection="1">
      <alignment horizontal="center"/>
    </xf>
    <xf numFmtId="177" fontId="5" fillId="15" borderId="3" xfId="2" applyNumberFormat="1" applyFont="1" applyFill="1" applyBorder="1" applyAlignment="1" applyProtection="1">
      <alignment horizontal="center"/>
    </xf>
    <xf numFmtId="177" fontId="75" fillId="14" borderId="0" xfId="2" applyNumberFormat="1" applyFont="1" applyFill="1" applyBorder="1" applyAlignment="1" applyProtection="1">
      <alignment horizontal="center"/>
    </xf>
    <xf numFmtId="179" fontId="5" fillId="6" borderId="44" xfId="0" applyNumberFormat="1" applyFont="1" applyFill="1" applyBorder="1" applyAlignment="1">
      <alignment horizontal="center" wrapText="1"/>
    </xf>
    <xf numFmtId="39" fontId="20" fillId="0" borderId="53" xfId="0" applyNumberFormat="1" applyFont="1" applyBorder="1" applyAlignment="1">
      <alignment horizontal="center"/>
    </xf>
    <xf numFmtId="179" fontId="5" fillId="6" borderId="10" xfId="0" applyNumberFormat="1" applyFont="1" applyFill="1" applyBorder="1" applyAlignment="1">
      <alignment horizontal="center"/>
    </xf>
    <xf numFmtId="39" fontId="5" fillId="9" borderId="70" xfId="0" applyNumberFormat="1" applyFont="1" applyFill="1" applyBorder="1" applyAlignment="1">
      <alignment horizontal="center"/>
    </xf>
    <xf numFmtId="191" fontId="5" fillId="9" borderId="2" xfId="0" applyNumberFormat="1" applyFont="1" applyFill="1" applyBorder="1" applyAlignment="1">
      <alignment horizontal="center"/>
    </xf>
    <xf numFmtId="177" fontId="5" fillId="9" borderId="61" xfId="0" applyNumberFormat="1" applyFont="1" applyFill="1" applyBorder="1" applyAlignment="1">
      <alignment horizontal="center"/>
    </xf>
    <xf numFmtId="191" fontId="5" fillId="0" borderId="75" xfId="1" applyNumberFormat="1" applyFont="1" applyBorder="1" applyAlignment="1" applyProtection="1">
      <alignment horizontal="center"/>
    </xf>
    <xf numFmtId="0" fontId="5" fillId="0" borderId="1" xfId="0" applyFont="1" applyBorder="1" applyAlignment="1" applyProtection="1">
      <alignment horizontal="center"/>
      <protection locked="0"/>
    </xf>
    <xf numFmtId="177" fontId="5" fillId="0" borderId="1" xfId="2" applyNumberFormat="1" applyFont="1" applyBorder="1" applyAlignment="1" applyProtection="1">
      <alignment horizontal="center"/>
      <protection locked="0"/>
    </xf>
    <xf numFmtId="191" fontId="5" fillId="3" borderId="1" xfId="1" applyNumberFormat="1" applyFont="1" applyFill="1" applyBorder="1" applyAlignment="1" applyProtection="1">
      <alignment horizontal="center"/>
    </xf>
    <xf numFmtId="191" fontId="5" fillId="0" borderId="90" xfId="1" applyNumberFormat="1" applyFont="1" applyBorder="1" applyAlignment="1" applyProtection="1">
      <alignment horizontal="center"/>
    </xf>
    <xf numFmtId="0" fontId="20" fillId="0" borderId="81" xfId="0" applyFont="1" applyBorder="1" applyAlignment="1">
      <alignment horizontal="center" vertical="center" wrapText="1"/>
    </xf>
    <xf numFmtId="186" fontId="5" fillId="0" borderId="107" xfId="0" applyNumberFormat="1" applyFont="1" applyBorder="1" applyAlignment="1">
      <alignment horizontal="center"/>
    </xf>
    <xf numFmtId="186" fontId="5" fillId="0" borderId="37" xfId="0" applyNumberFormat="1" applyFont="1" applyBorder="1" applyAlignment="1">
      <alignment horizontal="center"/>
    </xf>
    <xf numFmtId="191" fontId="5" fillId="0" borderId="6" xfId="1" applyNumberFormat="1" applyFont="1" applyBorder="1" applyAlignment="1" applyProtection="1">
      <alignment horizontal="center"/>
    </xf>
    <xf numFmtId="177" fontId="5" fillId="9" borderId="13" xfId="0" applyNumberFormat="1" applyFont="1" applyFill="1" applyBorder="1" applyAlignment="1">
      <alignment horizontal="center"/>
    </xf>
    <xf numFmtId="167" fontId="5" fillId="3" borderId="35" xfId="2" applyFont="1" applyFill="1" applyBorder="1" applyAlignment="1" applyProtection="1">
      <alignment horizontal="center"/>
      <protection locked="0"/>
    </xf>
    <xf numFmtId="167" fontId="5" fillId="6" borderId="109" xfId="0" applyNumberFormat="1" applyFont="1" applyFill="1" applyBorder="1" applyAlignment="1">
      <alignment horizontal="center" vertical="center"/>
    </xf>
    <xf numFmtId="1" fontId="5" fillId="6" borderId="109" xfId="1" applyNumberFormat="1" applyFont="1" applyFill="1" applyBorder="1" applyAlignment="1" applyProtection="1">
      <alignment horizontal="center" vertical="center"/>
    </xf>
    <xf numFmtId="167" fontId="72" fillId="3" borderId="15" xfId="2" applyFont="1" applyFill="1" applyBorder="1" applyAlignment="1" applyProtection="1">
      <alignment horizontal="center"/>
      <protection locked="0"/>
    </xf>
    <xf numFmtId="167" fontId="5" fillId="3" borderId="15" xfId="2" applyFont="1" applyFill="1" applyBorder="1" applyAlignment="1" applyProtection="1">
      <alignment horizontal="center"/>
      <protection locked="0"/>
    </xf>
    <xf numFmtId="167" fontId="5" fillId="3" borderId="67" xfId="2" applyFont="1" applyFill="1" applyBorder="1" applyAlignment="1" applyProtection="1">
      <alignment horizontal="center"/>
      <protection locked="0"/>
    </xf>
    <xf numFmtId="167" fontId="5" fillId="3" borderId="1" xfId="2" applyFont="1" applyFill="1" applyBorder="1" applyAlignment="1" applyProtection="1">
      <alignment horizontal="center"/>
      <protection locked="0"/>
    </xf>
    <xf numFmtId="1" fontId="5" fillId="0" borderId="56" xfId="1" applyNumberFormat="1" applyFont="1" applyBorder="1" applyAlignment="1" applyProtection="1">
      <alignment horizontal="center"/>
    </xf>
    <xf numFmtId="1" fontId="5" fillId="5" borderId="56" xfId="1" applyNumberFormat="1" applyFont="1" applyFill="1" applyBorder="1" applyAlignment="1" applyProtection="1">
      <alignment horizontal="center"/>
    </xf>
    <xf numFmtId="167" fontId="5" fillId="3" borderId="55" xfId="2" applyFont="1" applyFill="1" applyBorder="1" applyAlignment="1" applyProtection="1">
      <alignment horizontal="center"/>
      <protection locked="0"/>
    </xf>
    <xf numFmtId="167" fontId="5" fillId="3" borderId="60" xfId="2" applyFont="1" applyFill="1" applyBorder="1" applyAlignment="1" applyProtection="1">
      <alignment horizontal="center"/>
      <protection locked="0"/>
    </xf>
    <xf numFmtId="9" fontId="5" fillId="22" borderId="110" xfId="3" applyFont="1" applyFill="1" applyBorder="1" applyAlignment="1" applyProtection="1">
      <alignment horizontal="center"/>
    </xf>
    <xf numFmtId="177" fontId="5" fillId="0" borderId="75" xfId="0" applyNumberFormat="1" applyFont="1" applyBorder="1" applyAlignment="1">
      <alignment horizontal="center"/>
    </xf>
    <xf numFmtId="177" fontId="5" fillId="9" borderId="24" xfId="2" applyNumberFormat="1" applyFont="1" applyFill="1" applyBorder="1" applyAlignment="1" applyProtection="1">
      <alignment horizontal="center"/>
    </xf>
    <xf numFmtId="9" fontId="5" fillId="15" borderId="81" xfId="3" applyFont="1" applyFill="1" applyBorder="1" applyAlignment="1" applyProtection="1">
      <alignment horizontal="center"/>
    </xf>
    <xf numFmtId="167" fontId="5" fillId="26" borderId="104" xfId="1" applyNumberFormat="1" applyFont="1" applyFill="1" applyBorder="1" applyAlignment="1" applyProtection="1">
      <alignment horizontal="center"/>
      <protection locked="0"/>
    </xf>
    <xf numFmtId="0" fontId="10" fillId="9" borderId="3" xfId="0" applyFont="1" applyFill="1" applyBorder="1" applyAlignment="1">
      <alignment horizontal="center"/>
    </xf>
    <xf numFmtId="0" fontId="1" fillId="0" borderId="16" xfId="0" applyFont="1" applyBorder="1" applyAlignment="1">
      <alignment horizontal="center"/>
    </xf>
    <xf numFmtId="0" fontId="3" fillId="3" borderId="63" xfId="0" applyFont="1" applyFill="1" applyBorder="1" applyAlignment="1">
      <alignment horizontal="center" vertical="top" wrapText="1"/>
    </xf>
    <xf numFmtId="167" fontId="5" fillId="9" borderId="7" xfId="2" applyFont="1" applyFill="1" applyBorder="1" applyAlignment="1" applyProtection="1">
      <alignment horizontal="center"/>
      <protection locked="0"/>
    </xf>
    <xf numFmtId="177" fontId="65" fillId="3" borderId="0" xfId="2" applyNumberFormat="1" applyFont="1" applyFill="1" applyBorder="1" applyAlignment="1" applyProtection="1">
      <alignment horizontal="center"/>
      <protection locked="0"/>
    </xf>
    <xf numFmtId="211" fontId="5" fillId="9" borderId="45" xfId="0" applyNumberFormat="1" applyFont="1" applyFill="1" applyBorder="1" applyAlignment="1">
      <alignment horizontal="center"/>
    </xf>
    <xf numFmtId="213" fontId="5" fillId="9" borderId="45" xfId="0" applyNumberFormat="1" applyFont="1" applyFill="1" applyBorder="1" applyAlignment="1">
      <alignment horizontal="center"/>
    </xf>
    <xf numFmtId="9" fontId="5" fillId="0" borderId="115" xfId="3" applyFont="1" applyBorder="1" applyAlignment="1" applyProtection="1">
      <alignment horizontal="center" vertical="center" wrapText="1"/>
      <protection locked="0"/>
    </xf>
    <xf numFmtId="0" fontId="5" fillId="0" borderId="65" xfId="0" applyFont="1" applyBorder="1" applyAlignment="1" applyProtection="1">
      <alignment horizontal="center"/>
      <protection locked="0"/>
    </xf>
    <xf numFmtId="0" fontId="5" fillId="0" borderId="45" xfId="0" applyFont="1" applyBorder="1" applyAlignment="1" applyProtection="1">
      <alignment horizontal="center"/>
      <protection locked="0"/>
    </xf>
    <xf numFmtId="177" fontId="5" fillId="0" borderId="108" xfId="2" applyNumberFormat="1" applyFont="1" applyBorder="1" applyAlignment="1" applyProtection="1">
      <alignment horizontal="center"/>
    </xf>
    <xf numFmtId="1" fontId="5" fillId="6" borderId="1" xfId="0" applyNumberFormat="1" applyFont="1" applyFill="1" applyBorder="1" applyAlignment="1">
      <alignment horizontal="center" vertical="center"/>
    </xf>
    <xf numFmtId="177" fontId="72" fillId="0" borderId="8" xfId="2" applyNumberFormat="1" applyFont="1" applyBorder="1" applyAlignment="1" applyProtection="1">
      <alignment horizontal="center"/>
    </xf>
    <xf numFmtId="177" fontId="5" fillId="3" borderId="37" xfId="2" applyNumberFormat="1" applyFont="1" applyFill="1" applyBorder="1" applyAlignment="1" applyProtection="1">
      <alignment horizontal="center"/>
      <protection locked="0"/>
    </xf>
    <xf numFmtId="0" fontId="3" fillId="6" borderId="21" xfId="0" applyFont="1" applyFill="1" applyBorder="1" applyAlignment="1">
      <alignment horizontal="center"/>
    </xf>
    <xf numFmtId="177" fontId="5" fillId="0" borderId="36" xfId="2" applyNumberFormat="1" applyFont="1" applyBorder="1" applyAlignment="1" applyProtection="1">
      <alignment horizontal="center"/>
    </xf>
    <xf numFmtId="177" fontId="5" fillId="0" borderId="24" xfId="2" applyNumberFormat="1" applyFont="1" applyBorder="1" applyAlignment="1" applyProtection="1">
      <alignment horizontal="center"/>
    </xf>
    <xf numFmtId="9" fontId="5" fillId="15" borderId="81" xfId="3" applyFont="1" applyFill="1" applyBorder="1" applyAlignment="1" applyProtection="1">
      <alignment horizontal="center"/>
      <protection locked="0"/>
    </xf>
    <xf numFmtId="0" fontId="3" fillId="0" borderId="6" xfId="0" applyFont="1" applyBorder="1" applyAlignment="1">
      <alignment horizontal="right"/>
    </xf>
    <xf numFmtId="15" fontId="3" fillId="0" borderId="0" xfId="0" applyNumberFormat="1" applyFont="1" applyAlignment="1">
      <alignment horizontal="center"/>
    </xf>
    <xf numFmtId="0" fontId="5" fillId="14" borderId="44" xfId="0" applyFont="1" applyFill="1" applyBorder="1" applyAlignment="1" applyProtection="1">
      <alignment horizontal="center"/>
      <protection locked="0"/>
    </xf>
    <xf numFmtId="0" fontId="5" fillId="14" borderId="47" xfId="0" applyFont="1" applyFill="1" applyBorder="1" applyAlignment="1" applyProtection="1">
      <alignment horizontal="center"/>
      <protection locked="0"/>
    </xf>
    <xf numFmtId="0" fontId="5" fillId="0" borderId="29" xfId="0" applyFont="1" applyBorder="1" applyAlignment="1">
      <alignment horizontal="center"/>
    </xf>
    <xf numFmtId="0" fontId="5" fillId="3" borderId="47" xfId="0" applyFont="1" applyFill="1" applyBorder="1" applyAlignment="1" applyProtection="1">
      <alignment horizontal="center"/>
      <protection locked="0"/>
    </xf>
    <xf numFmtId="14" fontId="5" fillId="3" borderId="47" xfId="0" applyNumberFormat="1" applyFont="1" applyFill="1" applyBorder="1" applyAlignment="1" applyProtection="1">
      <alignment horizontal="center"/>
      <protection locked="0"/>
    </xf>
    <xf numFmtId="14" fontId="5" fillId="3" borderId="77" xfId="0" applyNumberFormat="1" applyFont="1" applyFill="1" applyBorder="1" applyAlignment="1">
      <alignment horizontal="center"/>
    </xf>
    <xf numFmtId="0" fontId="5" fillId="3" borderId="53" xfId="0" applyFont="1" applyFill="1" applyBorder="1" applyAlignment="1" applyProtection="1">
      <alignment horizontal="center"/>
      <protection locked="0"/>
    </xf>
    <xf numFmtId="14" fontId="5" fillId="3" borderId="53" xfId="0" applyNumberFormat="1" applyFont="1" applyFill="1" applyBorder="1" applyAlignment="1" applyProtection="1">
      <alignment horizontal="center"/>
      <protection locked="0"/>
    </xf>
    <xf numFmtId="14" fontId="5" fillId="3" borderId="96" xfId="0" applyNumberFormat="1" applyFont="1" applyFill="1" applyBorder="1" applyAlignment="1">
      <alignment horizontal="center"/>
    </xf>
    <xf numFmtId="14" fontId="5" fillId="3" borderId="72" xfId="0" applyNumberFormat="1" applyFont="1" applyFill="1" applyBorder="1" applyAlignment="1" applyProtection="1">
      <alignment horizontal="center"/>
      <protection locked="0"/>
    </xf>
    <xf numFmtId="0" fontId="5" fillId="3" borderId="101" xfId="0" applyFont="1" applyFill="1" applyBorder="1" applyAlignment="1">
      <alignment horizontal="center" wrapText="1"/>
    </xf>
    <xf numFmtId="0" fontId="3" fillId="9" borderId="9" xfId="0" applyFont="1" applyFill="1" applyBorder="1" applyAlignment="1">
      <alignment horizontal="center"/>
    </xf>
    <xf numFmtId="177" fontId="5" fillId="9" borderId="9" xfId="2" applyNumberFormat="1" applyFont="1" applyFill="1" applyBorder="1" applyAlignment="1" applyProtection="1">
      <alignment horizontal="center"/>
    </xf>
    <xf numFmtId="0" fontId="5" fillId="9" borderId="9" xfId="0" applyFont="1" applyFill="1" applyBorder="1" applyAlignment="1">
      <alignment horizontal="center"/>
    </xf>
    <xf numFmtId="191" fontId="5" fillId="14" borderId="103" xfId="0" applyNumberFormat="1" applyFont="1" applyFill="1" applyBorder="1" applyAlignment="1">
      <alignment horizontal="center"/>
    </xf>
    <xf numFmtId="177" fontId="5" fillId="9" borderId="41" xfId="0" applyNumberFormat="1" applyFont="1" applyFill="1" applyBorder="1" applyAlignment="1">
      <alignment horizontal="center"/>
    </xf>
    <xf numFmtId="0" fontId="20" fillId="6" borderId="5" xfId="0" applyFont="1" applyFill="1" applyBorder="1" applyAlignment="1">
      <alignment horizontal="center" wrapText="1"/>
    </xf>
    <xf numFmtId="191" fontId="5" fillId="0" borderId="9" xfId="0" applyNumberFormat="1" applyFont="1" applyBorder="1" applyAlignment="1">
      <alignment horizontal="center"/>
    </xf>
    <xf numFmtId="167" fontId="5" fillId="6" borderId="0" xfId="2" applyFont="1" applyFill="1" applyBorder="1" applyAlignment="1" applyProtection="1">
      <alignment horizontal="center" vertical="center"/>
    </xf>
    <xf numFmtId="1" fontId="5" fillId="6" borderId="3" xfId="0" applyNumberFormat="1" applyFont="1" applyFill="1" applyBorder="1" applyAlignment="1">
      <alignment horizontal="center" vertical="center"/>
    </xf>
    <xf numFmtId="1" fontId="5" fillId="6" borderId="67" xfId="0" applyNumberFormat="1" applyFont="1" applyFill="1" applyBorder="1" applyAlignment="1">
      <alignment horizontal="center" vertical="center"/>
    </xf>
    <xf numFmtId="177" fontId="5" fillId="6" borderId="38" xfId="2" applyNumberFormat="1" applyFont="1" applyFill="1" applyBorder="1" applyAlignment="1" applyProtection="1">
      <alignment horizontal="center"/>
      <protection locked="0"/>
    </xf>
    <xf numFmtId="167" fontId="5" fillId="9" borderId="13" xfId="2" applyFont="1" applyFill="1" applyBorder="1" applyAlignment="1" applyProtection="1">
      <alignment horizontal="center"/>
    </xf>
    <xf numFmtId="9" fontId="5" fillId="15" borderId="67" xfId="3" applyFont="1" applyFill="1" applyBorder="1" applyAlignment="1" applyProtection="1">
      <alignment horizontal="center"/>
    </xf>
    <xf numFmtId="0" fontId="5" fillId="26" borderId="25" xfId="0" applyFont="1" applyFill="1" applyBorder="1" applyAlignment="1" applyProtection="1">
      <alignment horizontal="center"/>
      <protection locked="0"/>
    </xf>
    <xf numFmtId="0" fontId="5" fillId="9" borderId="6" xfId="0" applyFont="1" applyFill="1" applyBorder="1" applyAlignment="1">
      <alignment horizontal="right"/>
    </xf>
    <xf numFmtId="0" fontId="5" fillId="9" borderId="6" xfId="0" applyFont="1" applyFill="1" applyBorder="1" applyAlignment="1">
      <alignment horizontal="left"/>
    </xf>
    <xf numFmtId="169" fontId="5" fillId="3" borderId="98" xfId="0" applyNumberFormat="1" applyFont="1" applyFill="1" applyBorder="1" applyAlignment="1">
      <alignment horizontal="center" wrapText="1"/>
    </xf>
    <xf numFmtId="0" fontId="5" fillId="3" borderId="5" xfId="0" applyFont="1" applyFill="1" applyBorder="1" applyAlignment="1">
      <alignment horizontal="center" wrapText="1"/>
    </xf>
    <xf numFmtId="0" fontId="5" fillId="3" borderId="98" xfId="0" applyFont="1" applyFill="1" applyBorder="1" applyAlignment="1">
      <alignment horizontal="center" wrapText="1"/>
    </xf>
    <xf numFmtId="0" fontId="3" fillId="3" borderId="98" xfId="0" applyFont="1" applyFill="1" applyBorder="1" applyAlignment="1">
      <alignment horizontal="center" wrapText="1"/>
    </xf>
    <xf numFmtId="0" fontId="5" fillId="3" borderId="129" xfId="0" applyFont="1" applyFill="1" applyBorder="1" applyAlignment="1">
      <alignment horizontal="center" wrapText="1"/>
    </xf>
    <xf numFmtId="169" fontId="5" fillId="3" borderId="35" xfId="0" applyNumberFormat="1" applyFont="1" applyFill="1" applyBorder="1" applyAlignment="1">
      <alignment horizontal="center" wrapText="1" shrinkToFit="1"/>
    </xf>
    <xf numFmtId="0" fontId="1" fillId="9" borderId="1" xfId="0" applyFont="1" applyFill="1" applyBorder="1" applyAlignment="1">
      <alignment horizontal="center"/>
    </xf>
    <xf numFmtId="177" fontId="5" fillId="0" borderId="20" xfId="2" applyNumberFormat="1" applyFont="1" applyBorder="1" applyAlignment="1" applyProtection="1">
      <alignment horizontal="center"/>
      <protection locked="0"/>
    </xf>
    <xf numFmtId="191" fontId="5" fillId="3" borderId="45" xfId="1" applyNumberFormat="1" applyFont="1" applyFill="1" applyBorder="1" applyAlignment="1" applyProtection="1">
      <alignment horizontal="center"/>
      <protection locked="0"/>
    </xf>
    <xf numFmtId="191" fontId="5" fillId="0" borderId="21" xfId="0" applyNumberFormat="1" applyFont="1" applyBorder="1" applyAlignment="1">
      <alignment horizontal="center"/>
    </xf>
    <xf numFmtId="191" fontId="5" fillId="0" borderId="6" xfId="0" applyNumberFormat="1" applyFont="1" applyBorder="1" applyAlignment="1">
      <alignment horizontal="center"/>
    </xf>
    <xf numFmtId="177" fontId="5" fillId="0" borderId="0" xfId="0" applyNumberFormat="1" applyFont="1" applyAlignment="1">
      <alignment horizontal="center"/>
    </xf>
    <xf numFmtId="218" fontId="5" fillId="3" borderId="33" xfId="3" applyNumberFormat="1" applyFont="1" applyFill="1" applyBorder="1" applyAlignment="1" applyProtection="1">
      <alignment horizontal="center"/>
    </xf>
    <xf numFmtId="177" fontId="5" fillId="14" borderId="22" xfId="2" applyNumberFormat="1" applyFont="1" applyFill="1" applyBorder="1" applyAlignment="1" applyProtection="1">
      <alignment horizontal="center"/>
    </xf>
    <xf numFmtId="1" fontId="5" fillId="3" borderId="0" xfId="0" applyNumberFormat="1" applyFont="1" applyFill="1" applyAlignment="1">
      <alignment horizontal="center"/>
    </xf>
    <xf numFmtId="9" fontId="5" fillId="3" borderId="60" xfId="3" applyFont="1" applyFill="1" applyBorder="1" applyAlignment="1" applyProtection="1">
      <alignment horizontal="center" vertical="center"/>
    </xf>
    <xf numFmtId="177" fontId="5" fillId="3" borderId="91" xfId="2" applyNumberFormat="1" applyFont="1" applyFill="1" applyBorder="1" applyAlignment="1" applyProtection="1">
      <alignment horizontal="center"/>
    </xf>
    <xf numFmtId="167" fontId="5" fillId="3" borderId="37" xfId="2" applyFont="1" applyFill="1" applyBorder="1" applyAlignment="1" applyProtection="1">
      <alignment horizontal="center"/>
    </xf>
    <xf numFmtId="191" fontId="5" fillId="6" borderId="109" xfId="1" applyNumberFormat="1" applyFont="1" applyFill="1" applyBorder="1" applyAlignment="1" applyProtection="1">
      <alignment horizontal="center" vertical="center"/>
    </xf>
    <xf numFmtId="177" fontId="1" fillId="9" borderId="17" xfId="2" applyNumberFormat="1" applyFont="1" applyFill="1" applyBorder="1" applyAlignment="1" applyProtection="1">
      <alignment horizontal="center"/>
    </xf>
    <xf numFmtId="177" fontId="1" fillId="9" borderId="8" xfId="2" applyNumberFormat="1" applyFont="1" applyFill="1" applyBorder="1" applyAlignment="1" applyProtection="1">
      <alignment horizontal="center"/>
    </xf>
    <xf numFmtId="167" fontId="5" fillId="25" borderId="37" xfId="2" applyFont="1" applyFill="1" applyBorder="1" applyAlignment="1" applyProtection="1">
      <alignment horizontal="center"/>
    </xf>
    <xf numFmtId="1" fontId="5" fillId="25" borderId="0" xfId="1" applyNumberFormat="1" applyFont="1" applyFill="1" applyBorder="1" applyAlignment="1" applyProtection="1">
      <alignment horizontal="center"/>
    </xf>
    <xf numFmtId="177" fontId="5" fillId="3" borderId="86" xfId="2" applyNumberFormat="1" applyFont="1" applyFill="1" applyBorder="1" applyAlignment="1" applyProtection="1">
      <alignment horizontal="center"/>
    </xf>
    <xf numFmtId="177" fontId="1" fillId="9" borderId="61" xfId="2" applyNumberFormat="1" applyFont="1" applyFill="1" applyBorder="1" applyAlignment="1" applyProtection="1">
      <alignment horizontal="center"/>
    </xf>
    <xf numFmtId="177" fontId="1" fillId="9" borderId="13" xfId="2" applyNumberFormat="1" applyFont="1" applyFill="1" applyBorder="1" applyAlignment="1" applyProtection="1">
      <alignment horizontal="center"/>
    </xf>
    <xf numFmtId="0" fontId="5" fillId="0" borderId="18" xfId="0" applyFont="1" applyBorder="1" applyAlignment="1">
      <alignment horizontal="left"/>
    </xf>
    <xf numFmtId="1" fontId="5" fillId="6" borderId="109" xfId="1" applyNumberFormat="1" applyFont="1" applyFill="1" applyBorder="1" applyAlignment="1" applyProtection="1">
      <alignment horizontal="center"/>
    </xf>
    <xf numFmtId="1" fontId="5" fillId="6" borderId="1" xfId="1" applyNumberFormat="1" applyFont="1" applyFill="1" applyBorder="1" applyAlignment="1" applyProtection="1">
      <alignment horizontal="center"/>
    </xf>
    <xf numFmtId="0" fontId="5" fillId="3" borderId="1" xfId="0" applyFont="1" applyFill="1" applyBorder="1" applyAlignment="1">
      <alignment horizontal="center" vertical="center"/>
    </xf>
    <xf numFmtId="1" fontId="5" fillId="6" borderId="55" xfId="1" applyNumberFormat="1" applyFont="1" applyFill="1" applyBorder="1" applyAlignment="1" applyProtection="1">
      <alignment horizontal="center"/>
    </xf>
    <xf numFmtId="1" fontId="5" fillId="3" borderId="67" xfId="1" applyNumberFormat="1" applyFont="1" applyFill="1" applyBorder="1" applyAlignment="1" applyProtection="1">
      <alignment horizontal="center"/>
    </xf>
    <xf numFmtId="1" fontId="5" fillId="6" borderId="1" xfId="0" applyNumberFormat="1" applyFont="1" applyFill="1" applyBorder="1" applyAlignment="1">
      <alignment horizontal="center"/>
    </xf>
    <xf numFmtId="0" fontId="5" fillId="0" borderId="37" xfId="0" applyFont="1" applyBorder="1" applyAlignment="1">
      <alignment horizontal="left"/>
    </xf>
    <xf numFmtId="177" fontId="5" fillId="3" borderId="1" xfId="2" applyNumberFormat="1" applyFont="1" applyFill="1" applyBorder="1" applyAlignment="1" applyProtection="1">
      <alignment horizontal="center"/>
    </xf>
    <xf numFmtId="0" fontId="72" fillId="0" borderId="69" xfId="0" applyFont="1" applyBorder="1" applyAlignment="1">
      <alignment horizontal="left"/>
    </xf>
    <xf numFmtId="177" fontId="5" fillId="3" borderId="67" xfId="2" applyNumberFormat="1" applyFont="1" applyFill="1" applyBorder="1" applyAlignment="1" applyProtection="1">
      <alignment horizontal="center"/>
    </xf>
    <xf numFmtId="177" fontId="5" fillId="9" borderId="68" xfId="2" applyNumberFormat="1" applyFont="1" applyFill="1" applyBorder="1" applyAlignment="1" applyProtection="1">
      <alignment horizontal="center"/>
    </xf>
    <xf numFmtId="0" fontId="5" fillId="0" borderId="11" xfId="0" applyFont="1" applyBorder="1" applyAlignment="1">
      <alignment horizontal="right"/>
    </xf>
    <xf numFmtId="0" fontId="5" fillId="14" borderId="113" xfId="0" applyFont="1" applyFill="1" applyBorder="1" applyAlignment="1">
      <alignment horizontal="left"/>
    </xf>
    <xf numFmtId="14" fontId="5" fillId="14" borderId="109" xfId="0" applyNumberFormat="1" applyFont="1" applyFill="1" applyBorder="1" applyAlignment="1">
      <alignment horizontal="center"/>
    </xf>
    <xf numFmtId="0" fontId="5" fillId="14" borderId="31" xfId="0" applyFont="1" applyFill="1" applyBorder="1" applyAlignment="1">
      <alignment horizontal="left"/>
    </xf>
    <xf numFmtId="14" fontId="5" fillId="14" borderId="1" xfId="0" applyNumberFormat="1" applyFont="1" applyFill="1" applyBorder="1" applyAlignment="1">
      <alignment horizontal="center"/>
    </xf>
    <xf numFmtId="14" fontId="5" fillId="3" borderId="1" xfId="0" applyNumberFormat="1" applyFont="1" applyFill="1" applyBorder="1" applyAlignment="1">
      <alignment horizontal="center"/>
    </xf>
    <xf numFmtId="0" fontId="5" fillId="14" borderId="71" xfId="0" applyFont="1" applyFill="1" applyBorder="1" applyAlignment="1">
      <alignment horizontal="left"/>
    </xf>
    <xf numFmtId="14" fontId="5" fillId="14" borderId="72" xfId="0" applyNumberFormat="1" applyFont="1" applyFill="1" applyBorder="1" applyAlignment="1">
      <alignment horizontal="center"/>
    </xf>
    <xf numFmtId="14" fontId="5" fillId="3" borderId="72" xfId="0" applyNumberFormat="1" applyFont="1" applyFill="1" applyBorder="1" applyAlignment="1">
      <alignment horizontal="center"/>
    </xf>
    <xf numFmtId="0" fontId="5" fillId="0" borderId="6" xfId="0" applyFont="1" applyBorder="1" applyAlignment="1">
      <alignment horizontal="right"/>
    </xf>
    <xf numFmtId="0" fontId="3" fillId="3" borderId="97" xfId="0" applyFont="1" applyFill="1" applyBorder="1" applyAlignment="1">
      <alignment horizontal="center" vertical="center" wrapText="1"/>
    </xf>
    <xf numFmtId="169" fontId="3" fillId="3" borderId="98" xfId="0" applyNumberFormat="1" applyFont="1" applyFill="1" applyBorder="1" applyAlignment="1">
      <alignment horizontal="center" wrapText="1"/>
    </xf>
    <xf numFmtId="0" fontId="0" fillId="3" borderId="102" xfId="0" applyFill="1" applyBorder="1" applyAlignment="1">
      <alignment horizontal="center" wrapText="1"/>
    </xf>
    <xf numFmtId="0" fontId="3" fillId="3" borderId="10" xfId="0" applyFont="1" applyFill="1" applyBorder="1" applyAlignment="1">
      <alignment horizontal="center"/>
    </xf>
    <xf numFmtId="0" fontId="5" fillId="0" borderId="92" xfId="0" applyFont="1" applyBorder="1" applyAlignment="1">
      <alignment horizontal="center" wrapText="1"/>
    </xf>
    <xf numFmtId="0" fontId="5" fillId="0" borderId="0" xfId="0" applyFont="1" applyAlignment="1">
      <alignment horizontal="center"/>
    </xf>
    <xf numFmtId="191" fontId="5" fillId="3" borderId="26" xfId="1" applyNumberFormat="1" applyFont="1" applyFill="1" applyBorder="1" applyAlignment="1" applyProtection="1">
      <alignment horizontal="center"/>
      <protection locked="0"/>
    </xf>
    <xf numFmtId="0" fontId="3" fillId="0" borderId="35" xfId="0" applyFont="1" applyBorder="1" applyAlignment="1">
      <alignment horizontal="center"/>
    </xf>
    <xf numFmtId="0" fontId="3" fillId="0" borderId="36" xfId="0" applyFont="1" applyBorder="1" applyAlignment="1">
      <alignment horizontal="center"/>
    </xf>
    <xf numFmtId="0" fontId="5" fillId="0" borderId="101" xfId="0" applyFont="1" applyBorder="1" applyAlignment="1">
      <alignment horizontal="center" wrapText="1"/>
    </xf>
    <xf numFmtId="177" fontId="72" fillId="9" borderId="0" xfId="0" applyNumberFormat="1" applyFont="1" applyFill="1" applyAlignment="1">
      <alignment horizontal="center"/>
    </xf>
    <xf numFmtId="207" fontId="5" fillId="0" borderId="45" xfId="0" applyNumberFormat="1" applyFont="1" applyBorder="1" applyAlignment="1">
      <alignment horizontal="center"/>
    </xf>
    <xf numFmtId="207" fontId="5" fillId="0" borderId="8" xfId="0" applyNumberFormat="1" applyFont="1" applyBorder="1" applyAlignment="1">
      <alignment horizontal="center"/>
    </xf>
    <xf numFmtId="207" fontId="5" fillId="0" borderId="24" xfId="0" applyNumberFormat="1" applyFont="1" applyBorder="1" applyAlignment="1">
      <alignment horizontal="center"/>
    </xf>
    <xf numFmtId="207" fontId="5" fillId="0" borderId="20" xfId="0" applyNumberFormat="1" applyFont="1" applyBorder="1" applyAlignment="1">
      <alignment horizontal="center"/>
    </xf>
    <xf numFmtId="177" fontId="5" fillId="14" borderId="22" xfId="0" applyNumberFormat="1" applyFont="1" applyFill="1" applyBorder="1" applyAlignment="1">
      <alignment horizontal="center"/>
    </xf>
    <xf numFmtId="177" fontId="75" fillId="14" borderId="22" xfId="0" applyNumberFormat="1" applyFont="1" applyFill="1" applyBorder="1" applyAlignment="1">
      <alignment horizontal="center"/>
    </xf>
    <xf numFmtId="167" fontId="5" fillId="9" borderId="9" xfId="2" applyFont="1" applyFill="1" applyBorder="1" applyAlignment="1" applyProtection="1">
      <alignment horizontal="center"/>
    </xf>
    <xf numFmtId="179" fontId="5" fillId="3" borderId="0" xfId="0" applyNumberFormat="1" applyFont="1" applyFill="1" applyAlignment="1">
      <alignment horizontal="center"/>
    </xf>
    <xf numFmtId="191" fontId="5" fillId="3" borderId="0" xfId="0" applyNumberFormat="1" applyFont="1" applyFill="1" applyAlignment="1">
      <alignment horizontal="left"/>
    </xf>
    <xf numFmtId="222" fontId="5" fillId="3" borderId="0" xfId="0" applyNumberFormat="1" applyFont="1" applyFill="1" applyAlignment="1">
      <alignment horizontal="center"/>
    </xf>
    <xf numFmtId="0" fontId="5" fillId="3" borderId="6" xfId="0" applyFont="1" applyFill="1" applyBorder="1" applyAlignment="1">
      <alignment horizontal="center"/>
    </xf>
    <xf numFmtId="9" fontId="4" fillId="0" borderId="115" xfId="3" applyFont="1" applyBorder="1" applyAlignment="1" applyProtection="1">
      <alignment horizontal="center" vertical="center" wrapText="1"/>
      <protection locked="0"/>
    </xf>
    <xf numFmtId="9" fontId="4" fillId="3" borderId="116" xfId="3" applyFont="1" applyFill="1" applyBorder="1" applyAlignment="1" applyProtection="1">
      <alignment horizontal="center" vertical="center"/>
      <protection locked="0"/>
    </xf>
    <xf numFmtId="1" fontId="4" fillId="0" borderId="107" xfId="1" applyNumberFormat="1" applyFont="1" applyBorder="1" applyAlignment="1" applyProtection="1">
      <alignment horizontal="center"/>
    </xf>
    <xf numFmtId="177" fontId="4" fillId="9" borderId="108" xfId="0" applyNumberFormat="1" applyFont="1" applyFill="1" applyBorder="1" applyAlignment="1">
      <alignment horizontal="center"/>
    </xf>
    <xf numFmtId="1" fontId="4" fillId="0" borderId="37" xfId="1" applyNumberFormat="1" applyFont="1" applyBorder="1" applyAlignment="1" applyProtection="1">
      <alignment horizontal="center"/>
    </xf>
    <xf numFmtId="177" fontId="4" fillId="9" borderId="8" xfId="0" applyNumberFormat="1" applyFont="1" applyFill="1" applyBorder="1" applyAlignment="1">
      <alignment horizontal="center"/>
    </xf>
    <xf numFmtId="1" fontId="4" fillId="0" borderId="86" xfId="1" applyNumberFormat="1" applyFont="1" applyBorder="1" applyAlignment="1" applyProtection="1">
      <alignment horizontal="center"/>
    </xf>
    <xf numFmtId="177" fontId="4" fillId="9" borderId="61" xfId="0" applyNumberFormat="1" applyFont="1" applyFill="1" applyBorder="1" applyAlignment="1">
      <alignment horizontal="center"/>
    </xf>
    <xf numFmtId="0" fontId="4" fillId="0" borderId="45" xfId="0" applyFont="1" applyBorder="1" applyAlignment="1">
      <alignment horizontal="right"/>
    </xf>
    <xf numFmtId="0" fontId="4" fillId="0" borderId="1" xfId="0" applyFont="1" applyBorder="1" applyAlignment="1" applyProtection="1">
      <alignment horizontal="center"/>
      <protection locked="0"/>
    </xf>
    <xf numFmtId="177" fontId="4" fillId="3" borderId="1" xfId="2" applyNumberFormat="1" applyFont="1" applyFill="1" applyBorder="1" applyAlignment="1" applyProtection="1">
      <alignment horizontal="center"/>
      <protection locked="0"/>
    </xf>
    <xf numFmtId="1" fontId="4" fillId="0" borderId="2" xfId="1" applyNumberFormat="1" applyFont="1" applyBorder="1" applyAlignment="1" applyProtection="1">
      <alignment horizontal="center"/>
    </xf>
    <xf numFmtId="177" fontId="4" fillId="9" borderId="68" xfId="2" applyNumberFormat="1" applyFont="1" applyFill="1" applyBorder="1" applyAlignment="1" applyProtection="1">
      <alignment horizontal="center"/>
    </xf>
    <xf numFmtId="0" fontId="4" fillId="0" borderId="111" xfId="0" applyFont="1" applyBorder="1" applyAlignment="1" applyProtection="1">
      <alignment horizontal="left"/>
      <protection locked="0"/>
    </xf>
    <xf numFmtId="1" fontId="4" fillId="0" borderId="0" xfId="0" applyNumberFormat="1" applyFont="1" applyAlignment="1">
      <alignment horizontal="center"/>
    </xf>
    <xf numFmtId="0" fontId="4" fillId="0" borderId="14" xfId="0" applyFont="1" applyBorder="1" applyAlignment="1" applyProtection="1">
      <alignment horizontal="left"/>
      <protection locked="0"/>
    </xf>
    <xf numFmtId="1" fontId="4" fillId="0" borderId="0" xfId="1" applyNumberFormat="1" applyFont="1" applyBorder="1" applyAlignment="1" applyProtection="1">
      <alignment horizontal="center"/>
    </xf>
    <xf numFmtId="9" fontId="4" fillId="3" borderId="72" xfId="3" applyFont="1" applyFill="1" applyBorder="1" applyAlignment="1" applyProtection="1">
      <alignment horizontal="center"/>
      <protection locked="0"/>
    </xf>
    <xf numFmtId="0" fontId="4" fillId="0" borderId="18" xfId="0" applyFont="1" applyBorder="1" applyAlignment="1" applyProtection="1">
      <alignment horizontal="left"/>
      <protection locked="0"/>
    </xf>
    <xf numFmtId="0" fontId="4" fillId="0" borderId="6" xfId="0" applyFont="1" applyBorder="1" applyAlignment="1">
      <alignment horizontal="center"/>
    </xf>
    <xf numFmtId="1" fontId="4" fillId="0" borderId="6" xfId="1" applyNumberFormat="1" applyFont="1" applyBorder="1" applyAlignment="1" applyProtection="1">
      <alignment horizontal="center"/>
    </xf>
    <xf numFmtId="177" fontId="4" fillId="9" borderId="13" xfId="0" applyNumberFormat="1" applyFont="1" applyFill="1" applyBorder="1" applyAlignment="1">
      <alignment horizontal="center"/>
    </xf>
    <xf numFmtId="0" fontId="83" fillId="6" borderId="22" xfId="0" applyFont="1" applyFill="1" applyBorder="1" applyAlignment="1">
      <alignment horizontal="center"/>
    </xf>
    <xf numFmtId="0" fontId="83" fillId="6" borderId="23" xfId="0" applyFont="1" applyFill="1" applyBorder="1" applyAlignment="1">
      <alignment horizontal="center"/>
    </xf>
    <xf numFmtId="167" fontId="4" fillId="3" borderId="37" xfId="2" applyFont="1" applyFill="1" applyBorder="1" applyAlignment="1" applyProtection="1">
      <alignment horizontal="center"/>
      <protection locked="0"/>
    </xf>
    <xf numFmtId="167" fontId="4" fillId="6" borderId="1" xfId="2" applyFont="1" applyFill="1" applyBorder="1" applyAlignment="1" applyProtection="1">
      <alignment horizontal="center" vertical="center"/>
    </xf>
    <xf numFmtId="191" fontId="4" fillId="6" borderId="109" xfId="1" applyNumberFormat="1" applyFont="1" applyFill="1" applyBorder="1" applyAlignment="1" applyProtection="1">
      <alignment horizontal="center" vertical="center"/>
    </xf>
    <xf numFmtId="167" fontId="4" fillId="0" borderId="0" xfId="2" applyFont="1" applyBorder="1" applyAlignment="1" applyProtection="1">
      <alignment horizontal="center"/>
    </xf>
    <xf numFmtId="177" fontId="4" fillId="9" borderId="8" xfId="2" applyNumberFormat="1" applyFont="1" applyFill="1" applyBorder="1" applyAlignment="1" applyProtection="1">
      <alignment horizontal="center"/>
    </xf>
    <xf numFmtId="167" fontId="4" fillId="3" borderId="2" xfId="2" applyFont="1" applyFill="1" applyBorder="1" applyAlignment="1" applyProtection="1">
      <alignment horizontal="center"/>
      <protection locked="0"/>
    </xf>
    <xf numFmtId="191" fontId="4" fillId="5" borderId="1" xfId="1" applyNumberFormat="1" applyFont="1" applyFill="1" applyBorder="1" applyAlignment="1" applyProtection="1">
      <alignment horizontal="center"/>
    </xf>
    <xf numFmtId="167" fontId="4" fillId="0" borderId="2" xfId="2" applyFont="1" applyBorder="1" applyAlignment="1" applyProtection="1">
      <alignment horizontal="center"/>
    </xf>
    <xf numFmtId="167" fontId="4" fillId="3" borderId="46" xfId="2" applyFont="1" applyFill="1" applyBorder="1" applyAlignment="1" applyProtection="1">
      <alignment horizontal="center"/>
      <protection locked="0"/>
    </xf>
    <xf numFmtId="191" fontId="4" fillId="3" borderId="55" xfId="1" applyNumberFormat="1" applyFont="1" applyFill="1" applyBorder="1" applyAlignment="1" applyProtection="1">
      <alignment horizontal="center"/>
    </xf>
    <xf numFmtId="191" fontId="4" fillId="6" borderId="41" xfId="1" applyNumberFormat="1" applyFont="1" applyFill="1" applyBorder="1" applyAlignment="1" applyProtection="1">
      <alignment horizontal="center"/>
    </xf>
    <xf numFmtId="167" fontId="4" fillId="0" borderId="41" xfId="2" applyFont="1" applyBorder="1" applyAlignment="1" applyProtection="1">
      <alignment horizontal="center"/>
    </xf>
    <xf numFmtId="177" fontId="4" fillId="9" borderId="122" xfId="2" applyNumberFormat="1" applyFont="1" applyFill="1" applyBorder="1" applyAlignment="1" applyProtection="1">
      <alignment horizontal="center"/>
    </xf>
    <xf numFmtId="191" fontId="4" fillId="6" borderId="0" xfId="1" applyNumberFormat="1" applyFont="1" applyFill="1" applyBorder="1" applyAlignment="1" applyProtection="1">
      <alignment horizontal="center"/>
    </xf>
    <xf numFmtId="191" fontId="4" fillId="3" borderId="0" xfId="1" applyNumberFormat="1" applyFont="1" applyFill="1" applyBorder="1" applyAlignment="1" applyProtection="1">
      <alignment horizontal="center"/>
    </xf>
    <xf numFmtId="191" fontId="4" fillId="0" borderId="0" xfId="1" applyNumberFormat="1" applyFont="1" applyBorder="1" applyAlignment="1" applyProtection="1">
      <alignment horizontal="center"/>
    </xf>
    <xf numFmtId="167" fontId="4" fillId="3" borderId="86" xfId="2" applyFont="1" applyFill="1" applyBorder="1" applyAlignment="1" applyProtection="1">
      <alignment horizontal="center"/>
      <protection locked="0"/>
    </xf>
    <xf numFmtId="167" fontId="4" fillId="0" borderId="39" xfId="2" applyFont="1" applyBorder="1" applyAlignment="1" applyProtection="1">
      <alignment horizontal="center"/>
    </xf>
    <xf numFmtId="177" fontId="4" fillId="9" borderId="61" xfId="2" applyNumberFormat="1" applyFont="1" applyFill="1" applyBorder="1" applyAlignment="1" applyProtection="1">
      <alignment horizontal="center"/>
    </xf>
    <xf numFmtId="167" fontId="4" fillId="6" borderId="38" xfId="2" applyFont="1" applyFill="1" applyBorder="1" applyAlignment="1" applyProtection="1">
      <alignment horizontal="center"/>
      <protection locked="0"/>
    </xf>
    <xf numFmtId="0" fontId="83" fillId="0" borderId="6" xfId="0" applyFont="1" applyBorder="1" applyAlignment="1">
      <alignment horizontal="center"/>
    </xf>
    <xf numFmtId="167" fontId="83" fillId="0" borderId="6" xfId="2" applyFont="1" applyBorder="1" applyAlignment="1" applyProtection="1">
      <alignment horizontal="center"/>
    </xf>
    <xf numFmtId="177" fontId="4" fillId="9" borderId="13" xfId="2" applyNumberFormat="1" applyFont="1" applyFill="1" applyBorder="1" applyAlignment="1" applyProtection="1">
      <alignment horizontal="center"/>
    </xf>
    <xf numFmtId="9" fontId="4" fillId="22" borderId="55" xfId="3" applyFont="1" applyFill="1" applyBorder="1" applyAlignment="1" applyProtection="1">
      <alignment horizontal="center"/>
    </xf>
    <xf numFmtId="177" fontId="4" fillId="9" borderId="17" xfId="2" applyNumberFormat="1" applyFont="1" applyFill="1" applyBorder="1" applyAlignment="1" applyProtection="1">
      <alignment horizontal="center"/>
    </xf>
    <xf numFmtId="167" fontId="4" fillId="0" borderId="67" xfId="0" applyNumberFormat="1" applyFont="1" applyBorder="1" applyAlignment="1">
      <alignment horizontal="center"/>
    </xf>
    <xf numFmtId="0" fontId="4" fillId="0" borderId="34" xfId="0" applyFont="1" applyBorder="1" applyAlignment="1" applyProtection="1">
      <alignment horizontal="left"/>
      <protection locked="0"/>
    </xf>
    <xf numFmtId="0" fontId="83" fillId="0" borderId="91" xfId="0" applyFont="1" applyBorder="1" applyAlignment="1">
      <alignment horizontal="center"/>
    </xf>
    <xf numFmtId="9" fontId="4" fillId="15" borderId="67" xfId="3" applyFont="1" applyFill="1" applyBorder="1" applyAlignment="1" applyProtection="1">
      <alignment horizontal="center"/>
      <protection locked="0"/>
    </xf>
    <xf numFmtId="177" fontId="4" fillId="9" borderId="24" xfId="2" applyNumberFormat="1" applyFont="1" applyFill="1" applyBorder="1" applyAlignment="1" applyProtection="1">
      <alignment horizontal="center"/>
    </xf>
    <xf numFmtId="167" fontId="4" fillId="15" borderId="35" xfId="2" applyFont="1" applyFill="1" applyBorder="1" applyAlignment="1" applyProtection="1">
      <alignment horizontal="right"/>
      <protection locked="0"/>
    </xf>
    <xf numFmtId="167" fontId="4" fillId="15" borderId="15" xfId="2" applyFont="1" applyFill="1" applyBorder="1" applyAlignment="1" applyProtection="1">
      <alignment horizontal="center"/>
      <protection locked="0"/>
    </xf>
    <xf numFmtId="0" fontId="4" fillId="0" borderId="45" xfId="0" applyFont="1" applyBorder="1" applyAlignment="1">
      <alignment horizontal="right" vertical="center"/>
    </xf>
    <xf numFmtId="0" fontId="4" fillId="3" borderId="1" xfId="0" applyFont="1" applyFill="1" applyBorder="1" applyAlignment="1" applyProtection="1">
      <alignment horizontal="center" vertical="center"/>
      <protection locked="0"/>
    </xf>
    <xf numFmtId="177" fontId="4" fillId="15" borderId="15" xfId="2" applyNumberFormat="1" applyFont="1" applyFill="1" applyBorder="1" applyAlignment="1" applyProtection="1">
      <alignment horizontal="center"/>
      <protection locked="0"/>
    </xf>
    <xf numFmtId="167" fontId="4" fillId="15" borderId="67" xfId="2" applyFont="1" applyFill="1" applyBorder="1" applyAlignment="1" applyProtection="1">
      <alignment horizontal="center"/>
      <protection locked="0"/>
    </xf>
    <xf numFmtId="0" fontId="4" fillId="26" borderId="18" xfId="0" applyFont="1" applyFill="1" applyBorder="1" applyAlignment="1" applyProtection="1">
      <alignment horizontal="left"/>
      <protection locked="0"/>
    </xf>
    <xf numFmtId="177" fontId="4" fillId="26" borderId="19" xfId="2" applyNumberFormat="1" applyFont="1" applyFill="1" applyBorder="1" applyAlignment="1" applyProtection="1">
      <alignment horizontal="center"/>
      <protection locked="0"/>
    </xf>
    <xf numFmtId="177" fontId="4" fillId="27" borderId="13" xfId="2" applyNumberFormat="1" applyFont="1" applyFill="1" applyBorder="1" applyAlignment="1" applyProtection="1">
      <alignment horizontal="center"/>
    </xf>
    <xf numFmtId="9" fontId="5" fillId="22" borderId="15" xfId="3" applyFont="1" applyFill="1" applyBorder="1" applyAlignment="1" applyProtection="1">
      <alignment horizontal="center"/>
    </xf>
    <xf numFmtId="177" fontId="5" fillId="26" borderId="104" xfId="1" applyNumberFormat="1" applyFont="1" applyFill="1" applyBorder="1" applyAlignment="1" applyProtection="1">
      <alignment horizontal="center"/>
      <protection locked="0"/>
    </xf>
    <xf numFmtId="15" fontId="3" fillId="0" borderId="23" xfId="0" applyNumberFormat="1" applyFont="1" applyBorder="1" applyAlignment="1">
      <alignment horizontal="center"/>
    </xf>
    <xf numFmtId="0" fontId="3" fillId="0" borderId="22" xfId="0" applyFont="1" applyBorder="1" applyAlignment="1">
      <alignment horizontal="center"/>
    </xf>
    <xf numFmtId="0" fontId="5" fillId="14" borderId="113" xfId="0" applyFont="1" applyFill="1" applyBorder="1" applyAlignment="1" applyProtection="1">
      <alignment horizontal="center"/>
      <protection locked="0"/>
    </xf>
    <xf numFmtId="0" fontId="5" fillId="14" borderId="31" xfId="0" applyFont="1" applyFill="1" applyBorder="1" applyAlignment="1" applyProtection="1">
      <alignment horizontal="center"/>
      <protection locked="0"/>
    </xf>
    <xf numFmtId="0" fontId="5" fillId="14" borderId="71" xfId="0" applyFont="1" applyFill="1" applyBorder="1" applyAlignment="1" applyProtection="1">
      <alignment horizontal="center"/>
      <protection locked="0"/>
    </xf>
    <xf numFmtId="0" fontId="5" fillId="0" borderId="22" xfId="0" applyFont="1" applyBorder="1" applyAlignment="1">
      <alignment horizontal="right"/>
    </xf>
    <xf numFmtId="0" fontId="5" fillId="0" borderId="22" xfId="0" applyFont="1" applyBorder="1" applyAlignment="1">
      <alignment horizontal="left"/>
    </xf>
    <xf numFmtId="177" fontId="10" fillId="0" borderId="21" xfId="0" applyNumberFormat="1" applyFont="1" applyBorder="1" applyAlignment="1">
      <alignment horizontal="center" wrapText="1"/>
    </xf>
    <xf numFmtId="0" fontId="5" fillId="0" borderId="25" xfId="0" applyFont="1" applyBorder="1" applyAlignment="1">
      <alignment horizontal="center" wrapText="1"/>
    </xf>
    <xf numFmtId="0" fontId="5" fillId="0" borderId="23" xfId="0" applyFont="1" applyBorder="1" applyAlignment="1">
      <alignment horizontal="left" wrapText="1"/>
    </xf>
    <xf numFmtId="0" fontId="5" fillId="0" borderId="3" xfId="0" applyFont="1" applyBorder="1" applyAlignment="1">
      <alignment horizontal="center" wrapText="1"/>
    </xf>
    <xf numFmtId="0" fontId="5" fillId="0" borderId="8" xfId="0" applyFont="1" applyBorder="1" applyAlignment="1">
      <alignment horizontal="center"/>
    </xf>
    <xf numFmtId="0" fontId="10" fillId="0" borderId="21" xfId="0" applyFont="1" applyBorder="1" applyAlignment="1">
      <alignment horizontal="center" wrapText="1"/>
    </xf>
    <xf numFmtId="0" fontId="9" fillId="3" borderId="97" xfId="0" applyFont="1" applyFill="1" applyBorder="1" applyAlignment="1">
      <alignment horizontal="center"/>
    </xf>
    <xf numFmtId="0" fontId="3" fillId="36" borderId="102" xfId="0" applyFont="1" applyFill="1" applyBorder="1" applyAlignment="1">
      <alignment horizontal="center" wrapText="1"/>
    </xf>
    <xf numFmtId="177" fontId="3" fillId="44" borderId="84" xfId="2" applyNumberFormat="1" applyFont="1" applyFill="1" applyBorder="1" applyAlignment="1" applyProtection="1">
      <alignment horizontal="right"/>
    </xf>
    <xf numFmtId="177" fontId="3" fillId="44" borderId="77" xfId="2" applyNumberFormat="1" applyFont="1" applyFill="1" applyBorder="1" applyAlignment="1" applyProtection="1">
      <alignment horizontal="right"/>
    </xf>
    <xf numFmtId="177" fontId="3" fillId="44" borderId="96" xfId="2" applyNumberFormat="1" applyFont="1" applyFill="1" applyBorder="1" applyAlignment="1" applyProtection="1">
      <alignment horizontal="right"/>
    </xf>
    <xf numFmtId="177" fontId="3" fillId="36" borderId="102" xfId="2" applyNumberFormat="1" applyFont="1" applyFill="1" applyBorder="1" applyAlignment="1" applyProtection="1">
      <alignment horizontal="center" wrapText="1"/>
    </xf>
    <xf numFmtId="177" fontId="3" fillId="44" borderId="84" xfId="2" applyNumberFormat="1" applyFont="1" applyFill="1" applyBorder="1" applyAlignment="1" applyProtection="1">
      <alignment horizontal="center"/>
    </xf>
    <xf numFmtId="177" fontId="3" fillId="44" borderId="77" xfId="2" applyNumberFormat="1" applyFont="1" applyFill="1" applyBorder="1" applyAlignment="1" applyProtection="1">
      <alignment horizontal="center"/>
    </xf>
    <xf numFmtId="177" fontId="3" fillId="44" borderId="122" xfId="2" applyNumberFormat="1" applyFont="1" applyFill="1" applyBorder="1" applyAlignment="1" applyProtection="1">
      <alignment horizontal="center"/>
    </xf>
    <xf numFmtId="177" fontId="3" fillId="36" borderId="102" xfId="2" applyNumberFormat="1" applyFont="1" applyFill="1" applyBorder="1" applyAlignment="1" applyProtection="1">
      <alignment horizontal="center"/>
    </xf>
    <xf numFmtId="177" fontId="3" fillId="44" borderId="96" xfId="2" applyNumberFormat="1" applyFont="1" applyFill="1" applyBorder="1" applyAlignment="1" applyProtection="1">
      <alignment horizontal="center"/>
    </xf>
    <xf numFmtId="177" fontId="5" fillId="44" borderId="96" xfId="0" applyNumberFormat="1" applyFont="1" applyFill="1" applyBorder="1" applyAlignment="1">
      <alignment horizontal="center"/>
    </xf>
    <xf numFmtId="0" fontId="5" fillId="3" borderId="31" xfId="0" applyFont="1" applyFill="1" applyBorder="1" applyAlignment="1" applyProtection="1">
      <alignment horizontal="left"/>
      <protection locked="0"/>
    </xf>
    <xf numFmtId="14" fontId="5" fillId="3" borderId="1" xfId="0" applyNumberFormat="1" applyFont="1" applyFill="1" applyBorder="1" applyAlignment="1" applyProtection="1">
      <alignment horizontal="center"/>
      <protection locked="0"/>
    </xf>
    <xf numFmtId="14" fontId="5" fillId="3" borderId="32" xfId="0" applyNumberFormat="1" applyFont="1" applyFill="1" applyBorder="1" applyAlignment="1">
      <alignment horizontal="center"/>
    </xf>
    <xf numFmtId="14" fontId="5" fillId="3" borderId="37" xfId="0" applyNumberFormat="1" applyFont="1" applyFill="1" applyBorder="1" applyAlignment="1" applyProtection="1">
      <alignment horizontal="center"/>
      <protection locked="0"/>
    </xf>
    <xf numFmtId="0" fontId="5" fillId="3" borderId="71" xfId="0" applyFont="1" applyFill="1" applyBorder="1" applyAlignment="1" applyProtection="1">
      <alignment horizontal="left"/>
      <protection locked="0"/>
    </xf>
    <xf numFmtId="14" fontId="5" fillId="3" borderId="73" xfId="0" applyNumberFormat="1" applyFont="1" applyFill="1" applyBorder="1" applyAlignment="1">
      <alignment horizontal="center"/>
    </xf>
    <xf numFmtId="0" fontId="5" fillId="0" borderId="0" xfId="0" applyFont="1" applyAlignment="1">
      <alignment horizontal="right"/>
    </xf>
    <xf numFmtId="0" fontId="3" fillId="3" borderId="100" xfId="0" applyFont="1" applyFill="1" applyBorder="1" applyAlignment="1">
      <alignment horizontal="center" wrapText="1"/>
    </xf>
    <xf numFmtId="0" fontId="5" fillId="3" borderId="34" xfId="0" applyFont="1" applyFill="1" applyBorder="1" applyAlignment="1">
      <alignment horizontal="center"/>
    </xf>
    <xf numFmtId="0" fontId="5" fillId="3" borderId="36" xfId="0" applyFont="1" applyFill="1" applyBorder="1" applyAlignment="1">
      <alignment horizontal="center"/>
    </xf>
    <xf numFmtId="0" fontId="5" fillId="0" borderId="129" xfId="0" applyFont="1" applyBorder="1" applyAlignment="1">
      <alignment horizontal="center" wrapText="1"/>
    </xf>
    <xf numFmtId="0" fontId="5" fillId="6" borderId="102" xfId="0" applyFont="1" applyFill="1" applyBorder="1" applyAlignment="1">
      <alignment horizontal="center" wrapText="1"/>
    </xf>
    <xf numFmtId="0" fontId="5" fillId="3" borderId="59" xfId="0" applyFont="1" applyFill="1" applyBorder="1" applyAlignment="1">
      <alignment horizontal="center" wrapText="1"/>
    </xf>
    <xf numFmtId="0" fontId="5" fillId="0" borderId="7" xfId="0" applyFont="1" applyBorder="1" applyAlignment="1">
      <alignment horizontal="center"/>
    </xf>
    <xf numFmtId="0" fontId="5" fillId="0" borderId="12" xfId="0" applyFont="1" applyBorder="1" applyAlignment="1">
      <alignment horizontal="center"/>
    </xf>
    <xf numFmtId="179" fontId="5" fillId="9" borderId="33" xfId="2" applyNumberFormat="1" applyFont="1" applyFill="1" applyBorder="1" applyAlignment="1" applyProtection="1">
      <alignment horizontal="center"/>
      <protection locked="0"/>
    </xf>
    <xf numFmtId="167" fontId="5" fillId="14" borderId="22" xfId="2" applyFont="1" applyFill="1" applyBorder="1" applyAlignment="1" applyProtection="1">
      <alignment horizontal="center"/>
    </xf>
    <xf numFmtId="0" fontId="3" fillId="14" borderId="22" xfId="0" applyFont="1" applyFill="1" applyBorder="1" applyAlignment="1">
      <alignment horizontal="right"/>
    </xf>
    <xf numFmtId="0" fontId="5" fillId="6" borderId="100" xfId="0" applyFont="1" applyFill="1" applyBorder="1" applyAlignment="1">
      <alignment horizontal="center"/>
    </xf>
    <xf numFmtId="177" fontId="5" fillId="5" borderId="8" xfId="0" applyNumberFormat="1" applyFont="1" applyFill="1" applyBorder="1" applyAlignment="1">
      <alignment horizontal="center"/>
    </xf>
    <xf numFmtId="177" fontId="5" fillId="5" borderId="61" xfId="0" applyNumberFormat="1" applyFont="1" applyFill="1" applyBorder="1" applyAlignment="1">
      <alignment horizontal="center"/>
    </xf>
    <xf numFmtId="177" fontId="5" fillId="5" borderId="8" xfId="2" applyNumberFormat="1" applyFont="1" applyFill="1" applyBorder="1" applyAlignment="1" applyProtection="1">
      <alignment horizontal="center"/>
    </xf>
    <xf numFmtId="177" fontId="5" fillId="3" borderId="1" xfId="2" applyNumberFormat="1" applyFont="1" applyFill="1" applyBorder="1" applyAlignment="1" applyProtection="1">
      <alignment horizontal="center"/>
      <protection locked="0"/>
    </xf>
    <xf numFmtId="0" fontId="5" fillId="0" borderId="39" xfId="0" applyFont="1" applyBorder="1" applyAlignment="1">
      <alignment horizontal="right"/>
    </xf>
    <xf numFmtId="9" fontId="5" fillId="3" borderId="91" xfId="3" applyFont="1" applyFill="1" applyBorder="1" applyAlignment="1" applyProtection="1">
      <alignment horizontal="center"/>
      <protection locked="0"/>
    </xf>
    <xf numFmtId="177" fontId="5" fillId="6" borderId="119" xfId="2" applyNumberFormat="1" applyFont="1" applyFill="1" applyBorder="1" applyAlignment="1" applyProtection="1">
      <alignment horizontal="center"/>
    </xf>
    <xf numFmtId="177" fontId="5" fillId="5" borderId="9" xfId="2" applyNumberFormat="1" applyFont="1" applyFill="1" applyBorder="1" applyAlignment="1" applyProtection="1">
      <alignment horizontal="center"/>
    </xf>
    <xf numFmtId="167" fontId="5" fillId="5" borderId="17" xfId="2" applyFont="1" applyFill="1" applyBorder="1" applyAlignment="1" applyProtection="1">
      <alignment horizontal="center"/>
    </xf>
    <xf numFmtId="191" fontId="5" fillId="6" borderId="1" xfId="1" applyNumberFormat="1" applyFont="1" applyFill="1" applyBorder="1" applyAlignment="1" applyProtection="1">
      <alignment horizontal="right" vertical="center"/>
    </xf>
    <xf numFmtId="177" fontId="5" fillId="5" borderId="0" xfId="2" applyNumberFormat="1" applyFont="1" applyFill="1" applyBorder="1" applyAlignment="1" applyProtection="1">
      <alignment horizontal="center"/>
    </xf>
    <xf numFmtId="167" fontId="5" fillId="5" borderId="8" xfId="2" applyFont="1" applyFill="1" applyBorder="1" applyAlignment="1" applyProtection="1">
      <alignment horizontal="center"/>
    </xf>
    <xf numFmtId="167" fontId="5" fillId="3" borderId="75" xfId="2" applyFont="1" applyFill="1" applyBorder="1" applyAlignment="1" applyProtection="1">
      <alignment horizontal="center"/>
      <protection locked="0"/>
    </xf>
    <xf numFmtId="191" fontId="5" fillId="0" borderId="2" xfId="1" applyNumberFormat="1" applyFont="1" applyBorder="1" applyAlignment="1" applyProtection="1">
      <alignment horizontal="center"/>
    </xf>
    <xf numFmtId="177" fontId="5" fillId="5" borderId="2" xfId="2" applyNumberFormat="1" applyFont="1" applyFill="1" applyBorder="1" applyAlignment="1" applyProtection="1">
      <alignment horizontal="center"/>
    </xf>
    <xf numFmtId="167" fontId="5" fillId="5" borderId="68" xfId="2" applyFont="1" applyFill="1" applyBorder="1" applyAlignment="1" applyProtection="1">
      <alignment horizontal="center"/>
    </xf>
    <xf numFmtId="0" fontId="3" fillId="0" borderId="128" xfId="0" applyFont="1" applyBorder="1" applyAlignment="1">
      <alignment horizontal="center"/>
    </xf>
    <xf numFmtId="177" fontId="5" fillId="5" borderId="17" xfId="2" applyNumberFormat="1" applyFont="1" applyFill="1" applyBorder="1" applyAlignment="1" applyProtection="1">
      <alignment horizontal="center"/>
    </xf>
    <xf numFmtId="177" fontId="5" fillId="5" borderId="13" xfId="2" applyNumberFormat="1" applyFont="1" applyFill="1" applyBorder="1" applyAlignment="1" applyProtection="1">
      <alignment horizontal="center"/>
    </xf>
    <xf numFmtId="0" fontId="3" fillId="0" borderId="7" xfId="0" applyFont="1" applyBorder="1" applyAlignment="1" applyProtection="1">
      <alignment horizontal="right"/>
      <protection locked="0"/>
    </xf>
    <xf numFmtId="167" fontId="5" fillId="0" borderId="6" xfId="0" applyNumberFormat="1" applyFont="1" applyBorder="1" applyAlignment="1" applyProtection="1">
      <alignment horizontal="center"/>
      <protection locked="0"/>
    </xf>
    <xf numFmtId="14" fontId="5" fillId="3" borderId="38" xfId="0" applyNumberFormat="1" applyFont="1" applyFill="1" applyBorder="1" applyAlignment="1" applyProtection="1">
      <alignment horizontal="center"/>
      <protection locked="0"/>
    </xf>
    <xf numFmtId="0" fontId="1" fillId="3" borderId="4" xfId="5" applyFill="1" applyBorder="1" applyAlignment="1">
      <alignment horizontal="center" vertical="center"/>
    </xf>
    <xf numFmtId="172" fontId="1" fillId="0" borderId="57" xfId="5" applyNumberFormat="1" applyBorder="1" applyAlignment="1">
      <alignment horizontal="center"/>
    </xf>
    <xf numFmtId="183" fontId="1" fillId="0" borderId="57" xfId="5" applyNumberFormat="1" applyBorder="1" applyAlignment="1">
      <alignment horizontal="center"/>
    </xf>
    <xf numFmtId="0" fontId="28" fillId="0" borderId="1" xfId="0" applyFont="1" applyBorder="1" applyAlignment="1">
      <alignment horizontal="center"/>
    </xf>
    <xf numFmtId="0" fontId="10" fillId="0" borderId="1" xfId="0" applyFont="1" applyBorder="1" applyAlignment="1">
      <alignment horizontal="right"/>
    </xf>
    <xf numFmtId="0" fontId="10" fillId="0" borderId="1" xfId="0" applyFont="1" applyBorder="1" applyAlignment="1">
      <alignment horizontal="center"/>
    </xf>
    <xf numFmtId="0" fontId="10" fillId="0" borderId="55" xfId="0" applyFont="1" applyBorder="1" applyAlignment="1">
      <alignment horizontal="center"/>
    </xf>
    <xf numFmtId="0" fontId="10" fillId="0" borderId="74" xfId="0" applyFont="1" applyBorder="1" applyAlignment="1">
      <alignment horizontal="right"/>
    </xf>
    <xf numFmtId="0" fontId="10" fillId="0" borderId="10" xfId="0" applyFont="1" applyBorder="1" applyAlignment="1">
      <alignment horizontal="center"/>
    </xf>
    <xf numFmtId="0" fontId="10" fillId="0" borderId="8" xfId="0" applyFont="1" applyBorder="1" applyAlignment="1">
      <alignment horizontal="right"/>
    </xf>
    <xf numFmtId="0" fontId="10" fillId="0" borderId="33" xfId="0" applyFont="1" applyBorder="1" applyAlignment="1">
      <alignment horizontal="center"/>
    </xf>
    <xf numFmtId="0" fontId="10" fillId="0" borderId="0" xfId="0" applyFont="1" applyAlignment="1">
      <alignment horizontal="right"/>
    </xf>
    <xf numFmtId="0" fontId="10" fillId="0" borderId="9" xfId="0" applyFont="1" applyBorder="1" applyAlignment="1">
      <alignment horizontal="center"/>
    </xf>
    <xf numFmtId="0" fontId="10" fillId="0" borderId="37" xfId="0" applyFont="1" applyBorder="1" applyAlignment="1">
      <alignment horizontal="right"/>
    </xf>
    <xf numFmtId="0" fontId="0" fillId="0" borderId="3" xfId="0" applyBorder="1" applyAlignment="1">
      <alignment horizontal="center"/>
    </xf>
    <xf numFmtId="0" fontId="10" fillId="0" borderId="91" xfId="0" applyFont="1" applyBorder="1" applyAlignment="1">
      <alignment horizontal="center"/>
    </xf>
    <xf numFmtId="0" fontId="10" fillId="0" borderId="119" xfId="0" applyFont="1" applyBorder="1" applyAlignment="1">
      <alignment horizontal="center" vertical="center" textRotation="90"/>
    </xf>
    <xf numFmtId="0" fontId="1" fillId="0" borderId="150" xfId="0" applyFont="1" applyBorder="1" applyAlignment="1">
      <alignment horizontal="center"/>
    </xf>
    <xf numFmtId="0" fontId="1" fillId="0" borderId="14" xfId="0" applyFont="1" applyBorder="1" applyAlignment="1">
      <alignment horizontal="center"/>
    </xf>
    <xf numFmtId="0" fontId="5" fillId="0" borderId="14" xfId="0" applyFont="1" applyBorder="1" applyAlignment="1">
      <alignment horizontal="center"/>
    </xf>
    <xf numFmtId="0" fontId="1" fillId="0" borderId="0" xfId="0" applyFont="1" applyAlignment="1">
      <alignment horizontal="left"/>
    </xf>
    <xf numFmtId="0" fontId="1" fillId="0" borderId="51" xfId="0" applyFont="1" applyBorder="1" applyAlignment="1">
      <alignment horizontal="left"/>
    </xf>
    <xf numFmtId="0" fontId="1" fillId="0" borderId="129" xfId="0" applyFont="1" applyBorder="1" applyAlignment="1">
      <alignment horizontal="left"/>
    </xf>
    <xf numFmtId="0" fontId="1" fillId="0" borderId="150" xfId="0" applyFont="1" applyBorder="1" applyAlignment="1" applyProtection="1">
      <alignment horizontal="center"/>
      <protection locked="0"/>
    </xf>
    <xf numFmtId="0" fontId="10" fillId="0" borderId="119" xfId="0" applyFont="1" applyBorder="1" applyAlignment="1">
      <alignment horizontal="center" vertical="center" textRotation="90" wrapText="1"/>
    </xf>
    <xf numFmtId="0" fontId="10" fillId="0" borderId="119" xfId="0" applyFont="1" applyBorder="1" applyAlignment="1">
      <alignment horizontal="center" textRotation="90" wrapText="1"/>
    </xf>
  </cellXfs>
  <cellStyles count="8">
    <cellStyle name="Comma" xfId="1" builtinId="3"/>
    <cellStyle name="Currency" xfId="2" builtinId="4"/>
    <cellStyle name="Excel Built-in Bad" xfId="7" xr:uid="{00000000-0005-0000-0000-000009000000}"/>
    <cellStyle name="Hyperlink" xfId="4" builtinId="8"/>
    <cellStyle name="Normal" xfId="0" builtinId="0"/>
    <cellStyle name="Normal 2" xfId="5" xr:uid="{00000000-0005-0000-0000-000006000000}"/>
    <cellStyle name="Normal_PIERS" xfId="6" xr:uid="{00000000-0005-0000-0000-000007000000}"/>
    <cellStyle name="Percent" xfId="3" builtinId="5"/>
  </cellStyles>
  <dxfs count="20">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indexedColors>
      <rgbColor rgb="FF000000"/>
      <rgbColor rgb="FFFFFFFF"/>
      <rgbColor rgb="FFFF0000"/>
      <rgbColor rgb="FF99FF99"/>
      <rgbColor rgb="FF0000FF"/>
      <rgbColor rgb="FFFFFF00"/>
      <rgbColor rgb="FFF6E7E6"/>
      <rgbColor rgb="FF66FFFF"/>
      <rgbColor rgb="FF9C0006"/>
      <rgbColor rgb="FFE3E3E3"/>
      <rgbColor rgb="FF0D0D0D"/>
      <rgbColor rgb="FF7F7F7F"/>
      <rgbColor rgb="FFEEECE1"/>
      <rgbColor rgb="FFDDD9C3"/>
      <rgbColor rgb="FFC0C0C0"/>
      <rgbColor rgb="FF808080"/>
      <rgbColor rgb="FFA6A6A6"/>
      <rgbColor rgb="FFC0504D"/>
      <rgbColor rgb="FFFFFFCC"/>
      <rgbColor rgb="FFDFF1F5"/>
      <rgbColor rgb="FFEBF1DE"/>
      <rgbColor rgb="FFF76C65"/>
      <rgbColor rgb="FFDCE6F2"/>
      <rgbColor rgb="FFB9CDE5"/>
      <rgbColor rgb="FFFEF4EC"/>
      <rgbColor rgb="FFEDEAF2"/>
      <rgbColor rgb="FFFFFFC0"/>
      <rgbColor rgb="FF69FFFF"/>
      <rgbColor rgb="FFFDEADA"/>
      <rgbColor rgb="FFF2F2F2"/>
      <rgbColor rgb="FFD7E4BD"/>
      <rgbColor rgb="FFE5FFE5"/>
      <rgbColor rgb="FFC3D69B"/>
      <rgbColor rgb="FFDBEEF4"/>
      <rgbColor rgb="FFCCFFCC"/>
      <rgbColor rgb="FFFFFF99"/>
      <rgbColor rgb="FFB7DEE8"/>
      <rgbColor rgb="FFD99694"/>
      <rgbColor rgb="FFCCC1DA"/>
      <rgbColor rgb="FFFAC090"/>
      <rgbColor rgb="FFD9D9D9"/>
      <rgbColor rgb="FF47B3EA"/>
      <rgbColor rgb="FFC4BD97"/>
      <rgbColor rgb="FFFFC000"/>
      <rgbColor rgb="FFE6B9B8"/>
      <rgbColor rgb="FFFFC7CE"/>
      <rgbColor rgb="FF595959"/>
      <rgbColor rgb="FF969696"/>
      <rgbColor rgb="FF002060"/>
      <rgbColor rgb="FFBFBFBF"/>
      <rgbColor rgb="FF191919"/>
      <rgbColor rgb="FF663300"/>
      <rgbColor rgb="FFFCD5B5"/>
      <rgbColor rgb="FF996666"/>
      <rgbColor rgb="FFF2DCDB"/>
      <rgbColor rgb="FF222222"/>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201386</xdr:colOff>
          <xdr:row>0</xdr:row>
          <xdr:rowOff>136071</xdr:rowOff>
        </xdr:from>
        <xdr:to>
          <xdr:col>14</xdr:col>
          <xdr:colOff>-1621971</xdr:colOff>
          <xdr:row>1</xdr:row>
          <xdr:rowOff>250371</xdr:rowOff>
        </xdr:to>
        <xdr:sp macro="" textlink="">
          <xdr:nvSpPr>
            <xdr:cNvPr id="1001" name="Button 44" hidden="1">
              <a:extLst>
                <a:ext uri="{63B3BB69-23CF-44E3-9099-C40C66FF867C}">
                  <a14:compatExt spid="_x0000_s1001"/>
                </a:ext>
                <a:ext uri="{FF2B5EF4-FFF2-40B4-BE49-F238E27FC236}">
                  <a16:creationId xmlns:a16="http://schemas.microsoft.com/office/drawing/2014/main" id="{00000000-0008-0000-0200-0000E903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ea typeface="Calibri"/>
                  <a:cs typeface="Calibri"/>
                </a:rPr>
                <a:t>Hide Empty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201386</xdr:colOff>
          <xdr:row>2</xdr:row>
          <xdr:rowOff>163286</xdr:rowOff>
        </xdr:from>
        <xdr:to>
          <xdr:col>14</xdr:col>
          <xdr:colOff>-1621971</xdr:colOff>
          <xdr:row>5</xdr:row>
          <xdr:rowOff>27214</xdr:rowOff>
        </xdr:to>
        <xdr:sp macro="" textlink="">
          <xdr:nvSpPr>
            <xdr:cNvPr id="1002" name="Button 46" hidden="1">
              <a:extLst>
                <a:ext uri="{63B3BB69-23CF-44E3-9099-C40C66FF867C}">
                  <a14:compatExt spid="_x0000_s1002"/>
                </a:ext>
                <a:ext uri="{FF2B5EF4-FFF2-40B4-BE49-F238E27FC236}">
                  <a16:creationId xmlns:a16="http://schemas.microsoft.com/office/drawing/2014/main" id="{00000000-0008-0000-0200-0000EA03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mailto:jonathan.staiger@cbgbc.com" TargetMode="External"/><Relationship Id="rId21" Type="http://schemas.openxmlformats.org/officeDocument/2006/relationships/hyperlink" Target="mailto:cwheeler@cadencemcshane.com" TargetMode="External"/><Relationship Id="rId42" Type="http://schemas.openxmlformats.org/officeDocument/2006/relationships/hyperlink" Target="mailto:tcoleman@jlbpartners.com" TargetMode="External"/><Relationship Id="rId47" Type="http://schemas.openxmlformats.org/officeDocument/2006/relationships/hyperlink" Target="mailto:nathan.brinkley@jpi.com" TargetMode="External"/><Relationship Id="rId63" Type="http://schemas.openxmlformats.org/officeDocument/2006/relationships/hyperlink" Target="mailto:swilliams@odenhughesllc.com" TargetMode="External"/><Relationship Id="rId68" Type="http://schemas.openxmlformats.org/officeDocument/2006/relationships/hyperlink" Target="mailto:aschuelke@providentgc.com" TargetMode="External"/><Relationship Id="rId84" Type="http://schemas.openxmlformats.org/officeDocument/2006/relationships/hyperlink" Target="mailto:lgriffith@svcc.biz" TargetMode="External"/><Relationship Id="rId89" Type="http://schemas.openxmlformats.org/officeDocument/2006/relationships/hyperlink" Target="mailto:dwalker@strategicconstruction.com" TargetMode="External"/><Relationship Id="rId16" Type="http://schemas.openxmlformats.org/officeDocument/2006/relationships/hyperlink" Target="mailto:larry@thebrownstonegroup.net" TargetMode="External"/><Relationship Id="rId107" Type="http://schemas.openxmlformats.org/officeDocument/2006/relationships/hyperlink" Target="mailto:johnathon.radcliffe@woodpartners.com" TargetMode="External"/><Relationship Id="rId11" Type="http://schemas.openxmlformats.org/officeDocument/2006/relationships/hyperlink" Target="mailto:aabshire@generalcontractor.com" TargetMode="External"/><Relationship Id="rId32" Type="http://schemas.openxmlformats.org/officeDocument/2006/relationships/hyperlink" Target="mailto:kstarkes@emjcorp.com" TargetMode="External"/><Relationship Id="rId37" Type="http://schemas.openxmlformats.org/officeDocument/2006/relationships/hyperlink" Target="mailto:rusty@hirisepartners.com" TargetMode="External"/><Relationship Id="rId53" Type="http://schemas.openxmlformats.org/officeDocument/2006/relationships/hyperlink" Target="mailto:jbailey@makerbros.net" TargetMode="External"/><Relationship Id="rId58" Type="http://schemas.openxmlformats.org/officeDocument/2006/relationships/hyperlink" Target="mailto:emclellan@mosscm.com" TargetMode="External"/><Relationship Id="rId74" Type="http://schemas.openxmlformats.org/officeDocument/2006/relationships/hyperlink" Target="mailto:swilliams@resource-commercial.com" TargetMode="External"/><Relationship Id="rId79" Type="http://schemas.openxmlformats.org/officeDocument/2006/relationships/hyperlink" Target="mailto:Wgrant@ridgemon.com" TargetMode="External"/><Relationship Id="rId102" Type="http://schemas.openxmlformats.org/officeDocument/2006/relationships/hyperlink" Target="mailto:bholt@wadeconstructiongroup.com" TargetMode="External"/><Relationship Id="rId5" Type="http://schemas.openxmlformats.org/officeDocument/2006/relationships/hyperlink" Target="mailto:jclanton@bartlettcocke.com" TargetMode="External"/><Relationship Id="rId90" Type="http://schemas.openxmlformats.org/officeDocument/2006/relationships/hyperlink" Target="mailto:pclinard@strategicconstruction.com" TargetMode="External"/><Relationship Id="rId95" Type="http://schemas.openxmlformats.org/officeDocument/2006/relationships/hyperlink" Target="mailto:david@trumontgroup.com" TargetMode="External"/><Relationship Id="rId22" Type="http://schemas.openxmlformats.org/officeDocument/2006/relationships/hyperlink" Target="mailto:susrey@cadencemcshane.com" TargetMode="External"/><Relationship Id="rId27" Type="http://schemas.openxmlformats.org/officeDocument/2006/relationships/hyperlink" Target="mailto:cgustafson@ccgcommercialgroup.com" TargetMode="External"/><Relationship Id="rId43" Type="http://schemas.openxmlformats.org/officeDocument/2006/relationships/hyperlink" Target="mailto:jmorris@jordanfosterconstruction.com" TargetMode="External"/><Relationship Id="rId48" Type="http://schemas.openxmlformats.org/officeDocument/2006/relationships/hyperlink" Target="mailto:ejones@gccbllc.com" TargetMode="External"/><Relationship Id="rId64" Type="http://schemas.openxmlformats.org/officeDocument/2006/relationships/hyperlink" Target="mailto:msweeney@odenhughsllc.com" TargetMode="External"/><Relationship Id="rId69" Type="http://schemas.openxmlformats.org/officeDocument/2006/relationships/hyperlink" Target="mailto:mbozeman@providentgc%20.com" TargetMode="External"/><Relationship Id="rId80" Type="http://schemas.openxmlformats.org/officeDocument/2006/relationships/hyperlink" Target="mailto:mroberts@rudickgroup.com" TargetMode="External"/><Relationship Id="rId85" Type="http://schemas.openxmlformats.org/officeDocument/2006/relationships/hyperlink" Target="mailto:dhayes@svcc.biz" TargetMode="External"/><Relationship Id="rId12" Type="http://schemas.openxmlformats.org/officeDocument/2006/relationships/hyperlink" Target="mailto:dick@booneandboone.com" TargetMode="External"/><Relationship Id="rId17" Type="http://schemas.openxmlformats.org/officeDocument/2006/relationships/hyperlink" Target="mailto:davidg@thebrownstonegroup.net" TargetMode="External"/><Relationship Id="rId33" Type="http://schemas.openxmlformats.org/officeDocument/2006/relationships/hyperlink" Target="mailto:jack.brown@emjcorp.com" TargetMode="External"/><Relationship Id="rId38" Type="http://schemas.openxmlformats.org/officeDocument/2006/relationships/hyperlink" Target="mailto:jwiggins@integratedreg.com" TargetMode="External"/><Relationship Id="rId59" Type="http://schemas.openxmlformats.org/officeDocument/2006/relationships/hyperlink" Target="mailto:preconstruction@muckleroyfalls.com" TargetMode="External"/><Relationship Id="rId103" Type="http://schemas.openxmlformats.org/officeDocument/2006/relationships/hyperlink" Target="mailto:sharper@wadeconstructiongroup.com" TargetMode="External"/><Relationship Id="rId108" Type="http://schemas.openxmlformats.org/officeDocument/2006/relationships/hyperlink" Target="mailto:amado.flores@woodpartners.com" TargetMode="External"/><Relationship Id="rId54" Type="http://schemas.openxmlformats.org/officeDocument/2006/relationships/hyperlink" Target="mailto:panderson@makerbros.net" TargetMode="External"/><Relationship Id="rId70" Type="http://schemas.openxmlformats.org/officeDocument/2006/relationships/hyperlink" Target="mailto:kpope@ramparttx.com" TargetMode="External"/><Relationship Id="rId75" Type="http://schemas.openxmlformats.org/officeDocument/2006/relationships/hyperlink" Target="mailto:mroberts@rudickgroup.com" TargetMode="External"/><Relationship Id="rId91" Type="http://schemas.openxmlformats.org/officeDocument/2006/relationships/hyperlink" Target="mailto:sbyington@swbc.com" TargetMode="External"/><Relationship Id="rId96" Type="http://schemas.openxmlformats.org/officeDocument/2006/relationships/hyperlink" Target="mailto:floyd@trupmontgroup.com" TargetMode="External"/><Relationship Id="rId1" Type="http://schemas.openxmlformats.org/officeDocument/2006/relationships/hyperlink" Target="mailto:hwiggins@amli.com" TargetMode="External"/><Relationship Id="rId6" Type="http://schemas.openxmlformats.org/officeDocument/2006/relationships/hyperlink" Target="mailto:fulloa@bblbuildingco.com" TargetMode="External"/><Relationship Id="rId15" Type="http://schemas.openxmlformats.org/officeDocument/2006/relationships/hyperlink" Target="mailto:aellison@broaddususa.com" TargetMode="External"/><Relationship Id="rId23" Type="http://schemas.openxmlformats.org/officeDocument/2006/relationships/hyperlink" Target="mailto:kurt@carbonlandmark.com" TargetMode="External"/><Relationship Id="rId28" Type="http://schemas.openxmlformats.org/officeDocument/2006/relationships/hyperlink" Target="mailto:klarey@ccgcommercialgroup.com" TargetMode="External"/><Relationship Id="rId36" Type="http://schemas.openxmlformats.org/officeDocument/2006/relationships/hyperlink" Target="mailto:bpatterson@hanoverco.com" TargetMode="External"/><Relationship Id="rId49" Type="http://schemas.openxmlformats.org/officeDocument/2006/relationships/hyperlink" Target="mailto:dboone@kwaconstruction.com" TargetMode="External"/><Relationship Id="rId57" Type="http://schemas.openxmlformats.org/officeDocument/2006/relationships/hyperlink" Target="mailto:jberry@mosscm.com" TargetMode="External"/><Relationship Id="rId106" Type="http://schemas.openxmlformats.org/officeDocument/2006/relationships/hyperlink" Target="mailto:josh.atkins@woodpartners.com" TargetMode="External"/><Relationship Id="rId10" Type="http://schemas.openxmlformats.org/officeDocument/2006/relationships/hyperlink" Target="mailto:gdaily@billingsleyco.com" TargetMode="External"/><Relationship Id="rId31" Type="http://schemas.openxmlformats.org/officeDocument/2006/relationships/hyperlink" Target="mailto:zgalligan@drhorton.com" TargetMode="External"/><Relationship Id="rId44" Type="http://schemas.openxmlformats.org/officeDocument/2006/relationships/hyperlink" Target="mailto:sboyd@jordanfosterconstruction.com" TargetMode="External"/><Relationship Id="rId52" Type="http://schemas.openxmlformats.org/officeDocument/2006/relationships/hyperlink" Target="mailto:mskaggs@linksconstruction.com" TargetMode="External"/><Relationship Id="rId60" Type="http://schemas.openxmlformats.org/officeDocument/2006/relationships/hyperlink" Target="mailto:Estimating@Novelbuilders.com" TargetMode="External"/><Relationship Id="rId65" Type="http://schemas.openxmlformats.org/officeDocument/2006/relationships/hyperlink" Target="mailto:darreno@providentgc.com" TargetMode="External"/><Relationship Id="rId73" Type="http://schemas.openxmlformats.org/officeDocument/2006/relationships/hyperlink" Target="mailto:cindy.west@ratcliffconstructors.com" TargetMode="External"/><Relationship Id="rId78" Type="http://schemas.openxmlformats.org/officeDocument/2006/relationships/hyperlink" Target="mailto:Sgaffron@ridgmont.com" TargetMode="External"/><Relationship Id="rId81" Type="http://schemas.openxmlformats.org/officeDocument/2006/relationships/hyperlink" Target="mailto:ybalentine@shreveland.com" TargetMode="External"/><Relationship Id="rId86" Type="http://schemas.openxmlformats.org/officeDocument/2006/relationships/hyperlink" Target="mailto:will.flanagan@stillwatercap.com" TargetMode="External"/><Relationship Id="rId94" Type="http://schemas.openxmlformats.org/officeDocument/2006/relationships/hyperlink" Target="mailto:rbaez@tritongc.com" TargetMode="External"/><Relationship Id="rId99" Type="http://schemas.openxmlformats.org/officeDocument/2006/relationships/hyperlink" Target="mailto:billy.jay@wadeconstructiongroup.com" TargetMode="External"/><Relationship Id="rId101" Type="http://schemas.openxmlformats.org/officeDocument/2006/relationships/hyperlink" Target="mailto:ddeckard@wadeconstructiongroup.com" TargetMode="External"/><Relationship Id="rId4" Type="http://schemas.openxmlformats.org/officeDocument/2006/relationships/hyperlink" Target="mailto:alacey@bartlettecocke.com" TargetMode="External"/><Relationship Id="rId9" Type="http://schemas.openxmlformats.org/officeDocument/2006/relationships/hyperlink" Target="mailto:adockter@bccontracting.com" TargetMode="External"/><Relationship Id="rId13" Type="http://schemas.openxmlformats.org/officeDocument/2006/relationships/hyperlink" Target="mailto:dakotak@teliospc.com" TargetMode="External"/><Relationship Id="rId18" Type="http://schemas.openxmlformats.org/officeDocument/2006/relationships/hyperlink" Target="mailto:nnadiminti@cadencemcshane.com" TargetMode="External"/><Relationship Id="rId39" Type="http://schemas.openxmlformats.org/officeDocument/2006/relationships/hyperlink" Target="mailto:btomlin@integratedreg.com" TargetMode="External"/><Relationship Id="rId109" Type="http://schemas.openxmlformats.org/officeDocument/2006/relationships/hyperlink" Target="mailto:brian.rodriguez@woodpartners.com" TargetMode="External"/><Relationship Id="rId34" Type="http://schemas.openxmlformats.org/officeDocument/2006/relationships/hyperlink" Target="mailto:samb@galaxybuilders.com" TargetMode="External"/><Relationship Id="rId50" Type="http://schemas.openxmlformats.org/officeDocument/2006/relationships/hyperlink" Target="mailto:jjones@kwaconstruction.com" TargetMode="External"/><Relationship Id="rId55" Type="http://schemas.openxmlformats.org/officeDocument/2006/relationships/hyperlink" Target="mailto:kend@mcshane.com" TargetMode="External"/><Relationship Id="rId76" Type="http://schemas.openxmlformats.org/officeDocument/2006/relationships/hyperlink" Target="mailto:chris@royalgeneral.com" TargetMode="External"/><Relationship Id="rId97" Type="http://schemas.openxmlformats.org/officeDocument/2006/relationships/hyperlink" Target="mailto:rquillen@txmorrow.com" TargetMode="External"/><Relationship Id="rId104" Type="http://schemas.openxmlformats.org/officeDocument/2006/relationships/hyperlink" Target="mailto:kevinmoran@weisbuilders.com" TargetMode="External"/><Relationship Id="rId7" Type="http://schemas.openxmlformats.org/officeDocument/2006/relationships/hyperlink" Target="mailto:jstaiger@bblbuildingco.com" TargetMode="External"/><Relationship Id="rId71" Type="http://schemas.openxmlformats.org/officeDocument/2006/relationships/hyperlink" Target="mailto:brogers@ramparttx.com" TargetMode="External"/><Relationship Id="rId92" Type="http://schemas.openxmlformats.org/officeDocument/2006/relationships/hyperlink" Target="mailto:rkemp@talley-riggins.com" TargetMode="External"/><Relationship Id="rId2" Type="http://schemas.openxmlformats.org/officeDocument/2006/relationships/hyperlink" Target="mailto:mwilliams@amtexhousing.com" TargetMode="External"/><Relationship Id="rId29" Type="http://schemas.openxmlformats.org/officeDocument/2006/relationships/hyperlink" Target="mailto:abrewer@drhorton.com" TargetMode="External"/><Relationship Id="rId24" Type="http://schemas.openxmlformats.org/officeDocument/2006/relationships/hyperlink" Target="mailto:scyler@carbonlandmark.com" TargetMode="External"/><Relationship Id="rId40" Type="http://schemas.openxmlformats.org/officeDocument/2006/relationships/hyperlink" Target="mailto:dayneb@integritygroups.com" TargetMode="External"/><Relationship Id="rId45" Type="http://schemas.openxmlformats.org/officeDocument/2006/relationships/hyperlink" Target="mailto:lwiley@jordanfosterconstruction.com" TargetMode="External"/><Relationship Id="rId66" Type="http://schemas.openxmlformats.org/officeDocument/2006/relationships/hyperlink" Target="mailto:JThompson@ProvidentGC.com" TargetMode="External"/><Relationship Id="rId87" Type="http://schemas.openxmlformats.org/officeDocument/2006/relationships/hyperlink" Target="mailto:msmith@strategicconstruction.com" TargetMode="External"/><Relationship Id="rId61" Type="http://schemas.openxmlformats.org/officeDocument/2006/relationships/hyperlink" Target="mailto:bbuchei@nrpgroup.com" TargetMode="External"/><Relationship Id="rId82" Type="http://schemas.openxmlformats.org/officeDocument/2006/relationships/hyperlink" Target="mailto:jkarsten@skybeck.com" TargetMode="External"/><Relationship Id="rId19" Type="http://schemas.openxmlformats.org/officeDocument/2006/relationships/hyperlink" Target="mailto:rshepherd@cadencemcshane.com" TargetMode="External"/><Relationship Id="rId14" Type="http://schemas.openxmlformats.org/officeDocument/2006/relationships/hyperlink" Target="mailto:douglas.nguyen@jpi.com" TargetMode="External"/><Relationship Id="rId30" Type="http://schemas.openxmlformats.org/officeDocument/2006/relationships/hyperlink" Target="mailto:CAMartin@drhorton.com" TargetMode="External"/><Relationship Id="rId35" Type="http://schemas.openxmlformats.org/officeDocument/2006/relationships/hyperlink" Target="mailto:aliciaf@galaxybuilders.com" TargetMode="External"/><Relationship Id="rId56" Type="http://schemas.openxmlformats.org/officeDocument/2006/relationships/hyperlink" Target="mailto:swilkins@mcrtrust.com" TargetMode="External"/><Relationship Id="rId77" Type="http://schemas.openxmlformats.org/officeDocument/2006/relationships/hyperlink" Target="mailto:mmosley@ridgemont.com" TargetMode="External"/><Relationship Id="rId100" Type="http://schemas.openxmlformats.org/officeDocument/2006/relationships/hyperlink" Target="mailto:egibson@wadeconstructiongroup.com" TargetMode="External"/><Relationship Id="rId105" Type="http://schemas.openxmlformats.org/officeDocument/2006/relationships/hyperlink" Target="mailto:philipwelch@weisbuilders.com" TargetMode="External"/><Relationship Id="rId8" Type="http://schemas.openxmlformats.org/officeDocument/2006/relationships/hyperlink" Target="mailto:cbegis@bblbuildingco.com" TargetMode="External"/><Relationship Id="rId51" Type="http://schemas.openxmlformats.org/officeDocument/2006/relationships/hyperlink" Target="mailto:bids@kwaconstruction.com" TargetMode="External"/><Relationship Id="rId72" Type="http://schemas.openxmlformats.org/officeDocument/2006/relationships/hyperlink" Target="mailto:csittig@ramparttx.com" TargetMode="External"/><Relationship Id="rId93" Type="http://schemas.openxmlformats.org/officeDocument/2006/relationships/hyperlink" Target="mailto:mrossetti@talley-riggins.com" TargetMode="External"/><Relationship Id="rId98" Type="http://schemas.openxmlformats.org/officeDocument/2006/relationships/hyperlink" Target="mailto:chuffer@txmorrow.com" TargetMode="External"/><Relationship Id="rId3" Type="http://schemas.openxmlformats.org/officeDocument/2006/relationships/hyperlink" Target="mailto:stemple@bartlettecocke.com" TargetMode="External"/><Relationship Id="rId25" Type="http://schemas.openxmlformats.org/officeDocument/2006/relationships/hyperlink" Target="mailto:kurt.hunter@cbgbc.com" TargetMode="External"/><Relationship Id="rId46" Type="http://schemas.openxmlformats.org/officeDocument/2006/relationships/hyperlink" Target="mailto:adam.abshire@jpi.com" TargetMode="External"/><Relationship Id="rId67" Type="http://schemas.openxmlformats.org/officeDocument/2006/relationships/hyperlink" Target="mailto:cgerstner@providentgc.com" TargetMode="External"/><Relationship Id="rId20" Type="http://schemas.openxmlformats.org/officeDocument/2006/relationships/hyperlink" Target="mailto:czumida@cadencemcshane.com" TargetMode="External"/><Relationship Id="rId41" Type="http://schemas.openxmlformats.org/officeDocument/2006/relationships/hyperlink" Target="mailto:cdaily@jlbpartners.com" TargetMode="External"/><Relationship Id="rId62" Type="http://schemas.openxmlformats.org/officeDocument/2006/relationships/hyperlink" Target="mailto:mbratton@odenhughesllc.com" TargetMode="External"/><Relationship Id="rId83" Type="http://schemas.openxmlformats.org/officeDocument/2006/relationships/hyperlink" Target="mailto:lee.wiley@sparrow-partners.com" TargetMode="External"/><Relationship Id="rId88" Type="http://schemas.openxmlformats.org/officeDocument/2006/relationships/hyperlink" Target="mailto:jfetters@srategicconstruction.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jason.wright@tex-mixconcrete.com" TargetMode="External"/><Relationship Id="rId13" Type="http://schemas.openxmlformats.org/officeDocument/2006/relationships/hyperlink" Target="mailto:mgeissel@suncoast-pt.com" TargetMode="External"/><Relationship Id="rId3" Type="http://schemas.openxmlformats.org/officeDocument/2006/relationships/hyperlink" Target="mailto:lbernhard@critexas.com" TargetMode="External"/><Relationship Id="rId7" Type="http://schemas.openxmlformats.org/officeDocument/2006/relationships/hyperlink" Target="mailto:Nicholas.Morgan@cmc.com" TargetMode="External"/><Relationship Id="rId12" Type="http://schemas.openxmlformats.org/officeDocument/2006/relationships/hyperlink" Target="mailto:stewart@beairddrilling.com" TargetMode="External"/><Relationship Id="rId2" Type="http://schemas.openxmlformats.org/officeDocument/2006/relationships/hyperlink" Target="mailto:clemke@readycable.net" TargetMode="External"/><Relationship Id="rId1" Type="http://schemas.openxmlformats.org/officeDocument/2006/relationships/hyperlink" Target="mailto:xtreeme_007@hotmail.com" TargetMode="External"/><Relationship Id="rId6" Type="http://schemas.openxmlformats.org/officeDocument/2006/relationships/hyperlink" Target="mailto:lbernhard@critexas.com" TargetMode="External"/><Relationship Id="rId11" Type="http://schemas.openxmlformats.org/officeDocument/2006/relationships/hyperlink" Target="mailto:Mike@bigdogdrilling.net" TargetMode="External"/><Relationship Id="rId5" Type="http://schemas.openxmlformats.org/officeDocument/2006/relationships/hyperlink" Target="mailto:Brountree@suncoast-pt.com" TargetMode="External"/><Relationship Id="rId10" Type="http://schemas.openxmlformats.org/officeDocument/2006/relationships/hyperlink" Target="mailto:rwhite@concrete.com" TargetMode="External"/><Relationship Id="rId4" Type="http://schemas.openxmlformats.org/officeDocument/2006/relationships/hyperlink" Target="mailto:clemke@readycable.net" TargetMode="External"/><Relationship Id="rId9" Type="http://schemas.openxmlformats.org/officeDocument/2006/relationships/hyperlink" Target="mailto:steve.roberts@martinmarietta.com"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hyperlink" Target="mailto:DAYS@" TargetMode="Externa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hyperlink" Target="mailto:DAYS@"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B1:AD112"/>
  <sheetViews>
    <sheetView zoomScale="90" zoomScaleNormal="90" workbookViewId="0">
      <selection activeCell="H10" sqref="H10"/>
    </sheetView>
  </sheetViews>
  <sheetFormatPr defaultColWidth="8.3046875" defaultRowHeight="12.45"/>
  <cols>
    <col min="1" max="1" width="1.53515625" customWidth="1"/>
    <col min="2" max="2" width="19.84375" customWidth="1"/>
    <col min="3" max="3" width="17.15234375" customWidth="1"/>
    <col min="4" max="4" width="8.15234375" customWidth="1"/>
    <col min="5" max="5" width="18.84375" customWidth="1"/>
    <col min="6" max="6" width="0.15234375" customWidth="1"/>
    <col min="9" max="9" width="10.84375" customWidth="1"/>
    <col min="10" max="10" width="14.84375" customWidth="1"/>
    <col min="12" max="12" width="10.15234375" customWidth="1"/>
    <col min="14" max="20" width="11.53515625" hidden="1" customWidth="1"/>
    <col min="21" max="21" width="10.4609375" customWidth="1"/>
    <col min="22" max="22" width="31" style="4" customWidth="1"/>
    <col min="23" max="23" width="33.15234375" customWidth="1"/>
    <col min="26" max="26" width="11.53515625" customWidth="1"/>
    <col min="27" max="27" width="24.53515625" customWidth="1"/>
    <col min="28" max="28" width="17" style="5" customWidth="1"/>
    <col min="29" max="29" width="17" style="6" customWidth="1"/>
    <col min="30" max="30" width="37.84375" style="4" customWidth="1"/>
    <col min="31" max="31" width="15.15234375" customWidth="1"/>
  </cols>
  <sheetData>
    <row r="1" spans="2:30" ht="39.75" customHeight="1">
      <c r="I1" s="2" t="s">
        <v>0</v>
      </c>
      <c r="J1" s="2" t="s">
        <v>1</v>
      </c>
    </row>
    <row r="2" spans="2:30" ht="15.45">
      <c r="B2" s="7" t="s">
        <v>2</v>
      </c>
      <c r="C2" s="8" t="s">
        <v>3</v>
      </c>
      <c r="D2" s="9"/>
      <c r="E2" s="9"/>
      <c r="F2" s="9"/>
      <c r="H2" s="7" t="s">
        <v>4</v>
      </c>
      <c r="I2" s="10"/>
      <c r="J2" s="11"/>
      <c r="U2" s="12" t="s">
        <v>5</v>
      </c>
      <c r="V2" s="13" t="s">
        <v>6</v>
      </c>
      <c r="W2" s="12" t="s">
        <v>7</v>
      </c>
      <c r="X2" s="12" t="s">
        <v>8</v>
      </c>
      <c r="Y2" s="12" t="s">
        <v>9</v>
      </c>
      <c r="Z2" s="12" t="s">
        <v>10</v>
      </c>
      <c r="AA2" s="12" t="s">
        <v>11</v>
      </c>
      <c r="AB2" s="14" t="s">
        <v>12</v>
      </c>
      <c r="AC2" s="15" t="s">
        <v>13</v>
      </c>
      <c r="AD2" s="13" t="s">
        <v>14</v>
      </c>
    </row>
    <row r="3" spans="2:30" ht="15.45">
      <c r="B3" s="7" t="s">
        <v>15</v>
      </c>
      <c r="C3" s="8"/>
      <c r="D3" s="9"/>
      <c r="E3" s="9"/>
      <c r="F3" s="9"/>
      <c r="H3" s="7" t="s">
        <v>16</v>
      </c>
      <c r="I3" s="10"/>
      <c r="U3" s="16">
        <v>1</v>
      </c>
      <c r="V3" s="17" t="s">
        <v>17</v>
      </c>
      <c r="W3" s="18" t="s">
        <v>18</v>
      </c>
      <c r="X3" s="18" t="s">
        <v>19</v>
      </c>
      <c r="Y3" s="18" t="s">
        <v>20</v>
      </c>
      <c r="Z3" s="18">
        <v>30144</v>
      </c>
      <c r="AA3" s="18" t="s">
        <v>21</v>
      </c>
      <c r="AB3" s="19" t="s">
        <v>22</v>
      </c>
      <c r="AC3" s="19"/>
      <c r="AD3" s="20" t="s">
        <v>23</v>
      </c>
    </row>
    <row r="4" spans="2:30" ht="15.45">
      <c r="B4" s="7" t="s">
        <v>8</v>
      </c>
      <c r="C4" s="21" t="s">
        <v>24</v>
      </c>
      <c r="D4" s="8"/>
      <c r="E4" s="21"/>
      <c r="F4" s="9"/>
      <c r="H4" s="7"/>
      <c r="U4" s="16">
        <v>2</v>
      </c>
      <c r="V4" s="17" t="s">
        <v>25</v>
      </c>
      <c r="W4" s="18" t="s">
        <v>26</v>
      </c>
      <c r="X4" s="18" t="s">
        <v>27</v>
      </c>
      <c r="Y4" s="18" t="s">
        <v>28</v>
      </c>
      <c r="Z4" s="18">
        <v>75040</v>
      </c>
      <c r="AA4" s="18" t="s">
        <v>29</v>
      </c>
      <c r="AB4" s="19" t="s">
        <v>30</v>
      </c>
      <c r="AC4" s="19"/>
      <c r="AD4" s="20" t="s">
        <v>31</v>
      </c>
    </row>
    <row r="5" spans="2:30" ht="15.45">
      <c r="B5" s="7"/>
      <c r="C5" s="9"/>
      <c r="D5" s="9"/>
      <c r="E5" s="9"/>
      <c r="F5" s="9"/>
      <c r="H5" s="7"/>
      <c r="U5" s="16">
        <v>3</v>
      </c>
      <c r="V5" s="22" t="s">
        <v>32</v>
      </c>
      <c r="W5" s="18" t="s">
        <v>33</v>
      </c>
      <c r="X5" s="18" t="s">
        <v>34</v>
      </c>
      <c r="Y5" s="18" t="s">
        <v>28</v>
      </c>
      <c r="Z5" s="18">
        <v>78217</v>
      </c>
      <c r="AA5" s="22" t="s">
        <v>35</v>
      </c>
      <c r="AB5" s="23" t="s">
        <v>36</v>
      </c>
      <c r="AC5" s="24"/>
      <c r="AD5" s="25" t="s">
        <v>37</v>
      </c>
    </row>
    <row r="6" spans="2:30" ht="15.45">
      <c r="B6" s="7" t="s">
        <v>38</v>
      </c>
      <c r="C6" s="26"/>
      <c r="D6" s="27"/>
      <c r="E6" s="9"/>
      <c r="F6" s="9"/>
      <c r="H6" s="7"/>
      <c r="U6" s="16">
        <v>4</v>
      </c>
      <c r="V6" s="22" t="s">
        <v>32</v>
      </c>
      <c r="W6" s="18" t="s">
        <v>33</v>
      </c>
      <c r="X6" s="18" t="s">
        <v>34</v>
      </c>
      <c r="Y6" s="18" t="s">
        <v>28</v>
      </c>
      <c r="Z6" s="18">
        <v>78217</v>
      </c>
      <c r="AA6" s="22" t="s">
        <v>39</v>
      </c>
      <c r="AB6" s="23" t="s">
        <v>40</v>
      </c>
      <c r="AC6" s="24"/>
      <c r="AD6" s="25" t="s">
        <v>41</v>
      </c>
    </row>
    <row r="7" spans="2:30" ht="15.45">
      <c r="B7" s="7" t="s">
        <v>42</v>
      </c>
      <c r="C7" s="8"/>
      <c r="D7" s="9"/>
      <c r="E7" s="9"/>
      <c r="F7" s="9"/>
      <c r="U7" s="16">
        <v>5</v>
      </c>
      <c r="V7" s="22" t="s">
        <v>32</v>
      </c>
      <c r="W7" s="18" t="s">
        <v>33</v>
      </c>
      <c r="X7" s="18" t="s">
        <v>34</v>
      </c>
      <c r="Y7" s="18" t="s">
        <v>28</v>
      </c>
      <c r="Z7" s="18">
        <v>78217</v>
      </c>
      <c r="AA7" s="22" t="s">
        <v>43</v>
      </c>
      <c r="AB7" s="23" t="s">
        <v>36</v>
      </c>
      <c r="AC7" s="24"/>
      <c r="AD7" s="25" t="s">
        <v>44</v>
      </c>
    </row>
    <row r="8" spans="2:30" ht="15.45">
      <c r="B8" s="7"/>
      <c r="C8" s="12"/>
      <c r="U8" s="16">
        <v>6</v>
      </c>
      <c r="V8" s="17" t="s">
        <v>45</v>
      </c>
      <c r="W8" s="18" t="s">
        <v>46</v>
      </c>
      <c r="X8" s="18" t="s">
        <v>47</v>
      </c>
      <c r="Y8" s="18" t="s">
        <v>28</v>
      </c>
      <c r="Z8" s="18">
        <v>75248</v>
      </c>
      <c r="AA8" s="18" t="s">
        <v>48</v>
      </c>
      <c r="AB8" s="19" t="s">
        <v>49</v>
      </c>
      <c r="AC8" s="24"/>
      <c r="AD8" s="20" t="s">
        <v>50</v>
      </c>
    </row>
    <row r="9" spans="2:30" ht="15.75" customHeight="1">
      <c r="B9" s="28"/>
      <c r="C9" s="12" t="s">
        <v>51</v>
      </c>
      <c r="U9" s="16">
        <v>7</v>
      </c>
      <c r="V9" s="17" t="s">
        <v>45</v>
      </c>
      <c r="W9" s="18" t="s">
        <v>46</v>
      </c>
      <c r="X9" s="18" t="s">
        <v>47</v>
      </c>
      <c r="Y9" s="18" t="s">
        <v>28</v>
      </c>
      <c r="Z9" s="18">
        <v>75248</v>
      </c>
      <c r="AA9" s="18" t="s">
        <v>52</v>
      </c>
      <c r="AB9" s="19" t="s">
        <v>53</v>
      </c>
      <c r="AC9" s="24"/>
      <c r="AD9" s="20" t="s">
        <v>54</v>
      </c>
    </row>
    <row r="10" spans="2:30" ht="15.75" customHeight="1">
      <c r="B10" s="29" t="s">
        <v>55</v>
      </c>
      <c r="C10" s="30"/>
      <c r="H10" s="28" t="s">
        <v>56</v>
      </c>
      <c r="J10" s="31" t="s">
        <v>57</v>
      </c>
      <c r="L10" s="31" t="s">
        <v>1</v>
      </c>
      <c r="U10" s="16">
        <v>8</v>
      </c>
      <c r="V10" s="17" t="s">
        <v>45</v>
      </c>
      <c r="W10" s="18" t="s">
        <v>46</v>
      </c>
      <c r="X10" s="18" t="s">
        <v>47</v>
      </c>
      <c r="Y10" s="18" t="s">
        <v>28</v>
      </c>
      <c r="Z10" s="18">
        <v>75248</v>
      </c>
      <c r="AA10" s="18" t="s">
        <v>58</v>
      </c>
      <c r="AB10" s="19" t="s">
        <v>59</v>
      </c>
      <c r="AC10" s="24"/>
      <c r="AD10" s="20" t="s">
        <v>60</v>
      </c>
    </row>
    <row r="11" spans="2:30" ht="15">
      <c r="B11" s="32" t="s">
        <v>61</v>
      </c>
      <c r="C11" s="33" t="str">
        <f>IF(C10="","",VLOOKUP(C10,$U$3:$AE$356,2,TRUE()))</f>
        <v/>
      </c>
      <c r="D11" s="34"/>
      <c r="E11" s="34"/>
      <c r="F11" s="9"/>
      <c r="H11" s="28" t="s">
        <v>62</v>
      </c>
      <c r="I11" s="8"/>
      <c r="J11" s="9"/>
      <c r="K11" s="9"/>
      <c r="L11" s="35"/>
      <c r="M11" s="12"/>
      <c r="U11" s="16">
        <v>9</v>
      </c>
      <c r="V11" s="17" t="s">
        <v>63</v>
      </c>
      <c r="W11" s="18" t="s">
        <v>64</v>
      </c>
      <c r="X11" s="18" t="s">
        <v>65</v>
      </c>
      <c r="Y11" s="18" t="s">
        <v>66</v>
      </c>
      <c r="Z11" s="18">
        <v>58078</v>
      </c>
      <c r="AA11" s="18" t="s">
        <v>67</v>
      </c>
      <c r="AB11" s="19" t="s">
        <v>68</v>
      </c>
      <c r="AC11" s="24"/>
      <c r="AD11" s="20" t="s">
        <v>69</v>
      </c>
    </row>
    <row r="12" spans="2:30" ht="15">
      <c r="B12" s="32" t="s">
        <v>70</v>
      </c>
      <c r="C12" s="33" t="str">
        <f>IF(C10="","",VLOOKUP(C10,$U$3:$AE$356,3,TRUE()))</f>
        <v/>
      </c>
      <c r="D12" s="34"/>
      <c r="E12" s="34"/>
      <c r="F12" s="9"/>
      <c r="H12" s="28" t="s">
        <v>71</v>
      </c>
      <c r="I12" s="8"/>
      <c r="J12" s="9"/>
      <c r="K12" s="9"/>
      <c r="L12" s="35"/>
      <c r="M12" s="12"/>
      <c r="U12" s="16">
        <v>10</v>
      </c>
      <c r="V12" s="17" t="s">
        <v>72</v>
      </c>
      <c r="W12" s="18" t="s">
        <v>73</v>
      </c>
      <c r="X12" s="18" t="s">
        <v>74</v>
      </c>
      <c r="Y12" s="18" t="s">
        <v>28</v>
      </c>
      <c r="Z12" s="18">
        <v>75056</v>
      </c>
      <c r="AA12" s="18" t="s">
        <v>75</v>
      </c>
      <c r="AB12" s="19" t="s">
        <v>76</v>
      </c>
      <c r="AC12" s="19" t="s">
        <v>77</v>
      </c>
      <c r="AD12" s="20" t="s">
        <v>78</v>
      </c>
    </row>
    <row r="13" spans="2:30" ht="15">
      <c r="B13" s="32"/>
      <c r="C13" s="33" t="str">
        <f>IF(C10="","",VLOOKUP(C10,$U$3:$AE$356,4,TRUE()))</f>
        <v/>
      </c>
      <c r="D13" s="33" t="str">
        <f>IF(C10="","",VLOOKUP($C$10,$U$3:$AE$356,5,TRUE()))</f>
        <v/>
      </c>
      <c r="E13" s="34"/>
      <c r="F13" s="9"/>
      <c r="H13" s="28" t="s">
        <v>79</v>
      </c>
      <c r="I13" s="8"/>
      <c r="J13" s="9"/>
      <c r="K13" s="9"/>
      <c r="L13" s="35"/>
      <c r="M13" s="12"/>
      <c r="U13" s="16">
        <v>11</v>
      </c>
      <c r="V13" s="17" t="s">
        <v>80</v>
      </c>
      <c r="W13" s="18" t="s">
        <v>81</v>
      </c>
      <c r="X13" s="18" t="s">
        <v>82</v>
      </c>
      <c r="Y13" s="18" t="s">
        <v>28</v>
      </c>
      <c r="Z13" s="18">
        <v>76011</v>
      </c>
      <c r="AA13" s="18" t="s">
        <v>83</v>
      </c>
      <c r="AB13" s="19" t="s">
        <v>84</v>
      </c>
      <c r="AC13" s="19"/>
      <c r="AD13" s="20" t="s">
        <v>85</v>
      </c>
    </row>
    <row r="14" spans="2:30" ht="15">
      <c r="B14" s="32" t="s">
        <v>86</v>
      </c>
      <c r="C14" s="36" t="str">
        <f>IF(C10="","",VLOOKUP(C10,$U$3:$AE$356,7,TRUE()))</f>
        <v/>
      </c>
      <c r="D14" s="34"/>
      <c r="E14" s="34"/>
      <c r="F14" s="9"/>
      <c r="H14" s="28" t="s">
        <v>87</v>
      </c>
      <c r="I14" s="8"/>
      <c r="J14" s="9"/>
      <c r="K14" s="9"/>
      <c r="L14" s="35"/>
      <c r="M14" s="12"/>
      <c r="U14" s="16">
        <v>12</v>
      </c>
      <c r="V14" s="17" t="s">
        <v>88</v>
      </c>
      <c r="W14" s="18" t="s">
        <v>89</v>
      </c>
      <c r="X14" s="18" t="s">
        <v>90</v>
      </c>
      <c r="Y14" s="18" t="s">
        <v>28</v>
      </c>
      <c r="Z14" s="18">
        <v>75703</v>
      </c>
      <c r="AA14" s="18" t="s">
        <v>91</v>
      </c>
      <c r="AB14" s="19" t="s">
        <v>92</v>
      </c>
      <c r="AC14" s="24"/>
      <c r="AD14" s="20" t="s">
        <v>93</v>
      </c>
    </row>
    <row r="15" spans="2:30" ht="15">
      <c r="B15" s="32" t="s">
        <v>94</v>
      </c>
      <c r="C15" s="37" t="str">
        <f>IF(C10="","",VLOOKUP(C10,$U$3:$AE$356,8,TRUE()))</f>
        <v/>
      </c>
      <c r="D15" s="38" t="s">
        <v>95</v>
      </c>
      <c r="E15" s="37" t="str">
        <f>IF(C10="","",VLOOKUP(C10,$U$3:$AE$356,9,TRUE()))</f>
        <v/>
      </c>
      <c r="F15" s="9"/>
      <c r="H15" s="39"/>
      <c r="L15" s="40"/>
      <c r="U15" s="16">
        <v>13</v>
      </c>
      <c r="V15" s="17" t="s">
        <v>96</v>
      </c>
      <c r="W15" s="18" t="s">
        <v>97</v>
      </c>
      <c r="X15" s="18" t="s">
        <v>98</v>
      </c>
      <c r="Y15" s="18" t="s">
        <v>99</v>
      </c>
      <c r="Z15" s="18">
        <v>27612</v>
      </c>
      <c r="AA15" s="18" t="s">
        <v>100</v>
      </c>
      <c r="AB15" s="19" t="s">
        <v>101</v>
      </c>
      <c r="AC15" s="24"/>
      <c r="AD15" s="20" t="s">
        <v>102</v>
      </c>
    </row>
    <row r="16" spans="2:30" ht="15">
      <c r="B16" s="32" t="s">
        <v>103</v>
      </c>
      <c r="C16" s="2876" t="str">
        <f>IF(C10="","",VLOOKUP(C10,$U$3:$AE$356,10,TRUE()))</f>
        <v/>
      </c>
      <c r="D16" s="2876"/>
      <c r="E16" s="2876"/>
      <c r="F16" s="9"/>
      <c r="H16" s="28" t="s">
        <v>56</v>
      </c>
      <c r="J16" s="31" t="s">
        <v>57</v>
      </c>
      <c r="L16" s="31" t="s">
        <v>1</v>
      </c>
      <c r="U16" s="16">
        <v>14</v>
      </c>
      <c r="V16" s="17" t="s">
        <v>104</v>
      </c>
      <c r="W16" s="18" t="s">
        <v>105</v>
      </c>
      <c r="X16" s="18" t="s">
        <v>106</v>
      </c>
      <c r="Y16" s="18" t="s">
        <v>28</v>
      </c>
      <c r="Z16" s="18">
        <v>78746</v>
      </c>
      <c r="AA16" s="18" t="s">
        <v>107</v>
      </c>
      <c r="AB16" s="19" t="s">
        <v>108</v>
      </c>
      <c r="AC16" s="24"/>
      <c r="AD16" s="20" t="s">
        <v>109</v>
      </c>
    </row>
    <row r="17" spans="2:30" ht="15">
      <c r="B17" s="32"/>
      <c r="C17" s="41"/>
      <c r="D17" s="41"/>
      <c r="E17" s="41"/>
      <c r="F17" s="41"/>
      <c r="H17" s="28"/>
      <c r="J17" s="31"/>
      <c r="L17" s="31"/>
      <c r="U17" s="16">
        <v>15</v>
      </c>
      <c r="V17" s="16" t="s">
        <v>110</v>
      </c>
      <c r="W17" s="16" t="s">
        <v>111</v>
      </c>
      <c r="X17" s="16" t="s">
        <v>112</v>
      </c>
      <c r="Y17" s="16" t="s">
        <v>28</v>
      </c>
      <c r="Z17" s="16">
        <v>77081</v>
      </c>
      <c r="AA17" s="16" t="s">
        <v>113</v>
      </c>
      <c r="AB17" s="42" t="s">
        <v>114</v>
      </c>
      <c r="AC17" s="16"/>
      <c r="AD17" s="43" t="s">
        <v>115</v>
      </c>
    </row>
    <row r="18" spans="2:30" ht="15.45">
      <c r="B18" s="32"/>
      <c r="C18" s="30"/>
      <c r="F18" s="41"/>
      <c r="H18" s="28"/>
      <c r="J18" s="31"/>
      <c r="L18" s="31"/>
      <c r="U18" s="16">
        <v>16</v>
      </c>
      <c r="V18" s="16" t="s">
        <v>110</v>
      </c>
      <c r="W18" s="16" t="s">
        <v>111</v>
      </c>
      <c r="X18" s="16" t="s">
        <v>112</v>
      </c>
      <c r="Y18" s="16" t="s">
        <v>28</v>
      </c>
      <c r="Z18" s="16">
        <v>77081</v>
      </c>
      <c r="AA18" s="16" t="s">
        <v>116</v>
      </c>
      <c r="AB18" s="42" t="s">
        <v>117</v>
      </c>
      <c r="AC18" s="16"/>
      <c r="AD18" s="43" t="s">
        <v>118</v>
      </c>
    </row>
    <row r="19" spans="2:30" ht="15">
      <c r="B19" s="32" t="s">
        <v>119</v>
      </c>
      <c r="C19" s="33" t="str">
        <f>IF(C18="","",VLOOKUP(C18,$U$3:$AE$356,2,TRUE()))</f>
        <v/>
      </c>
      <c r="D19" s="34"/>
      <c r="E19" s="34"/>
      <c r="F19" s="9"/>
      <c r="H19" s="28" t="s">
        <v>62</v>
      </c>
      <c r="I19" s="8"/>
      <c r="J19" s="9"/>
      <c r="K19" s="9"/>
      <c r="L19" s="44"/>
      <c r="U19" s="16">
        <v>17</v>
      </c>
      <c r="V19" s="17" t="s">
        <v>120</v>
      </c>
      <c r="W19" s="18" t="s">
        <v>121</v>
      </c>
      <c r="X19" s="18" t="s">
        <v>122</v>
      </c>
      <c r="Y19" s="18" t="s">
        <v>28</v>
      </c>
      <c r="Z19" s="18">
        <v>75001</v>
      </c>
      <c r="AA19" s="18" t="s">
        <v>123</v>
      </c>
      <c r="AB19" s="19" t="s">
        <v>124</v>
      </c>
      <c r="AC19" s="24"/>
      <c r="AD19" s="20" t="s">
        <v>125</v>
      </c>
    </row>
    <row r="20" spans="2:30" ht="15">
      <c r="B20" s="32" t="s">
        <v>70</v>
      </c>
      <c r="C20" s="33" t="str">
        <f>IF(C18="","",VLOOKUP(C18,$U$3:$AE$356,3,TRUE()))</f>
        <v/>
      </c>
      <c r="D20" s="34"/>
      <c r="E20" s="34"/>
      <c r="F20" s="9"/>
      <c r="H20" s="28" t="s">
        <v>71</v>
      </c>
      <c r="I20" s="8"/>
      <c r="J20" s="9"/>
      <c r="K20" s="9"/>
      <c r="L20" s="44"/>
      <c r="U20" s="16">
        <v>18</v>
      </c>
      <c r="V20" s="17" t="s">
        <v>120</v>
      </c>
      <c r="W20" s="18" t="s">
        <v>121</v>
      </c>
      <c r="X20" s="18" t="s">
        <v>122</v>
      </c>
      <c r="Y20" s="18" t="s">
        <v>28</v>
      </c>
      <c r="Z20" s="18">
        <v>75001</v>
      </c>
      <c r="AA20" s="18" t="s">
        <v>126</v>
      </c>
      <c r="AB20" s="19" t="s">
        <v>127</v>
      </c>
      <c r="AC20" s="24"/>
      <c r="AD20" s="20" t="s">
        <v>128</v>
      </c>
    </row>
    <row r="21" spans="2:30" ht="15">
      <c r="B21" s="32"/>
      <c r="C21" s="33"/>
      <c r="D21" s="34"/>
      <c r="E21" s="34"/>
      <c r="F21" s="9"/>
      <c r="H21" s="28" t="s">
        <v>79</v>
      </c>
      <c r="I21" s="8"/>
      <c r="J21" s="9"/>
      <c r="K21" s="9"/>
      <c r="L21" s="44"/>
      <c r="U21" s="16">
        <v>19</v>
      </c>
      <c r="V21" s="17" t="s">
        <v>120</v>
      </c>
      <c r="W21" s="18" t="s">
        <v>121</v>
      </c>
      <c r="X21" s="18" t="s">
        <v>122</v>
      </c>
      <c r="Y21" s="18" t="s">
        <v>28</v>
      </c>
      <c r="Z21" s="18">
        <v>75001</v>
      </c>
      <c r="AA21" s="18" t="s">
        <v>129</v>
      </c>
      <c r="AB21" s="19" t="s">
        <v>130</v>
      </c>
      <c r="AC21" s="24"/>
      <c r="AD21" s="20" t="s">
        <v>131</v>
      </c>
    </row>
    <row r="22" spans="2:30" ht="15">
      <c r="B22" s="32" t="s">
        <v>86</v>
      </c>
      <c r="C22" s="36" t="str">
        <f>IF(C18="","",VLOOKUP(C18,$U$3:$AE$356,7,TRUE()))</f>
        <v/>
      </c>
      <c r="D22" s="34"/>
      <c r="E22" s="34"/>
      <c r="F22" s="9"/>
      <c r="H22" s="28" t="s">
        <v>87</v>
      </c>
      <c r="I22" s="8"/>
      <c r="J22" s="9"/>
      <c r="K22" s="9"/>
      <c r="L22" s="44"/>
      <c r="U22" s="16">
        <v>20</v>
      </c>
      <c r="V22" s="17" t="s">
        <v>120</v>
      </c>
      <c r="W22" s="18" t="s">
        <v>132</v>
      </c>
      <c r="X22" s="18" t="s">
        <v>106</v>
      </c>
      <c r="Y22" s="18" t="s">
        <v>28</v>
      </c>
      <c r="Z22" s="18">
        <v>78746</v>
      </c>
      <c r="AA22" s="18" t="s">
        <v>133</v>
      </c>
      <c r="AB22" s="19" t="s">
        <v>134</v>
      </c>
      <c r="AC22" s="45"/>
      <c r="AD22" s="46"/>
    </row>
    <row r="23" spans="2:30" ht="15">
      <c r="B23" s="32" t="s">
        <v>12</v>
      </c>
      <c r="C23" s="37" t="str">
        <f>IF(C18="","",VLOOKUP(C18,$U$3:$AE$356,8,TRUE()))</f>
        <v/>
      </c>
      <c r="D23" s="38" t="s">
        <v>95</v>
      </c>
      <c r="E23" s="37" t="str">
        <f>IF(C18="","",VLOOKUP(C18,$U$3:$AE$356,9,TRUE()))</f>
        <v/>
      </c>
      <c r="F23" s="9"/>
      <c r="I23" s="47"/>
      <c r="J23" s="47"/>
      <c r="K23" s="47"/>
      <c r="L23" s="47"/>
      <c r="U23" s="16">
        <v>21</v>
      </c>
      <c r="V23" s="17" t="s">
        <v>120</v>
      </c>
      <c r="W23" s="18" t="s">
        <v>132</v>
      </c>
      <c r="X23" s="18" t="s">
        <v>106</v>
      </c>
      <c r="Y23" s="18" t="s">
        <v>28</v>
      </c>
      <c r="Z23" s="18">
        <v>78746</v>
      </c>
      <c r="AA23" s="18" t="s">
        <v>135</v>
      </c>
      <c r="AB23" s="19" t="s">
        <v>134</v>
      </c>
      <c r="AC23" s="24"/>
      <c r="AD23" s="20" t="s">
        <v>136</v>
      </c>
    </row>
    <row r="24" spans="2:30" ht="15">
      <c r="B24" s="32" t="s">
        <v>137</v>
      </c>
      <c r="C24" s="3" t="str">
        <f>IF(C18="","",VLOOKUP(C18,$U$3:$AE$356,10,FALSE()))</f>
        <v/>
      </c>
      <c r="D24" s="3"/>
      <c r="E24" s="3"/>
      <c r="F24" s="9"/>
      <c r="H24" s="28" t="s">
        <v>56</v>
      </c>
      <c r="J24" s="31" t="s">
        <v>57</v>
      </c>
      <c r="L24" s="31" t="s">
        <v>1</v>
      </c>
      <c r="U24" s="16">
        <v>22</v>
      </c>
      <c r="V24" s="17" t="s">
        <v>120</v>
      </c>
      <c r="W24" s="18" t="s">
        <v>132</v>
      </c>
      <c r="X24" s="18" t="s">
        <v>106</v>
      </c>
      <c r="Y24" s="18" t="s">
        <v>28</v>
      </c>
      <c r="Z24" s="18">
        <v>78746</v>
      </c>
      <c r="AA24" s="18" t="s">
        <v>138</v>
      </c>
      <c r="AB24" s="19"/>
      <c r="AC24" s="24"/>
      <c r="AD24" s="20" t="s">
        <v>139</v>
      </c>
    </row>
    <row r="25" spans="2:30" ht="15">
      <c r="F25" s="47"/>
      <c r="U25" s="16">
        <v>23</v>
      </c>
      <c r="V25" s="17" t="s">
        <v>140</v>
      </c>
      <c r="W25" s="18" t="s">
        <v>141</v>
      </c>
      <c r="X25" s="18" t="s">
        <v>142</v>
      </c>
      <c r="Y25" s="18" t="s">
        <v>28</v>
      </c>
      <c r="Z25" s="18">
        <v>75248</v>
      </c>
      <c r="AA25" s="18" t="s">
        <v>143</v>
      </c>
      <c r="AB25" s="19" t="s">
        <v>144</v>
      </c>
      <c r="AC25" s="24"/>
      <c r="AD25" s="20" t="s">
        <v>145</v>
      </c>
    </row>
    <row r="26" spans="2:30" ht="15.45">
      <c r="B26" s="32"/>
      <c r="C26" s="30"/>
      <c r="F26" s="41"/>
      <c r="H26" s="28"/>
      <c r="J26" s="31"/>
      <c r="L26" s="31"/>
      <c r="U26" s="16">
        <v>24</v>
      </c>
      <c r="V26" s="17" t="s">
        <v>140</v>
      </c>
      <c r="W26" s="18" t="s">
        <v>141</v>
      </c>
      <c r="X26" s="18" t="s">
        <v>142</v>
      </c>
      <c r="Y26" s="18" t="s">
        <v>28</v>
      </c>
      <c r="Z26" s="18">
        <v>75248</v>
      </c>
      <c r="AA26" s="18" t="s">
        <v>146</v>
      </c>
      <c r="AB26" s="19" t="s">
        <v>147</v>
      </c>
      <c r="AC26" s="24"/>
      <c r="AD26" s="20" t="s">
        <v>148</v>
      </c>
    </row>
    <row r="27" spans="2:30" ht="15">
      <c r="B27" s="32" t="s">
        <v>119</v>
      </c>
      <c r="C27" s="33" t="str">
        <f>IF(C26="","",VLOOKUP(C26,$U$3:$AE$356,2,TRUE()))</f>
        <v/>
      </c>
      <c r="D27" s="34"/>
      <c r="E27" s="34"/>
      <c r="F27" s="41"/>
      <c r="H27" s="28" t="s">
        <v>62</v>
      </c>
      <c r="I27" s="9"/>
      <c r="J27" s="9"/>
      <c r="K27" s="9"/>
      <c r="L27" s="44"/>
      <c r="U27" s="16">
        <v>25</v>
      </c>
      <c r="V27" s="17" t="s">
        <v>149</v>
      </c>
      <c r="W27" s="48" t="s">
        <v>150</v>
      </c>
      <c r="X27" s="18" t="s">
        <v>151</v>
      </c>
      <c r="Y27" s="18" t="s">
        <v>28</v>
      </c>
      <c r="Z27" s="18">
        <v>75067</v>
      </c>
      <c r="AA27" s="18" t="s">
        <v>152</v>
      </c>
      <c r="AB27" s="19" t="s">
        <v>153</v>
      </c>
      <c r="AC27" s="19"/>
      <c r="AD27" s="20" t="s">
        <v>154</v>
      </c>
    </row>
    <row r="28" spans="2:30" ht="15">
      <c r="B28" s="32" t="s">
        <v>70</v>
      </c>
      <c r="C28" s="33" t="str">
        <f>IF(C26="","",VLOOKUP(C26,$U$3:$AE$356,3,TRUE()))</f>
        <v/>
      </c>
      <c r="D28" s="34"/>
      <c r="E28" s="34"/>
      <c r="F28" s="9"/>
      <c r="H28" s="28" t="s">
        <v>71</v>
      </c>
      <c r="I28" s="9"/>
      <c r="J28" s="9"/>
      <c r="K28" s="9"/>
      <c r="L28" s="44"/>
      <c r="U28" s="16">
        <v>26</v>
      </c>
      <c r="V28" s="17" t="s">
        <v>149</v>
      </c>
      <c r="W28" s="48" t="s">
        <v>150</v>
      </c>
      <c r="X28" s="18" t="s">
        <v>151</v>
      </c>
      <c r="Y28" s="18" t="s">
        <v>28</v>
      </c>
      <c r="Z28" s="18">
        <v>75067</v>
      </c>
      <c r="AA28" s="18" t="s">
        <v>52</v>
      </c>
      <c r="AB28" s="19" t="s">
        <v>155</v>
      </c>
      <c r="AC28" s="24"/>
      <c r="AD28" s="20" t="s">
        <v>156</v>
      </c>
    </row>
    <row r="29" spans="2:30" ht="15">
      <c r="B29" s="32"/>
      <c r="C29" s="33" t="str">
        <f>IF(C26="","",VLOOKUP(C26,$U$3:$AE$356,4,TRUE()))</f>
        <v/>
      </c>
      <c r="D29" s="33" t="str">
        <f>IF(C26="","",VLOOKUP($C$26,$U$3:$AE$356,5,TRUE()))</f>
        <v/>
      </c>
      <c r="E29" s="34"/>
      <c r="F29" s="9"/>
      <c r="H29" s="28" t="s">
        <v>79</v>
      </c>
      <c r="I29" s="9"/>
      <c r="J29" s="9"/>
      <c r="K29" s="9"/>
      <c r="L29" s="44"/>
      <c r="U29" s="16">
        <v>27</v>
      </c>
      <c r="V29" s="17" t="s">
        <v>157</v>
      </c>
      <c r="W29" s="18" t="s">
        <v>158</v>
      </c>
      <c r="X29" s="18" t="s">
        <v>159</v>
      </c>
      <c r="Y29" s="18" t="s">
        <v>28</v>
      </c>
      <c r="Z29" s="18">
        <v>75032</v>
      </c>
      <c r="AA29" s="18" t="s">
        <v>160</v>
      </c>
      <c r="AB29" s="19" t="s">
        <v>161</v>
      </c>
      <c r="AC29" s="24"/>
      <c r="AD29" s="20" t="s">
        <v>162</v>
      </c>
    </row>
    <row r="30" spans="2:30" ht="15">
      <c r="B30" s="32" t="s">
        <v>86</v>
      </c>
      <c r="C30" s="36" t="str">
        <f>IF(C26="","",VLOOKUP(C26,$U$3:$AE$356,7,TRUE()))</f>
        <v/>
      </c>
      <c r="D30" s="34"/>
      <c r="E30" s="34"/>
      <c r="F30" s="9"/>
      <c r="H30" s="28" t="s">
        <v>87</v>
      </c>
      <c r="I30" s="9"/>
      <c r="J30" s="9"/>
      <c r="K30" s="9"/>
      <c r="L30" s="44"/>
      <c r="U30" s="16">
        <v>28</v>
      </c>
      <c r="V30" s="17" t="s">
        <v>157</v>
      </c>
      <c r="W30" s="18" t="s">
        <v>158</v>
      </c>
      <c r="X30" s="18" t="s">
        <v>159</v>
      </c>
      <c r="Y30" s="18" t="s">
        <v>28</v>
      </c>
      <c r="Z30" s="18">
        <v>75032</v>
      </c>
      <c r="AA30" s="18" t="s">
        <v>163</v>
      </c>
      <c r="AB30" s="19" t="s">
        <v>164</v>
      </c>
      <c r="AC30" s="24"/>
      <c r="AD30" s="20" t="s">
        <v>165</v>
      </c>
    </row>
    <row r="31" spans="2:30" ht="15">
      <c r="B31" s="32" t="s">
        <v>137</v>
      </c>
      <c r="C31" s="2877" t="str">
        <f>IF(C26="","",VLOOKUP(C26,$U$3:$AE$356,10,FALSE()))</f>
        <v/>
      </c>
      <c r="D31" s="2877"/>
      <c r="E31" s="2877"/>
      <c r="F31" s="9"/>
      <c r="U31" s="16">
        <v>29</v>
      </c>
      <c r="V31" s="17" t="s">
        <v>166</v>
      </c>
      <c r="W31" s="18" t="s">
        <v>167</v>
      </c>
      <c r="X31" s="18" t="s">
        <v>168</v>
      </c>
      <c r="Y31" s="18" t="s">
        <v>169</v>
      </c>
      <c r="Z31" s="18">
        <v>85020</v>
      </c>
      <c r="AA31" s="18" t="s">
        <v>170</v>
      </c>
      <c r="AB31" s="19" t="s">
        <v>171</v>
      </c>
      <c r="AC31" s="19"/>
      <c r="AD31" s="20" t="s">
        <v>172</v>
      </c>
    </row>
    <row r="32" spans="2:30" s="18" customFormat="1" ht="15">
      <c r="U32" s="16">
        <v>30</v>
      </c>
      <c r="V32" s="17" t="s">
        <v>166</v>
      </c>
      <c r="W32" s="18" t="s">
        <v>167</v>
      </c>
      <c r="X32" s="18" t="s">
        <v>168</v>
      </c>
      <c r="Y32" s="18" t="s">
        <v>169</v>
      </c>
      <c r="Z32" s="18">
        <v>85020</v>
      </c>
      <c r="AA32" s="18" t="s">
        <v>173</v>
      </c>
      <c r="AB32" s="19" t="s">
        <v>174</v>
      </c>
      <c r="AC32" s="24"/>
      <c r="AD32" s="20" t="s">
        <v>175</v>
      </c>
    </row>
    <row r="33" spans="21:30" s="18" customFormat="1" ht="15">
      <c r="U33" s="16">
        <v>31</v>
      </c>
      <c r="V33" s="17" t="s">
        <v>166</v>
      </c>
      <c r="W33" s="18" t="s">
        <v>167</v>
      </c>
      <c r="X33" s="18" t="s">
        <v>168</v>
      </c>
      <c r="Y33" s="18" t="s">
        <v>169</v>
      </c>
      <c r="Z33" s="18">
        <v>85020</v>
      </c>
      <c r="AA33" s="18" t="s">
        <v>176</v>
      </c>
      <c r="AB33" s="19"/>
      <c r="AC33" s="24"/>
      <c r="AD33" s="20" t="s">
        <v>177</v>
      </c>
    </row>
    <row r="34" spans="21:30" s="18" customFormat="1" ht="15">
      <c r="U34" s="16">
        <v>32</v>
      </c>
      <c r="V34" s="17" t="s">
        <v>178</v>
      </c>
      <c r="W34" s="18" t="s">
        <v>179</v>
      </c>
      <c r="X34" s="18" t="s">
        <v>180</v>
      </c>
      <c r="Y34" s="18" t="s">
        <v>28</v>
      </c>
      <c r="Z34" s="18">
        <v>75038</v>
      </c>
      <c r="AA34" s="18" t="s">
        <v>181</v>
      </c>
      <c r="AB34" s="19"/>
      <c r="AC34" s="24"/>
      <c r="AD34" s="20" t="s">
        <v>182</v>
      </c>
    </row>
    <row r="35" spans="21:30" s="18" customFormat="1" ht="15">
      <c r="U35" s="16">
        <v>33</v>
      </c>
      <c r="V35" s="17" t="s">
        <v>178</v>
      </c>
      <c r="W35" s="18" t="s">
        <v>179</v>
      </c>
      <c r="X35" s="18" t="s">
        <v>180</v>
      </c>
      <c r="Y35" s="18" t="s">
        <v>28</v>
      </c>
      <c r="Z35" s="18">
        <v>75038</v>
      </c>
      <c r="AA35" s="18" t="s">
        <v>183</v>
      </c>
      <c r="AB35" s="19" t="s">
        <v>184</v>
      </c>
      <c r="AC35" s="24"/>
      <c r="AD35" s="20" t="s">
        <v>185</v>
      </c>
    </row>
    <row r="36" spans="21:30" s="18" customFormat="1" ht="15">
      <c r="U36" s="16">
        <v>34</v>
      </c>
      <c r="V36" s="17" t="s">
        <v>186</v>
      </c>
      <c r="W36" s="49" t="s">
        <v>187</v>
      </c>
      <c r="X36" s="18" t="s">
        <v>188</v>
      </c>
      <c r="Y36" s="18" t="s">
        <v>28</v>
      </c>
      <c r="Z36" s="18">
        <v>78249</v>
      </c>
      <c r="AA36" s="18" t="s">
        <v>189</v>
      </c>
      <c r="AB36" s="19" t="s">
        <v>190</v>
      </c>
      <c r="AC36" s="24"/>
      <c r="AD36" s="20" t="s">
        <v>191</v>
      </c>
    </row>
    <row r="37" spans="21:30" s="18" customFormat="1" ht="15">
      <c r="U37" s="16">
        <v>35</v>
      </c>
      <c r="V37" s="17" t="s">
        <v>186</v>
      </c>
      <c r="W37" s="49" t="s">
        <v>187</v>
      </c>
      <c r="X37" s="18" t="s">
        <v>188</v>
      </c>
      <c r="Y37" s="18" t="s">
        <v>28</v>
      </c>
      <c r="Z37" s="18">
        <v>78249</v>
      </c>
      <c r="AA37" s="18" t="s">
        <v>192</v>
      </c>
      <c r="AB37" s="19" t="s">
        <v>190</v>
      </c>
      <c r="AC37" s="24"/>
      <c r="AD37" s="20" t="s">
        <v>193</v>
      </c>
    </row>
    <row r="38" spans="21:30" s="18" customFormat="1" ht="15">
      <c r="U38" s="16">
        <v>36</v>
      </c>
      <c r="V38" s="17" t="s">
        <v>194</v>
      </c>
      <c r="W38" s="18" t="s">
        <v>195</v>
      </c>
      <c r="X38" s="18" t="s">
        <v>112</v>
      </c>
      <c r="Y38" s="18" t="s">
        <v>28</v>
      </c>
      <c r="Z38" s="18">
        <v>77056</v>
      </c>
      <c r="AA38" s="18" t="s">
        <v>196</v>
      </c>
      <c r="AB38" s="19" t="s">
        <v>197</v>
      </c>
      <c r="AC38" s="24"/>
      <c r="AD38" s="20" t="s">
        <v>198</v>
      </c>
    </row>
    <row r="39" spans="21:30" s="18" customFormat="1" ht="15">
      <c r="U39" s="16">
        <v>37</v>
      </c>
      <c r="V39" s="17" t="s">
        <v>199</v>
      </c>
      <c r="W39" s="18" t="s">
        <v>200</v>
      </c>
      <c r="X39" s="18" t="s">
        <v>201</v>
      </c>
      <c r="Y39" s="18" t="s">
        <v>28</v>
      </c>
      <c r="Z39" s="18">
        <v>76107</v>
      </c>
      <c r="AA39" s="18" t="s">
        <v>202</v>
      </c>
      <c r="AB39" s="19" t="s">
        <v>203</v>
      </c>
      <c r="AC39" s="24"/>
      <c r="AD39" s="20" t="s">
        <v>204</v>
      </c>
    </row>
    <row r="40" spans="21:30" s="18" customFormat="1" ht="15">
      <c r="U40" s="16">
        <v>38</v>
      </c>
      <c r="V40" s="17" t="s">
        <v>205</v>
      </c>
      <c r="W40" s="18" t="s">
        <v>206</v>
      </c>
      <c r="X40" s="18" t="s">
        <v>207</v>
      </c>
      <c r="Y40" s="18" t="s">
        <v>28</v>
      </c>
      <c r="Z40" s="18">
        <v>76292</v>
      </c>
      <c r="AA40" s="18" t="s">
        <v>208</v>
      </c>
      <c r="AB40" s="19" t="s">
        <v>209</v>
      </c>
      <c r="AC40" s="24"/>
      <c r="AD40" s="20" t="s">
        <v>210</v>
      </c>
    </row>
    <row r="41" spans="21:30" s="18" customFormat="1" ht="15">
      <c r="U41" s="16">
        <v>39</v>
      </c>
      <c r="V41" s="17" t="s">
        <v>205</v>
      </c>
      <c r="W41" s="18" t="s">
        <v>206</v>
      </c>
      <c r="X41" s="18" t="s">
        <v>207</v>
      </c>
      <c r="Y41" s="18" t="s">
        <v>28</v>
      </c>
      <c r="Z41" s="18">
        <v>76292</v>
      </c>
      <c r="AA41" s="18" t="s">
        <v>211</v>
      </c>
      <c r="AB41" s="19" t="s">
        <v>212</v>
      </c>
      <c r="AC41" s="24"/>
      <c r="AD41" s="20" t="s">
        <v>213</v>
      </c>
    </row>
    <row r="42" spans="21:30" s="18" customFormat="1" ht="15">
      <c r="U42" s="16">
        <v>40</v>
      </c>
      <c r="V42" s="17" t="s">
        <v>214</v>
      </c>
      <c r="W42" s="18" t="s">
        <v>215</v>
      </c>
      <c r="X42" s="18" t="s">
        <v>216</v>
      </c>
      <c r="Y42" s="18" t="s">
        <v>28</v>
      </c>
      <c r="Z42" s="18">
        <v>76262</v>
      </c>
      <c r="AA42" s="18" t="s">
        <v>217</v>
      </c>
      <c r="AB42" s="19" t="s">
        <v>218</v>
      </c>
      <c r="AC42" s="50"/>
      <c r="AD42" s="20" t="s">
        <v>219</v>
      </c>
    </row>
    <row r="43" spans="21:30" s="18" customFormat="1" ht="15">
      <c r="U43" s="16">
        <v>41</v>
      </c>
      <c r="V43" s="17" t="s">
        <v>220</v>
      </c>
      <c r="W43" s="18" t="s">
        <v>221</v>
      </c>
      <c r="X43" s="18" t="s">
        <v>222</v>
      </c>
      <c r="Y43" s="18" t="s">
        <v>28</v>
      </c>
      <c r="Z43" s="18">
        <v>75082</v>
      </c>
      <c r="AA43" s="18" t="s">
        <v>223</v>
      </c>
      <c r="AB43" s="19"/>
      <c r="AC43" s="19"/>
      <c r="AD43" s="20" t="s">
        <v>224</v>
      </c>
    </row>
    <row r="44" spans="21:30" s="18" customFormat="1" ht="15">
      <c r="U44" s="16">
        <v>42</v>
      </c>
      <c r="V44" s="17" t="s">
        <v>220</v>
      </c>
      <c r="W44" s="18" t="s">
        <v>225</v>
      </c>
      <c r="X44" s="18" t="s">
        <v>47</v>
      </c>
      <c r="Y44" s="18" t="s">
        <v>28</v>
      </c>
      <c r="Z44" s="18">
        <v>75220</v>
      </c>
      <c r="AA44" s="18" t="s">
        <v>226</v>
      </c>
      <c r="AB44" s="19" t="s">
        <v>227</v>
      </c>
      <c r="AC44" s="19"/>
      <c r="AD44" s="20" t="s">
        <v>228</v>
      </c>
    </row>
    <row r="45" spans="21:30" ht="15">
      <c r="U45" s="16">
        <v>43</v>
      </c>
      <c r="V45" s="17" t="s">
        <v>229</v>
      </c>
      <c r="W45" s="18" t="s">
        <v>230</v>
      </c>
      <c r="X45" s="18" t="s">
        <v>47</v>
      </c>
      <c r="Y45" s="18" t="s">
        <v>28</v>
      </c>
      <c r="Z45" s="18">
        <v>75243</v>
      </c>
      <c r="AA45" s="18" t="s">
        <v>231</v>
      </c>
      <c r="AB45" s="19" t="s">
        <v>232</v>
      </c>
      <c r="AC45" s="19"/>
      <c r="AD45" s="20" t="s">
        <v>233</v>
      </c>
    </row>
    <row r="46" spans="21:30" ht="15">
      <c r="U46" s="16">
        <v>44</v>
      </c>
      <c r="V46" s="17" t="s">
        <v>229</v>
      </c>
      <c r="W46" s="18" t="s">
        <v>230</v>
      </c>
      <c r="X46" s="18" t="s">
        <v>47</v>
      </c>
      <c r="Y46" s="18" t="s">
        <v>28</v>
      </c>
      <c r="Z46" s="18">
        <v>75243</v>
      </c>
      <c r="AA46" s="18" t="s">
        <v>234</v>
      </c>
      <c r="AB46" s="19" t="s">
        <v>235</v>
      </c>
      <c r="AC46" s="24" t="s">
        <v>236</v>
      </c>
      <c r="AD46" s="20" t="s">
        <v>237</v>
      </c>
    </row>
    <row r="47" spans="21:30" ht="15">
      <c r="U47" s="16">
        <v>45</v>
      </c>
      <c r="V47" s="17" t="s">
        <v>229</v>
      </c>
      <c r="W47" s="18" t="s">
        <v>230</v>
      </c>
      <c r="X47" s="18" t="s">
        <v>47</v>
      </c>
      <c r="Y47" s="18" t="s">
        <v>28</v>
      </c>
      <c r="Z47" s="18">
        <v>75243</v>
      </c>
      <c r="AA47" s="18" t="s">
        <v>238</v>
      </c>
      <c r="AB47" s="19" t="s">
        <v>232</v>
      </c>
      <c r="AC47" s="24"/>
      <c r="AD47" s="20" t="s">
        <v>239</v>
      </c>
    </row>
    <row r="48" spans="21:30" ht="15">
      <c r="U48" s="16">
        <v>46</v>
      </c>
      <c r="V48" s="17" t="s">
        <v>240</v>
      </c>
      <c r="W48" s="18" t="s">
        <v>241</v>
      </c>
      <c r="X48" s="18" t="s">
        <v>122</v>
      </c>
      <c r="Y48" s="18" t="s">
        <v>28</v>
      </c>
      <c r="Z48" s="18">
        <v>75001</v>
      </c>
      <c r="AA48" s="18" t="s">
        <v>242</v>
      </c>
      <c r="AB48" s="19" t="s">
        <v>243</v>
      </c>
      <c r="AC48" s="24" t="s">
        <v>244</v>
      </c>
      <c r="AD48" s="51" t="s">
        <v>245</v>
      </c>
    </row>
    <row r="49" spans="21:30" ht="15">
      <c r="U49" s="16">
        <v>47</v>
      </c>
      <c r="V49" s="17" t="s">
        <v>246</v>
      </c>
      <c r="W49" s="18" t="s">
        <v>247</v>
      </c>
      <c r="X49" s="18" t="s">
        <v>222</v>
      </c>
      <c r="Y49" s="18" t="s">
        <v>28</v>
      </c>
      <c r="Z49" s="18">
        <v>75039</v>
      </c>
      <c r="AA49" s="18" t="s">
        <v>83</v>
      </c>
      <c r="AB49" s="19" t="s">
        <v>248</v>
      </c>
      <c r="AC49" s="24"/>
      <c r="AD49" s="20" t="s">
        <v>249</v>
      </c>
    </row>
    <row r="50" spans="21:30" ht="15">
      <c r="U50" s="16">
        <v>48</v>
      </c>
      <c r="V50" s="17" t="s">
        <v>246</v>
      </c>
      <c r="W50" s="18" t="s">
        <v>247</v>
      </c>
      <c r="X50" s="18" t="s">
        <v>222</v>
      </c>
      <c r="Y50" s="18" t="s">
        <v>28</v>
      </c>
      <c r="Z50" s="18">
        <v>75039</v>
      </c>
      <c r="AA50" s="18" t="s">
        <v>250</v>
      </c>
      <c r="AB50" s="19" t="s">
        <v>251</v>
      </c>
      <c r="AC50" s="24"/>
      <c r="AD50" s="20" t="s">
        <v>252</v>
      </c>
    </row>
    <row r="51" spans="21:30" ht="15">
      <c r="U51" s="16">
        <v>49</v>
      </c>
      <c r="V51" s="17" t="s">
        <v>253</v>
      </c>
      <c r="W51" s="18" t="s">
        <v>254</v>
      </c>
      <c r="X51" s="18" t="s">
        <v>106</v>
      </c>
      <c r="Y51" s="18" t="s">
        <v>28</v>
      </c>
      <c r="Z51" s="18">
        <v>78704</v>
      </c>
      <c r="AA51" s="18" t="s">
        <v>255</v>
      </c>
      <c r="AB51" s="19" t="s">
        <v>256</v>
      </c>
      <c r="AC51" s="24"/>
      <c r="AD51" s="20" t="s">
        <v>257</v>
      </c>
    </row>
    <row r="52" spans="21:30" ht="15">
      <c r="U52" s="16">
        <v>50</v>
      </c>
      <c r="V52" s="17" t="s">
        <v>258</v>
      </c>
      <c r="W52" s="18" t="s">
        <v>259</v>
      </c>
      <c r="X52" s="18" t="s">
        <v>122</v>
      </c>
      <c r="Y52" s="18" t="s">
        <v>28</v>
      </c>
      <c r="Z52" s="18">
        <v>75001</v>
      </c>
      <c r="AA52" s="18" t="s">
        <v>260</v>
      </c>
      <c r="AB52" s="19" t="s">
        <v>261</v>
      </c>
      <c r="AC52" s="19"/>
      <c r="AD52" s="20" t="s">
        <v>262</v>
      </c>
    </row>
    <row r="53" spans="21:30" ht="15">
      <c r="U53" s="16">
        <v>51</v>
      </c>
      <c r="V53" s="17" t="s">
        <v>258</v>
      </c>
      <c r="W53" s="18" t="s">
        <v>263</v>
      </c>
      <c r="X53" s="18" t="s">
        <v>122</v>
      </c>
      <c r="Y53" s="18" t="s">
        <v>28</v>
      </c>
      <c r="Z53" s="18">
        <v>75001</v>
      </c>
      <c r="AA53" s="18" t="s">
        <v>264</v>
      </c>
      <c r="AB53" s="19" t="s">
        <v>261</v>
      </c>
      <c r="AC53" s="19"/>
      <c r="AD53" s="20" t="s">
        <v>265</v>
      </c>
    </row>
    <row r="54" spans="21:30" ht="15">
      <c r="U54" s="16">
        <v>52</v>
      </c>
      <c r="V54" s="17" t="s">
        <v>258</v>
      </c>
      <c r="W54" s="18" t="s">
        <v>263</v>
      </c>
      <c r="X54" s="18" t="s">
        <v>122</v>
      </c>
      <c r="Y54" s="18" t="s">
        <v>28</v>
      </c>
      <c r="Z54" s="18">
        <v>75001</v>
      </c>
      <c r="AA54" s="18" t="s">
        <v>266</v>
      </c>
      <c r="AB54" s="19"/>
      <c r="AC54" s="24"/>
      <c r="AD54" s="20" t="s">
        <v>267</v>
      </c>
    </row>
    <row r="55" spans="21:30" ht="15">
      <c r="U55" s="16">
        <v>53</v>
      </c>
      <c r="V55" s="17" t="s">
        <v>268</v>
      </c>
      <c r="W55" s="18" t="s">
        <v>269</v>
      </c>
      <c r="X55" s="18" t="s">
        <v>270</v>
      </c>
      <c r="Y55" s="18" t="s">
        <v>28</v>
      </c>
      <c r="Z55" s="18">
        <v>76205</v>
      </c>
      <c r="AA55" s="18" t="s">
        <v>271</v>
      </c>
      <c r="AB55" s="19" t="s">
        <v>272</v>
      </c>
      <c r="AC55" s="24" t="s">
        <v>273</v>
      </c>
      <c r="AD55" s="20" t="s">
        <v>274</v>
      </c>
    </row>
    <row r="56" spans="21:30" ht="15">
      <c r="U56" s="16">
        <v>54</v>
      </c>
      <c r="V56" s="17" t="s">
        <v>275</v>
      </c>
      <c r="W56" s="18" t="s">
        <v>276</v>
      </c>
      <c r="X56" s="18" t="s">
        <v>122</v>
      </c>
      <c r="Y56" s="18" t="s">
        <v>28</v>
      </c>
      <c r="Z56" s="18">
        <v>75001</v>
      </c>
      <c r="AA56" s="18" t="s">
        <v>277</v>
      </c>
      <c r="AB56" s="19" t="s">
        <v>278</v>
      </c>
      <c r="AC56" s="19"/>
      <c r="AD56" s="20" t="s">
        <v>279</v>
      </c>
    </row>
    <row r="57" spans="21:30" ht="15">
      <c r="U57" s="16">
        <v>55</v>
      </c>
      <c r="V57" s="17" t="s">
        <v>275</v>
      </c>
      <c r="W57" s="18" t="s">
        <v>276</v>
      </c>
      <c r="X57" s="18" t="s">
        <v>122</v>
      </c>
      <c r="Y57" s="18" t="s">
        <v>28</v>
      </c>
      <c r="Z57" s="18">
        <v>75001</v>
      </c>
      <c r="AA57" s="18" t="s">
        <v>280</v>
      </c>
      <c r="AB57" s="19" t="s">
        <v>281</v>
      </c>
      <c r="AC57" s="24"/>
      <c r="AD57" s="20" t="s">
        <v>282</v>
      </c>
    </row>
    <row r="58" spans="21:30" ht="15">
      <c r="U58" s="16">
        <v>56</v>
      </c>
      <c r="V58" s="17" t="s">
        <v>283</v>
      </c>
      <c r="W58" s="18" t="s">
        <v>284</v>
      </c>
      <c r="X58" s="18" t="s">
        <v>122</v>
      </c>
      <c r="Y58" s="18" t="s">
        <v>28</v>
      </c>
      <c r="Z58" s="18">
        <v>75001</v>
      </c>
      <c r="AA58" s="18" t="s">
        <v>285</v>
      </c>
      <c r="AB58" s="19" t="s">
        <v>286</v>
      </c>
      <c r="AC58" s="24"/>
      <c r="AD58" s="20" t="s">
        <v>287</v>
      </c>
    </row>
    <row r="59" spans="21:30" ht="15">
      <c r="U59" s="16">
        <v>57</v>
      </c>
      <c r="V59" s="17" t="s">
        <v>288</v>
      </c>
      <c r="W59" s="18" t="s">
        <v>289</v>
      </c>
      <c r="X59" s="18" t="s">
        <v>47</v>
      </c>
      <c r="Y59" s="18" t="s">
        <v>28</v>
      </c>
      <c r="Z59" s="18">
        <v>75206</v>
      </c>
      <c r="AA59" s="18" t="s">
        <v>290</v>
      </c>
      <c r="AB59" s="19" t="s">
        <v>291</v>
      </c>
      <c r="AC59" s="24"/>
      <c r="AD59" s="20" t="s">
        <v>292</v>
      </c>
    </row>
    <row r="60" spans="21:30" ht="15">
      <c r="U60" s="16">
        <v>58</v>
      </c>
      <c r="V60" s="17" t="s">
        <v>293</v>
      </c>
      <c r="W60" s="18" t="s">
        <v>294</v>
      </c>
      <c r="X60" s="18" t="s">
        <v>295</v>
      </c>
      <c r="Y60" s="18" t="s">
        <v>296</v>
      </c>
      <c r="Z60" s="18">
        <v>33311</v>
      </c>
      <c r="AA60" s="18" t="s">
        <v>297</v>
      </c>
      <c r="AB60" s="19" t="s">
        <v>298</v>
      </c>
      <c r="AC60" s="24"/>
      <c r="AD60" s="20" t="s">
        <v>299</v>
      </c>
    </row>
    <row r="61" spans="21:30" ht="15">
      <c r="U61" s="16">
        <v>59</v>
      </c>
      <c r="V61" s="17" t="s">
        <v>293</v>
      </c>
      <c r="W61" s="18" t="s">
        <v>294</v>
      </c>
      <c r="X61" s="18" t="s">
        <v>295</v>
      </c>
      <c r="Y61" s="18" t="s">
        <v>296</v>
      </c>
      <c r="Z61" s="18">
        <v>33311</v>
      </c>
      <c r="AA61" s="18" t="s">
        <v>300</v>
      </c>
      <c r="AB61" s="19" t="s">
        <v>301</v>
      </c>
      <c r="AC61" s="24"/>
      <c r="AD61" s="20" t="s">
        <v>302</v>
      </c>
    </row>
    <row r="62" spans="21:30" ht="15">
      <c r="U62" s="16">
        <v>60</v>
      </c>
      <c r="V62" s="17" t="s">
        <v>303</v>
      </c>
      <c r="W62" s="18" t="s">
        <v>304</v>
      </c>
      <c r="X62" s="18" t="s">
        <v>201</v>
      </c>
      <c r="Y62" s="18" t="s">
        <v>28</v>
      </c>
      <c r="Z62" s="18">
        <v>76190</v>
      </c>
      <c r="AA62" s="18" t="s">
        <v>305</v>
      </c>
      <c r="AB62" s="19" t="s">
        <v>306</v>
      </c>
      <c r="AC62" s="24"/>
      <c r="AD62" s="20" t="s">
        <v>307</v>
      </c>
    </row>
    <row r="63" spans="21:30" ht="15">
      <c r="U63" s="16">
        <v>61</v>
      </c>
      <c r="V63" s="17" t="s">
        <v>308</v>
      </c>
      <c r="W63" s="18" t="s">
        <v>309</v>
      </c>
      <c r="X63" s="18" t="s">
        <v>222</v>
      </c>
      <c r="Y63" s="18" t="s">
        <v>28</v>
      </c>
      <c r="Z63" s="18">
        <v>75081</v>
      </c>
      <c r="AA63" s="18" t="s">
        <v>310</v>
      </c>
      <c r="AB63" s="19" t="s">
        <v>311</v>
      </c>
      <c r="AC63" s="24"/>
      <c r="AD63" s="20" t="s">
        <v>312</v>
      </c>
    </row>
    <row r="64" spans="21:30" ht="15">
      <c r="U64" s="16">
        <v>62</v>
      </c>
      <c r="V64" s="17" t="s">
        <v>313</v>
      </c>
      <c r="W64" s="18" t="s">
        <v>314</v>
      </c>
      <c r="X64" s="18" t="s">
        <v>188</v>
      </c>
      <c r="Y64" s="18" t="s">
        <v>28</v>
      </c>
      <c r="Z64" s="18">
        <v>78216</v>
      </c>
      <c r="AA64" s="18" t="s">
        <v>315</v>
      </c>
      <c r="AB64" s="19" t="s">
        <v>316</v>
      </c>
      <c r="AC64" s="24"/>
      <c r="AD64" s="20" t="s">
        <v>317</v>
      </c>
    </row>
    <row r="65" spans="21:30" ht="15">
      <c r="U65" s="16">
        <v>63</v>
      </c>
      <c r="V65" s="17" t="s">
        <v>318</v>
      </c>
      <c r="W65" s="18" t="s">
        <v>319</v>
      </c>
      <c r="X65" s="18" t="s">
        <v>47</v>
      </c>
      <c r="Y65" s="18" t="s">
        <v>28</v>
      </c>
      <c r="Z65" s="18">
        <v>78747</v>
      </c>
      <c r="AA65" s="18" t="s">
        <v>320</v>
      </c>
      <c r="AB65" s="19" t="s">
        <v>321</v>
      </c>
      <c r="AC65" s="19"/>
      <c r="AD65" s="20" t="s">
        <v>322</v>
      </c>
    </row>
    <row r="66" spans="21:30" ht="15">
      <c r="U66" s="16">
        <v>64</v>
      </c>
      <c r="V66" s="17" t="s">
        <v>318</v>
      </c>
      <c r="W66" s="18" t="s">
        <v>323</v>
      </c>
      <c r="X66" s="18" t="s">
        <v>47</v>
      </c>
      <c r="Y66" s="18" t="s">
        <v>28</v>
      </c>
      <c r="Z66" s="18">
        <v>78746</v>
      </c>
      <c r="AA66" s="18" t="s">
        <v>324</v>
      </c>
      <c r="AB66" s="19" t="s">
        <v>325</v>
      </c>
      <c r="AC66" s="19"/>
      <c r="AD66" s="20" t="s">
        <v>326</v>
      </c>
    </row>
    <row r="67" spans="21:30" ht="15">
      <c r="U67" s="16">
        <v>65</v>
      </c>
      <c r="V67" s="17" t="s">
        <v>318</v>
      </c>
      <c r="W67" s="18" t="s">
        <v>323</v>
      </c>
      <c r="X67" s="18" t="s">
        <v>47</v>
      </c>
      <c r="Y67" s="18" t="s">
        <v>28</v>
      </c>
      <c r="Z67" s="18">
        <v>78746</v>
      </c>
      <c r="AA67" s="18" t="s">
        <v>327</v>
      </c>
      <c r="AB67" s="19" t="s">
        <v>328</v>
      </c>
      <c r="AC67" s="24"/>
      <c r="AD67" s="20" t="s">
        <v>329</v>
      </c>
    </row>
    <row r="68" spans="21:30" ht="15">
      <c r="U68" s="16">
        <v>66</v>
      </c>
      <c r="V68" s="17" t="s">
        <v>330</v>
      </c>
      <c r="W68" s="18" t="s">
        <v>331</v>
      </c>
      <c r="X68" s="18" t="s">
        <v>47</v>
      </c>
      <c r="Y68" s="18" t="s">
        <v>28</v>
      </c>
      <c r="Z68" s="18">
        <v>75231</v>
      </c>
      <c r="AA68" s="18" t="s">
        <v>332</v>
      </c>
      <c r="AB68" s="19" t="s">
        <v>333</v>
      </c>
      <c r="AC68" s="19"/>
      <c r="AD68" s="20" t="s">
        <v>334</v>
      </c>
    </row>
    <row r="69" spans="21:30" ht="15">
      <c r="U69" s="16">
        <v>67</v>
      </c>
      <c r="V69" s="17" t="s">
        <v>330</v>
      </c>
      <c r="W69" s="18" t="s">
        <v>331</v>
      </c>
      <c r="X69" s="18" t="s">
        <v>47</v>
      </c>
      <c r="Y69" s="18" t="s">
        <v>28</v>
      </c>
      <c r="Z69" s="18">
        <v>75231</v>
      </c>
      <c r="AA69" s="18" t="s">
        <v>335</v>
      </c>
      <c r="AB69" s="19" t="s">
        <v>336</v>
      </c>
      <c r="AC69" s="24"/>
      <c r="AD69" s="20" t="s">
        <v>337</v>
      </c>
    </row>
    <row r="70" spans="21:30" ht="15">
      <c r="U70" s="16">
        <v>68</v>
      </c>
      <c r="V70" s="17" t="s">
        <v>330</v>
      </c>
      <c r="W70" s="18" t="s">
        <v>331</v>
      </c>
      <c r="X70" s="18" t="s">
        <v>47</v>
      </c>
      <c r="Y70" s="18" t="s">
        <v>28</v>
      </c>
      <c r="Z70" s="18">
        <v>75231</v>
      </c>
      <c r="AA70" s="18" t="s">
        <v>338</v>
      </c>
      <c r="AB70" s="19" t="s">
        <v>339</v>
      </c>
      <c r="AC70" s="24"/>
      <c r="AD70" s="20" t="s">
        <v>340</v>
      </c>
    </row>
    <row r="71" spans="21:30" ht="15">
      <c r="U71" s="16">
        <v>69</v>
      </c>
      <c r="V71" s="17" t="s">
        <v>330</v>
      </c>
      <c r="W71" s="18" t="s">
        <v>331</v>
      </c>
      <c r="X71" s="18" t="s">
        <v>47</v>
      </c>
      <c r="Y71" s="18" t="s">
        <v>28</v>
      </c>
      <c r="Z71" s="18">
        <v>75231</v>
      </c>
      <c r="AA71" s="18" t="s">
        <v>341</v>
      </c>
      <c r="AB71" s="19" t="s">
        <v>342</v>
      </c>
      <c r="AC71" s="24"/>
      <c r="AD71" s="20" t="s">
        <v>343</v>
      </c>
    </row>
    <row r="72" spans="21:30" ht="15">
      <c r="U72" s="16">
        <v>70</v>
      </c>
      <c r="V72" s="17" t="s">
        <v>330</v>
      </c>
      <c r="W72" s="18" t="s">
        <v>331</v>
      </c>
      <c r="X72" s="18" t="s">
        <v>47</v>
      </c>
      <c r="Y72" s="18" t="s">
        <v>28</v>
      </c>
      <c r="Z72" s="18">
        <v>75231</v>
      </c>
      <c r="AA72" s="18" t="s">
        <v>344</v>
      </c>
      <c r="AB72" s="19" t="s">
        <v>345</v>
      </c>
      <c r="AC72" s="24"/>
      <c r="AD72" s="20" t="s">
        <v>346</v>
      </c>
    </row>
    <row r="73" spans="21:30" ht="15">
      <c r="U73" s="16">
        <v>71</v>
      </c>
      <c r="V73" s="17" t="s">
        <v>347</v>
      </c>
      <c r="W73" s="18" t="s">
        <v>348</v>
      </c>
      <c r="X73" s="18" t="s">
        <v>349</v>
      </c>
      <c r="Y73" s="18" t="s">
        <v>28</v>
      </c>
      <c r="Z73" s="18">
        <v>76051</v>
      </c>
      <c r="AA73" s="18" t="s">
        <v>350</v>
      </c>
      <c r="AB73" s="19" t="s">
        <v>351</v>
      </c>
      <c r="AC73" s="19"/>
      <c r="AD73" s="52" t="s">
        <v>352</v>
      </c>
    </row>
    <row r="74" spans="21:30" ht="15">
      <c r="U74" s="16">
        <v>72</v>
      </c>
      <c r="V74" s="17" t="s">
        <v>347</v>
      </c>
      <c r="W74" s="18" t="s">
        <v>348</v>
      </c>
      <c r="X74" s="18" t="s">
        <v>349</v>
      </c>
      <c r="Y74" s="18" t="s">
        <v>28</v>
      </c>
      <c r="Z74" s="18">
        <v>76051</v>
      </c>
      <c r="AA74" s="18" t="s">
        <v>353</v>
      </c>
      <c r="AB74" s="19" t="s">
        <v>351</v>
      </c>
      <c r="AC74" s="19"/>
      <c r="AD74" s="20" t="s">
        <v>354</v>
      </c>
    </row>
    <row r="75" spans="21:30" ht="15">
      <c r="U75" s="16">
        <v>73</v>
      </c>
      <c r="V75" s="17" t="s">
        <v>347</v>
      </c>
      <c r="W75" s="18" t="s">
        <v>348</v>
      </c>
      <c r="X75" s="18" t="s">
        <v>349</v>
      </c>
      <c r="Y75" s="18" t="s">
        <v>28</v>
      </c>
      <c r="Z75" s="18">
        <v>76051</v>
      </c>
      <c r="AA75" s="18" t="s">
        <v>355</v>
      </c>
      <c r="AB75" s="19" t="s">
        <v>351</v>
      </c>
      <c r="AC75" s="24"/>
      <c r="AD75" s="20" t="s">
        <v>356</v>
      </c>
    </row>
    <row r="76" spans="21:30" ht="15">
      <c r="U76" s="16">
        <v>74</v>
      </c>
      <c r="V76" s="17" t="s">
        <v>357</v>
      </c>
      <c r="W76" s="18" t="s">
        <v>358</v>
      </c>
      <c r="X76" s="18" t="s">
        <v>122</v>
      </c>
      <c r="Y76" s="18" t="s">
        <v>28</v>
      </c>
      <c r="Z76" s="18">
        <v>75001</v>
      </c>
      <c r="AA76" s="18" t="s">
        <v>359</v>
      </c>
      <c r="AB76" s="19" t="s">
        <v>360</v>
      </c>
      <c r="AC76" s="24"/>
      <c r="AD76" s="20" t="s">
        <v>361</v>
      </c>
    </row>
    <row r="77" spans="21:30" ht="15">
      <c r="U77" s="16">
        <v>75</v>
      </c>
      <c r="V77" s="17" t="s">
        <v>362</v>
      </c>
      <c r="W77" s="18" t="s">
        <v>363</v>
      </c>
      <c r="X77" s="18" t="s">
        <v>47</v>
      </c>
      <c r="Y77" s="18" t="s">
        <v>28</v>
      </c>
      <c r="Z77" s="18">
        <v>75254</v>
      </c>
      <c r="AA77" s="18" t="s">
        <v>364</v>
      </c>
      <c r="AB77" s="19" t="s">
        <v>365</v>
      </c>
      <c r="AC77" s="24"/>
      <c r="AD77" s="20" t="s">
        <v>366</v>
      </c>
    </row>
    <row r="78" spans="21:30" ht="15">
      <c r="U78" s="16">
        <v>76</v>
      </c>
      <c r="V78" s="17" t="s">
        <v>362</v>
      </c>
      <c r="W78" s="18" t="s">
        <v>363</v>
      </c>
      <c r="X78" s="18" t="s">
        <v>47</v>
      </c>
      <c r="Y78" s="18" t="s">
        <v>28</v>
      </c>
      <c r="Z78" s="18">
        <v>75254</v>
      </c>
      <c r="AA78" s="18" t="s">
        <v>367</v>
      </c>
      <c r="AB78" s="19" t="s">
        <v>368</v>
      </c>
      <c r="AC78" s="24"/>
      <c r="AD78" s="20" t="s">
        <v>369</v>
      </c>
    </row>
    <row r="79" spans="21:30" ht="15">
      <c r="U79" s="16">
        <v>77</v>
      </c>
      <c r="V79" s="17" t="s">
        <v>362</v>
      </c>
      <c r="W79" s="18" t="s">
        <v>363</v>
      </c>
      <c r="X79" s="18" t="s">
        <v>47</v>
      </c>
      <c r="Y79" s="18" t="s">
        <v>28</v>
      </c>
      <c r="Z79" s="18">
        <v>75254</v>
      </c>
      <c r="AA79" s="18" t="s">
        <v>370</v>
      </c>
      <c r="AB79" s="19" t="s">
        <v>371</v>
      </c>
      <c r="AC79" s="24"/>
      <c r="AD79" s="20" t="s">
        <v>372</v>
      </c>
    </row>
    <row r="80" spans="21:30" ht="15">
      <c r="U80" s="16">
        <v>78</v>
      </c>
      <c r="V80" s="17" t="s">
        <v>373</v>
      </c>
      <c r="W80" s="18" t="s">
        <v>374</v>
      </c>
      <c r="X80" s="18" t="s">
        <v>180</v>
      </c>
      <c r="Y80" s="18" t="s">
        <v>28</v>
      </c>
      <c r="Z80" s="18">
        <v>75038</v>
      </c>
      <c r="AA80" s="18" t="s">
        <v>375</v>
      </c>
      <c r="AB80" s="19" t="s">
        <v>376</v>
      </c>
      <c r="AC80" s="24"/>
      <c r="AD80" s="20" t="s">
        <v>377</v>
      </c>
    </row>
    <row r="81" spans="21:30" ht="15">
      <c r="U81" s="16">
        <v>79</v>
      </c>
      <c r="V81" s="17" t="s">
        <v>373</v>
      </c>
      <c r="W81" s="18" t="s">
        <v>374</v>
      </c>
      <c r="X81" s="18" t="s">
        <v>180</v>
      </c>
      <c r="Y81" s="18" t="s">
        <v>28</v>
      </c>
      <c r="Z81" s="18">
        <v>75038</v>
      </c>
      <c r="AA81" s="18" t="s">
        <v>378</v>
      </c>
      <c r="AB81" s="19"/>
      <c r="AC81" s="24"/>
      <c r="AD81" s="20" t="s">
        <v>379</v>
      </c>
    </row>
    <row r="82" spans="21:30" ht="15">
      <c r="U82" s="16">
        <v>80</v>
      </c>
      <c r="V82" s="17" t="s">
        <v>373</v>
      </c>
      <c r="W82" s="18" t="s">
        <v>374</v>
      </c>
      <c r="X82" s="18" t="s">
        <v>180</v>
      </c>
      <c r="Y82" s="18" t="s">
        <v>28</v>
      </c>
      <c r="Z82" s="18">
        <v>75038</v>
      </c>
      <c r="AA82" s="18" t="s">
        <v>380</v>
      </c>
      <c r="AB82" s="19"/>
      <c r="AC82" s="24"/>
      <c r="AD82" s="20" t="s">
        <v>381</v>
      </c>
    </row>
    <row r="83" spans="21:30" ht="15">
      <c r="U83" s="16">
        <v>81</v>
      </c>
      <c r="V83" s="17" t="s">
        <v>382</v>
      </c>
      <c r="W83" s="18" t="s">
        <v>383</v>
      </c>
      <c r="X83" s="18" t="s">
        <v>47</v>
      </c>
      <c r="Y83" s="18" t="s">
        <v>28</v>
      </c>
      <c r="Z83" s="18">
        <v>75206</v>
      </c>
      <c r="AA83" s="18" t="s">
        <v>367</v>
      </c>
      <c r="AB83" s="19" t="s">
        <v>368</v>
      </c>
      <c r="AC83" s="24"/>
      <c r="AD83" s="20" t="s">
        <v>369</v>
      </c>
    </row>
    <row r="84" spans="21:30" ht="15">
      <c r="U84" s="16">
        <v>82</v>
      </c>
      <c r="V84" s="17" t="s">
        <v>384</v>
      </c>
      <c r="W84" s="18" t="s">
        <v>385</v>
      </c>
      <c r="X84" s="18" t="s">
        <v>386</v>
      </c>
      <c r="Y84" s="18" t="s">
        <v>28</v>
      </c>
      <c r="Z84" s="18">
        <v>75075</v>
      </c>
      <c r="AA84" s="18" t="s">
        <v>387</v>
      </c>
      <c r="AB84" s="19" t="s">
        <v>388</v>
      </c>
      <c r="AC84" s="19"/>
      <c r="AD84" s="20" t="s">
        <v>389</v>
      </c>
    </row>
    <row r="85" spans="21:30" ht="15">
      <c r="U85" s="16">
        <v>83</v>
      </c>
      <c r="V85" s="17" t="s">
        <v>390</v>
      </c>
      <c r="W85" s="18" t="s">
        <v>391</v>
      </c>
      <c r="X85" s="18" t="s">
        <v>392</v>
      </c>
      <c r="Y85" s="18" t="s">
        <v>28</v>
      </c>
      <c r="Z85" s="18">
        <v>76542</v>
      </c>
      <c r="AA85" s="18" t="s">
        <v>393</v>
      </c>
      <c r="AB85" s="19"/>
      <c r="AC85" s="24"/>
      <c r="AD85" s="20" t="s">
        <v>394</v>
      </c>
    </row>
    <row r="86" spans="21:30" ht="15">
      <c r="U86" s="16">
        <v>84</v>
      </c>
      <c r="V86" s="17" t="s">
        <v>395</v>
      </c>
      <c r="W86" s="18" t="s">
        <v>396</v>
      </c>
      <c r="X86" s="18" t="s">
        <v>106</v>
      </c>
      <c r="Y86" s="18" t="s">
        <v>28</v>
      </c>
      <c r="Z86" s="18">
        <v>78745</v>
      </c>
      <c r="AA86" s="18" t="s">
        <v>238</v>
      </c>
      <c r="AB86" s="19"/>
      <c r="AC86" s="24"/>
      <c r="AD86" s="20" t="s">
        <v>397</v>
      </c>
    </row>
    <row r="87" spans="21:30" ht="15">
      <c r="U87" s="16">
        <v>85</v>
      </c>
      <c r="V87" s="17" t="s">
        <v>398</v>
      </c>
      <c r="W87" s="18" t="s">
        <v>399</v>
      </c>
      <c r="X87" s="18" t="s">
        <v>142</v>
      </c>
      <c r="Y87" s="18" t="s">
        <v>28</v>
      </c>
      <c r="Z87" s="18">
        <v>75238</v>
      </c>
      <c r="AA87" s="18" t="s">
        <v>400</v>
      </c>
      <c r="AB87" s="19" t="s">
        <v>401</v>
      </c>
      <c r="AC87" s="24"/>
      <c r="AD87" s="20" t="s">
        <v>402</v>
      </c>
    </row>
    <row r="88" spans="21:30" ht="15">
      <c r="U88" s="16">
        <v>86</v>
      </c>
      <c r="V88" s="17" t="s">
        <v>398</v>
      </c>
      <c r="W88" s="18" t="s">
        <v>399</v>
      </c>
      <c r="X88" s="18" t="s">
        <v>142</v>
      </c>
      <c r="Y88" s="18" t="s">
        <v>28</v>
      </c>
      <c r="Z88" s="18">
        <v>75238</v>
      </c>
      <c r="AA88" s="18" t="s">
        <v>403</v>
      </c>
      <c r="AB88" s="19" t="s">
        <v>401</v>
      </c>
      <c r="AC88" s="24"/>
      <c r="AD88" s="20" t="s">
        <v>404</v>
      </c>
    </row>
    <row r="89" spans="21:30" ht="15">
      <c r="U89" s="16">
        <v>87</v>
      </c>
      <c r="V89" s="17" t="s">
        <v>405</v>
      </c>
      <c r="W89" s="18" t="s">
        <v>406</v>
      </c>
      <c r="X89" s="18" t="s">
        <v>47</v>
      </c>
      <c r="Y89" s="18" t="s">
        <v>28</v>
      </c>
      <c r="Z89" s="18">
        <v>75204</v>
      </c>
      <c r="AA89" s="18" t="s">
        <v>407</v>
      </c>
      <c r="AB89" s="19" t="s">
        <v>408</v>
      </c>
      <c r="AC89" s="19"/>
      <c r="AD89" s="20" t="s">
        <v>409</v>
      </c>
    </row>
    <row r="90" spans="21:30" ht="15">
      <c r="U90" s="16">
        <v>88</v>
      </c>
      <c r="V90" s="17" t="s">
        <v>410</v>
      </c>
      <c r="W90" s="18" t="s">
        <v>411</v>
      </c>
      <c r="X90" s="18" t="s">
        <v>112</v>
      </c>
      <c r="Y90" s="18" t="s">
        <v>28</v>
      </c>
      <c r="Z90" s="18">
        <v>77024</v>
      </c>
      <c r="AA90" s="18" t="s">
        <v>412</v>
      </c>
      <c r="AB90" s="19" t="s">
        <v>413</v>
      </c>
      <c r="AC90" s="24"/>
      <c r="AD90" s="20" t="s">
        <v>414</v>
      </c>
    </row>
    <row r="91" spans="21:30" ht="15">
      <c r="U91" s="16">
        <v>89</v>
      </c>
      <c r="V91" s="17" t="s">
        <v>410</v>
      </c>
      <c r="W91" s="18" t="s">
        <v>411</v>
      </c>
      <c r="X91" s="18" t="s">
        <v>112</v>
      </c>
      <c r="Y91" s="18" t="s">
        <v>28</v>
      </c>
      <c r="Z91" s="18">
        <v>77024</v>
      </c>
      <c r="AA91" s="18" t="s">
        <v>415</v>
      </c>
      <c r="AB91" s="19" t="s">
        <v>413</v>
      </c>
      <c r="AC91" s="24"/>
      <c r="AD91" s="20" t="s">
        <v>416</v>
      </c>
    </row>
    <row r="92" spans="21:30" ht="15">
      <c r="U92" s="16">
        <v>90</v>
      </c>
      <c r="V92" s="17" t="s">
        <v>410</v>
      </c>
      <c r="W92" s="18" t="s">
        <v>411</v>
      </c>
      <c r="X92" s="18" t="s">
        <v>112</v>
      </c>
      <c r="Y92" s="18" t="s">
        <v>28</v>
      </c>
      <c r="Z92" s="18">
        <v>77024</v>
      </c>
      <c r="AA92" s="18" t="s">
        <v>417</v>
      </c>
      <c r="AB92" s="19" t="s">
        <v>413</v>
      </c>
      <c r="AC92" s="24"/>
      <c r="AD92" s="20" t="s">
        <v>418</v>
      </c>
    </row>
    <row r="93" spans="21:30" ht="15">
      <c r="U93" s="16">
        <v>91</v>
      </c>
      <c r="V93" s="17" t="s">
        <v>410</v>
      </c>
      <c r="W93" s="18" t="s">
        <v>411</v>
      </c>
      <c r="X93" s="18" t="s">
        <v>112</v>
      </c>
      <c r="Y93" s="18" t="s">
        <v>28</v>
      </c>
      <c r="Z93" s="18">
        <v>77024</v>
      </c>
      <c r="AA93" s="18" t="s">
        <v>419</v>
      </c>
      <c r="AB93" s="19" t="s">
        <v>413</v>
      </c>
      <c r="AC93" s="24"/>
      <c r="AD93" s="20" t="s">
        <v>420</v>
      </c>
    </row>
    <row r="94" spans="21:30" ht="15">
      <c r="U94" s="16">
        <v>92</v>
      </c>
      <c r="V94" s="17" t="s">
        <v>421</v>
      </c>
      <c r="W94" s="18" t="s">
        <v>422</v>
      </c>
      <c r="X94" s="18" t="s">
        <v>142</v>
      </c>
      <c r="Y94" s="18" t="s">
        <v>28</v>
      </c>
      <c r="Z94" s="18">
        <v>75225</v>
      </c>
      <c r="AA94" s="18" t="s">
        <v>423</v>
      </c>
      <c r="AB94" s="19" t="s">
        <v>424</v>
      </c>
      <c r="AC94" s="24"/>
      <c r="AD94" s="20" t="s">
        <v>425</v>
      </c>
    </row>
    <row r="95" spans="21:30" ht="15">
      <c r="U95" s="16">
        <v>93</v>
      </c>
      <c r="V95" s="17" t="s">
        <v>426</v>
      </c>
      <c r="W95" s="18" t="s">
        <v>427</v>
      </c>
      <c r="X95" s="18" t="s">
        <v>428</v>
      </c>
      <c r="Y95" s="18" t="s">
        <v>28</v>
      </c>
      <c r="Z95" s="18">
        <v>75081</v>
      </c>
      <c r="AA95" s="18" t="s">
        <v>429</v>
      </c>
      <c r="AB95" s="19" t="s">
        <v>430</v>
      </c>
      <c r="AC95" s="24"/>
      <c r="AD95" s="20" t="s">
        <v>431</v>
      </c>
    </row>
    <row r="96" spans="21:30" ht="15">
      <c r="U96" s="16">
        <v>94</v>
      </c>
      <c r="V96" s="17" t="s">
        <v>426</v>
      </c>
      <c r="W96" s="18" t="s">
        <v>427</v>
      </c>
      <c r="X96" s="18" t="s">
        <v>428</v>
      </c>
      <c r="Y96" s="18" t="s">
        <v>28</v>
      </c>
      <c r="Z96" s="18">
        <v>75081</v>
      </c>
      <c r="AA96" s="18" t="s">
        <v>432</v>
      </c>
      <c r="AB96" s="19" t="s">
        <v>433</v>
      </c>
      <c r="AC96" s="24"/>
      <c r="AD96" s="20" t="s">
        <v>434</v>
      </c>
    </row>
    <row r="97" spans="21:30" ht="15">
      <c r="U97" s="16">
        <v>95</v>
      </c>
      <c r="V97" s="17" t="s">
        <v>435</v>
      </c>
      <c r="W97" s="18" t="s">
        <v>436</v>
      </c>
      <c r="X97" s="18" t="s">
        <v>159</v>
      </c>
      <c r="Y97" s="18" t="s">
        <v>28</v>
      </c>
      <c r="Z97" s="18">
        <v>75087</v>
      </c>
      <c r="AA97" s="18" t="s">
        <v>437</v>
      </c>
      <c r="AB97" s="19" t="s">
        <v>438</v>
      </c>
      <c r="AC97" s="24"/>
      <c r="AD97" s="20" t="s">
        <v>439</v>
      </c>
    </row>
    <row r="98" spans="21:30" ht="15">
      <c r="U98" s="16">
        <v>96</v>
      </c>
      <c r="V98" s="17" t="s">
        <v>440</v>
      </c>
      <c r="W98" s="18" t="s">
        <v>441</v>
      </c>
      <c r="X98" s="18" t="s">
        <v>47</v>
      </c>
      <c r="Y98" s="18" t="s">
        <v>28</v>
      </c>
      <c r="Z98" s="18">
        <v>75201</v>
      </c>
      <c r="AA98" s="18" t="s">
        <v>442</v>
      </c>
      <c r="AB98" s="19" t="s">
        <v>443</v>
      </c>
      <c r="AC98" s="24"/>
      <c r="AD98" s="20" t="s">
        <v>444</v>
      </c>
    </row>
    <row r="99" spans="21:30" ht="15">
      <c r="U99" s="16">
        <v>97</v>
      </c>
      <c r="V99" s="17" t="s">
        <v>440</v>
      </c>
      <c r="W99" s="18" t="s">
        <v>441</v>
      </c>
      <c r="X99" s="18" t="s">
        <v>47</v>
      </c>
      <c r="Y99" s="18" t="s">
        <v>28</v>
      </c>
      <c r="Z99" s="18">
        <v>75201</v>
      </c>
      <c r="AA99" s="18" t="s">
        <v>445</v>
      </c>
      <c r="AB99" s="19" t="s">
        <v>443</v>
      </c>
      <c r="AC99" s="24"/>
      <c r="AD99" s="20" t="s">
        <v>446</v>
      </c>
    </row>
    <row r="100" spans="21:30" ht="15">
      <c r="U100" s="16">
        <v>98</v>
      </c>
      <c r="V100" s="17" t="s">
        <v>447</v>
      </c>
      <c r="W100" s="18" t="s">
        <v>448</v>
      </c>
      <c r="X100" s="18" t="s">
        <v>47</v>
      </c>
      <c r="Y100" s="18" t="s">
        <v>28</v>
      </c>
      <c r="Z100" s="18">
        <v>75252</v>
      </c>
      <c r="AA100" s="18" t="s">
        <v>449</v>
      </c>
      <c r="AB100" s="19" t="s">
        <v>450</v>
      </c>
      <c r="AC100" s="19"/>
      <c r="AD100" s="20" t="s">
        <v>451</v>
      </c>
    </row>
    <row r="101" spans="21:30" ht="15">
      <c r="U101" s="16">
        <v>99</v>
      </c>
      <c r="V101" s="17" t="s">
        <v>447</v>
      </c>
      <c r="W101" s="18" t="s">
        <v>448</v>
      </c>
      <c r="X101" s="18" t="s">
        <v>47</v>
      </c>
      <c r="Y101" s="18" t="s">
        <v>28</v>
      </c>
      <c r="Z101" s="18">
        <v>75252</v>
      </c>
      <c r="AA101" s="18" t="s">
        <v>452</v>
      </c>
      <c r="AB101" s="19" t="s">
        <v>453</v>
      </c>
      <c r="AC101" s="24"/>
      <c r="AD101" s="20" t="s">
        <v>454</v>
      </c>
    </row>
    <row r="102" spans="21:30" ht="15">
      <c r="U102" s="16">
        <v>100</v>
      </c>
      <c r="V102" s="17" t="s">
        <v>455</v>
      </c>
      <c r="W102" s="18" t="s">
        <v>456</v>
      </c>
      <c r="X102" s="18" t="s">
        <v>457</v>
      </c>
      <c r="Y102" s="18" t="s">
        <v>28</v>
      </c>
      <c r="Z102" s="18">
        <v>75302</v>
      </c>
      <c r="AA102" s="18" t="s">
        <v>458</v>
      </c>
      <c r="AB102" s="19" t="s">
        <v>459</v>
      </c>
      <c r="AC102" s="19"/>
      <c r="AD102" s="20" t="s">
        <v>460</v>
      </c>
    </row>
    <row r="103" spans="21:30" ht="15">
      <c r="U103" s="16">
        <v>101</v>
      </c>
      <c r="V103" s="17" t="s">
        <v>455</v>
      </c>
      <c r="W103" s="18" t="s">
        <v>456</v>
      </c>
      <c r="X103" s="18" t="s">
        <v>457</v>
      </c>
      <c r="Y103" s="18" t="s">
        <v>28</v>
      </c>
      <c r="Z103" s="18">
        <v>75302</v>
      </c>
      <c r="AA103" s="18" t="s">
        <v>461</v>
      </c>
      <c r="AB103" s="19"/>
      <c r="AC103" s="19"/>
      <c r="AD103" s="20" t="s">
        <v>462</v>
      </c>
    </row>
    <row r="104" spans="21:30" ht="15">
      <c r="U104" s="16">
        <v>102</v>
      </c>
      <c r="V104" s="17" t="s">
        <v>455</v>
      </c>
      <c r="W104" s="18" t="s">
        <v>456</v>
      </c>
      <c r="X104" s="18" t="s">
        <v>457</v>
      </c>
      <c r="Y104" s="18" t="s">
        <v>28</v>
      </c>
      <c r="Z104" s="18">
        <v>75302</v>
      </c>
      <c r="AA104" s="18" t="s">
        <v>463</v>
      </c>
      <c r="AB104" s="19" t="s">
        <v>464</v>
      </c>
      <c r="AC104" s="24"/>
      <c r="AD104" s="20" t="s">
        <v>465</v>
      </c>
    </row>
    <row r="105" spans="21:30" ht="15">
      <c r="U105" s="16">
        <v>103</v>
      </c>
      <c r="V105" s="17" t="s">
        <v>455</v>
      </c>
      <c r="W105" s="18" t="s">
        <v>456</v>
      </c>
      <c r="X105" s="18" t="s">
        <v>457</v>
      </c>
      <c r="Y105" s="18" t="s">
        <v>28</v>
      </c>
      <c r="Z105" s="18">
        <v>75302</v>
      </c>
      <c r="AA105" s="18" t="s">
        <v>466</v>
      </c>
      <c r="AB105" s="19" t="s">
        <v>467</v>
      </c>
      <c r="AC105" s="24"/>
      <c r="AD105" s="20" t="s">
        <v>468</v>
      </c>
    </row>
    <row r="106" spans="21:30" ht="15">
      <c r="U106" s="16">
        <v>104</v>
      </c>
      <c r="V106" s="17" t="s">
        <v>455</v>
      </c>
      <c r="W106" s="18" t="s">
        <v>456</v>
      </c>
      <c r="X106" s="18" t="s">
        <v>457</v>
      </c>
      <c r="Y106" s="18" t="s">
        <v>28</v>
      </c>
      <c r="Z106" s="18">
        <v>75302</v>
      </c>
      <c r="AA106" s="18" t="s">
        <v>469</v>
      </c>
      <c r="AB106" s="19" t="s">
        <v>470</v>
      </c>
      <c r="AC106" s="24"/>
      <c r="AD106" s="20" t="s">
        <v>471</v>
      </c>
    </row>
    <row r="107" spans="21:30" ht="15">
      <c r="U107" s="16">
        <v>105</v>
      </c>
      <c r="V107" s="17" t="s">
        <v>472</v>
      </c>
      <c r="W107" s="18" t="s">
        <v>473</v>
      </c>
      <c r="X107" s="18" t="s">
        <v>47</v>
      </c>
      <c r="Y107" s="18" t="s">
        <v>28</v>
      </c>
      <c r="Z107" s="18">
        <v>85057</v>
      </c>
      <c r="AA107" s="18" t="s">
        <v>474</v>
      </c>
      <c r="AB107" s="19" t="s">
        <v>475</v>
      </c>
      <c r="AC107" s="24"/>
      <c r="AD107" s="20" t="s">
        <v>476</v>
      </c>
    </row>
    <row r="108" spans="21:30" ht="15">
      <c r="U108" s="16">
        <v>106</v>
      </c>
      <c r="V108" s="17" t="s">
        <v>472</v>
      </c>
      <c r="W108" s="18" t="s">
        <v>473</v>
      </c>
      <c r="X108" s="18" t="s">
        <v>47</v>
      </c>
      <c r="Y108" s="18" t="s">
        <v>28</v>
      </c>
      <c r="Z108" s="18">
        <v>85057</v>
      </c>
      <c r="AA108" s="18" t="s">
        <v>477</v>
      </c>
      <c r="AB108" s="19"/>
      <c r="AC108" s="24"/>
      <c r="AD108" s="20" t="s">
        <v>478</v>
      </c>
    </row>
    <row r="109" spans="21:30" ht="15">
      <c r="U109" s="16">
        <v>107</v>
      </c>
      <c r="V109" s="17" t="s">
        <v>479</v>
      </c>
      <c r="W109" s="18" t="s">
        <v>480</v>
      </c>
      <c r="X109" s="18" t="s">
        <v>47</v>
      </c>
      <c r="Y109" s="18" t="s">
        <v>28</v>
      </c>
      <c r="Z109" s="18">
        <v>75230</v>
      </c>
      <c r="AA109" s="18" t="s">
        <v>481</v>
      </c>
      <c r="AB109" s="19" t="s">
        <v>482</v>
      </c>
      <c r="AC109" s="19"/>
      <c r="AD109" s="20" t="s">
        <v>483</v>
      </c>
    </row>
    <row r="110" spans="21:30" ht="15">
      <c r="U110" s="16">
        <v>108</v>
      </c>
      <c r="V110" s="17" t="s">
        <v>479</v>
      </c>
      <c r="W110" s="18" t="s">
        <v>480</v>
      </c>
      <c r="X110" s="18" t="s">
        <v>47</v>
      </c>
      <c r="Y110" s="18" t="s">
        <v>28</v>
      </c>
      <c r="Z110" s="18">
        <v>75230</v>
      </c>
      <c r="AA110" s="18" t="s">
        <v>484</v>
      </c>
      <c r="AB110" s="19" t="s">
        <v>485</v>
      </c>
      <c r="AC110" s="24"/>
      <c r="AD110" s="20" t="s">
        <v>486</v>
      </c>
    </row>
    <row r="111" spans="21:30" ht="15">
      <c r="U111" s="16">
        <v>109</v>
      </c>
      <c r="V111" s="17" t="s">
        <v>479</v>
      </c>
      <c r="W111" s="18" t="s">
        <v>480</v>
      </c>
      <c r="X111" s="18" t="s">
        <v>47</v>
      </c>
      <c r="Y111" s="18" t="s">
        <v>28</v>
      </c>
      <c r="Z111" s="18">
        <v>75230</v>
      </c>
      <c r="AA111" s="18" t="s">
        <v>487</v>
      </c>
      <c r="AB111" s="19" t="s">
        <v>488</v>
      </c>
      <c r="AC111" s="24"/>
      <c r="AD111" s="20" t="s">
        <v>489</v>
      </c>
    </row>
    <row r="112" spans="21:30" ht="15">
      <c r="U112" s="16">
        <v>110</v>
      </c>
      <c r="V112" s="17" t="s">
        <v>479</v>
      </c>
      <c r="W112" s="18" t="s">
        <v>480</v>
      </c>
      <c r="X112" s="18" t="s">
        <v>47</v>
      </c>
      <c r="Y112" s="18" t="s">
        <v>28</v>
      </c>
      <c r="Z112" s="18">
        <v>75230</v>
      </c>
      <c r="AA112" s="18" t="s">
        <v>490</v>
      </c>
      <c r="AB112" s="19" t="s">
        <v>491</v>
      </c>
      <c r="AC112" s="24"/>
      <c r="AD112" s="20" t="s">
        <v>492</v>
      </c>
    </row>
  </sheetData>
  <mergeCells count="2">
    <mergeCell ref="C16:E16"/>
    <mergeCell ref="C31:E31"/>
  </mergeCells>
  <hyperlinks>
    <hyperlink ref="AD3" r:id="rId1" xr:uid="{00000000-0004-0000-0000-000000000000}"/>
    <hyperlink ref="AD4" r:id="rId2" xr:uid="{00000000-0004-0000-0000-000001000000}"/>
    <hyperlink ref="AD5" r:id="rId3" xr:uid="{00000000-0004-0000-0000-000002000000}"/>
    <hyperlink ref="AD6" r:id="rId4" xr:uid="{00000000-0004-0000-0000-000003000000}"/>
    <hyperlink ref="AD7" r:id="rId5" xr:uid="{00000000-0004-0000-0000-000004000000}"/>
    <hyperlink ref="AD8" r:id="rId6" xr:uid="{00000000-0004-0000-0000-000005000000}"/>
    <hyperlink ref="AD9" r:id="rId7" xr:uid="{00000000-0004-0000-0000-000006000000}"/>
    <hyperlink ref="AD10" r:id="rId8" xr:uid="{00000000-0004-0000-0000-000007000000}"/>
    <hyperlink ref="AD11" r:id="rId9" xr:uid="{00000000-0004-0000-0000-000008000000}"/>
    <hyperlink ref="AD12" r:id="rId10" xr:uid="{00000000-0004-0000-0000-000009000000}"/>
    <hyperlink ref="AD13" r:id="rId11" xr:uid="{00000000-0004-0000-0000-00000A000000}"/>
    <hyperlink ref="AD14" r:id="rId12" xr:uid="{00000000-0004-0000-0000-00000B000000}"/>
    <hyperlink ref="AD15" r:id="rId13" xr:uid="{00000000-0004-0000-0000-00000C000000}"/>
    <hyperlink ref="C16" r:id="rId14" display="mailto:douglas.nguyen@jpi.com" xr:uid="{00000000-0004-0000-0000-00000D000000}"/>
    <hyperlink ref="AD16" r:id="rId15" xr:uid="{00000000-0004-0000-0000-00000E000000}"/>
    <hyperlink ref="AD17" r:id="rId16" xr:uid="{00000000-0004-0000-0000-00000F000000}"/>
    <hyperlink ref="AD18" r:id="rId17" xr:uid="{00000000-0004-0000-0000-000010000000}"/>
    <hyperlink ref="AD19" r:id="rId18" xr:uid="{00000000-0004-0000-0000-000011000000}"/>
    <hyperlink ref="AD20" r:id="rId19" xr:uid="{00000000-0004-0000-0000-000012000000}"/>
    <hyperlink ref="AD21" r:id="rId20" xr:uid="{00000000-0004-0000-0000-000013000000}"/>
    <hyperlink ref="AD23" r:id="rId21" xr:uid="{00000000-0004-0000-0000-000014000000}"/>
    <hyperlink ref="AD24" r:id="rId22" xr:uid="{00000000-0004-0000-0000-000015000000}"/>
    <hyperlink ref="AD25" r:id="rId23" xr:uid="{00000000-0004-0000-0000-000016000000}"/>
    <hyperlink ref="AD26" r:id="rId24" xr:uid="{00000000-0004-0000-0000-000017000000}"/>
    <hyperlink ref="AD27" r:id="rId25" xr:uid="{00000000-0004-0000-0000-000018000000}"/>
    <hyperlink ref="AD28" r:id="rId26" xr:uid="{00000000-0004-0000-0000-000019000000}"/>
    <hyperlink ref="AD29" r:id="rId27" xr:uid="{00000000-0004-0000-0000-00001A000000}"/>
    <hyperlink ref="AD30" r:id="rId28" xr:uid="{00000000-0004-0000-0000-00001B000000}"/>
    <hyperlink ref="AD31" r:id="rId29" xr:uid="{00000000-0004-0000-0000-00001C000000}"/>
    <hyperlink ref="AD32" r:id="rId30" xr:uid="{00000000-0004-0000-0000-00001D000000}"/>
    <hyperlink ref="AD33" r:id="rId31" xr:uid="{00000000-0004-0000-0000-00001E000000}"/>
    <hyperlink ref="AD34" r:id="rId32" xr:uid="{00000000-0004-0000-0000-00001F000000}"/>
    <hyperlink ref="AD35" r:id="rId33" xr:uid="{00000000-0004-0000-0000-000020000000}"/>
    <hyperlink ref="AD36" r:id="rId34" xr:uid="{00000000-0004-0000-0000-000021000000}"/>
    <hyperlink ref="AD37" r:id="rId35" xr:uid="{00000000-0004-0000-0000-000022000000}"/>
    <hyperlink ref="AD38" r:id="rId36" xr:uid="{00000000-0004-0000-0000-000023000000}"/>
    <hyperlink ref="AD39" r:id="rId37" xr:uid="{00000000-0004-0000-0000-000024000000}"/>
    <hyperlink ref="AD40" r:id="rId38" xr:uid="{00000000-0004-0000-0000-000025000000}"/>
    <hyperlink ref="AD41" r:id="rId39" xr:uid="{00000000-0004-0000-0000-000026000000}"/>
    <hyperlink ref="AD42" r:id="rId40" xr:uid="{00000000-0004-0000-0000-000027000000}"/>
    <hyperlink ref="AD43" r:id="rId41" xr:uid="{00000000-0004-0000-0000-000028000000}"/>
    <hyperlink ref="AD44" r:id="rId42" xr:uid="{00000000-0004-0000-0000-000029000000}"/>
    <hyperlink ref="AD45" r:id="rId43" xr:uid="{00000000-0004-0000-0000-00002A000000}"/>
    <hyperlink ref="AD46" r:id="rId44" xr:uid="{00000000-0004-0000-0000-00002B000000}"/>
    <hyperlink ref="AD47" r:id="rId45" xr:uid="{00000000-0004-0000-0000-00002C000000}"/>
    <hyperlink ref="AD49" r:id="rId46" xr:uid="{00000000-0004-0000-0000-00002D000000}"/>
    <hyperlink ref="AD50" r:id="rId47" xr:uid="{00000000-0004-0000-0000-00002E000000}"/>
    <hyperlink ref="AD51" r:id="rId48" xr:uid="{00000000-0004-0000-0000-00002F000000}"/>
    <hyperlink ref="AD52" r:id="rId49" xr:uid="{00000000-0004-0000-0000-000030000000}"/>
    <hyperlink ref="AD53" r:id="rId50" xr:uid="{00000000-0004-0000-0000-000031000000}"/>
    <hyperlink ref="AD54" r:id="rId51" xr:uid="{00000000-0004-0000-0000-000032000000}"/>
    <hyperlink ref="AD55" r:id="rId52" xr:uid="{00000000-0004-0000-0000-000033000000}"/>
    <hyperlink ref="AD56" r:id="rId53" xr:uid="{00000000-0004-0000-0000-000034000000}"/>
    <hyperlink ref="AD57" r:id="rId54" xr:uid="{00000000-0004-0000-0000-000035000000}"/>
    <hyperlink ref="AD58" r:id="rId55" xr:uid="{00000000-0004-0000-0000-000036000000}"/>
    <hyperlink ref="AD59" r:id="rId56" xr:uid="{00000000-0004-0000-0000-000037000000}"/>
    <hyperlink ref="AD60" r:id="rId57" xr:uid="{00000000-0004-0000-0000-000038000000}"/>
    <hyperlink ref="AD61" r:id="rId58" xr:uid="{00000000-0004-0000-0000-000039000000}"/>
    <hyperlink ref="AD62" r:id="rId59" xr:uid="{00000000-0004-0000-0000-00003A000000}"/>
    <hyperlink ref="AD63" r:id="rId60" xr:uid="{00000000-0004-0000-0000-00003B000000}"/>
    <hyperlink ref="AD64" r:id="rId61" xr:uid="{00000000-0004-0000-0000-00003C000000}"/>
    <hyperlink ref="AD65" r:id="rId62" xr:uid="{00000000-0004-0000-0000-00003D000000}"/>
    <hyperlink ref="AD66" r:id="rId63" xr:uid="{00000000-0004-0000-0000-00003E000000}"/>
    <hyperlink ref="AD67" r:id="rId64" xr:uid="{00000000-0004-0000-0000-00003F000000}"/>
    <hyperlink ref="AD68" r:id="rId65" xr:uid="{00000000-0004-0000-0000-000040000000}"/>
    <hyperlink ref="AD69" r:id="rId66" xr:uid="{00000000-0004-0000-0000-000041000000}"/>
    <hyperlink ref="AD70" r:id="rId67" xr:uid="{00000000-0004-0000-0000-000042000000}"/>
    <hyperlink ref="AD71" r:id="rId68" xr:uid="{00000000-0004-0000-0000-000043000000}"/>
    <hyperlink ref="AD72" r:id="rId69" xr:uid="{00000000-0004-0000-0000-000044000000}"/>
    <hyperlink ref="AD73" r:id="rId70" xr:uid="{00000000-0004-0000-0000-000045000000}"/>
    <hyperlink ref="AD74" r:id="rId71" xr:uid="{00000000-0004-0000-0000-000046000000}"/>
    <hyperlink ref="AD75" r:id="rId72" xr:uid="{00000000-0004-0000-0000-000047000000}"/>
    <hyperlink ref="AD76" r:id="rId73" xr:uid="{00000000-0004-0000-0000-000048000000}"/>
    <hyperlink ref="AD77" r:id="rId74" xr:uid="{00000000-0004-0000-0000-000049000000}"/>
    <hyperlink ref="AD78" r:id="rId75" xr:uid="{00000000-0004-0000-0000-00004A000000}"/>
    <hyperlink ref="AD79" r:id="rId76" xr:uid="{00000000-0004-0000-0000-00004B000000}"/>
    <hyperlink ref="AD80" r:id="rId77" xr:uid="{00000000-0004-0000-0000-00004C000000}"/>
    <hyperlink ref="AD81" r:id="rId78" xr:uid="{00000000-0004-0000-0000-00004D000000}"/>
    <hyperlink ref="AD82" r:id="rId79" xr:uid="{00000000-0004-0000-0000-00004E000000}"/>
    <hyperlink ref="AD83" r:id="rId80" xr:uid="{00000000-0004-0000-0000-00004F000000}"/>
    <hyperlink ref="AD84" r:id="rId81" xr:uid="{00000000-0004-0000-0000-000050000000}"/>
    <hyperlink ref="AD85" r:id="rId82" xr:uid="{00000000-0004-0000-0000-000051000000}"/>
    <hyperlink ref="AD86" r:id="rId83" xr:uid="{00000000-0004-0000-0000-000052000000}"/>
    <hyperlink ref="AD87" r:id="rId84" xr:uid="{00000000-0004-0000-0000-000053000000}"/>
    <hyperlink ref="AD88" r:id="rId85" xr:uid="{00000000-0004-0000-0000-000054000000}"/>
    <hyperlink ref="AD89" r:id="rId86" xr:uid="{00000000-0004-0000-0000-000055000000}"/>
    <hyperlink ref="AD90" r:id="rId87" xr:uid="{00000000-0004-0000-0000-000056000000}"/>
    <hyperlink ref="AD91" r:id="rId88" xr:uid="{00000000-0004-0000-0000-000057000000}"/>
    <hyperlink ref="AD92" r:id="rId89" xr:uid="{00000000-0004-0000-0000-000058000000}"/>
    <hyperlink ref="AD93" r:id="rId90" xr:uid="{00000000-0004-0000-0000-000059000000}"/>
    <hyperlink ref="AD94" r:id="rId91" xr:uid="{00000000-0004-0000-0000-00005A000000}"/>
    <hyperlink ref="AD95" r:id="rId92" xr:uid="{00000000-0004-0000-0000-00005B000000}"/>
    <hyperlink ref="AD96" r:id="rId93" xr:uid="{00000000-0004-0000-0000-00005C000000}"/>
    <hyperlink ref="AD97" r:id="rId94" xr:uid="{00000000-0004-0000-0000-00005D000000}"/>
    <hyperlink ref="AD98" r:id="rId95" xr:uid="{00000000-0004-0000-0000-00005E000000}"/>
    <hyperlink ref="AD99" r:id="rId96" xr:uid="{00000000-0004-0000-0000-00005F000000}"/>
    <hyperlink ref="AD100" r:id="rId97" xr:uid="{00000000-0004-0000-0000-000060000000}"/>
    <hyperlink ref="AD101" r:id="rId98" xr:uid="{00000000-0004-0000-0000-000061000000}"/>
    <hyperlink ref="AD102" r:id="rId99" xr:uid="{00000000-0004-0000-0000-000062000000}"/>
    <hyperlink ref="AD103" r:id="rId100" xr:uid="{00000000-0004-0000-0000-000063000000}"/>
    <hyperlink ref="AD104" r:id="rId101" xr:uid="{00000000-0004-0000-0000-000064000000}"/>
    <hyperlink ref="AD105" r:id="rId102" xr:uid="{00000000-0004-0000-0000-000065000000}"/>
    <hyperlink ref="AD106" r:id="rId103" xr:uid="{00000000-0004-0000-0000-000066000000}"/>
    <hyperlink ref="AD107" r:id="rId104" xr:uid="{00000000-0004-0000-0000-000067000000}"/>
    <hyperlink ref="AD108" r:id="rId105" xr:uid="{00000000-0004-0000-0000-000068000000}"/>
    <hyperlink ref="AD109" r:id="rId106" xr:uid="{00000000-0004-0000-0000-000069000000}"/>
    <hyperlink ref="AD110" r:id="rId107" xr:uid="{00000000-0004-0000-0000-00006A000000}"/>
    <hyperlink ref="AD111" r:id="rId108" xr:uid="{00000000-0004-0000-0000-00006B000000}"/>
    <hyperlink ref="AD112" r:id="rId109" xr:uid="{00000000-0004-0000-0000-00006C000000}"/>
  </hyperlinks>
  <pageMargins left="0.45" right="0.359722222222222" top="1.0645833333333301" bottom="0.75" header="2.0138888888888901E-2" footer="0.3"/>
  <pageSetup fitToHeight="0" orientation="portrait" horizontalDpi="300" verticalDpi="300"/>
  <headerFooter>
    <oddHeader>&amp;LCTH Concrete, LLC
225 Creekside Dr.
Fort Worth, Texas 76131</oddHeader>
    <oddFooter>&amp;LOffice: 817-228-0452&amp;C&amp;14CTH Concrete, LLC
&amp;10&amp;P of &amp;N&amp;REmail: cdykgraaf@cthconcrete.com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BC136"/>
  <sheetViews>
    <sheetView topLeftCell="A3" zoomScale="70" zoomScaleNormal="70" workbookViewId="0">
      <selection activeCell="D23" sqref="D23"/>
    </sheetView>
  </sheetViews>
  <sheetFormatPr defaultColWidth="9.15234375" defaultRowHeight="12.45"/>
  <cols>
    <col min="1" max="1" width="9.15234375" style="13"/>
    <col min="2" max="2" width="11.15234375" style="12" customWidth="1"/>
    <col min="3" max="3" width="23.15234375" style="12" customWidth="1"/>
    <col min="4" max="4" width="16.84375" style="12" customWidth="1"/>
    <col min="5" max="5" width="10.4609375" style="12" customWidth="1"/>
    <col min="6" max="6" width="11" style="12" customWidth="1"/>
    <col min="7" max="7" width="11.15234375" style="12" customWidth="1"/>
    <col min="8" max="8" width="12.84375" style="12" customWidth="1"/>
    <col min="9" max="13" width="11.15234375" style="12" customWidth="1"/>
    <col min="14" max="14" width="11.15234375" style="53" customWidth="1"/>
    <col min="15" max="15" width="11.15234375" style="12" customWidth="1"/>
    <col min="16" max="16" width="28" customWidth="1"/>
    <col min="17" max="17" width="11.15234375" customWidth="1"/>
    <col min="18" max="18" width="12.84375" style="54" customWidth="1"/>
    <col min="22" max="22" width="9.15234375" style="55"/>
    <col min="35" max="16384" width="9.15234375" style="12"/>
  </cols>
  <sheetData>
    <row r="1" spans="1:55">
      <c r="F1" s="53" t="s">
        <v>493</v>
      </c>
      <c r="G1" s="53" t="s">
        <v>494</v>
      </c>
      <c r="H1" s="53" t="s">
        <v>495</v>
      </c>
      <c r="I1" s="53" t="s">
        <v>496</v>
      </c>
      <c r="J1" s="53" t="s">
        <v>497</v>
      </c>
      <c r="K1" s="53" t="s">
        <v>498</v>
      </c>
      <c r="L1" s="53" t="s">
        <v>499</v>
      </c>
      <c r="M1" s="53" t="s">
        <v>500</v>
      </c>
      <c r="N1" s="53" t="s">
        <v>501</v>
      </c>
      <c r="O1" s="53" t="s">
        <v>502</v>
      </c>
    </row>
    <row r="2" spans="1:55" ht="93.75" customHeight="1">
      <c r="A2" s="56" t="s">
        <v>503</v>
      </c>
      <c r="B2" s="57"/>
      <c r="C2" s="57" t="s">
        <v>11</v>
      </c>
      <c r="D2" s="57" t="s">
        <v>504</v>
      </c>
      <c r="E2" s="58" t="s">
        <v>505</v>
      </c>
      <c r="F2" s="59" t="s">
        <v>506</v>
      </c>
      <c r="G2" s="59" t="s">
        <v>507</v>
      </c>
      <c r="H2" s="59" t="s">
        <v>508</v>
      </c>
      <c r="I2" s="59" t="s">
        <v>509</v>
      </c>
      <c r="J2" s="59" t="s">
        <v>510</v>
      </c>
      <c r="K2" s="59" t="s">
        <v>511</v>
      </c>
      <c r="L2" s="59" t="s">
        <v>512</v>
      </c>
      <c r="M2" s="59" t="s">
        <v>513</v>
      </c>
      <c r="N2" s="59" t="s">
        <v>514</v>
      </c>
      <c r="O2" s="59" t="s">
        <v>515</v>
      </c>
      <c r="P2" s="60" t="s">
        <v>516</v>
      </c>
      <c r="Q2" s="12"/>
      <c r="R2" s="53"/>
      <c r="S2" s="12"/>
      <c r="T2" s="12"/>
      <c r="U2" s="54"/>
    </row>
    <row r="3" spans="1:55">
      <c r="A3" s="61" t="str">
        <f>IF(F3=F4,A4,IF(F3=F5,A5,IF(F3=F6,A6,IF(F3=F7,A7,0))))</f>
        <v>SRM</v>
      </c>
      <c r="B3" s="62"/>
      <c r="C3" s="62"/>
      <c r="D3" s="62"/>
      <c r="E3" s="63"/>
      <c r="F3" s="64">
        <f t="shared" ref="F3:O3" si="0">MIN(IF(F4&gt;0,F4,1000),IF(F5&gt;0,F5,1000),IF(F6&gt;0,F6,1000),IF(F7&gt;0,F7,1000),IF(F8&gt;0,F8,1000),IF(F9&gt;0,F9,1000))</f>
        <v>134</v>
      </c>
      <c r="G3" s="64">
        <f t="shared" si="0"/>
        <v>145</v>
      </c>
      <c r="H3" s="64">
        <f t="shared" si="0"/>
        <v>150</v>
      </c>
      <c r="I3" s="64">
        <f t="shared" si="0"/>
        <v>150</v>
      </c>
      <c r="J3" s="64">
        <f t="shared" si="0"/>
        <v>155</v>
      </c>
      <c r="K3" s="64">
        <f t="shared" si="0"/>
        <v>155</v>
      </c>
      <c r="L3" s="64">
        <f t="shared" si="0"/>
        <v>160</v>
      </c>
      <c r="M3" s="64">
        <f t="shared" si="0"/>
        <v>175</v>
      </c>
      <c r="N3" s="64">
        <f t="shared" si="0"/>
        <v>250</v>
      </c>
      <c r="O3" s="65">
        <f t="shared" si="0"/>
        <v>134</v>
      </c>
      <c r="P3" s="66" t="s">
        <v>517</v>
      </c>
      <c r="Q3" s="67" t="s">
        <v>518</v>
      </c>
      <c r="R3" s="68" t="s">
        <v>519</v>
      </c>
      <c r="S3" s="67" t="s">
        <v>520</v>
      </c>
      <c r="T3" s="69" t="s">
        <v>521</v>
      </c>
      <c r="U3" s="70" t="s">
        <v>522</v>
      </c>
      <c r="AJ3" s="12" t="s">
        <v>523</v>
      </c>
      <c r="AZ3" s="12" t="s">
        <v>524</v>
      </c>
    </row>
    <row r="4" spans="1:55" ht="15">
      <c r="A4" s="71" t="s">
        <v>525</v>
      </c>
      <c r="B4" s="53"/>
      <c r="C4" s="72"/>
      <c r="D4" s="15"/>
      <c r="E4" s="73">
        <v>44435</v>
      </c>
      <c r="F4" s="74">
        <v>134</v>
      </c>
      <c r="G4" s="74">
        <v>145</v>
      </c>
      <c r="H4" s="74">
        <v>150</v>
      </c>
      <c r="I4" s="74">
        <v>150</v>
      </c>
      <c r="J4" s="74">
        <v>155</v>
      </c>
      <c r="K4" s="74">
        <v>155</v>
      </c>
      <c r="L4" s="74">
        <v>160</v>
      </c>
      <c r="M4" s="74">
        <v>175</v>
      </c>
      <c r="N4" s="74">
        <v>250</v>
      </c>
      <c r="O4" s="75">
        <v>134</v>
      </c>
      <c r="P4" s="12" t="s">
        <v>526</v>
      </c>
      <c r="Q4" s="76">
        <f>U4/T4*S4</f>
        <v>0.859375</v>
      </c>
      <c r="R4" s="77" t="s">
        <v>527</v>
      </c>
      <c r="S4" s="78">
        <v>1.25</v>
      </c>
      <c r="T4" s="79">
        <v>16</v>
      </c>
      <c r="U4" s="54">
        <v>11</v>
      </c>
      <c r="V4" s="55">
        <v>44494</v>
      </c>
      <c r="AJ4" s="12" t="s">
        <v>528</v>
      </c>
      <c r="AK4" s="12" t="s">
        <v>529</v>
      </c>
      <c r="AL4" s="12" t="s">
        <v>530</v>
      </c>
      <c r="AM4" s="12" t="s">
        <v>531</v>
      </c>
      <c r="AN4" s="12" t="s">
        <v>532</v>
      </c>
      <c r="AO4" s="12" t="s">
        <v>533</v>
      </c>
      <c r="AZ4" s="80">
        <v>42410</v>
      </c>
      <c r="BC4" s="12">
        <f>8.59*1.7</f>
        <v>14.603</v>
      </c>
    </row>
    <row r="5" spans="1:55" ht="15">
      <c r="A5" s="71"/>
      <c r="B5" s="53"/>
      <c r="D5" s="15"/>
      <c r="E5" s="73"/>
      <c r="F5" s="74"/>
      <c r="G5" s="74"/>
      <c r="H5" s="74"/>
      <c r="I5" s="74"/>
      <c r="J5" s="74"/>
      <c r="K5" s="74"/>
      <c r="L5" s="74"/>
      <c r="M5" s="74"/>
      <c r="N5" s="74"/>
      <c r="O5" s="75"/>
      <c r="P5" s="12" t="s">
        <v>534</v>
      </c>
      <c r="Q5" s="76">
        <f>U5/T5*S5</f>
        <v>1.4453125</v>
      </c>
      <c r="R5" s="77" t="s">
        <v>527</v>
      </c>
      <c r="S5" s="81">
        <v>1.25</v>
      </c>
      <c r="T5" s="79">
        <v>16</v>
      </c>
      <c r="U5" s="54">
        <v>18.5</v>
      </c>
      <c r="V5" s="55">
        <v>44495</v>
      </c>
      <c r="AI5" s="12" t="s">
        <v>535</v>
      </c>
      <c r="AJ5" s="12">
        <f>'04-PT Slab on Grade'!CF111</f>
        <v>0</v>
      </c>
      <c r="AK5" s="12">
        <f>'04-PT Slab on Grade'!CI111</f>
        <v>0</v>
      </c>
      <c r="AL5" s="12">
        <f>'04-PT Slab on Grade'!CM111</f>
        <v>0</v>
      </c>
      <c r="AM5" s="12">
        <f>'04-PT Slab on Grade'!CN111</f>
        <v>0</v>
      </c>
      <c r="AN5" s="12">
        <f>'04-PT Slab on Grade'!CQ111</f>
        <v>0</v>
      </c>
      <c r="AO5" s="12">
        <f>'04-PT Slab on Grade'!CR111</f>
        <v>0</v>
      </c>
      <c r="AZ5" s="80">
        <v>42410</v>
      </c>
    </row>
    <row r="6" spans="1:55" ht="15">
      <c r="A6" s="71"/>
      <c r="B6" s="53"/>
      <c r="C6" s="72"/>
      <c r="D6" s="15"/>
      <c r="E6" s="73"/>
      <c r="F6" s="74"/>
      <c r="G6" s="74"/>
      <c r="H6" s="74"/>
      <c r="I6" s="74"/>
      <c r="J6" s="74"/>
      <c r="K6" s="74"/>
      <c r="L6" s="74"/>
      <c r="M6" s="74"/>
      <c r="N6" s="74"/>
      <c r="O6" s="75"/>
      <c r="P6" s="12" t="s">
        <v>536</v>
      </c>
      <c r="Q6" s="76">
        <f>U6/T6*S6</f>
        <v>1.171875</v>
      </c>
      <c r="R6" s="77" t="s">
        <v>527</v>
      </c>
      <c r="S6" s="81">
        <v>1.25</v>
      </c>
      <c r="T6" s="79">
        <v>16</v>
      </c>
      <c r="U6" s="54">
        <v>15</v>
      </c>
      <c r="V6" s="55">
        <v>44496</v>
      </c>
      <c r="AI6" s="12" t="s">
        <v>537</v>
      </c>
      <c r="AJ6" s="12">
        <f>'02-Gd Beams'!AO36</f>
        <v>0</v>
      </c>
      <c r="AK6" s="12">
        <f>'02-Gd Beams'!AP36</f>
        <v>0</v>
      </c>
      <c r="AL6" s="12">
        <f>'02-Gd Beams'!AQ36</f>
        <v>0</v>
      </c>
      <c r="AM6" s="12">
        <f>'02-Gd Beams'!AR36</f>
        <v>0</v>
      </c>
      <c r="AN6" s="12">
        <f>'02-Gd Beams'!AS36</f>
        <v>0</v>
      </c>
      <c r="AO6" s="12">
        <f>'02-Gd Beams'!AT36</f>
        <v>0</v>
      </c>
      <c r="AQ6" s="12" t="b">
        <f>IF(F6&gt;0,F6)</f>
        <v>0</v>
      </c>
      <c r="AZ6" s="80">
        <v>42410</v>
      </c>
    </row>
    <row r="7" spans="1:55" ht="15">
      <c r="A7" s="71"/>
      <c r="B7" s="53"/>
      <c r="D7" s="15"/>
      <c r="E7" s="73"/>
      <c r="F7" s="74"/>
      <c r="G7" s="74"/>
      <c r="H7" s="74"/>
      <c r="I7" s="74"/>
      <c r="J7" s="74"/>
      <c r="K7" s="74"/>
      <c r="L7" s="74"/>
      <c r="M7" s="74"/>
      <c r="N7" s="74"/>
      <c r="O7" s="75"/>
      <c r="P7" s="12" t="s">
        <v>538</v>
      </c>
      <c r="Q7" s="76">
        <f>U7/T7*S7</f>
        <v>1.09375</v>
      </c>
      <c r="R7" s="77" t="s">
        <v>527</v>
      </c>
      <c r="S7" s="81">
        <v>1.25</v>
      </c>
      <c r="T7" s="79">
        <v>16</v>
      </c>
      <c r="U7" s="54">
        <v>14</v>
      </c>
      <c r="V7" s="55">
        <v>44497</v>
      </c>
      <c r="AI7" s="12" t="s">
        <v>539</v>
      </c>
      <c r="AJ7" s="12">
        <f>'09-SLAB ON DECK'!AL34</f>
        <v>0</v>
      </c>
      <c r="AK7" s="12">
        <f>'09-SLAB ON DECK'!AM34</f>
        <v>0</v>
      </c>
      <c r="AL7" s="12">
        <f>'09-SLAB ON DECK'!AN34</f>
        <v>0</v>
      </c>
      <c r="AM7" s="12">
        <f>'09-SLAB ON DECK'!AO34</f>
        <v>0</v>
      </c>
      <c r="AN7" s="12">
        <f>'09-SLAB ON DECK'!AP34</f>
        <v>0</v>
      </c>
      <c r="AO7" s="12">
        <f>'09-SLAB ON DECK'!AQ34</f>
        <v>0</v>
      </c>
      <c r="AZ7" s="80">
        <v>42410</v>
      </c>
    </row>
    <row r="8" spans="1:55">
      <c r="A8" s="71"/>
      <c r="B8" s="53"/>
      <c r="D8" s="15"/>
      <c r="E8" s="73"/>
      <c r="F8" s="74"/>
      <c r="G8" s="74"/>
      <c r="H8" s="74"/>
      <c r="I8" s="74"/>
      <c r="J8" s="74"/>
      <c r="K8" s="74"/>
      <c r="L8" s="74"/>
      <c r="M8" s="74"/>
      <c r="N8" s="74"/>
      <c r="O8" s="75"/>
      <c r="P8" s="12" t="s">
        <v>540</v>
      </c>
      <c r="Q8" s="76">
        <f>S8*U8</f>
        <v>74.75</v>
      </c>
      <c r="R8" s="82" t="s">
        <v>541</v>
      </c>
      <c r="S8" s="83">
        <v>1.1499999999999999</v>
      </c>
      <c r="T8" s="79"/>
      <c r="U8" s="54">
        <v>65</v>
      </c>
      <c r="V8" s="55">
        <v>44498</v>
      </c>
      <c r="AI8" s="12" t="s">
        <v>542</v>
      </c>
      <c r="AJ8" s="12">
        <f>'10-PAVING'!AH35</f>
        <v>0</v>
      </c>
      <c r="AK8" s="12">
        <f>'10-PAVING'!AI35</f>
        <v>0</v>
      </c>
      <c r="AL8" s="12">
        <f>'10-PAVING'!AJ35</f>
        <v>4832.412407407407</v>
      </c>
      <c r="AM8" s="12">
        <f>'10-PAVING'!AK35</f>
        <v>0</v>
      </c>
      <c r="AN8" s="12">
        <f>'10-PAVING'!AL35</f>
        <v>0</v>
      </c>
      <c r="AO8" s="12">
        <f>'10-PAVING'!AM35</f>
        <v>0</v>
      </c>
      <c r="AZ8" s="80">
        <v>42410</v>
      </c>
    </row>
    <row r="9" spans="1:55">
      <c r="A9" s="84"/>
      <c r="B9" s="85"/>
      <c r="C9" s="60"/>
      <c r="D9" s="86"/>
      <c r="E9" s="87"/>
      <c r="F9" s="88"/>
      <c r="G9" s="88"/>
      <c r="H9" s="88"/>
      <c r="I9" s="88"/>
      <c r="J9" s="88"/>
      <c r="K9" s="88"/>
      <c r="L9" s="88"/>
      <c r="M9" s="88"/>
      <c r="N9" s="88"/>
      <c r="O9" s="89"/>
      <c r="P9" s="12" t="s">
        <v>543</v>
      </c>
      <c r="Q9" s="76">
        <v>20</v>
      </c>
      <c r="R9" s="82" t="s">
        <v>541</v>
      </c>
      <c r="S9" s="83">
        <v>1.1000000000000001</v>
      </c>
      <c r="T9" s="79">
        <v>16</v>
      </c>
      <c r="U9" s="54">
        <v>14</v>
      </c>
      <c r="V9" s="55">
        <v>44499</v>
      </c>
      <c r="AI9" s="12" t="s">
        <v>544</v>
      </c>
      <c r="AJ9" s="12">
        <f>'01-Piers'!AT39</f>
        <v>0</v>
      </c>
      <c r="AK9" s="12">
        <f>'01-Piers'!AU39</f>
        <v>0</v>
      </c>
      <c r="AL9" s="12">
        <f>'01-Piers'!AV39</f>
        <v>0</v>
      </c>
      <c r="AM9" s="12">
        <f>'01-Piers'!AW39</f>
        <v>0</v>
      </c>
      <c r="AN9" s="12">
        <f>'01-Piers'!AX39</f>
        <v>632.69934059259276</v>
      </c>
      <c r="AO9" s="12">
        <f>'01-Piers'!AY39</f>
        <v>0</v>
      </c>
      <c r="AZ9" s="80">
        <v>42410</v>
      </c>
    </row>
    <row r="10" spans="1:55" ht="15">
      <c r="A10" s="90" t="s">
        <v>545</v>
      </c>
      <c r="B10" s="91"/>
      <c r="C10" s="91"/>
      <c r="D10" s="91"/>
      <c r="E10" s="92">
        <v>4.5</v>
      </c>
      <c r="F10" s="62"/>
      <c r="G10" s="62"/>
      <c r="H10" s="93"/>
      <c r="L10" s="94">
        <f>Summary!L53</f>
        <v>50712.86846702711</v>
      </c>
      <c r="N10" s="12"/>
      <c r="P10" s="12" t="s">
        <v>546</v>
      </c>
      <c r="Q10" s="76">
        <f>U10/T10*S10</f>
        <v>0.70874999999999999</v>
      </c>
      <c r="R10" s="77" t="s">
        <v>527</v>
      </c>
      <c r="S10" s="83">
        <v>1.5</v>
      </c>
      <c r="T10" s="79">
        <v>16</v>
      </c>
      <c r="U10" s="54">
        <v>7.56</v>
      </c>
      <c r="V10" s="55">
        <v>44500</v>
      </c>
      <c r="AI10" s="12" t="s">
        <v>547</v>
      </c>
      <c r="AJ10" s="12" t="e">
        <f>#REF!</f>
        <v>#REF!</v>
      </c>
      <c r="AK10" s="12" t="e">
        <f>#REF!</f>
        <v>#REF!</v>
      </c>
      <c r="AL10" s="12" t="e">
        <f>#REF!</f>
        <v>#REF!</v>
      </c>
      <c r="AM10" s="12" t="e">
        <f>#REF!</f>
        <v>#REF!</v>
      </c>
      <c r="AN10" s="12" t="e">
        <f>#REF!</f>
        <v>#REF!</v>
      </c>
      <c r="AO10" s="12" t="e">
        <f>#REF!</f>
        <v>#REF!</v>
      </c>
      <c r="AZ10" s="80">
        <v>44349</v>
      </c>
    </row>
    <row r="11" spans="1:55" ht="15">
      <c r="A11" s="95" t="s">
        <v>548</v>
      </c>
      <c r="B11" s="96"/>
      <c r="C11" s="96"/>
      <c r="D11" s="96"/>
      <c r="E11" s="96"/>
      <c r="F11" s="96"/>
      <c r="G11" s="96"/>
      <c r="H11" s="97"/>
      <c r="L11" s="80">
        <v>42410</v>
      </c>
      <c r="N11" s="12"/>
      <c r="P11" s="12" t="s">
        <v>549</v>
      </c>
      <c r="Q11" s="76">
        <f>U11/T11*S11</f>
        <v>0.77718749999999992</v>
      </c>
      <c r="R11" s="77" t="s">
        <v>527</v>
      </c>
      <c r="S11" s="83">
        <v>1.5</v>
      </c>
      <c r="T11" s="79">
        <v>16</v>
      </c>
      <c r="U11" s="54">
        <v>8.2899999999999991</v>
      </c>
      <c r="V11" s="55">
        <v>44501</v>
      </c>
      <c r="AI11" s="12" t="s">
        <v>550</v>
      </c>
      <c r="AJ11" s="12">
        <f t="shared" ref="AJ11:AO11" si="1">IF(AJ5&lt;AJ6,AJ5,AJ6)</f>
        <v>0</v>
      </c>
      <c r="AK11" s="12">
        <f t="shared" si="1"/>
        <v>0</v>
      </c>
      <c r="AL11" s="12">
        <f t="shared" si="1"/>
        <v>0</v>
      </c>
      <c r="AM11" s="12">
        <f t="shared" si="1"/>
        <v>0</v>
      </c>
      <c r="AN11" s="12">
        <f t="shared" si="1"/>
        <v>0</v>
      </c>
      <c r="AO11" s="12">
        <f t="shared" si="1"/>
        <v>0</v>
      </c>
      <c r="AZ11" s="80">
        <v>44349</v>
      </c>
    </row>
    <row r="12" spans="1:55" ht="15">
      <c r="A12" s="98">
        <v>16</v>
      </c>
      <c r="B12" s="99">
        <v>18</v>
      </c>
      <c r="C12" s="99">
        <v>24</v>
      </c>
      <c r="D12" s="99">
        <v>30</v>
      </c>
      <c r="E12" s="99">
        <v>36</v>
      </c>
      <c r="F12" s="100">
        <v>42</v>
      </c>
      <c r="G12" s="99">
        <v>48</v>
      </c>
      <c r="H12" s="99">
        <v>54</v>
      </c>
      <c r="N12" s="12"/>
      <c r="P12" s="12" t="s">
        <v>551</v>
      </c>
      <c r="Q12" s="76">
        <f>U12/T12*S12</f>
        <v>1.0631249999999999</v>
      </c>
      <c r="R12" s="77" t="s">
        <v>527</v>
      </c>
      <c r="S12" s="83">
        <v>1.5</v>
      </c>
      <c r="T12" s="79">
        <v>16</v>
      </c>
      <c r="U12" s="54">
        <v>11.34</v>
      </c>
      <c r="V12" s="55">
        <v>44502</v>
      </c>
      <c r="AZ12" s="80">
        <v>44349</v>
      </c>
    </row>
    <row r="13" spans="1:55" ht="15">
      <c r="A13" s="101">
        <v>10</v>
      </c>
      <c r="B13" s="102">
        <v>8</v>
      </c>
      <c r="C13" s="102">
        <v>8</v>
      </c>
      <c r="D13" s="102">
        <v>24</v>
      </c>
      <c r="E13" s="102">
        <v>30</v>
      </c>
      <c r="F13" s="103">
        <v>30</v>
      </c>
      <c r="G13" s="104">
        <v>35</v>
      </c>
      <c r="H13" s="104">
        <v>36</v>
      </c>
      <c r="N13" s="12"/>
      <c r="P13" s="12" t="s">
        <v>552</v>
      </c>
      <c r="Q13" s="76">
        <f>U13/T13*S13</f>
        <v>1.494375</v>
      </c>
      <c r="R13" s="77" t="s">
        <v>527</v>
      </c>
      <c r="S13" s="83">
        <v>1.5</v>
      </c>
      <c r="T13" s="79">
        <v>16</v>
      </c>
      <c r="U13" s="54">
        <v>15.94</v>
      </c>
      <c r="V13" s="55">
        <v>44503</v>
      </c>
      <c r="AJ13" s="12">
        <f t="shared" ref="AJ13:AO13" si="2">IF(AJ7&lt;AJ8,AJ7,AJ8)</f>
        <v>0</v>
      </c>
      <c r="AK13" s="12">
        <f t="shared" si="2"/>
        <v>0</v>
      </c>
      <c r="AL13" s="12">
        <f t="shared" si="2"/>
        <v>0</v>
      </c>
      <c r="AM13" s="12">
        <f t="shared" si="2"/>
        <v>0</v>
      </c>
      <c r="AN13" s="12">
        <f t="shared" si="2"/>
        <v>0</v>
      </c>
      <c r="AO13" s="12">
        <f t="shared" si="2"/>
        <v>0</v>
      </c>
      <c r="AZ13" s="80">
        <v>42410</v>
      </c>
    </row>
    <row r="14" spans="1:55" ht="15.45">
      <c r="A14" s="105" t="s">
        <v>553</v>
      </c>
      <c r="B14" s="106"/>
      <c r="C14" s="106"/>
      <c r="D14" s="106"/>
      <c r="E14" s="106"/>
      <c r="F14" s="106"/>
      <c r="G14" s="106"/>
      <c r="H14" s="107"/>
      <c r="N14" s="12"/>
      <c r="P14" s="12" t="s">
        <v>554</v>
      </c>
      <c r="Q14" s="76">
        <f>S14*U14</f>
        <v>0.04</v>
      </c>
      <c r="R14" s="82" t="s">
        <v>555</v>
      </c>
      <c r="S14" s="83">
        <v>1</v>
      </c>
      <c r="T14" s="108"/>
      <c r="U14" s="54">
        <v>0.04</v>
      </c>
      <c r="V14" s="55">
        <v>44504</v>
      </c>
      <c r="AZ14" s="80">
        <v>42410</v>
      </c>
    </row>
    <row r="15" spans="1:55" ht="15">
      <c r="A15" s="109">
        <v>6</v>
      </c>
      <c r="B15" s="92">
        <v>24</v>
      </c>
      <c r="C15" s="92">
        <v>30</v>
      </c>
      <c r="D15" s="92">
        <v>35</v>
      </c>
      <c r="E15" s="92">
        <v>45</v>
      </c>
      <c r="F15" s="110">
        <v>60</v>
      </c>
      <c r="G15" s="92">
        <v>80</v>
      </c>
      <c r="H15" s="111">
        <v>100</v>
      </c>
      <c r="N15" s="12"/>
      <c r="P15" s="12" t="s">
        <v>556</v>
      </c>
      <c r="Q15" s="76">
        <f>U15*S15</f>
        <v>24</v>
      </c>
      <c r="R15" s="82" t="s">
        <v>557</v>
      </c>
      <c r="S15" s="83">
        <v>1.2</v>
      </c>
      <c r="T15" s="108"/>
      <c r="U15" s="54">
        <v>20</v>
      </c>
      <c r="V15" s="55">
        <v>44505</v>
      </c>
      <c r="AG15" t="s">
        <v>558</v>
      </c>
      <c r="AH15" t="s">
        <v>559</v>
      </c>
      <c r="AJ15" s="12" t="e">
        <f t="shared" ref="AJ15:AO15" si="3">IF(AJ9&lt;AJ10,AJ9,AJ10)</f>
        <v>#REF!</v>
      </c>
      <c r="AK15" s="12" t="e">
        <f t="shared" si="3"/>
        <v>#REF!</v>
      </c>
      <c r="AL15" s="12" t="e">
        <f t="shared" si="3"/>
        <v>#REF!</v>
      </c>
      <c r="AM15" s="12" t="e">
        <f t="shared" si="3"/>
        <v>#REF!</v>
      </c>
      <c r="AN15" s="12" t="e">
        <f t="shared" si="3"/>
        <v>#REF!</v>
      </c>
      <c r="AO15" s="12" t="e">
        <f t="shared" si="3"/>
        <v>#REF!</v>
      </c>
      <c r="AZ15" s="80">
        <v>42410</v>
      </c>
    </row>
    <row r="16" spans="1:55">
      <c r="A16" s="112" t="s">
        <v>560</v>
      </c>
      <c r="B16" s="113"/>
      <c r="C16" s="113"/>
      <c r="D16" s="113"/>
      <c r="E16" s="113"/>
      <c r="F16" s="113"/>
      <c r="G16" s="113"/>
      <c r="H16" s="114"/>
      <c r="N16" s="12"/>
      <c r="P16" s="12" t="s">
        <v>561</v>
      </c>
      <c r="Q16" s="76">
        <f>S16*U16</f>
        <v>68.2</v>
      </c>
      <c r="R16" s="82" t="s">
        <v>562</v>
      </c>
      <c r="S16" s="83">
        <v>1.1000000000000001</v>
      </c>
      <c r="T16" s="108">
        <v>1</v>
      </c>
      <c r="U16" s="54">
        <v>62</v>
      </c>
      <c r="V16" s="55">
        <v>44506</v>
      </c>
      <c r="AG16">
        <v>7</v>
      </c>
      <c r="AH16">
        <v>0.17929999999999999</v>
      </c>
      <c r="AJ16" s="12">
        <f t="shared" ref="AJ16:AO18" si="4">IF(AJ11&lt;AJ13,AJ11,AJ13)</f>
        <v>0</v>
      </c>
      <c r="AK16" s="12">
        <f t="shared" si="4"/>
        <v>0</v>
      </c>
      <c r="AL16" s="12">
        <f t="shared" si="4"/>
        <v>0</v>
      </c>
      <c r="AM16" s="12">
        <f t="shared" si="4"/>
        <v>0</v>
      </c>
      <c r="AN16" s="12">
        <f t="shared" si="4"/>
        <v>0</v>
      </c>
      <c r="AO16" s="12">
        <f t="shared" si="4"/>
        <v>0</v>
      </c>
      <c r="AZ16" s="80">
        <v>42410</v>
      </c>
    </row>
    <row r="17" spans="1:54">
      <c r="A17" s="115">
        <v>0</v>
      </c>
      <c r="B17" s="116">
        <v>0</v>
      </c>
      <c r="C17" s="116">
        <v>0</v>
      </c>
      <c r="D17" s="116">
        <v>0</v>
      </c>
      <c r="E17" s="116">
        <v>0</v>
      </c>
      <c r="F17" s="116"/>
      <c r="G17" s="116"/>
      <c r="H17" s="117"/>
      <c r="N17" s="12"/>
      <c r="P17" s="12" t="s">
        <v>563</v>
      </c>
      <c r="Q17" s="76">
        <f>S17*U17</f>
        <v>68.2</v>
      </c>
      <c r="R17" s="82" t="s">
        <v>562</v>
      </c>
      <c r="S17" s="83">
        <v>1.1000000000000001</v>
      </c>
      <c r="T17" s="108">
        <v>1</v>
      </c>
      <c r="U17" s="54">
        <v>62</v>
      </c>
      <c r="V17" s="55">
        <v>44507</v>
      </c>
      <c r="AG17">
        <v>8</v>
      </c>
      <c r="AH17">
        <v>0.16439999999999999</v>
      </c>
      <c r="AJ17" s="12">
        <f t="shared" si="4"/>
        <v>0</v>
      </c>
      <c r="AK17" s="12">
        <f t="shared" si="4"/>
        <v>0</v>
      </c>
      <c r="AL17" s="12">
        <f t="shared" si="4"/>
        <v>0</v>
      </c>
      <c r="AM17" s="12">
        <f t="shared" si="4"/>
        <v>0</v>
      </c>
      <c r="AN17" s="12">
        <f t="shared" si="4"/>
        <v>0</v>
      </c>
      <c r="AO17" s="12">
        <f t="shared" si="4"/>
        <v>0</v>
      </c>
      <c r="AZ17" s="80">
        <v>42410</v>
      </c>
    </row>
    <row r="18" spans="1:54">
      <c r="F18" s="118"/>
      <c r="N18" s="12"/>
      <c r="P18" s="12" t="s">
        <v>564</v>
      </c>
      <c r="Q18" s="76">
        <f>S18*U18</f>
        <v>68.2</v>
      </c>
      <c r="R18" s="82" t="s">
        <v>562</v>
      </c>
      <c r="S18" s="83">
        <v>1.1000000000000001</v>
      </c>
      <c r="T18" s="108">
        <v>1</v>
      </c>
      <c r="U18" s="54">
        <v>62</v>
      </c>
      <c r="V18" s="55">
        <v>44508</v>
      </c>
      <c r="AG18">
        <v>9</v>
      </c>
      <c r="AH18">
        <v>0.14949999999999999</v>
      </c>
      <c r="AJ18" s="12" t="e">
        <f t="shared" si="4"/>
        <v>#REF!</v>
      </c>
      <c r="AK18" s="12" t="e">
        <f t="shared" si="4"/>
        <v>#REF!</v>
      </c>
      <c r="AL18" s="12" t="e">
        <f t="shared" si="4"/>
        <v>#REF!</v>
      </c>
      <c r="AM18" s="12" t="e">
        <f t="shared" si="4"/>
        <v>#REF!</v>
      </c>
      <c r="AN18" s="12" t="e">
        <f t="shared" si="4"/>
        <v>#REF!</v>
      </c>
      <c r="AO18" s="12" t="e">
        <f t="shared" si="4"/>
        <v>#REF!</v>
      </c>
      <c r="AZ18" s="80">
        <v>42410</v>
      </c>
    </row>
    <row r="19" spans="1:54" ht="28.5" customHeight="1">
      <c r="A19" s="119" t="s">
        <v>565</v>
      </c>
      <c r="D19" s="76">
        <v>25</v>
      </c>
      <c r="E19" s="82" t="s">
        <v>566</v>
      </c>
      <c r="I19" s="120" t="s">
        <v>567</v>
      </c>
      <c r="J19" s="121" t="s">
        <v>568</v>
      </c>
      <c r="K19" s="121" t="s">
        <v>569</v>
      </c>
      <c r="L19" s="122" t="s">
        <v>570</v>
      </c>
      <c r="N19" s="12"/>
      <c r="P19" s="12" t="s">
        <v>571</v>
      </c>
      <c r="Q19" s="123">
        <v>0.95</v>
      </c>
      <c r="R19" s="124" t="s">
        <v>527</v>
      </c>
      <c r="S19" s="83"/>
      <c r="T19" s="108"/>
      <c r="U19" s="54"/>
      <c r="AZ19" s="80"/>
    </row>
    <row r="20" spans="1:54">
      <c r="A20" s="119" t="s">
        <v>572</v>
      </c>
      <c r="D20" s="76">
        <v>45</v>
      </c>
      <c r="E20" s="82" t="s">
        <v>566</v>
      </c>
      <c r="I20" s="125" t="s">
        <v>573</v>
      </c>
      <c r="J20" s="12" t="s">
        <v>574</v>
      </c>
      <c r="K20" s="12" t="s">
        <v>575</v>
      </c>
      <c r="L20" s="126"/>
      <c r="N20" s="12"/>
      <c r="P20" s="12" t="s">
        <v>576</v>
      </c>
      <c r="Q20" s="123">
        <v>0.25</v>
      </c>
      <c r="R20" s="124" t="s">
        <v>527</v>
      </c>
      <c r="S20" s="83"/>
      <c r="T20" s="108"/>
      <c r="U20" s="54"/>
      <c r="AG20">
        <v>10</v>
      </c>
      <c r="AH20">
        <v>0.13450000000000001</v>
      </c>
      <c r="AJ20" s="12" t="e">
        <f t="shared" ref="AJ20:AO20" si="5">IF(AJ16&lt;AJ18,AJ16,AJ18)</f>
        <v>#REF!</v>
      </c>
      <c r="AK20" s="12" t="e">
        <f t="shared" si="5"/>
        <v>#REF!</v>
      </c>
      <c r="AL20" s="12" t="e">
        <f t="shared" si="5"/>
        <v>#REF!</v>
      </c>
      <c r="AM20" s="12" t="e">
        <f t="shared" si="5"/>
        <v>#REF!</v>
      </c>
      <c r="AN20" s="12" t="e">
        <f t="shared" si="5"/>
        <v>#REF!</v>
      </c>
      <c r="AO20" s="12" t="e">
        <f t="shared" si="5"/>
        <v>#REF!</v>
      </c>
      <c r="AZ20" s="80"/>
    </row>
    <row r="21" spans="1:54">
      <c r="A21" s="127" t="s">
        <v>577</v>
      </c>
      <c r="B21" s="62"/>
      <c r="C21" s="62"/>
      <c r="D21" s="62"/>
      <c r="E21" s="128"/>
      <c r="F21" s="129" t="s">
        <v>578</v>
      </c>
      <c r="G21" s="130" t="s">
        <v>579</v>
      </c>
      <c r="H21" s="131" t="s">
        <v>580</v>
      </c>
      <c r="I21" s="125" t="s">
        <v>581</v>
      </c>
      <c r="J21" s="12" t="s">
        <v>582</v>
      </c>
      <c r="L21" s="126"/>
      <c r="N21" s="12"/>
      <c r="P21" s="12" t="s">
        <v>583</v>
      </c>
      <c r="Q21" s="123">
        <v>45</v>
      </c>
      <c r="R21" s="82" t="s">
        <v>584</v>
      </c>
      <c r="S21" s="83"/>
      <c r="T21" s="108"/>
      <c r="U21" s="54"/>
      <c r="AZ21" s="80"/>
    </row>
    <row r="22" spans="1:54">
      <c r="A22" s="119" t="s">
        <v>585</v>
      </c>
      <c r="D22" s="76">
        <v>0.6</v>
      </c>
      <c r="E22" s="82" t="s">
        <v>555</v>
      </c>
      <c r="F22" s="132">
        <v>0.04</v>
      </c>
      <c r="G22" s="133">
        <v>80</v>
      </c>
      <c r="H22" s="134">
        <v>4.21</v>
      </c>
      <c r="I22" s="125"/>
      <c r="L22" s="126"/>
      <c r="N22" s="12"/>
      <c r="P22" s="12" t="s">
        <v>586</v>
      </c>
      <c r="Q22" s="123">
        <v>8</v>
      </c>
      <c r="R22" s="82" t="s">
        <v>587</v>
      </c>
      <c r="S22" s="83"/>
      <c r="T22" s="108"/>
      <c r="U22" s="12"/>
      <c r="V22" s="135"/>
      <c r="W22" s="54"/>
      <c r="BB22" s="80"/>
    </row>
    <row r="23" spans="1:54" ht="12.65" customHeight="1">
      <c r="A23" s="119" t="s">
        <v>588</v>
      </c>
      <c r="D23" s="76">
        <v>0.65</v>
      </c>
      <c r="E23" s="82" t="s">
        <v>555</v>
      </c>
      <c r="F23" s="2878" t="s">
        <v>589</v>
      </c>
      <c r="G23" s="2878"/>
      <c r="H23" s="2879">
        <f>H22/J30+(F22+(G22/2000))*1.0825</f>
        <v>0.64602443729716608</v>
      </c>
      <c r="I23" s="2880">
        <f>Summary!K53</f>
        <v>377542.4517244951</v>
      </c>
      <c r="J23" s="2880"/>
      <c r="L23" s="126"/>
      <c r="N23" s="12"/>
      <c r="P23" s="127" t="s">
        <v>590</v>
      </c>
      <c r="Q23" s="136"/>
      <c r="R23" s="128"/>
      <c r="S23" s="83"/>
      <c r="T23" s="108"/>
      <c r="U23" s="12"/>
      <c r="V23" s="135"/>
      <c r="W23" s="54"/>
      <c r="BB23" s="80"/>
    </row>
    <row r="24" spans="1:54">
      <c r="A24" s="119" t="s">
        <v>591</v>
      </c>
      <c r="D24" s="76">
        <v>0.6</v>
      </c>
      <c r="E24" s="82" t="s">
        <v>555</v>
      </c>
      <c r="F24" s="2878"/>
      <c r="G24" s="2878"/>
      <c r="H24" s="2879"/>
      <c r="I24" s="137"/>
      <c r="J24" s="138"/>
      <c r="K24" s="60"/>
      <c r="L24" s="139"/>
      <c r="N24" s="12"/>
      <c r="P24" s="119" t="s">
        <v>592</v>
      </c>
      <c r="Q24" s="76">
        <v>45</v>
      </c>
      <c r="R24" s="82" t="s">
        <v>593</v>
      </c>
      <c r="S24" s="83"/>
      <c r="T24" s="108"/>
      <c r="U24" s="12"/>
      <c r="V24" s="135"/>
      <c r="W24" s="54"/>
      <c r="BB24" s="80"/>
    </row>
    <row r="25" spans="1:54">
      <c r="A25" s="119" t="s">
        <v>594</v>
      </c>
      <c r="B25" s="140"/>
      <c r="C25" s="141"/>
      <c r="D25" s="76">
        <v>1.45</v>
      </c>
      <c r="E25" s="82" t="s">
        <v>595</v>
      </c>
      <c r="F25" s="2881" t="s">
        <v>596</v>
      </c>
      <c r="G25" s="2881"/>
      <c r="H25" s="2882">
        <f>H22/J30*1.0825</f>
        <v>0.60557695337418227</v>
      </c>
      <c r="N25" s="12"/>
      <c r="P25" s="119" t="s">
        <v>597</v>
      </c>
      <c r="Q25" s="76">
        <v>12</v>
      </c>
      <c r="R25" s="82" t="s">
        <v>595</v>
      </c>
      <c r="S25" s="83"/>
      <c r="T25" s="108"/>
      <c r="U25" s="12"/>
      <c r="V25" s="135"/>
      <c r="W25" s="54"/>
      <c r="BB25" s="80"/>
    </row>
    <row r="26" spans="1:54">
      <c r="A26" s="119" t="s">
        <v>598</v>
      </c>
      <c r="B26" s="140"/>
      <c r="C26" s="141" t="s">
        <v>599</v>
      </c>
      <c r="D26" s="76">
        <v>0.4</v>
      </c>
      <c r="E26" s="82" t="s">
        <v>600</v>
      </c>
      <c r="F26" s="2881"/>
      <c r="G26" s="2881"/>
      <c r="H26" s="2882"/>
      <c r="N26" s="12"/>
      <c r="P26" s="12" t="s">
        <v>601</v>
      </c>
      <c r="Q26" s="123">
        <v>0.45</v>
      </c>
      <c r="R26" s="82" t="s">
        <v>595</v>
      </c>
      <c r="S26" s="83"/>
      <c r="T26" s="108"/>
      <c r="U26" s="54"/>
      <c r="AZ26" s="80"/>
    </row>
    <row r="27" spans="1:54">
      <c r="A27" s="119" t="s">
        <v>602</v>
      </c>
      <c r="B27" s="140"/>
      <c r="C27" s="141" t="s">
        <v>603</v>
      </c>
      <c r="D27" s="76">
        <f>73.3/160</f>
        <v>0.458125</v>
      </c>
      <c r="E27" s="82" t="s">
        <v>600</v>
      </c>
      <c r="N27" s="12"/>
      <c r="P27" s="12" t="s">
        <v>604</v>
      </c>
      <c r="Q27" s="123">
        <v>0.75</v>
      </c>
      <c r="R27" s="82" t="s">
        <v>595</v>
      </c>
      <c r="S27" s="83"/>
      <c r="T27" s="108"/>
      <c r="U27" s="54"/>
      <c r="AH27">
        <f>AH20*0.5</f>
        <v>6.7250000000000004E-2</v>
      </c>
      <c r="AI27" s="12">
        <f>AH20*0.5</f>
        <v>6.7250000000000004E-2</v>
      </c>
      <c r="AJ27" s="12">
        <v>3.145</v>
      </c>
      <c r="AK27" s="12">
        <v>0.28360000000000002</v>
      </c>
      <c r="AL27" s="12">
        <v>240</v>
      </c>
      <c r="AM27" s="12">
        <v>12</v>
      </c>
      <c r="AN27" s="12">
        <f>AH27*AI27*AJ27*AK27*AL27*AM27</f>
        <v>11.617266211560002</v>
      </c>
      <c r="AZ27" s="80"/>
    </row>
    <row r="28" spans="1:54">
      <c r="A28" s="119" t="s">
        <v>598</v>
      </c>
      <c r="C28" s="12" t="s">
        <v>605</v>
      </c>
      <c r="D28" s="76">
        <f>138/160</f>
        <v>0.86250000000000004</v>
      </c>
      <c r="E28" s="82" t="s">
        <v>600</v>
      </c>
      <c r="N28" s="12"/>
      <c r="P28" s="12" t="s">
        <v>606</v>
      </c>
      <c r="Q28" s="123">
        <v>45</v>
      </c>
      <c r="R28" s="82" t="s">
        <v>607</v>
      </c>
      <c r="S28" s="83"/>
      <c r="T28" s="108"/>
      <c r="U28" s="54"/>
      <c r="AZ28" s="80"/>
    </row>
    <row r="29" spans="1:54">
      <c r="A29" s="119" t="s">
        <v>608</v>
      </c>
      <c r="D29" s="76">
        <v>1.05</v>
      </c>
      <c r="E29" s="82" t="s">
        <v>600</v>
      </c>
      <c r="G29" s="12" t="s">
        <v>609</v>
      </c>
      <c r="H29" s="12" t="s">
        <v>610</v>
      </c>
      <c r="I29" s="12" t="s">
        <v>611</v>
      </c>
      <c r="J29" s="12" t="s">
        <v>612</v>
      </c>
      <c r="N29" s="12"/>
      <c r="P29" s="12" t="s">
        <v>613</v>
      </c>
      <c r="Q29" s="123">
        <v>2.25</v>
      </c>
      <c r="R29" s="82" t="s">
        <v>595</v>
      </c>
      <c r="S29" s="83"/>
      <c r="T29" s="108"/>
      <c r="U29" s="54"/>
      <c r="V29" s="55">
        <f>AH20/2*AH20/2*3.145*0.2836*20*6</f>
        <v>0.48405275881500009</v>
      </c>
      <c r="AZ29" s="80"/>
    </row>
    <row r="30" spans="1:54" ht="15">
      <c r="A30" s="119" t="s">
        <v>614</v>
      </c>
      <c r="B30" s="140"/>
      <c r="C30" s="141"/>
      <c r="D30" s="76">
        <v>1</v>
      </c>
      <c r="E30" s="82" t="s">
        <v>595</v>
      </c>
      <c r="G30" s="142">
        <v>20</v>
      </c>
      <c r="H30" s="143">
        <v>3</v>
      </c>
      <c r="I30" s="144">
        <v>1</v>
      </c>
      <c r="J30" s="145">
        <f>G30*(H30*H30*0.04180884375)*I30</f>
        <v>7.5255918749999999</v>
      </c>
      <c r="N30" s="12"/>
      <c r="P30" s="12" t="s">
        <v>615</v>
      </c>
      <c r="Q30" s="123">
        <v>3</v>
      </c>
      <c r="R30" s="82" t="s">
        <v>595</v>
      </c>
      <c r="S30" s="83"/>
      <c r="T30" s="108"/>
      <c r="U30" s="54"/>
      <c r="AZ30" s="80"/>
    </row>
    <row r="31" spans="1:54">
      <c r="A31" s="146" t="s">
        <v>616</v>
      </c>
      <c r="B31" s="62"/>
      <c r="C31" s="62"/>
      <c r="D31" s="147" t="s">
        <v>617</v>
      </c>
      <c r="E31" s="148"/>
      <c r="G31" s="53"/>
      <c r="N31" s="12"/>
      <c r="P31" s="12" t="s">
        <v>618</v>
      </c>
      <c r="Q31" s="123">
        <v>27</v>
      </c>
      <c r="R31" s="82" t="s">
        <v>607</v>
      </c>
      <c r="S31" s="83"/>
      <c r="T31" s="108"/>
      <c r="U31" s="54"/>
      <c r="AZ31" s="80"/>
    </row>
    <row r="32" spans="1:54">
      <c r="A32" s="12" t="s">
        <v>619</v>
      </c>
      <c r="B32" s="94"/>
      <c r="D32" s="94">
        <v>425</v>
      </c>
      <c r="E32" s="12" t="s">
        <v>620</v>
      </c>
      <c r="N32" s="12"/>
      <c r="P32" s="12" t="s">
        <v>621</v>
      </c>
      <c r="Q32" s="123">
        <v>1.25</v>
      </c>
      <c r="R32" s="124" t="s">
        <v>527</v>
      </c>
      <c r="S32" s="83"/>
      <c r="T32" s="108"/>
      <c r="U32" s="54"/>
      <c r="AZ32" s="80"/>
    </row>
    <row r="33" spans="1:52">
      <c r="A33" s="12" t="s">
        <v>622</v>
      </c>
      <c r="B33" s="94"/>
      <c r="D33" s="94">
        <v>475</v>
      </c>
      <c r="E33" s="12" t="s">
        <v>620</v>
      </c>
      <c r="N33" s="12"/>
      <c r="P33" s="119" t="s">
        <v>623</v>
      </c>
      <c r="Q33" s="76">
        <v>8</v>
      </c>
      <c r="R33" s="12"/>
      <c r="S33" s="83"/>
      <c r="T33" s="108"/>
      <c r="U33" s="54"/>
      <c r="AZ33" s="80"/>
    </row>
    <row r="34" spans="1:52">
      <c r="A34" s="12" t="s">
        <v>624</v>
      </c>
      <c r="B34" s="94"/>
      <c r="D34" s="94">
        <v>325</v>
      </c>
      <c r="E34" s="12" t="s">
        <v>620</v>
      </c>
      <c r="N34" s="12"/>
      <c r="P34" s="12" t="s">
        <v>625</v>
      </c>
      <c r="Q34" s="76">
        <f>S34*U34</f>
        <v>45.239999999999995</v>
      </c>
      <c r="R34" s="82" t="s">
        <v>562</v>
      </c>
      <c r="S34" s="83">
        <v>1.3</v>
      </c>
      <c r="T34" s="108"/>
      <c r="U34" s="54">
        <v>34.799999999999997</v>
      </c>
      <c r="AZ34" s="80">
        <v>42410</v>
      </c>
    </row>
    <row r="35" spans="1:52">
      <c r="A35" s="12" t="s">
        <v>626</v>
      </c>
      <c r="B35" s="94"/>
      <c r="D35" s="94">
        <v>325</v>
      </c>
      <c r="E35" s="12" t="s">
        <v>620</v>
      </c>
      <c r="N35" s="12"/>
      <c r="P35" s="12" t="s">
        <v>627</v>
      </c>
      <c r="Q35" s="76">
        <f>S35*U35</f>
        <v>52.260000000000005</v>
      </c>
      <c r="R35" s="82"/>
      <c r="S35" s="83">
        <v>1.3</v>
      </c>
      <c r="T35" s="108"/>
      <c r="U35" s="54">
        <v>40.200000000000003</v>
      </c>
      <c r="AZ35" s="80">
        <v>42410</v>
      </c>
    </row>
    <row r="36" spans="1:52">
      <c r="A36" s="12" t="s">
        <v>628</v>
      </c>
      <c r="B36" s="94"/>
      <c r="D36" s="94">
        <v>350</v>
      </c>
      <c r="E36" s="12" t="s">
        <v>620</v>
      </c>
      <c r="N36" s="12"/>
      <c r="P36" s="12" t="s">
        <v>629</v>
      </c>
      <c r="Q36" s="76">
        <f>S36*U36</f>
        <v>37.799999999999997</v>
      </c>
      <c r="R36" s="82" t="s">
        <v>630</v>
      </c>
      <c r="S36" s="83">
        <v>1.5</v>
      </c>
      <c r="T36" s="108"/>
      <c r="U36" s="54">
        <v>25.2</v>
      </c>
      <c r="AZ36" s="80">
        <v>42410</v>
      </c>
    </row>
    <row r="37" spans="1:52">
      <c r="A37" s="13" t="s">
        <v>631</v>
      </c>
      <c r="D37" s="94">
        <v>45</v>
      </c>
      <c r="E37" s="12" t="s">
        <v>620</v>
      </c>
      <c r="G37" s="94"/>
      <c r="N37" s="12"/>
      <c r="P37" s="127" t="s">
        <v>632</v>
      </c>
      <c r="Q37" s="149"/>
      <c r="R37" s="150"/>
      <c r="S37" s="83"/>
      <c r="T37" s="108"/>
      <c r="U37" s="54"/>
      <c r="AZ37" s="80"/>
    </row>
    <row r="38" spans="1:52">
      <c r="A38" s="13" t="s">
        <v>633</v>
      </c>
      <c r="D38" s="94">
        <v>100</v>
      </c>
      <c r="E38" s="12" t="s">
        <v>620</v>
      </c>
      <c r="G38" s="94"/>
      <c r="L38" s="12">
        <f>159-78</f>
        <v>81</v>
      </c>
      <c r="N38" s="12"/>
      <c r="P38" s="119" t="s">
        <v>634</v>
      </c>
      <c r="Q38" s="76">
        <f>U38*T38*S38</f>
        <v>23.924999999999997</v>
      </c>
      <c r="R38" s="82" t="s">
        <v>607</v>
      </c>
      <c r="S38" s="151">
        <v>1.5</v>
      </c>
      <c r="T38" s="152">
        <v>500</v>
      </c>
      <c r="U38" s="54">
        <v>3.1899999999999998E-2</v>
      </c>
      <c r="AZ38" s="80">
        <v>42410</v>
      </c>
    </row>
    <row r="39" spans="1:52">
      <c r="A39" s="13" t="s">
        <v>635</v>
      </c>
      <c r="D39" s="94">
        <v>100</v>
      </c>
      <c r="E39" s="12" t="s">
        <v>620</v>
      </c>
      <c r="G39" s="94"/>
      <c r="I39" s="153"/>
      <c r="J39" s="154"/>
      <c r="N39" s="12"/>
      <c r="P39" s="119" t="s">
        <v>636</v>
      </c>
      <c r="Q39" s="76">
        <f>U39*T39*S39</f>
        <v>27</v>
      </c>
      <c r="R39" s="82" t="s">
        <v>607</v>
      </c>
      <c r="S39" s="151">
        <v>1.5</v>
      </c>
      <c r="T39" s="152">
        <v>500</v>
      </c>
      <c r="U39" s="54">
        <v>3.5999999999999997E-2</v>
      </c>
      <c r="AZ39" s="80">
        <v>42410</v>
      </c>
    </row>
    <row r="40" spans="1:52">
      <c r="A40" s="13" t="s">
        <v>637</v>
      </c>
      <c r="D40" s="94">
        <v>32</v>
      </c>
      <c r="E40" s="12" t="s">
        <v>620</v>
      </c>
      <c r="G40" s="94"/>
      <c r="I40" s="155"/>
      <c r="J40" s="155"/>
      <c r="N40" s="12"/>
      <c r="P40" s="119" t="s">
        <v>638</v>
      </c>
      <c r="Q40" s="76">
        <f t="shared" ref="Q40:Q48" si="6">S40*U40</f>
        <v>52.199999999999996</v>
      </c>
      <c r="R40" s="82" t="s">
        <v>562</v>
      </c>
      <c r="S40" s="83">
        <v>1.5</v>
      </c>
      <c r="T40" s="108"/>
      <c r="U40" s="54">
        <f>U34</f>
        <v>34.799999999999997</v>
      </c>
      <c r="AZ40" s="80">
        <v>42410</v>
      </c>
    </row>
    <row r="41" spans="1:52">
      <c r="A41" s="13" t="s">
        <v>639</v>
      </c>
      <c r="D41" s="94">
        <v>380</v>
      </c>
      <c r="E41" s="12" t="s">
        <v>620</v>
      </c>
      <c r="I41" s="155"/>
      <c r="J41" s="155"/>
      <c r="N41" s="12"/>
      <c r="P41" s="119" t="s">
        <v>640</v>
      </c>
      <c r="Q41" s="76">
        <f t="shared" si="6"/>
        <v>1.5</v>
      </c>
      <c r="R41" s="82" t="s">
        <v>595</v>
      </c>
      <c r="S41" s="83">
        <v>1</v>
      </c>
      <c r="T41" s="108"/>
      <c r="U41" s="54">
        <v>1.5</v>
      </c>
      <c r="AZ41" s="80"/>
    </row>
    <row r="42" spans="1:52">
      <c r="A42" s="156" t="s">
        <v>641</v>
      </c>
      <c r="D42" s="94">
        <v>2400</v>
      </c>
      <c r="E42" s="12" t="s">
        <v>620</v>
      </c>
      <c r="N42" s="12"/>
      <c r="P42" s="119" t="s">
        <v>642</v>
      </c>
      <c r="Q42" s="76">
        <f t="shared" si="6"/>
        <v>45</v>
      </c>
      <c r="R42" s="82" t="s">
        <v>562</v>
      </c>
      <c r="S42" s="83">
        <v>1</v>
      </c>
      <c r="T42" s="108"/>
      <c r="U42" s="54">
        <v>45</v>
      </c>
      <c r="AZ42" s="80"/>
    </row>
    <row r="43" spans="1:52">
      <c r="A43" s="13" t="s">
        <v>643</v>
      </c>
      <c r="D43" s="94">
        <v>240</v>
      </c>
      <c r="E43" s="12" t="s">
        <v>620</v>
      </c>
      <c r="N43" s="12"/>
      <c r="P43" s="12" t="s">
        <v>644</v>
      </c>
      <c r="Q43" s="76">
        <f t="shared" si="6"/>
        <v>105</v>
      </c>
      <c r="R43" s="82" t="s">
        <v>630</v>
      </c>
      <c r="S43" s="83">
        <v>1.25</v>
      </c>
      <c r="T43" s="108"/>
      <c r="U43" s="54">
        <v>84</v>
      </c>
      <c r="AZ43" s="80">
        <v>42410</v>
      </c>
    </row>
    <row r="44" spans="1:52">
      <c r="A44" s="13" t="s">
        <v>645</v>
      </c>
      <c r="D44" s="94">
        <v>425</v>
      </c>
      <c r="E44" s="12" t="s">
        <v>620</v>
      </c>
      <c r="N44" s="12"/>
      <c r="P44" s="12" t="s">
        <v>646</v>
      </c>
      <c r="Q44" s="76">
        <f t="shared" si="6"/>
        <v>567.5</v>
      </c>
      <c r="R44" s="82" t="s">
        <v>647</v>
      </c>
      <c r="S44" s="83">
        <v>1.25</v>
      </c>
      <c r="T44" s="108"/>
      <c r="U44" s="54">
        <v>454</v>
      </c>
      <c r="AZ44" s="80">
        <v>42410</v>
      </c>
    </row>
    <row r="45" spans="1:52">
      <c r="A45" s="13" t="s">
        <v>648</v>
      </c>
      <c r="D45" s="94">
        <v>450</v>
      </c>
      <c r="E45" s="12" t="s">
        <v>620</v>
      </c>
      <c r="N45" s="12"/>
      <c r="P45" s="12" t="s">
        <v>649</v>
      </c>
      <c r="Q45" s="76">
        <f t="shared" si="6"/>
        <v>542</v>
      </c>
      <c r="R45" s="82" t="s">
        <v>647</v>
      </c>
      <c r="S45" s="83">
        <v>1</v>
      </c>
      <c r="T45" s="108"/>
      <c r="U45" s="54">
        <v>542</v>
      </c>
      <c r="AZ45" s="80"/>
    </row>
    <row r="46" spans="1:52">
      <c r="A46" s="157" t="s">
        <v>650</v>
      </c>
      <c r="B46" s="158"/>
      <c r="C46" s="159">
        <v>39222</v>
      </c>
      <c r="D46" s="158"/>
      <c r="E46" s="158"/>
      <c r="F46" s="158"/>
      <c r="G46" s="158"/>
      <c r="H46" s="160"/>
      <c r="N46" s="12"/>
      <c r="P46" s="12" t="s">
        <v>651</v>
      </c>
      <c r="Q46" s="76">
        <f t="shared" si="6"/>
        <v>635</v>
      </c>
      <c r="R46" s="82" t="s">
        <v>647</v>
      </c>
      <c r="S46" s="83">
        <v>1</v>
      </c>
      <c r="T46" s="108"/>
      <c r="U46" s="54">
        <v>635</v>
      </c>
      <c r="AZ46" s="80"/>
    </row>
    <row r="47" spans="1:52">
      <c r="A47" s="71" t="s">
        <v>652</v>
      </c>
      <c r="C47" s="76">
        <v>0.55000000000000004</v>
      </c>
      <c r="H47" s="126"/>
      <c r="N47" s="12"/>
      <c r="P47" s="12" t="s">
        <v>653</v>
      </c>
      <c r="Q47" s="76">
        <f t="shared" si="6"/>
        <v>1.9950000000000001</v>
      </c>
      <c r="R47" s="12"/>
      <c r="S47" s="161">
        <v>1.5</v>
      </c>
      <c r="T47" s="162"/>
      <c r="U47" s="54">
        <v>1.33</v>
      </c>
      <c r="AZ47" s="80">
        <v>42410</v>
      </c>
    </row>
    <row r="48" spans="1:52">
      <c r="A48" s="71" t="s">
        <v>654</v>
      </c>
      <c r="C48" s="76">
        <v>1.25</v>
      </c>
      <c r="H48" s="126"/>
      <c r="N48" s="12"/>
      <c r="P48" s="12" t="s">
        <v>655</v>
      </c>
      <c r="Q48" s="76">
        <f t="shared" si="6"/>
        <v>2.25</v>
      </c>
      <c r="R48" s="12"/>
      <c r="S48" s="161">
        <v>1.5</v>
      </c>
      <c r="T48" s="162"/>
      <c r="U48" s="54">
        <v>1.5</v>
      </c>
      <c r="AZ48" s="80">
        <v>42410</v>
      </c>
    </row>
    <row r="49" spans="1:53">
      <c r="A49" s="71" t="s">
        <v>656</v>
      </c>
      <c r="C49" s="76">
        <v>0.75</v>
      </c>
      <c r="H49" s="126"/>
      <c r="N49" s="12"/>
      <c r="P49" s="12" t="s">
        <v>657</v>
      </c>
      <c r="Q49" s="76">
        <f>S49*U49</f>
        <v>3.12</v>
      </c>
      <c r="R49" s="12"/>
      <c r="S49" s="161">
        <v>1.5</v>
      </c>
      <c r="T49" s="162"/>
      <c r="U49" s="54">
        <v>2.08</v>
      </c>
      <c r="AZ49" s="80">
        <v>42410</v>
      </c>
    </row>
    <row r="50" spans="1:53" ht="12.75" customHeight="1">
      <c r="A50" s="71" t="s">
        <v>658</v>
      </c>
      <c r="C50" s="76">
        <v>2</v>
      </c>
      <c r="H50" s="126"/>
      <c r="N50" s="12"/>
      <c r="P50" s="12" t="s">
        <v>659</v>
      </c>
      <c r="Q50" s="76">
        <f>S50*U50</f>
        <v>4.9950000000000001</v>
      </c>
      <c r="R50" s="12"/>
      <c r="S50" s="161">
        <v>1.5</v>
      </c>
      <c r="T50" s="162"/>
      <c r="U50" s="54">
        <v>3.33</v>
      </c>
      <c r="AZ50" s="80">
        <v>42410</v>
      </c>
    </row>
    <row r="51" spans="1:53" ht="17.25" customHeight="1">
      <c r="A51" s="71"/>
      <c r="C51" s="76"/>
      <c r="F51" s="12" t="s">
        <v>660</v>
      </c>
      <c r="G51" s="12" t="s">
        <v>106</v>
      </c>
      <c r="H51" s="126" t="s">
        <v>661</v>
      </c>
      <c r="K51" s="163" t="s">
        <v>662</v>
      </c>
      <c r="L51" s="80"/>
      <c r="N51" s="12"/>
      <c r="P51" s="12"/>
      <c r="Q51" s="53"/>
      <c r="R51" s="12"/>
      <c r="S51" s="161"/>
      <c r="T51" s="162"/>
      <c r="U51" s="54"/>
    </row>
    <row r="52" spans="1:53" ht="18" customHeight="1">
      <c r="A52" s="71" t="s">
        <v>663</v>
      </c>
      <c r="C52" s="76">
        <v>0.45</v>
      </c>
      <c r="D52" s="12" t="s">
        <v>664</v>
      </c>
      <c r="F52" s="164">
        <v>150</v>
      </c>
      <c r="G52" s="164">
        <v>600</v>
      </c>
      <c r="H52" s="165">
        <v>800</v>
      </c>
      <c r="N52" s="12"/>
      <c r="P52" s="66" t="s">
        <v>665</v>
      </c>
      <c r="Q52" s="166"/>
      <c r="R52" s="127"/>
      <c r="S52" s="83"/>
      <c r="T52" s="108"/>
      <c r="U52" s="54"/>
      <c r="AZ52" s="80"/>
    </row>
    <row r="53" spans="1:53">
      <c r="A53" s="71" t="s">
        <v>663</v>
      </c>
      <c r="C53" s="76">
        <v>0.55000000000000004</v>
      </c>
      <c r="D53" s="12" t="s">
        <v>666</v>
      </c>
      <c r="F53" s="164">
        <v>250</v>
      </c>
      <c r="H53" s="126"/>
      <c r="N53" s="12"/>
      <c r="P53" s="119" t="s">
        <v>667</v>
      </c>
      <c r="Q53" s="76">
        <f t="shared" ref="Q53:Q59" si="7">S53*U53</f>
        <v>66</v>
      </c>
      <c r="R53" s="82" t="s">
        <v>630</v>
      </c>
      <c r="S53" s="83">
        <v>1.1000000000000001</v>
      </c>
      <c r="T53" s="108"/>
      <c r="U53" s="54">
        <v>60</v>
      </c>
      <c r="AZ53" s="80"/>
    </row>
    <row r="54" spans="1:53">
      <c r="A54" s="71" t="s">
        <v>668</v>
      </c>
      <c r="C54" s="76"/>
      <c r="F54" s="164">
        <v>150</v>
      </c>
      <c r="H54" s="126"/>
      <c r="N54" s="12"/>
      <c r="P54" s="119" t="s">
        <v>669</v>
      </c>
      <c r="Q54" s="76">
        <f t="shared" si="7"/>
        <v>82.5</v>
      </c>
      <c r="R54" s="82" t="s">
        <v>630</v>
      </c>
      <c r="S54" s="83">
        <v>1.1000000000000001</v>
      </c>
      <c r="T54" s="108"/>
      <c r="U54" s="54">
        <v>75</v>
      </c>
      <c r="V54" s="55">
        <v>44631</v>
      </c>
      <c r="AZ54" s="80"/>
    </row>
    <row r="55" spans="1:53">
      <c r="A55" s="71"/>
      <c r="C55" s="76"/>
      <c r="H55" s="126"/>
      <c r="I55" s="12" t="s">
        <v>670</v>
      </c>
      <c r="N55" s="12"/>
      <c r="P55" s="119" t="s">
        <v>671</v>
      </c>
      <c r="Q55" s="76">
        <f t="shared" si="7"/>
        <v>110.00000000000001</v>
      </c>
      <c r="R55" s="82" t="s">
        <v>630</v>
      </c>
      <c r="S55" s="83">
        <v>1.1000000000000001</v>
      </c>
      <c r="T55" s="108"/>
      <c r="U55" s="54">
        <v>100</v>
      </c>
      <c r="V55" s="55">
        <v>44631</v>
      </c>
      <c r="AZ55" s="80"/>
    </row>
    <row r="56" spans="1:53">
      <c r="A56" s="84" t="s">
        <v>672</v>
      </c>
      <c r="B56" s="60"/>
      <c r="C56" s="133">
        <v>6</v>
      </c>
      <c r="D56" s="60" t="s">
        <v>664</v>
      </c>
      <c r="E56" s="60"/>
      <c r="F56" s="60"/>
      <c r="G56" s="60"/>
      <c r="H56" s="139"/>
      <c r="N56" s="12"/>
      <c r="P56" s="12" t="s">
        <v>673</v>
      </c>
      <c r="Q56" s="76">
        <f t="shared" si="7"/>
        <v>370</v>
      </c>
      <c r="R56" s="82" t="s">
        <v>630</v>
      </c>
      <c r="S56" s="81">
        <v>1</v>
      </c>
      <c r="T56" s="108"/>
      <c r="U56" s="54">
        <v>370</v>
      </c>
      <c r="V56" s="55">
        <v>44631</v>
      </c>
      <c r="AZ56" s="80"/>
    </row>
    <row r="57" spans="1:53">
      <c r="L57" s="80" t="s">
        <v>674</v>
      </c>
      <c r="N57" s="12"/>
      <c r="P57" s="12" t="s">
        <v>675</v>
      </c>
      <c r="Q57" s="76">
        <f t="shared" si="7"/>
        <v>370</v>
      </c>
      <c r="R57" s="82" t="s">
        <v>630</v>
      </c>
      <c r="S57" s="81">
        <v>1</v>
      </c>
      <c r="T57" s="108"/>
      <c r="U57" s="54">
        <v>370</v>
      </c>
      <c r="V57" s="55">
        <v>44631</v>
      </c>
      <c r="AZ57" s="80"/>
    </row>
    <row r="58" spans="1:53">
      <c r="N58" s="12"/>
      <c r="P58" s="12" t="s">
        <v>676</v>
      </c>
      <c r="Q58" s="76">
        <f t="shared" si="7"/>
        <v>310</v>
      </c>
      <c r="R58" s="82" t="s">
        <v>630</v>
      </c>
      <c r="S58" s="81">
        <v>1</v>
      </c>
      <c r="T58" s="108"/>
      <c r="U58" s="54">
        <f>310</f>
        <v>310</v>
      </c>
      <c r="V58" s="55">
        <v>44631</v>
      </c>
      <c r="AZ58" s="80"/>
    </row>
    <row r="59" spans="1:53" ht="17.600000000000001">
      <c r="A59" s="167" t="s">
        <v>677</v>
      </c>
      <c r="B59" s="168"/>
      <c r="C59" s="168"/>
      <c r="D59" s="168"/>
      <c r="E59" s="168"/>
      <c r="F59" s="168"/>
      <c r="G59" s="168"/>
      <c r="H59" s="168"/>
      <c r="I59" s="160"/>
      <c r="N59" s="12"/>
      <c r="P59" s="12" t="s">
        <v>678</v>
      </c>
      <c r="Q59" s="123">
        <f t="shared" si="7"/>
        <v>310</v>
      </c>
      <c r="R59" s="82" t="s">
        <v>630</v>
      </c>
      <c r="S59" s="81">
        <v>1</v>
      </c>
      <c r="T59" s="108"/>
      <c r="U59" s="54">
        <f>310</f>
        <v>310</v>
      </c>
      <c r="V59" s="55">
        <v>44631</v>
      </c>
      <c r="AZ59" s="80"/>
    </row>
    <row r="60" spans="1:53" ht="14.15">
      <c r="A60" s="169" t="s">
        <v>679</v>
      </c>
      <c r="I60" s="126"/>
      <c r="N60" s="12"/>
      <c r="P60" s="12" t="s">
        <v>680</v>
      </c>
      <c r="Q60" s="123">
        <v>22.76</v>
      </c>
      <c r="R60" s="82" t="s">
        <v>681</v>
      </c>
      <c r="S60" s="83"/>
      <c r="T60" s="108"/>
      <c r="U60" s="54"/>
      <c r="AZ60" s="80"/>
    </row>
    <row r="61" spans="1:53" ht="14.15">
      <c r="A61" s="169" t="s">
        <v>682</v>
      </c>
      <c r="I61" s="126"/>
      <c r="L61" s="119"/>
      <c r="N61" s="12"/>
      <c r="P61" s="12" t="s">
        <v>680</v>
      </c>
      <c r="Q61" s="123">
        <v>1.65</v>
      </c>
      <c r="R61" s="82" t="s">
        <v>683</v>
      </c>
      <c r="S61" s="83">
        <v>1</v>
      </c>
      <c r="T61" s="108"/>
      <c r="U61" s="54"/>
      <c r="AZ61" s="80">
        <v>44349</v>
      </c>
      <c r="BA61" s="12" t="s">
        <v>684</v>
      </c>
    </row>
    <row r="62" spans="1:53" ht="14.15">
      <c r="A62" s="169" t="s">
        <v>685</v>
      </c>
      <c r="B62" s="12" t="s">
        <v>686</v>
      </c>
      <c r="I62" s="126"/>
      <c r="L62" s="119"/>
      <c r="N62" s="12"/>
      <c r="P62" s="123" t="s">
        <v>687</v>
      </c>
      <c r="Q62" s="170">
        <f>S62*U62</f>
        <v>49.500000000000007</v>
      </c>
      <c r="R62" s="12"/>
      <c r="S62" s="161">
        <v>1.1000000000000001</v>
      </c>
      <c r="T62" s="162"/>
      <c r="U62" s="54">
        <v>45</v>
      </c>
      <c r="AZ62" s="80">
        <v>44349</v>
      </c>
      <c r="BA62" s="12" t="s">
        <v>684</v>
      </c>
    </row>
    <row r="63" spans="1:53" ht="14.15">
      <c r="A63" s="169" t="s">
        <v>688</v>
      </c>
      <c r="B63" s="171" t="s">
        <v>689</v>
      </c>
      <c r="I63" s="126"/>
      <c r="N63" s="12"/>
      <c r="P63" s="123" t="s">
        <v>690</v>
      </c>
      <c r="Q63" s="170">
        <f>S63*U63</f>
        <v>23.650000000000002</v>
      </c>
      <c r="R63" s="12"/>
      <c r="S63" s="161">
        <v>1.1000000000000001</v>
      </c>
      <c r="T63" s="162"/>
      <c r="U63" s="54">
        <v>21.5</v>
      </c>
      <c r="AZ63" s="80">
        <v>44349</v>
      </c>
      <c r="BA63" s="12" t="s">
        <v>684</v>
      </c>
    </row>
    <row r="64" spans="1:53">
      <c r="A64" s="172"/>
      <c r="I64" s="126"/>
      <c r="N64" s="12"/>
      <c r="P64" s="123" t="s">
        <v>691</v>
      </c>
      <c r="Q64" s="170">
        <v>432.75</v>
      </c>
      <c r="R64" s="72"/>
      <c r="S64" s="161"/>
      <c r="T64" s="162"/>
      <c r="U64" s="54"/>
      <c r="AZ64" s="80"/>
    </row>
    <row r="65" spans="1:52">
      <c r="A65" s="172" t="s">
        <v>692</v>
      </c>
      <c r="I65" s="126"/>
      <c r="N65" s="12"/>
      <c r="P65" s="123"/>
      <c r="Q65" s="170"/>
      <c r="R65" s="72"/>
      <c r="S65" s="161"/>
      <c r="T65" s="162"/>
      <c r="U65" s="54"/>
      <c r="AZ65" s="80"/>
    </row>
    <row r="66" spans="1:52">
      <c r="A66" s="172" t="s">
        <v>693</v>
      </c>
      <c r="I66" s="126"/>
      <c r="N66" s="12"/>
      <c r="P66" s="123" t="s">
        <v>694</v>
      </c>
      <c r="Q66" s="170">
        <f>U66*T66*S66</f>
        <v>356.67249999999996</v>
      </c>
      <c r="R66" s="72"/>
      <c r="S66" s="173">
        <v>1.1499999999999999</v>
      </c>
      <c r="T66" s="162">
        <v>1</v>
      </c>
      <c r="U66" s="54">
        <v>310.14999999999998</v>
      </c>
      <c r="AZ66" s="80"/>
    </row>
    <row r="67" spans="1:52">
      <c r="A67" s="172" t="s">
        <v>695</v>
      </c>
      <c r="I67" s="126"/>
      <c r="N67" s="12"/>
      <c r="P67" s="123" t="s">
        <v>696</v>
      </c>
      <c r="Q67" s="170">
        <f>U67*T67*S67</f>
        <v>17.25</v>
      </c>
      <c r="R67" s="12"/>
      <c r="S67" s="173">
        <v>1.1499999999999999</v>
      </c>
      <c r="T67" s="162">
        <v>1</v>
      </c>
      <c r="U67" s="54">
        <v>15</v>
      </c>
      <c r="AZ67" s="80">
        <v>44349</v>
      </c>
    </row>
    <row r="68" spans="1:52">
      <c r="A68" s="172"/>
      <c r="I68" s="126"/>
      <c r="N68" s="12"/>
      <c r="P68" s="76" t="s">
        <v>697</v>
      </c>
      <c r="Q68" s="118">
        <v>305</v>
      </c>
      <c r="R68" s="12"/>
      <c r="S68" s="161"/>
      <c r="T68" s="162"/>
      <c r="U68" s="54"/>
      <c r="AZ68" s="80"/>
    </row>
    <row r="69" spans="1:52" ht="17.600000000000001">
      <c r="A69" s="169"/>
      <c r="B69" s="174"/>
      <c r="C69" s="174"/>
      <c r="D69" s="174"/>
      <c r="E69" s="175" t="s">
        <v>698</v>
      </c>
      <c r="F69" s="174"/>
      <c r="G69" s="174"/>
      <c r="H69" s="174"/>
      <c r="I69" s="126"/>
      <c r="N69" s="12"/>
      <c r="P69" s="123" t="s">
        <v>699</v>
      </c>
      <c r="Q69" s="176">
        <f>12*200*0.104</f>
        <v>249.6</v>
      </c>
      <c r="R69" s="12"/>
      <c r="S69" s="177"/>
      <c r="T69" s="162"/>
      <c r="U69" s="54"/>
      <c r="AZ69" s="80"/>
    </row>
    <row r="70" spans="1:52" ht="14.15">
      <c r="A70" s="178" t="s">
        <v>700</v>
      </c>
      <c r="B70" s="174"/>
      <c r="C70" s="174"/>
      <c r="D70" s="174"/>
      <c r="E70" s="179" t="s">
        <v>701</v>
      </c>
      <c r="F70" s="174"/>
      <c r="G70" s="174"/>
      <c r="H70" s="180" t="s">
        <v>702</v>
      </c>
      <c r="I70" s="126"/>
      <c r="N70" s="12"/>
      <c r="P70" s="12"/>
      <c r="Q70" s="53"/>
      <c r="R70" s="12"/>
      <c r="U70" s="54"/>
    </row>
    <row r="71" spans="1:52" ht="15.9">
      <c r="A71" s="172" t="s">
        <v>703</v>
      </c>
      <c r="E71" s="54">
        <v>0.45</v>
      </c>
      <c r="H71" s="12" t="s">
        <v>704</v>
      </c>
      <c r="I71" s="126"/>
      <c r="L71" s="2883" t="s">
        <v>705</v>
      </c>
      <c r="M71" s="2883"/>
      <c r="N71" s="2883"/>
      <c r="O71" s="2883"/>
      <c r="P71" s="2883"/>
      <c r="Q71" s="2883"/>
      <c r="R71" s="2883"/>
      <c r="S71" s="2883"/>
      <c r="T71" s="2883"/>
      <c r="U71" s="2883"/>
      <c r="V71" s="2883"/>
      <c r="W71" s="2883"/>
    </row>
    <row r="72" spans="1:52" ht="14.6">
      <c r="A72" s="172" t="s">
        <v>703</v>
      </c>
      <c r="E72" s="54">
        <v>0.6</v>
      </c>
      <c r="H72" s="12" t="s">
        <v>706</v>
      </c>
      <c r="I72" s="126"/>
      <c r="L72" s="2884" t="s">
        <v>707</v>
      </c>
      <c r="M72" s="2884"/>
    </row>
    <row r="73" spans="1:52">
      <c r="A73" s="172" t="s">
        <v>703</v>
      </c>
      <c r="E73" s="54">
        <v>0.75</v>
      </c>
      <c r="H73" s="12" t="s">
        <v>708</v>
      </c>
      <c r="I73" s="126"/>
      <c r="L73" s="2885" t="s">
        <v>568</v>
      </c>
      <c r="M73" s="2885"/>
      <c r="N73" s="2885" t="s">
        <v>569</v>
      </c>
      <c r="O73" s="2885"/>
      <c r="P73" s="2885" t="s">
        <v>709</v>
      </c>
      <c r="Q73" s="2885"/>
      <c r="R73" s="2885"/>
      <c r="S73" s="2885" t="s">
        <v>710</v>
      </c>
      <c r="T73" s="2885"/>
      <c r="U73" s="2885" t="s">
        <v>711</v>
      </c>
      <c r="V73" s="2885"/>
      <c r="W73" s="2885"/>
    </row>
    <row r="74" spans="1:52">
      <c r="A74" s="172"/>
      <c r="I74" s="126"/>
      <c r="L74" s="2886" t="s">
        <v>712</v>
      </c>
      <c r="M74" s="2886"/>
      <c r="N74" s="2886" t="s">
        <v>713</v>
      </c>
      <c r="O74" s="2886"/>
      <c r="P74" s="2886" t="s">
        <v>714</v>
      </c>
      <c r="Q74" s="2886"/>
      <c r="R74" s="2886"/>
      <c r="S74" s="2887" t="s">
        <v>715</v>
      </c>
      <c r="T74" s="2887"/>
      <c r="U74" s="2888" t="s">
        <v>716</v>
      </c>
      <c r="V74" s="2888"/>
      <c r="W74" s="2888"/>
    </row>
    <row r="75" spans="1:52">
      <c r="A75" s="172"/>
      <c r="I75" s="126"/>
      <c r="L75" s="2886" t="s">
        <v>717</v>
      </c>
      <c r="M75" s="2886"/>
      <c r="N75" s="2886" t="s">
        <v>718</v>
      </c>
      <c r="O75" s="2886"/>
      <c r="P75" s="2886"/>
      <c r="Q75" s="2886"/>
      <c r="R75" s="2886"/>
      <c r="S75" s="2886"/>
      <c r="T75" s="2886"/>
      <c r="U75" s="2889" t="s">
        <v>719</v>
      </c>
      <c r="V75" s="2889"/>
      <c r="W75" s="2889"/>
    </row>
    <row r="76" spans="1:52">
      <c r="A76" s="172"/>
      <c r="I76" s="126"/>
    </row>
    <row r="77" spans="1:52" ht="14.6">
      <c r="A77" s="172" t="s">
        <v>720</v>
      </c>
      <c r="I77" s="126"/>
      <c r="L77" s="2884" t="s">
        <v>721</v>
      </c>
      <c r="M77" s="2884"/>
    </row>
    <row r="78" spans="1:52">
      <c r="A78" s="172" t="s">
        <v>722</v>
      </c>
      <c r="H78" s="54">
        <v>1.5</v>
      </c>
      <c r="I78" s="126"/>
      <c r="L78" s="2885" t="s">
        <v>568</v>
      </c>
      <c r="M78" s="2885"/>
      <c r="N78" s="2885" t="s">
        <v>569</v>
      </c>
      <c r="O78" s="2885"/>
      <c r="P78" s="2885" t="s">
        <v>709</v>
      </c>
      <c r="Q78" s="2885"/>
      <c r="R78" s="2885"/>
      <c r="S78" s="2885" t="s">
        <v>710</v>
      </c>
      <c r="T78" s="2885"/>
      <c r="U78" s="2885" t="s">
        <v>711</v>
      </c>
      <c r="V78" s="2885"/>
      <c r="W78" s="2885"/>
    </row>
    <row r="79" spans="1:52">
      <c r="A79" s="172" t="s">
        <v>723</v>
      </c>
      <c r="H79" s="54">
        <v>2</v>
      </c>
      <c r="I79" s="126"/>
      <c r="L79" s="2886" t="s">
        <v>712</v>
      </c>
      <c r="M79" s="2886"/>
      <c r="N79" s="2886" t="s">
        <v>713</v>
      </c>
      <c r="O79" s="2886"/>
      <c r="P79" s="2886" t="s">
        <v>714</v>
      </c>
      <c r="Q79" s="2886"/>
      <c r="R79" s="2886"/>
      <c r="S79" s="2887" t="s">
        <v>715</v>
      </c>
      <c r="T79" s="2887"/>
      <c r="U79" s="2888" t="s">
        <v>716</v>
      </c>
      <c r="V79" s="2888"/>
      <c r="W79" s="2888"/>
    </row>
    <row r="80" spans="1:52">
      <c r="A80" s="172" t="s">
        <v>724</v>
      </c>
      <c r="H80" s="54">
        <v>0.25</v>
      </c>
      <c r="I80" s="126"/>
      <c r="L80" s="2886" t="s">
        <v>725</v>
      </c>
      <c r="M80" s="2886"/>
      <c r="N80" s="2886" t="s">
        <v>726</v>
      </c>
      <c r="O80" s="2886"/>
      <c r="P80" s="2886" t="s">
        <v>727</v>
      </c>
      <c r="Q80" s="2886"/>
      <c r="R80" s="2886"/>
      <c r="S80" s="2886"/>
      <c r="T80" s="2886"/>
      <c r="U80" s="2889" t="s">
        <v>728</v>
      </c>
      <c r="V80" s="2889"/>
      <c r="W80" s="2889"/>
    </row>
    <row r="81" spans="1:23">
      <c r="A81" s="172" t="s">
        <v>729</v>
      </c>
      <c r="H81" s="54">
        <v>0.2</v>
      </c>
      <c r="I81" s="126"/>
      <c r="L81" s="2886" t="s">
        <v>717</v>
      </c>
      <c r="M81" s="2886"/>
      <c r="N81" s="2886" t="s">
        <v>718</v>
      </c>
      <c r="O81" s="2886"/>
      <c r="P81" s="2886"/>
      <c r="Q81" s="2886"/>
      <c r="R81" s="2886"/>
      <c r="S81" s="2886"/>
      <c r="T81" s="2886"/>
      <c r="U81" s="2889" t="s">
        <v>719</v>
      </c>
      <c r="V81" s="2889"/>
      <c r="W81" s="2889"/>
    </row>
    <row r="82" spans="1:23">
      <c r="A82" s="172" t="s">
        <v>730</v>
      </c>
      <c r="H82" s="54">
        <v>850</v>
      </c>
      <c r="I82" s="126"/>
      <c r="L82" s="2886" t="s">
        <v>731</v>
      </c>
      <c r="M82" s="2886"/>
      <c r="N82" s="2886" t="s">
        <v>732</v>
      </c>
      <c r="O82" s="2886"/>
      <c r="P82" s="2886" t="s">
        <v>733</v>
      </c>
      <c r="Q82" s="2886"/>
      <c r="R82" s="2886"/>
      <c r="S82" s="2886"/>
      <c r="T82" s="2886"/>
      <c r="U82" s="2889" t="s">
        <v>734</v>
      </c>
      <c r="V82" s="2889"/>
      <c r="W82" s="2889"/>
    </row>
    <row r="83" spans="1:23">
      <c r="A83" s="172" t="s">
        <v>735</v>
      </c>
      <c r="I83" s="126"/>
    </row>
    <row r="84" spans="1:23" ht="14.6">
      <c r="A84" s="172" t="s">
        <v>736</v>
      </c>
      <c r="H84" s="54">
        <v>100</v>
      </c>
      <c r="I84" s="126" t="s">
        <v>737</v>
      </c>
      <c r="L84" s="2884" t="s">
        <v>738</v>
      </c>
      <c r="M84" s="2884"/>
    </row>
    <row r="85" spans="1:23">
      <c r="A85" s="172"/>
      <c r="I85" s="126"/>
      <c r="L85" s="2885" t="s">
        <v>568</v>
      </c>
      <c r="M85" s="2885"/>
      <c r="N85" s="2885" t="s">
        <v>569</v>
      </c>
      <c r="O85" s="2885"/>
      <c r="P85" s="2885" t="s">
        <v>709</v>
      </c>
      <c r="Q85" s="2885"/>
      <c r="R85" s="2885"/>
      <c r="S85" s="2885" t="s">
        <v>710</v>
      </c>
      <c r="T85" s="2885"/>
      <c r="U85" s="2885" t="s">
        <v>711</v>
      </c>
      <c r="V85" s="2885"/>
      <c r="W85" s="2885"/>
    </row>
    <row r="86" spans="1:23">
      <c r="A86" s="172" t="s">
        <v>739</v>
      </c>
      <c r="H86" s="54">
        <v>6.5</v>
      </c>
      <c r="I86" s="126"/>
      <c r="L86" s="2887" t="s">
        <v>740</v>
      </c>
      <c r="M86" s="2887"/>
      <c r="N86" s="2887" t="s">
        <v>741</v>
      </c>
      <c r="O86" s="2887"/>
      <c r="P86" s="2887"/>
      <c r="Q86" s="2887"/>
      <c r="R86" s="2887"/>
      <c r="S86" s="2887"/>
      <c r="T86" s="2887"/>
      <c r="U86" s="2888" t="s">
        <v>742</v>
      </c>
      <c r="V86" s="2888"/>
      <c r="W86" s="2888"/>
    </row>
    <row r="87" spans="1:23">
      <c r="A87" s="172"/>
      <c r="I87" s="126"/>
      <c r="L87" s="2886" t="s">
        <v>743</v>
      </c>
      <c r="M87" s="2886"/>
      <c r="N87" s="2886" t="s">
        <v>744</v>
      </c>
      <c r="O87" s="2886"/>
      <c r="P87" s="2886" t="s">
        <v>745</v>
      </c>
      <c r="Q87" s="2886"/>
      <c r="R87" s="2886"/>
      <c r="S87" s="2886"/>
      <c r="T87" s="2886"/>
      <c r="U87" s="2889" t="s">
        <v>746</v>
      </c>
      <c r="V87" s="2889"/>
      <c r="W87" s="2889"/>
    </row>
    <row r="88" spans="1:23" ht="14.15">
      <c r="A88" s="178" t="s">
        <v>747</v>
      </c>
      <c r="B88" s="179"/>
      <c r="C88" s="179"/>
      <c r="D88" s="179"/>
      <c r="E88" s="179"/>
      <c r="F88" s="179" t="s">
        <v>748</v>
      </c>
      <c r="G88" s="179" t="s">
        <v>749</v>
      </c>
      <c r="H88" s="179" t="s">
        <v>750</v>
      </c>
      <c r="I88" s="126"/>
      <c r="L88" s="2886" t="s">
        <v>751</v>
      </c>
      <c r="M88" s="2886"/>
      <c r="N88" s="2886" t="s">
        <v>752</v>
      </c>
      <c r="O88" s="2886"/>
      <c r="P88" s="2886"/>
      <c r="Q88" s="2886"/>
      <c r="R88" s="2886"/>
      <c r="S88" s="2886"/>
      <c r="T88" s="2886"/>
      <c r="U88" s="2889" t="s">
        <v>753</v>
      </c>
      <c r="V88" s="2889"/>
      <c r="W88" s="2889"/>
    </row>
    <row r="89" spans="1:23">
      <c r="A89" s="172" t="s">
        <v>754</v>
      </c>
      <c r="F89" s="54">
        <v>0.55000000000000004</v>
      </c>
      <c r="G89" s="54">
        <v>0.75</v>
      </c>
      <c r="H89" s="54">
        <v>1</v>
      </c>
      <c r="I89" s="126"/>
    </row>
    <row r="90" spans="1:23" ht="14.6">
      <c r="A90" s="172" t="s">
        <v>755</v>
      </c>
      <c r="F90" s="54">
        <v>0.5</v>
      </c>
      <c r="G90" s="54">
        <v>1</v>
      </c>
      <c r="H90" s="54">
        <v>1.35</v>
      </c>
      <c r="I90" s="126"/>
      <c r="L90" s="2884" t="s">
        <v>756</v>
      </c>
      <c r="M90" s="2884"/>
    </row>
    <row r="91" spans="1:23">
      <c r="A91" s="172" t="s">
        <v>757</v>
      </c>
      <c r="F91" s="54">
        <v>1.2</v>
      </c>
      <c r="G91" s="54">
        <v>2</v>
      </c>
      <c r="H91" s="54">
        <v>2.25</v>
      </c>
      <c r="I91" s="126"/>
      <c r="L91" s="2885" t="s">
        <v>568</v>
      </c>
      <c r="M91" s="2885"/>
      <c r="N91" s="2885" t="s">
        <v>569</v>
      </c>
      <c r="O91" s="2885"/>
      <c r="P91" s="2885" t="s">
        <v>709</v>
      </c>
      <c r="Q91" s="2885"/>
      <c r="R91" s="2885"/>
      <c r="S91" s="2885" t="s">
        <v>710</v>
      </c>
      <c r="T91" s="2885"/>
      <c r="U91" s="2885" t="s">
        <v>711</v>
      </c>
      <c r="V91" s="2885"/>
      <c r="W91" s="2885"/>
    </row>
    <row r="92" spans="1:23">
      <c r="A92" s="172" t="s">
        <v>758</v>
      </c>
      <c r="F92" s="54">
        <v>550</v>
      </c>
      <c r="G92" s="54">
        <v>350</v>
      </c>
      <c r="H92" s="54">
        <v>350</v>
      </c>
      <c r="I92" s="126"/>
      <c r="L92" s="2887" t="s">
        <v>759</v>
      </c>
      <c r="M92" s="2887"/>
      <c r="N92" s="2887" t="s">
        <v>760</v>
      </c>
      <c r="O92" s="2887"/>
      <c r="P92" s="2887" t="s">
        <v>761</v>
      </c>
      <c r="Q92" s="2887"/>
      <c r="R92" s="2887"/>
      <c r="S92" s="2887"/>
      <c r="T92" s="2887"/>
      <c r="U92" s="2888" t="s">
        <v>762</v>
      </c>
      <c r="V92" s="2888"/>
      <c r="W92" s="2888"/>
    </row>
    <row r="93" spans="1:23">
      <c r="A93" s="172"/>
      <c r="I93" s="126"/>
      <c r="L93" s="2886" t="s">
        <v>763</v>
      </c>
      <c r="M93" s="2886"/>
      <c r="N93" s="2886" t="s">
        <v>764</v>
      </c>
      <c r="O93" s="2886"/>
      <c r="P93" s="2886" t="s">
        <v>765</v>
      </c>
      <c r="Q93" s="2886"/>
      <c r="R93" s="2886"/>
      <c r="S93" s="2886"/>
      <c r="T93" s="2886"/>
      <c r="U93" s="2889" t="s">
        <v>766</v>
      </c>
      <c r="V93" s="2889"/>
      <c r="W93" s="2889"/>
    </row>
    <row r="94" spans="1:23" ht="37.299999999999997">
      <c r="A94" s="172"/>
      <c r="F94" s="181" t="s">
        <v>767</v>
      </c>
      <c r="G94" s="181" t="s">
        <v>768</v>
      </c>
      <c r="H94" s="181" t="s">
        <v>769</v>
      </c>
      <c r="I94" s="126"/>
      <c r="J94" s="182" t="s">
        <v>770</v>
      </c>
      <c r="K94" s="182" t="s">
        <v>771</v>
      </c>
    </row>
    <row r="95" spans="1:23" ht="14.6">
      <c r="A95" s="71"/>
      <c r="I95" s="126"/>
      <c r="J95" s="183"/>
      <c r="K95" s="184">
        <v>-3</v>
      </c>
      <c r="L95" s="2884" t="s">
        <v>772</v>
      </c>
      <c r="M95" s="2884"/>
    </row>
    <row r="96" spans="1:23">
      <c r="A96" s="71"/>
      <c r="I96" s="126"/>
      <c r="J96" s="185"/>
      <c r="K96" s="186"/>
      <c r="L96" s="2885" t="s">
        <v>568</v>
      </c>
      <c r="M96" s="2885"/>
      <c r="N96" s="2885" t="s">
        <v>569</v>
      </c>
      <c r="O96" s="2885"/>
      <c r="P96" s="2885" t="s">
        <v>709</v>
      </c>
      <c r="Q96" s="2885"/>
      <c r="R96" s="2885"/>
      <c r="S96" s="2885" t="s">
        <v>710</v>
      </c>
      <c r="T96" s="2885"/>
      <c r="U96" s="2885" t="s">
        <v>711</v>
      </c>
      <c r="V96" s="2885"/>
      <c r="W96" s="2885"/>
    </row>
    <row r="97" spans="1:23">
      <c r="A97" s="84"/>
      <c r="B97" s="60"/>
      <c r="C97" s="60"/>
      <c r="D97" s="60"/>
      <c r="E97" s="60"/>
      <c r="F97" s="60"/>
      <c r="G97" s="60"/>
      <c r="H97" s="60"/>
      <c r="I97" s="139"/>
      <c r="J97" s="183"/>
      <c r="K97" s="184"/>
      <c r="L97" s="2887" t="s">
        <v>773</v>
      </c>
      <c r="M97" s="2887"/>
      <c r="N97" s="2887" t="s">
        <v>774</v>
      </c>
      <c r="O97" s="2887"/>
      <c r="P97" s="2887" t="s">
        <v>727</v>
      </c>
      <c r="Q97" s="2887"/>
      <c r="R97" s="2887"/>
      <c r="S97" s="2887"/>
      <c r="T97" s="2887"/>
      <c r="U97" s="2888" t="s">
        <v>775</v>
      </c>
      <c r="V97" s="2888"/>
      <c r="W97" s="2888"/>
    </row>
    <row r="98" spans="1:23">
      <c r="J98" s="185"/>
      <c r="K98" s="184"/>
      <c r="L98" s="2886" t="s">
        <v>776</v>
      </c>
      <c r="M98" s="2886"/>
      <c r="N98" s="2886" t="s">
        <v>777</v>
      </c>
      <c r="O98" s="2886"/>
      <c r="P98" s="2886"/>
      <c r="Q98" s="2886"/>
      <c r="R98" s="2886"/>
      <c r="S98" s="2886"/>
      <c r="T98" s="2886"/>
      <c r="U98" s="2889"/>
      <c r="V98" s="2889"/>
      <c r="W98" s="2889"/>
    </row>
    <row r="99" spans="1:23">
      <c r="J99" s="185"/>
      <c r="K99" s="187">
        <v>0</v>
      </c>
      <c r="L99" s="188"/>
    </row>
    <row r="100" spans="1:23">
      <c r="A100" s="2890" t="s">
        <v>778</v>
      </c>
      <c r="B100" s="2890"/>
      <c r="C100" s="2890"/>
      <c r="D100" s="2890"/>
      <c r="E100" s="2890"/>
      <c r="F100" s="2890"/>
      <c r="G100" s="2890"/>
      <c r="H100" s="189" t="s">
        <v>779</v>
      </c>
      <c r="J100" s="190" t="s">
        <v>780</v>
      </c>
      <c r="K100" s="191"/>
      <c r="L100" s="191"/>
      <c r="M100" s="191"/>
      <c r="N100" s="191"/>
      <c r="O100" s="191"/>
      <c r="P100" s="192"/>
      <c r="Q100" s="189"/>
      <c r="R100" s="193" t="s">
        <v>779</v>
      </c>
    </row>
    <row r="101" spans="1:23" ht="24.9">
      <c r="A101" s="194" t="s">
        <v>781</v>
      </c>
      <c r="B101" s="195" t="s">
        <v>782</v>
      </c>
      <c r="C101" s="195" t="s">
        <v>783</v>
      </c>
      <c r="D101" s="195" t="s">
        <v>784</v>
      </c>
      <c r="E101" s="195" t="s">
        <v>785</v>
      </c>
      <c r="F101" s="196" t="s">
        <v>786</v>
      </c>
      <c r="G101" s="197" t="s">
        <v>787</v>
      </c>
      <c r="H101" s="197"/>
      <c r="J101" s="194" t="s">
        <v>781</v>
      </c>
      <c r="K101" s="195" t="s">
        <v>782</v>
      </c>
      <c r="L101" s="195" t="s">
        <v>783</v>
      </c>
      <c r="M101" s="195" t="s">
        <v>784</v>
      </c>
      <c r="N101" s="195" t="s">
        <v>785</v>
      </c>
      <c r="O101" s="196" t="s">
        <v>786</v>
      </c>
      <c r="P101" s="198" t="s">
        <v>787</v>
      </c>
      <c r="Q101" s="199"/>
      <c r="R101" s="200"/>
    </row>
    <row r="102" spans="1:23" ht="15" customHeight="1">
      <c r="A102" s="201"/>
      <c r="B102" s="202"/>
      <c r="C102" s="203"/>
      <c r="D102" s="202"/>
      <c r="E102" s="1"/>
      <c r="F102" s="204"/>
      <c r="G102" s="205"/>
      <c r="H102" s="206">
        <f t="shared" ref="H102:H117" si="8">G102+SUM($K$95:$K$99)</f>
        <v>-3</v>
      </c>
      <c r="I102" s="207" t="s">
        <v>788</v>
      </c>
      <c r="J102" s="208"/>
      <c r="K102" s="209"/>
      <c r="L102" s="210"/>
      <c r="M102" s="209"/>
      <c r="N102" s="211"/>
      <c r="O102" s="47"/>
      <c r="P102" s="212"/>
      <c r="Q102" s="213"/>
      <c r="R102" s="214">
        <f t="shared" ref="R102:R114" si="9">P102+SUM($K$95:$K$99)</f>
        <v>-3</v>
      </c>
    </row>
    <row r="103" spans="1:23" ht="15" customHeight="1">
      <c r="A103" s="215">
        <v>0.57999999999999996</v>
      </c>
      <c r="B103" s="216">
        <v>3000</v>
      </c>
      <c r="C103" s="217">
        <v>4.76</v>
      </c>
      <c r="D103" s="216">
        <v>4</v>
      </c>
      <c r="E103" s="2">
        <v>1024</v>
      </c>
      <c r="F103" s="218" t="s">
        <v>789</v>
      </c>
      <c r="G103" s="219">
        <v>106.75</v>
      </c>
      <c r="H103" s="206">
        <f t="shared" si="8"/>
        <v>103.75</v>
      </c>
      <c r="I103" s="207"/>
      <c r="J103" s="208"/>
      <c r="K103" s="209"/>
      <c r="L103" s="210"/>
      <c r="M103" s="209"/>
      <c r="N103" s="220"/>
      <c r="O103" s="221"/>
      <c r="P103" s="222"/>
      <c r="Q103" s="213"/>
      <c r="R103" s="214">
        <f t="shared" si="9"/>
        <v>-3</v>
      </c>
    </row>
    <row r="104" spans="1:23" ht="15" customHeight="1">
      <c r="A104" s="215">
        <v>0.55000000000000004</v>
      </c>
      <c r="B104" s="216">
        <v>3000</v>
      </c>
      <c r="C104" s="217">
        <v>5</v>
      </c>
      <c r="D104" s="216">
        <v>4</v>
      </c>
      <c r="E104" s="2">
        <v>1042</v>
      </c>
      <c r="F104" s="218" t="s">
        <v>789</v>
      </c>
      <c r="G104" s="219">
        <v>107</v>
      </c>
      <c r="H104" s="206">
        <f t="shared" si="8"/>
        <v>104</v>
      </c>
      <c r="I104" s="207"/>
      <c r="J104" s="208">
        <v>0.56999999999999995</v>
      </c>
      <c r="K104" s="209">
        <v>3000</v>
      </c>
      <c r="L104" s="210">
        <v>4.74</v>
      </c>
      <c r="M104" s="209">
        <v>4</v>
      </c>
      <c r="N104" s="220">
        <v>1544</v>
      </c>
      <c r="O104" s="221" t="s">
        <v>789</v>
      </c>
      <c r="P104" s="222">
        <v>105</v>
      </c>
      <c r="Q104" s="213"/>
      <c r="R104" s="214">
        <f t="shared" si="9"/>
        <v>102</v>
      </c>
    </row>
    <row r="105" spans="1:23" ht="15" customHeight="1">
      <c r="A105" s="215">
        <v>0.55000000000000004</v>
      </c>
      <c r="B105" s="216">
        <v>3000</v>
      </c>
      <c r="C105" s="217">
        <v>5</v>
      </c>
      <c r="D105" s="216">
        <v>5</v>
      </c>
      <c r="E105" s="2">
        <v>2060</v>
      </c>
      <c r="F105" s="223" t="s">
        <v>544</v>
      </c>
      <c r="G105" s="219">
        <v>107</v>
      </c>
      <c r="H105" s="206">
        <f t="shared" si="8"/>
        <v>104</v>
      </c>
      <c r="I105" s="207"/>
      <c r="J105" s="208">
        <v>0.55000000000000004</v>
      </c>
      <c r="K105" s="209">
        <v>3000</v>
      </c>
      <c r="L105" s="210">
        <v>5</v>
      </c>
      <c r="M105" s="209">
        <v>4</v>
      </c>
      <c r="N105" s="220">
        <v>1564</v>
      </c>
      <c r="O105" s="221" t="s">
        <v>790</v>
      </c>
      <c r="P105" s="222">
        <v>106</v>
      </c>
      <c r="Q105" s="213"/>
      <c r="R105" s="214">
        <f t="shared" si="9"/>
        <v>103</v>
      </c>
    </row>
    <row r="106" spans="1:23" ht="15" customHeight="1">
      <c r="A106" s="215">
        <v>0.54</v>
      </c>
      <c r="B106" s="216">
        <v>3500</v>
      </c>
      <c r="C106" s="217">
        <v>5</v>
      </c>
      <c r="D106" s="216">
        <v>7</v>
      </c>
      <c r="E106" s="2">
        <v>9012</v>
      </c>
      <c r="F106" s="223" t="s">
        <v>791</v>
      </c>
      <c r="G106" s="219">
        <v>112</v>
      </c>
      <c r="H106" s="206">
        <f t="shared" si="8"/>
        <v>109</v>
      </c>
      <c r="I106" s="207"/>
      <c r="J106" s="208">
        <v>0.53</v>
      </c>
      <c r="K106" s="209">
        <v>3000</v>
      </c>
      <c r="L106" s="210">
        <v>5</v>
      </c>
      <c r="M106" s="209">
        <v>4</v>
      </c>
      <c r="N106" s="220">
        <v>2554</v>
      </c>
      <c r="O106" s="221" t="s">
        <v>792</v>
      </c>
      <c r="P106" s="222">
        <v>106</v>
      </c>
      <c r="Q106" s="213"/>
      <c r="R106" s="214">
        <f t="shared" si="9"/>
        <v>103</v>
      </c>
    </row>
    <row r="107" spans="1:23" ht="15" customHeight="1">
      <c r="A107" s="215">
        <v>0.53</v>
      </c>
      <c r="B107" s="216">
        <v>3500</v>
      </c>
      <c r="C107" s="217">
        <v>5.26</v>
      </c>
      <c r="D107" s="216">
        <v>4</v>
      </c>
      <c r="E107" s="2">
        <v>1054</v>
      </c>
      <c r="F107" s="218" t="s">
        <v>793</v>
      </c>
      <c r="G107" s="219">
        <v>108.25</v>
      </c>
      <c r="H107" s="206">
        <f t="shared" si="8"/>
        <v>105.25</v>
      </c>
      <c r="I107" s="2891" t="s">
        <v>794</v>
      </c>
      <c r="J107" s="208">
        <v>0.55000000000000004</v>
      </c>
      <c r="K107" s="209">
        <v>3500</v>
      </c>
      <c r="L107" s="210">
        <v>5</v>
      </c>
      <c r="M107" s="209">
        <v>6</v>
      </c>
      <c r="N107" s="220">
        <v>9458</v>
      </c>
      <c r="O107" s="221" t="s">
        <v>795</v>
      </c>
      <c r="P107" s="222">
        <v>109</v>
      </c>
      <c r="Q107" s="213"/>
      <c r="R107" s="214">
        <f t="shared" si="9"/>
        <v>106</v>
      </c>
    </row>
    <row r="108" spans="1:23" ht="15" customHeight="1">
      <c r="A108" s="224">
        <v>0.5</v>
      </c>
      <c r="B108" s="216">
        <v>4000</v>
      </c>
      <c r="C108" s="217">
        <v>5.5</v>
      </c>
      <c r="D108" s="216">
        <v>4</v>
      </c>
      <c r="E108" s="2">
        <v>1060</v>
      </c>
      <c r="F108" s="218" t="s">
        <v>793</v>
      </c>
      <c r="G108" s="219">
        <v>108.5</v>
      </c>
      <c r="H108" s="206">
        <f t="shared" si="8"/>
        <v>105.5</v>
      </c>
      <c r="I108" s="2891"/>
      <c r="J108" s="208">
        <v>0.52</v>
      </c>
      <c r="K108" s="209">
        <v>3500</v>
      </c>
      <c r="L108" s="210">
        <v>5.26</v>
      </c>
      <c r="M108" s="209">
        <v>4</v>
      </c>
      <c r="N108" s="220">
        <v>1596</v>
      </c>
      <c r="O108" s="221" t="s">
        <v>789</v>
      </c>
      <c r="P108" s="222">
        <v>107.25</v>
      </c>
      <c r="Q108" s="213"/>
      <c r="R108" s="214">
        <f t="shared" si="9"/>
        <v>104.25</v>
      </c>
    </row>
    <row r="109" spans="1:23" ht="15" customHeight="1">
      <c r="A109" s="215">
        <v>0.48</v>
      </c>
      <c r="B109" s="216">
        <v>4200</v>
      </c>
      <c r="C109" s="217">
        <v>6</v>
      </c>
      <c r="D109" s="216">
        <v>4</v>
      </c>
      <c r="E109" s="2">
        <v>1082</v>
      </c>
      <c r="F109" s="218" t="s">
        <v>793</v>
      </c>
      <c r="G109" s="219">
        <v>112</v>
      </c>
      <c r="H109" s="206">
        <f t="shared" si="8"/>
        <v>109</v>
      </c>
      <c r="I109" s="2891"/>
      <c r="J109" s="208">
        <v>0.5</v>
      </c>
      <c r="K109" s="209">
        <v>4000</v>
      </c>
      <c r="L109" s="210">
        <v>5.5</v>
      </c>
      <c r="M109" s="209">
        <v>4</v>
      </c>
      <c r="N109" s="220">
        <v>1614</v>
      </c>
      <c r="O109" s="221" t="s">
        <v>790</v>
      </c>
      <c r="P109" s="222">
        <v>108.5</v>
      </c>
      <c r="Q109" s="213"/>
      <c r="R109" s="214">
        <f t="shared" si="9"/>
        <v>105.5</v>
      </c>
    </row>
    <row r="110" spans="1:23" ht="15" customHeight="1">
      <c r="A110" s="215">
        <v>0.45</v>
      </c>
      <c r="B110" s="216">
        <v>4500</v>
      </c>
      <c r="C110" s="217">
        <v>6.5</v>
      </c>
      <c r="D110" s="216">
        <v>4</v>
      </c>
      <c r="E110" s="2">
        <v>1102</v>
      </c>
      <c r="F110" s="218" t="s">
        <v>789</v>
      </c>
      <c r="G110" s="219">
        <v>114.5</v>
      </c>
      <c r="H110" s="206">
        <f t="shared" si="8"/>
        <v>111.5</v>
      </c>
      <c r="I110" s="2891"/>
      <c r="J110" s="208">
        <v>0.48</v>
      </c>
      <c r="K110" s="209">
        <v>4200</v>
      </c>
      <c r="L110" s="210">
        <v>5.75</v>
      </c>
      <c r="M110" s="209">
        <v>4</v>
      </c>
      <c r="N110" s="220">
        <v>1654</v>
      </c>
      <c r="O110" s="221" t="s">
        <v>789</v>
      </c>
      <c r="P110" s="222">
        <v>109.75</v>
      </c>
      <c r="Q110" s="213"/>
      <c r="R110" s="214">
        <f t="shared" si="9"/>
        <v>106.75</v>
      </c>
    </row>
    <row r="111" spans="1:23" ht="15" customHeight="1">
      <c r="A111" s="215">
        <v>0.45</v>
      </c>
      <c r="B111" s="216">
        <v>4700</v>
      </c>
      <c r="C111" s="217">
        <v>6.5</v>
      </c>
      <c r="D111" s="216">
        <v>4</v>
      </c>
      <c r="E111" s="2">
        <v>9568</v>
      </c>
      <c r="F111" s="218" t="s">
        <v>796</v>
      </c>
      <c r="G111" s="219">
        <v>117.5</v>
      </c>
      <c r="H111" s="206">
        <f t="shared" si="8"/>
        <v>114.5</v>
      </c>
      <c r="I111" s="2891"/>
      <c r="J111" s="208">
        <v>0.47</v>
      </c>
      <c r="K111" s="209">
        <v>4200</v>
      </c>
      <c r="L111" s="210">
        <v>6</v>
      </c>
      <c r="M111" s="209">
        <v>4</v>
      </c>
      <c r="N111" s="220">
        <v>1680</v>
      </c>
      <c r="O111" s="221" t="s">
        <v>789</v>
      </c>
      <c r="P111" s="222">
        <v>111</v>
      </c>
      <c r="Q111" s="213"/>
      <c r="R111" s="214">
        <f t="shared" si="9"/>
        <v>108</v>
      </c>
    </row>
    <row r="112" spans="1:23" ht="15" customHeight="1">
      <c r="A112" s="215">
        <v>0.43</v>
      </c>
      <c r="B112" s="216">
        <v>5000</v>
      </c>
      <c r="C112" s="217">
        <v>7</v>
      </c>
      <c r="D112" s="216">
        <v>4</v>
      </c>
      <c r="E112" s="2">
        <v>1120</v>
      </c>
      <c r="F112" s="218" t="s">
        <v>797</v>
      </c>
      <c r="G112" s="219">
        <v>117</v>
      </c>
      <c r="H112" s="206">
        <f t="shared" si="8"/>
        <v>114</v>
      </c>
      <c r="I112" s="2891"/>
      <c r="J112" s="208">
        <v>0.44</v>
      </c>
      <c r="K112" s="209">
        <v>4500</v>
      </c>
      <c r="L112" s="210">
        <v>6.5</v>
      </c>
      <c r="M112" s="209">
        <v>4</v>
      </c>
      <c r="N112" s="220">
        <v>1792</v>
      </c>
      <c r="O112" s="221" t="s">
        <v>797</v>
      </c>
      <c r="P112" s="222">
        <v>113.5</v>
      </c>
      <c r="Q112" s="213"/>
      <c r="R112" s="214">
        <f t="shared" si="9"/>
        <v>110.5</v>
      </c>
    </row>
    <row r="113" spans="1:18" ht="15" customHeight="1">
      <c r="A113" s="215">
        <v>0.45</v>
      </c>
      <c r="B113" s="216">
        <v>4500</v>
      </c>
      <c r="C113" s="216">
        <v>6.5</v>
      </c>
      <c r="D113" s="216">
        <v>4</v>
      </c>
      <c r="E113" s="2">
        <v>3106</v>
      </c>
      <c r="F113" s="223" t="s">
        <v>797</v>
      </c>
      <c r="G113" s="219">
        <v>114.5</v>
      </c>
      <c r="H113" s="206">
        <f t="shared" si="8"/>
        <v>111.5</v>
      </c>
      <c r="I113" s="2891"/>
      <c r="J113" s="208">
        <v>0.42</v>
      </c>
      <c r="K113" s="209">
        <v>5000</v>
      </c>
      <c r="L113" s="210">
        <v>7</v>
      </c>
      <c r="M113" s="209">
        <v>4</v>
      </c>
      <c r="N113" s="220">
        <v>1876</v>
      </c>
      <c r="O113" s="221" t="s">
        <v>797</v>
      </c>
      <c r="P113" s="222">
        <v>116</v>
      </c>
      <c r="Q113" s="213"/>
      <c r="R113" s="214">
        <f t="shared" si="9"/>
        <v>113</v>
      </c>
    </row>
    <row r="114" spans="1:18" ht="15" customHeight="1">
      <c r="A114" s="215"/>
      <c r="B114" s="216"/>
      <c r="C114" s="216"/>
      <c r="D114" s="216"/>
      <c r="E114" s="2"/>
      <c r="F114" s="223"/>
      <c r="G114" s="219"/>
      <c r="H114" s="206">
        <f t="shared" si="8"/>
        <v>-3</v>
      </c>
      <c r="I114" s="2891"/>
      <c r="J114" s="208">
        <v>0.39</v>
      </c>
      <c r="K114" s="209">
        <v>7000</v>
      </c>
      <c r="L114" s="210">
        <v>7.66</v>
      </c>
      <c r="M114" s="209">
        <v>4</v>
      </c>
      <c r="N114" s="220">
        <v>1914</v>
      </c>
      <c r="O114" s="221" t="s">
        <v>797</v>
      </c>
      <c r="P114" s="222">
        <v>118.5</v>
      </c>
      <c r="Q114" s="213"/>
      <c r="R114" s="214">
        <f t="shared" si="9"/>
        <v>115.5</v>
      </c>
    </row>
    <row r="115" spans="1:18" ht="15" customHeight="1">
      <c r="A115" s="215"/>
      <c r="B115" s="216"/>
      <c r="C115" s="216"/>
      <c r="D115" s="216"/>
      <c r="E115" s="2"/>
      <c r="F115" s="223"/>
      <c r="G115" s="219"/>
      <c r="H115" s="206">
        <f t="shared" si="8"/>
        <v>-3</v>
      </c>
      <c r="I115" s="2891"/>
      <c r="J115" s="215"/>
      <c r="K115" s="216"/>
      <c r="L115" s="217"/>
      <c r="M115" s="216"/>
      <c r="N115" s="2"/>
      <c r="O115" s="223"/>
      <c r="P115" s="219"/>
      <c r="Q115" s="225"/>
      <c r="R115" s="226"/>
    </row>
    <row r="116" spans="1:18" ht="15" customHeight="1">
      <c r="A116" s="215"/>
      <c r="B116" s="216"/>
      <c r="C116" s="216"/>
      <c r="D116" s="216"/>
      <c r="E116" s="2"/>
      <c r="F116" s="223"/>
      <c r="G116" s="219"/>
      <c r="H116" s="206">
        <f t="shared" si="8"/>
        <v>-3</v>
      </c>
      <c r="I116" s="207"/>
      <c r="J116" s="215"/>
      <c r="K116" s="216"/>
      <c r="L116" s="217"/>
      <c r="M116" s="216"/>
      <c r="N116" s="2"/>
      <c r="O116" s="223"/>
      <c r="P116" s="219"/>
      <c r="Q116" s="225"/>
      <c r="R116" s="226"/>
    </row>
    <row r="117" spans="1:18" ht="15" customHeight="1">
      <c r="A117" s="215"/>
      <c r="B117" s="216"/>
      <c r="C117" s="216"/>
      <c r="D117" s="216"/>
      <c r="E117" s="2"/>
      <c r="F117" s="223"/>
      <c r="G117" s="219"/>
      <c r="H117" s="206">
        <f t="shared" si="8"/>
        <v>-3</v>
      </c>
      <c r="I117" s="207"/>
      <c r="J117" s="215"/>
      <c r="K117" s="216"/>
      <c r="L117" s="217"/>
      <c r="M117" s="216"/>
      <c r="N117" s="2"/>
      <c r="O117" s="223"/>
      <c r="P117" s="219"/>
      <c r="Q117" s="225"/>
      <c r="R117" s="226"/>
    </row>
    <row r="118" spans="1:18" ht="15" customHeight="1">
      <c r="A118" s="227"/>
      <c r="B118" s="228"/>
      <c r="C118" s="228"/>
      <c r="D118" s="228"/>
      <c r="E118" s="229"/>
      <c r="F118" s="230"/>
      <c r="G118" s="219"/>
      <c r="H118" s="206"/>
      <c r="I118" s="207"/>
      <c r="J118" s="215"/>
      <c r="K118" s="216"/>
      <c r="L118" s="217"/>
      <c r="M118" s="216"/>
      <c r="O118" s="223"/>
      <c r="P118" s="219"/>
      <c r="Q118" s="225"/>
      <c r="R118" s="226"/>
    </row>
    <row r="119" spans="1:18">
      <c r="A119" s="227"/>
      <c r="B119" s="228"/>
      <c r="C119" s="228"/>
      <c r="D119" s="228"/>
      <c r="E119" s="229"/>
      <c r="F119" s="231"/>
      <c r="G119" s="232"/>
      <c r="H119" s="233"/>
      <c r="I119" s="207"/>
      <c r="J119" s="227"/>
      <c r="K119" s="228"/>
      <c r="L119" s="234"/>
      <c r="M119" s="228"/>
      <c r="N119" s="229"/>
      <c r="O119" s="230"/>
      <c r="P119" s="232"/>
      <c r="Q119" s="235"/>
      <c r="R119" s="236"/>
    </row>
    <row r="120" spans="1:18">
      <c r="H120" s="237"/>
      <c r="R120" s="70"/>
    </row>
    <row r="121" spans="1:18" ht="24.9">
      <c r="A121" s="238" t="s">
        <v>781</v>
      </c>
      <c r="B121" s="239" t="s">
        <v>782</v>
      </c>
      <c r="C121" s="239" t="s">
        <v>783</v>
      </c>
      <c r="D121" s="239" t="s">
        <v>784</v>
      </c>
      <c r="E121" s="195" t="s">
        <v>785</v>
      </c>
      <c r="F121" s="240"/>
      <c r="G121" s="196" t="s">
        <v>798</v>
      </c>
      <c r="H121" s="241"/>
      <c r="J121" s="238" t="s">
        <v>781</v>
      </c>
      <c r="K121" s="239" t="s">
        <v>782</v>
      </c>
      <c r="L121" s="239" t="s">
        <v>783</v>
      </c>
      <c r="M121" s="239" t="s">
        <v>784</v>
      </c>
      <c r="N121" s="195" t="s">
        <v>785</v>
      </c>
      <c r="O121" s="240"/>
      <c r="P121" s="196" t="s">
        <v>798</v>
      </c>
      <c r="Q121" s="242"/>
      <c r="R121" s="200"/>
    </row>
    <row r="122" spans="1:18" ht="15" customHeight="1">
      <c r="A122" s="215"/>
      <c r="B122" s="216"/>
      <c r="C122" s="203"/>
      <c r="D122" s="202"/>
      <c r="E122" s="2"/>
      <c r="F122" s="204"/>
      <c r="G122" s="205"/>
      <c r="H122" s="206">
        <f t="shared" ref="H122:H131" si="10">G122+SUM($K$95:$K$99)</f>
        <v>-3</v>
      </c>
      <c r="I122" s="2891" t="s">
        <v>799</v>
      </c>
      <c r="J122" s="243"/>
      <c r="K122" s="209"/>
      <c r="L122" s="210"/>
      <c r="M122" s="209"/>
      <c r="N122" s="220"/>
      <c r="O122" s="244"/>
      <c r="P122" s="212"/>
      <c r="Q122" s="213"/>
      <c r="R122" s="214">
        <f t="shared" ref="R122:R131" si="11">P122+SUM($K$95:$K$99)+2</f>
        <v>-1</v>
      </c>
    </row>
    <row r="123" spans="1:18" ht="15" customHeight="1">
      <c r="A123" s="215">
        <v>0.54</v>
      </c>
      <c r="B123" s="216">
        <v>3500</v>
      </c>
      <c r="C123" s="217">
        <v>5</v>
      </c>
      <c r="D123" s="216">
        <v>4</v>
      </c>
      <c r="E123" s="2">
        <v>1043</v>
      </c>
      <c r="F123" s="218" t="s">
        <v>800</v>
      </c>
      <c r="G123" s="219">
        <v>107</v>
      </c>
      <c r="H123" s="206">
        <f t="shared" si="10"/>
        <v>104</v>
      </c>
      <c r="I123" s="2891"/>
      <c r="J123" s="243"/>
      <c r="K123" s="209"/>
      <c r="L123" s="210"/>
      <c r="M123" s="209"/>
      <c r="N123" s="220"/>
      <c r="O123" s="244"/>
      <c r="P123" s="222"/>
      <c r="Q123" s="213"/>
      <c r="R123" s="214">
        <f t="shared" si="11"/>
        <v>-1</v>
      </c>
    </row>
    <row r="124" spans="1:18" ht="15" customHeight="1">
      <c r="A124" s="215">
        <v>0.52</v>
      </c>
      <c r="B124" s="216">
        <v>3500</v>
      </c>
      <c r="C124" s="217">
        <v>5.26</v>
      </c>
      <c r="D124" s="216">
        <v>4</v>
      </c>
      <c r="E124" s="2">
        <v>1053</v>
      </c>
      <c r="F124" s="218" t="s">
        <v>801</v>
      </c>
      <c r="G124" s="219">
        <v>108.25</v>
      </c>
      <c r="H124" s="206">
        <f t="shared" si="10"/>
        <v>105.25</v>
      </c>
      <c r="I124" s="2891"/>
      <c r="J124" s="243">
        <v>0.52</v>
      </c>
      <c r="K124" s="209">
        <v>3000</v>
      </c>
      <c r="L124" s="210">
        <v>5</v>
      </c>
      <c r="M124" s="209">
        <v>4</v>
      </c>
      <c r="N124" s="220">
        <v>1565</v>
      </c>
      <c r="O124" s="244" t="s">
        <v>801</v>
      </c>
      <c r="P124" s="222">
        <v>106</v>
      </c>
      <c r="Q124" s="213"/>
      <c r="R124" s="214">
        <f t="shared" si="11"/>
        <v>105</v>
      </c>
    </row>
    <row r="125" spans="1:18" ht="15" customHeight="1">
      <c r="A125" s="224">
        <v>0.5</v>
      </c>
      <c r="B125" s="216">
        <v>3600</v>
      </c>
      <c r="C125" s="217">
        <v>5.5</v>
      </c>
      <c r="D125" s="216">
        <v>4</v>
      </c>
      <c r="E125" s="2">
        <v>1061</v>
      </c>
      <c r="F125" s="218" t="s">
        <v>802</v>
      </c>
      <c r="G125" s="219">
        <v>109.5</v>
      </c>
      <c r="H125" s="206">
        <f t="shared" si="10"/>
        <v>106.5</v>
      </c>
      <c r="I125" s="2891"/>
      <c r="J125" s="243">
        <v>0.5</v>
      </c>
      <c r="K125" s="209">
        <v>3500</v>
      </c>
      <c r="L125" s="210">
        <v>5.25</v>
      </c>
      <c r="M125" s="209">
        <v>4</v>
      </c>
      <c r="N125" s="220">
        <v>1601</v>
      </c>
      <c r="O125" s="244" t="s">
        <v>802</v>
      </c>
      <c r="P125" s="222">
        <v>107.25</v>
      </c>
      <c r="Q125" s="213"/>
      <c r="R125" s="214">
        <f t="shared" si="11"/>
        <v>106.25</v>
      </c>
    </row>
    <row r="126" spans="1:18" ht="15" customHeight="1">
      <c r="A126" s="215">
        <v>0.45</v>
      </c>
      <c r="B126" s="216">
        <v>4000</v>
      </c>
      <c r="C126" s="217">
        <v>6</v>
      </c>
      <c r="D126" s="216">
        <v>4</v>
      </c>
      <c r="E126" s="2">
        <v>1083</v>
      </c>
      <c r="F126" s="218" t="s">
        <v>802</v>
      </c>
      <c r="G126" s="219">
        <v>112</v>
      </c>
      <c r="H126" s="206">
        <f t="shared" si="10"/>
        <v>109</v>
      </c>
      <c r="I126" s="2891"/>
      <c r="J126" s="243">
        <v>0.48</v>
      </c>
      <c r="K126" s="209">
        <v>4000</v>
      </c>
      <c r="L126" s="210">
        <v>5.5</v>
      </c>
      <c r="M126" s="209">
        <v>4</v>
      </c>
      <c r="N126" s="220">
        <v>1619</v>
      </c>
      <c r="O126" s="244" t="s">
        <v>802</v>
      </c>
      <c r="P126" s="222">
        <v>108.5</v>
      </c>
      <c r="Q126" s="213"/>
      <c r="R126" s="214">
        <f t="shared" si="11"/>
        <v>107.5</v>
      </c>
    </row>
    <row r="127" spans="1:18" ht="15" customHeight="1">
      <c r="A127" s="215">
        <v>0.43</v>
      </c>
      <c r="B127" s="216">
        <v>4700</v>
      </c>
      <c r="C127" s="217">
        <v>6.5</v>
      </c>
      <c r="D127" s="216">
        <v>4</v>
      </c>
      <c r="E127" s="2">
        <v>1103</v>
      </c>
      <c r="F127" s="218" t="s">
        <v>802</v>
      </c>
      <c r="G127" s="219">
        <v>114.5</v>
      </c>
      <c r="H127" s="206">
        <f t="shared" si="10"/>
        <v>111.5</v>
      </c>
      <c r="I127" s="2891"/>
      <c r="J127" s="243">
        <v>0.44</v>
      </c>
      <c r="K127" s="209">
        <v>4000</v>
      </c>
      <c r="L127" s="210">
        <v>6</v>
      </c>
      <c r="M127" s="209">
        <v>4</v>
      </c>
      <c r="N127" s="220">
        <v>1685</v>
      </c>
      <c r="O127" s="244" t="s">
        <v>802</v>
      </c>
      <c r="P127" s="222">
        <v>111</v>
      </c>
      <c r="Q127" s="213"/>
      <c r="R127" s="214">
        <f t="shared" si="11"/>
        <v>110</v>
      </c>
    </row>
    <row r="128" spans="1:18" ht="15" customHeight="1">
      <c r="A128" s="245">
        <v>0.4</v>
      </c>
      <c r="B128" s="216">
        <v>5000</v>
      </c>
      <c r="C128" s="217">
        <v>7</v>
      </c>
      <c r="D128" s="216">
        <v>4</v>
      </c>
      <c r="E128" s="2">
        <v>1121</v>
      </c>
      <c r="F128" s="218" t="s">
        <v>802</v>
      </c>
      <c r="G128" s="219">
        <v>117</v>
      </c>
      <c r="H128" s="206">
        <f t="shared" si="10"/>
        <v>114</v>
      </c>
      <c r="I128" s="2891"/>
      <c r="J128" s="243">
        <v>0.44</v>
      </c>
      <c r="K128" s="209">
        <v>4200</v>
      </c>
      <c r="L128" s="210">
        <v>6.22</v>
      </c>
      <c r="M128" s="209">
        <v>4</v>
      </c>
      <c r="N128" s="220">
        <v>1737</v>
      </c>
      <c r="O128" s="244" t="s">
        <v>802</v>
      </c>
      <c r="P128" s="222">
        <v>112.25</v>
      </c>
      <c r="Q128" s="213"/>
      <c r="R128" s="214">
        <f t="shared" si="11"/>
        <v>111.25</v>
      </c>
    </row>
    <row r="129" spans="1:18" ht="15" customHeight="1">
      <c r="A129" s="215">
        <v>0.34</v>
      </c>
      <c r="B129" s="216">
        <v>5500</v>
      </c>
      <c r="C129" s="217">
        <v>7.5</v>
      </c>
      <c r="D129" s="216">
        <v>4</v>
      </c>
      <c r="E129" s="2">
        <v>8371</v>
      </c>
      <c r="F129" s="218" t="s">
        <v>803</v>
      </c>
      <c r="G129" s="219">
        <v>119.5</v>
      </c>
      <c r="H129" s="206">
        <f t="shared" si="10"/>
        <v>116.5</v>
      </c>
      <c r="I129" s="2891"/>
      <c r="J129" s="243">
        <v>0.42</v>
      </c>
      <c r="K129" s="209">
        <v>4700</v>
      </c>
      <c r="L129" s="210">
        <v>6.5</v>
      </c>
      <c r="M129" s="209">
        <v>4</v>
      </c>
      <c r="N129" s="220">
        <v>1791</v>
      </c>
      <c r="O129" s="244" t="s">
        <v>802</v>
      </c>
      <c r="P129" s="222">
        <v>113.5</v>
      </c>
      <c r="Q129" s="213"/>
      <c r="R129" s="214">
        <f t="shared" si="11"/>
        <v>112.5</v>
      </c>
    </row>
    <row r="130" spans="1:18" ht="15" customHeight="1">
      <c r="A130" s="215">
        <v>0.36</v>
      </c>
      <c r="B130" s="216">
        <v>6000</v>
      </c>
      <c r="C130" s="217">
        <v>7.66</v>
      </c>
      <c r="D130" s="216">
        <v>4</v>
      </c>
      <c r="E130" s="2">
        <v>9047</v>
      </c>
      <c r="F130" s="223" t="s">
        <v>804</v>
      </c>
      <c r="G130" s="219">
        <v>127</v>
      </c>
      <c r="H130" s="206">
        <f t="shared" si="10"/>
        <v>124</v>
      </c>
      <c r="I130" s="2891"/>
      <c r="J130" s="243">
        <v>0.4</v>
      </c>
      <c r="K130" s="209">
        <v>5000</v>
      </c>
      <c r="L130" s="210">
        <v>7</v>
      </c>
      <c r="M130" s="209">
        <v>4</v>
      </c>
      <c r="N130" s="220">
        <v>1877</v>
      </c>
      <c r="O130" s="244" t="s">
        <v>802</v>
      </c>
      <c r="P130" s="222">
        <v>116</v>
      </c>
      <c r="Q130" s="213"/>
      <c r="R130" s="214">
        <f t="shared" si="11"/>
        <v>115</v>
      </c>
    </row>
    <row r="131" spans="1:18" ht="15" customHeight="1">
      <c r="A131" s="215">
        <v>0.35</v>
      </c>
      <c r="B131" s="216">
        <v>7000</v>
      </c>
      <c r="C131" s="217">
        <v>8</v>
      </c>
      <c r="D131" s="216">
        <v>4</v>
      </c>
      <c r="E131" s="2">
        <v>9060</v>
      </c>
      <c r="F131" s="223" t="s">
        <v>804</v>
      </c>
      <c r="G131" s="219">
        <v>130</v>
      </c>
      <c r="H131" s="206">
        <f t="shared" si="10"/>
        <v>127</v>
      </c>
      <c r="I131" s="2891"/>
      <c r="J131" s="243">
        <v>0.38</v>
      </c>
      <c r="K131" s="209">
        <v>5500</v>
      </c>
      <c r="L131" s="210">
        <v>7.5</v>
      </c>
      <c r="M131" s="209">
        <v>4</v>
      </c>
      <c r="N131" s="220">
        <v>1909</v>
      </c>
      <c r="O131" s="244" t="s">
        <v>802</v>
      </c>
      <c r="P131" s="222">
        <v>118.5</v>
      </c>
      <c r="Q131" s="213"/>
      <c r="R131" s="214">
        <f t="shared" si="11"/>
        <v>117.5</v>
      </c>
    </row>
    <row r="132" spans="1:18">
      <c r="A132" s="215"/>
      <c r="B132" s="216"/>
      <c r="C132" s="217"/>
      <c r="D132" s="216"/>
      <c r="E132" s="2"/>
      <c r="F132" s="223"/>
      <c r="G132" s="219"/>
      <c r="H132" s="246"/>
      <c r="I132" s="2891"/>
      <c r="J132" s="243"/>
      <c r="K132" s="209"/>
      <c r="L132" s="210"/>
      <c r="M132" s="209"/>
      <c r="N132" s="220"/>
      <c r="O132" s="244"/>
      <c r="P132" s="222"/>
      <c r="Q132" s="213"/>
      <c r="R132" s="214"/>
    </row>
    <row r="133" spans="1:18">
      <c r="A133" s="215"/>
      <c r="B133" s="216"/>
      <c r="C133" s="217"/>
      <c r="D133" s="216"/>
      <c r="E133" s="2"/>
      <c r="F133" s="223"/>
      <c r="G133" s="219"/>
      <c r="H133" s="247"/>
      <c r="J133" s="243">
        <v>0.41</v>
      </c>
      <c r="K133" s="209">
        <v>4500</v>
      </c>
      <c r="L133" s="210">
        <v>6.82</v>
      </c>
      <c r="M133" s="209">
        <v>4</v>
      </c>
      <c r="N133" s="220">
        <v>1841</v>
      </c>
      <c r="O133" s="244" t="s">
        <v>805</v>
      </c>
      <c r="P133" s="222">
        <v>114.75</v>
      </c>
      <c r="Q133" s="213"/>
      <c r="R133" s="214">
        <f>P133+SUM($K$95:$K$99)+2</f>
        <v>113.75</v>
      </c>
    </row>
    <row r="134" spans="1:18">
      <c r="A134" s="215"/>
      <c r="B134" s="216"/>
      <c r="C134" s="217"/>
      <c r="D134" s="216"/>
      <c r="E134" s="2"/>
      <c r="F134" s="223"/>
      <c r="G134" s="219"/>
      <c r="H134" s="247"/>
      <c r="J134" s="243">
        <v>0.45</v>
      </c>
      <c r="K134" s="209">
        <v>4400</v>
      </c>
      <c r="L134" s="210">
        <v>5.5</v>
      </c>
      <c r="M134" s="209">
        <v>5</v>
      </c>
      <c r="N134" s="220">
        <v>8433</v>
      </c>
      <c r="O134" s="244" t="s">
        <v>806</v>
      </c>
      <c r="P134" s="222">
        <v>108.5</v>
      </c>
      <c r="Q134" s="213"/>
      <c r="R134" s="214">
        <f>P134+SUM($K$95:$K$99)+2</f>
        <v>107.5</v>
      </c>
    </row>
    <row r="135" spans="1:18">
      <c r="A135" s="215"/>
      <c r="B135" s="216"/>
      <c r="C135" s="217"/>
      <c r="D135" s="216"/>
      <c r="E135" s="2"/>
      <c r="F135" s="223"/>
      <c r="G135" s="219"/>
      <c r="H135" s="247"/>
      <c r="J135" s="243"/>
      <c r="K135" s="209"/>
      <c r="L135" s="210"/>
      <c r="M135" s="209"/>
      <c r="N135" s="220"/>
      <c r="O135" s="244"/>
      <c r="P135" s="222"/>
      <c r="Q135" s="213"/>
      <c r="R135" s="214"/>
    </row>
    <row r="136" spans="1:18">
      <c r="A136" s="215"/>
      <c r="B136" s="216"/>
      <c r="C136" s="217"/>
      <c r="D136" s="216"/>
      <c r="E136" s="2"/>
      <c r="F136" s="223"/>
      <c r="G136" s="219"/>
      <c r="H136" s="247"/>
      <c r="J136" s="243">
        <v>0.71</v>
      </c>
      <c r="K136" s="209">
        <v>900</v>
      </c>
      <c r="L136" s="210">
        <v>6</v>
      </c>
      <c r="M136" s="209">
        <v>6</v>
      </c>
      <c r="N136" s="220">
        <v>6727</v>
      </c>
      <c r="O136" s="244" t="s">
        <v>807</v>
      </c>
      <c r="P136" s="222">
        <v>250</v>
      </c>
      <c r="Q136" s="213"/>
      <c r="R136" s="214">
        <f>P136+SUM($K$95:$K$99)+2</f>
        <v>249</v>
      </c>
    </row>
  </sheetData>
  <mergeCells count="104">
    <mergeCell ref="L98:M98"/>
    <mergeCell ref="N98:O98"/>
    <mergeCell ref="P98:R98"/>
    <mergeCell ref="S98:T98"/>
    <mergeCell ref="U98:W98"/>
    <mergeCell ref="A100:G100"/>
    <mergeCell ref="I107:I115"/>
    <mergeCell ref="I122:I132"/>
    <mergeCell ref="L95:M95"/>
    <mergeCell ref="L96:M96"/>
    <mergeCell ref="N96:O96"/>
    <mergeCell ref="P96:R96"/>
    <mergeCell ref="S96:T96"/>
    <mergeCell ref="U96:W96"/>
    <mergeCell ref="L97:M97"/>
    <mergeCell ref="N97:O97"/>
    <mergeCell ref="P97:R97"/>
    <mergeCell ref="S97:T97"/>
    <mergeCell ref="U97:W97"/>
    <mergeCell ref="L92:M92"/>
    <mergeCell ref="N92:O92"/>
    <mergeCell ref="P92:R92"/>
    <mergeCell ref="S92:T92"/>
    <mergeCell ref="U92:W92"/>
    <mergeCell ref="L93:M93"/>
    <mergeCell ref="N93:O93"/>
    <mergeCell ref="P93:R93"/>
    <mergeCell ref="S93:T93"/>
    <mergeCell ref="U93:W93"/>
    <mergeCell ref="L88:M88"/>
    <mergeCell ref="N88:O88"/>
    <mergeCell ref="P88:R88"/>
    <mergeCell ref="S88:T88"/>
    <mergeCell ref="U88:W88"/>
    <mergeCell ref="L90:M90"/>
    <mergeCell ref="L91:M91"/>
    <mergeCell ref="N91:O91"/>
    <mergeCell ref="P91:R91"/>
    <mergeCell ref="S91:T91"/>
    <mergeCell ref="U91:W91"/>
    <mergeCell ref="L86:M86"/>
    <mergeCell ref="N86:O86"/>
    <mergeCell ref="P86:R86"/>
    <mergeCell ref="S86:T86"/>
    <mergeCell ref="U86:W86"/>
    <mergeCell ref="L87:M87"/>
    <mergeCell ref="N87:O87"/>
    <mergeCell ref="P87:R87"/>
    <mergeCell ref="S87:T87"/>
    <mergeCell ref="U87:W87"/>
    <mergeCell ref="L82:M82"/>
    <mergeCell ref="N82:O82"/>
    <mergeCell ref="P82:R82"/>
    <mergeCell ref="S82:T82"/>
    <mergeCell ref="U82:W82"/>
    <mergeCell ref="L84:M84"/>
    <mergeCell ref="L85:M85"/>
    <mergeCell ref="N85:O85"/>
    <mergeCell ref="P85:R85"/>
    <mergeCell ref="S85:T85"/>
    <mergeCell ref="U85:W85"/>
    <mergeCell ref="L80:M80"/>
    <mergeCell ref="N80:O80"/>
    <mergeCell ref="P80:R80"/>
    <mergeCell ref="S80:T80"/>
    <mergeCell ref="U80:W80"/>
    <mergeCell ref="L81:M81"/>
    <mergeCell ref="N81:O81"/>
    <mergeCell ref="P81:R81"/>
    <mergeCell ref="S81:T81"/>
    <mergeCell ref="U81:W81"/>
    <mergeCell ref="L77:M77"/>
    <mergeCell ref="L78:M78"/>
    <mergeCell ref="N78:O78"/>
    <mergeCell ref="P78:R78"/>
    <mergeCell ref="S78:T78"/>
    <mergeCell ref="U78:W78"/>
    <mergeCell ref="L79:M79"/>
    <mergeCell ref="N79:O79"/>
    <mergeCell ref="P79:R79"/>
    <mergeCell ref="S79:T79"/>
    <mergeCell ref="U79:W79"/>
    <mergeCell ref="L74:M74"/>
    <mergeCell ref="N74:O74"/>
    <mergeCell ref="P74:R74"/>
    <mergeCell ref="S74:T74"/>
    <mergeCell ref="U74:W74"/>
    <mergeCell ref="L75:M75"/>
    <mergeCell ref="N75:O75"/>
    <mergeCell ref="P75:R75"/>
    <mergeCell ref="S75:T75"/>
    <mergeCell ref="U75:W75"/>
    <mergeCell ref="F23:G24"/>
    <mergeCell ref="H23:H24"/>
    <mergeCell ref="I23:J23"/>
    <mergeCell ref="F25:G26"/>
    <mergeCell ref="H25:H26"/>
    <mergeCell ref="L71:W71"/>
    <mergeCell ref="L72:M72"/>
    <mergeCell ref="L73:M73"/>
    <mergeCell ref="N73:O73"/>
    <mergeCell ref="P73:R73"/>
    <mergeCell ref="S73:T73"/>
    <mergeCell ref="U73:W73"/>
  </mergeCells>
  <hyperlinks>
    <hyperlink ref="B63" r:id="rId1" xr:uid="{00000000-0004-0000-0100-000000000000}"/>
    <hyperlink ref="U74" r:id="rId2" xr:uid="{00000000-0004-0000-0100-000001000000}"/>
    <hyperlink ref="U75" r:id="rId3" xr:uid="{00000000-0004-0000-0100-000002000000}"/>
    <hyperlink ref="U79" r:id="rId4" xr:uid="{00000000-0004-0000-0100-000003000000}"/>
    <hyperlink ref="U80" r:id="rId5" xr:uid="{00000000-0004-0000-0100-000004000000}"/>
    <hyperlink ref="U81" r:id="rId6" xr:uid="{00000000-0004-0000-0100-000005000000}"/>
    <hyperlink ref="U82" r:id="rId7" xr:uid="{00000000-0004-0000-0100-000006000000}"/>
    <hyperlink ref="U86" r:id="rId8" xr:uid="{00000000-0004-0000-0100-000007000000}"/>
    <hyperlink ref="U87" r:id="rId9" xr:uid="{00000000-0004-0000-0100-000008000000}"/>
    <hyperlink ref="U88" r:id="rId10" xr:uid="{00000000-0004-0000-0100-000009000000}"/>
    <hyperlink ref="U92" r:id="rId11" xr:uid="{00000000-0004-0000-0100-00000A000000}"/>
    <hyperlink ref="U93" r:id="rId12" xr:uid="{00000000-0004-0000-0100-00000B000000}"/>
    <hyperlink ref="U97" r:id="rId13" xr:uid="{00000000-0004-0000-0100-00000C000000}"/>
  </hyperlinks>
  <pageMargins left="0.45" right="0.359722222222222" top="1.0645833333333301" bottom="0.75" header="2.0138888888888901E-2" footer="0.3"/>
  <pageSetup fitToHeight="0" orientation="portrait" horizontalDpi="300" verticalDpi="300"/>
  <headerFooter>
    <oddHeader>&amp;LCTH Concrete, LLC
225 Creekside Dr.
Fort Worth, Texas 76131</oddHeader>
    <oddFooter>&amp;LOffice: 817-228-0452&amp;C&amp;14CTH Concrete, LLC
&amp;10&amp;P of &amp;N&amp;REmail: cdykgraaf@cthconcrete.com</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FFCC"/>
    <pageSetUpPr fitToPage="1"/>
  </sheetPr>
  <dimension ref="A1:V600"/>
  <sheetViews>
    <sheetView topLeftCell="A37" zoomScaleNormal="100" workbookViewId="0">
      <selection activeCell="B47" sqref="B47"/>
    </sheetView>
  </sheetViews>
  <sheetFormatPr defaultColWidth="4.84375" defaultRowHeight="12.45"/>
  <cols>
    <col min="1" max="1" width="10.84375" customWidth="1"/>
    <col min="2" max="2" width="45.4609375" customWidth="1"/>
    <col min="3" max="3" width="13.15234375" customWidth="1"/>
    <col min="4" max="4" width="11.4609375" customWidth="1"/>
    <col min="5" max="5" width="12.15234375" customWidth="1"/>
    <col min="6" max="6" width="9.53515625" customWidth="1"/>
    <col min="7" max="7" width="9.84375" customWidth="1"/>
    <col min="8" max="8" width="13.15234375" customWidth="1"/>
    <col min="9" max="9" width="9.84375" customWidth="1"/>
    <col min="10" max="10" width="14.15234375" customWidth="1"/>
    <col min="11" max="11" width="18" customWidth="1"/>
    <col min="12" max="12" width="19.84375" hidden="1" customWidth="1"/>
    <col min="13" max="13" width="4" customWidth="1"/>
    <col min="14" max="15" width="38" customWidth="1"/>
    <col min="16" max="16" width="35.15234375" customWidth="1"/>
    <col min="17" max="17" width="49.15234375" customWidth="1"/>
    <col min="18" max="18" width="11.84375" customWidth="1"/>
    <col min="19" max="20" width="3.84375" customWidth="1"/>
    <col min="21" max="21" width="5" customWidth="1"/>
    <col min="22" max="22" width="33" customWidth="1"/>
    <col min="23" max="23" width="8.15234375" customWidth="1"/>
    <col min="24" max="24" width="10" customWidth="1"/>
    <col min="25" max="25" width="10.4609375" customWidth="1"/>
    <col min="26" max="26" width="10.84375" customWidth="1"/>
    <col min="27" max="27" width="11.84375" customWidth="1"/>
    <col min="28" max="30" width="11.4609375" customWidth="1"/>
  </cols>
  <sheetData>
    <row r="1" spans="1:22" ht="24" customHeight="1"/>
    <row r="2" spans="1:22" ht="35.25" customHeight="1">
      <c r="A2" s="248"/>
      <c r="B2" s="249"/>
      <c r="C2" s="249"/>
      <c r="D2" s="249"/>
      <c r="E2" s="249"/>
      <c r="F2" s="250"/>
      <c r="G2" s="251"/>
      <c r="H2" s="251"/>
      <c r="I2" s="252"/>
      <c r="J2" s="252"/>
      <c r="K2" s="253"/>
      <c r="V2" t="s">
        <v>808</v>
      </c>
    </row>
    <row r="3" spans="1:22" ht="16.5" customHeight="1">
      <c r="A3" s="254">
        <v>1</v>
      </c>
      <c r="B3" s="255" t="s">
        <v>809</v>
      </c>
      <c r="C3" s="255" t="str">
        <f>Information!C14</f>
        <v/>
      </c>
      <c r="D3" s="254"/>
      <c r="E3" s="254"/>
      <c r="F3" s="254"/>
      <c r="G3" s="254"/>
      <c r="H3" s="254"/>
      <c r="I3" s="255" t="s">
        <v>524</v>
      </c>
      <c r="J3" s="2892">
        <v>44637</v>
      </c>
      <c r="K3" s="2892"/>
      <c r="V3" t="s">
        <v>810</v>
      </c>
    </row>
    <row r="4" spans="1:22" ht="16.5" customHeight="1">
      <c r="A4" s="254">
        <v>1</v>
      </c>
      <c r="B4" s="254" t="str">
        <f>Information!C11</f>
        <v/>
      </c>
      <c r="C4" s="254"/>
      <c r="D4" s="254"/>
      <c r="E4" s="254"/>
      <c r="F4" s="254"/>
      <c r="G4" s="254"/>
      <c r="H4" s="254"/>
    </row>
    <row r="5" spans="1:22" ht="16.5" customHeight="1">
      <c r="A5" s="254">
        <v>1</v>
      </c>
      <c r="B5" s="254" t="str">
        <f>Information!C12</f>
        <v/>
      </c>
      <c r="D5" s="254"/>
      <c r="E5" s="254"/>
      <c r="F5" s="254"/>
      <c r="G5" s="254"/>
      <c r="H5" s="256" t="s">
        <v>811</v>
      </c>
      <c r="I5" s="257" t="str">
        <f>Information!C2</f>
        <v>Trammell Crow – LBJ</v>
      </c>
    </row>
    <row r="6" spans="1:22" ht="16.5" customHeight="1">
      <c r="A6" s="254">
        <v>1</v>
      </c>
      <c r="B6" s="254" t="str">
        <f>Information!C13</f>
        <v/>
      </c>
      <c r="D6" s="254"/>
      <c r="E6" s="254"/>
      <c r="F6" s="254"/>
      <c r="G6" s="254"/>
      <c r="H6" s="256" t="s">
        <v>812</v>
      </c>
      <c r="I6" s="156" t="str">
        <f>Information!C4</f>
        <v>Dallas, TX</v>
      </c>
      <c r="J6" s="255"/>
    </row>
    <row r="7" spans="1:22" ht="16.5" customHeight="1">
      <c r="A7" s="254">
        <v>1</v>
      </c>
      <c r="B7" s="254"/>
      <c r="D7" s="254"/>
      <c r="E7" s="254"/>
      <c r="F7" s="254"/>
      <c r="G7" s="254"/>
      <c r="H7" s="256" t="s">
        <v>813</v>
      </c>
      <c r="I7" s="156">
        <f>Information!I3</f>
        <v>0</v>
      </c>
      <c r="J7" s="255"/>
    </row>
    <row r="8" spans="1:22" ht="16.5" customHeight="1">
      <c r="A8" s="254">
        <v>1</v>
      </c>
      <c r="B8" s="254"/>
      <c r="D8" s="254"/>
      <c r="E8" s="254"/>
      <c r="F8" s="254"/>
      <c r="G8" s="254"/>
      <c r="H8" s="254"/>
      <c r="I8" s="258"/>
      <c r="J8" s="255"/>
    </row>
    <row r="9" spans="1:22" ht="15.75" customHeight="1">
      <c r="A9" s="254">
        <v>1</v>
      </c>
      <c r="B9" s="254"/>
      <c r="D9" s="254"/>
      <c r="E9" s="254"/>
      <c r="F9" s="259" t="s">
        <v>814</v>
      </c>
      <c r="G9" s="254"/>
      <c r="H9" s="254"/>
      <c r="I9" s="256"/>
      <c r="J9" s="260"/>
    </row>
    <row r="10" spans="1:22" ht="15" customHeight="1">
      <c r="A10" s="254">
        <v>1</v>
      </c>
      <c r="B10" s="261" t="s">
        <v>815</v>
      </c>
      <c r="D10" s="254"/>
      <c r="E10" s="262"/>
      <c r="F10" s="262"/>
      <c r="G10" s="263" t="str">
        <f>Information!H11</f>
        <v xml:space="preserve">ARCHITECTURAL: </v>
      </c>
      <c r="H10" s="264">
        <f>Information!I11</f>
        <v>0</v>
      </c>
      <c r="I10" s="265"/>
      <c r="J10" s="266" t="s">
        <v>816</v>
      </c>
      <c r="K10" s="264">
        <f>Information!L11</f>
        <v>0</v>
      </c>
      <c r="L10" s="267"/>
    </row>
    <row r="11" spans="1:22" ht="15" customHeight="1">
      <c r="A11" s="254">
        <v>1</v>
      </c>
      <c r="B11" s="261"/>
      <c r="C11" s="254"/>
      <c r="D11" s="254"/>
      <c r="E11" s="254"/>
      <c r="F11" s="254"/>
      <c r="G11" s="263" t="str">
        <f>Information!H12</f>
        <v xml:space="preserve">STRUCTURAL: </v>
      </c>
      <c r="H11" s="264">
        <f>Information!I12</f>
        <v>0</v>
      </c>
      <c r="J11" s="266" t="s">
        <v>816</v>
      </c>
      <c r="K11" s="264">
        <f>Information!L12</f>
        <v>0</v>
      </c>
      <c r="L11" s="268"/>
    </row>
    <row r="12" spans="1:22" ht="15" customHeight="1">
      <c r="A12" s="254">
        <v>1</v>
      </c>
      <c r="B12" s="261"/>
      <c r="C12" s="254"/>
      <c r="D12" s="254"/>
      <c r="E12" s="254"/>
      <c r="F12" s="254"/>
      <c r="G12" s="263" t="str">
        <f>Information!H13</f>
        <v xml:space="preserve">CIVIL: </v>
      </c>
      <c r="H12" s="264">
        <f>Information!I13</f>
        <v>0</v>
      </c>
      <c r="I12" s="256"/>
      <c r="J12" s="266" t="s">
        <v>816</v>
      </c>
      <c r="K12" s="264">
        <f>Information!L13</f>
        <v>0</v>
      </c>
      <c r="L12" s="268"/>
    </row>
    <row r="13" spans="1:22" ht="15" customHeight="1">
      <c r="A13" s="254">
        <v>1</v>
      </c>
      <c r="B13" s="261"/>
      <c r="C13" s="254"/>
      <c r="D13" s="254"/>
      <c r="E13" s="254"/>
      <c r="F13" s="254"/>
      <c r="G13" s="263" t="str">
        <f>Information!H14</f>
        <v xml:space="preserve">LANDSCAPE: </v>
      </c>
      <c r="H13" s="264">
        <f>Information!I14</f>
        <v>0</v>
      </c>
      <c r="I13" s="269"/>
      <c r="J13" s="266" t="s">
        <v>816</v>
      </c>
      <c r="K13" s="264">
        <f>Information!L14</f>
        <v>0</v>
      </c>
      <c r="L13" s="268"/>
    </row>
    <row r="14" spans="1:22">
      <c r="A14" s="254">
        <v>1</v>
      </c>
      <c r="B14" s="261"/>
      <c r="C14" s="254"/>
      <c r="D14" s="254"/>
      <c r="E14" s="254"/>
      <c r="F14" s="254"/>
      <c r="G14" s="263"/>
      <c r="H14" s="264"/>
      <c r="I14" s="269"/>
      <c r="J14" s="266"/>
      <c r="K14" s="264"/>
      <c r="L14" s="268"/>
    </row>
    <row r="15" spans="1:22">
      <c r="A15" s="254">
        <v>1</v>
      </c>
      <c r="B15" s="12"/>
      <c r="C15" s="254"/>
      <c r="D15" s="254"/>
      <c r="E15" s="254"/>
      <c r="F15" s="254"/>
      <c r="G15" s="263"/>
      <c r="H15" s="264"/>
      <c r="I15" s="269"/>
      <c r="J15" s="266"/>
      <c r="K15" s="264"/>
      <c r="L15" s="268"/>
    </row>
    <row r="16" spans="1:22">
      <c r="A16" s="254">
        <v>1</v>
      </c>
      <c r="B16" s="12"/>
      <c r="C16" s="254"/>
      <c r="D16" s="254"/>
      <c r="E16" s="254"/>
      <c r="F16" s="254"/>
      <c r="G16" s="263"/>
      <c r="H16" s="264"/>
      <c r="I16" s="269"/>
      <c r="J16" s="266"/>
      <c r="K16" s="264"/>
      <c r="L16" s="268"/>
    </row>
    <row r="17" spans="1:14">
      <c r="A17" s="254">
        <v>1</v>
      </c>
      <c r="B17" s="270"/>
      <c r="C17" s="254"/>
      <c r="D17" s="254"/>
      <c r="E17" s="254"/>
      <c r="F17" s="254"/>
      <c r="G17" s="263"/>
      <c r="H17" s="264"/>
      <c r="I17" s="269"/>
      <c r="J17" s="266"/>
      <c r="K17" s="264"/>
      <c r="L17" s="268"/>
    </row>
    <row r="18" spans="1:14">
      <c r="A18" s="254">
        <v>1</v>
      </c>
      <c r="B18" s="270"/>
      <c r="C18" s="254"/>
      <c r="D18" s="254"/>
      <c r="E18" s="254"/>
      <c r="F18" s="254"/>
      <c r="G18" s="263"/>
      <c r="H18" s="264"/>
      <c r="I18" s="269"/>
      <c r="J18" s="266"/>
      <c r="K18" s="264"/>
      <c r="L18" s="268"/>
    </row>
    <row r="19" spans="1:14" ht="15.45">
      <c r="A19" s="254">
        <v>1</v>
      </c>
      <c r="B19" s="259" t="s">
        <v>817</v>
      </c>
      <c r="C19" s="254"/>
      <c r="D19" s="254"/>
      <c r="E19" s="254"/>
      <c r="F19" s="254"/>
      <c r="G19" s="263"/>
      <c r="H19" s="264"/>
      <c r="I19" s="271"/>
      <c r="J19" s="266"/>
      <c r="K19" s="264"/>
      <c r="L19" s="268"/>
    </row>
    <row r="20" spans="1:14" ht="15.45">
      <c r="A20" s="254">
        <v>1</v>
      </c>
      <c r="B20" s="259" t="s">
        <v>818</v>
      </c>
      <c r="C20" s="254"/>
      <c r="D20" s="254"/>
      <c r="E20" s="254"/>
      <c r="F20" s="254"/>
      <c r="G20" s="263"/>
      <c r="H20" s="264"/>
      <c r="I20" s="271"/>
      <c r="J20" s="266"/>
      <c r="K20" s="264"/>
      <c r="L20" s="268"/>
      <c r="N20" s="272" t="s">
        <v>819</v>
      </c>
    </row>
    <row r="21" spans="1:14" ht="15.45">
      <c r="A21" s="254">
        <v>1</v>
      </c>
      <c r="B21" s="254"/>
      <c r="C21" s="254"/>
      <c r="D21" s="254"/>
      <c r="E21" s="254"/>
      <c r="F21" s="254"/>
      <c r="G21" s="254"/>
      <c r="H21" s="254"/>
      <c r="I21" s="271"/>
      <c r="J21" s="260"/>
      <c r="L21" s="268"/>
      <c r="N21" s="272" t="s">
        <v>820</v>
      </c>
    </row>
    <row r="22" spans="1:14" ht="15.45">
      <c r="A22" s="254">
        <v>1</v>
      </c>
      <c r="B22" s="254"/>
      <c r="C22" s="254"/>
      <c r="D22" s="254"/>
      <c r="E22" s="254"/>
      <c r="F22" s="254"/>
      <c r="G22" s="254"/>
      <c r="H22" s="254"/>
      <c r="I22" s="271"/>
      <c r="J22" s="260"/>
      <c r="K22" s="273"/>
      <c r="L22" s="268"/>
      <c r="N22" s="272" t="s">
        <v>821</v>
      </c>
    </row>
    <row r="23" spans="1:14" ht="15.45">
      <c r="A23" s="254">
        <v>1</v>
      </c>
      <c r="B23" s="274" t="s">
        <v>822</v>
      </c>
      <c r="C23" s="254"/>
      <c r="D23" s="254"/>
      <c r="E23" s="254"/>
      <c r="F23" s="275"/>
      <c r="G23" s="254"/>
      <c r="H23" s="264"/>
      <c r="I23" s="271"/>
      <c r="J23" s="266"/>
      <c r="K23" s="264"/>
      <c r="L23" s="268"/>
    </row>
    <row r="24" spans="1:14" ht="15">
      <c r="A24" s="254"/>
      <c r="B24" s="274"/>
      <c r="C24" s="254"/>
      <c r="D24" s="254"/>
      <c r="E24" s="254"/>
      <c r="F24" s="275"/>
      <c r="G24" s="254"/>
      <c r="H24" s="264"/>
      <c r="I24" s="271"/>
      <c r="J24" s="266"/>
      <c r="K24" s="264"/>
      <c r="L24" s="268"/>
    </row>
    <row r="25" spans="1:14" ht="15.45">
      <c r="A25" s="254">
        <v>1</v>
      </c>
      <c r="B25" s="276"/>
      <c r="C25" s="254"/>
      <c r="D25" s="254"/>
      <c r="E25" s="277"/>
      <c r="F25" s="278"/>
      <c r="G25" s="254"/>
      <c r="H25" s="264"/>
      <c r="I25" s="271"/>
      <c r="J25" s="266"/>
      <c r="K25" s="264"/>
      <c r="L25" s="268"/>
    </row>
    <row r="26" spans="1:14">
      <c r="A26" s="254">
        <v>1</v>
      </c>
      <c r="B26" s="279"/>
      <c r="C26" s="254"/>
      <c r="D26" s="254"/>
      <c r="E26" s="254"/>
      <c r="F26" s="275"/>
      <c r="G26" s="254"/>
      <c r="H26" s="264"/>
      <c r="I26" s="271"/>
      <c r="J26" s="266"/>
      <c r="K26" s="264"/>
      <c r="L26" s="268"/>
    </row>
    <row r="27" spans="1:14">
      <c r="A27" s="254"/>
      <c r="B27" s="254"/>
      <c r="C27" s="254"/>
      <c r="D27" s="254"/>
      <c r="E27" s="254"/>
      <c r="F27" s="275"/>
      <c r="G27" s="254"/>
      <c r="H27" s="264"/>
      <c r="I27" s="271"/>
      <c r="J27" s="266"/>
      <c r="K27" s="264"/>
      <c r="L27" s="268"/>
    </row>
    <row r="28" spans="1:14">
      <c r="A28" s="254"/>
      <c r="B28" s="254"/>
      <c r="C28" s="254"/>
      <c r="D28" s="254"/>
      <c r="E28" s="254"/>
      <c r="F28" s="275"/>
      <c r="G28" s="254"/>
      <c r="H28" s="264"/>
      <c r="I28" s="271"/>
      <c r="J28" s="266"/>
      <c r="K28" s="264"/>
      <c r="L28" s="268"/>
    </row>
    <row r="29" spans="1:14">
      <c r="A29" s="254"/>
      <c r="B29" s="254"/>
      <c r="C29" s="254"/>
      <c r="D29" s="254"/>
      <c r="E29" s="254"/>
      <c r="F29" s="275"/>
      <c r="G29" s="254"/>
      <c r="H29" s="264"/>
      <c r="I29" s="271"/>
      <c r="J29" s="266"/>
      <c r="K29" s="264"/>
      <c r="L29" s="268"/>
    </row>
    <row r="30" spans="1:14">
      <c r="A30" s="254">
        <v>1</v>
      </c>
      <c r="B30" s="254"/>
      <c r="C30" s="254"/>
      <c r="D30" s="254"/>
      <c r="E30" s="254"/>
      <c r="F30" s="275"/>
      <c r="G30" s="254"/>
      <c r="H30" s="264"/>
      <c r="I30" s="271"/>
      <c r="J30" s="266"/>
      <c r="K30" s="264"/>
      <c r="L30" s="268"/>
    </row>
    <row r="31" spans="1:14">
      <c r="A31" s="254">
        <v>1</v>
      </c>
      <c r="B31" s="254"/>
      <c r="C31" s="254"/>
      <c r="D31" s="254"/>
      <c r="E31" s="254"/>
      <c r="F31" s="275"/>
      <c r="G31" s="254"/>
      <c r="H31" s="264"/>
      <c r="I31" s="271"/>
      <c r="J31" s="266"/>
      <c r="K31" s="264"/>
      <c r="L31" s="268"/>
    </row>
    <row r="32" spans="1:14" ht="25.5" customHeight="1">
      <c r="A32" s="254">
        <v>1</v>
      </c>
      <c r="B32" s="272" t="s">
        <v>819</v>
      </c>
      <c r="C32" s="254"/>
      <c r="D32" s="275"/>
      <c r="E32" s="254"/>
      <c r="F32" s="254"/>
      <c r="G32" s="254"/>
      <c r="H32" s="264"/>
      <c r="I32" s="271"/>
      <c r="J32" s="266"/>
      <c r="K32" s="264"/>
      <c r="L32" s="268"/>
    </row>
    <row r="33" spans="1:14" ht="76.5" customHeight="1">
      <c r="A33" s="254">
        <v>1</v>
      </c>
      <c r="B33" s="2893" t="s">
        <v>823</v>
      </c>
      <c r="C33" s="2893"/>
      <c r="D33" s="2893"/>
      <c r="E33" s="2893"/>
      <c r="F33" s="2893"/>
      <c r="G33" s="2893"/>
      <c r="H33" s="2893"/>
      <c r="I33" s="2893"/>
      <c r="J33" s="2893"/>
      <c r="K33" s="280"/>
      <c r="L33" s="268"/>
      <c r="N33" s="272"/>
    </row>
    <row r="34" spans="1:14" ht="9.75" customHeight="1">
      <c r="A34" s="254">
        <v>1</v>
      </c>
      <c r="B34" s="259"/>
      <c r="C34" s="254"/>
      <c r="D34" s="275"/>
      <c r="E34" s="254"/>
      <c r="F34" s="254"/>
      <c r="G34" s="254"/>
      <c r="H34" s="264"/>
      <c r="I34" s="271"/>
      <c r="J34" s="266"/>
      <c r="K34" s="264"/>
      <c r="L34" s="268"/>
      <c r="N34" s="272"/>
    </row>
    <row r="35" spans="1:14" ht="70.5" customHeight="1">
      <c r="A35" s="254">
        <v>1</v>
      </c>
      <c r="B35" s="2894" t="s">
        <v>824</v>
      </c>
      <c r="C35" s="2894"/>
      <c r="D35" s="2894"/>
      <c r="E35" s="2894"/>
      <c r="F35" s="2894"/>
      <c r="G35" s="2894"/>
      <c r="H35" s="2894"/>
      <c r="I35" s="2894"/>
      <c r="J35" s="2894"/>
      <c r="K35" s="264"/>
      <c r="L35" s="268"/>
    </row>
    <row r="36" spans="1:14" ht="15.45">
      <c r="A36" s="254">
        <v>1</v>
      </c>
      <c r="B36" s="2895"/>
      <c r="C36" s="2895"/>
      <c r="D36" s="275"/>
      <c r="E36" s="254"/>
      <c r="F36" s="254"/>
      <c r="G36" s="254"/>
      <c r="H36" s="264"/>
      <c r="I36" s="271"/>
      <c r="J36" s="266"/>
      <c r="K36" s="264"/>
      <c r="L36" s="268"/>
    </row>
    <row r="37" spans="1:14" ht="15.45">
      <c r="A37" s="254">
        <v>1</v>
      </c>
      <c r="B37" s="2895"/>
      <c r="C37" s="2895"/>
      <c r="D37" s="281"/>
      <c r="E37" s="254"/>
      <c r="F37" s="254"/>
      <c r="G37" s="254"/>
      <c r="H37" s="264"/>
      <c r="I37" s="271"/>
      <c r="J37" s="266"/>
      <c r="K37" s="264"/>
      <c r="L37" s="268"/>
    </row>
    <row r="38" spans="1:14" ht="15.45">
      <c r="A38" s="254">
        <v>1</v>
      </c>
      <c r="B38" s="272"/>
      <c r="C38" s="282"/>
      <c r="D38" s="254"/>
      <c r="E38" s="254"/>
      <c r="F38" s="254"/>
      <c r="G38" s="263"/>
      <c r="H38" s="254"/>
      <c r="I38" s="283"/>
      <c r="J38" s="260"/>
      <c r="L38" s="268"/>
    </row>
    <row r="39" spans="1:14">
      <c r="A39" s="254">
        <v>1</v>
      </c>
      <c r="C39" s="254"/>
      <c r="D39" s="254"/>
      <c r="E39" s="254"/>
      <c r="F39" s="254"/>
      <c r="G39" s="263"/>
      <c r="H39" s="264"/>
      <c r="I39" s="269"/>
      <c r="J39" s="266"/>
      <c r="K39" s="284"/>
      <c r="L39" s="268"/>
    </row>
    <row r="40" spans="1:14">
      <c r="A40" s="254">
        <v>1</v>
      </c>
      <c r="C40" s="254"/>
      <c r="D40" s="254"/>
      <c r="E40" s="254"/>
      <c r="F40" s="254"/>
      <c r="G40" s="263"/>
      <c r="H40" s="264"/>
      <c r="I40" s="269"/>
      <c r="J40" s="266"/>
      <c r="K40" s="264"/>
      <c r="L40" s="268"/>
    </row>
    <row r="41" spans="1:14">
      <c r="A41" s="254">
        <v>1</v>
      </c>
      <c r="B41" s="254"/>
      <c r="C41" s="254"/>
      <c r="D41" s="254"/>
      <c r="E41" s="254"/>
      <c r="F41" s="254"/>
      <c r="G41" s="263"/>
      <c r="H41" s="264"/>
      <c r="I41" s="269"/>
      <c r="J41" s="266"/>
      <c r="K41" s="264"/>
      <c r="L41" s="268"/>
    </row>
    <row r="42" spans="1:14">
      <c r="A42" s="254">
        <v>1</v>
      </c>
      <c r="C42" s="254"/>
      <c r="D42" s="254"/>
      <c r="E42" s="254"/>
      <c r="F42" s="254"/>
      <c r="G42" s="263"/>
      <c r="H42" s="254"/>
      <c r="I42" s="256"/>
      <c r="J42" s="260"/>
      <c r="L42" s="268"/>
    </row>
    <row r="43" spans="1:14">
      <c r="A43" s="254">
        <v>1</v>
      </c>
      <c r="C43" s="254"/>
      <c r="D43" s="254"/>
      <c r="E43" s="254"/>
      <c r="F43" s="254"/>
      <c r="G43" s="254"/>
      <c r="H43" s="254"/>
      <c r="I43" s="256"/>
      <c r="J43" s="260"/>
      <c r="K43" s="281"/>
      <c r="L43" s="268"/>
    </row>
    <row r="44" spans="1:14">
      <c r="A44" s="254">
        <v>1</v>
      </c>
      <c r="B44" s="254"/>
      <c r="C44" s="254"/>
      <c r="D44" s="254"/>
      <c r="E44" s="254"/>
      <c r="F44" s="254"/>
      <c r="G44" s="263"/>
      <c r="H44" s="264"/>
      <c r="I44" s="254"/>
      <c r="J44" s="285" t="s">
        <v>825</v>
      </c>
      <c r="K44" s="281">
        <f>C216+K264+C423+C458+C491+C294-H498-H499</f>
        <v>1968315.5896397906</v>
      </c>
      <c r="L44" s="268"/>
    </row>
    <row r="45" spans="1:14">
      <c r="A45" s="254">
        <v>0</v>
      </c>
      <c r="B45" s="254"/>
      <c r="C45" s="254"/>
      <c r="D45" s="254"/>
      <c r="E45" s="254"/>
      <c r="F45" s="254"/>
      <c r="G45" s="263"/>
      <c r="H45" s="264"/>
      <c r="I45" s="254"/>
      <c r="J45" s="285" t="s">
        <v>826</v>
      </c>
      <c r="K45" s="281"/>
      <c r="L45" s="268"/>
    </row>
    <row r="46" spans="1:14">
      <c r="A46" s="254">
        <v>1</v>
      </c>
      <c r="B46" s="254"/>
      <c r="C46" s="254"/>
      <c r="D46" s="254"/>
      <c r="E46" s="254"/>
      <c r="F46" s="254"/>
      <c r="G46" s="263"/>
      <c r="H46" s="264"/>
      <c r="I46" s="254"/>
      <c r="J46" s="286" t="s">
        <v>827</v>
      </c>
      <c r="K46" s="287">
        <f>C139+C174+H498+H499</f>
        <v>812030.9508674657</v>
      </c>
      <c r="L46" s="268"/>
    </row>
    <row r="47" spans="1:14" ht="13.75">
      <c r="A47" s="254">
        <v>1</v>
      </c>
      <c r="B47" s="254"/>
      <c r="C47" s="254"/>
      <c r="D47" s="254"/>
      <c r="E47" s="254"/>
      <c r="F47" s="254"/>
      <c r="G47" s="263"/>
      <c r="H47" s="264"/>
      <c r="I47" s="254"/>
      <c r="J47" s="288" t="s">
        <v>828</v>
      </c>
      <c r="K47" s="289">
        <f>SUM(K43:K46)</f>
        <v>2780346.5405072561</v>
      </c>
      <c r="L47" s="268"/>
      <c r="N47" s="290">
        <f>K47-Summary!D55</f>
        <v>-2192276.9640665632</v>
      </c>
    </row>
    <row r="48" spans="1:14">
      <c r="A48" s="254">
        <v>1</v>
      </c>
      <c r="C48" s="254"/>
      <c r="D48" s="254"/>
      <c r="E48" s="254"/>
      <c r="F48" s="254"/>
      <c r="G48" s="263"/>
      <c r="H48" s="254"/>
      <c r="I48" s="256"/>
      <c r="J48" s="260"/>
      <c r="L48" s="268"/>
    </row>
    <row r="49" spans="1:14">
      <c r="A49" s="254">
        <v>1</v>
      </c>
      <c r="C49" s="254"/>
      <c r="D49" s="254"/>
      <c r="E49" s="254"/>
      <c r="F49" s="254"/>
      <c r="G49" s="254"/>
      <c r="H49" s="254"/>
      <c r="I49" s="269"/>
      <c r="J49" s="291" t="s">
        <v>829</v>
      </c>
      <c r="K49" s="281">
        <f>K47*0.015</f>
        <v>41705.198107608841</v>
      </c>
      <c r="L49" s="268"/>
    </row>
    <row r="50" spans="1:14">
      <c r="A50" s="254">
        <v>1</v>
      </c>
      <c r="B50" s="254" t="s">
        <v>830</v>
      </c>
      <c r="C50" s="254"/>
      <c r="D50" s="254"/>
      <c r="E50" s="254"/>
      <c r="F50" s="254"/>
      <c r="G50" s="254"/>
      <c r="H50" s="254"/>
    </row>
    <row r="51" spans="1:14">
      <c r="A51" s="254">
        <v>1</v>
      </c>
      <c r="B51" s="292">
        <f>Information!C7</f>
        <v>0</v>
      </c>
      <c r="C51" s="254"/>
      <c r="D51" s="254"/>
      <c r="E51" s="254"/>
      <c r="F51" s="254"/>
      <c r="G51" s="254"/>
      <c r="H51" s="254"/>
      <c r="L51" s="268"/>
    </row>
    <row r="52" spans="1:14">
      <c r="A52" s="254">
        <v>1</v>
      </c>
      <c r="B52" s="292" t="s">
        <v>831</v>
      </c>
      <c r="C52" s="254"/>
      <c r="D52" s="254"/>
      <c r="E52" s="254"/>
      <c r="F52" s="254"/>
      <c r="G52" s="254"/>
      <c r="H52" s="254"/>
    </row>
    <row r="53" spans="1:14">
      <c r="A53" s="254">
        <v>1</v>
      </c>
      <c r="B53" s="292" t="s">
        <v>832</v>
      </c>
      <c r="C53" s="254"/>
      <c r="D53" s="254"/>
      <c r="E53" s="254"/>
      <c r="F53" s="254"/>
      <c r="G53" s="254"/>
      <c r="H53" s="254"/>
      <c r="N53" s="290">
        <f>Summary!D55-K47</f>
        <v>2192276.9640665632</v>
      </c>
    </row>
    <row r="54" spans="1:14">
      <c r="A54" s="254">
        <v>1</v>
      </c>
      <c r="B54" s="285"/>
      <c r="C54" s="254"/>
      <c r="D54" s="254"/>
      <c r="E54" s="254"/>
      <c r="F54" s="254"/>
      <c r="G54" s="254"/>
      <c r="H54" s="254"/>
      <c r="I54" s="254"/>
      <c r="J54" s="254"/>
      <c r="K54" s="293"/>
    </row>
    <row r="55" spans="1:14">
      <c r="A55" s="254">
        <v>0</v>
      </c>
      <c r="B55" s="285"/>
      <c r="C55" s="254"/>
      <c r="D55" s="254"/>
      <c r="E55" s="254"/>
      <c r="F55" s="254"/>
      <c r="G55" s="254"/>
      <c r="H55" s="254"/>
      <c r="I55" s="254"/>
      <c r="J55" s="254"/>
      <c r="K55" s="293"/>
    </row>
    <row r="56" spans="1:14">
      <c r="A56" s="254">
        <v>0</v>
      </c>
      <c r="B56" s="285"/>
      <c r="C56" s="254"/>
      <c r="D56" s="254"/>
      <c r="E56" s="254"/>
      <c r="F56" s="254"/>
      <c r="G56" s="254"/>
      <c r="H56" s="254"/>
      <c r="I56" s="254"/>
      <c r="J56" s="254"/>
      <c r="K56" s="293"/>
    </row>
    <row r="57" spans="1:14">
      <c r="A57" s="254">
        <v>0</v>
      </c>
      <c r="B57" s="285"/>
      <c r="C57" s="254"/>
      <c r="D57" s="254"/>
      <c r="E57" s="254"/>
      <c r="F57" s="254"/>
      <c r="G57" s="254"/>
      <c r="H57" s="254"/>
      <c r="I57" s="254"/>
      <c r="J57" s="254"/>
      <c r="K57" s="293"/>
    </row>
    <row r="58" spans="1:14">
      <c r="A58" s="254">
        <v>0</v>
      </c>
      <c r="B58" s="285"/>
      <c r="C58" s="254"/>
      <c r="D58" s="254"/>
      <c r="E58" s="254"/>
      <c r="F58" s="254"/>
      <c r="G58" s="254"/>
      <c r="H58" s="254"/>
      <c r="I58" s="254"/>
      <c r="J58" s="254"/>
      <c r="K58" s="293"/>
    </row>
    <row r="59" spans="1:14" ht="7.5" customHeight="1">
      <c r="A59" s="254">
        <v>1</v>
      </c>
      <c r="B59" s="285"/>
      <c r="C59" s="254"/>
      <c r="D59" s="254"/>
      <c r="E59" s="254"/>
      <c r="F59" s="254"/>
      <c r="G59" s="254"/>
      <c r="H59" s="254"/>
      <c r="I59" s="254"/>
      <c r="J59" s="254"/>
      <c r="K59" s="293"/>
    </row>
    <row r="60" spans="1:14" ht="18.75" customHeight="1">
      <c r="A60" s="254">
        <v>1</v>
      </c>
      <c r="B60" s="254"/>
      <c r="C60" s="254" t="s">
        <v>833</v>
      </c>
      <c r="D60" s="254"/>
      <c r="E60" s="254"/>
      <c r="F60" s="254"/>
      <c r="G60" s="254"/>
      <c r="H60" s="254"/>
      <c r="I60" s="254"/>
      <c r="J60" s="254"/>
      <c r="K60" s="293"/>
    </row>
    <row r="61" spans="1:14" ht="16.5" customHeight="1">
      <c r="A61" s="254">
        <v>1</v>
      </c>
      <c r="B61" s="254"/>
      <c r="C61" s="254"/>
      <c r="D61" s="254"/>
      <c r="E61" s="254"/>
      <c r="F61" s="254"/>
      <c r="G61" s="254"/>
      <c r="H61" s="254"/>
      <c r="I61" s="254"/>
      <c r="J61" s="254"/>
      <c r="K61" s="293"/>
      <c r="N61" s="273">
        <f>SUM(M216:N524)</f>
        <v>2207155.1336815734</v>
      </c>
    </row>
    <row r="62" spans="1:14" ht="19.5" customHeight="1">
      <c r="A62" s="294">
        <f>IF(SUM(A64:A91)&gt;0,1,0)</f>
        <v>0</v>
      </c>
      <c r="B62" s="294" t="s">
        <v>834</v>
      </c>
      <c r="C62" s="2896">
        <f>'01-Piers'!E42</f>
        <v>344916.3288672273</v>
      </c>
      <c r="D62" s="2896"/>
      <c r="E62" s="295"/>
      <c r="F62" s="296"/>
      <c r="G62" s="296"/>
      <c r="H62" s="296"/>
      <c r="I62" s="296"/>
    </row>
    <row r="63" spans="1:14" ht="13.5" customHeight="1">
      <c r="A63" s="294">
        <f>IF(SUM(A64:A91)&gt;0,1,0)</f>
        <v>0</v>
      </c>
      <c r="B63" s="297"/>
      <c r="C63" s="256" t="s">
        <v>835</v>
      </c>
      <c r="D63" s="298"/>
      <c r="E63" s="299" t="s">
        <v>836</v>
      </c>
      <c r="F63" s="298"/>
      <c r="G63" s="297" t="s">
        <v>837</v>
      </c>
      <c r="H63" s="297" t="s">
        <v>838</v>
      </c>
      <c r="I63" s="297" t="s">
        <v>839</v>
      </c>
      <c r="J63" s="299"/>
      <c r="K63" s="300"/>
      <c r="L63" s="301">
        <f t="shared" ref="L63:L68" si="0">IF(K63="incl",0,K63)</f>
        <v>0</v>
      </c>
    </row>
    <row r="64" spans="1:14" ht="13.5" customHeight="1">
      <c r="A64" s="254">
        <f t="shared" ref="A64:A91" si="1">IF(B64="",0,1)</f>
        <v>0</v>
      </c>
      <c r="B64" s="302" t="str">
        <f>IF('01-Piers'!B11="","",'01-Piers'!B11)</f>
        <v/>
      </c>
      <c r="C64" s="303" t="str">
        <f>IF(B64="","",'01-Piers'!E11)</f>
        <v/>
      </c>
      <c r="D64" s="304">
        <f>IF('01-Piers'!F11="","",'01-Piers'!F11)</f>
        <v>24</v>
      </c>
      <c r="E64" s="305">
        <f>IF('01-Piers'!E11="","",'01-Piers'!E11*'01-Piers'!J11)</f>
        <v>228</v>
      </c>
      <c r="F64" s="306"/>
      <c r="G64" s="307">
        <f>IF('01-Piers'!U11=0,"",'01-Piers'!U11)</f>
        <v>51.122133378530449</v>
      </c>
      <c r="H64" s="307">
        <f>IF('01-Piers'!V11=0,"",'01-Piers'!V11)</f>
        <v>20.716784768518519</v>
      </c>
      <c r="I64" s="307">
        <f>IF('01-Piers'!W11=0,"",'01-Piers'!W11)</f>
        <v>45.823869756076384</v>
      </c>
      <c r="J64" s="308"/>
      <c r="K64" s="286"/>
      <c r="L64" s="290">
        <f t="shared" si="0"/>
        <v>0</v>
      </c>
    </row>
    <row r="65" spans="1:12" ht="13.5" customHeight="1">
      <c r="A65" s="254">
        <f t="shared" si="1"/>
        <v>0</v>
      </c>
      <c r="B65" s="302" t="str">
        <f>IF('01-Piers'!B12="","",'01-Piers'!B12)</f>
        <v/>
      </c>
      <c r="C65" s="303" t="str">
        <f>IF(B65="","",'01-Piers'!E12)</f>
        <v/>
      </c>
      <c r="D65" s="304">
        <f>IF('01-Piers'!F12="","",'01-Piers'!F12)</f>
        <v>24</v>
      </c>
      <c r="E65" s="305">
        <f>IF('01-Piers'!E12="","",'01-Piers'!E12*'01-Piers'!J12)</f>
        <v>252</v>
      </c>
      <c r="F65" s="306"/>
      <c r="G65" s="307">
        <f>IF('01-Piers'!U12=0,"",'01-Piers'!U12)</f>
        <v>50.93133595158308</v>
      </c>
      <c r="H65" s="307">
        <f>IF('01-Piers'!V12=0,"",'01-Piers'!V12)</f>
        <v>20.716784768518519</v>
      </c>
      <c r="I65" s="307">
        <f>IF('01-Piers'!W12=0,"",'01-Piers'!W12)</f>
        <v>45.823869756076384</v>
      </c>
      <c r="J65" s="309"/>
      <c r="K65" s="293"/>
      <c r="L65" s="301">
        <f t="shared" si="0"/>
        <v>0</v>
      </c>
    </row>
    <row r="66" spans="1:12" ht="13.5" customHeight="1">
      <c r="A66" s="254">
        <f t="shared" si="1"/>
        <v>0</v>
      </c>
      <c r="B66" s="302" t="str">
        <f>IF('01-Piers'!B13="","",'01-Piers'!B13)</f>
        <v/>
      </c>
      <c r="C66" s="303" t="str">
        <f>IF(B66="","",'01-Piers'!E13)</f>
        <v/>
      </c>
      <c r="D66" s="304">
        <f>IF('01-Piers'!F13="","",'01-Piers'!F13)</f>
        <v>36</v>
      </c>
      <c r="E66" s="305">
        <f>IF('01-Piers'!E13="","",'01-Piers'!E13*'01-Piers'!J13)</f>
        <v>1104</v>
      </c>
      <c r="F66" s="306"/>
      <c r="G66" s="307">
        <f>IF('01-Piers'!U13=0,"",'01-Piers'!U13)</f>
        <v>118.85480271687462</v>
      </c>
      <c r="H66" s="307">
        <f>IF('01-Piers'!V13=0,"",'01-Piers'!V13)</f>
        <v>46.612765729166675</v>
      </c>
      <c r="I66" s="307">
        <f>IF('01-Piers'!W13=0,"",'01-Piers'!W13)</f>
        <v>67.035102582465271</v>
      </c>
      <c r="J66" s="308"/>
      <c r="K66" s="286"/>
      <c r="L66" s="290">
        <f t="shared" si="0"/>
        <v>0</v>
      </c>
    </row>
    <row r="67" spans="1:12" ht="13.5" customHeight="1">
      <c r="A67" s="254">
        <f t="shared" si="1"/>
        <v>0</v>
      </c>
      <c r="B67" s="302" t="str">
        <f>IF('01-Piers'!B14="","",'01-Piers'!B14)</f>
        <v/>
      </c>
      <c r="C67" s="303" t="str">
        <f>IF(B67="","",'01-Piers'!E14)</f>
        <v/>
      </c>
      <c r="D67" s="304">
        <f>IF('01-Piers'!F14="","",'01-Piers'!F14)</f>
        <v>42</v>
      </c>
      <c r="E67" s="305">
        <f>IF('01-Piers'!E14="","",'01-Piers'!E14*'01-Piers'!J14)</f>
        <v>440</v>
      </c>
      <c r="F67" s="306"/>
      <c r="G67" s="307">
        <f>IF('01-Piers'!U14=0,"",'01-Piers'!U14)</f>
        <v>148.84300060470784</v>
      </c>
      <c r="H67" s="307">
        <f>IF('01-Piers'!V14=0,"",'01-Piers'!V14)</f>
        <v>63.445153353587962</v>
      </c>
      <c r="I67" s="307">
        <f>IF('01-Piers'!W14=0,"",'01-Piers'!W14)</f>
        <v>86.640718995659711</v>
      </c>
      <c r="J67" s="309"/>
      <c r="K67" s="293"/>
      <c r="L67" s="301">
        <f t="shared" si="0"/>
        <v>0</v>
      </c>
    </row>
    <row r="68" spans="1:12" ht="13.5" customHeight="1">
      <c r="A68" s="254">
        <f t="shared" si="1"/>
        <v>0</v>
      </c>
      <c r="B68" s="302" t="str">
        <f>IF('01-Piers'!B15="","",'01-Piers'!B15)</f>
        <v/>
      </c>
      <c r="C68" s="303" t="str">
        <f>IF(B68="","",'01-Piers'!E15)</f>
        <v/>
      </c>
      <c r="D68" s="304" t="str">
        <f>IF('01-Piers'!F15="","",'01-Piers'!F15)</f>
        <v/>
      </c>
      <c r="E68" s="305" t="str">
        <f>IF('01-Piers'!E15="","",'01-Piers'!E15*'01-Piers'!J15)</f>
        <v/>
      </c>
      <c r="F68" s="306"/>
      <c r="G68" s="307" t="str">
        <f>IF('01-Piers'!U15=0,"",'01-Piers'!U15)</f>
        <v/>
      </c>
      <c r="H68" s="307" t="str">
        <f>IF('01-Piers'!V15=0,"",'01-Piers'!V15)</f>
        <v/>
      </c>
      <c r="I68" s="307" t="str">
        <f>IF('01-Piers'!W15=0,"",'01-Piers'!W15)</f>
        <v/>
      </c>
      <c r="J68" s="309"/>
      <c r="K68" s="293"/>
      <c r="L68" s="301">
        <f t="shared" si="0"/>
        <v>0</v>
      </c>
    </row>
    <row r="69" spans="1:12" ht="13.5" customHeight="1">
      <c r="A69" s="254">
        <f t="shared" si="1"/>
        <v>0</v>
      </c>
      <c r="B69" s="302" t="str">
        <f>IF('01-Piers'!B16="","",'01-Piers'!B16)</f>
        <v/>
      </c>
      <c r="C69" s="303" t="str">
        <f>IF(B69="","",'01-Piers'!E16)</f>
        <v/>
      </c>
      <c r="D69" s="304" t="str">
        <f>IF('01-Piers'!F16="","",'01-Piers'!F16)</f>
        <v/>
      </c>
      <c r="E69" s="305" t="str">
        <f>IF('01-Piers'!E16="","",'01-Piers'!E16*'01-Piers'!J16)</f>
        <v/>
      </c>
      <c r="F69" s="306"/>
      <c r="G69" s="307" t="str">
        <f>IF('01-Piers'!U16=0,"",'01-Piers'!U16)</f>
        <v/>
      </c>
      <c r="H69" s="307" t="str">
        <f>IF('01-Piers'!V16=0,"",'01-Piers'!V16)</f>
        <v/>
      </c>
      <c r="I69" s="307" t="str">
        <f>IF('01-Piers'!W16=0,"",'01-Piers'!W16)</f>
        <v/>
      </c>
      <c r="J69" s="308"/>
      <c r="K69" s="286"/>
    </row>
    <row r="70" spans="1:12" ht="13.5" customHeight="1">
      <c r="A70" s="254">
        <f t="shared" si="1"/>
        <v>0</v>
      </c>
      <c r="B70" s="302" t="str">
        <f>IF('01-Piers'!B17="","",'01-Piers'!B17)</f>
        <v/>
      </c>
      <c r="C70" s="303" t="str">
        <f>IF(B70="","",'01-Piers'!E17)</f>
        <v/>
      </c>
      <c r="D70" s="304">
        <f>IF('01-Piers'!F17="","",'01-Piers'!F17)</f>
        <v>24</v>
      </c>
      <c r="E70" s="305">
        <f>IF('01-Piers'!E17="","",'01-Piers'!E17*'01-Piers'!J17)</f>
        <v>84</v>
      </c>
      <c r="F70" s="306"/>
      <c r="G70" s="307">
        <f>IF('01-Piers'!U17=0,"",'01-Piers'!U17)</f>
        <v>50.93133595158308</v>
      </c>
      <c r="H70" s="307">
        <f>IF('01-Piers'!V17=0,"",'01-Piers'!V17)</f>
        <v>20.716784768518519</v>
      </c>
      <c r="I70" s="307">
        <f>IF('01-Piers'!W17=0,"",'01-Piers'!W17)</f>
        <v>45.823869756076384</v>
      </c>
      <c r="J70" s="308"/>
      <c r="K70" s="293"/>
    </row>
    <row r="71" spans="1:12" ht="13.5" customHeight="1">
      <c r="A71" s="254">
        <f t="shared" si="1"/>
        <v>0</v>
      </c>
      <c r="B71" s="302" t="str">
        <f>IF('01-Piers'!B18="","",'01-Piers'!B18)</f>
        <v/>
      </c>
      <c r="C71" s="303" t="str">
        <f>IF(B71="","",'01-Piers'!E18)</f>
        <v/>
      </c>
      <c r="D71" s="304">
        <f>IF('01-Piers'!F18="","",'01-Piers'!F18)</f>
        <v>42</v>
      </c>
      <c r="E71" s="305">
        <f>IF('01-Piers'!E18="","",'01-Piers'!E18*'01-Piers'!J18)</f>
        <v>240</v>
      </c>
      <c r="F71" s="306"/>
      <c r="G71" s="307">
        <f>IF('01-Piers'!U18=0,"",'01-Piers'!U18)</f>
        <v>149.01601918050787</v>
      </c>
      <c r="H71" s="307">
        <f>IF('01-Piers'!V18=0,"",'01-Piers'!V18)</f>
        <v>63.445153353587962</v>
      </c>
      <c r="I71" s="307">
        <f>IF('01-Piers'!W18=0,"",'01-Piers'!W18)</f>
        <v>86.640718995659711</v>
      </c>
      <c r="J71" s="308"/>
      <c r="K71" s="293"/>
    </row>
    <row r="72" spans="1:12" ht="13.5" customHeight="1">
      <c r="A72" s="254">
        <f t="shared" si="1"/>
        <v>0</v>
      </c>
      <c r="B72" s="302" t="str">
        <f>IF('01-Piers'!B19="","",'01-Piers'!B19)</f>
        <v/>
      </c>
      <c r="C72" s="303" t="str">
        <f>IF(B72="","",'01-Piers'!E19)</f>
        <v/>
      </c>
      <c r="D72" s="304" t="str">
        <f>IF('01-Piers'!F19="","",'01-Piers'!F19)</f>
        <v/>
      </c>
      <c r="E72" s="305" t="str">
        <f>IF('01-Piers'!E19="","",'01-Piers'!E19*'01-Piers'!J19)</f>
        <v/>
      </c>
      <c r="F72" s="306"/>
      <c r="G72" s="307" t="str">
        <f>IF('01-Piers'!U19=0,"",'01-Piers'!U19)</f>
        <v/>
      </c>
      <c r="H72" s="307" t="str">
        <f>IF('01-Piers'!V19=0,"",'01-Piers'!V19)</f>
        <v/>
      </c>
      <c r="I72" s="307" t="str">
        <f>IF('01-Piers'!W19=0,"",'01-Piers'!W19)</f>
        <v/>
      </c>
      <c r="J72" s="308"/>
      <c r="K72" s="293"/>
    </row>
    <row r="73" spans="1:12" ht="13.5" customHeight="1">
      <c r="A73" s="254">
        <f t="shared" si="1"/>
        <v>0</v>
      </c>
      <c r="B73" s="302" t="str">
        <f>IF('01-Piers'!B20="","",'01-Piers'!B20)</f>
        <v/>
      </c>
      <c r="C73" s="303" t="str">
        <f>IF(B73="","",'01-Piers'!E20)</f>
        <v/>
      </c>
      <c r="D73" s="304" t="str">
        <f>IF('01-Piers'!F20="","",'01-Piers'!F20)</f>
        <v/>
      </c>
      <c r="E73" s="305" t="str">
        <f>IF('01-Piers'!E20="","",'01-Piers'!E20*'01-Piers'!J20)</f>
        <v/>
      </c>
      <c r="F73" s="306"/>
      <c r="G73" s="307" t="str">
        <f>IF('01-Piers'!U20=0,"",'01-Piers'!U20)</f>
        <v/>
      </c>
      <c r="H73" s="307" t="str">
        <f>IF('01-Piers'!V20=0,"",'01-Piers'!V20)</f>
        <v/>
      </c>
      <c r="I73" s="307" t="str">
        <f>IF('01-Piers'!W20=0,"",'01-Piers'!W20)</f>
        <v/>
      </c>
      <c r="J73" s="308"/>
      <c r="K73" s="293"/>
    </row>
    <row r="74" spans="1:12" ht="13.5" customHeight="1">
      <c r="A74" s="254">
        <f t="shared" si="1"/>
        <v>0</v>
      </c>
      <c r="B74" s="302" t="str">
        <f>IF('01-Piers'!B21="","",'01-Piers'!B21)</f>
        <v/>
      </c>
      <c r="C74" s="303" t="str">
        <f>IF(B74="","",'01-Piers'!E21)</f>
        <v/>
      </c>
      <c r="D74" s="304" t="str">
        <f>IF('01-Piers'!F21="","",'01-Piers'!F21)</f>
        <v/>
      </c>
      <c r="E74" s="305" t="str">
        <f>IF('01-Piers'!E21="","",'01-Piers'!E21*'01-Piers'!J21)</f>
        <v/>
      </c>
      <c r="F74" s="306"/>
      <c r="G74" s="307" t="str">
        <f>IF('01-Piers'!U21=0,"",'01-Piers'!U21)</f>
        <v/>
      </c>
      <c r="H74" s="307" t="str">
        <f>IF('01-Piers'!V21=0,"",'01-Piers'!V21)</f>
        <v/>
      </c>
      <c r="I74" s="307" t="str">
        <f>IF('01-Piers'!W21=0,"",'01-Piers'!W21)</f>
        <v/>
      </c>
      <c r="J74" s="308"/>
      <c r="K74" s="293"/>
    </row>
    <row r="75" spans="1:12" ht="13.5" customHeight="1">
      <c r="A75" s="254">
        <f t="shared" si="1"/>
        <v>0</v>
      </c>
      <c r="B75" s="302" t="str">
        <f>IF('01-Piers'!B22="","",'01-Piers'!B22)</f>
        <v/>
      </c>
      <c r="C75" s="303" t="str">
        <f>IF(B75="","",'01-Piers'!E22)</f>
        <v/>
      </c>
      <c r="D75" s="304" t="str">
        <f>IF('01-Piers'!F22="","",'01-Piers'!F22)</f>
        <v/>
      </c>
      <c r="E75" s="305" t="str">
        <f>IF('01-Piers'!E22="","",'01-Piers'!E22*'01-Piers'!J22)</f>
        <v/>
      </c>
      <c r="F75" s="306"/>
      <c r="G75" s="307" t="str">
        <f>IF('01-Piers'!U22=0,"",'01-Piers'!U22)</f>
        <v/>
      </c>
      <c r="H75" s="307" t="str">
        <f>IF('01-Piers'!V22=0,"",'01-Piers'!V22)</f>
        <v/>
      </c>
      <c r="I75" s="307" t="str">
        <f>IF('01-Piers'!W22=0,"",'01-Piers'!W22)</f>
        <v/>
      </c>
      <c r="J75" s="308"/>
      <c r="K75" s="293"/>
      <c r="L75">
        <f>IF(K75="incl",0,K75)</f>
        <v>0</v>
      </c>
    </row>
    <row r="76" spans="1:12" ht="13.5" customHeight="1">
      <c r="A76" s="254">
        <f t="shared" si="1"/>
        <v>0</v>
      </c>
      <c r="B76" s="302" t="str">
        <f>IF('01-Piers'!B23="","",'01-Piers'!B23)</f>
        <v/>
      </c>
      <c r="C76" s="303" t="str">
        <f>IF(B76="","",'01-Piers'!E23)</f>
        <v/>
      </c>
      <c r="D76" s="304" t="str">
        <f>IF('01-Piers'!F23="","",'01-Piers'!F23)</f>
        <v/>
      </c>
      <c r="E76" s="305" t="str">
        <f>IF('01-Piers'!E23="","",'01-Piers'!E23*'01-Piers'!J23)</f>
        <v/>
      </c>
      <c r="F76" s="306"/>
      <c r="G76" s="307" t="str">
        <f>IF('01-Piers'!U23=0,"",'01-Piers'!U23)</f>
        <v/>
      </c>
      <c r="H76" s="307" t="str">
        <f>IF('01-Piers'!V23=0,"",'01-Piers'!V23)</f>
        <v/>
      </c>
      <c r="I76" s="307" t="str">
        <f>IF('01-Piers'!W23=0,"",'01-Piers'!W23)</f>
        <v/>
      </c>
      <c r="J76" s="308"/>
      <c r="K76" s="293"/>
    </row>
    <row r="77" spans="1:12" ht="13.5" customHeight="1">
      <c r="A77" s="254">
        <f t="shared" si="1"/>
        <v>0</v>
      </c>
      <c r="B77" s="302" t="str">
        <f>IF('01-Piers'!B24="","",'01-Piers'!B24)</f>
        <v/>
      </c>
      <c r="C77" s="303" t="str">
        <f>IF(B77="","",'01-Piers'!E24)</f>
        <v/>
      </c>
      <c r="D77" s="304" t="str">
        <f>IF('01-Piers'!F24="","",'01-Piers'!F24)</f>
        <v/>
      </c>
      <c r="E77" s="305" t="str">
        <f>IF('01-Piers'!E24="","",'01-Piers'!E24*'01-Piers'!J24)</f>
        <v/>
      </c>
      <c r="F77" s="306"/>
      <c r="G77" s="307" t="str">
        <f>IF('01-Piers'!U24=0,"",'01-Piers'!U24)</f>
        <v/>
      </c>
      <c r="H77" s="307" t="str">
        <f>IF('01-Piers'!V24=0,"",'01-Piers'!V24)</f>
        <v/>
      </c>
      <c r="I77" s="307" t="str">
        <f>IF('01-Piers'!W24=0,"",'01-Piers'!W24)</f>
        <v/>
      </c>
      <c r="J77" s="308"/>
      <c r="K77" s="293"/>
    </row>
    <row r="78" spans="1:12" ht="13.5" customHeight="1">
      <c r="A78" s="254">
        <f t="shared" si="1"/>
        <v>0</v>
      </c>
      <c r="B78" s="302" t="str">
        <f>IF('01-Piers'!B25="","",'01-Piers'!B25)</f>
        <v/>
      </c>
      <c r="C78" s="303" t="str">
        <f>IF(B78="","",'01-Piers'!E25)</f>
        <v/>
      </c>
      <c r="D78" s="304" t="str">
        <f>IF('01-Piers'!F25="","",'01-Piers'!F25)</f>
        <v/>
      </c>
      <c r="E78" s="305" t="str">
        <f>IF('01-Piers'!E25="","",'01-Piers'!E25*'01-Piers'!J25)</f>
        <v/>
      </c>
      <c r="F78" s="306"/>
      <c r="G78" s="307" t="str">
        <f>IF('01-Piers'!U25=0,"",'01-Piers'!U25)</f>
        <v/>
      </c>
      <c r="H78" s="307" t="str">
        <f>IF('01-Piers'!V25=0,"",'01-Piers'!V25)</f>
        <v/>
      </c>
      <c r="I78" s="307" t="str">
        <f>IF('01-Piers'!W25=0,"",'01-Piers'!W25)</f>
        <v/>
      </c>
      <c r="J78" s="308"/>
      <c r="K78" s="293"/>
    </row>
    <row r="79" spans="1:12" ht="13.5" customHeight="1">
      <c r="A79" s="254">
        <f t="shared" si="1"/>
        <v>0</v>
      </c>
      <c r="B79" s="302" t="str">
        <f>IF('01-Piers'!B26="","",'01-Piers'!B26)</f>
        <v/>
      </c>
      <c r="C79" s="303" t="str">
        <f>IF(B79="","",'01-Piers'!E26)</f>
        <v/>
      </c>
      <c r="D79" s="304" t="str">
        <f>IF('01-Piers'!F26="","",'01-Piers'!F26)</f>
        <v/>
      </c>
      <c r="E79" s="305" t="str">
        <f>IF('01-Piers'!E26="","",'01-Piers'!E26*'01-Piers'!J26)</f>
        <v/>
      </c>
      <c r="F79" s="306"/>
      <c r="G79" s="307" t="str">
        <f>IF('01-Piers'!U26=0,"",'01-Piers'!U26)</f>
        <v/>
      </c>
      <c r="H79" s="307" t="str">
        <f>IF('01-Piers'!V26=0,"",'01-Piers'!V26)</f>
        <v/>
      </c>
      <c r="I79" s="307" t="str">
        <f>IF('01-Piers'!W26=0,"",'01-Piers'!W26)</f>
        <v/>
      </c>
      <c r="J79" s="308"/>
      <c r="K79" s="293"/>
    </row>
    <row r="80" spans="1:12" ht="13.5" customHeight="1">
      <c r="A80" s="254">
        <f t="shared" si="1"/>
        <v>0</v>
      </c>
      <c r="B80" s="302" t="str">
        <f>IF('01-Piers'!B27="","",'01-Piers'!B27)</f>
        <v/>
      </c>
      <c r="C80" s="303" t="str">
        <f>IF(B80="","",'01-Piers'!E27)</f>
        <v/>
      </c>
      <c r="D80" s="304" t="str">
        <f>IF('01-Piers'!F27="","",'01-Piers'!F27)</f>
        <v/>
      </c>
      <c r="E80" s="305" t="str">
        <f>IF('01-Piers'!E27="","",'01-Piers'!E27*'01-Piers'!J27)</f>
        <v/>
      </c>
      <c r="F80" s="306"/>
      <c r="G80" s="307" t="str">
        <f>IF('01-Piers'!U27=0,"",'01-Piers'!U27)</f>
        <v/>
      </c>
      <c r="H80" s="307" t="str">
        <f>IF('01-Piers'!V27=0,"",'01-Piers'!V27)</f>
        <v/>
      </c>
      <c r="I80" s="307" t="str">
        <f>IF('01-Piers'!W27=0,"",'01-Piers'!W27)</f>
        <v/>
      </c>
      <c r="J80" s="308"/>
      <c r="K80" s="293"/>
    </row>
    <row r="81" spans="1:12" ht="13.5" customHeight="1">
      <c r="A81" s="254">
        <f t="shared" si="1"/>
        <v>0</v>
      </c>
      <c r="B81" s="302" t="str">
        <f>IF('01-Piers'!B28="","",'01-Piers'!B28)</f>
        <v/>
      </c>
      <c r="C81" s="303" t="str">
        <f>IF(B81="","",'01-Piers'!E28)</f>
        <v/>
      </c>
      <c r="D81" s="304" t="str">
        <f>IF('01-Piers'!F28="","",'01-Piers'!F28)</f>
        <v/>
      </c>
      <c r="E81" s="305" t="str">
        <f>IF('01-Piers'!E28="","",'01-Piers'!E28*'01-Piers'!J28)</f>
        <v/>
      </c>
      <c r="F81" s="306"/>
      <c r="G81" s="307" t="str">
        <f>IF('01-Piers'!U28=0,"",'01-Piers'!U28)</f>
        <v/>
      </c>
      <c r="H81" s="307" t="str">
        <f>IF('01-Piers'!V28=0,"",'01-Piers'!V28)</f>
        <v/>
      </c>
      <c r="I81" s="307" t="str">
        <f>IF('01-Piers'!W28=0,"",'01-Piers'!W28)</f>
        <v/>
      </c>
      <c r="J81" s="308"/>
      <c r="K81" s="293"/>
    </row>
    <row r="82" spans="1:12" ht="13.5" customHeight="1">
      <c r="A82" s="254">
        <f t="shared" si="1"/>
        <v>0</v>
      </c>
      <c r="B82" s="302" t="str">
        <f>IF('01-Piers'!B29="","",'01-Piers'!B29)</f>
        <v/>
      </c>
      <c r="C82" s="303" t="str">
        <f>IF(B82="","",'01-Piers'!E29)</f>
        <v/>
      </c>
      <c r="D82" s="304" t="str">
        <f>IF('01-Piers'!F29="","",'01-Piers'!F29)</f>
        <v/>
      </c>
      <c r="E82" s="305" t="str">
        <f>IF('01-Piers'!E29="","",'01-Piers'!E29*'01-Piers'!J29)</f>
        <v/>
      </c>
      <c r="F82" s="306"/>
      <c r="G82" s="307" t="str">
        <f>IF('01-Piers'!U29=0,"",'01-Piers'!U29)</f>
        <v/>
      </c>
      <c r="H82" s="307" t="str">
        <f>IF('01-Piers'!V29=0,"",'01-Piers'!V29)</f>
        <v/>
      </c>
      <c r="I82" s="307" t="str">
        <f>IF('01-Piers'!W29=0,"",'01-Piers'!W29)</f>
        <v/>
      </c>
      <c r="J82" s="308"/>
      <c r="K82" s="293"/>
    </row>
    <row r="83" spans="1:12" ht="13.5" customHeight="1">
      <c r="A83" s="254">
        <f t="shared" si="1"/>
        <v>0</v>
      </c>
      <c r="B83" s="302" t="str">
        <f>IF('01-Piers'!B30="","",'01-Piers'!B30)</f>
        <v/>
      </c>
      <c r="C83" s="303" t="str">
        <f>IF(B83="","",'01-Piers'!E30)</f>
        <v/>
      </c>
      <c r="D83" s="304" t="str">
        <f>IF('01-Piers'!F30="","",'01-Piers'!F30)</f>
        <v/>
      </c>
      <c r="E83" s="305" t="str">
        <f>IF('01-Piers'!E30="","",'01-Piers'!E30*'01-Piers'!J30)</f>
        <v/>
      </c>
      <c r="F83" s="306"/>
      <c r="G83" s="307" t="str">
        <f>IF('01-Piers'!U30=0,"",'01-Piers'!U30)</f>
        <v/>
      </c>
      <c r="H83" s="307" t="str">
        <f>IF('01-Piers'!V30=0,"",'01-Piers'!V30)</f>
        <v/>
      </c>
      <c r="I83" s="307" t="str">
        <f>IF('01-Piers'!W30=0,"",'01-Piers'!W30)</f>
        <v/>
      </c>
      <c r="J83" s="308"/>
      <c r="K83" s="293"/>
    </row>
    <row r="84" spans="1:12" ht="13.5" customHeight="1">
      <c r="A84" s="254">
        <f t="shared" si="1"/>
        <v>0</v>
      </c>
      <c r="B84" s="302" t="str">
        <f>IF('01-Piers'!B31="","",'01-Piers'!B31)</f>
        <v/>
      </c>
      <c r="C84" s="303" t="str">
        <f>IF(B84="","",'01-Piers'!E31)</f>
        <v/>
      </c>
      <c r="D84" s="304" t="str">
        <f>IF('01-Piers'!F31="","",'01-Piers'!F31)</f>
        <v/>
      </c>
      <c r="E84" s="305" t="str">
        <f>IF('01-Piers'!E31="","",'01-Piers'!E31*'01-Piers'!J31)</f>
        <v/>
      </c>
      <c r="F84" s="306"/>
      <c r="G84" s="307" t="str">
        <f>IF('01-Piers'!U31=0,"",'01-Piers'!U31)</f>
        <v/>
      </c>
      <c r="H84" s="307" t="str">
        <f>IF('01-Piers'!V31=0,"",'01-Piers'!V31)</f>
        <v/>
      </c>
      <c r="I84" s="307" t="str">
        <f>IF('01-Piers'!W31=0,"",'01-Piers'!W31)</f>
        <v/>
      </c>
      <c r="J84" s="308"/>
      <c r="K84" s="293"/>
    </row>
    <row r="85" spans="1:12" ht="13.5" customHeight="1">
      <c r="A85" s="254">
        <f t="shared" si="1"/>
        <v>0</v>
      </c>
      <c r="B85" s="302" t="str">
        <f>IF('01-Piers'!B32="","",'01-Piers'!B32)</f>
        <v/>
      </c>
      <c r="C85" s="303" t="str">
        <f>IF(B85="","",'01-Piers'!E32)</f>
        <v/>
      </c>
      <c r="D85" s="304" t="str">
        <f>IF('01-Piers'!F32="","",'01-Piers'!F32)</f>
        <v/>
      </c>
      <c r="E85" s="305" t="str">
        <f>IF('01-Piers'!E32="","",'01-Piers'!E32*'01-Piers'!J32)</f>
        <v/>
      </c>
      <c r="F85" s="306"/>
      <c r="G85" s="307" t="str">
        <f>IF('01-Piers'!U32=0,"",'01-Piers'!U32)</f>
        <v/>
      </c>
      <c r="H85" s="307" t="str">
        <f>IF('01-Piers'!V32=0,"",'01-Piers'!V32)</f>
        <v/>
      </c>
      <c r="I85" s="307" t="str">
        <f>IF('01-Piers'!W32=0,"",'01-Piers'!W32)</f>
        <v/>
      </c>
      <c r="J85" s="308"/>
      <c r="K85" s="293"/>
    </row>
    <row r="86" spans="1:12" ht="13.5" customHeight="1">
      <c r="A86" s="254">
        <f t="shared" si="1"/>
        <v>0</v>
      </c>
      <c r="B86" s="302" t="str">
        <f>IF('01-Piers'!B33="","",'01-Piers'!B33)</f>
        <v/>
      </c>
      <c r="C86" s="303" t="str">
        <f>IF(B86="","",'01-Piers'!E33)</f>
        <v/>
      </c>
      <c r="D86" s="304" t="str">
        <f>IF('01-Piers'!F33="","",'01-Piers'!F33)</f>
        <v/>
      </c>
      <c r="E86" s="305" t="str">
        <f>IF('01-Piers'!E33="","",'01-Piers'!E33*'01-Piers'!J33)</f>
        <v/>
      </c>
      <c r="F86" s="306"/>
      <c r="G86" s="307" t="str">
        <f>IF('01-Piers'!U33=0,"",'01-Piers'!U33)</f>
        <v/>
      </c>
      <c r="H86" s="307" t="str">
        <f>IF('01-Piers'!V33=0,"",'01-Piers'!V33)</f>
        <v/>
      </c>
      <c r="I86" s="307" t="str">
        <f>IF('01-Piers'!W33=0,"",'01-Piers'!W33)</f>
        <v/>
      </c>
      <c r="J86" s="308"/>
      <c r="K86" s="293"/>
    </row>
    <row r="87" spans="1:12" ht="13.5" customHeight="1">
      <c r="A87" s="254">
        <f t="shared" si="1"/>
        <v>0</v>
      </c>
      <c r="B87" s="302" t="str">
        <f>IF('01-Piers'!B34="","",'01-Piers'!B34)</f>
        <v/>
      </c>
      <c r="C87" s="303" t="str">
        <f>IF(B87="","",'01-Piers'!E34)</f>
        <v/>
      </c>
      <c r="D87" s="304" t="str">
        <f>IF('01-Piers'!F34="","",'01-Piers'!F34)</f>
        <v/>
      </c>
      <c r="E87" s="305" t="str">
        <f>IF('01-Piers'!E34="","",'01-Piers'!E34*'01-Piers'!J34)</f>
        <v/>
      </c>
      <c r="F87" s="306"/>
      <c r="G87" s="307" t="str">
        <f>IF('01-Piers'!U34=0,"",'01-Piers'!U34)</f>
        <v/>
      </c>
      <c r="H87" s="307" t="str">
        <f>IF('01-Piers'!V34=0,"",'01-Piers'!V34)</f>
        <v/>
      </c>
      <c r="I87" s="307" t="str">
        <f>IF('01-Piers'!W34=0,"",'01-Piers'!W34)</f>
        <v/>
      </c>
      <c r="J87" s="308"/>
      <c r="K87" s="293"/>
    </row>
    <row r="88" spans="1:12" ht="13.5" customHeight="1">
      <c r="A88" s="254">
        <f t="shared" si="1"/>
        <v>0</v>
      </c>
      <c r="B88" s="302" t="str">
        <f>IF('01-Piers'!B35="","",'01-Piers'!B35)</f>
        <v/>
      </c>
      <c r="C88" s="303" t="str">
        <f>IF(B88="","",'01-Piers'!E35)</f>
        <v/>
      </c>
      <c r="D88" s="304" t="str">
        <f>IF('01-Piers'!F35="","",'01-Piers'!F35)</f>
        <v/>
      </c>
      <c r="E88" s="305" t="str">
        <f>IF('01-Piers'!E35="","",'01-Piers'!E35*'01-Piers'!J35)</f>
        <v/>
      </c>
      <c r="F88" s="306"/>
      <c r="G88" s="307" t="str">
        <f>IF('01-Piers'!U35=0,"",'01-Piers'!U35)</f>
        <v/>
      </c>
      <c r="H88" s="307" t="str">
        <f>IF('01-Piers'!V35=0,"",'01-Piers'!V35)</f>
        <v/>
      </c>
      <c r="I88" s="307" t="str">
        <f>IF('01-Piers'!W35=0,"",'01-Piers'!W35)</f>
        <v/>
      </c>
      <c r="J88" s="308"/>
      <c r="K88" s="293"/>
      <c r="L88">
        <f>IF(K88="incl",0,K88)</f>
        <v>0</v>
      </c>
    </row>
    <row r="89" spans="1:12" ht="13.5" customHeight="1">
      <c r="A89" s="254">
        <f t="shared" si="1"/>
        <v>0</v>
      </c>
      <c r="B89" s="302" t="str">
        <f>IF('01-Piers'!B36="","",'01-Piers'!B36)</f>
        <v/>
      </c>
      <c r="C89" s="303" t="str">
        <f>IF(B89="","",'01-Piers'!E36)</f>
        <v/>
      </c>
      <c r="D89" s="304" t="str">
        <f>IF('01-Piers'!F36="","",'01-Piers'!F36)</f>
        <v/>
      </c>
      <c r="E89" s="305" t="str">
        <f>IF('01-Piers'!E36="","",'01-Piers'!E36*'01-Piers'!J36)</f>
        <v/>
      </c>
      <c r="F89" s="306"/>
      <c r="G89" s="307" t="str">
        <f>IF('01-Piers'!U36=0,"",'01-Piers'!U36)</f>
        <v/>
      </c>
      <c r="H89" s="307" t="str">
        <f>IF('01-Piers'!V36=0,"",'01-Piers'!V36)</f>
        <v/>
      </c>
      <c r="I89" s="307" t="str">
        <f>IF('01-Piers'!W36=0,"",'01-Piers'!W36)</f>
        <v/>
      </c>
      <c r="J89" s="308"/>
      <c r="K89" s="293"/>
    </row>
    <row r="90" spans="1:12" ht="13.5" customHeight="1">
      <c r="A90" s="254">
        <f t="shared" si="1"/>
        <v>0</v>
      </c>
      <c r="B90" s="302" t="str">
        <f>IF('01-Piers'!B37="","",'01-Piers'!B37)</f>
        <v/>
      </c>
      <c r="C90" s="303" t="str">
        <f>IF(B90="","",'01-Piers'!E37)</f>
        <v/>
      </c>
      <c r="D90" s="304" t="str">
        <f>IF('01-Piers'!F37="","",'01-Piers'!F37)</f>
        <v/>
      </c>
      <c r="E90" s="305" t="str">
        <f>IF('01-Piers'!E37="","",'01-Piers'!E37*'01-Piers'!J37)</f>
        <v/>
      </c>
      <c r="F90" s="306"/>
      <c r="G90" s="307" t="str">
        <f>IF('01-Piers'!U37=0,"",'01-Piers'!U37)</f>
        <v/>
      </c>
      <c r="H90" s="307" t="str">
        <f>IF('01-Piers'!V37=0,"",'01-Piers'!V37)</f>
        <v/>
      </c>
      <c r="I90" s="307" t="str">
        <f>IF('01-Piers'!W37=0,"",'01-Piers'!W37)</f>
        <v/>
      </c>
      <c r="J90" s="308"/>
      <c r="K90" s="293"/>
    </row>
    <row r="91" spans="1:12" ht="13.5" customHeight="1">
      <c r="A91" s="254">
        <f t="shared" si="1"/>
        <v>0</v>
      </c>
      <c r="B91" s="302" t="str">
        <f>IF('01-Piers'!B38="","",'01-Piers'!B38)</f>
        <v/>
      </c>
      <c r="C91" s="303" t="str">
        <f>IF(B91="","",'01-Piers'!E38)</f>
        <v/>
      </c>
      <c r="D91" s="304" t="str">
        <f>IF('01-Piers'!F38="","",'01-Piers'!F38)</f>
        <v/>
      </c>
      <c r="E91" s="305" t="str">
        <f>IF('01-Piers'!E38="","",'01-Piers'!E38*'01-Piers'!J38)</f>
        <v/>
      </c>
      <c r="F91" s="306"/>
      <c r="G91" s="307" t="str">
        <f>IF('01-Piers'!U38=0,"",'01-Piers'!U38)</f>
        <v/>
      </c>
      <c r="H91" s="307" t="str">
        <f>IF('01-Piers'!V38=0,"",'01-Piers'!V38)</f>
        <v/>
      </c>
      <c r="I91" s="307" t="str">
        <f>IF('01-Piers'!W38=0,"",'01-Piers'!W38)</f>
        <v/>
      </c>
      <c r="J91" s="308"/>
      <c r="K91" s="293"/>
    </row>
    <row r="92" spans="1:12" ht="13.5" customHeight="1">
      <c r="A92" s="254">
        <f t="shared" ref="A92:A100" si="2">IF(SUM(A$64:A$91)&gt;0,1,0)</f>
        <v>0</v>
      </c>
      <c r="B92" s="302" t="str">
        <f>IF('01-Piers'!B39="","",'01-Piers'!B39)</f>
        <v>TOTALS</v>
      </c>
      <c r="C92" s="310">
        <f>SUM(C64:C91)</f>
        <v>0</v>
      </c>
      <c r="D92" s="311">
        <f>SUM(E64:E91)</f>
        <v>2348</v>
      </c>
      <c r="E92" s="306"/>
      <c r="F92" s="306"/>
      <c r="G92" s="309"/>
      <c r="H92" s="309"/>
      <c r="I92" s="309"/>
      <c r="J92" s="308"/>
      <c r="K92" s="293"/>
    </row>
    <row r="93" spans="1:12" ht="13.5" customHeight="1">
      <c r="A93" s="254">
        <f t="shared" si="2"/>
        <v>0</v>
      </c>
      <c r="B93" s="312"/>
      <c r="C93" s="313"/>
      <c r="D93" s="305"/>
      <c r="E93" s="306"/>
      <c r="F93" s="306"/>
      <c r="G93" s="309"/>
      <c r="H93" s="309"/>
      <c r="I93" s="309"/>
      <c r="J93" s="308"/>
      <c r="K93" s="293"/>
    </row>
    <row r="94" spans="1:12" ht="13.5" customHeight="1">
      <c r="A94" s="254">
        <f t="shared" si="2"/>
        <v>0</v>
      </c>
      <c r="B94" s="312"/>
      <c r="C94" s="292"/>
      <c r="D94" s="305"/>
      <c r="E94" s="306"/>
      <c r="F94" s="306"/>
      <c r="G94" s="309"/>
      <c r="H94" s="309"/>
      <c r="I94" s="314"/>
      <c r="J94" s="308"/>
      <c r="K94" s="293"/>
    </row>
    <row r="95" spans="1:12" ht="13.5" customHeight="1">
      <c r="A95" s="254">
        <f t="shared" si="2"/>
        <v>0</v>
      </c>
      <c r="B95" s="298" t="s">
        <v>840</v>
      </c>
      <c r="C95" s="254"/>
      <c r="D95" s="254"/>
      <c r="E95" s="254"/>
      <c r="F95" s="254"/>
      <c r="G95" s="254"/>
      <c r="H95" s="254"/>
      <c r="I95" s="254"/>
      <c r="J95" s="254"/>
      <c r="K95" s="293"/>
      <c r="L95">
        <f>IF(K95="incl",0,K95)</f>
        <v>0</v>
      </c>
    </row>
    <row r="96" spans="1:12" ht="13.5" customHeight="1">
      <c r="A96" s="254">
        <f t="shared" si="2"/>
        <v>0</v>
      </c>
      <c r="B96" s="254" t="s">
        <v>841</v>
      </c>
      <c r="C96" s="315"/>
      <c r="D96" s="316"/>
      <c r="E96" s="316"/>
      <c r="F96" s="316"/>
      <c r="G96" s="315"/>
      <c r="H96" s="315"/>
      <c r="I96" s="317"/>
      <c r="J96" s="317"/>
      <c r="K96" s="293"/>
      <c r="L96">
        <f>IF(K96="incl",0,K96)</f>
        <v>0</v>
      </c>
    </row>
    <row r="97" spans="1:22" ht="13.5" customHeight="1">
      <c r="A97" s="254">
        <f t="shared" si="2"/>
        <v>0</v>
      </c>
      <c r="B97" s="254" t="s">
        <v>842</v>
      </c>
      <c r="C97" s="254"/>
      <c r="D97" s="293"/>
      <c r="E97" s="293"/>
      <c r="F97" s="293"/>
      <c r="G97" s="254"/>
      <c r="H97" s="254"/>
      <c r="I97" s="318"/>
      <c r="J97" s="318"/>
      <c r="K97" s="293"/>
      <c r="L97">
        <f>IF(K97="incl",0,K97)</f>
        <v>0</v>
      </c>
    </row>
    <row r="98" spans="1:22" ht="13.5" customHeight="1">
      <c r="A98" s="254">
        <f t="shared" si="2"/>
        <v>0</v>
      </c>
      <c r="B98" s="298" t="s">
        <v>843</v>
      </c>
      <c r="C98" s="254"/>
      <c r="D98" s="293"/>
      <c r="E98" s="293"/>
      <c r="F98" s="293"/>
      <c r="G98" s="254"/>
      <c r="H98" s="254"/>
      <c r="I98" s="318"/>
      <c r="J98" s="318"/>
      <c r="K98" s="293"/>
      <c r="L98">
        <f>IF(K98="incl",0,K98)</f>
        <v>0</v>
      </c>
      <c r="V98" t="s">
        <v>844</v>
      </c>
    </row>
    <row r="99" spans="1:22" ht="13.5" customHeight="1">
      <c r="A99" s="254">
        <f t="shared" si="2"/>
        <v>0</v>
      </c>
      <c r="B99" s="254" t="s">
        <v>845</v>
      </c>
      <c r="C99" s="254"/>
      <c r="D99" s="293"/>
      <c r="E99" s="293"/>
      <c r="F99" s="293"/>
      <c r="G99" s="254"/>
      <c r="H99" s="254"/>
      <c r="I99" s="318"/>
      <c r="J99" s="318"/>
      <c r="K99" s="293"/>
      <c r="L99">
        <f>IF(K99="incl",0,K99)</f>
        <v>0</v>
      </c>
    </row>
    <row r="100" spans="1:22" ht="13.5" customHeight="1">
      <c r="A100" s="254">
        <f t="shared" si="2"/>
        <v>0</v>
      </c>
      <c r="B100" s="319"/>
      <c r="D100" s="254"/>
      <c r="G100" s="273"/>
    </row>
    <row r="101" spans="1:22" ht="13.5" customHeight="1">
      <c r="B101" s="319"/>
      <c r="D101" s="254"/>
      <c r="G101" s="273"/>
    </row>
    <row r="102" spans="1:22" ht="13.5" customHeight="1">
      <c r="B102" s="319"/>
      <c r="D102" s="254"/>
      <c r="G102" s="273"/>
    </row>
    <row r="103" spans="1:22" ht="19.5" customHeight="1">
      <c r="A103">
        <f>IF(SUM(A105:A130)&gt;0,1,0)</f>
        <v>0</v>
      </c>
      <c r="B103" s="294" t="s">
        <v>846</v>
      </c>
      <c r="C103" s="2896">
        <f>'02-Gd Beams'!E40</f>
        <v>0</v>
      </c>
      <c r="D103" s="2896"/>
      <c r="E103" s="320"/>
      <c r="F103" s="320"/>
      <c r="G103" s="296"/>
      <c r="H103" s="296"/>
      <c r="I103" s="296"/>
      <c r="J103" s="296"/>
      <c r="K103" s="296"/>
      <c r="L103">
        <f>IF(K103="incl",0,K103)</f>
        <v>0</v>
      </c>
    </row>
    <row r="104" spans="1:22" ht="13.5" customHeight="1">
      <c r="A104" s="321">
        <f>IF(SUM(A$105:A$130)&gt;0,1,0)</f>
        <v>0</v>
      </c>
      <c r="B104" s="319" t="s">
        <v>847</v>
      </c>
      <c r="C104" s="322" t="s">
        <v>836</v>
      </c>
      <c r="D104" s="322"/>
      <c r="E104" s="293"/>
      <c r="F104" s="293"/>
    </row>
    <row r="105" spans="1:22" ht="13.5" customHeight="1">
      <c r="A105" s="321">
        <f t="shared" ref="A105:A130" si="3">IF(B105="",0,1)</f>
        <v>0</v>
      </c>
      <c r="B105" s="323" t="str">
        <f>IF('02-Gd Beams'!B10="","",'02-Gd Beams'!B10)</f>
        <v/>
      </c>
      <c r="C105" s="323" t="str">
        <f>IF('02-Gd Beams'!F10="","",'02-Gd Beams'!F10)</f>
        <v/>
      </c>
      <c r="D105" s="293"/>
      <c r="E105" s="293"/>
      <c r="F105" s="293"/>
      <c r="G105" s="254"/>
      <c r="H105" s="254"/>
      <c r="I105" s="256"/>
      <c r="J105" s="256"/>
      <c r="K105" s="293"/>
      <c r="L105">
        <f>IF(K105="incl",0,K105)</f>
        <v>0</v>
      </c>
    </row>
    <row r="106" spans="1:22" ht="13.5" customHeight="1">
      <c r="A106" s="321">
        <f t="shared" si="3"/>
        <v>0</v>
      </c>
      <c r="B106" s="323" t="str">
        <f>IF('02-Gd Beams'!B11="","",'02-Gd Beams'!B11)</f>
        <v/>
      </c>
      <c r="C106" s="323" t="str">
        <f>IF('02-Gd Beams'!F11="","",'02-Gd Beams'!F11)</f>
        <v/>
      </c>
      <c r="D106" s="293"/>
      <c r="E106" s="293"/>
      <c r="F106" s="293"/>
      <c r="G106" s="254"/>
      <c r="H106" s="254"/>
      <c r="I106" s="12"/>
      <c r="J106" s="324"/>
      <c r="K106" s="281"/>
    </row>
    <row r="107" spans="1:22" ht="13.5" customHeight="1">
      <c r="A107" s="321">
        <f t="shared" si="3"/>
        <v>0</v>
      </c>
      <c r="B107" s="323" t="str">
        <f>IF('02-Gd Beams'!B12="","",'02-Gd Beams'!B12)</f>
        <v/>
      </c>
      <c r="C107" s="323" t="str">
        <f>IF('02-Gd Beams'!F12="","",'02-Gd Beams'!F12)</f>
        <v/>
      </c>
      <c r="D107" s="293"/>
      <c r="E107" s="293"/>
      <c r="F107" s="293"/>
      <c r="G107" s="254"/>
      <c r="H107" s="254"/>
      <c r="I107" s="12"/>
      <c r="J107" s="324"/>
      <c r="K107" s="293"/>
    </row>
    <row r="108" spans="1:22" ht="13.5" customHeight="1">
      <c r="A108" s="321">
        <f t="shared" si="3"/>
        <v>0</v>
      </c>
      <c r="B108" s="323" t="str">
        <f>IF('02-Gd Beams'!B13="","",'02-Gd Beams'!B13)</f>
        <v/>
      </c>
      <c r="C108" s="323" t="str">
        <f>IF('02-Gd Beams'!F13="","",'02-Gd Beams'!F13)</f>
        <v/>
      </c>
      <c r="D108" s="293"/>
      <c r="E108" s="293"/>
      <c r="F108" s="293"/>
      <c r="G108" s="254"/>
      <c r="H108" s="254"/>
      <c r="I108" s="12"/>
      <c r="J108" s="324"/>
      <c r="K108" s="293"/>
    </row>
    <row r="109" spans="1:22" ht="13.5" customHeight="1">
      <c r="A109" s="321">
        <f t="shared" si="3"/>
        <v>0</v>
      </c>
      <c r="B109" s="323" t="str">
        <f>IF('02-Gd Beams'!B14="","",'02-Gd Beams'!B14)</f>
        <v/>
      </c>
      <c r="C109" s="323" t="str">
        <f>IF('02-Gd Beams'!F14="","",'02-Gd Beams'!F14)</f>
        <v/>
      </c>
      <c r="D109" s="293"/>
      <c r="E109" s="293"/>
      <c r="F109" s="293"/>
      <c r="G109" s="254"/>
      <c r="H109" s="254"/>
      <c r="I109" s="12"/>
      <c r="J109" s="324"/>
      <c r="K109" s="293"/>
    </row>
    <row r="110" spans="1:22" ht="13.5" customHeight="1">
      <c r="A110" s="321">
        <f t="shared" si="3"/>
        <v>0</v>
      </c>
      <c r="B110" s="323" t="str">
        <f>IF('02-Gd Beams'!B15="","",'02-Gd Beams'!B15)</f>
        <v/>
      </c>
      <c r="C110" s="323" t="str">
        <f>IF('02-Gd Beams'!F15="","",'02-Gd Beams'!F15)</f>
        <v/>
      </c>
      <c r="D110" s="293"/>
      <c r="E110" s="293"/>
      <c r="F110" s="293"/>
      <c r="G110" s="254"/>
      <c r="H110" s="254"/>
      <c r="I110" s="12"/>
      <c r="J110" s="324"/>
      <c r="K110" s="293"/>
    </row>
    <row r="111" spans="1:22" ht="13.5" customHeight="1">
      <c r="A111" s="321">
        <f t="shared" si="3"/>
        <v>0</v>
      </c>
      <c r="B111" s="323" t="str">
        <f>IF('02-Gd Beams'!B16="","",'02-Gd Beams'!B16)</f>
        <v/>
      </c>
      <c r="C111" s="323" t="str">
        <f>IF('02-Gd Beams'!F16="","",'02-Gd Beams'!F16)</f>
        <v/>
      </c>
      <c r="D111" s="293"/>
      <c r="E111" s="293"/>
      <c r="F111" s="293"/>
      <c r="G111" s="254"/>
      <c r="H111" s="254"/>
      <c r="I111" s="12"/>
      <c r="J111" s="324"/>
      <c r="K111" s="293"/>
    </row>
    <row r="112" spans="1:22" ht="13.5" customHeight="1">
      <c r="A112" s="321">
        <f t="shared" si="3"/>
        <v>0</v>
      </c>
      <c r="B112" s="323" t="str">
        <f>IF('02-Gd Beams'!B17="","",'02-Gd Beams'!B17)</f>
        <v/>
      </c>
      <c r="C112" s="323" t="str">
        <f>IF('02-Gd Beams'!F17="","",'02-Gd Beams'!F17)</f>
        <v/>
      </c>
      <c r="D112" s="293"/>
      <c r="E112" s="293"/>
      <c r="F112" s="293"/>
      <c r="G112" s="254"/>
      <c r="H112" s="254"/>
      <c r="I112" s="12"/>
      <c r="J112" s="324"/>
      <c r="K112" s="293"/>
    </row>
    <row r="113" spans="1:11" ht="13.5" customHeight="1">
      <c r="A113" s="321">
        <f t="shared" si="3"/>
        <v>0</v>
      </c>
      <c r="B113" s="323" t="str">
        <f>IF('02-Gd Beams'!B18="","",'02-Gd Beams'!B18)</f>
        <v/>
      </c>
      <c r="C113" s="323" t="str">
        <f>IF('02-Gd Beams'!F18="","",'02-Gd Beams'!F18)</f>
        <v/>
      </c>
      <c r="D113" s="293"/>
      <c r="E113" s="293"/>
      <c r="F113" s="293"/>
      <c r="G113" s="254"/>
      <c r="H113" s="254"/>
      <c r="I113" s="12"/>
      <c r="J113" s="324"/>
      <c r="K113" s="293"/>
    </row>
    <row r="114" spans="1:11" ht="13.5" customHeight="1">
      <c r="A114" s="321">
        <f t="shared" si="3"/>
        <v>0</v>
      </c>
      <c r="B114" s="323" t="str">
        <f>IF('02-Gd Beams'!B19="","",'02-Gd Beams'!B19)</f>
        <v/>
      </c>
      <c r="C114" s="323" t="str">
        <f>IF('02-Gd Beams'!F19="","",'02-Gd Beams'!F19)</f>
        <v/>
      </c>
      <c r="D114" s="293"/>
      <c r="E114" s="293"/>
      <c r="F114" s="293"/>
      <c r="G114" s="254"/>
      <c r="H114" s="254"/>
      <c r="I114" s="12"/>
      <c r="J114" s="324"/>
      <c r="K114" s="293"/>
    </row>
    <row r="115" spans="1:11" ht="13.5" customHeight="1">
      <c r="A115" s="321">
        <f t="shared" si="3"/>
        <v>0</v>
      </c>
      <c r="B115" s="323" t="str">
        <f>IF('02-Gd Beams'!B20="","",'02-Gd Beams'!B20)</f>
        <v/>
      </c>
      <c r="C115" s="323" t="str">
        <f>IF('02-Gd Beams'!F20="","",'02-Gd Beams'!F20)</f>
        <v/>
      </c>
      <c r="D115" s="293"/>
      <c r="E115" s="293"/>
      <c r="F115" s="293"/>
      <c r="G115" s="254"/>
      <c r="H115" s="254"/>
      <c r="I115" s="12"/>
      <c r="J115" s="324"/>
      <c r="K115" s="293"/>
    </row>
    <row r="116" spans="1:11" ht="13.5" customHeight="1">
      <c r="A116" s="321">
        <f t="shared" si="3"/>
        <v>0</v>
      </c>
      <c r="B116" s="323" t="str">
        <f>IF('02-Gd Beams'!B21="","",'02-Gd Beams'!B21)</f>
        <v/>
      </c>
      <c r="C116" s="323" t="str">
        <f>IF('02-Gd Beams'!F21="","",'02-Gd Beams'!F21)</f>
        <v/>
      </c>
      <c r="D116" s="293"/>
      <c r="E116" s="293"/>
      <c r="F116" s="293"/>
      <c r="G116" s="254"/>
      <c r="H116" s="254"/>
      <c r="I116" s="12"/>
      <c r="J116" s="324"/>
      <c r="K116" s="293"/>
    </row>
    <row r="117" spans="1:11" ht="13.5" customHeight="1">
      <c r="A117" s="321">
        <f t="shared" si="3"/>
        <v>0</v>
      </c>
      <c r="B117" s="323" t="str">
        <f>IF('02-Gd Beams'!B22="","",'02-Gd Beams'!B22)</f>
        <v/>
      </c>
      <c r="C117" s="323" t="str">
        <f>IF('02-Gd Beams'!F22="","",'02-Gd Beams'!F22)</f>
        <v/>
      </c>
      <c r="D117" s="293"/>
      <c r="E117" s="293"/>
      <c r="F117" s="293"/>
      <c r="G117" s="254"/>
      <c r="H117" s="254"/>
      <c r="I117" s="12"/>
      <c r="J117" s="324"/>
      <c r="K117" s="293"/>
    </row>
    <row r="118" spans="1:11" ht="13.5" customHeight="1">
      <c r="A118" s="321">
        <f t="shared" si="3"/>
        <v>0</v>
      </c>
      <c r="B118" s="323" t="str">
        <f>IF('02-Gd Beams'!B23="","",'02-Gd Beams'!B23)</f>
        <v/>
      </c>
      <c r="C118" s="323" t="str">
        <f>IF('02-Gd Beams'!F23="","",'02-Gd Beams'!F23)</f>
        <v/>
      </c>
      <c r="D118" s="293"/>
      <c r="E118" s="293"/>
      <c r="F118" s="293"/>
      <c r="G118" s="254"/>
      <c r="H118" s="254"/>
      <c r="I118" s="12"/>
      <c r="J118" s="324"/>
      <c r="K118" s="293"/>
    </row>
    <row r="119" spans="1:11" ht="13.5" customHeight="1">
      <c r="A119" s="321">
        <f t="shared" si="3"/>
        <v>0</v>
      </c>
      <c r="B119" s="323" t="str">
        <f>IF('02-Gd Beams'!B24="","",'02-Gd Beams'!B24)</f>
        <v/>
      </c>
      <c r="C119" s="323" t="str">
        <f>IF('02-Gd Beams'!F24="","",'02-Gd Beams'!F24)</f>
        <v/>
      </c>
      <c r="D119" s="293"/>
      <c r="E119" s="293"/>
      <c r="F119" s="293"/>
      <c r="G119" s="254"/>
      <c r="H119" s="254"/>
      <c r="I119" s="12"/>
      <c r="J119" s="324"/>
      <c r="K119" s="293"/>
    </row>
    <row r="120" spans="1:11" ht="13.5" customHeight="1">
      <c r="A120" s="321">
        <f t="shared" si="3"/>
        <v>0</v>
      </c>
      <c r="B120" s="323" t="str">
        <f>IF('02-Gd Beams'!B25="","",'02-Gd Beams'!B25)</f>
        <v/>
      </c>
      <c r="C120" s="323" t="str">
        <f>IF('02-Gd Beams'!F25="","",'02-Gd Beams'!F25)</f>
        <v/>
      </c>
      <c r="D120" s="293"/>
      <c r="E120" s="293"/>
      <c r="F120" s="293"/>
      <c r="G120" s="254"/>
      <c r="H120" s="254"/>
      <c r="I120" s="12"/>
      <c r="J120" s="324"/>
      <c r="K120" s="293"/>
    </row>
    <row r="121" spans="1:11" ht="13.5" customHeight="1">
      <c r="A121" s="321">
        <f t="shared" si="3"/>
        <v>0</v>
      </c>
      <c r="B121" s="323" t="str">
        <f>IF('02-Gd Beams'!B26="","",'02-Gd Beams'!B26)</f>
        <v/>
      </c>
      <c r="C121" s="323" t="str">
        <f>IF('02-Gd Beams'!F26="","",'02-Gd Beams'!F26)</f>
        <v/>
      </c>
      <c r="D121" s="293"/>
      <c r="E121" s="293"/>
      <c r="F121" s="293"/>
      <c r="G121" s="254"/>
      <c r="H121" s="254"/>
      <c r="I121" s="12"/>
      <c r="J121" s="324"/>
      <c r="K121" s="293"/>
    </row>
    <row r="122" spans="1:11" ht="13.5" customHeight="1">
      <c r="A122" s="321">
        <f t="shared" si="3"/>
        <v>0</v>
      </c>
      <c r="B122" s="323" t="str">
        <f>IF('02-Gd Beams'!B27="","",'02-Gd Beams'!B27)</f>
        <v/>
      </c>
      <c r="C122" s="323" t="str">
        <f>IF('02-Gd Beams'!F27="","",'02-Gd Beams'!F27)</f>
        <v/>
      </c>
      <c r="D122" s="293"/>
      <c r="E122" s="293"/>
      <c r="F122" s="293"/>
      <c r="G122" s="254"/>
      <c r="H122" s="254"/>
      <c r="I122" s="12"/>
      <c r="J122" s="324"/>
      <c r="K122" s="293"/>
    </row>
    <row r="123" spans="1:11" ht="13.5" customHeight="1">
      <c r="A123" s="321">
        <f t="shared" si="3"/>
        <v>0</v>
      </c>
      <c r="B123" s="323" t="str">
        <f>IF('02-Gd Beams'!B28="","",'02-Gd Beams'!B28)</f>
        <v/>
      </c>
      <c r="C123" s="323" t="str">
        <f>IF('02-Gd Beams'!F28="","",'02-Gd Beams'!F28)</f>
        <v/>
      </c>
      <c r="D123" s="293"/>
      <c r="E123" s="293"/>
      <c r="F123" s="293"/>
      <c r="G123" s="254"/>
      <c r="H123" s="254"/>
      <c r="I123" s="12"/>
      <c r="J123" s="324"/>
      <c r="K123" s="293"/>
    </row>
    <row r="124" spans="1:11" ht="13.5" customHeight="1">
      <c r="A124" s="321">
        <f t="shared" si="3"/>
        <v>0</v>
      </c>
      <c r="B124" s="323" t="str">
        <f>IF('02-Gd Beams'!B29="","",'02-Gd Beams'!B29)</f>
        <v/>
      </c>
      <c r="C124" s="323" t="str">
        <f>IF('02-Gd Beams'!F29="","",'02-Gd Beams'!F29)</f>
        <v/>
      </c>
      <c r="D124" s="293"/>
      <c r="E124" s="293"/>
      <c r="F124" s="293"/>
      <c r="G124" s="254"/>
      <c r="H124" s="254"/>
      <c r="I124" s="12"/>
      <c r="J124" s="324"/>
      <c r="K124" s="293"/>
    </row>
    <row r="125" spans="1:11" ht="13.5" customHeight="1">
      <c r="A125" s="321">
        <f t="shared" si="3"/>
        <v>0</v>
      </c>
      <c r="B125" s="323" t="str">
        <f>IF('02-Gd Beams'!B30="","",'02-Gd Beams'!B30)</f>
        <v/>
      </c>
      <c r="C125" s="323" t="str">
        <f>IF('02-Gd Beams'!F30="","",'02-Gd Beams'!F30)</f>
        <v/>
      </c>
      <c r="D125" s="293"/>
      <c r="E125" s="293"/>
      <c r="F125" s="293"/>
      <c r="G125" s="254"/>
      <c r="H125" s="254"/>
      <c r="I125" s="12"/>
      <c r="J125" s="324"/>
      <c r="K125" s="293"/>
    </row>
    <row r="126" spans="1:11" ht="13.5" customHeight="1">
      <c r="A126" s="321">
        <f t="shared" si="3"/>
        <v>0</v>
      </c>
      <c r="B126" s="323" t="str">
        <f>IF('02-Gd Beams'!B31="","",'02-Gd Beams'!B31)</f>
        <v/>
      </c>
      <c r="C126" s="323" t="str">
        <f>IF('02-Gd Beams'!F31="","",'02-Gd Beams'!F31)</f>
        <v/>
      </c>
      <c r="D126" s="293"/>
      <c r="E126" s="293"/>
      <c r="F126" s="293"/>
      <c r="G126" s="254"/>
      <c r="H126" s="254"/>
      <c r="I126" s="12"/>
      <c r="J126" s="324"/>
      <c r="K126" s="293"/>
    </row>
    <row r="127" spans="1:11" ht="13.5" customHeight="1">
      <c r="A127" s="321">
        <f t="shared" si="3"/>
        <v>0</v>
      </c>
      <c r="B127" s="323" t="str">
        <f>IF('02-Gd Beams'!B32="","",'02-Gd Beams'!B32)</f>
        <v/>
      </c>
      <c r="C127" s="323" t="str">
        <f>IF('02-Gd Beams'!F32="","",'02-Gd Beams'!F32)</f>
        <v/>
      </c>
      <c r="D127" s="293"/>
      <c r="E127" s="293"/>
      <c r="F127" s="293"/>
      <c r="G127" s="254"/>
      <c r="H127" s="254"/>
      <c r="I127" s="12"/>
      <c r="J127" s="324"/>
      <c r="K127" s="293"/>
    </row>
    <row r="128" spans="1:11" ht="13.5" customHeight="1">
      <c r="A128" s="321">
        <f t="shared" si="3"/>
        <v>0</v>
      </c>
      <c r="B128" s="323" t="str">
        <f>IF('02-Gd Beams'!B33="","",'02-Gd Beams'!B33)</f>
        <v/>
      </c>
      <c r="C128" s="323" t="str">
        <f>IF('02-Gd Beams'!F33="","",'02-Gd Beams'!F33)</f>
        <v/>
      </c>
      <c r="D128" s="293"/>
      <c r="E128" s="293"/>
      <c r="F128" s="293"/>
      <c r="G128" s="254"/>
      <c r="H128" s="254"/>
      <c r="I128" s="12"/>
      <c r="J128" s="324"/>
      <c r="K128" s="293"/>
    </row>
    <row r="129" spans="1:12" ht="13.5" customHeight="1">
      <c r="A129" s="321">
        <f t="shared" si="3"/>
        <v>0</v>
      </c>
      <c r="B129" s="323" t="str">
        <f>IF('02-Gd Beams'!B34="","",'02-Gd Beams'!B34)</f>
        <v/>
      </c>
      <c r="C129" s="323" t="str">
        <f>IF('02-Gd Beams'!F34="","",'02-Gd Beams'!F34)</f>
        <v/>
      </c>
      <c r="D129" s="293"/>
      <c r="E129" s="293"/>
      <c r="F129" s="293"/>
      <c r="G129" s="254"/>
      <c r="H129" s="254"/>
      <c r="I129" s="12"/>
      <c r="J129" s="324"/>
      <c r="K129" s="293"/>
    </row>
    <row r="130" spans="1:12" ht="13.5" customHeight="1">
      <c r="A130" s="321">
        <f t="shared" si="3"/>
        <v>0</v>
      </c>
      <c r="B130" s="323" t="str">
        <f>IF('02-Gd Beams'!B35="","",'02-Gd Beams'!B35)</f>
        <v/>
      </c>
      <c r="C130" s="323" t="str">
        <f>IF('02-Gd Beams'!F35="","",'02-Gd Beams'!F35)</f>
        <v/>
      </c>
      <c r="D130" s="293"/>
      <c r="E130" s="293"/>
      <c r="F130" s="293"/>
      <c r="G130" s="254"/>
      <c r="H130" s="254"/>
      <c r="I130" s="12"/>
      <c r="J130" s="324"/>
      <c r="K130" s="293"/>
    </row>
    <row r="131" spans="1:12" ht="13.5" customHeight="1">
      <c r="A131" s="254">
        <f t="shared" ref="A131:A138" si="4">IF(SUM(A$105:A$130)&gt;0,1,0)</f>
        <v>0</v>
      </c>
      <c r="B131" s="323"/>
      <c r="C131" s="325">
        <f>SUM(C105:C130)</f>
        <v>0</v>
      </c>
      <c r="D131" s="326" t="s">
        <v>848</v>
      </c>
      <c r="E131" s="327">
        <f>'02-Gd Beams'!I63</f>
        <v>0</v>
      </c>
      <c r="F131" s="328" t="s">
        <v>849</v>
      </c>
      <c r="G131" s="254"/>
      <c r="H131" s="254"/>
      <c r="I131" s="12"/>
      <c r="J131" s="324"/>
      <c r="K131" s="286"/>
    </row>
    <row r="132" spans="1:12" ht="13.5" customHeight="1">
      <c r="A132" s="254">
        <f t="shared" si="4"/>
        <v>0</v>
      </c>
      <c r="B132" s="254"/>
      <c r="C132" s="323"/>
      <c r="D132" s="293"/>
      <c r="E132" s="293"/>
      <c r="F132" s="293"/>
      <c r="G132" s="254"/>
      <c r="H132" s="254"/>
      <c r="I132" s="12"/>
      <c r="J132" s="324"/>
      <c r="K132" s="293"/>
    </row>
    <row r="133" spans="1:12" ht="13.5" customHeight="1">
      <c r="A133" s="254">
        <f t="shared" si="4"/>
        <v>0</v>
      </c>
      <c r="B133" s="298" t="s">
        <v>840</v>
      </c>
      <c r="C133" s="254"/>
      <c r="D133" s="293"/>
      <c r="E133" s="293"/>
      <c r="F133" s="293"/>
      <c r="G133" s="254"/>
      <c r="H133" s="254"/>
      <c r="I133" s="318"/>
      <c r="J133" s="318"/>
      <c r="K133" s="293"/>
      <c r="L133">
        <f>IF(K133="incl",0,K133)</f>
        <v>0</v>
      </c>
    </row>
    <row r="134" spans="1:12" ht="13.5" customHeight="1">
      <c r="A134" s="254">
        <f t="shared" si="4"/>
        <v>0</v>
      </c>
      <c r="B134" s="254" t="s">
        <v>850</v>
      </c>
      <c r="C134" s="254"/>
      <c r="D134" s="293"/>
      <c r="E134" s="293"/>
      <c r="F134" s="293"/>
      <c r="G134" s="254"/>
      <c r="H134" s="254"/>
      <c r="I134" s="293"/>
      <c r="J134" s="293"/>
      <c r="K134" s="293"/>
      <c r="L134">
        <f>IF(K134="incl",0,K134)</f>
        <v>0</v>
      </c>
    </row>
    <row r="135" spans="1:12" ht="13.5" customHeight="1">
      <c r="A135" s="254">
        <f t="shared" si="4"/>
        <v>0</v>
      </c>
      <c r="B135" s="254" t="s">
        <v>851</v>
      </c>
      <c r="C135" s="254"/>
      <c r="D135" s="293"/>
      <c r="E135" s="293"/>
      <c r="F135" s="293"/>
      <c r="G135" s="254"/>
      <c r="H135" s="254"/>
      <c r="I135" s="293"/>
      <c r="J135" s="293"/>
      <c r="K135" s="293"/>
      <c r="L135">
        <f>IF(K135="incl",0,K135)</f>
        <v>0</v>
      </c>
    </row>
    <row r="136" spans="1:12" ht="13.5" customHeight="1">
      <c r="A136" s="254">
        <f t="shared" si="4"/>
        <v>0</v>
      </c>
      <c r="B136" s="298" t="s">
        <v>843</v>
      </c>
      <c r="C136" s="254"/>
      <c r="D136" s="293"/>
      <c r="E136" s="293"/>
      <c r="F136" s="293"/>
      <c r="G136" s="254"/>
      <c r="H136" s="254"/>
      <c r="I136" s="293"/>
      <c r="J136" s="293"/>
      <c r="K136" s="293"/>
      <c r="L136">
        <f>IF(K136="incl",0,K136)</f>
        <v>0</v>
      </c>
    </row>
    <row r="137" spans="1:12" ht="13.5" customHeight="1">
      <c r="A137" s="254">
        <f t="shared" si="4"/>
        <v>0</v>
      </c>
      <c r="B137" s="254" t="s">
        <v>852</v>
      </c>
      <c r="C137" s="254"/>
      <c r="D137" s="293"/>
      <c r="E137" s="293"/>
      <c r="F137" s="293"/>
      <c r="G137" s="254"/>
      <c r="H137" s="254"/>
      <c r="I137" s="293"/>
      <c r="J137" s="293"/>
      <c r="K137" s="293"/>
      <c r="L137">
        <f>IF(K137="incl",0,K137)</f>
        <v>0</v>
      </c>
    </row>
    <row r="138" spans="1:12" s="329" customFormat="1" ht="13.5" customHeight="1">
      <c r="A138" s="315">
        <f t="shared" si="4"/>
        <v>0</v>
      </c>
      <c r="B138" s="315"/>
      <c r="C138" s="315"/>
      <c r="D138" s="316"/>
      <c r="E138" s="316"/>
      <c r="F138" s="316"/>
      <c r="G138" s="315"/>
      <c r="H138" s="315"/>
      <c r="I138" s="316"/>
      <c r="J138" s="316"/>
      <c r="K138" s="316"/>
    </row>
    <row r="139" spans="1:12" ht="19.5" customHeight="1">
      <c r="A139">
        <f>IF(SUM(A$140:A$165)&gt;0,1,0)</f>
        <v>0</v>
      </c>
      <c r="B139" s="294" t="s">
        <v>853</v>
      </c>
      <c r="C139" s="2896">
        <f>'03-Walls &amp; Footings'!D40</f>
        <v>0</v>
      </c>
      <c r="D139" s="2896"/>
      <c r="E139" s="296"/>
      <c r="F139" s="330"/>
      <c r="G139" s="320"/>
      <c r="H139" s="320"/>
      <c r="I139" s="331"/>
      <c r="J139" s="331"/>
      <c r="K139" s="320"/>
      <c r="L139">
        <f>IF(K139="incl",0,K139)</f>
        <v>0</v>
      </c>
    </row>
    <row r="140" spans="1:12" ht="13.5" customHeight="1">
      <c r="A140">
        <f t="shared" ref="A140:A165" si="5">IF(B140="",0,1)</f>
        <v>0</v>
      </c>
      <c r="B140" s="254" t="str">
        <f>IF(D140=0,"",'03-Walls &amp; Footings'!A10)</f>
        <v/>
      </c>
      <c r="C140" s="254"/>
      <c r="D140" s="327">
        <f>'03-Walls &amp; Footings'!E10</f>
        <v>0</v>
      </c>
      <c r="E140" s="254" t="s">
        <v>836</v>
      </c>
      <c r="F140" s="254"/>
      <c r="G140" s="332"/>
      <c r="H140" s="254"/>
      <c r="I140" s="333"/>
      <c r="J140" s="333"/>
      <c r="K140" s="293"/>
      <c r="L140">
        <f>IF(K140="incl",0,K140)</f>
        <v>0</v>
      </c>
    </row>
    <row r="141" spans="1:12" ht="13.5" customHeight="1">
      <c r="A141">
        <f t="shared" si="5"/>
        <v>0</v>
      </c>
      <c r="B141" s="254" t="str">
        <f>IF(D141=0,"",'03-Walls &amp; Footings'!A11)</f>
        <v/>
      </c>
      <c r="C141" s="254"/>
      <c r="D141" s="327">
        <f>'03-Walls &amp; Footings'!E11</f>
        <v>0</v>
      </c>
      <c r="E141" s="254" t="s">
        <v>836</v>
      </c>
      <c r="G141" s="334"/>
      <c r="J141" s="12"/>
    </row>
    <row r="142" spans="1:12" ht="13.5" customHeight="1">
      <c r="A142">
        <f t="shared" si="5"/>
        <v>0</v>
      </c>
      <c r="B142" s="254" t="str">
        <f>IF(D142=0,"",'03-Walls &amp; Footings'!A12)</f>
        <v/>
      </c>
      <c r="C142" s="254"/>
      <c r="D142" s="327">
        <f>'03-Walls &amp; Footings'!E12</f>
        <v>0</v>
      </c>
      <c r="E142" s="254" t="s">
        <v>836</v>
      </c>
      <c r="G142" s="334"/>
      <c r="J142" s="39"/>
      <c r="K142" s="273"/>
    </row>
    <row r="143" spans="1:12" ht="13.5" customHeight="1">
      <c r="A143">
        <f t="shared" si="5"/>
        <v>0</v>
      </c>
      <c r="B143" s="254" t="str">
        <f>IF(D143=0,"",'03-Walls &amp; Footings'!A13)</f>
        <v/>
      </c>
      <c r="C143" s="254"/>
      <c r="D143" s="327">
        <f>'03-Walls &amp; Footings'!E13</f>
        <v>0</v>
      </c>
      <c r="E143" s="254" t="s">
        <v>836</v>
      </c>
      <c r="G143" s="334"/>
      <c r="J143" s="39"/>
      <c r="K143" s="273"/>
    </row>
    <row r="144" spans="1:12" ht="13.5" customHeight="1">
      <c r="A144">
        <f t="shared" si="5"/>
        <v>0</v>
      </c>
      <c r="B144" s="254" t="str">
        <f>IF(D144=0,"",'03-Walls &amp; Footings'!A14)</f>
        <v/>
      </c>
      <c r="C144" s="254"/>
      <c r="D144" s="327">
        <f>'03-Walls &amp; Footings'!E14</f>
        <v>0</v>
      </c>
      <c r="E144" s="254" t="s">
        <v>836</v>
      </c>
      <c r="G144" s="334"/>
      <c r="K144" s="273"/>
    </row>
    <row r="145" spans="1:12" ht="13.5" customHeight="1">
      <c r="A145">
        <f t="shared" si="5"/>
        <v>0</v>
      </c>
      <c r="B145" s="254" t="str">
        <f>IF(D145=0,"",'03-Walls &amp; Footings'!A15)</f>
        <v/>
      </c>
      <c r="C145" s="254"/>
      <c r="D145" s="327">
        <f>'03-Walls &amp; Footings'!E15</f>
        <v>0</v>
      </c>
      <c r="E145" s="254" t="s">
        <v>836</v>
      </c>
      <c r="G145" s="334"/>
      <c r="J145" s="12"/>
      <c r="K145" s="273"/>
    </row>
    <row r="146" spans="1:12" ht="13.5" customHeight="1">
      <c r="A146">
        <f t="shared" si="5"/>
        <v>0</v>
      </c>
      <c r="B146" s="254" t="str">
        <f>IF(D146=0,"",'03-Walls &amp; Footings'!A16)</f>
        <v/>
      </c>
      <c r="C146" s="254"/>
      <c r="D146" s="327">
        <f>'03-Walls &amp; Footings'!E16</f>
        <v>0</v>
      </c>
      <c r="E146" s="254" t="str">
        <f t="shared" ref="E146:E165" si="6">IF(D146="","","LF")</f>
        <v>LF</v>
      </c>
      <c r="G146" s="334"/>
    </row>
    <row r="147" spans="1:12" ht="13.5" customHeight="1">
      <c r="A147">
        <f t="shared" si="5"/>
        <v>0</v>
      </c>
      <c r="B147" s="254" t="str">
        <f>IF(D147=0,"",'03-Walls &amp; Footings'!A17)</f>
        <v/>
      </c>
      <c r="C147" s="254"/>
      <c r="D147" s="327">
        <f>'03-Walls &amp; Footings'!E17</f>
        <v>0</v>
      </c>
      <c r="E147" s="254" t="str">
        <f t="shared" si="6"/>
        <v>LF</v>
      </c>
      <c r="G147" s="334"/>
      <c r="J147" s="39"/>
      <c r="K147" s="273"/>
    </row>
    <row r="148" spans="1:12" ht="13.5" customHeight="1">
      <c r="A148">
        <f t="shared" si="5"/>
        <v>0</v>
      </c>
      <c r="B148" s="254" t="str">
        <f>IF(D148=0,"",'03-Walls &amp; Footings'!A18)</f>
        <v/>
      </c>
      <c r="C148" s="254"/>
      <c r="D148" s="327">
        <f>'03-Walls &amp; Footings'!E18</f>
        <v>0</v>
      </c>
      <c r="E148" s="254" t="str">
        <f t="shared" si="6"/>
        <v>LF</v>
      </c>
      <c r="G148" s="334"/>
    </row>
    <row r="149" spans="1:12" ht="13.5" customHeight="1">
      <c r="A149">
        <f t="shared" si="5"/>
        <v>0</v>
      </c>
      <c r="B149" s="254" t="str">
        <f>IF(D149=0,"",'03-Walls &amp; Footings'!A19)</f>
        <v/>
      </c>
      <c r="C149" s="254"/>
      <c r="D149" s="327">
        <f>'03-Walls &amp; Footings'!E19</f>
        <v>0</v>
      </c>
      <c r="E149" s="254" t="str">
        <f t="shared" si="6"/>
        <v>LF</v>
      </c>
    </row>
    <row r="150" spans="1:12" ht="13.5" customHeight="1">
      <c r="A150">
        <f t="shared" si="5"/>
        <v>0</v>
      </c>
      <c r="B150" s="254" t="str">
        <f>IF(D150=0,"",'03-Walls &amp; Footings'!A20)</f>
        <v/>
      </c>
      <c r="C150" s="254"/>
      <c r="D150" s="327">
        <f>'03-Walls &amp; Footings'!E20</f>
        <v>0</v>
      </c>
      <c r="E150" s="254" t="str">
        <f t="shared" si="6"/>
        <v>LF</v>
      </c>
    </row>
    <row r="151" spans="1:12" ht="13.5" customHeight="1">
      <c r="A151">
        <f t="shared" si="5"/>
        <v>0</v>
      </c>
      <c r="B151" s="254" t="str">
        <f>IF(D151=0,"",'03-Walls &amp; Footings'!A21)</f>
        <v/>
      </c>
      <c r="C151" s="254"/>
      <c r="D151" s="327">
        <f>'03-Walls &amp; Footings'!E21</f>
        <v>0</v>
      </c>
      <c r="E151" s="254" t="str">
        <f t="shared" si="6"/>
        <v>LF</v>
      </c>
    </row>
    <row r="152" spans="1:12" ht="13.5" customHeight="1">
      <c r="A152">
        <f t="shared" si="5"/>
        <v>0</v>
      </c>
      <c r="B152" s="254" t="str">
        <f>IF(D152=0,"",'03-Walls &amp; Footings'!A22)</f>
        <v/>
      </c>
      <c r="C152" s="254"/>
      <c r="D152" s="327">
        <f>'03-Walls &amp; Footings'!E22</f>
        <v>0</v>
      </c>
      <c r="E152" s="254" t="str">
        <f t="shared" si="6"/>
        <v>LF</v>
      </c>
    </row>
    <row r="153" spans="1:12" ht="13.5" customHeight="1">
      <c r="A153">
        <f t="shared" si="5"/>
        <v>0</v>
      </c>
      <c r="B153" s="254" t="str">
        <f>IF(D153=0,"",'03-Walls &amp; Footings'!A23)</f>
        <v/>
      </c>
      <c r="C153" s="254"/>
      <c r="D153" s="327">
        <f>'03-Walls &amp; Footings'!E23</f>
        <v>0</v>
      </c>
      <c r="E153" s="254" t="str">
        <f t="shared" si="6"/>
        <v>LF</v>
      </c>
    </row>
    <row r="154" spans="1:12" ht="13.5" customHeight="1">
      <c r="A154">
        <f t="shared" si="5"/>
        <v>0</v>
      </c>
      <c r="B154" s="254" t="str">
        <f>IF(D154=0,"",'03-Walls &amp; Footings'!A24)</f>
        <v/>
      </c>
      <c r="C154" s="254"/>
      <c r="D154" s="327">
        <f>'03-Walls &amp; Footings'!E24</f>
        <v>0</v>
      </c>
      <c r="E154" s="254" t="str">
        <f t="shared" si="6"/>
        <v>LF</v>
      </c>
    </row>
    <row r="155" spans="1:12" ht="13.5" customHeight="1">
      <c r="A155">
        <f t="shared" si="5"/>
        <v>0</v>
      </c>
      <c r="B155" s="254" t="str">
        <f>IF(D155=0,"",'03-Walls &amp; Footings'!A25)</f>
        <v/>
      </c>
      <c r="C155" s="254"/>
      <c r="D155" s="327">
        <f>'03-Walls &amp; Footings'!E25</f>
        <v>0</v>
      </c>
      <c r="E155" s="254" t="str">
        <f t="shared" si="6"/>
        <v>LF</v>
      </c>
      <c r="G155" s="334"/>
    </row>
    <row r="156" spans="1:12" ht="13.5" customHeight="1">
      <c r="A156">
        <f t="shared" si="5"/>
        <v>0</v>
      </c>
      <c r="B156" s="254" t="str">
        <f>IF(D156=0,"",'03-Walls &amp; Footings'!A26)</f>
        <v/>
      </c>
      <c r="C156" s="254"/>
      <c r="D156" s="327">
        <f>'03-Walls &amp; Footings'!E26</f>
        <v>0</v>
      </c>
      <c r="E156" s="254" t="str">
        <f t="shared" si="6"/>
        <v>LF</v>
      </c>
      <c r="F156" s="254"/>
      <c r="G156" s="332"/>
      <c r="H156" s="254"/>
      <c r="I156" s="335"/>
      <c r="J156" s="335"/>
      <c r="K156" s="336"/>
      <c r="L156">
        <f>IF(K156="incl",0,K156)</f>
        <v>0</v>
      </c>
    </row>
    <row r="157" spans="1:12" ht="13.5" customHeight="1">
      <c r="A157">
        <f t="shared" si="5"/>
        <v>0</v>
      </c>
      <c r="B157" s="254" t="str">
        <f>IF(D157=0,"",'03-Walls &amp; Footings'!A27)</f>
        <v/>
      </c>
      <c r="C157" s="254"/>
      <c r="D157" s="327">
        <f>'03-Walls &amp; Footings'!E27</f>
        <v>0</v>
      </c>
      <c r="E157" s="254" t="str">
        <f t="shared" si="6"/>
        <v>LF</v>
      </c>
      <c r="G157" s="334"/>
    </row>
    <row r="158" spans="1:12" ht="13.5" customHeight="1">
      <c r="A158">
        <f t="shared" si="5"/>
        <v>0</v>
      </c>
      <c r="B158" s="254" t="str">
        <f>IF(D158=0,"",'03-Walls &amp; Footings'!A28)</f>
        <v/>
      </c>
      <c r="C158" s="254"/>
      <c r="D158" s="327">
        <f>'03-Walls &amp; Footings'!E28</f>
        <v>0</v>
      </c>
      <c r="E158" s="254" t="str">
        <f t="shared" si="6"/>
        <v>LF</v>
      </c>
    </row>
    <row r="159" spans="1:12" ht="13.5" customHeight="1">
      <c r="A159">
        <f t="shared" si="5"/>
        <v>0</v>
      </c>
      <c r="B159" s="254" t="str">
        <f>IF(D159=0,"",'03-Walls &amp; Footings'!A29)</f>
        <v/>
      </c>
      <c r="C159" s="254"/>
      <c r="D159" s="327">
        <f>'03-Walls &amp; Footings'!E29</f>
        <v>0</v>
      </c>
      <c r="E159" s="254" t="str">
        <f t="shared" si="6"/>
        <v>LF</v>
      </c>
    </row>
    <row r="160" spans="1:12" ht="13.5" customHeight="1">
      <c r="A160">
        <f t="shared" si="5"/>
        <v>0</v>
      </c>
      <c r="B160" s="254" t="str">
        <f>IF(D160=0,"",'03-Walls &amp; Footings'!A30)</f>
        <v/>
      </c>
      <c r="C160" s="254"/>
      <c r="D160" s="327">
        <f>'03-Walls &amp; Footings'!E30</f>
        <v>0</v>
      </c>
      <c r="E160" s="254" t="str">
        <f t="shared" si="6"/>
        <v>LF</v>
      </c>
    </row>
    <row r="161" spans="1:14" ht="13.5" customHeight="1">
      <c r="A161">
        <f t="shared" si="5"/>
        <v>0</v>
      </c>
      <c r="B161" s="254" t="str">
        <f>IF(D161=0,"",'03-Walls &amp; Footings'!A31)</f>
        <v/>
      </c>
      <c r="C161" s="254"/>
      <c r="D161" s="327">
        <f>'03-Walls &amp; Footings'!E31</f>
        <v>0</v>
      </c>
      <c r="E161" s="254" t="str">
        <f t="shared" si="6"/>
        <v>LF</v>
      </c>
    </row>
    <row r="162" spans="1:14" ht="13.5" customHeight="1">
      <c r="A162">
        <f t="shared" si="5"/>
        <v>0</v>
      </c>
      <c r="B162" s="254" t="str">
        <f>IF(D162=0,"",'03-Walls &amp; Footings'!A32)</f>
        <v/>
      </c>
      <c r="C162" s="254"/>
      <c r="D162" s="327">
        <f>'03-Walls &amp; Footings'!E32</f>
        <v>0</v>
      </c>
      <c r="E162" s="254" t="str">
        <f t="shared" si="6"/>
        <v>LF</v>
      </c>
    </row>
    <row r="163" spans="1:14" ht="13.5" customHeight="1">
      <c r="A163">
        <f t="shared" si="5"/>
        <v>0</v>
      </c>
      <c r="B163" s="254" t="str">
        <f>IF(D163=0,"",'03-Walls &amp; Footings'!A33)</f>
        <v/>
      </c>
      <c r="C163" s="254"/>
      <c r="D163" s="327">
        <f>'03-Walls &amp; Footings'!E33</f>
        <v>0</v>
      </c>
      <c r="E163" s="254" t="str">
        <f t="shared" si="6"/>
        <v>LF</v>
      </c>
    </row>
    <row r="164" spans="1:14" ht="13.5" customHeight="1">
      <c r="A164">
        <f t="shared" si="5"/>
        <v>0</v>
      </c>
      <c r="B164" s="254" t="str">
        <f>IF(D164=0,"",'03-Walls &amp; Footings'!A34)</f>
        <v/>
      </c>
      <c r="C164" s="254"/>
      <c r="D164" s="327">
        <f>'03-Walls &amp; Footings'!E34</f>
        <v>0</v>
      </c>
      <c r="E164" s="254" t="str">
        <f t="shared" si="6"/>
        <v>LF</v>
      </c>
      <c r="G164" s="334"/>
    </row>
    <row r="165" spans="1:14" ht="13.5" customHeight="1">
      <c r="A165">
        <f t="shared" si="5"/>
        <v>0</v>
      </c>
      <c r="B165" s="254" t="str">
        <f>IF(D165=0,"",'03-Walls &amp; Footings'!A35)</f>
        <v/>
      </c>
      <c r="C165" s="254"/>
      <c r="D165" s="327">
        <f>'03-Walls &amp; Footings'!E35</f>
        <v>0</v>
      </c>
      <c r="E165" s="254" t="str">
        <f t="shared" si="6"/>
        <v>LF</v>
      </c>
      <c r="F165" s="254"/>
      <c r="G165" s="332"/>
      <c r="H165" s="254"/>
      <c r="I165" s="335"/>
      <c r="J165" s="335"/>
      <c r="K165" s="336"/>
      <c r="L165">
        <f>IF(K165="incl",0,K165)</f>
        <v>0</v>
      </c>
    </row>
    <row r="166" spans="1:14" ht="13.5" customHeight="1">
      <c r="A166">
        <f t="shared" ref="A166:A173" si="7">IF(SUM(A$140:A$165)&gt;0,1,0)</f>
        <v>0</v>
      </c>
      <c r="B166" s="254"/>
      <c r="D166" s="337">
        <f>SUM(D140:D165)</f>
        <v>0</v>
      </c>
      <c r="E166" s="254" t="s">
        <v>836</v>
      </c>
      <c r="F166" s="338"/>
      <c r="G166" s="339"/>
      <c r="J166" s="39"/>
      <c r="K166" s="273"/>
    </row>
    <row r="167" spans="1:14" ht="13.5" customHeight="1">
      <c r="A167">
        <f t="shared" si="7"/>
        <v>0</v>
      </c>
      <c r="B167" s="254"/>
      <c r="C167" s="254"/>
      <c r="D167" s="323"/>
      <c r="E167" s="254"/>
      <c r="F167" s="254"/>
      <c r="G167" s="254"/>
      <c r="H167" s="254"/>
      <c r="I167" s="254"/>
      <c r="J167" s="254"/>
      <c r="K167" s="254"/>
      <c r="L167">
        <f>IF(K167="incl",0,K167)</f>
        <v>0</v>
      </c>
    </row>
    <row r="168" spans="1:14" ht="13.5" customHeight="1">
      <c r="A168">
        <f t="shared" si="7"/>
        <v>0</v>
      </c>
      <c r="B168" s="340" t="s">
        <v>840</v>
      </c>
      <c r="C168" s="254"/>
      <c r="D168" s="323"/>
      <c r="E168" s="254"/>
      <c r="F168" s="254"/>
      <c r="G168" s="254"/>
      <c r="H168" s="254"/>
      <c r="I168" s="254"/>
      <c r="J168" s="254"/>
      <c r="K168" s="281"/>
      <c r="L168">
        <f>IF(K168="incl",0,K168)</f>
        <v>0</v>
      </c>
    </row>
    <row r="169" spans="1:14" ht="13.5" customHeight="1">
      <c r="A169">
        <f t="shared" si="7"/>
        <v>0</v>
      </c>
      <c r="B169" s="254" t="s">
        <v>854</v>
      </c>
      <c r="C169" s="254"/>
      <c r="D169" s="254"/>
      <c r="E169" s="254"/>
      <c r="F169" s="254"/>
      <c r="K169" s="254"/>
      <c r="L169">
        <f>IF(K169="incl",0,K169)</f>
        <v>0</v>
      </c>
    </row>
    <row r="170" spans="1:14" ht="13.5" customHeight="1">
      <c r="A170">
        <f t="shared" si="7"/>
        <v>0</v>
      </c>
      <c r="B170" s="254" t="s">
        <v>855</v>
      </c>
      <c r="C170" s="254"/>
      <c r="E170" s="268"/>
    </row>
    <row r="171" spans="1:14" ht="13.5" customHeight="1">
      <c r="A171">
        <f t="shared" si="7"/>
        <v>0</v>
      </c>
      <c r="B171" s="298" t="s">
        <v>843</v>
      </c>
      <c r="C171" s="254"/>
      <c r="D171" s="254"/>
      <c r="E171" s="254"/>
      <c r="F171" s="254"/>
      <c r="K171" s="254"/>
      <c r="L171">
        <f>IF(K171="incl",0,K171)</f>
        <v>0</v>
      </c>
    </row>
    <row r="172" spans="1:14" ht="13.5" customHeight="1">
      <c r="A172">
        <f t="shared" si="7"/>
        <v>0</v>
      </c>
      <c r="B172" s="254" t="s">
        <v>856</v>
      </c>
      <c r="C172" s="254"/>
      <c r="D172" s="255"/>
      <c r="E172" s="254"/>
      <c r="F172" s="254"/>
      <c r="G172" s="254"/>
      <c r="H172" s="254"/>
      <c r="I172" s="254"/>
      <c r="J172" s="254"/>
      <c r="K172" s="254"/>
      <c r="L172">
        <f>IF(K172="incl",0,K172)</f>
        <v>0</v>
      </c>
    </row>
    <row r="173" spans="1:14" ht="13.5" customHeight="1">
      <c r="A173">
        <f t="shared" si="7"/>
        <v>0</v>
      </c>
      <c r="B173" s="254"/>
      <c r="C173" s="254"/>
      <c r="D173" s="255"/>
      <c r="E173" s="254"/>
      <c r="F173" s="254"/>
      <c r="G173" s="254"/>
      <c r="H173" s="254"/>
      <c r="I173" s="254"/>
      <c r="J173" s="254"/>
      <c r="K173" s="254"/>
    </row>
    <row r="174" spans="1:14" ht="19.5" customHeight="1">
      <c r="A174" s="254">
        <f>IF(SUM(A$176:A$207)&gt;0,1,0)</f>
        <v>1</v>
      </c>
      <c r="B174" s="294" t="s">
        <v>857</v>
      </c>
      <c r="C174" s="2896">
        <f>'04-PT Slab on Grade'!E45</f>
        <v>812030.9508674657</v>
      </c>
      <c r="D174" s="2896"/>
      <c r="E174" s="330"/>
      <c r="F174" s="330"/>
      <c r="G174" s="320"/>
      <c r="H174" s="320"/>
      <c r="I174" s="331"/>
      <c r="J174" s="331"/>
      <c r="K174" s="320"/>
      <c r="L174">
        <f>IF(K174="incl",0,K174)</f>
        <v>0</v>
      </c>
      <c r="N174" s="273">
        <f>C174</f>
        <v>812030.9508674657</v>
      </c>
    </row>
    <row r="175" spans="1:14" ht="13.5" customHeight="1">
      <c r="A175" s="254">
        <f>IF(SUM(A$176:A$207)&gt;0,1,0)</f>
        <v>1</v>
      </c>
      <c r="B175" s="341" t="s">
        <v>847</v>
      </c>
      <c r="C175" s="342" t="s">
        <v>858</v>
      </c>
      <c r="D175" s="342" t="s">
        <v>859</v>
      </c>
      <c r="E175" s="342" t="s">
        <v>519</v>
      </c>
      <c r="K175" s="12"/>
      <c r="L175">
        <f>IF(K175="incl",0,K175)</f>
        <v>0</v>
      </c>
    </row>
    <row r="176" spans="1:14" ht="13.5" customHeight="1">
      <c r="A176" s="254">
        <f t="shared" ref="A176:A207" si="8">IF(B176="",0,1)</f>
        <v>1</v>
      </c>
      <c r="B176" s="343" t="str">
        <f>IF('04-PT Slab on Grade'!B10="","",'04-PT Slab on Grade'!B10)</f>
        <v>Pour 1</v>
      </c>
      <c r="C176" s="344">
        <f>IF('04-PT Slab on Grade'!F10="","",'04-PT Slab on Grade'!F10)</f>
        <v>4</v>
      </c>
      <c r="D176" s="345">
        <f>IF('04-PT Slab on Grade'!D10="","",'04-PT Slab on Grade'!D10)</f>
        <v>2942</v>
      </c>
      <c r="E176" s="254" t="str">
        <f t="shared" ref="E176:E207" si="9">IF(D176="","","SF")</f>
        <v>SF</v>
      </c>
      <c r="F176" s="254"/>
      <c r="G176" s="254"/>
      <c r="H176" s="254"/>
      <c r="I176" s="254"/>
      <c r="J176" s="254"/>
      <c r="K176" s="12"/>
    </row>
    <row r="177" spans="1:11" ht="13.5" customHeight="1">
      <c r="A177" s="254">
        <f t="shared" si="8"/>
        <v>1</v>
      </c>
      <c r="B177" s="343" t="str">
        <f>IF('04-PT Slab on Grade'!B11="","",'04-PT Slab on Grade'!B11)</f>
        <v>Pour 2</v>
      </c>
      <c r="C177" s="344">
        <f>IF('04-PT Slab on Grade'!F11="","",'04-PT Slab on Grade'!F11)</f>
        <v>4</v>
      </c>
      <c r="D177" s="345">
        <f>IF('04-PT Slab on Grade'!D11="","",'04-PT Slab on Grade'!D11)</f>
        <v>3992</v>
      </c>
      <c r="E177" s="254" t="str">
        <f t="shared" si="9"/>
        <v>SF</v>
      </c>
      <c r="F177" s="254"/>
      <c r="G177" s="254"/>
      <c r="H177" s="254"/>
      <c r="I177" s="254"/>
      <c r="J177" s="254"/>
      <c r="K177" s="292"/>
    </row>
    <row r="178" spans="1:11" ht="13.5" customHeight="1">
      <c r="A178" s="254">
        <f t="shared" si="8"/>
        <v>1</v>
      </c>
      <c r="B178" s="343" t="str">
        <f>IF('04-PT Slab on Grade'!B12="","",'04-PT Slab on Grade'!B12)</f>
        <v>Pour 3</v>
      </c>
      <c r="C178" s="344">
        <f>IF('04-PT Slab on Grade'!F12="","",'04-PT Slab on Grade'!F12)</f>
        <v>4</v>
      </c>
      <c r="D178" s="345">
        <f>IF('04-PT Slab on Grade'!D12="","",'04-PT Slab on Grade'!D12)</f>
        <v>5805</v>
      </c>
      <c r="E178" s="254" t="str">
        <f t="shared" si="9"/>
        <v>SF</v>
      </c>
      <c r="F178" s="254"/>
      <c r="G178" s="254"/>
      <c r="H178" s="254"/>
      <c r="I178" s="254"/>
      <c r="J178" s="254"/>
      <c r="K178" s="292"/>
    </row>
    <row r="179" spans="1:11" ht="13.5" customHeight="1">
      <c r="A179" s="254">
        <f t="shared" si="8"/>
        <v>1</v>
      </c>
      <c r="B179" s="343" t="str">
        <f>IF('04-PT Slab on Grade'!B13="","",'04-PT Slab on Grade'!B13)</f>
        <v>Pour 4</v>
      </c>
      <c r="C179" s="344">
        <f>IF('04-PT Slab on Grade'!F13="","",'04-PT Slab on Grade'!F13)</f>
        <v>4</v>
      </c>
      <c r="D179" s="345">
        <f>IF('04-PT Slab on Grade'!D13="","",'04-PT Slab on Grade'!D13)</f>
        <v>4775</v>
      </c>
      <c r="E179" s="254" t="str">
        <f t="shared" si="9"/>
        <v>SF</v>
      </c>
      <c r="F179" s="254"/>
      <c r="G179" s="254"/>
      <c r="H179" s="254"/>
      <c r="I179" s="254"/>
      <c r="J179" s="254"/>
      <c r="K179" s="292"/>
    </row>
    <row r="180" spans="1:11" ht="13.5" customHeight="1">
      <c r="A180" s="254">
        <f t="shared" si="8"/>
        <v>1</v>
      </c>
      <c r="B180" s="343" t="str">
        <f>IF('04-PT Slab on Grade'!B14="","",'04-PT Slab on Grade'!B14)</f>
        <v>Pour 5</v>
      </c>
      <c r="C180" s="344">
        <f>IF('04-PT Slab on Grade'!F14="","",'04-PT Slab on Grade'!F14)</f>
        <v>4</v>
      </c>
      <c r="D180" s="345">
        <f>IF('04-PT Slab on Grade'!D14="","",'04-PT Slab on Grade'!D14)</f>
        <v>5503</v>
      </c>
      <c r="E180" s="254" t="str">
        <f t="shared" si="9"/>
        <v>SF</v>
      </c>
      <c r="F180" s="254"/>
      <c r="G180" s="254"/>
      <c r="H180" s="254"/>
      <c r="I180" s="254"/>
      <c r="J180" s="254"/>
      <c r="K180" s="292"/>
    </row>
    <row r="181" spans="1:11" ht="13.5" customHeight="1">
      <c r="A181" s="254">
        <f t="shared" si="8"/>
        <v>1</v>
      </c>
      <c r="B181" s="343" t="str">
        <f>IF('04-PT Slab on Grade'!B15="","",'04-PT Slab on Grade'!B15)</f>
        <v>Pour 6</v>
      </c>
      <c r="C181" s="344">
        <f>IF('04-PT Slab on Grade'!F15="","",'04-PT Slab on Grade'!F15)</f>
        <v>4</v>
      </c>
      <c r="D181" s="345">
        <f>IF('04-PT Slab on Grade'!D15="","",'04-PT Slab on Grade'!D15)</f>
        <v>3478</v>
      </c>
      <c r="E181" s="254" t="str">
        <f t="shared" si="9"/>
        <v>SF</v>
      </c>
      <c r="F181" s="254"/>
      <c r="G181" s="254"/>
      <c r="H181" s="254"/>
      <c r="I181" s="254"/>
      <c r="J181" s="254"/>
      <c r="K181" s="292"/>
    </row>
    <row r="182" spans="1:11" ht="13.5" customHeight="1">
      <c r="A182" s="254">
        <f t="shared" si="8"/>
        <v>1</v>
      </c>
      <c r="B182" s="343" t="str">
        <f>IF('04-PT Slab on Grade'!B16="","",'04-PT Slab on Grade'!B16)</f>
        <v>Pour 7</v>
      </c>
      <c r="C182" s="344">
        <f>IF('04-PT Slab on Grade'!F16="","",'04-PT Slab on Grade'!F16)</f>
        <v>4</v>
      </c>
      <c r="D182" s="345">
        <f>IF('04-PT Slab on Grade'!D16="","",'04-PT Slab on Grade'!D16)</f>
        <v>3875</v>
      </c>
      <c r="E182" s="254" t="str">
        <f t="shared" si="9"/>
        <v>SF</v>
      </c>
      <c r="F182" s="254"/>
      <c r="G182" s="254"/>
      <c r="H182" s="254"/>
      <c r="I182" s="254"/>
      <c r="J182" s="254"/>
      <c r="K182" s="292"/>
    </row>
    <row r="183" spans="1:11" ht="13.5" customHeight="1">
      <c r="A183" s="254">
        <f t="shared" si="8"/>
        <v>1</v>
      </c>
      <c r="B183" s="343" t="str">
        <f>IF('04-PT Slab on Grade'!B17="","",'04-PT Slab on Grade'!B17)</f>
        <v>Pour 8</v>
      </c>
      <c r="C183" s="344">
        <f>IF('04-PT Slab on Grade'!F17="","",'04-PT Slab on Grade'!F17)</f>
        <v>4</v>
      </c>
      <c r="D183" s="345">
        <f>IF('04-PT Slab on Grade'!D17="","",'04-PT Slab on Grade'!D17)</f>
        <v>3722</v>
      </c>
      <c r="E183" s="254" t="str">
        <f t="shared" si="9"/>
        <v>SF</v>
      </c>
      <c r="F183" s="254"/>
      <c r="G183" s="254"/>
      <c r="H183" s="254"/>
      <c r="I183" s="254"/>
      <c r="J183" s="254"/>
      <c r="K183" s="292"/>
    </row>
    <row r="184" spans="1:11" ht="13.5" customHeight="1">
      <c r="A184" s="254">
        <f t="shared" si="8"/>
        <v>1</v>
      </c>
      <c r="B184" s="343" t="str">
        <f>IF('04-PT Slab on Grade'!B18="","",'04-PT Slab on Grade'!B18)</f>
        <v>Pour 9</v>
      </c>
      <c r="C184" s="344">
        <f>IF('04-PT Slab on Grade'!F18="","",'04-PT Slab on Grade'!F18)</f>
        <v>4</v>
      </c>
      <c r="D184" s="345">
        <f>IF('04-PT Slab on Grade'!D18="","",'04-PT Slab on Grade'!D18)</f>
        <v>3739</v>
      </c>
      <c r="E184" s="254" t="str">
        <f t="shared" si="9"/>
        <v>SF</v>
      </c>
      <c r="F184" s="254"/>
      <c r="G184" s="254"/>
      <c r="H184" s="254"/>
      <c r="I184" s="254"/>
      <c r="J184" s="254"/>
      <c r="K184" s="292"/>
    </row>
    <row r="185" spans="1:11" ht="13.5" customHeight="1">
      <c r="A185" s="254">
        <f t="shared" si="8"/>
        <v>1</v>
      </c>
      <c r="B185" s="343" t="str">
        <f>IF('04-PT Slab on Grade'!B19="","",'04-PT Slab on Grade'!B19)</f>
        <v>Pour 10</v>
      </c>
      <c r="C185" s="344">
        <f>IF('04-PT Slab on Grade'!F19="","",'04-PT Slab on Grade'!F19)</f>
        <v>4</v>
      </c>
      <c r="D185" s="345">
        <f>IF('04-PT Slab on Grade'!D19="","",'04-PT Slab on Grade'!D19)</f>
        <v>4076</v>
      </c>
      <c r="E185" s="254" t="str">
        <f t="shared" si="9"/>
        <v>SF</v>
      </c>
      <c r="F185" s="254"/>
      <c r="G185" s="254"/>
      <c r="H185" s="254"/>
      <c r="I185" s="254"/>
      <c r="J185" s="254"/>
      <c r="K185" s="292"/>
    </row>
    <row r="186" spans="1:11" ht="13.5" customHeight="1">
      <c r="A186" s="254">
        <f t="shared" si="8"/>
        <v>1</v>
      </c>
      <c r="B186" s="343" t="str">
        <f>IF('04-PT Slab on Grade'!B20="","",'04-PT Slab on Grade'!B20)</f>
        <v>Pour 11</v>
      </c>
      <c r="C186" s="344">
        <f>IF('04-PT Slab on Grade'!F20="","",'04-PT Slab on Grade'!F20)</f>
        <v>4</v>
      </c>
      <c r="D186" s="345">
        <f>IF('04-PT Slab on Grade'!D20="","",'04-PT Slab on Grade'!D20)</f>
        <v>6872</v>
      </c>
      <c r="E186" s="254" t="str">
        <f t="shared" si="9"/>
        <v>SF</v>
      </c>
      <c r="F186" s="254"/>
      <c r="G186" s="254"/>
      <c r="H186" s="254"/>
      <c r="I186" s="254"/>
      <c r="J186" s="254"/>
      <c r="K186" s="292"/>
    </row>
    <row r="187" spans="1:11" ht="13.5" customHeight="1">
      <c r="A187" s="254">
        <f t="shared" si="8"/>
        <v>1</v>
      </c>
      <c r="B187" s="343" t="str">
        <f>IF('04-PT Slab on Grade'!B21="","",'04-PT Slab on Grade'!B21)</f>
        <v>Pour 12</v>
      </c>
      <c r="C187" s="344">
        <f>IF('04-PT Slab on Grade'!F21="","",'04-PT Slab on Grade'!F21)</f>
        <v>4</v>
      </c>
      <c r="D187" s="345">
        <f>IF('04-PT Slab on Grade'!D21="","",'04-PT Slab on Grade'!D21)</f>
        <v>6217</v>
      </c>
      <c r="E187" s="254" t="str">
        <f t="shared" si="9"/>
        <v>SF</v>
      </c>
      <c r="F187" s="254"/>
      <c r="G187" s="254"/>
      <c r="H187" s="254"/>
      <c r="I187" s="254"/>
      <c r="J187" s="254"/>
      <c r="K187" s="292"/>
    </row>
    <row r="188" spans="1:11" ht="13.5" customHeight="1">
      <c r="A188" s="254">
        <f t="shared" si="8"/>
        <v>1</v>
      </c>
      <c r="B188" s="343" t="str">
        <f>IF('04-PT Slab on Grade'!B22="","",'04-PT Slab on Grade'!B22)</f>
        <v>Pour 13</v>
      </c>
      <c r="C188" s="344">
        <f>IF('04-PT Slab on Grade'!F22="","",'04-PT Slab on Grade'!F22)</f>
        <v>4</v>
      </c>
      <c r="D188" s="345">
        <f>IF('04-PT Slab on Grade'!D22="","",'04-PT Slab on Grade'!D22)</f>
        <v>2153</v>
      </c>
      <c r="E188" s="254" t="str">
        <f t="shared" si="9"/>
        <v>SF</v>
      </c>
      <c r="F188" s="254"/>
      <c r="G188" s="254"/>
      <c r="H188" s="254"/>
      <c r="I188" s="254"/>
      <c r="J188" s="254"/>
      <c r="K188" s="292"/>
    </row>
    <row r="189" spans="1:11" ht="13.5" customHeight="1">
      <c r="A189" s="254">
        <f t="shared" si="8"/>
        <v>1</v>
      </c>
      <c r="B189" s="343" t="str">
        <f>IF('04-PT Slab on Grade'!B23="","",'04-PT Slab on Grade'!B23)</f>
        <v>Pour 14</v>
      </c>
      <c r="C189" s="344">
        <f>IF('04-PT Slab on Grade'!F23="","",'04-PT Slab on Grade'!F23)</f>
        <v>4</v>
      </c>
      <c r="D189" s="345">
        <f>IF('04-PT Slab on Grade'!D23="","",'04-PT Slab on Grade'!D23)</f>
        <v>2440</v>
      </c>
      <c r="E189" s="254" t="str">
        <f t="shared" si="9"/>
        <v>SF</v>
      </c>
      <c r="F189" s="254"/>
      <c r="G189" s="254"/>
      <c r="H189" s="254"/>
      <c r="I189" s="254"/>
      <c r="J189" s="254"/>
      <c r="K189" s="292"/>
    </row>
    <row r="190" spans="1:11" ht="13.5" customHeight="1">
      <c r="A190" s="254">
        <f t="shared" si="8"/>
        <v>1</v>
      </c>
      <c r="B190" s="343" t="str">
        <f>IF('04-PT Slab on Grade'!B24="","",'04-PT Slab on Grade'!B24)</f>
        <v>Pour 15</v>
      </c>
      <c r="C190" s="344">
        <f>IF('04-PT Slab on Grade'!F24="","",'04-PT Slab on Grade'!F24)</f>
        <v>4</v>
      </c>
      <c r="D190" s="345">
        <f>IF('04-PT Slab on Grade'!D24="","",'04-PT Slab on Grade'!D24)</f>
        <v>2091</v>
      </c>
      <c r="E190" s="254" t="str">
        <f t="shared" si="9"/>
        <v>SF</v>
      </c>
      <c r="F190" s="254"/>
      <c r="G190" s="254"/>
      <c r="H190" s="254"/>
      <c r="I190" s="254"/>
      <c r="J190" s="254"/>
      <c r="K190" s="292"/>
    </row>
    <row r="191" spans="1:11" ht="13.5" customHeight="1">
      <c r="A191" s="254">
        <f t="shared" si="8"/>
        <v>1</v>
      </c>
      <c r="B191" s="343" t="str">
        <f>IF('04-PT Slab on Grade'!B25="","",'04-PT Slab on Grade'!B25)</f>
        <v>Pour 16</v>
      </c>
      <c r="C191" s="344">
        <f>IF('04-PT Slab on Grade'!F25="","",'04-PT Slab on Grade'!F25)</f>
        <v>4</v>
      </c>
      <c r="D191" s="345">
        <f>IF('04-PT Slab on Grade'!D25="","",'04-PT Slab on Grade'!D25)</f>
        <v>515</v>
      </c>
      <c r="E191" s="254" t="str">
        <f t="shared" si="9"/>
        <v>SF</v>
      </c>
      <c r="F191" s="254"/>
      <c r="G191" s="254"/>
      <c r="H191" s="254"/>
      <c r="I191" s="254"/>
      <c r="J191" s="254"/>
      <c r="K191" s="292"/>
    </row>
    <row r="192" spans="1:11" ht="13.5" customHeight="1">
      <c r="A192" s="254">
        <f t="shared" si="8"/>
        <v>0</v>
      </c>
      <c r="B192" s="343" t="str">
        <f>IF('04-PT Slab on Grade'!B26="","",'04-PT Slab on Grade'!B26)</f>
        <v/>
      </c>
      <c r="C192" s="344" t="str">
        <f>IF('04-PT Slab on Grade'!F26="","",'04-PT Slab on Grade'!F26)</f>
        <v/>
      </c>
      <c r="D192" s="345" t="str">
        <f>IF('04-PT Slab on Grade'!D26="","",'04-PT Slab on Grade'!D26)</f>
        <v/>
      </c>
      <c r="E192" s="254" t="str">
        <f t="shared" si="9"/>
        <v/>
      </c>
      <c r="F192" s="254"/>
      <c r="G192" s="254"/>
      <c r="H192" s="254"/>
      <c r="I192" s="254"/>
      <c r="J192" s="254"/>
      <c r="K192" s="292"/>
    </row>
    <row r="193" spans="1:12" ht="13.5" customHeight="1">
      <c r="A193" s="254">
        <f t="shared" si="8"/>
        <v>0</v>
      </c>
      <c r="B193" s="343" t="str">
        <f>IF('04-PT Slab on Grade'!B27="","",'04-PT Slab on Grade'!B27)</f>
        <v/>
      </c>
      <c r="C193" s="344" t="str">
        <f>IF('04-PT Slab on Grade'!F27="","",'04-PT Slab on Grade'!F27)</f>
        <v/>
      </c>
      <c r="D193" s="345" t="str">
        <f>IF('04-PT Slab on Grade'!D27="","",'04-PT Slab on Grade'!D27)</f>
        <v/>
      </c>
      <c r="E193" s="254" t="str">
        <f t="shared" si="9"/>
        <v/>
      </c>
      <c r="F193" s="254"/>
      <c r="G193" s="254"/>
      <c r="H193" s="254"/>
      <c r="I193" s="254"/>
      <c r="J193" s="254"/>
      <c r="K193" s="292"/>
    </row>
    <row r="194" spans="1:12" ht="13.5" customHeight="1">
      <c r="A194" s="254">
        <f t="shared" si="8"/>
        <v>0</v>
      </c>
      <c r="B194" s="343" t="str">
        <f>IF('04-PT Slab on Grade'!B28="","",'04-PT Slab on Grade'!B28)</f>
        <v/>
      </c>
      <c r="C194" s="344" t="str">
        <f>IF('04-PT Slab on Grade'!F28="","",'04-PT Slab on Grade'!F28)</f>
        <v/>
      </c>
      <c r="D194" s="345" t="str">
        <f>IF('04-PT Slab on Grade'!D28="","",'04-PT Slab on Grade'!D28)</f>
        <v/>
      </c>
      <c r="E194" s="254" t="str">
        <f t="shared" si="9"/>
        <v/>
      </c>
      <c r="F194" s="254"/>
      <c r="G194" s="254"/>
      <c r="H194" s="254"/>
      <c r="I194" s="254"/>
      <c r="J194" s="254"/>
      <c r="K194" s="292"/>
    </row>
    <row r="195" spans="1:12" ht="13.5" customHeight="1">
      <c r="A195" s="254">
        <f t="shared" si="8"/>
        <v>0</v>
      </c>
      <c r="B195" s="343" t="str">
        <f>IF('04-PT Slab on Grade'!B29="","",'04-PT Slab on Grade'!B29)</f>
        <v/>
      </c>
      <c r="C195" s="344" t="str">
        <f>IF('04-PT Slab on Grade'!F29="","",'04-PT Slab on Grade'!F29)</f>
        <v/>
      </c>
      <c r="D195" s="345" t="str">
        <f>IF('04-PT Slab on Grade'!D29="","",'04-PT Slab on Grade'!D29)</f>
        <v/>
      </c>
      <c r="E195" s="254" t="str">
        <f t="shared" si="9"/>
        <v/>
      </c>
      <c r="F195" s="254"/>
      <c r="G195" s="254"/>
      <c r="H195" s="254"/>
      <c r="I195" s="254"/>
      <c r="J195" s="254"/>
      <c r="K195" s="292"/>
    </row>
    <row r="196" spans="1:12" ht="13.5" customHeight="1">
      <c r="A196" s="254">
        <f t="shared" si="8"/>
        <v>0</v>
      </c>
      <c r="B196" s="343" t="str">
        <f>IF('04-PT Slab on Grade'!B30="","",'04-PT Slab on Grade'!B30)</f>
        <v/>
      </c>
      <c r="C196" s="344" t="str">
        <f>IF('04-PT Slab on Grade'!F30="","",'04-PT Slab on Grade'!F30)</f>
        <v/>
      </c>
      <c r="D196" s="345" t="str">
        <f>IF('04-PT Slab on Grade'!D30="","",'04-PT Slab on Grade'!D30)</f>
        <v/>
      </c>
      <c r="E196" s="254" t="str">
        <f t="shared" si="9"/>
        <v/>
      </c>
      <c r="F196" s="254"/>
      <c r="G196" s="254"/>
      <c r="H196" s="254"/>
      <c r="I196" s="254"/>
      <c r="J196" s="254"/>
      <c r="K196" s="292"/>
    </row>
    <row r="197" spans="1:12" ht="13.5" customHeight="1">
      <c r="A197" s="254">
        <f t="shared" si="8"/>
        <v>0</v>
      </c>
      <c r="B197" s="343" t="str">
        <f>IF('04-PT Slab on Grade'!B31="","",'04-PT Slab on Grade'!B31)</f>
        <v/>
      </c>
      <c r="C197" s="344" t="str">
        <f>IF('04-PT Slab on Grade'!F31="","",'04-PT Slab on Grade'!F31)</f>
        <v/>
      </c>
      <c r="D197" s="345" t="str">
        <f>IF('04-PT Slab on Grade'!D31="","",'04-PT Slab on Grade'!D31)</f>
        <v/>
      </c>
      <c r="E197" s="254" t="str">
        <f t="shared" si="9"/>
        <v/>
      </c>
      <c r="F197" s="254"/>
      <c r="G197" s="254"/>
      <c r="H197" s="254"/>
      <c r="I197" s="254"/>
      <c r="J197" s="254"/>
      <c r="K197" s="292"/>
    </row>
    <row r="198" spans="1:12" ht="13.5" customHeight="1">
      <c r="A198" s="254">
        <f t="shared" si="8"/>
        <v>0</v>
      </c>
      <c r="B198" s="343" t="str">
        <f>IF('04-PT Slab on Grade'!B32="","",'04-PT Slab on Grade'!B32)</f>
        <v/>
      </c>
      <c r="C198" s="344" t="str">
        <f>IF('04-PT Slab on Grade'!F32="","",'04-PT Slab on Grade'!F32)</f>
        <v/>
      </c>
      <c r="D198" s="345" t="str">
        <f>IF('04-PT Slab on Grade'!D32="","",'04-PT Slab on Grade'!D32)</f>
        <v/>
      </c>
      <c r="E198" s="254" t="str">
        <f t="shared" si="9"/>
        <v/>
      </c>
      <c r="F198" s="254"/>
      <c r="G198" s="254"/>
      <c r="H198" s="254"/>
      <c r="I198" s="254"/>
      <c r="J198" s="254"/>
      <c r="K198" s="292"/>
    </row>
    <row r="199" spans="1:12" ht="13.5" customHeight="1">
      <c r="A199" s="254">
        <f t="shared" si="8"/>
        <v>0</v>
      </c>
      <c r="B199" s="343" t="str">
        <f>IF('04-PT Slab on Grade'!B33="","",'04-PT Slab on Grade'!B33)</f>
        <v/>
      </c>
      <c r="C199" s="344" t="str">
        <f>IF('04-PT Slab on Grade'!F33="","",'04-PT Slab on Grade'!F33)</f>
        <v/>
      </c>
      <c r="D199" s="345" t="str">
        <f>IF('04-PT Slab on Grade'!D33="","",'04-PT Slab on Grade'!D33)</f>
        <v/>
      </c>
      <c r="E199" s="254" t="str">
        <f t="shared" si="9"/>
        <v/>
      </c>
      <c r="F199" s="254"/>
      <c r="G199" s="254"/>
      <c r="H199" s="254"/>
      <c r="I199" s="254"/>
      <c r="J199" s="254"/>
      <c r="K199" s="292"/>
    </row>
    <row r="200" spans="1:12" ht="13.5" customHeight="1">
      <c r="A200" s="254">
        <f t="shared" si="8"/>
        <v>1</v>
      </c>
      <c r="B200" s="343" t="str">
        <f>IF('04-PT Slab on Grade'!B34="","",'04-PT Slab on Grade'!B34)</f>
        <v>Pour Strip</v>
      </c>
      <c r="C200" s="344">
        <f>IF('04-PT Slab on Grade'!F34="","",'04-PT Slab on Grade'!F34)</f>
        <v>4</v>
      </c>
      <c r="D200" s="345">
        <f>IF('04-PT Slab on Grade'!D34="","",'04-PT Slab on Grade'!D34)</f>
        <v>528</v>
      </c>
      <c r="E200" s="254" t="str">
        <f t="shared" si="9"/>
        <v>SF</v>
      </c>
      <c r="F200" s="254"/>
      <c r="G200" s="254"/>
      <c r="H200" s="254"/>
      <c r="I200" s="254"/>
      <c r="J200" s="254"/>
      <c r="K200" s="292"/>
    </row>
    <row r="201" spans="1:12" ht="13.5" customHeight="1">
      <c r="A201" s="254">
        <f t="shared" si="8"/>
        <v>0</v>
      </c>
      <c r="B201" s="343" t="str">
        <f>IF('04-PT Slab on Grade'!B35="","",'04-PT Slab on Grade'!B35)</f>
        <v/>
      </c>
      <c r="C201" s="344" t="str">
        <f>IF('04-PT Slab on Grade'!F35="","",'04-PT Slab on Grade'!F35)</f>
        <v/>
      </c>
      <c r="D201" s="345" t="str">
        <f>IF('04-PT Slab on Grade'!D35="","",'04-PT Slab on Grade'!D35)</f>
        <v/>
      </c>
      <c r="E201" s="254" t="str">
        <f t="shared" si="9"/>
        <v/>
      </c>
      <c r="F201" s="254"/>
      <c r="G201" s="254"/>
      <c r="H201" s="254"/>
      <c r="I201" s="254"/>
      <c r="J201" s="254"/>
      <c r="K201" s="292"/>
    </row>
    <row r="202" spans="1:12" ht="13.5" customHeight="1">
      <c r="A202" s="254">
        <f t="shared" si="8"/>
        <v>0</v>
      </c>
      <c r="B202" s="343" t="str">
        <f>IF('04-PT Slab on Grade'!B36="","",'04-PT Slab on Grade'!B36)</f>
        <v/>
      </c>
      <c r="C202" s="344" t="str">
        <f>IF('04-PT Slab on Grade'!F36="","",'04-PT Slab on Grade'!F36)</f>
        <v/>
      </c>
      <c r="D202" s="345" t="str">
        <f>IF('04-PT Slab on Grade'!D36="","",'04-PT Slab on Grade'!D36)</f>
        <v/>
      </c>
      <c r="E202" s="254" t="str">
        <f t="shared" si="9"/>
        <v/>
      </c>
      <c r="F202" s="254"/>
      <c r="G202" s="254"/>
      <c r="H202" s="254"/>
      <c r="I202" s="254"/>
      <c r="J202" s="254"/>
      <c r="K202" s="292"/>
    </row>
    <row r="203" spans="1:12" ht="13.5" customHeight="1">
      <c r="A203" s="254">
        <f t="shared" si="8"/>
        <v>0</v>
      </c>
      <c r="B203" s="343" t="str">
        <f>IF('04-PT Slab on Grade'!B37="","",'04-PT Slab on Grade'!B37)</f>
        <v/>
      </c>
      <c r="C203" s="344" t="str">
        <f>IF('04-PT Slab on Grade'!F37="","",'04-PT Slab on Grade'!F37)</f>
        <v/>
      </c>
      <c r="D203" s="345" t="str">
        <f>IF('04-PT Slab on Grade'!D37="","",'04-PT Slab on Grade'!D37)</f>
        <v/>
      </c>
      <c r="E203" s="254" t="str">
        <f t="shared" si="9"/>
        <v/>
      </c>
      <c r="F203" s="254"/>
      <c r="G203" s="254"/>
      <c r="H203" s="254"/>
      <c r="I203" s="254"/>
      <c r="J203" s="254"/>
      <c r="K203" s="292"/>
    </row>
    <row r="204" spans="1:12" ht="13.5" customHeight="1">
      <c r="A204" s="254">
        <f t="shared" si="8"/>
        <v>0</v>
      </c>
      <c r="B204" s="343" t="str">
        <f>IF('04-PT Slab on Grade'!B38="","",'04-PT Slab on Grade'!B38)</f>
        <v/>
      </c>
      <c r="C204" s="344" t="str">
        <f>IF('04-PT Slab on Grade'!F38="","",'04-PT Slab on Grade'!F38)</f>
        <v/>
      </c>
      <c r="D204" s="345" t="str">
        <f>IF('04-PT Slab on Grade'!D38="","",'04-PT Slab on Grade'!D38)</f>
        <v/>
      </c>
      <c r="E204" s="254" t="str">
        <f t="shared" si="9"/>
        <v/>
      </c>
      <c r="F204" s="254"/>
      <c r="G204" s="254"/>
      <c r="H204" s="254"/>
      <c r="I204" s="254"/>
      <c r="J204" s="254"/>
      <c r="K204" s="292"/>
    </row>
    <row r="205" spans="1:12" ht="13.5" customHeight="1">
      <c r="A205" s="254">
        <f t="shared" si="8"/>
        <v>0</v>
      </c>
      <c r="B205" s="343" t="str">
        <f>IF('04-PT Slab on Grade'!B39="","",'04-PT Slab on Grade'!B39)</f>
        <v/>
      </c>
      <c r="C205" s="344" t="str">
        <f>IF('04-PT Slab on Grade'!F39="","",'04-PT Slab on Grade'!F39)</f>
        <v/>
      </c>
      <c r="D205" s="345" t="str">
        <f>IF('04-PT Slab on Grade'!D39="","",'04-PT Slab on Grade'!D39)</f>
        <v/>
      </c>
      <c r="E205" s="254" t="str">
        <f t="shared" si="9"/>
        <v/>
      </c>
      <c r="F205" s="254"/>
      <c r="G205" s="254"/>
      <c r="H205" s="254"/>
      <c r="I205" s="254"/>
      <c r="J205" s="254"/>
      <c r="K205" s="292"/>
    </row>
    <row r="206" spans="1:12" ht="13.5" customHeight="1">
      <c r="A206" s="254">
        <f t="shared" si="8"/>
        <v>0</v>
      </c>
      <c r="B206" s="346" t="str">
        <f>IF('04-PT Slab on Grade'!B40="","",'04-PT Slab on Grade'!B40)</f>
        <v/>
      </c>
      <c r="C206" s="347" t="str">
        <f>IF('04-PT Slab on Grade'!F40="","",'04-PT Slab on Grade'!F40)</f>
        <v/>
      </c>
      <c r="D206" s="345" t="str">
        <f>IF('04-PT Slab on Grade'!D40="","",'04-PT Slab on Grade'!D40)</f>
        <v/>
      </c>
      <c r="E206" s="254" t="str">
        <f t="shared" si="9"/>
        <v/>
      </c>
      <c r="F206" s="254"/>
      <c r="G206" s="254"/>
      <c r="H206" s="254"/>
      <c r="I206" s="254"/>
      <c r="J206" s="254"/>
      <c r="K206" s="292"/>
    </row>
    <row r="207" spans="1:12" ht="13.5" customHeight="1">
      <c r="A207" s="254">
        <f t="shared" si="8"/>
        <v>0</v>
      </c>
      <c r="B207" s="348" t="str">
        <f>IF('04-PT Slab on Grade'!B41="","",'04-PT Slab on Grade'!B41)</f>
        <v/>
      </c>
      <c r="C207" s="347" t="str">
        <f>IF('04-PT Slab on Grade'!F41="","",'04-PT Slab on Grade'!F41)</f>
        <v/>
      </c>
      <c r="D207" s="345" t="str">
        <f>IF('04-PT Slab on Grade'!D41="","",'04-PT Slab on Grade'!D41)</f>
        <v/>
      </c>
      <c r="E207" s="254" t="str">
        <f t="shared" si="9"/>
        <v/>
      </c>
      <c r="F207" s="254"/>
      <c r="G207" s="254"/>
      <c r="H207" s="254"/>
      <c r="I207" s="254"/>
      <c r="J207" s="254"/>
      <c r="K207" s="292"/>
    </row>
    <row r="208" spans="1:12" ht="13.5" customHeight="1">
      <c r="A208" s="254">
        <f t="shared" ref="A208:A214" si="10">IF(SUM(A$176:A$207)&gt;0,1,0)</f>
        <v>1</v>
      </c>
      <c r="B208" s="302"/>
      <c r="C208" s="255" t="s">
        <v>860</v>
      </c>
      <c r="D208" s="349">
        <f>SUM(D176:D207)</f>
        <v>62723</v>
      </c>
      <c r="E208" s="254" t="s">
        <v>861</v>
      </c>
      <c r="F208" s="254" t="s">
        <v>862</v>
      </c>
      <c r="G208" s="350">
        <f>C174/D208</f>
        <v>12.946302805469536</v>
      </c>
      <c r="H208" s="254" t="s">
        <v>863</v>
      </c>
      <c r="I208" s="254"/>
      <c r="J208" s="254"/>
      <c r="K208" s="292"/>
      <c r="L208">
        <f>IF(K208="incl",0,K208)</f>
        <v>0</v>
      </c>
    </row>
    <row r="209" spans="1:14" ht="13.5" customHeight="1">
      <c r="A209">
        <f t="shared" si="10"/>
        <v>1</v>
      </c>
      <c r="B209" s="302"/>
      <c r="C209" s="255"/>
      <c r="D209" s="332"/>
      <c r="E209" s="254"/>
      <c r="F209" s="254"/>
      <c r="G209" s="350"/>
      <c r="H209" s="254"/>
      <c r="I209" s="254"/>
      <c r="J209" s="254"/>
      <c r="K209" s="292"/>
    </row>
    <row r="210" spans="1:14" ht="13.5" customHeight="1">
      <c r="A210">
        <f t="shared" si="10"/>
        <v>1</v>
      </c>
      <c r="B210" s="340" t="s">
        <v>840</v>
      </c>
      <c r="C210" s="254"/>
      <c r="D210" s="254"/>
      <c r="E210" s="254"/>
      <c r="F210" s="254"/>
      <c r="G210" s="254"/>
      <c r="H210" s="254"/>
      <c r="I210" s="254"/>
      <c r="J210" s="254"/>
      <c r="K210" s="281"/>
      <c r="L210" s="351">
        <f>IF(K210="incl",0,K210)</f>
        <v>0</v>
      </c>
    </row>
    <row r="211" spans="1:14" ht="13.5" customHeight="1">
      <c r="A211">
        <f t="shared" si="10"/>
        <v>1</v>
      </c>
      <c r="B211" s="254" t="s">
        <v>864</v>
      </c>
      <c r="D211" s="254"/>
      <c r="E211" s="254"/>
      <c r="F211" s="254"/>
      <c r="K211" s="254"/>
      <c r="L211">
        <f>IF(K211="incl",0,K211)</f>
        <v>0</v>
      </c>
    </row>
    <row r="212" spans="1:14" ht="13.5" customHeight="1">
      <c r="A212">
        <f t="shared" si="10"/>
        <v>1</v>
      </c>
      <c r="B212" s="254" t="s">
        <v>865</v>
      </c>
      <c r="C212" s="254"/>
      <c r="D212" s="254"/>
      <c r="E212" s="254"/>
      <c r="F212" s="254"/>
      <c r="G212" s="254"/>
      <c r="H212" s="254"/>
      <c r="I212" s="254"/>
      <c r="J212" s="254"/>
      <c r="K212" s="254"/>
      <c r="L212">
        <f>IF(K212="incl",0,K212)</f>
        <v>0</v>
      </c>
    </row>
    <row r="213" spans="1:14" ht="13.5" customHeight="1">
      <c r="A213">
        <f t="shared" si="10"/>
        <v>1</v>
      </c>
      <c r="B213" s="298" t="s">
        <v>843</v>
      </c>
      <c r="C213" s="254"/>
      <c r="D213" s="254"/>
      <c r="E213" s="254"/>
      <c r="F213" s="254"/>
      <c r="K213" s="254"/>
      <c r="L213">
        <f>IF(K213="incl",0,K213)</f>
        <v>0</v>
      </c>
    </row>
    <row r="214" spans="1:14" ht="13.5" customHeight="1">
      <c r="A214">
        <f t="shared" si="10"/>
        <v>1</v>
      </c>
      <c r="B214" s="254" t="s">
        <v>866</v>
      </c>
      <c r="C214" s="254"/>
      <c r="D214" s="254"/>
      <c r="E214" s="254"/>
      <c r="F214" s="254"/>
      <c r="G214" s="254"/>
      <c r="H214" s="254"/>
      <c r="I214" s="254"/>
      <c r="J214" s="254"/>
      <c r="K214" s="254"/>
      <c r="L214">
        <f>IF(K214="incl",0,K214)</f>
        <v>0</v>
      </c>
    </row>
    <row r="215" spans="1:14" ht="13.5" customHeight="1">
      <c r="A215">
        <f>IF(SUM(A$218:A$249)&gt;0,1,0)</f>
        <v>0</v>
      </c>
      <c r="B215" s="254"/>
      <c r="C215" s="277"/>
      <c r="D215" s="277"/>
      <c r="E215" s="254"/>
      <c r="F215" s="254"/>
      <c r="G215" s="254"/>
      <c r="H215" s="254"/>
      <c r="I215" s="254"/>
      <c r="J215" s="254"/>
      <c r="K215" s="254"/>
    </row>
    <row r="216" spans="1:14" ht="19.5" customHeight="1">
      <c r="A216" s="254">
        <f>IF(SUM(A$218:A$249)&gt;0,1,0)</f>
        <v>0</v>
      </c>
      <c r="B216" s="294" t="s">
        <v>867</v>
      </c>
      <c r="C216" s="2896">
        <f>'05-Slabs'!E45</f>
        <v>0</v>
      </c>
      <c r="D216" s="2896"/>
      <c r="E216" s="330"/>
      <c r="F216" s="330"/>
      <c r="G216" s="320"/>
      <c r="H216" s="320"/>
      <c r="I216" s="331"/>
      <c r="J216" s="331"/>
      <c r="K216" s="320"/>
      <c r="L216">
        <f>IF(K216="incl",0,K216)</f>
        <v>0</v>
      </c>
      <c r="N216" s="273">
        <f>'05-Slabs'!E45</f>
        <v>0</v>
      </c>
    </row>
    <row r="217" spans="1:14" ht="13.5" customHeight="1">
      <c r="A217" s="254">
        <f>IF(SUM(A$218:A$249)&gt;0,1,0)</f>
        <v>0</v>
      </c>
      <c r="B217" s="341" t="s">
        <v>847</v>
      </c>
      <c r="C217" s="342" t="s">
        <v>858</v>
      </c>
      <c r="D217" s="342" t="s">
        <v>859</v>
      </c>
      <c r="E217" s="342" t="s">
        <v>519</v>
      </c>
      <c r="J217" s="39"/>
      <c r="K217" s="352"/>
      <c r="L217">
        <f>IF(K217="incl",0,K217)</f>
        <v>0</v>
      </c>
    </row>
    <row r="218" spans="1:14" ht="13.5" customHeight="1">
      <c r="A218" s="254">
        <f t="shared" ref="A218:A249" si="11">IF(B218="",0,1)</f>
        <v>0</v>
      </c>
      <c r="B218" s="343" t="str">
        <f>IF('05-Slabs'!B10="","",'05-Slabs'!B10)</f>
        <v/>
      </c>
      <c r="C218" s="344" t="str">
        <f>IF('05-Slabs'!F10="","",'05-Slabs'!F10)</f>
        <v/>
      </c>
      <c r="D218" s="345" t="str">
        <f>IF('05-Slabs'!D10="","",'05-Slabs'!D10)</f>
        <v/>
      </c>
      <c r="E218" s="254" t="s">
        <v>868</v>
      </c>
      <c r="J218" s="12"/>
      <c r="K218" s="94"/>
    </row>
    <row r="219" spans="1:14" ht="13.5" customHeight="1">
      <c r="A219" s="254">
        <f t="shared" si="11"/>
        <v>0</v>
      </c>
      <c r="B219" s="343" t="str">
        <f>IF('05-Slabs'!B11="","",'05-Slabs'!B11)</f>
        <v/>
      </c>
      <c r="C219" s="344" t="str">
        <f>IF('05-Slabs'!F11="","",'05-Slabs'!F11)</f>
        <v/>
      </c>
      <c r="D219" s="345" t="str">
        <f>IF('05-Slabs'!D11="","",'05-Slabs'!D11)</f>
        <v/>
      </c>
      <c r="E219" s="254" t="s">
        <v>868</v>
      </c>
      <c r="F219" s="254"/>
      <c r="G219" s="254"/>
      <c r="H219" s="254"/>
      <c r="I219" s="254"/>
      <c r="J219" s="254"/>
      <c r="K219" s="292"/>
    </row>
    <row r="220" spans="1:14" ht="13.5" customHeight="1">
      <c r="A220" s="254">
        <f t="shared" si="11"/>
        <v>0</v>
      </c>
      <c r="B220" s="343" t="str">
        <f>IF('05-Slabs'!B12="","",'05-Slabs'!B12)</f>
        <v/>
      </c>
      <c r="C220" s="344" t="str">
        <f>IF('05-Slabs'!F12="","",'05-Slabs'!F12)</f>
        <v/>
      </c>
      <c r="D220" s="345" t="str">
        <f>IF('05-Slabs'!D12="","",'05-Slabs'!D12)</f>
        <v/>
      </c>
      <c r="E220" s="254" t="s">
        <v>868</v>
      </c>
      <c r="F220" s="254"/>
      <c r="G220" s="254"/>
      <c r="H220" s="254"/>
      <c r="I220" s="254"/>
      <c r="J220" s="254"/>
      <c r="K220" s="292"/>
    </row>
    <row r="221" spans="1:14" ht="13.5" customHeight="1">
      <c r="A221" s="254">
        <f t="shared" si="11"/>
        <v>0</v>
      </c>
      <c r="B221" s="343" t="str">
        <f>IF('05-Slabs'!B13="","",'05-Slabs'!B13)</f>
        <v/>
      </c>
      <c r="C221" s="344" t="str">
        <f>IF('05-Slabs'!F13="","",'05-Slabs'!F13)</f>
        <v/>
      </c>
      <c r="D221" s="345" t="str">
        <f>IF('05-Slabs'!D13="","",'05-Slabs'!D13)</f>
        <v/>
      </c>
      <c r="E221" s="254" t="s">
        <v>868</v>
      </c>
      <c r="F221" s="254"/>
      <c r="G221" s="254"/>
      <c r="H221" s="254"/>
      <c r="I221" s="254"/>
      <c r="J221" s="254"/>
      <c r="K221" s="292"/>
    </row>
    <row r="222" spans="1:14" ht="13.5" customHeight="1">
      <c r="A222" s="254">
        <f t="shared" si="11"/>
        <v>0</v>
      </c>
      <c r="B222" s="343" t="str">
        <f>IF('05-Slabs'!B14="","",'05-Slabs'!B14)</f>
        <v/>
      </c>
      <c r="C222" s="344" t="str">
        <f>IF('05-Slabs'!F14="","",'05-Slabs'!F14)</f>
        <v/>
      </c>
      <c r="D222" s="345" t="str">
        <f>IF('05-Slabs'!D14="","",'05-Slabs'!D14)</f>
        <v/>
      </c>
      <c r="E222" s="254" t="s">
        <v>868</v>
      </c>
      <c r="F222" s="254"/>
      <c r="G222" s="254"/>
      <c r="H222" s="254"/>
      <c r="I222" s="254"/>
      <c r="J222" s="254"/>
      <c r="K222" s="292"/>
    </row>
    <row r="223" spans="1:14" ht="13.5" customHeight="1">
      <c r="A223" s="254">
        <f t="shared" si="11"/>
        <v>0</v>
      </c>
      <c r="B223" s="343" t="str">
        <f>IF('05-Slabs'!B15="","",'05-Slabs'!B15)</f>
        <v/>
      </c>
      <c r="C223" s="344" t="str">
        <f>IF('05-Slabs'!F15="","",'05-Slabs'!F15)</f>
        <v/>
      </c>
      <c r="D223" s="345" t="str">
        <f>IF('05-Slabs'!D15="","",'05-Slabs'!D15)</f>
        <v/>
      </c>
      <c r="E223" s="254" t="s">
        <v>868</v>
      </c>
      <c r="F223" s="254"/>
      <c r="G223" s="254"/>
      <c r="H223" s="254"/>
      <c r="I223" s="254"/>
      <c r="J223" s="254"/>
      <c r="K223" s="292"/>
    </row>
    <row r="224" spans="1:14" ht="13.5" customHeight="1">
      <c r="A224" s="254">
        <f t="shared" si="11"/>
        <v>0</v>
      </c>
      <c r="B224" s="343" t="str">
        <f>IF('05-Slabs'!B16="","",'05-Slabs'!B16)</f>
        <v/>
      </c>
      <c r="C224" s="344" t="str">
        <f>IF('05-Slabs'!F16="","",'05-Slabs'!F16)</f>
        <v/>
      </c>
      <c r="D224" s="345" t="str">
        <f>IF('05-Slabs'!D16="","",'05-Slabs'!D16)</f>
        <v/>
      </c>
      <c r="E224" s="254" t="s">
        <v>868</v>
      </c>
      <c r="F224" s="254"/>
      <c r="G224" s="254"/>
      <c r="H224" s="254"/>
      <c r="I224" s="254"/>
      <c r="J224" s="254"/>
      <c r="K224" s="292"/>
    </row>
    <row r="225" spans="1:11" ht="13.5" customHeight="1">
      <c r="A225" s="254">
        <f t="shared" si="11"/>
        <v>0</v>
      </c>
      <c r="B225" s="343" t="str">
        <f>IF('05-Slabs'!B17="","",'05-Slabs'!B17)</f>
        <v/>
      </c>
      <c r="C225" s="344" t="str">
        <f>IF('05-Slabs'!F17="","",'05-Slabs'!F17)</f>
        <v/>
      </c>
      <c r="D225" s="345" t="str">
        <f>IF('05-Slabs'!D17="","",'05-Slabs'!D17)</f>
        <v/>
      </c>
      <c r="E225" s="254" t="s">
        <v>868</v>
      </c>
      <c r="F225" s="254"/>
      <c r="G225" s="254"/>
      <c r="H225" s="254"/>
      <c r="I225" s="254"/>
      <c r="J225" s="254"/>
      <c r="K225" s="292"/>
    </row>
    <row r="226" spans="1:11" ht="13.5" customHeight="1">
      <c r="A226" s="254">
        <f t="shared" si="11"/>
        <v>0</v>
      </c>
      <c r="B226" s="343" t="str">
        <f>IF('05-Slabs'!B18="","",'05-Slabs'!B18)</f>
        <v/>
      </c>
      <c r="C226" s="344" t="str">
        <f>IF('05-Slabs'!F18="","",'05-Slabs'!F18)</f>
        <v/>
      </c>
      <c r="D226" s="345" t="str">
        <f>IF('05-Slabs'!D18="","",'05-Slabs'!D18)</f>
        <v/>
      </c>
      <c r="E226" s="254" t="s">
        <v>868</v>
      </c>
      <c r="F226" s="254"/>
      <c r="G226" s="254"/>
      <c r="H226" s="254"/>
      <c r="I226" s="254"/>
      <c r="J226" s="254"/>
      <c r="K226" s="292"/>
    </row>
    <row r="227" spans="1:11" ht="13.5" customHeight="1">
      <c r="A227" s="254">
        <f t="shared" si="11"/>
        <v>0</v>
      </c>
      <c r="B227" s="343" t="str">
        <f>IF('05-Slabs'!B19="","",'05-Slabs'!B19)</f>
        <v/>
      </c>
      <c r="C227" s="344" t="str">
        <f>IF('05-Slabs'!F19="","",'05-Slabs'!F19)</f>
        <v/>
      </c>
      <c r="D227" s="345" t="str">
        <f>IF('05-Slabs'!D19="","",'05-Slabs'!D19)</f>
        <v/>
      </c>
      <c r="E227" s="254" t="s">
        <v>868</v>
      </c>
      <c r="F227" s="254"/>
      <c r="G227" s="254"/>
      <c r="H227" s="254"/>
      <c r="I227" s="254"/>
      <c r="J227" s="254"/>
      <c r="K227" s="292"/>
    </row>
    <row r="228" spans="1:11" ht="13.5" customHeight="1">
      <c r="A228" s="254">
        <f t="shared" si="11"/>
        <v>0</v>
      </c>
      <c r="B228" s="343" t="str">
        <f>IF('05-Slabs'!B20="","",'05-Slabs'!B20)</f>
        <v/>
      </c>
      <c r="C228" s="344" t="str">
        <f>IF('05-Slabs'!F20="","",'05-Slabs'!F20)</f>
        <v/>
      </c>
      <c r="D228" s="345" t="str">
        <f>IF('05-Slabs'!D20="","",'05-Slabs'!D20)</f>
        <v/>
      </c>
      <c r="E228" s="254" t="s">
        <v>868</v>
      </c>
      <c r="F228" s="254"/>
      <c r="G228" s="254"/>
      <c r="H228" s="254"/>
      <c r="I228" s="254"/>
      <c r="J228" s="254"/>
      <c r="K228" s="292"/>
    </row>
    <row r="229" spans="1:11" ht="13.5" customHeight="1">
      <c r="A229" s="254">
        <f t="shared" si="11"/>
        <v>0</v>
      </c>
      <c r="B229" s="343" t="str">
        <f>IF('05-Slabs'!B21="","",'05-Slabs'!B21)</f>
        <v/>
      </c>
      <c r="C229" s="344" t="str">
        <f>IF('05-Slabs'!F21="","",'05-Slabs'!F21)</f>
        <v/>
      </c>
      <c r="D229" s="345" t="str">
        <f>IF('05-Slabs'!D21="","",'05-Slabs'!D21)</f>
        <v/>
      </c>
      <c r="E229" s="254" t="s">
        <v>868</v>
      </c>
      <c r="F229" s="254"/>
      <c r="G229" s="254"/>
      <c r="H229" s="254"/>
      <c r="I229" s="254"/>
      <c r="J229" s="254"/>
      <c r="K229" s="292"/>
    </row>
    <row r="230" spans="1:11" ht="13.5" customHeight="1">
      <c r="A230" s="254">
        <f t="shared" si="11"/>
        <v>0</v>
      </c>
      <c r="B230" s="343" t="str">
        <f>IF('05-Slabs'!B22="","",'05-Slabs'!B22)</f>
        <v/>
      </c>
      <c r="C230" s="344" t="str">
        <f>IF('05-Slabs'!F22="","",'05-Slabs'!F22)</f>
        <v/>
      </c>
      <c r="D230" s="345" t="str">
        <f>IF('05-Slabs'!D22="","",'05-Slabs'!D22)</f>
        <v/>
      </c>
      <c r="E230" s="254" t="s">
        <v>868</v>
      </c>
      <c r="F230" s="254"/>
      <c r="G230" s="254"/>
      <c r="H230" s="254"/>
      <c r="I230" s="254"/>
      <c r="J230" s="254"/>
      <c r="K230" s="292"/>
    </row>
    <row r="231" spans="1:11" ht="13.5" customHeight="1">
      <c r="A231" s="254">
        <f t="shared" si="11"/>
        <v>0</v>
      </c>
      <c r="B231" s="343" t="str">
        <f>IF('05-Slabs'!B23="","",'05-Slabs'!B23)</f>
        <v/>
      </c>
      <c r="C231" s="344" t="str">
        <f>IF('05-Slabs'!F23="","",'05-Slabs'!F23)</f>
        <v/>
      </c>
      <c r="D231" s="345" t="str">
        <f>IF('05-Slabs'!D23="","",'05-Slabs'!D23)</f>
        <v/>
      </c>
      <c r="E231" s="254" t="s">
        <v>868</v>
      </c>
      <c r="F231" s="254"/>
      <c r="G231" s="254"/>
      <c r="H231" s="254"/>
      <c r="I231" s="254"/>
      <c r="J231" s="254"/>
      <c r="K231" s="292"/>
    </row>
    <row r="232" spans="1:11" ht="13.5" customHeight="1">
      <c r="A232" s="254">
        <f t="shared" si="11"/>
        <v>0</v>
      </c>
      <c r="B232" s="343" t="str">
        <f>IF('05-Slabs'!B24="","",'05-Slabs'!B24)</f>
        <v/>
      </c>
      <c r="C232" s="344" t="str">
        <f>IF('05-Slabs'!F24="","",'05-Slabs'!F24)</f>
        <v/>
      </c>
      <c r="D232" s="345" t="str">
        <f>IF('05-Slabs'!D24="","",'05-Slabs'!D24)</f>
        <v/>
      </c>
      <c r="E232" s="254" t="s">
        <v>868</v>
      </c>
      <c r="F232" s="254"/>
      <c r="G232" s="254"/>
      <c r="H232" s="254"/>
      <c r="I232" s="254"/>
      <c r="J232" s="254"/>
      <c r="K232" s="292"/>
    </row>
    <row r="233" spans="1:11" ht="13.5" customHeight="1">
      <c r="A233" s="254">
        <f t="shared" si="11"/>
        <v>0</v>
      </c>
      <c r="B233" s="343" t="str">
        <f>IF('05-Slabs'!B25="","",'05-Slabs'!B25)</f>
        <v/>
      </c>
      <c r="C233" s="344" t="str">
        <f>IF('05-Slabs'!F25="","",'05-Slabs'!F25)</f>
        <v/>
      </c>
      <c r="D233" s="345" t="str">
        <f>IF('05-Slabs'!D25="","",'05-Slabs'!D25)</f>
        <v/>
      </c>
      <c r="E233" s="254" t="s">
        <v>868</v>
      </c>
      <c r="F233" s="254"/>
      <c r="G233" s="254"/>
      <c r="H233" s="254"/>
      <c r="I233" s="254"/>
      <c r="J233" s="254"/>
      <c r="K233" s="292"/>
    </row>
    <row r="234" spans="1:11" ht="13.5" customHeight="1">
      <c r="A234" s="254">
        <f t="shared" si="11"/>
        <v>0</v>
      </c>
      <c r="B234" s="343" t="str">
        <f>IF('05-Slabs'!B26="","",'05-Slabs'!B26)</f>
        <v/>
      </c>
      <c r="C234" s="344" t="str">
        <f>IF('05-Slabs'!F26="","",'05-Slabs'!F26)</f>
        <v/>
      </c>
      <c r="D234" s="345" t="str">
        <f>IF('05-Slabs'!D26="","",'05-Slabs'!D26)</f>
        <v/>
      </c>
      <c r="E234" s="254" t="s">
        <v>868</v>
      </c>
      <c r="F234" s="254"/>
      <c r="G234" s="254"/>
      <c r="H234" s="254"/>
      <c r="I234" s="254"/>
      <c r="J234" s="254"/>
      <c r="K234" s="292"/>
    </row>
    <row r="235" spans="1:11" ht="13.5" customHeight="1">
      <c r="A235" s="254">
        <f t="shared" si="11"/>
        <v>0</v>
      </c>
      <c r="B235" s="343" t="str">
        <f>IF('05-Slabs'!B27="","",'05-Slabs'!B27)</f>
        <v/>
      </c>
      <c r="C235" s="344" t="str">
        <f>IF('05-Slabs'!F27="","",'05-Slabs'!F27)</f>
        <v/>
      </c>
      <c r="D235" s="345" t="str">
        <f>IF('05-Slabs'!D27="","",'05-Slabs'!D27)</f>
        <v/>
      </c>
      <c r="E235" s="254" t="s">
        <v>868</v>
      </c>
      <c r="F235" s="254"/>
      <c r="G235" s="254"/>
      <c r="H235" s="254"/>
      <c r="I235" s="254"/>
      <c r="J235" s="254"/>
      <c r="K235" s="292"/>
    </row>
    <row r="236" spans="1:11" ht="13.5" customHeight="1">
      <c r="A236" s="254">
        <f t="shared" si="11"/>
        <v>0</v>
      </c>
      <c r="B236" s="343" t="str">
        <f>IF('05-Slabs'!B28="","",'05-Slabs'!B28)</f>
        <v/>
      </c>
      <c r="C236" s="344" t="str">
        <f>IF('05-Slabs'!F28="","",'05-Slabs'!F28)</f>
        <v/>
      </c>
      <c r="D236" s="345" t="str">
        <f>IF('05-Slabs'!D28="","",'05-Slabs'!D28)</f>
        <v/>
      </c>
      <c r="E236" s="254" t="s">
        <v>868</v>
      </c>
      <c r="F236" s="254"/>
      <c r="G236" s="254"/>
      <c r="H236" s="254"/>
      <c r="I236" s="254"/>
      <c r="J236" s="254"/>
      <c r="K236" s="292"/>
    </row>
    <row r="237" spans="1:11" ht="13.5" customHeight="1">
      <c r="A237" s="254">
        <f t="shared" si="11"/>
        <v>0</v>
      </c>
      <c r="B237" s="343" t="str">
        <f>IF('05-Slabs'!B29="","",'05-Slabs'!B29)</f>
        <v/>
      </c>
      <c r="C237" s="344" t="str">
        <f>IF('05-Slabs'!F29="","",'05-Slabs'!F29)</f>
        <v/>
      </c>
      <c r="D237" s="345" t="str">
        <f>IF('05-Slabs'!D29="","",'05-Slabs'!D29)</f>
        <v/>
      </c>
      <c r="E237" s="254" t="s">
        <v>868</v>
      </c>
      <c r="F237" s="254"/>
      <c r="G237" s="254"/>
      <c r="H237" s="254"/>
      <c r="I237" s="254"/>
      <c r="J237" s="254"/>
      <c r="K237" s="292"/>
    </row>
    <row r="238" spans="1:11" ht="13.5" customHeight="1">
      <c r="A238" s="254">
        <f t="shared" si="11"/>
        <v>0</v>
      </c>
      <c r="B238" s="343" t="str">
        <f>IF('05-Slabs'!B30="","",'05-Slabs'!B30)</f>
        <v/>
      </c>
      <c r="C238" s="344" t="str">
        <f>IF('05-Slabs'!F30="","",'05-Slabs'!F30)</f>
        <v/>
      </c>
      <c r="D238" s="345" t="str">
        <f>IF('05-Slabs'!D30="","",'05-Slabs'!D30)</f>
        <v/>
      </c>
      <c r="E238" s="254" t="s">
        <v>868</v>
      </c>
      <c r="F238" s="254"/>
      <c r="G238" s="254"/>
      <c r="H238" s="254"/>
      <c r="I238" s="254"/>
      <c r="J238" s="254"/>
      <c r="K238" s="292"/>
    </row>
    <row r="239" spans="1:11" ht="13.5" customHeight="1">
      <c r="A239" s="254">
        <f t="shared" si="11"/>
        <v>0</v>
      </c>
      <c r="B239" s="343" t="str">
        <f>IF('05-Slabs'!B31="","",'05-Slabs'!B31)</f>
        <v/>
      </c>
      <c r="C239" s="344" t="str">
        <f>IF('05-Slabs'!F31="","",'05-Slabs'!F31)</f>
        <v/>
      </c>
      <c r="D239" s="345" t="str">
        <f>IF('05-Slabs'!D31="","",'05-Slabs'!D31)</f>
        <v/>
      </c>
      <c r="E239" s="254" t="s">
        <v>868</v>
      </c>
      <c r="F239" s="254"/>
      <c r="G239" s="254"/>
      <c r="H239" s="254"/>
      <c r="I239" s="254"/>
      <c r="J239" s="254"/>
      <c r="K239" s="292"/>
    </row>
    <row r="240" spans="1:11" ht="13.5" customHeight="1">
      <c r="A240" s="254">
        <f t="shared" si="11"/>
        <v>0</v>
      </c>
      <c r="B240" s="343" t="str">
        <f>IF('05-Slabs'!B32="","",'05-Slabs'!B32)</f>
        <v/>
      </c>
      <c r="C240" s="344" t="str">
        <f>IF('05-Slabs'!F32="","",'05-Slabs'!F32)</f>
        <v/>
      </c>
      <c r="D240" s="345" t="str">
        <f>IF('05-Slabs'!D32="","",'05-Slabs'!D32)</f>
        <v/>
      </c>
      <c r="E240" s="254" t="s">
        <v>868</v>
      </c>
      <c r="F240" s="254"/>
      <c r="G240" s="254"/>
      <c r="H240" s="254"/>
      <c r="I240" s="254"/>
      <c r="J240" s="254"/>
      <c r="K240" s="292"/>
    </row>
    <row r="241" spans="1:12" ht="13.5" customHeight="1">
      <c r="A241" s="254">
        <f t="shared" si="11"/>
        <v>0</v>
      </c>
      <c r="B241" s="343" t="str">
        <f>IF('05-Slabs'!B33="","",'05-Slabs'!B33)</f>
        <v/>
      </c>
      <c r="C241" s="344" t="str">
        <f>IF('05-Slabs'!F33="","",'05-Slabs'!F33)</f>
        <v/>
      </c>
      <c r="D241" s="345" t="str">
        <f>IF('05-Slabs'!D33="","",'05-Slabs'!D33)</f>
        <v/>
      </c>
      <c r="E241" s="254" t="s">
        <v>868</v>
      </c>
      <c r="F241" s="254"/>
      <c r="G241" s="254"/>
      <c r="H241" s="254"/>
      <c r="I241" s="254"/>
      <c r="J241" s="254"/>
      <c r="K241" s="292"/>
    </row>
    <row r="242" spans="1:12" ht="13.5" customHeight="1">
      <c r="A242" s="254">
        <f t="shared" si="11"/>
        <v>0</v>
      </c>
      <c r="B242" s="343" t="str">
        <f>IF('05-Slabs'!B34="","",'05-Slabs'!B34)</f>
        <v/>
      </c>
      <c r="C242" s="344" t="str">
        <f>IF('05-Slabs'!F34="","",'05-Slabs'!F34)</f>
        <v/>
      </c>
      <c r="D242" s="345" t="str">
        <f>IF('05-Slabs'!D34="","",'05-Slabs'!D34)</f>
        <v/>
      </c>
      <c r="E242" s="254" t="s">
        <v>868</v>
      </c>
      <c r="F242" s="254"/>
      <c r="G242" s="254"/>
      <c r="H242" s="254"/>
      <c r="I242" s="254"/>
      <c r="J242" s="254"/>
      <c r="K242" s="292"/>
    </row>
    <row r="243" spans="1:12" ht="13.5" customHeight="1">
      <c r="A243" s="254">
        <f t="shared" si="11"/>
        <v>0</v>
      </c>
      <c r="B243" s="343" t="str">
        <f>IF('05-Slabs'!B35="","",'05-Slabs'!B35)</f>
        <v/>
      </c>
      <c r="C243" s="344" t="str">
        <f>IF('05-Slabs'!F35="","",'05-Slabs'!F35)</f>
        <v/>
      </c>
      <c r="D243" s="345" t="str">
        <f>IF('05-Slabs'!D35="","",'05-Slabs'!D35)</f>
        <v/>
      </c>
      <c r="E243" s="254" t="s">
        <v>868</v>
      </c>
      <c r="F243" s="254"/>
      <c r="G243" s="254"/>
      <c r="H243" s="254"/>
      <c r="I243" s="254"/>
      <c r="J243" s="254"/>
      <c r="K243" s="292"/>
    </row>
    <row r="244" spans="1:12" ht="13.5" customHeight="1">
      <c r="A244" s="254">
        <f t="shared" si="11"/>
        <v>0</v>
      </c>
      <c r="B244" s="343" t="str">
        <f>IF('05-Slabs'!B36="","",'05-Slabs'!B36)</f>
        <v/>
      </c>
      <c r="C244" s="344" t="str">
        <f>IF('05-Slabs'!F36="","",'05-Slabs'!F36)</f>
        <v/>
      </c>
      <c r="D244" s="345" t="str">
        <f>IF('05-Slabs'!D36="","",'05-Slabs'!D36)</f>
        <v/>
      </c>
      <c r="E244" s="254" t="s">
        <v>868</v>
      </c>
      <c r="F244" s="254"/>
      <c r="G244" s="254"/>
      <c r="H244" s="254"/>
      <c r="I244" s="254"/>
      <c r="J244" s="254"/>
      <c r="K244" s="292"/>
    </row>
    <row r="245" spans="1:12" ht="13.5" customHeight="1">
      <c r="A245" s="254">
        <f t="shared" si="11"/>
        <v>0</v>
      </c>
      <c r="B245" s="343" t="str">
        <f>IF('05-Slabs'!B37="","",'05-Slabs'!B37)</f>
        <v/>
      </c>
      <c r="C245" s="344" t="str">
        <f>IF('05-Slabs'!F37="","",'05-Slabs'!F37)</f>
        <v/>
      </c>
      <c r="D245" s="345" t="str">
        <f>IF('05-Slabs'!D37="","",'05-Slabs'!D37)</f>
        <v/>
      </c>
      <c r="E245" s="254" t="s">
        <v>868</v>
      </c>
      <c r="F245" s="254"/>
      <c r="G245" s="254"/>
      <c r="H245" s="254"/>
      <c r="I245" s="254"/>
      <c r="J245" s="254"/>
      <c r="K245" s="292"/>
    </row>
    <row r="246" spans="1:12" ht="13.5" customHeight="1">
      <c r="A246" s="254">
        <f t="shared" si="11"/>
        <v>0</v>
      </c>
      <c r="B246" s="343" t="str">
        <f>IF('05-Slabs'!B38="","",'05-Slabs'!B38)</f>
        <v/>
      </c>
      <c r="C246" s="344" t="str">
        <f>IF('05-Slabs'!F38="","",'05-Slabs'!F38)</f>
        <v/>
      </c>
      <c r="D246" s="345" t="str">
        <f>IF('05-Slabs'!D38="","",'05-Slabs'!D38)</f>
        <v/>
      </c>
      <c r="E246" s="254" t="s">
        <v>868</v>
      </c>
      <c r="F246" s="254"/>
      <c r="G246" s="254"/>
      <c r="H246" s="254"/>
      <c r="I246" s="254"/>
      <c r="J246" s="254"/>
      <c r="K246" s="292"/>
    </row>
    <row r="247" spans="1:12" ht="13.5" customHeight="1">
      <c r="A247" s="254">
        <f t="shared" si="11"/>
        <v>0</v>
      </c>
      <c r="B247" s="343" t="str">
        <f>IF('05-Slabs'!B39="","",'05-Slabs'!B39)</f>
        <v/>
      </c>
      <c r="C247" s="344" t="str">
        <f>IF('05-Slabs'!F39="","",'05-Slabs'!F39)</f>
        <v/>
      </c>
      <c r="D247" s="345" t="str">
        <f>IF('05-Slabs'!D39="","",'05-Slabs'!D39)</f>
        <v/>
      </c>
      <c r="E247" s="254" t="s">
        <v>868</v>
      </c>
      <c r="F247" s="254"/>
      <c r="G247" s="254"/>
      <c r="H247" s="254"/>
      <c r="I247" s="254"/>
      <c r="J247" s="254"/>
      <c r="K247" s="292"/>
    </row>
    <row r="248" spans="1:12" ht="13.5" customHeight="1">
      <c r="A248" s="254">
        <f t="shared" si="11"/>
        <v>0</v>
      </c>
      <c r="B248" s="343" t="str">
        <f>IF('05-Slabs'!B40="","",'05-Slabs'!B40)</f>
        <v/>
      </c>
      <c r="C248" s="344" t="str">
        <f>IF('05-Slabs'!F40="","",'05-Slabs'!F40)</f>
        <v/>
      </c>
      <c r="D248" s="345" t="str">
        <f>IF('05-Slabs'!D40="","",'05-Slabs'!D40)</f>
        <v/>
      </c>
      <c r="E248" s="254" t="s">
        <v>868</v>
      </c>
      <c r="F248" s="254"/>
      <c r="G248" s="254"/>
      <c r="H248" s="254"/>
      <c r="I248" s="254"/>
      <c r="J248" s="254"/>
      <c r="K248" s="292"/>
    </row>
    <row r="249" spans="1:12" ht="13.5" customHeight="1">
      <c r="A249" s="254">
        <f t="shared" si="11"/>
        <v>0</v>
      </c>
      <c r="B249" s="343" t="str">
        <f>IF('05-Slabs'!B41="","",'05-Slabs'!B41)</f>
        <v/>
      </c>
      <c r="C249" s="344" t="str">
        <f>IF('05-Slabs'!F41="","",'05-Slabs'!F41)</f>
        <v/>
      </c>
      <c r="D249" s="345" t="str">
        <f>IF('05-Slabs'!D41="","",'05-Slabs'!D41)</f>
        <v/>
      </c>
      <c r="E249" s="254" t="s">
        <v>868</v>
      </c>
      <c r="F249" s="254"/>
      <c r="G249" s="254"/>
      <c r="H249" s="254"/>
      <c r="I249" s="254"/>
      <c r="J249" s="254"/>
      <c r="K249" s="292"/>
    </row>
    <row r="250" spans="1:12" ht="13.5" customHeight="1">
      <c r="A250" s="254">
        <f t="shared" ref="A250:A256" si="12">IF(SUM(A$218:A$249)&gt;0,1,0)</f>
        <v>0</v>
      </c>
      <c r="B250" s="302"/>
      <c r="C250" s="255" t="s">
        <v>860</v>
      </c>
      <c r="D250" s="349">
        <f>SUM(D218:D237)</f>
        <v>0</v>
      </c>
      <c r="E250" s="254" t="s">
        <v>861</v>
      </c>
      <c r="F250" s="254" t="s">
        <v>862</v>
      </c>
      <c r="G250" s="350" t="e">
        <f>C216/D250</f>
        <v>#DIV/0!</v>
      </c>
      <c r="H250" s="254" t="s">
        <v>863</v>
      </c>
      <c r="I250" s="254"/>
      <c r="J250" s="254"/>
      <c r="K250" s="292"/>
      <c r="L250">
        <f>IF(K250="incl",0,K250)</f>
        <v>0</v>
      </c>
    </row>
    <row r="251" spans="1:12" ht="13.5" customHeight="1">
      <c r="A251">
        <f t="shared" si="12"/>
        <v>0</v>
      </c>
      <c r="B251" s="302"/>
      <c r="C251" s="255"/>
      <c r="D251" s="332"/>
      <c r="E251" s="254"/>
      <c r="F251" s="254"/>
      <c r="G251" s="350"/>
      <c r="H251" s="254"/>
      <c r="I251" s="254"/>
      <c r="J251" s="254"/>
      <c r="K251" s="292"/>
    </row>
    <row r="252" spans="1:12" ht="13.5" customHeight="1">
      <c r="A252">
        <f t="shared" si="12"/>
        <v>0</v>
      </c>
      <c r="B252" s="340" t="s">
        <v>840</v>
      </c>
      <c r="C252" s="254"/>
      <c r="D252" s="254"/>
      <c r="E252" s="254"/>
      <c r="F252" s="254"/>
      <c r="G252" s="254"/>
      <c r="H252" s="254"/>
      <c r="I252" s="254"/>
      <c r="J252" s="254"/>
      <c r="K252" s="281"/>
      <c r="L252">
        <f>IF(K252="incl",0,K252)</f>
        <v>0</v>
      </c>
    </row>
    <row r="253" spans="1:12" ht="13.5" customHeight="1">
      <c r="A253">
        <f t="shared" si="12"/>
        <v>0</v>
      </c>
      <c r="B253" s="254" t="s">
        <v>869</v>
      </c>
      <c r="D253" s="254"/>
      <c r="E253" s="254"/>
      <c r="F253" s="254"/>
      <c r="K253" s="254"/>
      <c r="L253">
        <f>IF(K253="incl",0,K253)</f>
        <v>0</v>
      </c>
    </row>
    <row r="254" spans="1:12" ht="13.5" customHeight="1">
      <c r="A254">
        <f t="shared" si="12"/>
        <v>0</v>
      </c>
      <c r="B254" s="254" t="s">
        <v>865</v>
      </c>
      <c r="C254" s="254"/>
      <c r="D254" s="254"/>
      <c r="E254" s="254"/>
      <c r="F254" s="254"/>
      <c r="G254" s="254"/>
      <c r="H254" s="254"/>
      <c r="I254" s="254"/>
      <c r="J254" s="254"/>
      <c r="K254" s="254"/>
      <c r="L254">
        <f>IF(K254="incl",0,K254)</f>
        <v>0</v>
      </c>
    </row>
    <row r="255" spans="1:12" ht="13.5" customHeight="1">
      <c r="A255">
        <f t="shared" si="12"/>
        <v>0</v>
      </c>
      <c r="B255" s="298" t="s">
        <v>843</v>
      </c>
      <c r="C255" s="254"/>
      <c r="D255" s="254"/>
      <c r="E255" s="254"/>
      <c r="F255" s="254"/>
      <c r="G255" s="254"/>
      <c r="H255" s="254"/>
      <c r="I255" s="254"/>
      <c r="J255" s="254"/>
      <c r="K255" s="254"/>
      <c r="L255">
        <f>IF(K255="incl",0,K255)</f>
        <v>0</v>
      </c>
    </row>
    <row r="256" spans="1:12" ht="13.5" customHeight="1">
      <c r="A256">
        <f t="shared" si="12"/>
        <v>0</v>
      </c>
      <c r="B256" s="254" t="s">
        <v>870</v>
      </c>
      <c r="C256" s="254"/>
      <c r="D256" s="254"/>
      <c r="E256" s="254"/>
      <c r="F256" s="254"/>
      <c r="G256" s="254"/>
      <c r="H256" s="254"/>
      <c r="I256" s="254"/>
      <c r="J256" s="254"/>
      <c r="K256" s="254"/>
    </row>
    <row r="257" spans="1:14" ht="13.5" customHeight="1">
      <c r="A257">
        <v>0</v>
      </c>
      <c r="B257" s="254"/>
      <c r="C257" s="254"/>
      <c r="D257" s="254"/>
      <c r="E257" s="255"/>
      <c r="F257" s="254"/>
      <c r="G257" s="254"/>
      <c r="H257" s="254"/>
      <c r="I257" s="254"/>
      <c r="J257" s="254"/>
      <c r="K257" s="254"/>
    </row>
    <row r="258" spans="1:14" ht="13.5" customHeight="1">
      <c r="A258">
        <v>1</v>
      </c>
      <c r="B258" s="254"/>
      <c r="C258" s="254"/>
      <c r="D258" s="254"/>
      <c r="E258" s="254"/>
      <c r="F258" s="254"/>
      <c r="G258" s="254"/>
      <c r="H258" s="254"/>
      <c r="I258" s="254"/>
      <c r="K258" s="254"/>
    </row>
    <row r="259" spans="1:14" ht="19.5" customHeight="1">
      <c r="A259" s="319">
        <f>IF(SUM(A$260:A$285)&gt;0,1,0)</f>
        <v>1</v>
      </c>
      <c r="B259" s="294" t="s">
        <v>871</v>
      </c>
      <c r="C259" s="2896">
        <f>'06-Walls &amp; Footings'!D40</f>
        <v>238839.54404178288</v>
      </c>
      <c r="D259" s="2896"/>
      <c r="E259" s="330"/>
      <c r="F259" s="330"/>
      <c r="G259" s="320"/>
      <c r="H259" s="320"/>
      <c r="I259" s="331"/>
      <c r="J259" s="331"/>
      <c r="K259" s="320"/>
      <c r="L259">
        <f>IF(K294="incl",0,K294)</f>
        <v>0</v>
      </c>
      <c r="N259" s="273">
        <f>'06-Walls &amp; Footings'!D40</f>
        <v>238839.54404178288</v>
      </c>
    </row>
    <row r="260" spans="1:14" ht="13.5" customHeight="1">
      <c r="A260">
        <f t="shared" ref="A260:A285" si="13">IF(B260="",0,1)</f>
        <v>0</v>
      </c>
      <c r="B260" s="285" t="str">
        <f>IF(D260=0,"",'06-Walls &amp; Footings'!A10)</f>
        <v/>
      </c>
      <c r="C260" s="254"/>
      <c r="D260" s="327">
        <f>'06-Walls &amp; Footings'!E10</f>
        <v>0</v>
      </c>
      <c r="E260" s="254" t="s">
        <v>836</v>
      </c>
      <c r="F260" s="254"/>
      <c r="G260" s="332"/>
      <c r="H260" s="254"/>
      <c r="I260" s="333"/>
      <c r="J260" s="333"/>
      <c r="K260" s="293"/>
      <c r="L260">
        <f>IF(K295="incl",0,K295)</f>
        <v>0</v>
      </c>
    </row>
    <row r="261" spans="1:14" ht="13.5" customHeight="1">
      <c r="A261">
        <f t="shared" si="13"/>
        <v>1</v>
      </c>
      <c r="B261" s="285">
        <f>IF(D261=0,"",'06-Walls &amp; Footings'!A11)</f>
        <v>0</v>
      </c>
      <c r="C261" s="254"/>
      <c r="D261" s="327">
        <f>'06-Walls &amp; Footings'!E11</f>
        <v>135</v>
      </c>
      <c r="E261" s="254" t="s">
        <v>836</v>
      </c>
      <c r="G261" s="334"/>
      <c r="J261" s="333"/>
      <c r="L261">
        <f>IF(K296="incl",0,K296)</f>
        <v>0</v>
      </c>
    </row>
    <row r="262" spans="1:14" ht="13.5" customHeight="1">
      <c r="A262">
        <f t="shared" si="13"/>
        <v>0</v>
      </c>
      <c r="B262" s="285" t="str">
        <f>IF(D262=0,"",'06-Walls &amp; Footings'!A12)</f>
        <v/>
      </c>
      <c r="C262" s="254"/>
      <c r="D262" s="327">
        <f>'06-Walls &amp; Footings'!E12</f>
        <v>0</v>
      </c>
      <c r="E262" s="254" t="s">
        <v>836</v>
      </c>
      <c r="G262" s="334"/>
      <c r="J262" s="333"/>
    </row>
    <row r="263" spans="1:14" ht="13.5" customHeight="1">
      <c r="A263">
        <f t="shared" si="13"/>
        <v>1</v>
      </c>
      <c r="B263" s="285">
        <f>IF(D263=0,"",'06-Walls &amp; Footings'!A13)</f>
        <v>0</v>
      </c>
      <c r="C263" s="254"/>
      <c r="D263" s="327">
        <f>'06-Walls &amp; Footings'!E13</f>
        <v>57</v>
      </c>
      <c r="E263" s="254" t="s">
        <v>836</v>
      </c>
      <c r="G263" s="334"/>
      <c r="J263" s="333"/>
      <c r="K263" s="351"/>
    </row>
    <row r="264" spans="1:14" ht="13.5" customHeight="1">
      <c r="A264">
        <f t="shared" si="13"/>
        <v>1</v>
      </c>
      <c r="B264" s="285">
        <f>IF(D264=0,"",'06-Walls &amp; Footings'!A14)</f>
        <v>0</v>
      </c>
      <c r="C264" s="254"/>
      <c r="D264" s="327">
        <f>'06-Walls &amp; Footings'!E14</f>
        <v>28</v>
      </c>
      <c r="E264" s="254" t="s">
        <v>836</v>
      </c>
      <c r="G264" s="334"/>
      <c r="J264" s="333" t="s">
        <v>872</v>
      </c>
      <c r="K264" s="353">
        <f>'06-Walls &amp; Footings'!C44</f>
        <v>0</v>
      </c>
    </row>
    <row r="265" spans="1:14" ht="13.5" customHeight="1">
      <c r="A265">
        <f t="shared" si="13"/>
        <v>1</v>
      </c>
      <c r="B265" s="285">
        <f>IF(D265=0,"",'06-Walls &amp; Footings'!A15)</f>
        <v>0</v>
      </c>
      <c r="C265" s="254"/>
      <c r="D265" s="327">
        <f>'06-Walls &amp; Footings'!E15</f>
        <v>65</v>
      </c>
      <c r="E265" s="254" t="s">
        <v>836</v>
      </c>
      <c r="G265" s="334"/>
      <c r="J265" s="333"/>
      <c r="K265" s="353"/>
    </row>
    <row r="266" spans="1:14" ht="13.5" customHeight="1">
      <c r="A266">
        <f t="shared" si="13"/>
        <v>1</v>
      </c>
      <c r="B266" s="285">
        <f>IF(D266=0,"",'06-Walls &amp; Footings'!A16)</f>
        <v>0</v>
      </c>
      <c r="C266" s="254"/>
      <c r="D266" s="327">
        <f>'06-Walls &amp; Footings'!E16</f>
        <v>32</v>
      </c>
      <c r="E266" s="254" t="str">
        <f t="shared" ref="E266:E285" si="14">IF(D266="","","LF")</f>
        <v>LF</v>
      </c>
      <c r="G266" s="334"/>
      <c r="J266" s="333"/>
      <c r="K266" s="353"/>
    </row>
    <row r="267" spans="1:14" ht="13.5" customHeight="1">
      <c r="A267">
        <f t="shared" si="13"/>
        <v>1</v>
      </c>
      <c r="B267" s="285">
        <f>IF(D267=0,"",'06-Walls &amp; Footings'!A17)</f>
        <v>0</v>
      </c>
      <c r="C267" s="254"/>
      <c r="D267" s="327">
        <f>'06-Walls &amp; Footings'!E17</f>
        <v>32</v>
      </c>
      <c r="E267" s="254" t="str">
        <f t="shared" si="14"/>
        <v>LF</v>
      </c>
      <c r="G267" s="334"/>
      <c r="J267" s="333"/>
      <c r="K267" s="353"/>
    </row>
    <row r="268" spans="1:14" ht="13.5" customHeight="1">
      <c r="A268">
        <f t="shared" si="13"/>
        <v>1</v>
      </c>
      <c r="B268" s="285">
        <f>IF(D268=0,"",'06-Walls &amp; Footings'!A18)</f>
        <v>0</v>
      </c>
      <c r="C268" s="254"/>
      <c r="D268" s="327">
        <f>'06-Walls &amp; Footings'!E18</f>
        <v>32</v>
      </c>
      <c r="E268" s="254" t="str">
        <f t="shared" si="14"/>
        <v>LF</v>
      </c>
      <c r="G268" s="334"/>
      <c r="J268" s="333"/>
      <c r="K268" s="353"/>
    </row>
    <row r="269" spans="1:14" ht="13.5" customHeight="1">
      <c r="A269">
        <f t="shared" si="13"/>
        <v>1</v>
      </c>
      <c r="B269" s="285">
        <f>IF(D269=0,"",'06-Walls &amp; Footings'!A19)</f>
        <v>0</v>
      </c>
      <c r="C269" s="254"/>
      <c r="D269" s="327">
        <f>'06-Walls &amp; Footings'!E19</f>
        <v>32</v>
      </c>
      <c r="E269" s="254" t="str">
        <f t="shared" si="14"/>
        <v>LF</v>
      </c>
      <c r="J269" s="333"/>
      <c r="K269" s="353"/>
      <c r="L269">
        <f>IF(K460="incl",0,K460)</f>
        <v>0</v>
      </c>
    </row>
    <row r="270" spans="1:14" ht="13.5" customHeight="1">
      <c r="A270">
        <f t="shared" si="13"/>
        <v>1</v>
      </c>
      <c r="B270" s="285">
        <f>IF(D270=0,"",'06-Walls &amp; Footings'!A20)</f>
        <v>0</v>
      </c>
      <c r="C270" s="254"/>
      <c r="D270" s="327">
        <f>'06-Walls &amp; Footings'!E20</f>
        <v>32</v>
      </c>
      <c r="E270" s="254" t="str">
        <f t="shared" si="14"/>
        <v>LF</v>
      </c>
      <c r="J270" s="333"/>
      <c r="K270" s="353"/>
    </row>
    <row r="271" spans="1:14" ht="13.5" customHeight="1">
      <c r="A271">
        <f t="shared" si="13"/>
        <v>1</v>
      </c>
      <c r="B271" s="285">
        <f>IF(D271=0,"",'06-Walls &amp; Footings'!A21)</f>
        <v>0</v>
      </c>
      <c r="C271" s="254"/>
      <c r="D271" s="327">
        <f>'06-Walls &amp; Footings'!E21</f>
        <v>32</v>
      </c>
      <c r="E271" s="254" t="str">
        <f t="shared" si="14"/>
        <v>LF</v>
      </c>
      <c r="J271" s="333"/>
      <c r="K271" s="353"/>
      <c r="L271">
        <f>IF(K306="incl",0,K306)</f>
        <v>0</v>
      </c>
    </row>
    <row r="272" spans="1:14" ht="13.5" customHeight="1">
      <c r="A272">
        <f t="shared" si="13"/>
        <v>1</v>
      </c>
      <c r="B272" s="285">
        <f>IF(D272=0,"",'06-Walls &amp; Footings'!A22)</f>
        <v>0</v>
      </c>
      <c r="C272" s="254"/>
      <c r="D272" s="327">
        <f>'06-Walls &amp; Footings'!E22</f>
        <v>32</v>
      </c>
      <c r="E272" s="254" t="str">
        <f t="shared" si="14"/>
        <v>LF</v>
      </c>
      <c r="J272" s="333"/>
      <c r="K272" s="353"/>
    </row>
    <row r="273" spans="1:12" ht="13.5" customHeight="1">
      <c r="A273">
        <f t="shared" si="13"/>
        <v>1</v>
      </c>
      <c r="B273" s="285">
        <f>IF(D273=0,"",'06-Walls &amp; Footings'!A23)</f>
        <v>0</v>
      </c>
      <c r="C273" s="254"/>
      <c r="D273" s="327">
        <f>'06-Walls &amp; Footings'!E23</f>
        <v>32</v>
      </c>
      <c r="E273" s="254" t="str">
        <f t="shared" si="14"/>
        <v>LF</v>
      </c>
      <c r="J273" s="333"/>
      <c r="K273" s="353"/>
    </row>
    <row r="274" spans="1:12" ht="13.5" customHeight="1">
      <c r="A274">
        <f t="shared" si="13"/>
        <v>1</v>
      </c>
      <c r="B274" s="285">
        <f>IF(D274=0,"",'06-Walls &amp; Footings'!A24)</f>
        <v>0</v>
      </c>
      <c r="C274" s="254"/>
      <c r="D274" s="327">
        <f>'06-Walls &amp; Footings'!E24</f>
        <v>32</v>
      </c>
      <c r="E274" s="254" t="str">
        <f t="shared" si="14"/>
        <v>LF</v>
      </c>
      <c r="J274" s="333"/>
      <c r="K274" s="353"/>
    </row>
    <row r="275" spans="1:12" ht="13.5" customHeight="1">
      <c r="A275">
        <f t="shared" si="13"/>
        <v>1</v>
      </c>
      <c r="B275" s="285">
        <f>IF(D275=0,"",'06-Walls &amp; Footings'!A25)</f>
        <v>0</v>
      </c>
      <c r="C275" s="254"/>
      <c r="D275" s="327">
        <f>'06-Walls &amp; Footings'!E25</f>
        <v>26</v>
      </c>
      <c r="E275" s="254" t="str">
        <f t="shared" si="14"/>
        <v>LF</v>
      </c>
      <c r="G275" s="334"/>
      <c r="J275" s="333"/>
      <c r="K275" s="353"/>
    </row>
    <row r="276" spans="1:12" ht="13.5" customHeight="1">
      <c r="A276">
        <f t="shared" si="13"/>
        <v>1</v>
      </c>
      <c r="B276" s="285">
        <f>IF(D276=0,"",'06-Walls &amp; Footings'!A26)</f>
        <v>0</v>
      </c>
      <c r="C276" s="254"/>
      <c r="D276" s="327">
        <f>'06-Walls &amp; Footings'!E26</f>
        <v>38</v>
      </c>
      <c r="E276" s="254" t="str">
        <f t="shared" si="14"/>
        <v>LF</v>
      </c>
      <c r="F276" s="254"/>
      <c r="G276" s="332"/>
      <c r="H276" s="254"/>
      <c r="I276" s="335"/>
      <c r="J276" s="333" t="s">
        <v>873</v>
      </c>
      <c r="K276" s="353">
        <f>'06-Walls &amp; Footings'!C45</f>
        <v>0</v>
      </c>
    </row>
    <row r="277" spans="1:12" ht="13.5" customHeight="1">
      <c r="A277">
        <f t="shared" si="13"/>
        <v>1</v>
      </c>
      <c r="B277" s="285">
        <f>IF(D277=0,"",'06-Walls &amp; Footings'!A27)</f>
        <v>0</v>
      </c>
      <c r="C277" s="254"/>
      <c r="D277" s="327">
        <f>'06-Walls &amp; Footings'!E27</f>
        <v>15</v>
      </c>
      <c r="E277" s="254" t="str">
        <f t="shared" si="14"/>
        <v>LF</v>
      </c>
      <c r="G277" s="334"/>
      <c r="J277" s="333"/>
    </row>
    <row r="278" spans="1:12" ht="13.5" customHeight="1">
      <c r="A278">
        <f t="shared" si="13"/>
        <v>0</v>
      </c>
      <c r="B278" s="285" t="str">
        <f>IF(D278=0,"",'06-Walls &amp; Footings'!A28)</f>
        <v/>
      </c>
      <c r="C278" s="254"/>
      <c r="D278" s="327">
        <f>'06-Walls &amp; Footings'!E28</f>
        <v>0</v>
      </c>
      <c r="E278" s="254" t="str">
        <f t="shared" si="14"/>
        <v>LF</v>
      </c>
      <c r="J278" s="333"/>
    </row>
    <row r="279" spans="1:12" ht="13.5" customHeight="1">
      <c r="A279">
        <f t="shared" si="13"/>
        <v>0</v>
      </c>
      <c r="B279" s="285" t="str">
        <f>IF(D279=0,"",'06-Walls &amp; Footings'!A29)</f>
        <v/>
      </c>
      <c r="C279" s="254"/>
      <c r="D279" s="327">
        <f>'06-Walls &amp; Footings'!E29</f>
        <v>0</v>
      </c>
      <c r="E279" s="254" t="str">
        <f t="shared" si="14"/>
        <v>LF</v>
      </c>
      <c r="J279" s="333"/>
      <c r="L279">
        <f>IF(K464="incl",0,K464)</f>
        <v>0</v>
      </c>
    </row>
    <row r="280" spans="1:12" ht="13.5" customHeight="1">
      <c r="A280">
        <f t="shared" si="13"/>
        <v>0</v>
      </c>
      <c r="B280" s="285" t="str">
        <f>IF(D280=0,"",'06-Walls &amp; Footings'!A30)</f>
        <v/>
      </c>
      <c r="C280" s="254"/>
      <c r="D280" s="327">
        <f>'06-Walls &amp; Footings'!E30</f>
        <v>0</v>
      </c>
      <c r="E280" s="254" t="str">
        <f t="shared" si="14"/>
        <v>LF</v>
      </c>
      <c r="J280" s="333"/>
    </row>
    <row r="281" spans="1:12" ht="13.5" customHeight="1">
      <c r="A281">
        <f t="shared" si="13"/>
        <v>0</v>
      </c>
      <c r="B281" s="285" t="str">
        <f>IF(D281=0,"",'06-Walls &amp; Footings'!A31)</f>
        <v/>
      </c>
      <c r="C281" s="254"/>
      <c r="D281" s="327">
        <f>'06-Walls &amp; Footings'!E31</f>
        <v>0</v>
      </c>
      <c r="E281" s="254" t="str">
        <f t="shared" si="14"/>
        <v>LF</v>
      </c>
      <c r="J281" s="333"/>
    </row>
    <row r="282" spans="1:12" ht="13.5" customHeight="1">
      <c r="A282">
        <f t="shared" si="13"/>
        <v>0</v>
      </c>
      <c r="B282" s="285" t="str">
        <f>IF(D282=0,"",'06-Walls &amp; Footings'!A32)</f>
        <v/>
      </c>
      <c r="C282" s="254"/>
      <c r="D282" s="327">
        <f>'06-Walls &amp; Footings'!E32</f>
        <v>0</v>
      </c>
      <c r="E282" s="254" t="str">
        <f t="shared" si="14"/>
        <v>LF</v>
      </c>
      <c r="J282" s="333"/>
    </row>
    <row r="283" spans="1:12" ht="13.5" customHeight="1">
      <c r="A283">
        <f t="shared" si="13"/>
        <v>0</v>
      </c>
      <c r="B283" s="285" t="str">
        <f>IF(D283=0,"",'06-Walls &amp; Footings'!A33)</f>
        <v/>
      </c>
      <c r="C283" s="254"/>
      <c r="D283" s="327">
        <f>'06-Walls &amp; Footings'!E33</f>
        <v>0</v>
      </c>
      <c r="E283" s="254" t="str">
        <f t="shared" si="14"/>
        <v>LF</v>
      </c>
      <c r="J283" s="333"/>
    </row>
    <row r="284" spans="1:12" ht="13.5" customHeight="1">
      <c r="A284">
        <f t="shared" si="13"/>
        <v>0</v>
      </c>
      <c r="B284" s="285" t="str">
        <f>IF(D284=0,"",'06-Walls &amp; Footings'!A34)</f>
        <v/>
      </c>
      <c r="C284" s="254"/>
      <c r="D284" s="327">
        <f>'06-Walls &amp; Footings'!E34</f>
        <v>0</v>
      </c>
      <c r="E284" s="254" t="str">
        <f t="shared" si="14"/>
        <v>LF</v>
      </c>
      <c r="G284" s="334"/>
      <c r="J284" s="333"/>
    </row>
    <row r="285" spans="1:12" ht="13.5" customHeight="1">
      <c r="A285">
        <f t="shared" si="13"/>
        <v>0</v>
      </c>
      <c r="B285" s="285" t="str">
        <f>IF(D285=0,"",'06-Walls &amp; Footings'!A35)</f>
        <v/>
      </c>
      <c r="C285" s="254"/>
      <c r="D285" s="327">
        <f>'06-Walls &amp; Footings'!E35</f>
        <v>0</v>
      </c>
      <c r="E285" s="254" t="str">
        <f t="shared" si="14"/>
        <v>LF</v>
      </c>
      <c r="F285" s="254"/>
      <c r="G285" s="332"/>
      <c r="H285" s="254"/>
      <c r="I285" s="335"/>
      <c r="J285" s="333"/>
      <c r="K285" s="336"/>
      <c r="L285">
        <f>IF(K487="incl",0,K487)</f>
        <v>0</v>
      </c>
    </row>
    <row r="286" spans="1:12" ht="13.5" customHeight="1">
      <c r="A286" s="319">
        <f t="shared" ref="A286:A293" si="15">IF(SUM(A$260:A$285)&gt;0,1,0)</f>
        <v>1</v>
      </c>
      <c r="B286" s="254" t="s">
        <v>874</v>
      </c>
      <c r="D286" s="337">
        <f>SUM(D260:D285)</f>
        <v>652</v>
      </c>
      <c r="E286" s="254" t="s">
        <v>836</v>
      </c>
      <c r="F286" s="338"/>
      <c r="G286" s="339"/>
      <c r="J286" s="333"/>
    </row>
    <row r="287" spans="1:12" ht="13.5" customHeight="1">
      <c r="A287" s="319">
        <f t="shared" si="15"/>
        <v>1</v>
      </c>
      <c r="B287" s="254"/>
      <c r="C287" s="254"/>
      <c r="D287" s="323"/>
      <c r="E287" s="254"/>
      <c r="F287" s="254"/>
      <c r="G287" s="254"/>
      <c r="H287" s="254"/>
      <c r="I287" s="254"/>
      <c r="J287" s="333"/>
      <c r="K287" s="254"/>
    </row>
    <row r="288" spans="1:12" ht="13.5" customHeight="1">
      <c r="A288" s="319">
        <f t="shared" si="15"/>
        <v>1</v>
      </c>
      <c r="B288" s="340" t="s">
        <v>840</v>
      </c>
      <c r="C288" s="254"/>
      <c r="D288" s="323"/>
      <c r="E288" s="254"/>
      <c r="F288" s="254"/>
      <c r="G288" s="254"/>
      <c r="H288" s="254"/>
      <c r="I288" s="254"/>
      <c r="J288" s="254"/>
      <c r="K288" s="281"/>
    </row>
    <row r="289" spans="1:14" ht="13.5" customHeight="1">
      <c r="A289" s="319">
        <f t="shared" si="15"/>
        <v>1</v>
      </c>
      <c r="B289" s="254" t="s">
        <v>875</v>
      </c>
      <c r="D289" s="254"/>
      <c r="E289" s="254"/>
      <c r="F289" s="254"/>
      <c r="K289" s="254"/>
      <c r="L289">
        <f>IF(K324="incl",0,K324)</f>
        <v>0</v>
      </c>
    </row>
    <row r="290" spans="1:14" ht="13.5" customHeight="1">
      <c r="A290" s="319">
        <f t="shared" si="15"/>
        <v>1</v>
      </c>
      <c r="B290" s="254" t="s">
        <v>876</v>
      </c>
      <c r="E290" s="268"/>
      <c r="L290">
        <f>IF(K325="incl",0,K325)</f>
        <v>0</v>
      </c>
    </row>
    <row r="291" spans="1:14" ht="13.5" customHeight="1">
      <c r="A291" s="319">
        <f t="shared" si="15"/>
        <v>1</v>
      </c>
      <c r="B291" s="298" t="s">
        <v>843</v>
      </c>
      <c r="C291" s="254"/>
      <c r="D291" s="254"/>
      <c r="E291" s="254"/>
      <c r="F291" s="254"/>
      <c r="K291" s="254"/>
      <c r="L291">
        <f>IF(K326="incl",0,K326)</f>
        <v>0</v>
      </c>
    </row>
    <row r="292" spans="1:14" ht="13.5" customHeight="1">
      <c r="A292" s="319">
        <f t="shared" si="15"/>
        <v>1</v>
      </c>
      <c r="B292" s="254" t="s">
        <v>856</v>
      </c>
      <c r="C292" s="254"/>
      <c r="D292" s="255"/>
      <c r="E292" s="254"/>
      <c r="F292" s="254"/>
      <c r="G292" s="254"/>
      <c r="H292" s="254"/>
      <c r="I292" s="254"/>
      <c r="J292" s="254"/>
      <c r="K292" s="254"/>
      <c r="L292" t="e">
        <f>IF(#REF!="incl",0,#REF!)</f>
        <v>#REF!</v>
      </c>
    </row>
    <row r="293" spans="1:14" ht="13.5" customHeight="1">
      <c r="A293" s="319">
        <f t="shared" si="15"/>
        <v>1</v>
      </c>
      <c r="B293" s="254"/>
      <c r="C293" s="254"/>
      <c r="D293" s="255"/>
      <c r="E293" s="254"/>
      <c r="F293" s="254"/>
      <c r="G293" s="254"/>
      <c r="H293" s="254"/>
      <c r="I293" s="254"/>
      <c r="J293" s="254"/>
      <c r="K293" s="254"/>
      <c r="L293">
        <f>IF(K327="incl",0,K327)</f>
        <v>0</v>
      </c>
    </row>
    <row r="294" spans="1:14" ht="19.5" customHeight="1">
      <c r="A294">
        <f>IF(SUM(A$296:A$321)&gt;0,1,0)</f>
        <v>1</v>
      </c>
      <c r="B294" s="294" t="s">
        <v>877</v>
      </c>
      <c r="C294" s="2896">
        <f>'07-COLUMNS'!D58</f>
        <v>189680.510131321</v>
      </c>
      <c r="D294" s="2896"/>
      <c r="E294" s="330"/>
      <c r="F294" s="330"/>
      <c r="G294" s="320"/>
      <c r="H294" s="320"/>
      <c r="I294" s="331"/>
      <c r="J294" s="331"/>
      <c r="K294" s="320"/>
      <c r="L294">
        <f>IF(K328="incl",0,K328)</f>
        <v>0</v>
      </c>
      <c r="N294" s="273">
        <f>'07-COLUMNS'!D58</f>
        <v>189680.510131321</v>
      </c>
    </row>
    <row r="295" spans="1:14" ht="13.5" customHeight="1">
      <c r="A295">
        <f>IF(SUM(A$296:A$321)&gt;0,1,0)</f>
        <v>1</v>
      </c>
      <c r="B295" s="341" t="s">
        <v>847</v>
      </c>
      <c r="C295" s="342" t="s">
        <v>847</v>
      </c>
      <c r="D295" s="342" t="s">
        <v>835</v>
      </c>
      <c r="E295" s="342"/>
      <c r="K295" s="94"/>
    </row>
    <row r="296" spans="1:14" ht="13.5" customHeight="1">
      <c r="A296">
        <f t="shared" ref="A296:A321" si="16">IF(B296="",0,1)</f>
        <v>1</v>
      </c>
      <c r="B296" s="302" t="str">
        <f>IF('07-COLUMNS'!A10="","",'07-COLUMNS'!A10)</f>
        <v>C1</v>
      </c>
      <c r="C296" s="292"/>
      <c r="D296" s="327">
        <f>IF('07-COLUMNS'!D10="","",'07-COLUMNS'!D10)</f>
        <v>38</v>
      </c>
      <c r="E296" s="254" t="s">
        <v>878</v>
      </c>
      <c r="F296" s="254"/>
      <c r="G296" s="254"/>
      <c r="H296" s="254"/>
      <c r="I296" s="254"/>
      <c r="J296" s="254"/>
      <c r="K296" s="354"/>
      <c r="L296">
        <f>IF(K330="incl",0,K330)</f>
        <v>0</v>
      </c>
    </row>
    <row r="297" spans="1:14" ht="13.5" customHeight="1">
      <c r="A297">
        <f t="shared" si="16"/>
        <v>1</v>
      </c>
      <c r="B297" s="302" t="str">
        <f>IF('07-COLUMNS'!A11="","",'07-COLUMNS'!A11)</f>
        <v>C2</v>
      </c>
      <c r="C297" s="292"/>
      <c r="D297" s="327">
        <f>IF('07-COLUMNS'!D11="","",'07-COLUMNS'!D11)</f>
        <v>23</v>
      </c>
      <c r="E297" s="254" t="s">
        <v>878</v>
      </c>
      <c r="F297" s="254"/>
      <c r="G297" s="254"/>
      <c r="H297" s="254"/>
      <c r="I297" s="254"/>
      <c r="J297" s="269"/>
      <c r="K297" s="354"/>
      <c r="L297">
        <f>IF(K331="incl",0,K331)</f>
        <v>0</v>
      </c>
    </row>
    <row r="298" spans="1:14" ht="13.5" customHeight="1">
      <c r="A298">
        <f t="shared" si="16"/>
        <v>1</v>
      </c>
      <c r="B298" s="302" t="str">
        <f>IF('07-COLUMNS'!A12="","",'07-COLUMNS'!A12)</f>
        <v>C3</v>
      </c>
      <c r="C298" s="292"/>
      <c r="D298" s="327">
        <f>IF('07-COLUMNS'!D12="","",'07-COLUMNS'!D12)</f>
        <v>1</v>
      </c>
      <c r="E298" s="254" t="str">
        <f t="shared" ref="E298:E321" si="17">IF(D298="","","ea")</f>
        <v>ea</v>
      </c>
      <c r="F298" s="254"/>
      <c r="G298" s="254"/>
      <c r="H298" s="254"/>
      <c r="I298" s="254"/>
      <c r="J298" s="269"/>
      <c r="K298" s="354"/>
      <c r="L298">
        <f>IF(K332="incl",0,K332)</f>
        <v>0</v>
      </c>
    </row>
    <row r="299" spans="1:14" ht="13.5" customHeight="1">
      <c r="A299">
        <f t="shared" si="16"/>
        <v>1</v>
      </c>
      <c r="B299" s="302" t="str">
        <f>IF('07-COLUMNS'!A13="","",'07-COLUMNS'!A13)</f>
        <v>C4</v>
      </c>
      <c r="C299" s="292"/>
      <c r="D299" s="327">
        <f>IF('07-COLUMNS'!D13="","",'07-COLUMNS'!D13)</f>
        <v>6</v>
      </c>
      <c r="E299" s="254" t="str">
        <f t="shared" si="17"/>
        <v>ea</v>
      </c>
      <c r="F299" s="254"/>
      <c r="G299" s="254"/>
      <c r="H299" s="254"/>
      <c r="I299" s="254"/>
      <c r="J299" s="269"/>
      <c r="K299" s="354"/>
    </row>
    <row r="300" spans="1:14" ht="13.5" customHeight="1">
      <c r="A300">
        <f t="shared" si="16"/>
        <v>0</v>
      </c>
      <c r="B300" s="302" t="str">
        <f>IF('07-COLUMNS'!A14="","",'07-COLUMNS'!A14)</f>
        <v/>
      </c>
      <c r="C300" s="292"/>
      <c r="D300" s="327" t="str">
        <f>IF('07-COLUMNS'!D14="","",'07-COLUMNS'!D14)</f>
        <v/>
      </c>
      <c r="E300" s="254" t="str">
        <f t="shared" si="17"/>
        <v/>
      </c>
      <c r="F300" s="254"/>
      <c r="G300" s="254"/>
      <c r="H300" s="254"/>
      <c r="I300" s="254"/>
      <c r="J300" s="269"/>
      <c r="K300" s="354"/>
    </row>
    <row r="301" spans="1:14" ht="13.5" customHeight="1">
      <c r="A301">
        <f t="shared" si="16"/>
        <v>0</v>
      </c>
      <c r="B301" s="302" t="str">
        <f>IF('07-COLUMNS'!A15="","",'07-COLUMNS'!A15)</f>
        <v/>
      </c>
      <c r="C301" s="292"/>
      <c r="D301" s="327" t="str">
        <f>IF('07-COLUMNS'!D15="","",'07-COLUMNS'!D15)</f>
        <v/>
      </c>
      <c r="E301" s="254" t="str">
        <f t="shared" si="17"/>
        <v/>
      </c>
      <c r="F301" s="254"/>
      <c r="G301" s="254"/>
      <c r="H301" s="254"/>
      <c r="I301" s="254"/>
      <c r="J301" s="269"/>
      <c r="K301" s="354"/>
    </row>
    <row r="302" spans="1:14" ht="13.5" customHeight="1">
      <c r="A302">
        <f t="shared" si="16"/>
        <v>0</v>
      </c>
      <c r="B302" s="302" t="str">
        <f>IF('07-COLUMNS'!A16="","",'07-COLUMNS'!A16)</f>
        <v/>
      </c>
      <c r="C302" s="292"/>
      <c r="D302" s="327" t="str">
        <f>IF('07-COLUMNS'!D16="","",'07-COLUMNS'!D16)</f>
        <v/>
      </c>
      <c r="E302" s="254" t="str">
        <f t="shared" si="17"/>
        <v/>
      </c>
      <c r="F302" s="254"/>
      <c r="G302" s="254"/>
      <c r="H302" s="254"/>
      <c r="I302" s="254"/>
      <c r="J302" s="269"/>
      <c r="K302" s="354"/>
    </row>
    <row r="303" spans="1:14" ht="13.5" customHeight="1">
      <c r="A303">
        <f t="shared" si="16"/>
        <v>0</v>
      </c>
      <c r="B303" s="302" t="str">
        <f>IF('07-COLUMNS'!A17="","",'07-COLUMNS'!A17)</f>
        <v/>
      </c>
      <c r="C303" s="292"/>
      <c r="D303" s="327" t="str">
        <f>IF('07-COLUMNS'!D17="","",'07-COLUMNS'!D17)</f>
        <v/>
      </c>
      <c r="E303" s="254" t="str">
        <f t="shared" si="17"/>
        <v/>
      </c>
      <c r="F303" s="254"/>
      <c r="G303" s="254"/>
      <c r="H303" s="254"/>
      <c r="I303" s="254"/>
      <c r="J303" s="269"/>
      <c r="K303" s="354"/>
      <c r="L303">
        <f>IF(K337="incl",0,K337)</f>
        <v>0</v>
      </c>
    </row>
    <row r="304" spans="1:14" ht="13.5" customHeight="1">
      <c r="A304">
        <f t="shared" si="16"/>
        <v>0</v>
      </c>
      <c r="B304" s="302" t="str">
        <f>IF('07-COLUMNS'!A18="","",'07-COLUMNS'!A18)</f>
        <v/>
      </c>
      <c r="C304" s="292"/>
      <c r="D304" s="327" t="str">
        <f>IF('07-COLUMNS'!D18="","",'07-COLUMNS'!D18)</f>
        <v/>
      </c>
      <c r="E304" s="254" t="str">
        <f t="shared" si="17"/>
        <v/>
      </c>
      <c r="F304" s="254"/>
      <c r="G304" s="281"/>
      <c r="H304" s="293"/>
      <c r="K304" s="273"/>
    </row>
    <row r="305" spans="1:12" ht="13.5" customHeight="1">
      <c r="A305">
        <f t="shared" si="16"/>
        <v>0</v>
      </c>
      <c r="B305" s="302" t="str">
        <f>IF('07-COLUMNS'!A19="","",'07-COLUMNS'!A19)</f>
        <v/>
      </c>
      <c r="C305" s="292"/>
      <c r="D305" s="327" t="str">
        <f>IF('07-COLUMNS'!D19="","",'07-COLUMNS'!D19)</f>
        <v/>
      </c>
      <c r="E305" s="254" t="str">
        <f t="shared" si="17"/>
        <v/>
      </c>
      <c r="F305" s="254"/>
      <c r="G305" s="281"/>
      <c r="H305" s="293"/>
      <c r="K305" s="273"/>
    </row>
    <row r="306" spans="1:12" ht="13.5" customHeight="1">
      <c r="A306">
        <f t="shared" si="16"/>
        <v>0</v>
      </c>
      <c r="B306" s="302" t="str">
        <f>IF('07-COLUMNS'!A20="","",'07-COLUMNS'!A20)</f>
        <v/>
      </c>
      <c r="C306" s="292"/>
      <c r="D306" s="327" t="str">
        <f>IF('07-COLUMNS'!D20="","",'07-COLUMNS'!D20)</f>
        <v/>
      </c>
      <c r="E306" s="254" t="str">
        <f t="shared" si="17"/>
        <v/>
      </c>
      <c r="F306" s="254"/>
      <c r="G306" s="254"/>
      <c r="H306" s="254"/>
      <c r="I306" s="254"/>
      <c r="J306" s="269"/>
      <c r="K306" s="354"/>
    </row>
    <row r="307" spans="1:12" ht="13.5" customHeight="1">
      <c r="A307">
        <f t="shared" si="16"/>
        <v>0</v>
      </c>
      <c r="B307" s="302" t="str">
        <f>IF('07-COLUMNS'!A21="","",'07-COLUMNS'!A21)</f>
        <v/>
      </c>
      <c r="C307" s="292"/>
      <c r="D307" s="327" t="str">
        <f>IF('07-COLUMNS'!D21="","",'07-COLUMNS'!D21)</f>
        <v/>
      </c>
      <c r="E307" s="254" t="str">
        <f t="shared" si="17"/>
        <v/>
      </c>
      <c r="F307" s="254"/>
      <c r="G307" s="254"/>
      <c r="H307" s="254"/>
      <c r="I307" s="254"/>
      <c r="J307" s="269"/>
      <c r="K307" s="354"/>
    </row>
    <row r="308" spans="1:12" ht="13.5" customHeight="1">
      <c r="A308">
        <f t="shared" si="16"/>
        <v>0</v>
      </c>
      <c r="B308" s="302" t="str">
        <f>IF('07-COLUMNS'!A22="","",'07-COLUMNS'!A22)</f>
        <v/>
      </c>
      <c r="C308" s="292"/>
      <c r="D308" s="327" t="str">
        <f>IF('07-COLUMNS'!D22="","",'07-COLUMNS'!D22)</f>
        <v/>
      </c>
      <c r="E308" s="254" t="str">
        <f t="shared" si="17"/>
        <v/>
      </c>
      <c r="F308" s="254"/>
      <c r="G308" s="254"/>
      <c r="H308" s="254"/>
      <c r="I308" s="254"/>
      <c r="J308" s="269"/>
      <c r="K308" s="354"/>
      <c r="L308">
        <f>IF(K342="incl",0,K342)</f>
        <v>0</v>
      </c>
    </row>
    <row r="309" spans="1:12" ht="13.5" customHeight="1">
      <c r="A309">
        <f t="shared" si="16"/>
        <v>0</v>
      </c>
      <c r="B309" s="302" t="str">
        <f>IF('07-COLUMNS'!A23="","",'07-COLUMNS'!A23)</f>
        <v/>
      </c>
      <c r="C309" s="292"/>
      <c r="D309" s="327" t="str">
        <f>IF('07-COLUMNS'!D23="","",'07-COLUMNS'!D23)</f>
        <v/>
      </c>
      <c r="E309" s="254" t="str">
        <f t="shared" si="17"/>
        <v/>
      </c>
      <c r="F309" s="254"/>
      <c r="G309" s="254"/>
      <c r="H309" s="254"/>
      <c r="I309" s="254"/>
      <c r="J309" s="269"/>
      <c r="K309" s="354"/>
    </row>
    <row r="310" spans="1:12" ht="13.5" customHeight="1">
      <c r="A310">
        <f t="shared" si="16"/>
        <v>0</v>
      </c>
      <c r="B310" s="302" t="str">
        <f>IF('07-COLUMNS'!A24="","",'07-COLUMNS'!A24)</f>
        <v/>
      </c>
      <c r="C310" s="292"/>
      <c r="D310" s="327" t="str">
        <f>IF('07-COLUMNS'!D24="","",'07-COLUMNS'!D24)</f>
        <v/>
      </c>
      <c r="E310" s="254" t="str">
        <f t="shared" si="17"/>
        <v/>
      </c>
      <c r="F310" s="254"/>
      <c r="G310" s="254"/>
      <c r="H310" s="254"/>
      <c r="I310" s="254"/>
      <c r="J310" s="269"/>
      <c r="K310" s="292"/>
    </row>
    <row r="311" spans="1:12" ht="13.5" customHeight="1">
      <c r="A311">
        <f t="shared" si="16"/>
        <v>0</v>
      </c>
      <c r="B311" s="302" t="str">
        <f>IF('07-COLUMNS'!A25="","",'07-COLUMNS'!A25)</f>
        <v/>
      </c>
      <c r="C311" s="292"/>
      <c r="D311" s="327" t="str">
        <f>IF('07-COLUMNS'!D25="","",'07-COLUMNS'!D25)</f>
        <v/>
      </c>
      <c r="E311" s="254" t="str">
        <f t="shared" si="17"/>
        <v/>
      </c>
      <c r="F311" s="254"/>
      <c r="G311" s="254"/>
      <c r="H311" s="254"/>
      <c r="I311" s="254"/>
      <c r="J311" s="269"/>
      <c r="K311" s="292"/>
    </row>
    <row r="312" spans="1:12" ht="13.5" customHeight="1">
      <c r="A312">
        <f t="shared" si="16"/>
        <v>0</v>
      </c>
      <c r="B312" s="302" t="str">
        <f>IF('07-COLUMNS'!A26="","",'07-COLUMNS'!A26)</f>
        <v/>
      </c>
      <c r="C312" s="292"/>
      <c r="D312" s="327" t="str">
        <f>IF('07-COLUMNS'!D26="","",'07-COLUMNS'!D26)</f>
        <v/>
      </c>
      <c r="E312" s="254" t="str">
        <f t="shared" si="17"/>
        <v/>
      </c>
      <c r="F312" s="254"/>
      <c r="G312" s="254"/>
      <c r="H312" s="254"/>
      <c r="I312" s="254"/>
      <c r="J312" s="269"/>
      <c r="K312" s="292"/>
      <c r="L312">
        <f>IF(K346="incl",0,K346)</f>
        <v>0</v>
      </c>
    </row>
    <row r="313" spans="1:12" ht="13.5" customHeight="1">
      <c r="A313">
        <f t="shared" si="16"/>
        <v>0</v>
      </c>
      <c r="B313" s="302" t="str">
        <f>IF('07-COLUMNS'!A27="","",'07-COLUMNS'!A27)</f>
        <v/>
      </c>
      <c r="C313" s="292"/>
      <c r="D313" s="327" t="str">
        <f>IF('07-COLUMNS'!D27="","",'07-COLUMNS'!D27)</f>
        <v/>
      </c>
      <c r="E313" s="254" t="str">
        <f t="shared" si="17"/>
        <v/>
      </c>
      <c r="F313" s="254"/>
      <c r="G313" s="254"/>
      <c r="H313" s="254"/>
      <c r="I313" s="254"/>
      <c r="J313" s="269"/>
      <c r="K313" s="292"/>
    </row>
    <row r="314" spans="1:12" ht="13.5" customHeight="1">
      <c r="A314">
        <f t="shared" si="16"/>
        <v>0</v>
      </c>
      <c r="B314" s="302" t="str">
        <f>IF('07-COLUMNS'!A46="","",'07-COLUMNS'!A46)</f>
        <v/>
      </c>
      <c r="C314" s="292"/>
      <c r="D314" s="327" t="str">
        <f>IF('07-COLUMNS'!D46="","",'07-COLUMNS'!D46)</f>
        <v/>
      </c>
      <c r="E314" s="254" t="str">
        <f t="shared" si="17"/>
        <v/>
      </c>
      <c r="F314" s="254"/>
      <c r="G314" s="281"/>
      <c r="H314" s="293"/>
    </row>
    <row r="315" spans="1:12" ht="13.5" customHeight="1">
      <c r="A315">
        <f t="shared" si="16"/>
        <v>0</v>
      </c>
      <c r="B315" s="302" t="str">
        <f>IF('07-COLUMNS'!A47="","",'07-COLUMNS'!A47)</f>
        <v/>
      </c>
      <c r="C315" s="292"/>
      <c r="D315" s="327" t="str">
        <f>IF('07-COLUMNS'!D47="","",'07-COLUMNS'!D47)</f>
        <v/>
      </c>
      <c r="E315" s="254" t="str">
        <f t="shared" si="17"/>
        <v/>
      </c>
      <c r="F315" s="254"/>
      <c r="G315" s="281"/>
      <c r="H315" s="293"/>
    </row>
    <row r="316" spans="1:12" ht="13.5" customHeight="1">
      <c r="A316">
        <f t="shared" si="16"/>
        <v>0</v>
      </c>
      <c r="B316" s="302" t="str">
        <f>IF('07-COLUMNS'!A48="","",'07-COLUMNS'!A48)</f>
        <v/>
      </c>
      <c r="C316" s="292"/>
      <c r="D316" s="327" t="str">
        <f>IF('07-COLUMNS'!D48="","",'07-COLUMNS'!D48)</f>
        <v/>
      </c>
      <c r="E316" s="254" t="str">
        <f t="shared" si="17"/>
        <v/>
      </c>
      <c r="F316" s="254"/>
      <c r="G316" s="254"/>
      <c r="H316" s="254"/>
      <c r="I316" s="254"/>
      <c r="J316" s="269"/>
      <c r="K316" s="292"/>
    </row>
    <row r="317" spans="1:12" ht="13.5" customHeight="1">
      <c r="A317">
        <f t="shared" si="16"/>
        <v>0</v>
      </c>
      <c r="B317" s="302" t="str">
        <f>IF('07-COLUMNS'!A49="","",'07-COLUMNS'!A49)</f>
        <v/>
      </c>
      <c r="C317" s="292"/>
      <c r="D317" s="327" t="str">
        <f>IF('07-COLUMNS'!D49="","",'07-COLUMNS'!D49)</f>
        <v/>
      </c>
      <c r="E317" s="254" t="str">
        <f t="shared" si="17"/>
        <v/>
      </c>
      <c r="F317" s="254"/>
      <c r="G317" s="254"/>
      <c r="H317" s="254"/>
      <c r="I317" s="254"/>
      <c r="J317" s="269"/>
      <c r="K317" s="292"/>
      <c r="L317">
        <f>IF(K351="incl",0,K351)</f>
        <v>0</v>
      </c>
    </row>
    <row r="318" spans="1:12" ht="13.5" customHeight="1">
      <c r="A318">
        <f t="shared" si="16"/>
        <v>0</v>
      </c>
      <c r="B318" s="302" t="str">
        <f>IF('07-COLUMNS'!A50="","",'07-COLUMNS'!A50)</f>
        <v/>
      </c>
      <c r="C318" s="292"/>
      <c r="D318" s="327" t="str">
        <f>IF('07-COLUMNS'!D50="","",'07-COLUMNS'!D50)</f>
        <v/>
      </c>
      <c r="E318" s="254" t="str">
        <f t="shared" si="17"/>
        <v/>
      </c>
      <c r="F318" s="254"/>
      <c r="G318" s="254"/>
      <c r="H318" s="254"/>
      <c r="I318" s="254"/>
      <c r="J318" s="269"/>
      <c r="K318" s="292"/>
    </row>
    <row r="319" spans="1:12" ht="13.5" customHeight="1">
      <c r="A319">
        <f t="shared" si="16"/>
        <v>0</v>
      </c>
      <c r="B319" s="302" t="str">
        <f>IF('07-COLUMNS'!A51="","",'07-COLUMNS'!A51)</f>
        <v/>
      </c>
      <c r="C319" s="292"/>
      <c r="D319" s="327" t="str">
        <f>IF('07-COLUMNS'!D51="","",'07-COLUMNS'!D51)</f>
        <v/>
      </c>
      <c r="E319" s="254" t="str">
        <f t="shared" si="17"/>
        <v/>
      </c>
      <c r="F319" s="254"/>
      <c r="G319" s="254"/>
      <c r="H319" s="254"/>
      <c r="I319" s="254"/>
      <c r="J319" s="269"/>
      <c r="K319" s="292"/>
    </row>
    <row r="320" spans="1:12" ht="13.5" customHeight="1">
      <c r="A320">
        <f t="shared" si="16"/>
        <v>0</v>
      </c>
      <c r="B320" s="302" t="str">
        <f>IF('07-COLUMNS'!A52="","",'07-COLUMNS'!A52)</f>
        <v/>
      </c>
      <c r="C320" s="292"/>
      <c r="D320" s="327" t="str">
        <f>IF('07-COLUMNS'!D52="","",'07-COLUMNS'!D52)</f>
        <v/>
      </c>
      <c r="E320" s="254" t="str">
        <f t="shared" si="17"/>
        <v/>
      </c>
      <c r="F320" s="254"/>
      <c r="G320" s="281"/>
      <c r="H320" s="293"/>
    </row>
    <row r="321" spans="1:12" ht="13.5" customHeight="1">
      <c r="A321">
        <f t="shared" si="16"/>
        <v>0</v>
      </c>
      <c r="B321" s="302" t="str">
        <f>IF('07-COLUMNS'!A53="","",'07-COLUMNS'!A53)</f>
        <v/>
      </c>
      <c r="C321" s="292"/>
      <c r="D321" s="327" t="str">
        <f>IF('07-COLUMNS'!D53="","",'07-COLUMNS'!D53)</f>
        <v/>
      </c>
      <c r="E321" s="254" t="str">
        <f t="shared" si="17"/>
        <v/>
      </c>
      <c r="F321" s="254"/>
      <c r="G321" s="281"/>
      <c r="H321" s="293"/>
    </row>
    <row r="322" spans="1:12" ht="13.5" customHeight="1">
      <c r="A322">
        <f t="shared" ref="A322:A329" si="18">IF(SUM(A$296:A$321)&gt;0,1,0)</f>
        <v>1</v>
      </c>
      <c r="B322" s="285"/>
      <c r="C322" s="254"/>
      <c r="D322" s="349">
        <f>SUM(D296:D321)</f>
        <v>68</v>
      </c>
      <c r="E322" s="254" t="s">
        <v>879</v>
      </c>
      <c r="F322" s="254"/>
      <c r="G322" s="254"/>
      <c r="H322" s="254"/>
      <c r="I322" s="254"/>
      <c r="J322" s="254"/>
      <c r="K322" s="254"/>
      <c r="L322">
        <f>IF(K356="incl",0,K356)</f>
        <v>0</v>
      </c>
    </row>
    <row r="323" spans="1:12" ht="13.5" customHeight="1">
      <c r="A323">
        <f t="shared" si="18"/>
        <v>1</v>
      </c>
      <c r="B323" s="285"/>
      <c r="C323" s="254"/>
      <c r="D323" s="332"/>
      <c r="E323" s="254"/>
      <c r="F323" s="254"/>
      <c r="G323" s="254"/>
      <c r="H323" s="254"/>
      <c r="I323" s="254"/>
      <c r="J323" s="254"/>
      <c r="K323" s="254"/>
    </row>
    <row r="324" spans="1:12" ht="13.5" customHeight="1">
      <c r="A324">
        <f t="shared" si="18"/>
        <v>1</v>
      </c>
      <c r="B324" s="340" t="s">
        <v>840</v>
      </c>
      <c r="C324" s="254"/>
      <c r="D324" s="254"/>
      <c r="E324" s="254"/>
      <c r="F324" s="254"/>
      <c r="G324" s="254"/>
      <c r="H324" s="254"/>
      <c r="I324" s="254"/>
      <c r="J324" s="254"/>
      <c r="K324" s="281"/>
    </row>
    <row r="325" spans="1:12" ht="13.5" customHeight="1">
      <c r="A325">
        <f t="shared" si="18"/>
        <v>1</v>
      </c>
      <c r="B325" s="254" t="s">
        <v>880</v>
      </c>
      <c r="D325" s="254"/>
      <c r="E325" s="254"/>
      <c r="F325" s="254"/>
      <c r="K325" s="254"/>
    </row>
    <row r="326" spans="1:12" ht="13.5" customHeight="1">
      <c r="A326">
        <f t="shared" si="18"/>
        <v>1</v>
      </c>
      <c r="B326" s="254" t="s">
        <v>881</v>
      </c>
      <c r="C326" s="254"/>
      <c r="D326" s="254"/>
      <c r="E326" s="254"/>
      <c r="F326" s="254"/>
      <c r="G326" s="254"/>
      <c r="H326" s="254"/>
      <c r="I326" s="254"/>
      <c r="J326" s="254"/>
      <c r="K326" s="254"/>
    </row>
    <row r="327" spans="1:12" ht="13.5" customHeight="1">
      <c r="A327">
        <f t="shared" si="18"/>
        <v>1</v>
      </c>
      <c r="B327" s="298" t="s">
        <v>843</v>
      </c>
      <c r="C327" s="254"/>
      <c r="D327" s="254"/>
      <c r="E327" s="254"/>
      <c r="F327" s="254"/>
      <c r="K327" s="254"/>
    </row>
    <row r="328" spans="1:12" ht="13.5" customHeight="1">
      <c r="A328">
        <f t="shared" si="18"/>
        <v>1</v>
      </c>
      <c r="B328" s="254" t="s">
        <v>882</v>
      </c>
      <c r="C328" s="254"/>
      <c r="D328" s="254"/>
      <c r="E328" s="254"/>
      <c r="F328" s="254"/>
      <c r="G328" s="254"/>
      <c r="H328" s="254"/>
      <c r="I328" s="254"/>
      <c r="J328" s="254"/>
      <c r="K328" s="254"/>
    </row>
    <row r="329" spans="1:12" ht="13.5" customHeight="1">
      <c r="A329">
        <f t="shared" si="18"/>
        <v>1</v>
      </c>
      <c r="B329" s="254"/>
      <c r="C329" s="254"/>
      <c r="D329" s="254"/>
      <c r="E329" s="254"/>
      <c r="F329" s="254"/>
      <c r="G329" s="254"/>
      <c r="H329" s="254"/>
      <c r="I329" s="254"/>
      <c r="J329" s="254"/>
      <c r="K329" s="254"/>
    </row>
    <row r="330" spans="1:12" ht="19.5" customHeight="1">
      <c r="A330" s="294">
        <f>IF(SUM(A$332:A$371)&gt;0,1,0)</f>
        <v>1</v>
      </c>
      <c r="B330" s="294" t="s">
        <v>883</v>
      </c>
      <c r="C330" s="2896">
        <f>'08-CIP EL. DECK'!D65</f>
        <v>1123421.385327864</v>
      </c>
      <c r="D330" s="2896"/>
      <c r="E330" s="330"/>
      <c r="F330" s="330"/>
      <c r="G330" s="320"/>
      <c r="H330" s="320"/>
      <c r="I330" s="331"/>
      <c r="J330" s="331"/>
      <c r="K330" s="320"/>
    </row>
    <row r="331" spans="1:12" ht="13.5" customHeight="1">
      <c r="A331">
        <f>IF(SUM(A$332:A$371)&gt;0,1,0)</f>
        <v>1</v>
      </c>
      <c r="B331" s="341" t="s">
        <v>847</v>
      </c>
      <c r="C331" s="342" t="s">
        <v>847</v>
      </c>
      <c r="D331" s="342" t="s">
        <v>835</v>
      </c>
      <c r="E331" s="342"/>
      <c r="K331" s="12"/>
    </row>
    <row r="332" spans="1:12" ht="13.5" customHeight="1">
      <c r="A332">
        <f t="shared" ref="A332:A371" si="19">IF(B332="",0,1)</f>
        <v>1</v>
      </c>
      <c r="B332" s="323" t="str">
        <f>IF('08-CIP EL. DECK'!A10="","",'08-CIP EL. DECK'!A10)</f>
        <v>level 2</v>
      </c>
      <c r="C332" s="292">
        <f>IF('08-CIP EL. DECK'!E10="","",'08-CIP EL. DECK'!E10)</f>
        <v>14</v>
      </c>
      <c r="D332" s="327">
        <f>IF('08-CIP EL. DECK'!C10="","",'08-CIP EL. DECK'!C10)</f>
        <v>10447</v>
      </c>
      <c r="E332" s="254" t="str">
        <f t="shared" ref="E332:E371" si="20">IF(D332="","","SqFt")</f>
        <v>SqFt</v>
      </c>
      <c r="F332" s="254"/>
      <c r="G332" s="254"/>
      <c r="H332" s="254"/>
      <c r="I332" s="254"/>
      <c r="J332" s="269"/>
      <c r="K332" s="354"/>
      <c r="L332">
        <f>IF(K367="incl",0,K367)</f>
        <v>0</v>
      </c>
    </row>
    <row r="333" spans="1:12" ht="13.5" customHeight="1">
      <c r="A333">
        <f t="shared" si="19"/>
        <v>1</v>
      </c>
      <c r="B333" s="323" t="str">
        <f>IF('08-CIP EL. DECK'!A11="","",'08-CIP EL. DECK'!A11)</f>
        <v>l</v>
      </c>
      <c r="C333" s="292" t="str">
        <f>IF('08-CIP EL. DECK'!E11="","",'08-CIP EL. DECK'!E11)</f>
        <v/>
      </c>
      <c r="D333" s="327" t="str">
        <f>IF('08-CIP EL. DECK'!C11="","",'08-CIP EL. DECK'!C11)</f>
        <v/>
      </c>
      <c r="E333" s="254" t="str">
        <f t="shared" si="20"/>
        <v/>
      </c>
      <c r="F333" s="254"/>
      <c r="G333" s="254"/>
      <c r="H333" s="254"/>
      <c r="I333" s="254"/>
      <c r="J333" s="254"/>
      <c r="K333" s="292"/>
    </row>
    <row r="334" spans="1:12" ht="13.5" customHeight="1">
      <c r="A334">
        <f t="shared" si="19"/>
        <v>1</v>
      </c>
      <c r="B334" s="323" t="str">
        <f>IF('08-CIP EL. DECK'!A12="","",'08-CIP EL. DECK'!A12)</f>
        <v>level 3</v>
      </c>
      <c r="C334" s="292">
        <f>IF('08-CIP EL. DECK'!E12="","",'08-CIP EL. DECK'!E12)</f>
        <v>14</v>
      </c>
      <c r="D334" s="327">
        <f>IF('08-CIP EL. DECK'!C12="","",'08-CIP EL. DECK'!C12)</f>
        <v>21653</v>
      </c>
      <c r="E334" s="254" t="str">
        <f t="shared" si="20"/>
        <v>SqFt</v>
      </c>
      <c r="F334" s="254"/>
      <c r="G334" s="254"/>
      <c r="H334" s="254"/>
      <c r="I334" s="254"/>
      <c r="J334" s="254"/>
      <c r="K334" s="354"/>
    </row>
    <row r="335" spans="1:12" ht="13.5" customHeight="1">
      <c r="A335">
        <f t="shared" si="19"/>
        <v>0</v>
      </c>
      <c r="B335" s="323" t="str">
        <f>IF('08-CIP EL. DECK'!A13="","",'08-CIP EL. DECK'!A13)</f>
        <v/>
      </c>
      <c r="C335" s="292" t="str">
        <f>IF('08-CIP EL. DECK'!E13="","",'08-CIP EL. DECK'!E13)</f>
        <v/>
      </c>
      <c r="D335" s="327" t="str">
        <f>IF('08-CIP EL. DECK'!C13="","",'08-CIP EL. DECK'!C13)</f>
        <v/>
      </c>
      <c r="E335" s="254" t="str">
        <f t="shared" si="20"/>
        <v/>
      </c>
      <c r="F335" s="254"/>
      <c r="G335" s="254"/>
      <c r="H335" s="254"/>
      <c r="I335" s="254"/>
      <c r="J335" s="254"/>
      <c r="K335" s="354"/>
    </row>
    <row r="336" spans="1:12" ht="13.5" customHeight="1">
      <c r="A336">
        <f t="shared" si="19"/>
        <v>0</v>
      </c>
      <c r="B336" s="323" t="str">
        <f>IF('08-CIP EL. DECK'!A14="","",'08-CIP EL. DECK'!A14)</f>
        <v/>
      </c>
      <c r="C336" s="292" t="str">
        <f>IF('08-CIP EL. DECK'!E14="","",'08-CIP EL. DECK'!E14)</f>
        <v/>
      </c>
      <c r="D336" s="327" t="str">
        <f>IF('08-CIP EL. DECK'!C14="","",'08-CIP EL. DECK'!C14)</f>
        <v/>
      </c>
      <c r="E336" s="254" t="str">
        <f t="shared" si="20"/>
        <v/>
      </c>
      <c r="F336" s="254"/>
      <c r="G336" s="254"/>
      <c r="H336" s="254"/>
      <c r="I336" s="254"/>
      <c r="J336" s="254"/>
      <c r="K336" s="354"/>
    </row>
    <row r="337" spans="1:12" ht="13.5" customHeight="1">
      <c r="A337">
        <f t="shared" si="19"/>
        <v>0</v>
      </c>
      <c r="B337" s="323" t="str">
        <f>IF('08-CIP EL. DECK'!A15="","",'08-CIP EL. DECK'!A15)</f>
        <v/>
      </c>
      <c r="C337" s="292" t="str">
        <f>IF('08-CIP EL. DECK'!E15="","",'08-CIP EL. DECK'!E15)</f>
        <v/>
      </c>
      <c r="D337" s="327" t="str">
        <f>IF('08-CIP EL. DECK'!C15="","",'08-CIP EL. DECK'!C15)</f>
        <v/>
      </c>
      <c r="E337" s="254" t="str">
        <f t="shared" si="20"/>
        <v/>
      </c>
      <c r="F337" s="254"/>
      <c r="G337" s="254"/>
      <c r="H337" s="254"/>
      <c r="I337" s="254"/>
      <c r="J337" s="254"/>
      <c r="K337" s="354"/>
    </row>
    <row r="338" spans="1:12" ht="13.5" customHeight="1">
      <c r="A338">
        <f t="shared" si="19"/>
        <v>0</v>
      </c>
      <c r="B338" s="323" t="str">
        <f>IF('08-CIP EL. DECK'!A16="","",'08-CIP EL. DECK'!A16)</f>
        <v/>
      </c>
      <c r="C338" s="292" t="str">
        <f>IF('08-CIP EL. DECK'!E16="","",'08-CIP EL. DECK'!E16)</f>
        <v/>
      </c>
      <c r="D338" s="327" t="str">
        <f>IF('08-CIP EL. DECK'!C16="","",'08-CIP EL. DECK'!C16)</f>
        <v/>
      </c>
      <c r="E338" s="254" t="str">
        <f t="shared" si="20"/>
        <v/>
      </c>
      <c r="F338" s="254"/>
      <c r="G338" s="254"/>
      <c r="H338" s="254"/>
      <c r="I338" s="254"/>
      <c r="J338" s="254"/>
      <c r="K338" s="354"/>
    </row>
    <row r="339" spans="1:12" ht="13.5" customHeight="1">
      <c r="A339">
        <f t="shared" si="19"/>
        <v>0</v>
      </c>
      <c r="B339" s="323" t="str">
        <f>IF('08-CIP EL. DECK'!A17="","",'08-CIP EL. DECK'!A17)</f>
        <v/>
      </c>
      <c r="C339" s="292" t="str">
        <f>IF('08-CIP EL. DECK'!E17="","",'08-CIP EL. DECK'!E17)</f>
        <v/>
      </c>
      <c r="D339" s="327" t="str">
        <f>IF('08-CIP EL. DECK'!C17="","",'08-CIP EL. DECK'!C17)</f>
        <v/>
      </c>
      <c r="E339" s="254" t="str">
        <f t="shared" si="20"/>
        <v/>
      </c>
      <c r="F339" s="254"/>
      <c r="G339" s="254"/>
      <c r="H339" s="254"/>
      <c r="I339" s="254"/>
      <c r="J339" s="254"/>
      <c r="K339" s="354"/>
    </row>
    <row r="340" spans="1:12" ht="13.5" customHeight="1">
      <c r="A340">
        <f t="shared" si="19"/>
        <v>0</v>
      </c>
      <c r="B340" s="323" t="str">
        <f>IF('08-CIP EL. DECK'!A18="","",'08-CIP EL. DECK'!A18)</f>
        <v/>
      </c>
      <c r="C340" s="292" t="str">
        <f>IF('08-CIP EL. DECK'!E18="","",'08-CIP EL. DECK'!E18)</f>
        <v/>
      </c>
      <c r="D340" s="327" t="str">
        <f>IF('08-CIP EL. DECK'!C18="","",'08-CIP EL. DECK'!C18)</f>
        <v/>
      </c>
      <c r="E340" s="254" t="str">
        <f t="shared" si="20"/>
        <v/>
      </c>
      <c r="F340" s="254"/>
      <c r="G340" s="254"/>
      <c r="H340" s="254"/>
      <c r="I340" s="254"/>
      <c r="J340" s="254"/>
      <c r="K340" s="354"/>
      <c r="L340">
        <f>IF(K542="incl",0,K542)</f>
        <v>0</v>
      </c>
    </row>
    <row r="341" spans="1:12" ht="13.5" customHeight="1">
      <c r="A341">
        <f t="shared" si="19"/>
        <v>0</v>
      </c>
      <c r="B341" s="323" t="str">
        <f>IF('08-CIP EL. DECK'!A19="","",'08-CIP EL. DECK'!A19)</f>
        <v/>
      </c>
      <c r="C341" s="292" t="str">
        <f>IF('08-CIP EL. DECK'!E19="","",'08-CIP EL. DECK'!E19)</f>
        <v/>
      </c>
      <c r="D341" s="327" t="str">
        <f>IF('08-CIP EL. DECK'!C19="","",'08-CIP EL. DECK'!C19)</f>
        <v/>
      </c>
      <c r="E341" s="254" t="str">
        <f t="shared" si="20"/>
        <v/>
      </c>
      <c r="F341" s="254"/>
      <c r="G341" s="254"/>
      <c r="H341" s="254"/>
      <c r="I341" s="254"/>
      <c r="J341" s="254"/>
      <c r="K341" s="354"/>
      <c r="L341">
        <f>IF(K374="incl",0,K374)</f>
        <v>0</v>
      </c>
    </row>
    <row r="342" spans="1:12" ht="13.5" customHeight="1">
      <c r="A342">
        <f t="shared" si="19"/>
        <v>0</v>
      </c>
      <c r="B342" s="323" t="str">
        <f>IF('08-CIP EL. DECK'!A20="","",'08-CIP EL. DECK'!A20)</f>
        <v/>
      </c>
      <c r="C342" s="292" t="str">
        <f>IF('08-CIP EL. DECK'!E20="","",'08-CIP EL. DECK'!E20)</f>
        <v/>
      </c>
      <c r="D342" s="327" t="str">
        <f>IF('08-CIP EL. DECK'!C20="","",'08-CIP EL. DECK'!C20)</f>
        <v/>
      </c>
      <c r="E342" s="254" t="str">
        <f t="shared" si="20"/>
        <v/>
      </c>
      <c r="F342" s="254"/>
      <c r="G342" s="254"/>
      <c r="H342" s="254"/>
      <c r="I342" s="254"/>
      <c r="J342" s="254"/>
      <c r="K342" s="354"/>
      <c r="L342">
        <f>IF(K375="incl",0,K375)</f>
        <v>0</v>
      </c>
    </row>
    <row r="343" spans="1:12" ht="13.5" customHeight="1">
      <c r="A343">
        <f t="shared" si="19"/>
        <v>0</v>
      </c>
      <c r="B343" s="323" t="str">
        <f>IF('08-CIP EL. DECK'!A21="","",'08-CIP EL. DECK'!A21)</f>
        <v/>
      </c>
      <c r="C343" s="292" t="str">
        <f>IF('08-CIP EL. DECK'!E21="","",'08-CIP EL. DECK'!E21)</f>
        <v/>
      </c>
      <c r="D343" s="327" t="str">
        <f>IF('08-CIP EL. DECK'!C21="","",'08-CIP EL. DECK'!C21)</f>
        <v/>
      </c>
      <c r="E343" s="254" t="str">
        <f t="shared" si="20"/>
        <v/>
      </c>
      <c r="F343" s="254"/>
      <c r="G343" s="254"/>
      <c r="H343" s="254"/>
      <c r="I343" s="254"/>
      <c r="J343" s="254"/>
      <c r="K343" s="354"/>
      <c r="L343">
        <f>IF(K376="incl",0,K376)</f>
        <v>0</v>
      </c>
    </row>
    <row r="344" spans="1:12" ht="13.5" customHeight="1">
      <c r="A344">
        <f t="shared" si="19"/>
        <v>0</v>
      </c>
      <c r="B344" s="323" t="str">
        <f>IF('08-CIP EL. DECK'!A22="","",'08-CIP EL. DECK'!A22)</f>
        <v/>
      </c>
      <c r="C344" s="292" t="str">
        <f>IF('08-CIP EL. DECK'!E22="","",'08-CIP EL. DECK'!E22)</f>
        <v/>
      </c>
      <c r="D344" s="327" t="str">
        <f>IF('08-CIP EL. DECK'!C22="","",'08-CIP EL. DECK'!C22)</f>
        <v/>
      </c>
      <c r="E344" s="254" t="str">
        <f t="shared" si="20"/>
        <v/>
      </c>
      <c r="F344" s="254"/>
      <c r="G344" s="254"/>
      <c r="H344" s="254"/>
      <c r="I344" s="254"/>
      <c r="J344" s="269"/>
      <c r="K344" s="354"/>
      <c r="L344" t="e">
        <f>IF(#REF!="incl",0,#REF!)</f>
        <v>#REF!</v>
      </c>
    </row>
    <row r="345" spans="1:12" ht="13.5" customHeight="1">
      <c r="A345">
        <f t="shared" si="19"/>
        <v>0</v>
      </c>
      <c r="B345" s="323" t="str">
        <f>IF('08-CIP EL. DECK'!A23="","",'08-CIP EL. DECK'!A23)</f>
        <v/>
      </c>
      <c r="C345" s="292" t="str">
        <f>IF('08-CIP EL. DECK'!E23="","",'08-CIP EL. DECK'!E23)</f>
        <v/>
      </c>
      <c r="D345" s="327" t="str">
        <f>IF('08-CIP EL. DECK'!C23="","",'08-CIP EL. DECK'!C23)</f>
        <v/>
      </c>
      <c r="E345" s="254" t="str">
        <f t="shared" si="20"/>
        <v/>
      </c>
      <c r="F345" s="254"/>
      <c r="G345" s="254"/>
      <c r="H345" s="254"/>
      <c r="I345" s="254"/>
      <c r="J345" s="254"/>
      <c r="K345" s="354"/>
      <c r="L345">
        <f>IF(K377="incl",0,K377)</f>
        <v>0</v>
      </c>
    </row>
    <row r="346" spans="1:12" ht="13.5" customHeight="1">
      <c r="A346">
        <f t="shared" si="19"/>
        <v>0</v>
      </c>
      <c r="B346" s="323" t="str">
        <f>IF('08-CIP EL. DECK'!A24="","",'08-CIP EL. DECK'!A24)</f>
        <v/>
      </c>
      <c r="C346" s="292" t="str">
        <f>IF('08-CIP EL. DECK'!E24="","",'08-CIP EL. DECK'!E24)</f>
        <v/>
      </c>
      <c r="D346" s="327" t="str">
        <f>IF('08-CIP EL. DECK'!C24="","",'08-CIP EL. DECK'!C24)</f>
        <v/>
      </c>
      <c r="E346" s="254" t="str">
        <f t="shared" si="20"/>
        <v/>
      </c>
      <c r="F346" s="254"/>
      <c r="G346" s="254"/>
      <c r="H346" s="254"/>
      <c r="I346" s="254"/>
      <c r="J346" s="254"/>
      <c r="K346" s="292"/>
      <c r="L346">
        <f>IF(K378="incl",0,K378)</f>
        <v>0</v>
      </c>
    </row>
    <row r="347" spans="1:12" ht="13.5" customHeight="1">
      <c r="A347">
        <f t="shared" si="19"/>
        <v>0</v>
      </c>
      <c r="B347" s="323" t="str">
        <f>IF('08-CIP EL. DECK'!A25="","",'08-CIP EL. DECK'!A25)</f>
        <v/>
      </c>
      <c r="C347" s="292" t="str">
        <f>IF('08-CIP EL. DECK'!E25="","",'08-CIP EL. DECK'!E25)</f>
        <v/>
      </c>
      <c r="D347" s="327" t="str">
        <f>IF('08-CIP EL. DECK'!C25="","",'08-CIP EL. DECK'!C25)</f>
        <v/>
      </c>
      <c r="E347" s="254" t="str">
        <f t="shared" si="20"/>
        <v/>
      </c>
      <c r="F347" s="254"/>
      <c r="G347" s="254"/>
      <c r="H347" s="254"/>
      <c r="I347" s="254"/>
      <c r="J347" s="254"/>
      <c r="K347" s="292"/>
    </row>
    <row r="348" spans="1:12" ht="13.5" customHeight="1">
      <c r="A348">
        <f t="shared" si="19"/>
        <v>0</v>
      </c>
      <c r="B348" s="323" t="str">
        <f>IF('08-CIP EL. DECK'!A26="","",'08-CIP EL. DECK'!A26)</f>
        <v/>
      </c>
      <c r="C348" s="292" t="str">
        <f>IF('08-CIP EL. DECK'!E26="","",'08-CIP EL. DECK'!E26)</f>
        <v/>
      </c>
      <c r="D348" s="327" t="str">
        <f>IF('08-CIP EL. DECK'!C26="","",'08-CIP EL. DECK'!C26)</f>
        <v/>
      </c>
      <c r="E348" s="254" t="str">
        <f t="shared" si="20"/>
        <v/>
      </c>
      <c r="F348" s="254"/>
      <c r="G348" s="254"/>
      <c r="H348" s="254"/>
      <c r="I348" s="254"/>
      <c r="J348" s="254"/>
      <c r="K348" s="292"/>
    </row>
    <row r="349" spans="1:12" ht="13.5" customHeight="1">
      <c r="A349">
        <f t="shared" si="19"/>
        <v>0</v>
      </c>
      <c r="B349" s="323" t="str">
        <f>IF('08-CIP EL. DECK'!A27="","",'08-CIP EL. DECK'!A27)</f>
        <v/>
      </c>
      <c r="C349" s="292" t="str">
        <f>IF('08-CIP EL. DECK'!E27="","",'08-CIP EL. DECK'!E27)</f>
        <v/>
      </c>
      <c r="D349" s="327" t="str">
        <f>IF('08-CIP EL. DECK'!C27="","",'08-CIP EL. DECK'!C27)</f>
        <v/>
      </c>
      <c r="E349" s="254" t="str">
        <f t="shared" si="20"/>
        <v/>
      </c>
      <c r="F349" s="254"/>
      <c r="G349" s="254"/>
      <c r="H349" s="254"/>
      <c r="I349" s="254"/>
      <c r="J349" s="254"/>
      <c r="K349" s="292"/>
      <c r="L349">
        <f>IF(K380="incl",0,K380)</f>
        <v>0</v>
      </c>
    </row>
    <row r="350" spans="1:12" ht="13.5" customHeight="1">
      <c r="A350">
        <f t="shared" si="19"/>
        <v>0</v>
      </c>
      <c r="B350" s="323" t="str">
        <f>IF('08-CIP EL. DECK'!A28="","",'08-CIP EL. DECK'!A28)</f>
        <v/>
      </c>
      <c r="C350" s="292" t="str">
        <f>IF('08-CIP EL. DECK'!E28="","",'08-CIP EL. DECK'!E28)</f>
        <v/>
      </c>
      <c r="D350" s="327" t="str">
        <f>IF('08-CIP EL. DECK'!C28="","",'08-CIP EL. DECK'!C28)</f>
        <v/>
      </c>
      <c r="E350" s="254" t="str">
        <f t="shared" si="20"/>
        <v/>
      </c>
      <c r="F350" s="254"/>
      <c r="G350" s="254"/>
      <c r="H350" s="254"/>
      <c r="I350" s="254"/>
      <c r="J350" s="254"/>
      <c r="K350" s="292"/>
      <c r="L350">
        <f>IF(K381="incl",0,K381)</f>
        <v>0</v>
      </c>
    </row>
    <row r="351" spans="1:12" ht="13.5" customHeight="1">
      <c r="A351">
        <f t="shared" si="19"/>
        <v>0</v>
      </c>
      <c r="B351" s="323" t="str">
        <f>IF('08-CIP EL. DECK'!A29="","",'08-CIP EL. DECK'!A29)</f>
        <v/>
      </c>
      <c r="C351" s="292" t="str">
        <f>IF('08-CIP EL. DECK'!E29="","",'08-CIP EL. DECK'!E29)</f>
        <v/>
      </c>
      <c r="D351" s="327" t="str">
        <f>IF('08-CIP EL. DECK'!C29="","",'08-CIP EL. DECK'!C29)</f>
        <v/>
      </c>
      <c r="E351" s="254" t="str">
        <f t="shared" si="20"/>
        <v/>
      </c>
      <c r="F351" s="254"/>
      <c r="G351" s="254"/>
      <c r="H351" s="254"/>
      <c r="I351" s="254"/>
      <c r="J351" s="254"/>
      <c r="K351" s="292"/>
      <c r="L351">
        <f>IF(K382="incl",0,K382)</f>
        <v>0</v>
      </c>
    </row>
    <row r="352" spans="1:12" ht="13.5" customHeight="1">
      <c r="A352">
        <f t="shared" si="19"/>
        <v>0</v>
      </c>
      <c r="B352" s="323" t="str">
        <f>IF('08-CIP EL. DECK'!A30="","",'08-CIP EL. DECK'!A30)</f>
        <v/>
      </c>
      <c r="C352" s="292" t="str">
        <f>IF('08-CIP EL. DECK'!E30="","",'08-CIP EL. DECK'!E30)</f>
        <v/>
      </c>
      <c r="D352" s="327" t="str">
        <f>IF('08-CIP EL. DECK'!C30="","",'08-CIP EL. DECK'!C30)</f>
        <v/>
      </c>
      <c r="E352" s="254" t="str">
        <f t="shared" si="20"/>
        <v/>
      </c>
      <c r="F352" s="254"/>
      <c r="G352" s="254"/>
      <c r="H352" s="254"/>
      <c r="I352" s="254"/>
      <c r="J352" s="254"/>
      <c r="K352" s="292"/>
    </row>
    <row r="353" spans="1:12" ht="13.5" customHeight="1">
      <c r="A353">
        <f t="shared" si="19"/>
        <v>0</v>
      </c>
      <c r="B353" s="323" t="str">
        <f>IF('08-CIP EL. DECK'!A31="","",'08-CIP EL. DECK'!A31)</f>
        <v/>
      </c>
      <c r="C353" s="292" t="str">
        <f>IF('08-CIP EL. DECK'!E31="","",'08-CIP EL. DECK'!E31)</f>
        <v/>
      </c>
      <c r="D353" s="327" t="str">
        <f>IF('08-CIP EL. DECK'!C31="","",'08-CIP EL. DECK'!C31)</f>
        <v/>
      </c>
      <c r="E353" s="254" t="str">
        <f t="shared" si="20"/>
        <v/>
      </c>
      <c r="F353" s="254"/>
      <c r="G353" s="254"/>
      <c r="H353" s="254"/>
      <c r="I353" s="254"/>
      <c r="J353" s="254"/>
      <c r="K353" s="292"/>
      <c r="L353">
        <f>IF(K384="incl",0,K384)</f>
        <v>0</v>
      </c>
    </row>
    <row r="354" spans="1:12" ht="13.5" customHeight="1">
      <c r="A354">
        <f t="shared" si="19"/>
        <v>0</v>
      </c>
      <c r="B354" s="323" t="str">
        <f>IF('08-CIP EL. DECK'!A32="","",'08-CIP EL. DECK'!A32)</f>
        <v/>
      </c>
      <c r="C354" s="292" t="str">
        <f>IF('08-CIP EL. DECK'!E32="","",'08-CIP EL. DECK'!E32)</f>
        <v/>
      </c>
      <c r="D354" s="327" t="str">
        <f>IF('08-CIP EL. DECK'!C32="","",'08-CIP EL. DECK'!C32)</f>
        <v/>
      </c>
      <c r="E354" s="254" t="str">
        <f t="shared" si="20"/>
        <v/>
      </c>
      <c r="F354" s="254"/>
      <c r="G354" s="254"/>
      <c r="H354" s="254"/>
      <c r="I354" s="254"/>
      <c r="J354" s="254"/>
      <c r="K354" s="292"/>
      <c r="L354">
        <f>IF(K394="incl",0,K394)</f>
        <v>0</v>
      </c>
    </row>
    <row r="355" spans="1:12" ht="13.5" customHeight="1">
      <c r="A355">
        <f t="shared" si="19"/>
        <v>0</v>
      </c>
      <c r="B355" s="323" t="str">
        <f>IF('08-CIP EL. DECK'!A33="","",'08-CIP EL. DECK'!A33)</f>
        <v/>
      </c>
      <c r="C355" s="292" t="str">
        <f>IF('08-CIP EL. DECK'!E33="","",'08-CIP EL. DECK'!E33)</f>
        <v/>
      </c>
      <c r="D355" s="327" t="str">
        <f>IF('08-CIP EL. DECK'!C33="","",'08-CIP EL. DECK'!C33)</f>
        <v/>
      </c>
      <c r="E355" s="254" t="str">
        <f t="shared" si="20"/>
        <v/>
      </c>
      <c r="F355" s="254"/>
      <c r="G355" s="254"/>
      <c r="H355" s="254"/>
      <c r="I355" s="254"/>
      <c r="J355" s="254"/>
      <c r="K355" s="292"/>
      <c r="L355">
        <f>IF(K395="incl",0,K395)</f>
        <v>0</v>
      </c>
    </row>
    <row r="356" spans="1:12" ht="13.5" customHeight="1">
      <c r="A356">
        <f t="shared" si="19"/>
        <v>0</v>
      </c>
      <c r="B356" s="323" t="str">
        <f>IF('08-CIP EL. DECK'!A34="","",'08-CIP EL. DECK'!A34)</f>
        <v/>
      </c>
      <c r="C356" s="292" t="str">
        <f>IF('08-CIP EL. DECK'!E34="","",'08-CIP EL. DECK'!E34)</f>
        <v/>
      </c>
      <c r="D356" s="327" t="str">
        <f>IF('08-CIP EL. DECK'!C34="","",'08-CIP EL. DECK'!C34)</f>
        <v/>
      </c>
      <c r="E356" s="254" t="str">
        <f t="shared" si="20"/>
        <v/>
      </c>
      <c r="F356" s="254"/>
      <c r="G356" s="254"/>
      <c r="H356" s="254"/>
      <c r="I356" s="254"/>
      <c r="J356" s="254"/>
      <c r="K356" s="292"/>
    </row>
    <row r="357" spans="1:12" ht="13.5" customHeight="1">
      <c r="A357">
        <f t="shared" si="19"/>
        <v>0</v>
      </c>
      <c r="B357" s="323" t="str">
        <f>IF('08-CIP EL. DECK'!A35="","",'08-CIP EL. DECK'!A35)</f>
        <v/>
      </c>
      <c r="C357" s="292" t="str">
        <f>IF('08-CIP EL. DECK'!E35="","",'08-CIP EL. DECK'!E35)</f>
        <v/>
      </c>
      <c r="D357" s="327" t="str">
        <f>IF('08-CIP EL. DECK'!C35="","",'08-CIP EL. DECK'!C35)</f>
        <v/>
      </c>
      <c r="E357" s="254" t="str">
        <f t="shared" si="20"/>
        <v/>
      </c>
      <c r="F357" s="254"/>
      <c r="G357" s="254"/>
      <c r="H357" s="254"/>
      <c r="I357" s="254"/>
      <c r="J357" s="254"/>
      <c r="K357" s="292"/>
    </row>
    <row r="358" spans="1:12" ht="13.5" customHeight="1">
      <c r="A358">
        <f t="shared" si="19"/>
        <v>0</v>
      </c>
      <c r="B358" s="323" t="str">
        <f>IF('08-CIP EL. DECK'!A36="","",'08-CIP EL. DECK'!A36)</f>
        <v/>
      </c>
      <c r="C358" s="292" t="str">
        <f>IF('08-CIP EL. DECK'!E36="","",'08-CIP EL. DECK'!E36)</f>
        <v/>
      </c>
      <c r="D358" s="327" t="str">
        <f>IF('08-CIP EL. DECK'!C36="","",'08-CIP EL. DECK'!C36)</f>
        <v/>
      </c>
      <c r="E358" s="254" t="str">
        <f t="shared" si="20"/>
        <v/>
      </c>
      <c r="F358" s="254"/>
      <c r="G358" s="254"/>
      <c r="H358" s="254"/>
      <c r="I358" s="254"/>
      <c r="J358" s="254"/>
      <c r="K358" s="292"/>
    </row>
    <row r="359" spans="1:12" ht="13.5" customHeight="1">
      <c r="A359">
        <f t="shared" si="19"/>
        <v>0</v>
      </c>
      <c r="B359" s="323" t="str">
        <f>IF('08-CIP EL. DECK'!A37="","",'08-CIP EL. DECK'!A37)</f>
        <v/>
      </c>
      <c r="C359" s="292" t="str">
        <f>IF('08-CIP EL. DECK'!E37="","",'08-CIP EL. DECK'!E37)</f>
        <v/>
      </c>
      <c r="D359" s="327" t="str">
        <f>IF('08-CIP EL. DECK'!C37="","",'08-CIP EL. DECK'!C37)</f>
        <v/>
      </c>
      <c r="E359" s="254" t="str">
        <f t="shared" si="20"/>
        <v/>
      </c>
      <c r="F359" s="254"/>
      <c r="G359" s="254"/>
      <c r="H359" s="254"/>
      <c r="I359" s="254"/>
      <c r="J359" s="254"/>
      <c r="K359" s="292"/>
      <c r="L359">
        <f>IF(K399="incl",0,K399)</f>
        <v>0</v>
      </c>
    </row>
    <row r="360" spans="1:12" ht="13.5" customHeight="1">
      <c r="A360">
        <f t="shared" si="19"/>
        <v>0</v>
      </c>
      <c r="B360" s="323" t="str">
        <f>IF('08-CIP EL. DECK'!A38="","",'08-CIP EL. DECK'!A38)</f>
        <v/>
      </c>
      <c r="C360" s="292" t="str">
        <f>IF('08-CIP EL. DECK'!E38="","",'08-CIP EL. DECK'!E38)</f>
        <v/>
      </c>
      <c r="D360" s="327" t="str">
        <f>IF('08-CIP EL. DECK'!C38="","",'08-CIP EL. DECK'!C38)</f>
        <v/>
      </c>
      <c r="E360" s="254" t="str">
        <f t="shared" si="20"/>
        <v/>
      </c>
      <c r="F360" s="254"/>
      <c r="G360" s="254"/>
      <c r="H360" s="254"/>
      <c r="I360" s="254"/>
      <c r="J360" s="254"/>
      <c r="K360" s="292"/>
      <c r="L360">
        <f>IF(K400="incl",0,K400)</f>
        <v>0</v>
      </c>
    </row>
    <row r="361" spans="1:12" ht="13.5" customHeight="1">
      <c r="A361">
        <f t="shared" si="19"/>
        <v>0</v>
      </c>
      <c r="B361" s="323" t="str">
        <f>IF('08-CIP EL. DECK'!A39="","",'08-CIP EL. DECK'!A39)</f>
        <v/>
      </c>
      <c r="C361" s="292" t="str">
        <f>IF('08-CIP EL. DECK'!E39="","",'08-CIP EL. DECK'!E39)</f>
        <v/>
      </c>
      <c r="D361" s="327" t="str">
        <f>IF('08-CIP EL. DECK'!C39="","",'08-CIP EL. DECK'!C39)</f>
        <v/>
      </c>
      <c r="E361" s="254" t="str">
        <f t="shared" si="20"/>
        <v/>
      </c>
      <c r="F361" s="254"/>
      <c r="G361" s="254"/>
      <c r="H361" s="254"/>
      <c r="I361" s="254"/>
      <c r="J361" s="254"/>
      <c r="K361" s="292"/>
      <c r="L361">
        <f>IF(K407="incl",0,K407)</f>
        <v>0</v>
      </c>
    </row>
    <row r="362" spans="1:12" ht="13.5" customHeight="1">
      <c r="A362">
        <f t="shared" si="19"/>
        <v>0</v>
      </c>
      <c r="B362" s="323" t="str">
        <f>IF('08-CIP EL. DECK'!A40="","",'08-CIP EL. DECK'!A40)</f>
        <v/>
      </c>
      <c r="C362" s="292" t="str">
        <f>IF('08-CIP EL. DECK'!E40="","",'08-CIP EL. DECK'!E40)</f>
        <v/>
      </c>
      <c r="D362" s="327" t="str">
        <f>IF('08-CIP EL. DECK'!C40="","",'08-CIP EL. DECK'!C40)</f>
        <v/>
      </c>
      <c r="E362" s="254" t="str">
        <f t="shared" si="20"/>
        <v/>
      </c>
      <c r="F362" s="254"/>
      <c r="G362" s="254"/>
      <c r="H362" s="254"/>
      <c r="I362" s="254"/>
      <c r="J362" s="254"/>
      <c r="K362" s="292"/>
    </row>
    <row r="363" spans="1:12" ht="13.5" customHeight="1">
      <c r="A363">
        <f t="shared" si="19"/>
        <v>0</v>
      </c>
      <c r="B363" s="323" t="str">
        <f>IF('08-CIP EL. DECK'!A41="","",'08-CIP EL. DECK'!A41)</f>
        <v/>
      </c>
      <c r="C363" s="292" t="str">
        <f>IF('08-CIP EL. DECK'!E41="","",'08-CIP EL. DECK'!E41)</f>
        <v/>
      </c>
      <c r="D363" s="327" t="str">
        <f>IF('08-CIP EL. DECK'!C41="","",'08-CIP EL. DECK'!C41)</f>
        <v/>
      </c>
      <c r="E363" s="254" t="str">
        <f t="shared" si="20"/>
        <v/>
      </c>
      <c r="F363" s="254"/>
      <c r="G363" s="254"/>
      <c r="H363" s="254"/>
      <c r="I363" s="254"/>
      <c r="J363" s="254"/>
      <c r="K363" s="292"/>
    </row>
    <row r="364" spans="1:12" ht="13.5" customHeight="1">
      <c r="A364">
        <f t="shared" si="19"/>
        <v>0</v>
      </c>
      <c r="B364" s="323" t="str">
        <f>IF('08-CIP EL. DECK'!A42="","",'08-CIP EL. DECK'!A42)</f>
        <v/>
      </c>
      <c r="C364" s="292" t="str">
        <f>IF('08-CIP EL. DECK'!E42="","",'08-CIP EL. DECK'!E42)</f>
        <v/>
      </c>
      <c r="D364" s="327" t="str">
        <f>IF('08-CIP EL. DECK'!C42="","",'08-CIP EL. DECK'!C42)</f>
        <v/>
      </c>
      <c r="E364" s="254" t="str">
        <f t="shared" si="20"/>
        <v/>
      </c>
      <c r="F364" s="254"/>
      <c r="G364" s="254"/>
      <c r="H364" s="254"/>
      <c r="I364" s="254"/>
      <c r="J364" s="254"/>
      <c r="K364" s="292"/>
    </row>
    <row r="365" spans="1:12" ht="13.5" customHeight="1">
      <c r="A365">
        <f t="shared" si="19"/>
        <v>0</v>
      </c>
      <c r="B365" s="323" t="str">
        <f>IF('08-CIP EL. DECK'!A43="","",'08-CIP EL. DECK'!A43)</f>
        <v/>
      </c>
      <c r="C365" s="292" t="str">
        <f>IF('08-CIP EL. DECK'!E43="","",'08-CIP EL. DECK'!E43)</f>
        <v/>
      </c>
      <c r="D365" s="327" t="str">
        <f>IF('08-CIP EL. DECK'!C43="","",'08-CIP EL. DECK'!C43)</f>
        <v/>
      </c>
      <c r="E365" s="254" t="str">
        <f t="shared" si="20"/>
        <v/>
      </c>
      <c r="F365" s="254"/>
      <c r="G365" s="254"/>
      <c r="H365" s="254"/>
      <c r="I365" s="254"/>
      <c r="J365" s="254"/>
      <c r="K365" s="292"/>
      <c r="L365">
        <f>IF(K411="incl",0,K411)</f>
        <v>0</v>
      </c>
    </row>
    <row r="366" spans="1:12" ht="13.5" customHeight="1">
      <c r="A366">
        <f t="shared" si="19"/>
        <v>0</v>
      </c>
      <c r="B366" s="323" t="str">
        <f>IF('08-CIP EL. DECK'!A44="","",'08-CIP EL. DECK'!A44)</f>
        <v/>
      </c>
      <c r="C366" s="292" t="str">
        <f>IF('08-CIP EL. DECK'!E44="","",'08-CIP EL. DECK'!E44)</f>
        <v/>
      </c>
      <c r="D366" s="327" t="str">
        <f>IF('08-CIP EL. DECK'!C44="","",'08-CIP EL. DECK'!C44)</f>
        <v/>
      </c>
      <c r="E366" s="254" t="str">
        <f t="shared" si="20"/>
        <v/>
      </c>
      <c r="F366" s="254"/>
      <c r="G366" s="254"/>
      <c r="H366" s="254"/>
      <c r="I366" s="254"/>
      <c r="J366" s="254"/>
      <c r="K366" s="292"/>
      <c r="L366">
        <f>IF(K412="incl",0,K412)</f>
        <v>0</v>
      </c>
    </row>
    <row r="367" spans="1:12" ht="13.5" customHeight="1">
      <c r="A367">
        <f t="shared" si="19"/>
        <v>0</v>
      </c>
      <c r="B367" s="323" t="str">
        <f>IF('08-CIP EL. DECK'!A45="","",'08-CIP EL. DECK'!A45)</f>
        <v/>
      </c>
      <c r="C367" s="292" t="str">
        <f>IF('08-CIP EL. DECK'!E45="","",'08-CIP EL. DECK'!E45)</f>
        <v/>
      </c>
      <c r="D367" s="327" t="str">
        <f>IF('08-CIP EL. DECK'!C45="","",'08-CIP EL. DECK'!C45)</f>
        <v/>
      </c>
      <c r="E367" s="254" t="str">
        <f t="shared" si="20"/>
        <v/>
      </c>
      <c r="F367" s="254"/>
      <c r="G367" s="254"/>
      <c r="H367" s="254"/>
      <c r="I367" s="254"/>
      <c r="J367" s="254"/>
      <c r="K367" s="292"/>
      <c r="L367">
        <f>IF(K413="incl",0,K413)</f>
        <v>0</v>
      </c>
    </row>
    <row r="368" spans="1:12" ht="13.5" customHeight="1">
      <c r="A368">
        <f t="shared" si="19"/>
        <v>0</v>
      </c>
      <c r="B368" s="323" t="str">
        <f>IF('08-CIP EL. DECK'!A46="","",'08-CIP EL. DECK'!A46)</f>
        <v/>
      </c>
      <c r="C368" s="292" t="str">
        <f>IF('08-CIP EL. DECK'!E46="","",'08-CIP EL. DECK'!E46)</f>
        <v/>
      </c>
      <c r="D368" s="327" t="str">
        <f>IF('08-CIP EL. DECK'!C46="","",'08-CIP EL. DECK'!C46)</f>
        <v/>
      </c>
      <c r="E368" s="254" t="str">
        <f t="shared" si="20"/>
        <v/>
      </c>
      <c r="F368" s="254"/>
      <c r="G368" s="254"/>
      <c r="H368" s="254"/>
      <c r="I368" s="254"/>
      <c r="J368" s="254"/>
      <c r="K368" s="292"/>
    </row>
    <row r="369" spans="1:12" ht="13.5" customHeight="1">
      <c r="A369">
        <f t="shared" si="19"/>
        <v>0</v>
      </c>
      <c r="B369" s="323" t="str">
        <f>IF('08-CIP EL. DECK'!A47="","",'08-CIP EL. DECK'!A47)</f>
        <v/>
      </c>
      <c r="C369" s="292" t="str">
        <f>IF('08-CIP EL. DECK'!E47="","",'08-CIP EL. DECK'!E47)</f>
        <v/>
      </c>
      <c r="D369" s="327" t="str">
        <f>IF('08-CIP EL. DECK'!C47="","",'08-CIP EL. DECK'!C47)</f>
        <v/>
      </c>
      <c r="E369" s="254" t="str">
        <f t="shared" si="20"/>
        <v/>
      </c>
      <c r="F369" s="254"/>
      <c r="G369" s="254"/>
      <c r="H369" s="254"/>
      <c r="I369" s="254"/>
      <c r="J369" s="254"/>
      <c r="K369" s="292"/>
    </row>
    <row r="370" spans="1:12" ht="13.5" customHeight="1">
      <c r="A370">
        <f t="shared" si="19"/>
        <v>0</v>
      </c>
      <c r="B370" s="323" t="str">
        <f>IF('08-CIP EL. DECK'!A48="","",'08-CIP EL. DECK'!A48)</f>
        <v/>
      </c>
      <c r="C370" s="292" t="str">
        <f>IF('08-CIP EL. DECK'!E48="","",'08-CIP EL. DECK'!E48)</f>
        <v/>
      </c>
      <c r="D370" s="327" t="str">
        <f>IF('08-CIP EL. DECK'!C48="","",'08-CIP EL. DECK'!C48)</f>
        <v/>
      </c>
      <c r="E370" s="254" t="str">
        <f t="shared" si="20"/>
        <v/>
      </c>
      <c r="F370" s="254"/>
      <c r="G370" s="254"/>
      <c r="H370" s="254"/>
      <c r="I370" s="254"/>
      <c r="J370" s="254"/>
      <c r="K370" s="292"/>
      <c r="L370">
        <f>IF(K415="incl",0,K415)</f>
        <v>0</v>
      </c>
    </row>
    <row r="371" spans="1:12" ht="13.5" customHeight="1">
      <c r="A371">
        <f t="shared" si="19"/>
        <v>0</v>
      </c>
      <c r="B371" s="302" t="str">
        <f>IF('08-CIP EL. DECK'!A49="","",'08-CIP EL. DECK'!A49)</f>
        <v/>
      </c>
      <c r="C371" s="292" t="str">
        <f>IF('08-CIP EL. DECK'!E49="","",'08-CIP EL. DECK'!E49)</f>
        <v/>
      </c>
      <c r="D371" s="327" t="str">
        <f>IF('08-CIP EL. DECK'!C49="","",'08-CIP EL. DECK'!C49)</f>
        <v/>
      </c>
      <c r="E371" s="254" t="str">
        <f t="shared" si="20"/>
        <v/>
      </c>
      <c r="F371" s="254"/>
      <c r="G371" s="254"/>
      <c r="H371" s="254"/>
      <c r="I371" s="254"/>
      <c r="J371" s="254"/>
      <c r="K371" s="292"/>
      <c r="L371">
        <f>IF(K416="incl",0,K416)</f>
        <v>0</v>
      </c>
    </row>
    <row r="372" spans="1:12" ht="13.5" customHeight="1">
      <c r="A372">
        <f t="shared" ref="A372:A379" si="21">IF(SUM(A$332:A$371)&gt;0,1,0)</f>
        <v>1</v>
      </c>
      <c r="B372" s="312"/>
      <c r="C372" s="292" t="s">
        <v>860</v>
      </c>
      <c r="D372" s="337">
        <f>SUM(D332:D371)</f>
        <v>32100</v>
      </c>
      <c r="E372" s="254"/>
      <c r="F372" s="254"/>
      <c r="G372" s="254"/>
      <c r="H372" s="254"/>
      <c r="I372" s="254"/>
      <c r="J372" s="254"/>
      <c r="K372" s="292"/>
      <c r="L372">
        <f>IF(K417="incl",0,K417)</f>
        <v>0</v>
      </c>
    </row>
    <row r="373" spans="1:12" ht="13.5" customHeight="1">
      <c r="A373" s="319">
        <f t="shared" si="21"/>
        <v>1</v>
      </c>
      <c r="B373" s="312"/>
      <c r="C373" s="292"/>
      <c r="D373" s="327"/>
      <c r="E373" s="254"/>
      <c r="F373" s="254"/>
      <c r="G373" s="281"/>
      <c r="H373" s="293"/>
      <c r="L373" t="e">
        <f>IF(#REF!="incl",0,#REF!)</f>
        <v>#REF!</v>
      </c>
    </row>
    <row r="374" spans="1:12" ht="13.5" customHeight="1">
      <c r="A374">
        <f t="shared" si="21"/>
        <v>1</v>
      </c>
      <c r="B374" s="340" t="s">
        <v>840</v>
      </c>
      <c r="C374" s="254"/>
      <c r="D374" s="254"/>
      <c r="E374" s="254"/>
      <c r="F374" s="254"/>
      <c r="G374" s="254"/>
      <c r="H374" s="254"/>
      <c r="I374" s="254"/>
      <c r="J374" s="254"/>
      <c r="K374" s="281"/>
    </row>
    <row r="375" spans="1:12" ht="13.5" customHeight="1">
      <c r="A375">
        <f t="shared" si="21"/>
        <v>1</v>
      </c>
      <c r="B375" s="254" t="s">
        <v>884</v>
      </c>
      <c r="D375" s="254"/>
      <c r="E375" s="254"/>
      <c r="F375" s="254"/>
      <c r="K375" s="254"/>
    </row>
    <row r="376" spans="1:12" ht="13.5" customHeight="1">
      <c r="A376">
        <f t="shared" si="21"/>
        <v>1</v>
      </c>
      <c r="B376" s="254" t="s">
        <v>865</v>
      </c>
      <c r="C376" s="254"/>
      <c r="D376" s="254"/>
      <c r="E376" s="254"/>
      <c r="F376" s="254"/>
      <c r="G376" s="254"/>
      <c r="H376" s="254"/>
      <c r="I376" s="254"/>
      <c r="J376" s="254"/>
      <c r="K376" s="254"/>
      <c r="L376" t="e">
        <f>IF(#REF!="incl",0,#REF!)</f>
        <v>#REF!</v>
      </c>
    </row>
    <row r="377" spans="1:12" ht="13.5" customHeight="1">
      <c r="A377">
        <f t="shared" si="21"/>
        <v>1</v>
      </c>
      <c r="B377" s="298" t="s">
        <v>843</v>
      </c>
      <c r="C377" s="254"/>
      <c r="D377" s="254"/>
      <c r="E377" s="254"/>
      <c r="F377" s="254"/>
      <c r="K377" s="254"/>
      <c r="L377">
        <f>IF(K422="incl",0,K422)</f>
        <v>0</v>
      </c>
    </row>
    <row r="378" spans="1:12" ht="13.5" customHeight="1">
      <c r="A378">
        <f t="shared" si="21"/>
        <v>1</v>
      </c>
      <c r="B378" s="254" t="s">
        <v>885</v>
      </c>
      <c r="C378" s="254"/>
      <c r="D378" s="254"/>
      <c r="E378" s="254"/>
      <c r="F378" s="254"/>
      <c r="G378" s="254"/>
      <c r="H378" s="254"/>
      <c r="I378" s="254"/>
      <c r="J378" s="254"/>
      <c r="K378" s="254"/>
      <c r="L378">
        <f>IF(K423="incl",0,K423)</f>
        <v>0</v>
      </c>
    </row>
    <row r="379" spans="1:12" ht="13.5" customHeight="1">
      <c r="A379">
        <f t="shared" si="21"/>
        <v>1</v>
      </c>
      <c r="B379" s="254"/>
      <c r="C379" s="254"/>
      <c r="D379" s="254"/>
      <c r="E379" s="254"/>
      <c r="F379" s="254"/>
      <c r="G379" s="254"/>
      <c r="H379" s="254"/>
      <c r="I379" s="254"/>
      <c r="J379" s="254"/>
      <c r="K379" s="254"/>
      <c r="L379" s="290">
        <f t="shared" ref="L379:L384" si="22">IF(K425="incl",0,K425)</f>
        <v>0</v>
      </c>
    </row>
    <row r="380" spans="1:12" ht="19.5" customHeight="1">
      <c r="A380">
        <f>IF(SUM(A$382:A$413)&gt;0,1,0)</f>
        <v>0</v>
      </c>
      <c r="B380" s="294" t="s">
        <v>886</v>
      </c>
      <c r="C380" s="2896">
        <f>'09-SLAB ON DECK'!E45</f>
        <v>0</v>
      </c>
      <c r="D380" s="2896"/>
      <c r="E380" s="330"/>
      <c r="F380" s="330"/>
      <c r="G380" s="320"/>
      <c r="H380" s="320"/>
      <c r="I380" s="331"/>
      <c r="J380" s="331"/>
      <c r="K380" s="320"/>
      <c r="L380" s="290">
        <f t="shared" si="22"/>
        <v>0</v>
      </c>
    </row>
    <row r="381" spans="1:12" ht="13.5" customHeight="1">
      <c r="A381">
        <f>IF(SUM(A$382:A$413)&gt;0,1,0)</f>
        <v>0</v>
      </c>
      <c r="B381" s="341" t="s">
        <v>847</v>
      </c>
      <c r="C381" s="342"/>
      <c r="D381" s="342" t="s">
        <v>835</v>
      </c>
      <c r="E381" s="342"/>
      <c r="K381" s="12"/>
      <c r="L381" s="290">
        <f t="shared" si="22"/>
        <v>0</v>
      </c>
    </row>
    <row r="382" spans="1:12" ht="13.5" customHeight="1">
      <c r="A382">
        <f t="shared" ref="A382:A413" si="23">IF(B382="",0,1)</f>
        <v>0</v>
      </c>
      <c r="B382" s="302" t="str">
        <f>IF('09-SLAB ON DECK'!B10="","",'09-SLAB ON DECK'!B10)</f>
        <v/>
      </c>
      <c r="C382" s="292"/>
      <c r="D382" s="327" t="str">
        <f>IF('09-SLAB ON DECK'!D10="","",'09-SLAB ON DECK'!D10)</f>
        <v/>
      </c>
      <c r="E382" s="254" t="str">
        <f t="shared" ref="E382:E414" si="24">IF(D382="","","SqFt")</f>
        <v/>
      </c>
      <c r="F382" s="254"/>
      <c r="G382" s="254"/>
      <c r="H382" s="254"/>
      <c r="I382" s="254"/>
      <c r="J382" s="254"/>
      <c r="K382" s="292"/>
      <c r="L382" s="290">
        <f t="shared" si="22"/>
        <v>0</v>
      </c>
    </row>
    <row r="383" spans="1:12" ht="13.5" customHeight="1">
      <c r="A383">
        <f t="shared" si="23"/>
        <v>0</v>
      </c>
      <c r="B383" s="302" t="str">
        <f>IF('09-SLAB ON DECK'!B11="","",'09-SLAB ON DECK'!B11)</f>
        <v/>
      </c>
      <c r="C383" s="292" t="str">
        <f>IF('09-SLAB ON DECK'!E11="","",'09-SLAB ON DECK'!E11)</f>
        <v/>
      </c>
      <c r="D383" s="327" t="str">
        <f>IF('09-SLAB ON DECK'!D11="","",'09-SLAB ON DECK'!D11)</f>
        <v/>
      </c>
      <c r="E383" s="254" t="str">
        <f t="shared" si="24"/>
        <v/>
      </c>
      <c r="F383" s="254"/>
      <c r="G383" s="254"/>
      <c r="H383" s="254"/>
      <c r="I383" s="254"/>
      <c r="J383" s="269"/>
      <c r="K383" s="292"/>
      <c r="L383" s="290">
        <f t="shared" si="22"/>
        <v>0</v>
      </c>
    </row>
    <row r="384" spans="1:12" ht="13.5" customHeight="1">
      <c r="A384">
        <f t="shared" si="23"/>
        <v>0</v>
      </c>
      <c r="B384" s="302" t="str">
        <f>IF('09-SLAB ON DECK'!B12="","",'09-SLAB ON DECK'!B12)</f>
        <v/>
      </c>
      <c r="C384" s="292" t="str">
        <f>IF('09-SLAB ON DECK'!E12="","",'09-SLAB ON DECK'!E12)</f>
        <v/>
      </c>
      <c r="D384" s="327" t="str">
        <f>IF('09-SLAB ON DECK'!D12="","",'09-SLAB ON DECK'!D12)</f>
        <v/>
      </c>
      <c r="E384" s="254" t="str">
        <f t="shared" si="24"/>
        <v/>
      </c>
      <c r="F384" s="254"/>
      <c r="G384" s="350"/>
      <c r="H384" s="254"/>
      <c r="I384" s="254"/>
      <c r="J384" s="269"/>
      <c r="K384" s="355"/>
      <c r="L384" s="290">
        <f t="shared" si="22"/>
        <v>0</v>
      </c>
    </row>
    <row r="385" spans="1:12" ht="13.5" customHeight="1">
      <c r="A385">
        <f t="shared" si="23"/>
        <v>0</v>
      </c>
      <c r="B385" s="302" t="str">
        <f>IF('09-SLAB ON DECK'!B13="","",'09-SLAB ON DECK'!B13)</f>
        <v/>
      </c>
      <c r="C385" s="292" t="str">
        <f>IF('09-SLAB ON DECK'!E4="","",'09-SLAB ON DECK'!E4)</f>
        <v/>
      </c>
      <c r="D385" s="327" t="str">
        <f>IF('09-SLAB ON DECK'!D13="","",'09-SLAB ON DECK'!D13)</f>
        <v/>
      </c>
      <c r="E385" s="254" t="str">
        <f t="shared" si="24"/>
        <v/>
      </c>
      <c r="F385" s="254"/>
      <c r="G385" s="254"/>
      <c r="H385" s="254"/>
      <c r="I385" s="254"/>
      <c r="J385" s="254"/>
      <c r="K385" s="281"/>
      <c r="L385">
        <f t="shared" ref="L385:L400" si="25">IF(K422="incl",0,K422)</f>
        <v>0</v>
      </c>
    </row>
    <row r="386" spans="1:12" ht="13.5" customHeight="1">
      <c r="A386">
        <f t="shared" si="23"/>
        <v>0</v>
      </c>
      <c r="B386" s="302" t="str">
        <f>IF('09-SLAB ON DECK'!B14="","",'09-SLAB ON DECK'!B14)</f>
        <v/>
      </c>
      <c r="C386" s="292" t="str">
        <f>IF('09-SLAB ON DECK'!E5="","",'09-SLAB ON DECK'!E5)</f>
        <v/>
      </c>
      <c r="D386" s="327" t="str">
        <f>IF('09-SLAB ON DECK'!D14="","",'09-SLAB ON DECK'!D14)</f>
        <v/>
      </c>
      <c r="E386" s="254" t="str">
        <f t="shared" si="24"/>
        <v/>
      </c>
      <c r="F386" s="254"/>
      <c r="K386" s="254"/>
      <c r="L386">
        <f t="shared" si="25"/>
        <v>0</v>
      </c>
    </row>
    <row r="387" spans="1:12" ht="13.5" customHeight="1">
      <c r="A387">
        <f t="shared" si="23"/>
        <v>0</v>
      </c>
      <c r="B387" s="302" t="str">
        <f>IF('09-SLAB ON DECK'!B15="","",'09-SLAB ON DECK'!B15)</f>
        <v/>
      </c>
      <c r="C387" s="292" t="str">
        <f>IF('09-SLAB ON DECK'!E6="","",'09-SLAB ON DECK'!E6)</f>
        <v/>
      </c>
      <c r="D387" s="327" t="str">
        <f>IF('09-SLAB ON DECK'!D15="","",'09-SLAB ON DECK'!D15)</f>
        <v/>
      </c>
      <c r="E387" s="254" t="str">
        <f t="shared" si="24"/>
        <v/>
      </c>
      <c r="F387" s="254"/>
      <c r="K387" s="254"/>
      <c r="L387" s="301">
        <f t="shared" si="25"/>
        <v>0</v>
      </c>
    </row>
    <row r="388" spans="1:12" ht="13.5" customHeight="1">
      <c r="A388">
        <f t="shared" si="23"/>
        <v>0</v>
      </c>
      <c r="B388" s="302" t="str">
        <f>IF('09-SLAB ON DECK'!B16="","",'09-SLAB ON DECK'!B16)</f>
        <v/>
      </c>
      <c r="C388" s="292" t="str">
        <f>IF('09-SLAB ON DECK'!E14="","",'09-SLAB ON DECK'!E14)</f>
        <v/>
      </c>
      <c r="D388" s="327" t="str">
        <f>IF('09-SLAB ON DECK'!D16="","",'09-SLAB ON DECK'!D16)</f>
        <v/>
      </c>
      <c r="E388" s="254" t="str">
        <f t="shared" si="24"/>
        <v/>
      </c>
      <c r="F388" s="254"/>
      <c r="K388" s="254"/>
      <c r="L388" s="290">
        <f t="shared" si="25"/>
        <v>0</v>
      </c>
    </row>
    <row r="389" spans="1:12" ht="13.5" customHeight="1">
      <c r="A389">
        <f t="shared" si="23"/>
        <v>0</v>
      </c>
      <c r="B389" s="302" t="str">
        <f>IF('09-SLAB ON DECK'!B17="","",'09-SLAB ON DECK'!B17)</f>
        <v/>
      </c>
      <c r="C389" s="292" t="str">
        <f>IF('09-SLAB ON DECK'!E15="","",'09-SLAB ON DECK'!E15)</f>
        <v/>
      </c>
      <c r="D389" s="327" t="str">
        <f>IF('09-SLAB ON DECK'!D17="","",'09-SLAB ON DECK'!D17)</f>
        <v/>
      </c>
      <c r="E389" s="254" t="str">
        <f t="shared" si="24"/>
        <v/>
      </c>
      <c r="F389" s="254"/>
      <c r="G389" s="254"/>
      <c r="H389" s="254"/>
      <c r="I389" s="254"/>
      <c r="J389" s="269"/>
      <c r="K389" s="292"/>
      <c r="L389" s="290">
        <f t="shared" si="25"/>
        <v>0</v>
      </c>
    </row>
    <row r="390" spans="1:12" ht="13.5" customHeight="1">
      <c r="A390">
        <f t="shared" si="23"/>
        <v>0</v>
      </c>
      <c r="B390" s="302" t="str">
        <f>IF('09-SLAB ON DECK'!B18="","",'09-SLAB ON DECK'!B18)</f>
        <v/>
      </c>
      <c r="C390" s="292" t="str">
        <f>IF('09-SLAB ON DECK'!E16="","",'09-SLAB ON DECK'!E16)</f>
        <v/>
      </c>
      <c r="D390" s="327" t="str">
        <f>IF('09-SLAB ON DECK'!D18="","",'09-SLAB ON DECK'!D18)</f>
        <v/>
      </c>
      <c r="E390" s="254" t="str">
        <f t="shared" si="24"/>
        <v/>
      </c>
      <c r="F390" s="254"/>
      <c r="G390" s="350"/>
      <c r="H390" s="254"/>
      <c r="I390" s="254"/>
      <c r="J390" s="254"/>
      <c r="K390" s="292"/>
      <c r="L390" s="290">
        <f t="shared" si="25"/>
        <v>0</v>
      </c>
    </row>
    <row r="391" spans="1:12" ht="13.5" customHeight="1">
      <c r="A391">
        <f t="shared" si="23"/>
        <v>0</v>
      </c>
      <c r="B391" s="302" t="str">
        <f>IF('09-SLAB ON DECK'!B19="","",'09-SLAB ON DECK'!B19)</f>
        <v/>
      </c>
      <c r="C391" s="292" t="str">
        <f>IF('09-SLAB ON DECK'!E17="","",'09-SLAB ON DECK'!E17)</f>
        <v/>
      </c>
      <c r="D391" s="327" t="str">
        <f>IF('09-SLAB ON DECK'!D19="","",'09-SLAB ON DECK'!D19)</f>
        <v/>
      </c>
      <c r="E391" s="254" t="str">
        <f t="shared" si="24"/>
        <v/>
      </c>
      <c r="F391" s="254"/>
      <c r="G391" s="254"/>
      <c r="H391" s="254"/>
      <c r="I391" s="254"/>
      <c r="J391" s="254"/>
      <c r="K391" s="281"/>
      <c r="L391" s="290">
        <f t="shared" si="25"/>
        <v>0</v>
      </c>
    </row>
    <row r="392" spans="1:12" ht="13.5" customHeight="1">
      <c r="A392">
        <f t="shared" si="23"/>
        <v>0</v>
      </c>
      <c r="B392" s="302" t="str">
        <f>IF('09-SLAB ON DECK'!B20="","",'09-SLAB ON DECK'!B20)</f>
        <v/>
      </c>
      <c r="C392" s="292" t="str">
        <f>IF('09-SLAB ON DECK'!E18="","",'09-SLAB ON DECK'!E18)</f>
        <v/>
      </c>
      <c r="D392" s="327" t="str">
        <f>IF('09-SLAB ON DECK'!D20="","",'09-SLAB ON DECK'!D20)</f>
        <v/>
      </c>
      <c r="E392" s="254" t="str">
        <f t="shared" si="24"/>
        <v/>
      </c>
      <c r="F392" s="254"/>
      <c r="K392" s="254"/>
      <c r="L392" s="290">
        <f t="shared" si="25"/>
        <v>0</v>
      </c>
    </row>
    <row r="393" spans="1:12" ht="13.5" customHeight="1">
      <c r="A393">
        <f t="shared" si="23"/>
        <v>0</v>
      </c>
      <c r="B393" s="302" t="str">
        <f>IF('09-SLAB ON DECK'!B21="","",'09-SLAB ON DECK'!B21)</f>
        <v/>
      </c>
      <c r="C393" s="292" t="str">
        <f>IF('09-SLAB ON DECK'!E19="","",'09-SLAB ON DECK'!E19)</f>
        <v/>
      </c>
      <c r="D393" s="327" t="str">
        <f>IF('09-SLAB ON DECK'!D21="","",'09-SLAB ON DECK'!D21)</f>
        <v/>
      </c>
      <c r="E393" s="254" t="str">
        <f t="shared" si="24"/>
        <v/>
      </c>
      <c r="F393" s="254"/>
      <c r="K393" s="254"/>
      <c r="L393" s="290">
        <f t="shared" si="25"/>
        <v>0</v>
      </c>
    </row>
    <row r="394" spans="1:12" ht="13.5" customHeight="1">
      <c r="A394">
        <f t="shared" si="23"/>
        <v>0</v>
      </c>
      <c r="B394" s="302" t="str">
        <f>IF('09-SLAB ON DECK'!B22="","",'09-SLAB ON DECK'!B22)</f>
        <v/>
      </c>
      <c r="C394" s="292" t="str">
        <f>IF('09-SLAB ON DECK'!E13="","",'09-SLAB ON DECK'!E13)</f>
        <v/>
      </c>
      <c r="D394" s="327" t="str">
        <f>IF('09-SLAB ON DECK'!D22="","",'09-SLAB ON DECK'!D22)</f>
        <v/>
      </c>
      <c r="E394" s="254" t="str">
        <f t="shared" si="24"/>
        <v/>
      </c>
      <c r="F394" s="254"/>
      <c r="G394" s="254"/>
      <c r="H394" s="254"/>
      <c r="I394" s="254"/>
      <c r="J394" s="254"/>
      <c r="K394" s="281"/>
      <c r="L394" s="290">
        <f t="shared" si="25"/>
        <v>0</v>
      </c>
    </row>
    <row r="395" spans="1:12" ht="13.5" customHeight="1">
      <c r="A395">
        <f t="shared" si="23"/>
        <v>0</v>
      </c>
      <c r="B395" s="302" t="str">
        <f>IF('09-SLAB ON DECK'!B23="","",'09-SLAB ON DECK'!B23)</f>
        <v/>
      </c>
      <c r="C395" s="292" t="str">
        <f>IF('09-SLAB ON DECK'!E14="","",'09-SLAB ON DECK'!E14)</f>
        <v/>
      </c>
      <c r="D395" s="327" t="str">
        <f>IF('09-SLAB ON DECK'!D23="","",'09-SLAB ON DECK'!D23)</f>
        <v/>
      </c>
      <c r="E395" s="254" t="str">
        <f t="shared" si="24"/>
        <v/>
      </c>
      <c r="F395" s="254"/>
      <c r="K395" s="254"/>
      <c r="L395" s="290">
        <f t="shared" si="25"/>
        <v>0</v>
      </c>
    </row>
    <row r="396" spans="1:12" ht="13.5" customHeight="1">
      <c r="A396">
        <f t="shared" si="23"/>
        <v>0</v>
      </c>
      <c r="B396" s="302" t="str">
        <f>IF('09-SLAB ON DECK'!B24="","",'09-SLAB ON DECK'!B24)</f>
        <v/>
      </c>
      <c r="C396" s="292" t="str">
        <f>IF('09-SLAB ON DECK'!E15="","",'09-SLAB ON DECK'!E15)</f>
        <v/>
      </c>
      <c r="D396" s="327" t="str">
        <f>IF('09-SLAB ON DECK'!D24="","",'09-SLAB ON DECK'!D24)</f>
        <v/>
      </c>
      <c r="E396" s="254" t="str">
        <f t="shared" si="24"/>
        <v/>
      </c>
      <c r="F396" s="254"/>
      <c r="K396" s="254"/>
      <c r="L396" s="290">
        <f t="shared" si="25"/>
        <v>0</v>
      </c>
    </row>
    <row r="397" spans="1:12" ht="13.5" customHeight="1">
      <c r="A397">
        <f t="shared" si="23"/>
        <v>0</v>
      </c>
      <c r="B397" s="302" t="str">
        <f>IF('09-SLAB ON DECK'!B25="","",'09-SLAB ON DECK'!B25)</f>
        <v/>
      </c>
      <c r="C397" s="292" t="str">
        <f>IF('09-SLAB ON DECK'!E23="","",'09-SLAB ON DECK'!E23)</f>
        <v/>
      </c>
      <c r="D397" s="327" t="str">
        <f>IF('09-SLAB ON DECK'!D25="","",'09-SLAB ON DECK'!D25)</f>
        <v/>
      </c>
      <c r="E397" s="254" t="str">
        <f t="shared" si="24"/>
        <v/>
      </c>
      <c r="F397" s="254"/>
      <c r="K397" s="254"/>
      <c r="L397" s="290">
        <f t="shared" si="25"/>
        <v>0</v>
      </c>
    </row>
    <row r="398" spans="1:12" ht="13.5" customHeight="1">
      <c r="A398">
        <f t="shared" si="23"/>
        <v>0</v>
      </c>
      <c r="B398" s="302" t="str">
        <f>IF('09-SLAB ON DECK'!B26="","",'09-SLAB ON DECK'!B26)</f>
        <v/>
      </c>
      <c r="C398" s="292" t="str">
        <f>IF('09-SLAB ON DECK'!E24="","",'09-SLAB ON DECK'!E24)</f>
        <v/>
      </c>
      <c r="D398" s="327" t="str">
        <f>IF('09-SLAB ON DECK'!D26="","",'09-SLAB ON DECK'!D26)</f>
        <v/>
      </c>
      <c r="E398" s="254" t="str">
        <f t="shared" si="24"/>
        <v/>
      </c>
      <c r="F398" s="254"/>
      <c r="G398" s="254"/>
      <c r="H398" s="254"/>
      <c r="I398" s="254"/>
      <c r="J398" s="269"/>
      <c r="K398" s="292"/>
      <c r="L398" s="290">
        <f t="shared" si="25"/>
        <v>0</v>
      </c>
    </row>
    <row r="399" spans="1:12" ht="13.5" customHeight="1">
      <c r="A399">
        <f t="shared" si="23"/>
        <v>0</v>
      </c>
      <c r="B399" s="302" t="str">
        <f>IF('09-SLAB ON DECK'!B27="","",'09-SLAB ON DECK'!B27)</f>
        <v/>
      </c>
      <c r="C399" s="292" t="str">
        <f>IF('09-SLAB ON DECK'!E25="","",'09-SLAB ON DECK'!E25)</f>
        <v/>
      </c>
      <c r="D399" s="327" t="str">
        <f>IF('09-SLAB ON DECK'!D27="","",'09-SLAB ON DECK'!D27)</f>
        <v/>
      </c>
      <c r="E399" s="254" t="str">
        <f t="shared" si="24"/>
        <v/>
      </c>
      <c r="F399" s="254"/>
      <c r="G399" s="350"/>
      <c r="H399" s="254"/>
      <c r="I399" s="254"/>
      <c r="J399" s="254"/>
      <c r="K399" s="292"/>
      <c r="L399" s="290">
        <f t="shared" si="25"/>
        <v>0</v>
      </c>
    </row>
    <row r="400" spans="1:12" ht="13.5" customHeight="1">
      <c r="A400">
        <f t="shared" si="23"/>
        <v>0</v>
      </c>
      <c r="B400" s="302" t="str">
        <f>IF('09-SLAB ON DECK'!B28="","",'09-SLAB ON DECK'!B28)</f>
        <v/>
      </c>
      <c r="C400" s="292" t="str">
        <f>IF('09-SLAB ON DECK'!E26="","",'09-SLAB ON DECK'!E26)</f>
        <v/>
      </c>
      <c r="D400" s="327" t="str">
        <f>IF('09-SLAB ON DECK'!D28="","",'09-SLAB ON DECK'!D28)</f>
        <v/>
      </c>
      <c r="E400" s="254" t="str">
        <f t="shared" si="24"/>
        <v/>
      </c>
      <c r="F400" s="254"/>
      <c r="G400" s="254"/>
      <c r="H400" s="254"/>
      <c r="I400" s="254"/>
      <c r="J400" s="254"/>
      <c r="K400" s="281"/>
      <c r="L400" s="290">
        <f t="shared" si="25"/>
        <v>0</v>
      </c>
    </row>
    <row r="401" spans="1:12" ht="13.5" customHeight="1">
      <c r="A401">
        <f t="shared" si="23"/>
        <v>0</v>
      </c>
      <c r="B401" s="302" t="str">
        <f>IF('09-SLAB ON DECK'!B29="","",'09-SLAB ON DECK'!B29)</f>
        <v/>
      </c>
      <c r="C401" s="292" t="str">
        <f>IF('09-SLAB ON DECK'!E21="","",'09-SLAB ON DECK'!E21)</f>
        <v/>
      </c>
      <c r="D401" s="327" t="str">
        <f>IF('09-SLAB ON DECK'!D29="","",'09-SLAB ON DECK'!D29)</f>
        <v/>
      </c>
      <c r="E401" s="254" t="str">
        <f t="shared" si="24"/>
        <v/>
      </c>
      <c r="F401" s="254"/>
      <c r="K401" s="254"/>
      <c r="L401" s="290">
        <f>IF(K432="incl",0,K432)</f>
        <v>0</v>
      </c>
    </row>
    <row r="402" spans="1:12" ht="13.5" customHeight="1">
      <c r="A402">
        <f t="shared" si="23"/>
        <v>0</v>
      </c>
      <c r="B402" s="302" t="str">
        <f>IF('09-SLAB ON DECK'!B30="","",'09-SLAB ON DECK'!B30)</f>
        <v/>
      </c>
      <c r="C402" s="292" t="str">
        <f>IF('09-SLAB ON DECK'!E22="","",'09-SLAB ON DECK'!E22)</f>
        <v/>
      </c>
      <c r="D402" s="327" t="str">
        <f>IF('09-SLAB ON DECK'!D30="","",'09-SLAB ON DECK'!D30)</f>
        <v/>
      </c>
      <c r="E402" s="254" t="str">
        <f t="shared" si="24"/>
        <v/>
      </c>
      <c r="F402" s="254"/>
      <c r="K402" s="254"/>
      <c r="L402" s="290">
        <f>IF(K433="incl",0,K433)</f>
        <v>0</v>
      </c>
    </row>
    <row r="403" spans="1:12" ht="13.5" customHeight="1">
      <c r="A403">
        <f t="shared" si="23"/>
        <v>0</v>
      </c>
      <c r="B403" s="302" t="str">
        <f>IF('09-SLAB ON DECK'!B31="","",'09-SLAB ON DECK'!B31)</f>
        <v/>
      </c>
      <c r="C403" s="292" t="str">
        <f>IF('09-SLAB ON DECK'!E23="","",'09-SLAB ON DECK'!E23)</f>
        <v/>
      </c>
      <c r="D403" s="327" t="str">
        <f>IF('09-SLAB ON DECK'!D31="","",'09-SLAB ON DECK'!D31)</f>
        <v/>
      </c>
      <c r="E403" s="254" t="str">
        <f t="shared" si="24"/>
        <v/>
      </c>
      <c r="F403" s="254"/>
      <c r="K403" s="254"/>
      <c r="L403" s="290">
        <f>IF(K434="incl",0,K434)</f>
        <v>0</v>
      </c>
    </row>
    <row r="404" spans="1:12" ht="13.5" customHeight="1">
      <c r="A404">
        <f t="shared" si="23"/>
        <v>0</v>
      </c>
      <c r="B404" s="302" t="str">
        <f>IF('09-SLAB ON DECK'!B32="","",'09-SLAB ON DECK'!B32)</f>
        <v/>
      </c>
      <c r="C404" s="292" t="str">
        <f>IF('09-SLAB ON DECK'!E24="","",'09-SLAB ON DECK'!E24)</f>
        <v/>
      </c>
      <c r="D404" s="327" t="str">
        <f>IF('09-SLAB ON DECK'!D32="","",'09-SLAB ON DECK'!D32)</f>
        <v/>
      </c>
      <c r="E404" s="254" t="str">
        <f t="shared" si="24"/>
        <v/>
      </c>
      <c r="F404" s="254"/>
      <c r="G404" s="254"/>
      <c r="H404" s="254"/>
      <c r="I404" s="254"/>
      <c r="J404" s="269"/>
      <c r="K404" s="292"/>
    </row>
    <row r="405" spans="1:12" ht="13.5" customHeight="1">
      <c r="A405">
        <f t="shared" si="23"/>
        <v>0</v>
      </c>
      <c r="B405" s="302" t="str">
        <f>IF('09-SLAB ON DECK'!B33="","",'09-SLAB ON DECK'!B33)</f>
        <v/>
      </c>
      <c r="C405" s="292" t="str">
        <f>IF('09-SLAB ON DECK'!E25="","",'09-SLAB ON DECK'!E25)</f>
        <v/>
      </c>
      <c r="D405" s="327" t="str">
        <f>IF('09-SLAB ON DECK'!D33="","",'09-SLAB ON DECK'!D33)</f>
        <v/>
      </c>
      <c r="E405" s="254" t="str">
        <f t="shared" si="24"/>
        <v/>
      </c>
      <c r="F405" s="254"/>
      <c r="G405" s="350"/>
      <c r="H405" s="254"/>
      <c r="I405" s="254"/>
      <c r="J405" s="254"/>
      <c r="K405" s="292"/>
      <c r="L405">
        <f>IF(K436="incl",0,K436)</f>
        <v>0</v>
      </c>
    </row>
    <row r="406" spans="1:12" ht="13.5" customHeight="1">
      <c r="A406">
        <f t="shared" si="23"/>
        <v>0</v>
      </c>
      <c r="B406" s="302" t="str">
        <f>IF('09-SLAB ON DECK'!B34="","",'09-SLAB ON DECK'!B34)</f>
        <v/>
      </c>
      <c r="C406" s="292" t="str">
        <f>IF('09-SLAB ON DECK'!E26="","",'09-SLAB ON DECK'!E26)</f>
        <v/>
      </c>
      <c r="D406" s="327" t="str">
        <f>IF('09-SLAB ON DECK'!D34="","",'09-SLAB ON DECK'!D34)</f>
        <v/>
      </c>
      <c r="E406" s="254" t="str">
        <f t="shared" si="24"/>
        <v/>
      </c>
      <c r="F406" s="254"/>
      <c r="G406" s="254"/>
      <c r="H406" s="254"/>
      <c r="I406" s="254"/>
      <c r="J406" s="254"/>
      <c r="K406" s="281"/>
      <c r="L406">
        <f>IF(K437="incl",0,K437)</f>
        <v>0</v>
      </c>
    </row>
    <row r="407" spans="1:12" ht="13.5" customHeight="1">
      <c r="A407">
        <f t="shared" si="23"/>
        <v>0</v>
      </c>
      <c r="B407" s="302" t="str">
        <f>IF('09-SLAB ON DECK'!B35="","",'09-SLAB ON DECK'!B35)</f>
        <v/>
      </c>
      <c r="C407" s="292" t="str">
        <f>IF('09-SLAB ON DECK'!E27="","",'09-SLAB ON DECK'!E27)</f>
        <v/>
      </c>
      <c r="D407" s="327" t="str">
        <f>IF('09-SLAB ON DECK'!D35="","",'09-SLAB ON DECK'!D35)</f>
        <v/>
      </c>
      <c r="E407" s="254" t="str">
        <f t="shared" si="24"/>
        <v/>
      </c>
      <c r="F407" s="254"/>
      <c r="K407" s="254"/>
      <c r="L407" s="290">
        <f>IF(K438="incl",0,K438)</f>
        <v>0</v>
      </c>
    </row>
    <row r="408" spans="1:12" ht="13.5" customHeight="1">
      <c r="A408">
        <f t="shared" si="23"/>
        <v>0</v>
      </c>
      <c r="B408" s="302" t="str">
        <f>IF('09-SLAB ON DECK'!B36="","",'09-SLAB ON DECK'!B36)</f>
        <v/>
      </c>
      <c r="C408" s="292" t="str">
        <f>IF('09-SLAB ON DECK'!E28="","",'09-SLAB ON DECK'!E28)</f>
        <v/>
      </c>
      <c r="D408" s="327" t="str">
        <f>IF('09-SLAB ON DECK'!D36="","",'09-SLAB ON DECK'!D36)</f>
        <v/>
      </c>
      <c r="E408" s="254" t="str">
        <f t="shared" si="24"/>
        <v/>
      </c>
      <c r="F408" s="254"/>
      <c r="K408" s="254"/>
      <c r="L408" s="290">
        <f>IF(K439="incl",0,K439)</f>
        <v>0</v>
      </c>
    </row>
    <row r="409" spans="1:12" ht="13.5" customHeight="1">
      <c r="A409">
        <f t="shared" si="23"/>
        <v>0</v>
      </c>
      <c r="B409" s="302" t="str">
        <f>IF('09-SLAB ON DECK'!B37="","",'09-SLAB ON DECK'!B37)</f>
        <v/>
      </c>
      <c r="C409" s="292" t="str">
        <f>IF('09-SLAB ON DECK'!E29="","",'09-SLAB ON DECK'!E29)</f>
        <v/>
      </c>
      <c r="D409" s="327" t="str">
        <f>IF('09-SLAB ON DECK'!D37="","",'09-SLAB ON DECK'!D37)</f>
        <v/>
      </c>
      <c r="E409" s="254" t="str">
        <f t="shared" si="24"/>
        <v/>
      </c>
      <c r="F409" s="254"/>
      <c r="K409" s="254"/>
      <c r="L409" s="290">
        <f>IF(K440="incl",0,K440)</f>
        <v>0</v>
      </c>
    </row>
    <row r="410" spans="1:12" ht="13.5" customHeight="1">
      <c r="A410">
        <f t="shared" si="23"/>
        <v>0</v>
      </c>
      <c r="B410" s="302" t="str">
        <f>IF('09-SLAB ON DECK'!B38="","",'09-SLAB ON DECK'!B38)</f>
        <v/>
      </c>
      <c r="C410" s="292" t="str">
        <f>IF('09-SLAB ON DECK'!E30="","",'09-SLAB ON DECK'!E30)</f>
        <v/>
      </c>
      <c r="D410" s="327" t="str">
        <f>IF('09-SLAB ON DECK'!D38="","",'09-SLAB ON DECK'!D38)</f>
        <v/>
      </c>
      <c r="E410" s="254" t="str">
        <f t="shared" si="24"/>
        <v/>
      </c>
      <c r="F410" s="254"/>
      <c r="G410" s="254"/>
      <c r="H410" s="254"/>
      <c r="I410" s="254"/>
      <c r="J410" s="269"/>
      <c r="K410" s="292"/>
    </row>
    <row r="411" spans="1:12" ht="13.5" customHeight="1">
      <c r="A411">
        <f t="shared" si="23"/>
        <v>0</v>
      </c>
      <c r="B411" s="302" t="str">
        <f>IF('09-SLAB ON DECK'!B39="","",'09-SLAB ON DECK'!B39)</f>
        <v/>
      </c>
      <c r="C411" s="292" t="str">
        <f>IF('09-SLAB ON DECK'!E31="","",'09-SLAB ON DECK'!E31)</f>
        <v/>
      </c>
      <c r="D411" s="327" t="str">
        <f>IF('09-SLAB ON DECK'!D39="","",'09-SLAB ON DECK'!D39)</f>
        <v/>
      </c>
      <c r="E411" s="254" t="str">
        <f t="shared" si="24"/>
        <v/>
      </c>
      <c r="F411" s="254"/>
      <c r="G411" s="350"/>
      <c r="H411" s="254"/>
      <c r="I411" s="254"/>
      <c r="J411" s="254"/>
      <c r="K411" s="292"/>
      <c r="L411">
        <f>IF(K442="incl",0,K442)</f>
        <v>0</v>
      </c>
    </row>
    <row r="412" spans="1:12" ht="13.5" customHeight="1">
      <c r="A412">
        <f t="shared" si="23"/>
        <v>0</v>
      </c>
      <c r="B412" s="302" t="str">
        <f>IF('09-SLAB ON DECK'!B40="","",'09-SLAB ON DECK'!B40)</f>
        <v/>
      </c>
      <c r="C412" s="292" t="str">
        <f>IF('09-SLAB ON DECK'!E32="","",'09-SLAB ON DECK'!E32)</f>
        <v/>
      </c>
      <c r="D412" s="327" t="str">
        <f>IF('09-SLAB ON DECK'!D40="","",'09-SLAB ON DECK'!D40)</f>
        <v/>
      </c>
      <c r="E412" s="254" t="str">
        <f t="shared" si="24"/>
        <v/>
      </c>
      <c r="F412" s="254"/>
      <c r="G412" s="254"/>
      <c r="H412" s="254"/>
      <c r="I412" s="254"/>
      <c r="J412" s="254"/>
      <c r="K412" s="281"/>
      <c r="L412">
        <f>IF(K443="incl",0,K443)</f>
        <v>0</v>
      </c>
    </row>
    <row r="413" spans="1:12" ht="13.5" customHeight="1">
      <c r="A413">
        <f t="shared" si="23"/>
        <v>0</v>
      </c>
      <c r="B413" s="302" t="str">
        <f>IF('09-SLAB ON DECK'!B41="","",'09-SLAB ON DECK'!B41)</f>
        <v/>
      </c>
      <c r="C413" s="292" t="str">
        <f>IF('09-SLAB ON DECK'!E33="","",'09-SLAB ON DECK'!E33)</f>
        <v/>
      </c>
      <c r="D413" s="327" t="str">
        <f>IF('09-SLAB ON DECK'!D41="","",'09-SLAB ON DECK'!D41)</f>
        <v/>
      </c>
      <c r="E413" s="254" t="str">
        <f t="shared" si="24"/>
        <v/>
      </c>
      <c r="F413" s="254"/>
      <c r="K413" s="254"/>
      <c r="L413">
        <f>IF(K451="incl",0,K451)</f>
        <v>0</v>
      </c>
    </row>
    <row r="414" spans="1:12" ht="13.5" customHeight="1">
      <c r="A414">
        <f t="shared" ref="A414:A420" si="26">IF(SUM(A$382:A$413)&gt;0,1,0)</f>
        <v>0</v>
      </c>
      <c r="B414" s="312"/>
      <c r="C414" s="269" t="str">
        <f>IF('09-SLAB ON DECK'!E34="","",'09-SLAB ON DECK'!E34)</f>
        <v/>
      </c>
      <c r="D414" s="337" t="str">
        <f>IF('09-SLAB ON DECK'!C34="","",'09-SLAB ON DECK'!C34)</f>
        <v/>
      </c>
      <c r="E414" s="254" t="str">
        <f t="shared" si="24"/>
        <v/>
      </c>
      <c r="F414" s="254"/>
      <c r="K414" s="254"/>
      <c r="L414">
        <f>IF(K452="incl",0,K452)</f>
        <v>0</v>
      </c>
    </row>
    <row r="415" spans="1:12" ht="13.5" customHeight="1">
      <c r="A415">
        <f t="shared" si="26"/>
        <v>0</v>
      </c>
      <c r="B415" s="340" t="s">
        <v>840</v>
      </c>
      <c r="C415" s="254"/>
      <c r="D415" s="254"/>
      <c r="E415" s="254"/>
      <c r="F415" s="254"/>
      <c r="G415" s="254"/>
      <c r="H415" s="254"/>
      <c r="I415" s="254"/>
      <c r="J415" s="254"/>
      <c r="K415" s="281"/>
      <c r="L415" t="e">
        <f>IF(#REF!="incl",0,#REF!)</f>
        <v>#REF!</v>
      </c>
    </row>
    <row r="416" spans="1:12" ht="13.5" customHeight="1">
      <c r="A416">
        <f t="shared" si="26"/>
        <v>0</v>
      </c>
      <c r="B416" s="254" t="s">
        <v>887</v>
      </c>
      <c r="D416" s="254"/>
      <c r="E416" s="254"/>
      <c r="F416" s="254"/>
      <c r="K416" s="254"/>
      <c r="L416">
        <f>IF(K454="incl",0,K454)</f>
        <v>0</v>
      </c>
    </row>
    <row r="417" spans="1:14" ht="13.5" customHeight="1">
      <c r="A417">
        <f t="shared" si="26"/>
        <v>0</v>
      </c>
      <c r="B417" s="254" t="s">
        <v>888</v>
      </c>
      <c r="C417" s="254"/>
      <c r="D417" s="254"/>
      <c r="E417" s="254"/>
      <c r="F417" s="254"/>
      <c r="G417" s="254"/>
      <c r="H417" s="254"/>
      <c r="I417" s="254"/>
      <c r="J417" s="254"/>
      <c r="K417" s="254"/>
      <c r="L417">
        <f>IF(K455="incl",0,K455)</f>
        <v>0</v>
      </c>
    </row>
    <row r="418" spans="1:14" ht="13.5" customHeight="1">
      <c r="A418">
        <f t="shared" si="26"/>
        <v>0</v>
      </c>
      <c r="B418" s="298" t="s">
        <v>843</v>
      </c>
      <c r="C418" s="254"/>
      <c r="D418" s="254"/>
      <c r="E418" s="254"/>
      <c r="F418" s="254"/>
      <c r="K418" s="254"/>
      <c r="L418">
        <f>IF(K458="incl",0,K458)</f>
        <v>0</v>
      </c>
    </row>
    <row r="419" spans="1:14" ht="13.5" customHeight="1">
      <c r="A419">
        <f t="shared" si="26"/>
        <v>0</v>
      </c>
      <c r="B419" s="254" t="s">
        <v>889</v>
      </c>
      <c r="C419" s="254"/>
      <c r="D419" s="254"/>
      <c r="E419" s="254"/>
      <c r="F419" s="254"/>
      <c r="G419" s="254"/>
      <c r="H419" s="254"/>
      <c r="I419" s="254"/>
      <c r="J419" s="254"/>
      <c r="K419" s="254"/>
      <c r="L419">
        <f>IF(K459="incl",0,K459)</f>
        <v>0</v>
      </c>
    </row>
    <row r="420" spans="1:14" ht="13.5" customHeight="1">
      <c r="A420">
        <f t="shared" si="26"/>
        <v>0</v>
      </c>
      <c r="B420" s="254"/>
      <c r="C420" s="254"/>
      <c r="D420" s="254"/>
      <c r="E420" s="254"/>
      <c r="F420" s="254"/>
      <c r="G420" s="254"/>
      <c r="H420" s="254"/>
      <c r="I420" s="254"/>
      <c r="J420" s="254"/>
      <c r="K420" s="254"/>
      <c r="L420">
        <f>IF(K460="incl",0,K460)</f>
        <v>0</v>
      </c>
    </row>
    <row r="421" spans="1:14" ht="30" customHeight="1">
      <c r="A421">
        <f>IF(SUM(A$425:A$441)&gt;0,1,0)</f>
        <v>1</v>
      </c>
      <c r="B421" s="254"/>
      <c r="C421" s="254"/>
      <c r="D421" s="254"/>
      <c r="E421" s="255" t="s">
        <v>825</v>
      </c>
      <c r="F421" s="254"/>
      <c r="G421" s="254"/>
      <c r="H421" s="254"/>
      <c r="I421" s="254"/>
      <c r="J421" s="254"/>
      <c r="K421" s="356"/>
    </row>
    <row r="422" spans="1:14" ht="13.5" customHeight="1">
      <c r="A422">
        <f>IF(SUM(A$425:A$441)&gt;0,1,0)</f>
        <v>1</v>
      </c>
      <c r="B422" s="315"/>
      <c r="C422" s="254"/>
      <c r="D422" s="254"/>
      <c r="E422" s="255"/>
      <c r="F422" s="254"/>
      <c r="G422" s="254"/>
      <c r="H422" s="254"/>
      <c r="I422" s="254"/>
      <c r="J422" s="254"/>
      <c r="K422" s="254"/>
    </row>
    <row r="423" spans="1:14" ht="19.5" customHeight="1">
      <c r="A423">
        <f>IF(SUM(A$425:A$441)&gt;0,1,0)</f>
        <v>1</v>
      </c>
      <c r="B423" s="294" t="s">
        <v>890</v>
      </c>
      <c r="C423" s="2896">
        <f>'10-PAVING'!D39</f>
        <v>1654003.3036612102</v>
      </c>
      <c r="D423" s="2896"/>
      <c r="E423" s="330"/>
      <c r="F423" s="330"/>
      <c r="G423" s="320"/>
      <c r="H423" s="320"/>
      <c r="I423" s="331"/>
      <c r="J423" s="331"/>
      <c r="K423" s="320"/>
      <c r="L423">
        <f>IF(K465="incl",0,K465)</f>
        <v>0</v>
      </c>
      <c r="N423" s="273">
        <f>'10-PAVING'!D39</f>
        <v>1654003.3036612102</v>
      </c>
    </row>
    <row r="424" spans="1:14" ht="13.5" customHeight="1">
      <c r="A424" s="319">
        <f>IF(SUM(A$425:A$441)&gt;0,1,0)</f>
        <v>1</v>
      </c>
      <c r="B424" s="341" t="s">
        <v>847</v>
      </c>
      <c r="C424" s="342" t="s">
        <v>858</v>
      </c>
      <c r="D424" s="342" t="s">
        <v>859</v>
      </c>
      <c r="E424" s="342" t="s">
        <v>519</v>
      </c>
      <c r="F424" s="2897" t="s">
        <v>891</v>
      </c>
      <c r="G424" s="2897"/>
      <c r="H424" s="293"/>
      <c r="I424" s="318"/>
      <c r="J424" s="318"/>
      <c r="K424" s="357"/>
      <c r="L424">
        <f>IF(K466="incl",0,K466)</f>
        <v>0</v>
      </c>
    </row>
    <row r="425" spans="1:14" ht="13.5" customHeight="1">
      <c r="A425">
        <f t="shared" ref="A425:A449" si="27">IF(B425="",0,1)</f>
        <v>1</v>
      </c>
      <c r="B425" s="254" t="str">
        <f>IF('10-PAVING'!A10="","",'10-PAVING'!A10)</f>
        <v>Light Duty parking</v>
      </c>
      <c r="C425" s="358">
        <f>IF('10-PAVING'!E10="","",'10-PAVING'!E10)</f>
        <v>5</v>
      </c>
      <c r="D425" s="359">
        <f>IF('10-PAVING'!C10="","",'10-PAVING'!C10)</f>
        <v>187752</v>
      </c>
      <c r="E425" s="360" t="str">
        <f t="shared" ref="E425:E449" si="28">IF(D425="","","SqFt")</f>
        <v>SqFt</v>
      </c>
      <c r="F425" s="2898">
        <f>'10-PAVING'!U10</f>
        <v>1102093.9996957744</v>
      </c>
      <c r="G425" s="2898"/>
      <c r="H425" s="293"/>
      <c r="I425" s="293"/>
      <c r="J425" s="293"/>
      <c r="K425" s="286"/>
    </row>
    <row r="426" spans="1:14" ht="13.5" customHeight="1">
      <c r="A426">
        <f t="shared" si="27"/>
        <v>1</v>
      </c>
      <c r="B426" s="254" t="str">
        <f>IF('10-PAVING'!A11="","",'10-PAVING'!A11)</f>
        <v>Firelane</v>
      </c>
      <c r="C426" s="358">
        <f>IF('10-PAVING'!E11="","",'10-PAVING'!E11)</f>
        <v>6</v>
      </c>
      <c r="D426" s="359">
        <f>IF('10-PAVING'!C11="","",'10-PAVING'!C11)</f>
        <v>82399</v>
      </c>
      <c r="E426" s="361" t="str">
        <f t="shared" si="28"/>
        <v>SqFt</v>
      </c>
      <c r="F426" s="2898">
        <f>'10-PAVING'!U11</f>
        <v>535329.95365191484</v>
      </c>
      <c r="G426" s="2898"/>
      <c r="H426" s="254"/>
      <c r="I426" s="293"/>
      <c r="J426" s="254"/>
      <c r="K426" s="286"/>
    </row>
    <row r="427" spans="1:14" ht="13.5" customHeight="1">
      <c r="A427">
        <f t="shared" si="27"/>
        <v>1</v>
      </c>
      <c r="B427" s="254" t="str">
        <f>IF('10-PAVING'!A12="","",'10-PAVING'!A12)</f>
        <v>Heavy Duty</v>
      </c>
      <c r="C427" s="358">
        <f>IF('10-PAVING'!E12="","",'10-PAVING'!E12)</f>
        <v>6</v>
      </c>
      <c r="D427" s="359">
        <f>IF('10-PAVING'!C12="","",'10-PAVING'!C12)</f>
        <v>2552</v>
      </c>
      <c r="E427" s="361" t="str">
        <f t="shared" si="28"/>
        <v>SqFt</v>
      </c>
      <c r="F427" s="2898">
        <f>'10-PAVING'!U12</f>
        <v>16579.350313521056</v>
      </c>
      <c r="G427" s="2898"/>
      <c r="H427" s="254"/>
      <c r="I427" s="293"/>
      <c r="J427" s="254"/>
      <c r="K427" s="286"/>
    </row>
    <row r="428" spans="1:14" ht="13.5" customHeight="1">
      <c r="A428">
        <f t="shared" si="27"/>
        <v>0</v>
      </c>
      <c r="B428" s="254" t="str">
        <f>IF('10-PAVING'!A13="","",'10-PAVING'!A13)</f>
        <v/>
      </c>
      <c r="C428" s="358" t="str">
        <f>IF('10-PAVING'!E13="","",'10-PAVING'!E13)</f>
        <v/>
      </c>
      <c r="D428" s="359" t="str">
        <f>IF('10-PAVING'!C13="","",'10-PAVING'!C13)</f>
        <v/>
      </c>
      <c r="E428" s="361" t="str">
        <f t="shared" si="28"/>
        <v/>
      </c>
      <c r="F428" s="2898">
        <f>'10-PAVING'!U13</f>
        <v>0</v>
      </c>
      <c r="G428" s="2898"/>
      <c r="H428" s="254"/>
      <c r="I428" s="293"/>
      <c r="J428" s="254"/>
      <c r="K428" s="286"/>
      <c r="L428">
        <f>IF(K470="incl",0,K470)</f>
        <v>0</v>
      </c>
    </row>
    <row r="429" spans="1:14" ht="13.5" customHeight="1">
      <c r="A429">
        <f t="shared" si="27"/>
        <v>0</v>
      </c>
      <c r="B429" s="254" t="str">
        <f>IF('10-PAVING'!A14="","",'10-PAVING'!A14)</f>
        <v/>
      </c>
      <c r="C429" s="358" t="str">
        <f>IF('10-PAVING'!E14="","",'10-PAVING'!E14)</f>
        <v/>
      </c>
      <c r="D429" s="359" t="str">
        <f>IF('10-PAVING'!C14="","",'10-PAVING'!C14)</f>
        <v/>
      </c>
      <c r="E429" s="361" t="str">
        <f t="shared" si="28"/>
        <v/>
      </c>
      <c r="F429" s="2898">
        <f>'10-PAVING'!U14</f>
        <v>0</v>
      </c>
      <c r="G429" s="2898"/>
      <c r="H429" s="293"/>
      <c r="I429" s="293"/>
      <c r="J429" s="293"/>
      <c r="K429" s="286"/>
      <c r="L429">
        <f>IF(K476="incl",0,K476)</f>
        <v>0</v>
      </c>
    </row>
    <row r="430" spans="1:14" ht="13.5" customHeight="1">
      <c r="A430">
        <f t="shared" si="27"/>
        <v>0</v>
      </c>
      <c r="B430" s="254" t="str">
        <f>IF('10-PAVING'!A15="","",'10-PAVING'!A15)</f>
        <v/>
      </c>
      <c r="C430" s="358" t="str">
        <f>IF('10-PAVING'!E15="","",'10-PAVING'!E15)</f>
        <v/>
      </c>
      <c r="D430" s="359" t="str">
        <f>IF('10-PAVING'!C15="","",'10-PAVING'!C15)</f>
        <v/>
      </c>
      <c r="E430" s="361" t="str">
        <f t="shared" si="28"/>
        <v/>
      </c>
      <c r="F430" s="2898">
        <f>'10-PAVING'!U15</f>
        <v>0</v>
      </c>
      <c r="G430" s="2898"/>
      <c r="H430" s="254"/>
      <c r="I430" s="293"/>
      <c r="J430" s="254"/>
      <c r="K430" s="286"/>
    </row>
    <row r="431" spans="1:14" ht="13.5" customHeight="1">
      <c r="A431">
        <f t="shared" si="27"/>
        <v>0</v>
      </c>
      <c r="B431" s="254" t="str">
        <f>IF('10-PAVING'!A16="","",'10-PAVING'!A16)</f>
        <v/>
      </c>
      <c r="C431" s="358" t="str">
        <f>IF('10-PAVING'!E16="","",'10-PAVING'!E16)</f>
        <v/>
      </c>
      <c r="D431" s="359" t="str">
        <f>IF('10-PAVING'!C16="","",'10-PAVING'!C16)</f>
        <v/>
      </c>
      <c r="E431" s="361" t="str">
        <f t="shared" si="28"/>
        <v/>
      </c>
      <c r="F431" s="2898">
        <f>'10-PAVING'!U16</f>
        <v>0</v>
      </c>
      <c r="G431" s="2898"/>
      <c r="H431" s="254"/>
      <c r="I431" s="293"/>
      <c r="J431" s="254"/>
      <c r="K431" s="286"/>
    </row>
    <row r="432" spans="1:14" ht="13.5" customHeight="1">
      <c r="A432">
        <f t="shared" si="27"/>
        <v>0</v>
      </c>
      <c r="B432" s="254" t="str">
        <f>IF('10-PAVING'!A17="","",'10-PAVING'!A17)</f>
        <v/>
      </c>
      <c r="C432" s="358" t="str">
        <f>IF('10-PAVING'!E17="","",'10-PAVING'!E17)</f>
        <v/>
      </c>
      <c r="D432" s="359" t="str">
        <f>IF('10-PAVING'!C17="","",'10-PAVING'!C17)</f>
        <v/>
      </c>
      <c r="E432" s="361" t="str">
        <f t="shared" si="28"/>
        <v/>
      </c>
      <c r="F432" s="2898">
        <f>'10-PAVING'!U17</f>
        <v>0</v>
      </c>
      <c r="G432" s="2898"/>
      <c r="H432" s="254"/>
      <c r="I432" s="293"/>
      <c r="J432" s="254"/>
      <c r="K432" s="286"/>
    </row>
    <row r="433" spans="1:12" ht="13.5" customHeight="1">
      <c r="A433">
        <f t="shared" si="27"/>
        <v>0</v>
      </c>
      <c r="B433" s="254" t="str">
        <f>IF('10-PAVING'!A18="","",'10-PAVING'!A18)</f>
        <v/>
      </c>
      <c r="C433" s="358" t="str">
        <f>IF('10-PAVING'!E18="","",'10-PAVING'!E18)</f>
        <v/>
      </c>
      <c r="D433" s="359" t="str">
        <f>IF('10-PAVING'!C18="","",'10-PAVING'!C18)</f>
        <v/>
      </c>
      <c r="E433" s="361" t="str">
        <f t="shared" si="28"/>
        <v/>
      </c>
      <c r="F433" s="2898">
        <f>'10-PAVING'!U18</f>
        <v>0</v>
      </c>
      <c r="G433" s="2898"/>
      <c r="H433" s="293"/>
      <c r="I433" s="293"/>
      <c r="J433" s="293"/>
      <c r="K433" s="286"/>
      <c r="L433" s="290">
        <f t="shared" ref="L433:L439" si="29">IF(K480="incl",0,K480)</f>
        <v>0</v>
      </c>
    </row>
    <row r="434" spans="1:12" ht="13.5" customHeight="1">
      <c r="A434">
        <f t="shared" si="27"/>
        <v>0</v>
      </c>
      <c r="B434" s="254" t="str">
        <f>IF('10-PAVING'!A19="","",'10-PAVING'!A19)</f>
        <v/>
      </c>
      <c r="C434" s="358" t="str">
        <f>IF('10-PAVING'!E19="","",'10-PAVING'!E19)</f>
        <v/>
      </c>
      <c r="D434" s="359" t="str">
        <f>IF('10-PAVING'!C19="","",'10-PAVING'!C19)</f>
        <v/>
      </c>
      <c r="E434" s="361" t="str">
        <f t="shared" si="28"/>
        <v/>
      </c>
      <c r="F434" s="2898">
        <f>'10-PAVING'!U19</f>
        <v>0</v>
      </c>
      <c r="G434" s="2898"/>
      <c r="H434" s="254"/>
      <c r="I434" s="293"/>
      <c r="J434" s="254"/>
      <c r="K434" s="286"/>
      <c r="L434" s="290">
        <f t="shared" si="29"/>
        <v>0</v>
      </c>
    </row>
    <row r="435" spans="1:12" ht="13.5" customHeight="1">
      <c r="A435">
        <f t="shared" si="27"/>
        <v>0</v>
      </c>
      <c r="B435" s="254" t="str">
        <f>IF('10-PAVING'!A20="","",'10-PAVING'!A20)</f>
        <v/>
      </c>
      <c r="C435" s="358" t="str">
        <f>IF('10-PAVING'!E20="","",'10-PAVING'!E20)</f>
        <v/>
      </c>
      <c r="D435" s="359" t="str">
        <f>IF('10-PAVING'!C20="","",'10-PAVING'!C20)</f>
        <v/>
      </c>
      <c r="E435" s="361" t="str">
        <f t="shared" si="28"/>
        <v/>
      </c>
      <c r="F435" s="2898">
        <f>'10-PAVING'!U20</f>
        <v>0</v>
      </c>
      <c r="G435" s="2898"/>
      <c r="H435" s="254"/>
      <c r="I435" s="293"/>
      <c r="J435" s="254"/>
      <c r="K435" s="286"/>
      <c r="L435">
        <f t="shared" si="29"/>
        <v>0</v>
      </c>
    </row>
    <row r="436" spans="1:12" ht="13.5" customHeight="1">
      <c r="A436">
        <f t="shared" si="27"/>
        <v>0</v>
      </c>
      <c r="B436" s="254" t="str">
        <f>IF('10-PAVING'!A21="","",'10-PAVING'!A21)</f>
        <v/>
      </c>
      <c r="C436" s="358" t="str">
        <f>IF('10-PAVING'!E21="","",'10-PAVING'!E21)</f>
        <v/>
      </c>
      <c r="D436" s="359" t="str">
        <f>IF('10-PAVING'!C21="","",'10-PAVING'!C21)</f>
        <v/>
      </c>
      <c r="E436" s="361" t="str">
        <f t="shared" si="28"/>
        <v/>
      </c>
      <c r="F436" s="2898">
        <f>'10-PAVING'!U21</f>
        <v>0</v>
      </c>
      <c r="G436" s="2898"/>
      <c r="H436" s="254"/>
      <c r="I436" s="293"/>
      <c r="J436" s="254"/>
      <c r="K436" s="286"/>
      <c r="L436" s="301">
        <f t="shared" si="29"/>
        <v>0</v>
      </c>
    </row>
    <row r="437" spans="1:12" ht="13.5" customHeight="1">
      <c r="A437">
        <f t="shared" si="27"/>
        <v>0</v>
      </c>
      <c r="B437" s="254" t="str">
        <f>IF('10-PAVING'!A22="","",'10-PAVING'!A22)</f>
        <v/>
      </c>
      <c r="C437" s="358" t="str">
        <f>IF('10-PAVING'!E22="","",'10-PAVING'!E22)</f>
        <v/>
      </c>
      <c r="D437" s="359" t="str">
        <f>IF('10-PAVING'!C22="","",'10-PAVING'!C22)</f>
        <v/>
      </c>
      <c r="E437" s="361" t="str">
        <f t="shared" si="28"/>
        <v/>
      </c>
      <c r="F437" s="2898">
        <f>'10-PAVING'!U22</f>
        <v>0</v>
      </c>
      <c r="G437" s="2898"/>
      <c r="H437" s="293"/>
      <c r="I437" s="293"/>
      <c r="J437" s="293"/>
      <c r="K437" s="286"/>
      <c r="L437" s="301">
        <f t="shared" si="29"/>
        <v>0</v>
      </c>
    </row>
    <row r="438" spans="1:12" ht="13.5" customHeight="1">
      <c r="A438">
        <f t="shared" si="27"/>
        <v>0</v>
      </c>
      <c r="B438" s="254" t="str">
        <f>IF('10-PAVING'!A23="","",'10-PAVING'!A23)</f>
        <v/>
      </c>
      <c r="C438" s="358" t="str">
        <f>IF('10-PAVING'!E23="","",'10-PAVING'!E23)</f>
        <v/>
      </c>
      <c r="D438" s="359" t="str">
        <f>IF('10-PAVING'!C23="","",'10-PAVING'!C23)</f>
        <v/>
      </c>
      <c r="E438" s="361" t="str">
        <f t="shared" si="28"/>
        <v/>
      </c>
      <c r="F438" s="2898">
        <f>'10-PAVING'!U23</f>
        <v>0</v>
      </c>
      <c r="G438" s="2898"/>
      <c r="H438" s="254"/>
      <c r="I438" s="293"/>
      <c r="J438" s="254"/>
      <c r="K438" s="286"/>
      <c r="L438" s="301">
        <f t="shared" si="29"/>
        <v>0</v>
      </c>
    </row>
    <row r="439" spans="1:12" ht="13.5" customHeight="1">
      <c r="A439">
        <f t="shared" si="27"/>
        <v>0</v>
      </c>
      <c r="B439" s="254" t="str">
        <f>IF('10-PAVING'!A24="","",'10-PAVING'!A24)</f>
        <v/>
      </c>
      <c r="C439" s="358" t="str">
        <f>IF('10-PAVING'!E24="","",'10-PAVING'!E24)</f>
        <v/>
      </c>
      <c r="D439" s="359" t="str">
        <f>IF('10-PAVING'!C24="","",'10-PAVING'!C24)</f>
        <v/>
      </c>
      <c r="E439" s="361" t="str">
        <f t="shared" si="28"/>
        <v/>
      </c>
      <c r="F439" s="2898">
        <f>'10-PAVING'!U24</f>
        <v>0</v>
      </c>
      <c r="G439" s="2898"/>
      <c r="H439" s="254"/>
      <c r="I439" s="293"/>
      <c r="J439" s="254"/>
      <c r="K439" s="286"/>
      <c r="L439" s="301">
        <f t="shared" si="29"/>
        <v>0</v>
      </c>
    </row>
    <row r="440" spans="1:12" ht="13.5" customHeight="1">
      <c r="A440">
        <f t="shared" si="27"/>
        <v>0</v>
      </c>
      <c r="B440" s="254" t="str">
        <f>IF('10-PAVING'!A25="","",'10-PAVING'!A25)</f>
        <v/>
      </c>
      <c r="C440" s="358" t="str">
        <f>IF('10-PAVING'!E25="","",'10-PAVING'!E25)</f>
        <v/>
      </c>
      <c r="D440" s="359" t="str">
        <f>IF('10-PAVING'!C25="","",'10-PAVING'!C25)</f>
        <v/>
      </c>
      <c r="E440" s="361" t="str">
        <f t="shared" si="28"/>
        <v/>
      </c>
      <c r="F440" s="2898">
        <f>'10-PAVING'!U25</f>
        <v>0</v>
      </c>
      <c r="G440" s="2898"/>
      <c r="H440" s="254"/>
      <c r="I440" s="293"/>
      <c r="J440" s="254"/>
      <c r="K440" s="286"/>
      <c r="L440" t="e">
        <f>IF(#REF!="incl",0,#REF!)</f>
        <v>#REF!</v>
      </c>
    </row>
    <row r="441" spans="1:12" ht="13.5" customHeight="1">
      <c r="A441">
        <f t="shared" si="27"/>
        <v>0</v>
      </c>
      <c r="B441" s="254" t="str">
        <f>IF('10-PAVING'!A26="","",'10-PAVING'!A26)</f>
        <v/>
      </c>
      <c r="C441" s="358" t="str">
        <f>IF('10-PAVING'!E26="","",'10-PAVING'!E26)</f>
        <v/>
      </c>
      <c r="D441" s="359" t="str">
        <f>IF('10-PAVING'!C26="","",'10-PAVING'!C26)</f>
        <v/>
      </c>
      <c r="E441" s="361" t="str">
        <f t="shared" si="28"/>
        <v/>
      </c>
      <c r="F441" s="2898">
        <f>'10-PAVING'!U26</f>
        <v>0</v>
      </c>
      <c r="G441" s="2898"/>
      <c r="H441" s="254"/>
      <c r="I441" s="293"/>
      <c r="J441" s="254"/>
      <c r="K441" s="286"/>
      <c r="L441">
        <f>IF(K488="incl",0,K488)</f>
        <v>0</v>
      </c>
    </row>
    <row r="442" spans="1:12" ht="13.5" customHeight="1">
      <c r="A442">
        <f t="shared" si="27"/>
        <v>0</v>
      </c>
      <c r="B442" s="254" t="str">
        <f>IF('10-PAVING'!A27="","",'10-PAVING'!A27)</f>
        <v/>
      </c>
      <c r="C442" s="358" t="str">
        <f>IF('10-PAVING'!E27="","",'10-PAVING'!E27)</f>
        <v/>
      </c>
      <c r="D442" s="359" t="str">
        <f>IF('10-PAVING'!C27="","",'10-PAVING'!C27)</f>
        <v/>
      </c>
      <c r="E442" s="361" t="str">
        <f t="shared" si="28"/>
        <v/>
      </c>
      <c r="F442" s="2898">
        <f>'10-PAVING'!U27</f>
        <v>0</v>
      </c>
      <c r="G442" s="2898"/>
      <c r="H442" s="269"/>
      <c r="I442" s="362"/>
      <c r="J442" s="363"/>
      <c r="K442" s="293"/>
      <c r="L442">
        <f>IF(K489="incl",0,K489)</f>
        <v>0</v>
      </c>
    </row>
    <row r="443" spans="1:12" ht="13.5" customHeight="1">
      <c r="A443">
        <f t="shared" si="27"/>
        <v>0</v>
      </c>
      <c r="B443" s="254" t="str">
        <f>IF('10-PAVING'!A28="","",'10-PAVING'!A28)</f>
        <v/>
      </c>
      <c r="C443" s="358" t="str">
        <f>IF('10-PAVING'!E28="","",'10-PAVING'!E28)</f>
        <v/>
      </c>
      <c r="D443" s="359" t="str">
        <f>IF('10-PAVING'!C28="","",'10-PAVING'!C28)</f>
        <v/>
      </c>
      <c r="E443" s="361" t="str">
        <f t="shared" si="28"/>
        <v/>
      </c>
      <c r="F443" s="2898">
        <f>'10-PAVING'!U28</f>
        <v>0</v>
      </c>
      <c r="G443" s="2898"/>
      <c r="I443" s="256"/>
      <c r="J443" s="256"/>
      <c r="K443" s="293"/>
    </row>
    <row r="444" spans="1:12" ht="13.5" customHeight="1">
      <c r="A444">
        <f t="shared" si="27"/>
        <v>0</v>
      </c>
      <c r="B444" s="254"/>
      <c r="C444" s="358" t="str">
        <f>IF('10-PAVING'!E29="","",'10-PAVING'!E29)</f>
        <v/>
      </c>
      <c r="D444" s="359" t="str">
        <f>IF('10-PAVING'!C29="","",'10-PAVING'!C29)</f>
        <v/>
      </c>
      <c r="E444" s="361" t="str">
        <f t="shared" si="28"/>
        <v/>
      </c>
      <c r="F444" s="2898">
        <f>'10-PAVING'!U29</f>
        <v>0</v>
      </c>
      <c r="G444" s="2898"/>
      <c r="I444" s="256"/>
      <c r="J444" s="256"/>
      <c r="K444" s="293"/>
    </row>
    <row r="445" spans="1:12" ht="13.5" customHeight="1">
      <c r="A445">
        <f t="shared" si="27"/>
        <v>0</v>
      </c>
      <c r="B445" s="254"/>
      <c r="C445" s="358" t="str">
        <f>IF('10-PAVING'!E30="","",'10-PAVING'!E30)</f>
        <v/>
      </c>
      <c r="D445" s="359" t="str">
        <f>IF('10-PAVING'!C30="","",'10-PAVING'!C30)</f>
        <v/>
      </c>
      <c r="E445" s="361" t="str">
        <f t="shared" si="28"/>
        <v/>
      </c>
      <c r="F445" s="2898">
        <f>'10-PAVING'!U30</f>
        <v>0</v>
      </c>
      <c r="G445" s="2898"/>
      <c r="I445" s="256"/>
      <c r="J445" s="256"/>
      <c r="K445" s="293"/>
    </row>
    <row r="446" spans="1:12" ht="13.5" customHeight="1">
      <c r="A446">
        <f t="shared" si="27"/>
        <v>0</v>
      </c>
      <c r="B446" s="254"/>
      <c r="C446" s="358" t="str">
        <f>IF('10-PAVING'!E31="","",'10-PAVING'!E31)</f>
        <v/>
      </c>
      <c r="D446" s="359" t="str">
        <f>IF('10-PAVING'!C31="","",'10-PAVING'!C31)</f>
        <v/>
      </c>
      <c r="E446" s="361" t="str">
        <f t="shared" si="28"/>
        <v/>
      </c>
      <c r="F446" s="2898">
        <f>'10-PAVING'!U31</f>
        <v>0</v>
      </c>
      <c r="G446" s="2898"/>
      <c r="I446" s="256"/>
      <c r="J446" s="256"/>
      <c r="K446" s="293"/>
    </row>
    <row r="447" spans="1:12" ht="13.5" customHeight="1">
      <c r="A447">
        <f t="shared" si="27"/>
        <v>0</v>
      </c>
      <c r="B447" s="254"/>
      <c r="C447" s="358" t="str">
        <f>IF('10-PAVING'!E32="","",'10-PAVING'!E32)</f>
        <v/>
      </c>
      <c r="D447" s="359" t="str">
        <f>IF('10-PAVING'!C32="","",'10-PAVING'!C32)</f>
        <v/>
      </c>
      <c r="E447" s="361" t="str">
        <f t="shared" si="28"/>
        <v/>
      </c>
      <c r="F447" s="2898">
        <f>'10-PAVING'!U32</f>
        <v>0</v>
      </c>
      <c r="G447" s="2898"/>
      <c r="I447" s="256"/>
      <c r="J447" s="256"/>
      <c r="K447" s="293"/>
    </row>
    <row r="448" spans="1:12" ht="13.5" customHeight="1">
      <c r="A448">
        <f t="shared" si="27"/>
        <v>0</v>
      </c>
      <c r="B448" s="254"/>
      <c r="C448" s="358" t="str">
        <f>IF('10-PAVING'!E33="","",'10-PAVING'!E33)</f>
        <v/>
      </c>
      <c r="D448" s="359" t="str">
        <f>IF('10-PAVING'!C33="","",'10-PAVING'!C33)</f>
        <v/>
      </c>
      <c r="E448" s="361" t="str">
        <f t="shared" si="28"/>
        <v/>
      </c>
      <c r="F448" s="2898">
        <f>'10-PAVING'!U33</f>
        <v>0</v>
      </c>
      <c r="G448" s="2898"/>
      <c r="I448" s="256"/>
      <c r="J448" s="256"/>
      <c r="K448" s="293"/>
    </row>
    <row r="449" spans="1:14" ht="13.5" customHeight="1">
      <c r="A449">
        <f t="shared" si="27"/>
        <v>0</v>
      </c>
      <c r="B449" s="254"/>
      <c r="C449" s="358" t="str">
        <f>IF('10-PAVING'!E34="","",'10-PAVING'!E34)</f>
        <v/>
      </c>
      <c r="D449" s="359" t="str">
        <f>IF('10-PAVING'!C34="","",'10-PAVING'!C34)</f>
        <v/>
      </c>
      <c r="E449" s="361" t="str">
        <f t="shared" si="28"/>
        <v/>
      </c>
      <c r="F449" s="2898">
        <f>'10-PAVING'!U34</f>
        <v>0</v>
      </c>
      <c r="G449" s="2898"/>
      <c r="I449" s="256"/>
      <c r="J449" s="256"/>
      <c r="K449" s="293"/>
    </row>
    <row r="450" spans="1:14" ht="13.5" customHeight="1">
      <c r="B450" s="254"/>
      <c r="C450" s="358"/>
      <c r="D450" s="359"/>
      <c r="E450" s="361"/>
      <c r="F450" s="354"/>
      <c r="G450" s="354"/>
      <c r="I450" s="256"/>
      <c r="J450" s="256"/>
      <c r="K450" s="293"/>
    </row>
    <row r="451" spans="1:14" ht="13.5" customHeight="1">
      <c r="A451" s="254">
        <f t="shared" ref="A451:A457" si="30">IF(SUM(A$425:A$441)&gt;0,1,0)</f>
        <v>1</v>
      </c>
      <c r="B451" s="298" t="s">
        <v>892</v>
      </c>
      <c r="C451" s="254"/>
      <c r="E451" s="361"/>
      <c r="F451" s="361"/>
      <c r="G451" s="293"/>
      <c r="H451" s="293"/>
      <c r="I451" s="333"/>
      <c r="J451" s="333"/>
      <c r="K451" s="293"/>
    </row>
    <row r="452" spans="1:14" ht="13.5" customHeight="1">
      <c r="A452" s="254">
        <f t="shared" si="30"/>
        <v>1</v>
      </c>
      <c r="B452" s="254" t="s">
        <v>893</v>
      </c>
      <c r="C452" s="254"/>
      <c r="E452" s="361"/>
      <c r="F452" s="361"/>
      <c r="G452" s="293"/>
      <c r="H452" s="293"/>
      <c r="I452" s="333"/>
      <c r="J452" s="333"/>
      <c r="K452" s="293"/>
      <c r="L452">
        <f>IF(K491="incl",0,K491)</f>
        <v>0</v>
      </c>
    </row>
    <row r="453" spans="1:14" ht="13.5" customHeight="1">
      <c r="A453" s="254">
        <f t="shared" si="30"/>
        <v>1</v>
      </c>
      <c r="B453" s="254" t="s">
        <v>894</v>
      </c>
      <c r="C453" s="254"/>
      <c r="D453" s="361"/>
      <c r="E453" s="361"/>
      <c r="F453" s="361"/>
      <c r="G453" s="293"/>
      <c r="H453" s="293"/>
      <c r="I453" s="333"/>
      <c r="J453" s="333"/>
      <c r="K453" s="293"/>
      <c r="L453">
        <f>IF(K492="incl",0,K492)</f>
        <v>0</v>
      </c>
    </row>
    <row r="454" spans="1:14" ht="13.5" customHeight="1">
      <c r="A454" s="254">
        <f t="shared" si="30"/>
        <v>1</v>
      </c>
      <c r="B454" s="298" t="s">
        <v>843</v>
      </c>
      <c r="C454" s="254"/>
      <c r="D454" s="254"/>
      <c r="E454" s="254"/>
      <c r="F454" s="254"/>
      <c r="G454" s="254"/>
      <c r="H454" s="254"/>
      <c r="I454" s="254"/>
      <c r="J454" s="254"/>
      <c r="K454" s="293"/>
      <c r="L454" t="e">
        <f>IF(#REF!="incl",0,#REF!)</f>
        <v>#REF!</v>
      </c>
    </row>
    <row r="455" spans="1:14" ht="13.5" customHeight="1">
      <c r="A455" s="254">
        <f t="shared" si="30"/>
        <v>1</v>
      </c>
      <c r="B455" s="254" t="s">
        <v>895</v>
      </c>
      <c r="C455" s="254"/>
      <c r="D455" s="254"/>
      <c r="E455" s="254"/>
      <c r="F455" s="254"/>
      <c r="G455" s="254"/>
      <c r="H455" s="254"/>
      <c r="I455" s="364"/>
      <c r="J455" s="364"/>
      <c r="K455" s="336"/>
      <c r="L455">
        <f>IF(K495="incl",0,K495)</f>
        <v>0</v>
      </c>
    </row>
    <row r="456" spans="1:14" ht="13.5" customHeight="1">
      <c r="A456" s="254">
        <f t="shared" si="30"/>
        <v>1</v>
      </c>
      <c r="B456" s="254" t="s">
        <v>896</v>
      </c>
      <c r="C456" s="254"/>
      <c r="D456" s="254"/>
      <c r="E456" s="254"/>
      <c r="F456" s="254"/>
      <c r="G456" s="254"/>
      <c r="H456" s="254"/>
      <c r="I456" s="364"/>
      <c r="J456" s="364"/>
      <c r="K456" s="336"/>
      <c r="L456">
        <f>IF(K496="incl",0,K496)</f>
        <v>0</v>
      </c>
    </row>
    <row r="457" spans="1:14" ht="13.5" customHeight="1">
      <c r="A457" s="254">
        <f t="shared" si="30"/>
        <v>1</v>
      </c>
      <c r="B457" s="254"/>
      <c r="C457" s="254"/>
      <c r="D457" s="254"/>
      <c r="E457" s="254"/>
      <c r="F457" s="254"/>
      <c r="G457" s="254"/>
      <c r="H457" s="254"/>
      <c r="I457" s="364"/>
      <c r="J457" s="364"/>
      <c r="K457" s="336"/>
    </row>
    <row r="458" spans="1:14" ht="19.5" customHeight="1">
      <c r="A458" s="254">
        <f>IF(SUM(A$459:A$482)&gt;0,1,0)</f>
        <v>1</v>
      </c>
      <c r="B458" s="294" t="s">
        <v>897</v>
      </c>
      <c r="C458" s="2896">
        <f>IF('11-Sidewalks'!D36=0,0,'11-Sidewalks'!D36)</f>
        <v>124631.77584725941</v>
      </c>
      <c r="D458" s="2896"/>
      <c r="E458" s="330"/>
      <c r="F458" s="2899" t="s">
        <v>891</v>
      </c>
      <c r="G458" s="2899"/>
      <c r="H458" s="320"/>
      <c r="I458" s="331"/>
      <c r="J458" s="331"/>
      <c r="K458" s="320"/>
      <c r="L458">
        <f>IF(K497="incl",0,K497)</f>
        <v>0</v>
      </c>
      <c r="N458" s="290">
        <f>C458</f>
        <v>124631.77584725941</v>
      </c>
    </row>
    <row r="459" spans="1:14" ht="13.5" customHeight="1">
      <c r="A459">
        <f t="shared" ref="A459:A482" si="31">IF(B459="",0,1)</f>
        <v>0</v>
      </c>
      <c r="B459" s="319"/>
      <c r="C459" s="254"/>
      <c r="D459" s="254"/>
      <c r="E459" s="254"/>
      <c r="F459" s="254"/>
      <c r="G459" s="293"/>
      <c r="H459" s="293"/>
      <c r="I459" s="318"/>
      <c r="J459" s="318"/>
      <c r="K459" s="293"/>
      <c r="L459">
        <f>IF(K498="incl",0,K498)</f>
        <v>0</v>
      </c>
    </row>
    <row r="460" spans="1:14" ht="13.5" customHeight="1">
      <c r="A460">
        <f t="shared" si="31"/>
        <v>0</v>
      </c>
      <c r="B460" s="254" t="str">
        <f>IF('11-Sidewalks'!A10="","",'11-Sidewalks'!A10)</f>
        <v/>
      </c>
      <c r="C460" s="254"/>
      <c r="D460" s="327">
        <f>IF('11-Sidewalks'!C10="","",'11-Sidewalks'!C10)</f>
        <v>12500</v>
      </c>
      <c r="E460" s="254" t="str">
        <f t="shared" ref="E460:E481" si="32">IF(D460="","","SqFt")</f>
        <v>SqFt</v>
      </c>
      <c r="F460" s="2898">
        <f>'11-Sidewalks'!U10</f>
        <v>124631.77584725939</v>
      </c>
      <c r="G460" s="2898"/>
      <c r="H460" s="254"/>
      <c r="I460" s="363"/>
      <c r="J460" s="363"/>
      <c r="K460" s="365"/>
      <c r="L460">
        <f>IF(K536="incl",0,K536)</f>
        <v>0</v>
      </c>
    </row>
    <row r="461" spans="1:14" ht="13.5" customHeight="1">
      <c r="A461">
        <f t="shared" si="31"/>
        <v>0</v>
      </c>
      <c r="B461" s="254" t="str">
        <f>IF('11-Sidewalks'!A11="","",'11-Sidewalks'!A11)</f>
        <v/>
      </c>
      <c r="C461" s="254"/>
      <c r="D461" s="327" t="str">
        <f>IF('11-Sidewalks'!C11="","",'11-Sidewalks'!C11)</f>
        <v/>
      </c>
      <c r="E461" s="254" t="str">
        <f t="shared" si="32"/>
        <v/>
      </c>
      <c r="F461" s="2898">
        <f>'11-Sidewalks'!U11</f>
        <v>0</v>
      </c>
      <c r="G461" s="2898"/>
      <c r="H461" s="254"/>
      <c r="K461" s="365"/>
      <c r="L461">
        <f>IF(K500="incl",0,K500)</f>
        <v>0</v>
      </c>
    </row>
    <row r="462" spans="1:14" ht="13.5" customHeight="1">
      <c r="A462">
        <f t="shared" si="31"/>
        <v>0</v>
      </c>
      <c r="B462" s="254" t="str">
        <f>IF('11-Sidewalks'!A12="","",'11-Sidewalks'!A12)</f>
        <v/>
      </c>
      <c r="C462" s="254"/>
      <c r="D462" s="327" t="str">
        <f>IF('11-Sidewalks'!C12="","",'11-Sidewalks'!C12)</f>
        <v/>
      </c>
      <c r="E462" s="254" t="str">
        <f t="shared" si="32"/>
        <v/>
      </c>
      <c r="F462" s="2898">
        <f>'11-Sidewalks'!U12</f>
        <v>0</v>
      </c>
      <c r="G462" s="2898"/>
      <c r="H462" s="254"/>
      <c r="K462" s="365"/>
      <c r="L462">
        <f>IF(K501="incl",0,K501)</f>
        <v>0</v>
      </c>
    </row>
    <row r="463" spans="1:14" ht="13.5" customHeight="1">
      <c r="A463">
        <f t="shared" si="31"/>
        <v>0</v>
      </c>
      <c r="B463" s="254" t="str">
        <f>IF('11-Sidewalks'!A13="","",'11-Sidewalks'!A13)</f>
        <v/>
      </c>
      <c r="C463" s="254"/>
      <c r="D463" s="327" t="str">
        <f>IF('11-Sidewalks'!C13="","",'11-Sidewalks'!C13)</f>
        <v/>
      </c>
      <c r="E463" s="254" t="str">
        <f t="shared" si="32"/>
        <v/>
      </c>
      <c r="F463" s="2898">
        <f>'11-Sidewalks'!U13</f>
        <v>0</v>
      </c>
      <c r="G463" s="2898"/>
      <c r="H463" s="254"/>
      <c r="K463" s="365"/>
      <c r="L463">
        <f>IF(K503="incl",0,K503)</f>
        <v>0</v>
      </c>
    </row>
    <row r="464" spans="1:14" ht="13.5" customHeight="1">
      <c r="A464">
        <f t="shared" si="31"/>
        <v>0</v>
      </c>
      <c r="B464" s="254" t="str">
        <f>IF('11-Sidewalks'!A14="","",'11-Sidewalks'!A14)</f>
        <v/>
      </c>
      <c r="C464" s="254"/>
      <c r="D464" s="327" t="str">
        <f>IF('11-Sidewalks'!C14="","",'11-Sidewalks'!C14)</f>
        <v/>
      </c>
      <c r="E464" s="254" t="str">
        <f t="shared" si="32"/>
        <v/>
      </c>
      <c r="F464" s="2898">
        <f>'11-Sidewalks'!U14</f>
        <v>0</v>
      </c>
      <c r="G464" s="2898"/>
      <c r="H464" s="254"/>
      <c r="K464" s="365"/>
      <c r="L464">
        <f>IF(K534="incl",0,K534)</f>
        <v>0</v>
      </c>
    </row>
    <row r="465" spans="1:11" ht="13.5" customHeight="1">
      <c r="A465">
        <f t="shared" si="31"/>
        <v>0</v>
      </c>
      <c r="B465" s="254" t="str">
        <f>IF('11-Sidewalks'!A15="","",'11-Sidewalks'!A15)</f>
        <v/>
      </c>
      <c r="C465" s="254"/>
      <c r="D465" s="327" t="str">
        <f>IF('11-Sidewalks'!C15="","",'11-Sidewalks'!C15)</f>
        <v/>
      </c>
      <c r="E465" s="254" t="str">
        <f t="shared" si="32"/>
        <v/>
      </c>
      <c r="F465" s="2898">
        <f>'11-Sidewalks'!U15</f>
        <v>0</v>
      </c>
      <c r="G465" s="2898"/>
      <c r="H465" s="254"/>
      <c r="J465" s="363"/>
      <c r="K465" s="365"/>
    </row>
    <row r="466" spans="1:11" ht="13.5" customHeight="1">
      <c r="A466">
        <f t="shared" si="31"/>
        <v>0</v>
      </c>
      <c r="B466" s="254" t="str">
        <f>IF('11-Sidewalks'!A16="","",'11-Sidewalks'!A16)</f>
        <v/>
      </c>
      <c r="C466" s="254"/>
      <c r="D466" s="327" t="str">
        <f>IF('11-Sidewalks'!C16="","",'11-Sidewalks'!C16)</f>
        <v/>
      </c>
      <c r="E466" s="254" t="str">
        <f t="shared" si="32"/>
        <v/>
      </c>
      <c r="F466" s="2898">
        <f>'11-Sidewalks'!U16</f>
        <v>0</v>
      </c>
      <c r="G466" s="2898"/>
      <c r="H466" s="254"/>
      <c r="K466" s="365"/>
    </row>
    <row r="467" spans="1:11" ht="13.5" customHeight="1">
      <c r="A467">
        <f t="shared" si="31"/>
        <v>0</v>
      </c>
      <c r="B467" s="254" t="str">
        <f>IF('11-Sidewalks'!A17="","",'11-Sidewalks'!A17)</f>
        <v/>
      </c>
      <c r="C467" s="254"/>
      <c r="D467" s="327" t="str">
        <f>IF('11-Sidewalks'!C17="","",'11-Sidewalks'!C17)</f>
        <v/>
      </c>
      <c r="E467" s="254" t="str">
        <f t="shared" si="32"/>
        <v/>
      </c>
      <c r="F467" s="2898">
        <f>'11-Sidewalks'!U17</f>
        <v>0</v>
      </c>
      <c r="G467" s="2898"/>
      <c r="H467" s="254"/>
      <c r="K467" s="365"/>
    </row>
    <row r="468" spans="1:11" ht="13.5" customHeight="1">
      <c r="A468">
        <f t="shared" si="31"/>
        <v>0</v>
      </c>
      <c r="B468" s="254" t="str">
        <f>IF('11-Sidewalks'!A18="","",'11-Sidewalks'!A18)</f>
        <v/>
      </c>
      <c r="C468" s="254"/>
      <c r="D468" s="327" t="str">
        <f>IF('11-Sidewalks'!C18="","",'11-Sidewalks'!C18)</f>
        <v/>
      </c>
      <c r="E468" s="254" t="str">
        <f t="shared" si="32"/>
        <v/>
      </c>
      <c r="F468" s="2898">
        <f>'11-Sidewalks'!U18</f>
        <v>0</v>
      </c>
      <c r="G468" s="2898"/>
      <c r="H468" s="254"/>
      <c r="K468" s="365"/>
    </row>
    <row r="469" spans="1:11" ht="13.5" customHeight="1">
      <c r="A469">
        <f t="shared" si="31"/>
        <v>0</v>
      </c>
      <c r="B469" s="254" t="str">
        <f>IF('11-Sidewalks'!A19="","",'11-Sidewalks'!A19)</f>
        <v/>
      </c>
      <c r="C469" s="254"/>
      <c r="D469" s="327" t="str">
        <f>IF('11-Sidewalks'!C19="","",'11-Sidewalks'!C19)</f>
        <v/>
      </c>
      <c r="E469" s="254" t="str">
        <f t="shared" si="32"/>
        <v/>
      </c>
      <c r="F469" s="2898">
        <f>'11-Sidewalks'!U19</f>
        <v>0</v>
      </c>
      <c r="G469" s="2898"/>
      <c r="H469" s="254"/>
      <c r="K469" s="365"/>
    </row>
    <row r="470" spans="1:11" ht="13.5" customHeight="1">
      <c r="A470">
        <f t="shared" si="31"/>
        <v>0</v>
      </c>
      <c r="B470" s="254" t="str">
        <f>IF('11-Sidewalks'!A20="","",'11-Sidewalks'!A20)</f>
        <v/>
      </c>
      <c r="C470" s="254"/>
      <c r="D470" s="327" t="str">
        <f>IF('11-Sidewalks'!C20="","",'11-Sidewalks'!C20)</f>
        <v/>
      </c>
      <c r="E470" s="254" t="str">
        <f t="shared" si="32"/>
        <v/>
      </c>
      <c r="F470" s="2898">
        <f>'11-Sidewalks'!U20</f>
        <v>0</v>
      </c>
      <c r="G470" s="2898"/>
      <c r="H470" s="254"/>
      <c r="J470" s="363"/>
      <c r="K470" s="365"/>
    </row>
    <row r="471" spans="1:11" ht="13.5" customHeight="1">
      <c r="A471">
        <f t="shared" si="31"/>
        <v>0</v>
      </c>
      <c r="B471" s="254" t="str">
        <f>IF('11-Sidewalks'!A21="","",'11-Sidewalks'!A21)</f>
        <v/>
      </c>
      <c r="C471" s="254"/>
      <c r="D471" s="327" t="str">
        <f>IF('11-Sidewalks'!C21="","",'11-Sidewalks'!C21)</f>
        <v/>
      </c>
      <c r="E471" s="254" t="str">
        <f t="shared" si="32"/>
        <v/>
      </c>
      <c r="F471" s="2898">
        <f>'11-Sidewalks'!U21</f>
        <v>0</v>
      </c>
      <c r="G471" s="2898"/>
      <c r="H471" s="254"/>
      <c r="K471" s="365"/>
    </row>
    <row r="472" spans="1:11" ht="13.5" customHeight="1">
      <c r="A472">
        <f t="shared" si="31"/>
        <v>0</v>
      </c>
      <c r="B472" s="254" t="str">
        <f>IF('11-Sidewalks'!A22="","",'11-Sidewalks'!A22)</f>
        <v/>
      </c>
      <c r="C472" s="254"/>
      <c r="D472" s="327" t="str">
        <f>IF('11-Sidewalks'!C22="","",'11-Sidewalks'!C22)</f>
        <v/>
      </c>
      <c r="E472" s="254" t="str">
        <f t="shared" si="32"/>
        <v/>
      </c>
      <c r="F472" s="2898">
        <f>'11-Sidewalks'!U22</f>
        <v>0</v>
      </c>
      <c r="G472" s="2898"/>
      <c r="H472" s="254"/>
      <c r="K472" s="365"/>
    </row>
    <row r="473" spans="1:11" ht="13.5" customHeight="1">
      <c r="A473">
        <f t="shared" si="31"/>
        <v>0</v>
      </c>
      <c r="B473" s="254" t="str">
        <f>IF('11-Sidewalks'!A23="","",'11-Sidewalks'!A23)</f>
        <v/>
      </c>
      <c r="C473" s="254"/>
      <c r="D473" s="327" t="str">
        <f>IF('11-Sidewalks'!C23="","",'11-Sidewalks'!C23)</f>
        <v/>
      </c>
      <c r="E473" s="254" t="str">
        <f t="shared" si="32"/>
        <v/>
      </c>
      <c r="F473" s="2898">
        <f>'11-Sidewalks'!U23</f>
        <v>0</v>
      </c>
      <c r="G473" s="2898"/>
      <c r="H473" s="254"/>
      <c r="K473" s="365"/>
    </row>
    <row r="474" spans="1:11" ht="13.5" customHeight="1">
      <c r="A474">
        <f t="shared" si="31"/>
        <v>0</v>
      </c>
      <c r="B474" s="254" t="str">
        <f>IF('11-Sidewalks'!A24="","",'11-Sidewalks'!A24)</f>
        <v/>
      </c>
      <c r="C474" s="254"/>
      <c r="D474" s="327" t="str">
        <f>IF('11-Sidewalks'!C24="","",'11-Sidewalks'!C24)</f>
        <v/>
      </c>
      <c r="E474" s="254" t="str">
        <f t="shared" si="32"/>
        <v/>
      </c>
      <c r="F474" s="2898">
        <f>'11-Sidewalks'!U24</f>
        <v>0</v>
      </c>
      <c r="G474" s="2898"/>
      <c r="H474" s="254"/>
      <c r="K474" s="365"/>
    </row>
    <row r="475" spans="1:11" ht="13.5" customHeight="1">
      <c r="A475">
        <f t="shared" si="31"/>
        <v>0</v>
      </c>
      <c r="B475" s="254" t="str">
        <f>IF('11-Sidewalks'!A25="","",'11-Sidewalks'!A25)</f>
        <v/>
      </c>
      <c r="C475" s="254"/>
      <c r="D475" s="327" t="str">
        <f>IF('11-Sidewalks'!C25="","",'11-Sidewalks'!C25)</f>
        <v/>
      </c>
      <c r="E475" s="254" t="str">
        <f t="shared" si="32"/>
        <v/>
      </c>
      <c r="F475" s="2898">
        <f>'11-Sidewalks'!U25</f>
        <v>0</v>
      </c>
      <c r="G475" s="2898"/>
      <c r="H475" s="254"/>
      <c r="J475" s="363"/>
      <c r="K475" s="365"/>
    </row>
    <row r="476" spans="1:11" ht="13.5" customHeight="1">
      <c r="A476">
        <f t="shared" si="31"/>
        <v>0</v>
      </c>
      <c r="B476" s="254" t="str">
        <f>IF('11-Sidewalks'!A26="","",'11-Sidewalks'!A26)</f>
        <v/>
      </c>
      <c r="C476" s="254"/>
      <c r="D476" s="327" t="str">
        <f>IF('11-Sidewalks'!C26="","",'11-Sidewalks'!C26)</f>
        <v/>
      </c>
      <c r="E476" s="254" t="str">
        <f t="shared" si="32"/>
        <v/>
      </c>
      <c r="F476" s="2898">
        <f>'11-Sidewalks'!U26</f>
        <v>0</v>
      </c>
      <c r="G476" s="2898"/>
      <c r="H476" s="254"/>
      <c r="K476" s="365"/>
    </row>
    <row r="477" spans="1:11" ht="13.5" customHeight="1">
      <c r="A477">
        <f t="shared" si="31"/>
        <v>0</v>
      </c>
      <c r="B477" s="254" t="str">
        <f>IF('11-Sidewalks'!A27="","",'11-Sidewalks'!A27)</f>
        <v/>
      </c>
      <c r="C477" s="254"/>
      <c r="D477" s="327" t="str">
        <f>IF('11-Sidewalks'!C27="","",'11-Sidewalks'!C27)</f>
        <v/>
      </c>
      <c r="E477" s="254" t="str">
        <f t="shared" si="32"/>
        <v/>
      </c>
      <c r="F477" s="2898">
        <f>'11-Sidewalks'!U27</f>
        <v>0</v>
      </c>
      <c r="G477" s="2898"/>
      <c r="H477" s="254"/>
      <c r="K477" s="365"/>
    </row>
    <row r="478" spans="1:11" ht="13.5" customHeight="1">
      <c r="A478">
        <f t="shared" si="31"/>
        <v>0</v>
      </c>
      <c r="B478" s="254" t="str">
        <f>IF('11-Sidewalks'!A28="","",'11-Sidewalks'!A28)</f>
        <v/>
      </c>
      <c r="C478" s="254"/>
      <c r="D478" s="327" t="str">
        <f>IF('11-Sidewalks'!C28="","",'11-Sidewalks'!C28)</f>
        <v/>
      </c>
      <c r="E478" s="254" t="str">
        <f t="shared" si="32"/>
        <v/>
      </c>
      <c r="F478" s="2898">
        <f>'11-Sidewalks'!U28</f>
        <v>0</v>
      </c>
      <c r="G478" s="2898"/>
      <c r="H478" s="254"/>
      <c r="K478" s="365"/>
    </row>
    <row r="479" spans="1:11" ht="13.5" customHeight="1">
      <c r="A479">
        <f t="shared" si="31"/>
        <v>0</v>
      </c>
      <c r="B479" s="254" t="str">
        <f>IF('11-Sidewalks'!A29="","",'11-Sidewalks'!A29)</f>
        <v/>
      </c>
      <c r="C479" s="254"/>
      <c r="D479" s="327" t="str">
        <f>IF('11-Sidewalks'!C29="","",'11-Sidewalks'!C29)</f>
        <v/>
      </c>
      <c r="E479" s="254" t="str">
        <f t="shared" si="32"/>
        <v/>
      </c>
      <c r="F479" s="2898">
        <f>'11-Sidewalks'!U29</f>
        <v>0</v>
      </c>
      <c r="G479" s="2898"/>
      <c r="H479" s="254"/>
      <c r="K479" s="365"/>
    </row>
    <row r="480" spans="1:11" ht="13.5" customHeight="1">
      <c r="A480">
        <f t="shared" si="31"/>
        <v>0</v>
      </c>
      <c r="B480" s="254" t="str">
        <f>IF('11-Sidewalks'!A30="","",'11-Sidewalks'!A30)</f>
        <v/>
      </c>
      <c r="C480" s="254"/>
      <c r="D480" s="327" t="str">
        <f>IF('11-Sidewalks'!C30="","",'11-Sidewalks'!C30)</f>
        <v/>
      </c>
      <c r="E480" s="254" t="str">
        <f t="shared" si="32"/>
        <v/>
      </c>
      <c r="F480" s="2898">
        <f>'11-Sidewalks'!U30</f>
        <v>0</v>
      </c>
      <c r="G480" s="2898"/>
      <c r="H480" s="254"/>
      <c r="J480" s="363"/>
      <c r="K480" s="365"/>
    </row>
    <row r="481" spans="1:14" ht="13.5" customHeight="1">
      <c r="A481">
        <f t="shared" si="31"/>
        <v>0</v>
      </c>
      <c r="B481" s="254" t="str">
        <f>IF('11-Sidewalks'!A31="","",'11-Sidewalks'!A31)</f>
        <v/>
      </c>
      <c r="C481" s="254"/>
      <c r="D481" s="327" t="str">
        <f>IF('11-Sidewalks'!C31="","",'11-Sidewalks'!C31)</f>
        <v/>
      </c>
      <c r="E481" s="254" t="str">
        <f t="shared" si="32"/>
        <v/>
      </c>
      <c r="F481" s="2898">
        <f>'11-Sidewalks'!U31</f>
        <v>0</v>
      </c>
      <c r="G481" s="2898"/>
      <c r="H481" s="254"/>
      <c r="K481" s="365"/>
    </row>
    <row r="482" spans="1:14" ht="13.5" customHeight="1">
      <c r="A482">
        <f t="shared" si="31"/>
        <v>1</v>
      </c>
      <c r="B482" s="254" t="str">
        <f>IF('11-Sidewalks'!A62="","",'11-Sidewalks'!A62)</f>
        <v>ADA RAMPS</v>
      </c>
      <c r="C482" s="254"/>
      <c r="D482" s="327" t="str">
        <f>IF('11-Sidewalks'!H62="","",'11-Sidewalks'!H62)</f>
        <v/>
      </c>
      <c r="E482" s="285" t="s">
        <v>878</v>
      </c>
      <c r="F482" s="2898"/>
      <c r="G482" s="2898"/>
      <c r="H482" s="254"/>
      <c r="I482" s="363"/>
      <c r="J482" s="363"/>
      <c r="K482" s="366" t="s">
        <v>898</v>
      </c>
    </row>
    <row r="483" spans="1:14" ht="13.5" customHeight="1">
      <c r="A483" s="254">
        <f t="shared" ref="A483:A490" si="33">IF(SUM(A$459:A$482)&gt;0,1,0)</f>
        <v>1</v>
      </c>
      <c r="B483" s="254"/>
      <c r="C483" s="256" t="s">
        <v>899</v>
      </c>
      <c r="D483" s="337">
        <f>SUM(D460:D481)</f>
        <v>12500</v>
      </c>
      <c r="E483" s="254" t="s">
        <v>900</v>
      </c>
      <c r="F483" s="254"/>
      <c r="G483" s="254"/>
      <c r="H483" s="269" t="s">
        <v>862</v>
      </c>
      <c r="I483" s="367">
        <f>C458/D483</f>
        <v>9.9705420677807535</v>
      </c>
      <c r="J483" s="293" t="s">
        <v>863</v>
      </c>
      <c r="K483" s="293"/>
    </row>
    <row r="484" spans="1:14" ht="13.5" customHeight="1">
      <c r="A484" s="254">
        <f t="shared" si="33"/>
        <v>1</v>
      </c>
      <c r="B484" s="254"/>
      <c r="C484" s="254"/>
      <c r="D484" s="254"/>
      <c r="E484" s="254"/>
      <c r="F484" s="254"/>
      <c r="G484" s="254"/>
      <c r="H484" s="254"/>
      <c r="I484" s="256"/>
      <c r="J484" s="256"/>
      <c r="K484" s="293"/>
    </row>
    <row r="485" spans="1:14" ht="13.5" customHeight="1">
      <c r="A485" s="319">
        <f t="shared" si="33"/>
        <v>1</v>
      </c>
      <c r="B485" s="298" t="s">
        <v>892</v>
      </c>
      <c r="C485" s="254"/>
      <c r="D485" s="254"/>
      <c r="E485" s="254"/>
      <c r="F485" s="254"/>
      <c r="G485" s="254"/>
      <c r="H485" s="254"/>
      <c r="I485" s="256"/>
      <c r="J485" s="256"/>
      <c r="K485" s="293"/>
    </row>
    <row r="486" spans="1:14" ht="13.5" customHeight="1">
      <c r="A486" s="319">
        <f t="shared" si="33"/>
        <v>1</v>
      </c>
      <c r="B486" s="254" t="s">
        <v>901</v>
      </c>
      <c r="C486" s="254"/>
      <c r="D486" s="254"/>
      <c r="E486" s="254"/>
      <c r="F486" s="254"/>
      <c r="G486" s="254"/>
      <c r="H486" s="254"/>
      <c r="I486" s="256"/>
      <c r="J486" s="256"/>
      <c r="K486" s="293"/>
    </row>
    <row r="487" spans="1:14" ht="13.5" customHeight="1">
      <c r="A487" s="319">
        <f t="shared" si="33"/>
        <v>1</v>
      </c>
      <c r="B487" s="254" t="s">
        <v>902</v>
      </c>
      <c r="C487" s="254"/>
      <c r="D487" s="254"/>
      <c r="E487" s="254"/>
      <c r="F487" s="254"/>
      <c r="G487" s="281"/>
      <c r="H487" s="293"/>
      <c r="I487" s="318"/>
      <c r="J487" s="318"/>
      <c r="K487" s="293"/>
    </row>
    <row r="488" spans="1:14" ht="13.5" customHeight="1">
      <c r="A488" s="319">
        <f t="shared" si="33"/>
        <v>1</v>
      </c>
      <c r="B488" s="298" t="s">
        <v>903</v>
      </c>
      <c r="C488" s="254"/>
      <c r="D488" s="254"/>
      <c r="E488" s="254"/>
      <c r="F488" s="254"/>
      <c r="G488" s="254"/>
      <c r="H488" s="254"/>
      <c r="I488" s="256"/>
      <c r="J488" s="256"/>
      <c r="K488" s="293"/>
    </row>
    <row r="489" spans="1:14" ht="13.5" customHeight="1">
      <c r="A489" s="319">
        <f t="shared" si="33"/>
        <v>1</v>
      </c>
      <c r="B489" s="254" t="s">
        <v>904</v>
      </c>
      <c r="C489" s="254"/>
      <c r="D489" s="254"/>
      <c r="E489" s="254"/>
      <c r="F489" s="254"/>
      <c r="G489" s="254"/>
      <c r="H489" s="254"/>
    </row>
    <row r="490" spans="1:14" ht="13.5" customHeight="1">
      <c r="A490" s="319">
        <f t="shared" si="33"/>
        <v>1</v>
      </c>
      <c r="B490" s="254"/>
      <c r="C490" s="254"/>
      <c r="D490" s="254"/>
      <c r="E490" s="254"/>
      <c r="F490" s="254"/>
      <c r="G490" s="254"/>
      <c r="H490" s="254"/>
    </row>
    <row r="491" spans="1:14" ht="19.5" customHeight="1">
      <c r="A491">
        <f>IF(SUM(A$493:A$519)&gt;0,1,0)</f>
        <v>0</v>
      </c>
      <c r="B491" s="294" t="s">
        <v>905</v>
      </c>
      <c r="C491" s="2896">
        <f>SUM(H493:H520)</f>
        <v>0</v>
      </c>
      <c r="D491" s="2896"/>
      <c r="E491" s="330"/>
      <c r="F491" s="330"/>
      <c r="G491" s="320"/>
      <c r="H491" s="320"/>
      <c r="I491" s="331"/>
      <c r="J491" s="331"/>
      <c r="K491" s="320"/>
      <c r="L491">
        <f>IF(K527="incl",0,K527)</f>
        <v>0</v>
      </c>
      <c r="N491" s="368">
        <f>'13-Miscellaneous'!K41</f>
        <v>0</v>
      </c>
    </row>
    <row r="492" spans="1:14" ht="13.5" customHeight="1">
      <c r="A492" s="319">
        <f>IF(SUM(A$493:A$519)&gt;0,1,0)</f>
        <v>0</v>
      </c>
      <c r="B492" s="254" t="s">
        <v>847</v>
      </c>
      <c r="C492" s="254"/>
      <c r="D492" s="254"/>
      <c r="E492" s="254"/>
      <c r="F492" s="254"/>
      <c r="G492" s="293"/>
      <c r="H492" s="293"/>
      <c r="I492" s="318"/>
      <c r="J492" s="318"/>
      <c r="K492" s="293"/>
    </row>
    <row r="493" spans="1:14" ht="13.5" customHeight="1">
      <c r="A493">
        <f t="shared" ref="A493:A501" si="34">IF(B493="",0,1)</f>
        <v>0</v>
      </c>
      <c r="B493" s="254" t="str">
        <f>IF(D493=0,"",'13-Miscellaneous'!B10)</f>
        <v/>
      </c>
      <c r="C493" s="254"/>
      <c r="D493" s="327">
        <f>'13-Miscellaneous'!G10</f>
        <v>0</v>
      </c>
      <c r="E493" s="254" t="str">
        <f>IF(D493="","",'13-Miscellaneous'!I10)</f>
        <v>EA</v>
      </c>
      <c r="F493" s="369">
        <f>IF(D493="","",'13-Miscellaneous'!H10)</f>
        <v>1150</v>
      </c>
      <c r="G493" s="293" t="str">
        <f t="shared" ref="G493:G511" si="35">E493</f>
        <v>EA</v>
      </c>
      <c r="H493" s="281">
        <f t="shared" ref="H493:H511" si="36">IF(D493="","",D493*F493)</f>
        <v>0</v>
      </c>
      <c r="I493" s="318"/>
      <c r="J493" s="318"/>
      <c r="K493" s="293"/>
      <c r="L493">
        <f>IF(K529="incl",0,K529)</f>
        <v>0</v>
      </c>
    </row>
    <row r="494" spans="1:14" ht="13.5" customHeight="1">
      <c r="A494">
        <f t="shared" si="34"/>
        <v>0</v>
      </c>
      <c r="B494" s="254" t="str">
        <f>IF(D494=0,"",'13-Miscellaneous'!B11)</f>
        <v/>
      </c>
      <c r="C494" s="254"/>
      <c r="D494" s="327">
        <f>'13-Miscellaneous'!G11</f>
        <v>0</v>
      </c>
      <c r="E494" s="254" t="str">
        <f>IF(D494="","",'13-Miscellaneous'!I11)</f>
        <v>EA</v>
      </c>
      <c r="F494" s="369">
        <f>IF(D494="","",'13-Miscellaneous'!H11)</f>
        <v>350</v>
      </c>
      <c r="G494" s="293" t="str">
        <f t="shared" si="35"/>
        <v>EA</v>
      </c>
      <c r="H494" s="281">
        <f t="shared" si="36"/>
        <v>0</v>
      </c>
      <c r="I494" s="318"/>
      <c r="J494" s="318"/>
      <c r="K494" s="293"/>
    </row>
    <row r="495" spans="1:14" ht="13.5" customHeight="1">
      <c r="A495">
        <f t="shared" si="34"/>
        <v>0</v>
      </c>
      <c r="B495" s="254" t="str">
        <f>IF(D495=0,"",'13-Miscellaneous'!B12)</f>
        <v/>
      </c>
      <c r="C495" s="254"/>
      <c r="D495" s="327">
        <f>'13-Miscellaneous'!G12</f>
        <v>0</v>
      </c>
      <c r="E495" s="254" t="str">
        <f>IF(D495="","",'13-Miscellaneous'!I12)</f>
        <v>EA</v>
      </c>
      <c r="F495" s="369">
        <f>IF(D495="","",'13-Miscellaneous'!H12)</f>
        <v>300</v>
      </c>
      <c r="G495" s="293" t="str">
        <f t="shared" si="35"/>
        <v>EA</v>
      </c>
      <c r="H495" s="281">
        <f t="shared" si="36"/>
        <v>0</v>
      </c>
      <c r="I495" s="318"/>
      <c r="J495" s="318"/>
      <c r="K495" s="293"/>
    </row>
    <row r="496" spans="1:14" ht="13.5" customHeight="1">
      <c r="A496">
        <f t="shared" si="34"/>
        <v>0</v>
      </c>
      <c r="B496" s="254" t="str">
        <f>IF(D496=0,"",'13-Miscellaneous'!B13)</f>
        <v/>
      </c>
      <c r="C496" s="254"/>
      <c r="D496" s="327">
        <f>'13-Miscellaneous'!G13</f>
        <v>0</v>
      </c>
      <c r="E496" s="254" t="str">
        <f>IF(D496="","",'13-Miscellaneous'!I13)</f>
        <v>EA</v>
      </c>
      <c r="F496" s="369">
        <f>IF(D496="","",'13-Miscellaneous'!H13)</f>
        <v>150</v>
      </c>
      <c r="G496" s="293" t="str">
        <f t="shared" si="35"/>
        <v>EA</v>
      </c>
      <c r="H496" s="281">
        <f t="shared" si="36"/>
        <v>0</v>
      </c>
      <c r="I496" s="318"/>
      <c r="J496" s="318"/>
      <c r="K496" s="293"/>
    </row>
    <row r="497" spans="1:11" ht="13.5" customHeight="1">
      <c r="A497">
        <f t="shared" si="34"/>
        <v>0</v>
      </c>
      <c r="B497" s="254" t="str">
        <f>IF(D497=0,"",'13-Miscellaneous'!B14)</f>
        <v/>
      </c>
      <c r="C497" s="254"/>
      <c r="D497" s="327">
        <f>'13-Miscellaneous'!G14</f>
        <v>0</v>
      </c>
      <c r="E497" s="254" t="str">
        <f>IF(D497="","",'13-Miscellaneous'!I14)</f>
        <v>EA</v>
      </c>
      <c r="F497" s="369">
        <f>IF(D497="","",'13-Miscellaneous'!H14)</f>
        <v>300</v>
      </c>
      <c r="G497" s="293" t="str">
        <f t="shared" si="35"/>
        <v>EA</v>
      </c>
      <c r="H497" s="281">
        <f t="shared" si="36"/>
        <v>0</v>
      </c>
      <c r="I497" s="318"/>
      <c r="J497" s="318"/>
      <c r="K497" s="293"/>
    </row>
    <row r="498" spans="1:11" ht="13.5" customHeight="1">
      <c r="A498">
        <f t="shared" si="34"/>
        <v>0</v>
      </c>
      <c r="B498" s="254" t="str">
        <f>IF(D498=0,"",'13-Miscellaneous'!B17)</f>
        <v/>
      </c>
      <c r="C498" s="254"/>
      <c r="D498" s="327">
        <f>'13-Miscellaneous'!G17</f>
        <v>0</v>
      </c>
      <c r="E498" s="254" t="str">
        <f>IF(D498="","",'13-Miscellaneous'!I17)</f>
        <v>EA</v>
      </c>
      <c r="F498" s="369">
        <f>IF(D498="","",'13-Miscellaneous'!H17)</f>
        <v>18600</v>
      </c>
      <c r="G498" s="293" t="str">
        <f t="shared" si="35"/>
        <v>EA</v>
      </c>
      <c r="H498" s="281">
        <f t="shared" si="36"/>
        <v>0</v>
      </c>
      <c r="I498" s="256"/>
      <c r="J498" s="256"/>
      <c r="K498" s="293"/>
    </row>
    <row r="499" spans="1:11" ht="13.5" customHeight="1">
      <c r="A499">
        <f t="shared" si="34"/>
        <v>0</v>
      </c>
      <c r="B499" s="254" t="str">
        <f>IF(D499=0,"",'13-Miscellaneous'!B18)</f>
        <v/>
      </c>
      <c r="C499" s="254"/>
      <c r="D499" s="327">
        <f>'13-Miscellaneous'!G18</f>
        <v>0</v>
      </c>
      <c r="E499" s="254" t="str">
        <f>IF(D499="","",'13-Miscellaneous'!I18)</f>
        <v>EA</v>
      </c>
      <c r="F499" s="369">
        <f>IF(D499="","",'13-Miscellaneous'!H18)</f>
        <v>2600</v>
      </c>
      <c r="G499" s="293" t="str">
        <f t="shared" si="35"/>
        <v>EA</v>
      </c>
      <c r="H499" s="281">
        <f t="shared" si="36"/>
        <v>0</v>
      </c>
      <c r="I499" s="318"/>
      <c r="J499" s="318"/>
      <c r="K499" s="293"/>
    </row>
    <row r="500" spans="1:11" ht="13.5" customHeight="1">
      <c r="A500">
        <f t="shared" si="34"/>
        <v>0</v>
      </c>
      <c r="B500" s="254" t="str">
        <f>IF(D500=0,"",'13-Miscellaneous'!B19)</f>
        <v/>
      </c>
      <c r="C500" s="254"/>
      <c r="D500" s="327">
        <f>'13-Miscellaneous'!G19</f>
        <v>0</v>
      </c>
      <c r="E500" s="254" t="str">
        <f>IF(D500="","",'13-Miscellaneous'!I19)</f>
        <v>EA</v>
      </c>
      <c r="F500" s="369">
        <f>IF(D500="","",'13-Miscellaneous'!H19)</f>
        <v>2800</v>
      </c>
      <c r="G500" s="293" t="str">
        <f t="shared" si="35"/>
        <v>EA</v>
      </c>
      <c r="H500" s="281">
        <f t="shared" si="36"/>
        <v>0</v>
      </c>
      <c r="I500" s="318"/>
      <c r="J500" s="318"/>
      <c r="K500" s="293"/>
    </row>
    <row r="501" spans="1:11" ht="13.5" customHeight="1">
      <c r="A501">
        <f t="shared" si="34"/>
        <v>0</v>
      </c>
      <c r="B501" s="254" t="str">
        <f>IF(D501=0,"",'13-Miscellaneous'!B20)</f>
        <v/>
      </c>
      <c r="C501" s="254"/>
      <c r="D501" s="327">
        <f>'13-Miscellaneous'!G20</f>
        <v>0</v>
      </c>
      <c r="E501" s="254" t="str">
        <f>IF(D501="","",'13-Miscellaneous'!I20)</f>
        <v>LF</v>
      </c>
      <c r="F501" s="369">
        <f>IF(D501="","",'13-Miscellaneous'!H20)</f>
        <v>500</v>
      </c>
      <c r="G501" s="293" t="str">
        <f t="shared" si="35"/>
        <v>LF</v>
      </c>
      <c r="H501" s="281">
        <f t="shared" si="36"/>
        <v>0</v>
      </c>
      <c r="I501" s="318"/>
      <c r="J501" s="318"/>
      <c r="K501" s="293"/>
    </row>
    <row r="502" spans="1:11" ht="13.5" customHeight="1">
      <c r="B502" s="254" t="str">
        <f>IF(D502=0,"",'13-Miscellaneous'!B21)</f>
        <v/>
      </c>
      <c r="C502" s="254"/>
      <c r="D502" s="327">
        <f>'13-Miscellaneous'!G21</f>
        <v>0</v>
      </c>
      <c r="E502" s="254" t="str">
        <f>IF(D502="","",'13-Miscellaneous'!I21)</f>
        <v>EA</v>
      </c>
      <c r="F502" s="369">
        <f>IF(D502="","",'13-Miscellaneous'!H21)</f>
        <v>2500</v>
      </c>
      <c r="G502" s="293" t="str">
        <f t="shared" si="35"/>
        <v>EA</v>
      </c>
      <c r="H502" s="281">
        <f t="shared" si="36"/>
        <v>0</v>
      </c>
      <c r="I502" s="318"/>
      <c r="J502" s="318"/>
      <c r="K502" s="293"/>
    </row>
    <row r="503" spans="1:11" ht="13.5" customHeight="1">
      <c r="A503">
        <f t="shared" ref="A503:A508" si="37">IF(B503="",0,1)</f>
        <v>0</v>
      </c>
      <c r="B503" s="254" t="str">
        <f>IF(D503=0,"",'13-Miscellaneous'!B22)</f>
        <v/>
      </c>
      <c r="C503" s="254"/>
      <c r="D503" s="327">
        <f>'13-Miscellaneous'!G22</f>
        <v>0</v>
      </c>
      <c r="E503" s="254" t="str">
        <f>IF(D503="","",'13-Miscellaneous'!I22)</f>
        <v>EA</v>
      </c>
      <c r="F503" s="369">
        <f>IF(D503="","",'13-Miscellaneous'!H22)</f>
        <v>40</v>
      </c>
      <c r="G503" s="293" t="str">
        <f t="shared" si="35"/>
        <v>EA</v>
      </c>
      <c r="H503" s="281">
        <f t="shared" si="36"/>
        <v>0</v>
      </c>
      <c r="I503" s="318"/>
      <c r="J503" s="318"/>
      <c r="K503" s="293"/>
    </row>
    <row r="504" spans="1:11" ht="13.5" customHeight="1">
      <c r="A504">
        <f t="shared" si="37"/>
        <v>0</v>
      </c>
      <c r="B504" s="254" t="str">
        <f>IF(D504=0,"",'13-Miscellaneous'!B25)</f>
        <v/>
      </c>
      <c r="C504" s="254"/>
      <c r="D504" s="327">
        <f>'13-Miscellaneous'!G25</f>
        <v>0</v>
      </c>
      <c r="E504" s="254" t="str">
        <f>IF(D504="","",'13-Miscellaneous'!I25)</f>
        <v>EA</v>
      </c>
      <c r="F504" s="369">
        <f>IF(D504="","",'13-Miscellaneous'!H25)</f>
        <v>450</v>
      </c>
      <c r="G504" s="293" t="str">
        <f t="shared" si="35"/>
        <v>EA</v>
      </c>
      <c r="H504" s="281">
        <f t="shared" si="36"/>
        <v>0</v>
      </c>
      <c r="I504" s="318"/>
      <c r="J504" s="318"/>
      <c r="K504" s="293"/>
    </row>
    <row r="505" spans="1:11" ht="13.5" customHeight="1">
      <c r="A505">
        <f t="shared" si="37"/>
        <v>0</v>
      </c>
      <c r="B505" s="254" t="str">
        <f>IF(D505=0,"",'13-Miscellaneous'!B26)</f>
        <v/>
      </c>
      <c r="C505" s="254"/>
      <c r="D505" s="327">
        <f>'13-Miscellaneous'!G26</f>
        <v>0</v>
      </c>
      <c r="E505" s="254" t="str">
        <f>IF(D505="","",'13-Miscellaneous'!I26)</f>
        <v>EA</v>
      </c>
      <c r="F505" s="369">
        <f>IF(D505="","",'13-Miscellaneous'!H26)</f>
        <v>550</v>
      </c>
      <c r="G505" s="293" t="str">
        <f t="shared" si="35"/>
        <v>EA</v>
      </c>
      <c r="H505" s="281">
        <f t="shared" si="36"/>
        <v>0</v>
      </c>
      <c r="I505" s="318"/>
      <c r="J505" s="318"/>
      <c r="K505" s="293"/>
    </row>
    <row r="506" spans="1:11" s="12" customFormat="1" ht="13.5" customHeight="1">
      <c r="A506" s="12">
        <f t="shared" si="37"/>
        <v>0</v>
      </c>
      <c r="B506" s="254" t="str">
        <f>IF(D506=0,"",'13-Miscellaneous'!B27)</f>
        <v/>
      </c>
      <c r="C506" s="254"/>
      <c r="D506" s="327">
        <f>'13-Miscellaneous'!G27</f>
        <v>0</v>
      </c>
      <c r="E506" s="254" t="str">
        <f>IF(D506="","",'13-Miscellaneous'!I27)</f>
        <v>EA</v>
      </c>
      <c r="F506" s="369">
        <f>IF(D506="","",'13-Miscellaneous'!H27)</f>
        <v>1150</v>
      </c>
      <c r="G506" s="293" t="str">
        <f t="shared" si="35"/>
        <v>EA</v>
      </c>
      <c r="H506" s="281">
        <f t="shared" si="36"/>
        <v>0</v>
      </c>
      <c r="I506" s="318"/>
      <c r="J506" s="318"/>
      <c r="K506" s="293"/>
    </row>
    <row r="507" spans="1:11" ht="13.5" customHeight="1">
      <c r="A507">
        <f t="shared" si="37"/>
        <v>0</v>
      </c>
      <c r="B507" s="254" t="str">
        <f>IF(D507=0,"",'13-Miscellaneous'!B28)</f>
        <v/>
      </c>
      <c r="C507" s="254"/>
      <c r="D507" s="327">
        <f>'13-Miscellaneous'!G28</f>
        <v>0</v>
      </c>
      <c r="E507" s="254" t="str">
        <f>IF(D507="","",'13-Miscellaneous'!I28)</f>
        <v>LF</v>
      </c>
      <c r="F507" s="369">
        <f>IF(D507="","",'13-Miscellaneous'!H28)</f>
        <v>43</v>
      </c>
      <c r="G507" s="293" t="str">
        <f t="shared" si="35"/>
        <v>LF</v>
      </c>
      <c r="H507" s="281">
        <f t="shared" si="36"/>
        <v>0</v>
      </c>
      <c r="I507" s="318"/>
      <c r="J507" s="318"/>
      <c r="K507" s="293"/>
    </row>
    <row r="508" spans="1:11" ht="13.5" customHeight="1">
      <c r="A508">
        <f t="shared" si="37"/>
        <v>0</v>
      </c>
      <c r="B508" s="254" t="str">
        <f>IF(D508=0,"",'13-Miscellaneous'!B29)</f>
        <v/>
      </c>
      <c r="C508" s="254"/>
      <c r="D508" s="327">
        <f>'13-Miscellaneous'!G29</f>
        <v>0</v>
      </c>
      <c r="E508" s="254" t="str">
        <f>IF(D508="","",'13-Miscellaneous'!I29)</f>
        <v>LF</v>
      </c>
      <c r="F508" s="369">
        <f>IF(D508="","",'13-Miscellaneous'!H29)</f>
        <v>38</v>
      </c>
      <c r="G508" s="293" t="str">
        <f t="shared" si="35"/>
        <v>LF</v>
      </c>
      <c r="H508" s="281">
        <f t="shared" si="36"/>
        <v>0</v>
      </c>
      <c r="I508" s="318"/>
      <c r="J508" s="318"/>
      <c r="K508" s="293"/>
    </row>
    <row r="509" spans="1:11" ht="13.5" customHeight="1">
      <c r="B509" s="254" t="str">
        <f>IF(D509=0,"",'13-Miscellaneous'!B30)</f>
        <v/>
      </c>
      <c r="C509" s="254"/>
      <c r="D509" s="327">
        <f>'13-Miscellaneous'!G30</f>
        <v>0</v>
      </c>
      <c r="E509" s="254" t="str">
        <f>IF(D509="","",'13-Miscellaneous'!I30)</f>
        <v>EA</v>
      </c>
      <c r="F509" s="369">
        <f>IF(D509="","",'13-Miscellaneous'!H30)</f>
        <v>350</v>
      </c>
      <c r="G509" s="293" t="str">
        <f t="shared" si="35"/>
        <v>EA</v>
      </c>
      <c r="H509" s="281">
        <f t="shared" si="36"/>
        <v>0</v>
      </c>
      <c r="I509" s="318"/>
      <c r="J509" s="318"/>
      <c r="K509" s="293"/>
    </row>
    <row r="510" spans="1:11" ht="13.5" customHeight="1">
      <c r="B510" s="254" t="str">
        <f>IF(D510=0,"",'13-Miscellaneous'!B31)</f>
        <v/>
      </c>
      <c r="C510" s="254"/>
      <c r="D510" s="327">
        <f>'13-Miscellaneous'!G31</f>
        <v>0</v>
      </c>
      <c r="E510" s="254" t="str">
        <f>IF(D510="","",'13-Miscellaneous'!I31)</f>
        <v>ea</v>
      </c>
      <c r="F510" s="369">
        <f>IF(D510="","",'13-Miscellaneous'!H31)</f>
        <v>1400</v>
      </c>
      <c r="G510" s="293" t="str">
        <f t="shared" si="35"/>
        <v>ea</v>
      </c>
      <c r="H510" s="281">
        <f t="shared" si="36"/>
        <v>0</v>
      </c>
      <c r="I510" s="318"/>
      <c r="J510" s="318"/>
      <c r="K510" s="293"/>
    </row>
    <row r="511" spans="1:11" ht="13.5" customHeight="1">
      <c r="A511">
        <f t="shared" ref="A511:A519" si="38">IF(B511="",0,1)</f>
        <v>0</v>
      </c>
      <c r="B511" s="254" t="str">
        <f>IF(D511=0,"",'13-Miscellaneous'!B32)</f>
        <v/>
      </c>
      <c r="C511" s="254"/>
      <c r="D511" s="327">
        <f>'13-Miscellaneous'!G32</f>
        <v>0</v>
      </c>
      <c r="E511" s="254" t="str">
        <f>IF(D511="","",'13-Miscellaneous'!I32)</f>
        <v>EA</v>
      </c>
      <c r="F511" s="369">
        <f>IF(D511="","",'13-Miscellaneous'!H32)</f>
        <v>11050</v>
      </c>
      <c r="G511" s="293" t="str">
        <f t="shared" si="35"/>
        <v>EA</v>
      </c>
      <c r="H511" s="281">
        <f t="shared" si="36"/>
        <v>0</v>
      </c>
      <c r="I511" s="318"/>
      <c r="J511" s="318"/>
      <c r="K511" s="293"/>
    </row>
    <row r="512" spans="1:11" ht="13.5" customHeight="1">
      <c r="A512">
        <f t="shared" si="38"/>
        <v>0</v>
      </c>
      <c r="B512" s="254"/>
      <c r="C512" s="254"/>
      <c r="D512" s="327"/>
      <c r="E512" s="254"/>
      <c r="F512" s="369"/>
      <c r="G512" s="293"/>
      <c r="H512" s="281"/>
      <c r="I512" s="318"/>
      <c r="J512" s="318"/>
      <c r="K512" s="293"/>
    </row>
    <row r="513" spans="1:11" ht="13.5" customHeight="1">
      <c r="A513">
        <f t="shared" si="38"/>
        <v>0</v>
      </c>
      <c r="B513" s="254" t="str">
        <f>IF(D513=0,"",'13-Miscellaneous'!B34)</f>
        <v/>
      </c>
      <c r="C513" s="254"/>
      <c r="D513" s="327">
        <f>'13-Miscellaneous'!G34</f>
        <v>0</v>
      </c>
      <c r="E513" s="254" t="str">
        <f>IF(D513="","",'13-Miscellaneous'!I34)</f>
        <v>EA</v>
      </c>
      <c r="F513" s="369">
        <f>IF(D513="","",'13-Miscellaneous'!H34)</f>
        <v>250</v>
      </c>
      <c r="G513" s="293" t="str">
        <f t="shared" ref="G513:G519" si="39">E513</f>
        <v>EA</v>
      </c>
      <c r="H513" s="281">
        <f t="shared" ref="H513:H520" si="40">IF(D513="","",D513*F513)</f>
        <v>0</v>
      </c>
      <c r="I513" s="318"/>
      <c r="J513" s="318"/>
      <c r="K513" s="293"/>
    </row>
    <row r="514" spans="1:11" ht="13.5" customHeight="1">
      <c r="A514">
        <f t="shared" si="38"/>
        <v>0</v>
      </c>
      <c r="B514" s="254" t="str">
        <f>IF(D514=0,"",'13-Miscellaneous'!B35)</f>
        <v/>
      </c>
      <c r="C514" s="254"/>
      <c r="D514" s="327">
        <f>'13-Miscellaneous'!G35</f>
        <v>0</v>
      </c>
      <c r="E514" s="254" t="str">
        <f>IF(D514="","",'13-Miscellaneous'!I35)</f>
        <v>EA</v>
      </c>
      <c r="F514" s="369">
        <f>IF(D514="","",'13-Miscellaneous'!H35)</f>
        <v>125</v>
      </c>
      <c r="G514" s="293" t="str">
        <f t="shared" si="39"/>
        <v>EA</v>
      </c>
      <c r="H514" s="281">
        <f t="shared" si="40"/>
        <v>0</v>
      </c>
      <c r="I514" s="318"/>
      <c r="J514" s="318"/>
      <c r="K514" s="293"/>
    </row>
    <row r="515" spans="1:11" ht="13.5" customHeight="1">
      <c r="A515">
        <f t="shared" si="38"/>
        <v>0</v>
      </c>
      <c r="B515" s="254" t="str">
        <f>IF(D515=0,"",'13-Miscellaneous'!B36)</f>
        <v/>
      </c>
      <c r="C515" s="254"/>
      <c r="D515" s="327">
        <f>'13-Miscellaneous'!G36</f>
        <v>0</v>
      </c>
      <c r="E515" s="254" t="str">
        <f>IF(D515="","",'13-Miscellaneous'!I36)</f>
        <v>LF</v>
      </c>
      <c r="F515" s="369">
        <f>IF(D515="","",'13-Miscellaneous'!H36)</f>
        <v>110</v>
      </c>
      <c r="G515" s="293" t="str">
        <f t="shared" si="39"/>
        <v>LF</v>
      </c>
      <c r="H515" s="281">
        <f t="shared" si="40"/>
        <v>0</v>
      </c>
      <c r="I515" s="318"/>
      <c r="J515" s="318"/>
      <c r="K515" s="293"/>
    </row>
    <row r="516" spans="1:11" ht="13.5" customHeight="1">
      <c r="A516">
        <f t="shared" si="38"/>
        <v>0</v>
      </c>
      <c r="B516" s="254" t="str">
        <f>IF(D516=0,"",'13-Miscellaneous'!B37)</f>
        <v/>
      </c>
      <c r="C516" s="254"/>
      <c r="D516" s="327">
        <f>'13-Miscellaneous'!G37</f>
        <v>0</v>
      </c>
      <c r="E516" s="254" t="str">
        <f>IF(D516="","",'13-Miscellaneous'!I37)</f>
        <v>EA</v>
      </c>
      <c r="F516" s="369">
        <f>IF(D516="","",'13-Miscellaneous'!H37)</f>
        <v>550</v>
      </c>
      <c r="G516" s="293" t="str">
        <f t="shared" si="39"/>
        <v>EA</v>
      </c>
      <c r="H516" s="281">
        <f t="shared" si="40"/>
        <v>0</v>
      </c>
      <c r="I516" s="318"/>
      <c r="J516" s="318"/>
      <c r="K516" s="293"/>
    </row>
    <row r="517" spans="1:11" ht="13.5" customHeight="1">
      <c r="A517">
        <f t="shared" si="38"/>
        <v>0</v>
      </c>
      <c r="B517" s="254" t="str">
        <f>IF(D517=0,"",'13-Miscellaneous'!B38)</f>
        <v/>
      </c>
      <c r="C517" s="254"/>
      <c r="D517" s="327">
        <f>'13-Miscellaneous'!G38</f>
        <v>0</v>
      </c>
      <c r="E517" s="254" t="str">
        <f>IF(D517="","",'13-Miscellaneous'!I38)</f>
        <v>LF</v>
      </c>
      <c r="F517" s="369">
        <f>IF(D517="","",'13-Miscellaneous'!H38)</f>
        <v>0</v>
      </c>
      <c r="G517" s="293" t="str">
        <f t="shared" si="39"/>
        <v>LF</v>
      </c>
      <c r="H517" s="281">
        <f t="shared" si="40"/>
        <v>0</v>
      </c>
      <c r="I517" s="318"/>
      <c r="J517" s="318"/>
      <c r="K517" s="293"/>
    </row>
    <row r="518" spans="1:11" ht="13.5" customHeight="1">
      <c r="A518">
        <f t="shared" si="38"/>
        <v>0</v>
      </c>
      <c r="B518" s="254" t="str">
        <f>IF(D518=0,"",'13-Miscellaneous'!B39)</f>
        <v/>
      </c>
      <c r="C518" s="254"/>
      <c r="D518" s="327">
        <f>'13-Miscellaneous'!G39</f>
        <v>0</v>
      </c>
      <c r="E518" s="254" t="str">
        <f>IF(D518="","",'13-Miscellaneous'!I39)</f>
        <v>LF</v>
      </c>
      <c r="F518" s="369">
        <f>IF(D518="","",'13-Miscellaneous'!H39)</f>
        <v>0</v>
      </c>
      <c r="G518" s="293" t="str">
        <f t="shared" si="39"/>
        <v>LF</v>
      </c>
      <c r="H518" s="281">
        <f t="shared" si="40"/>
        <v>0</v>
      </c>
      <c r="I518" s="318"/>
      <c r="J518" s="318"/>
      <c r="K518" s="293"/>
    </row>
    <row r="519" spans="1:11" ht="13.5" customHeight="1">
      <c r="A519">
        <f t="shared" si="38"/>
        <v>0</v>
      </c>
      <c r="B519" s="254" t="str">
        <f>IF(D519=0,"",'13-Miscellaneous'!B40)</f>
        <v/>
      </c>
      <c r="C519" s="254"/>
      <c r="D519" s="327">
        <f>'13-Miscellaneous'!G40</f>
        <v>0</v>
      </c>
      <c r="E519" s="254" t="str">
        <f>IF(D519="","",'13-Miscellaneous'!I40)</f>
        <v>LF</v>
      </c>
      <c r="F519" s="369">
        <f>IF(D519="","",'13-Miscellaneous'!H40)</f>
        <v>0</v>
      </c>
      <c r="G519" s="293" t="str">
        <f t="shared" si="39"/>
        <v>LF</v>
      </c>
      <c r="H519" s="281">
        <f t="shared" si="40"/>
        <v>0</v>
      </c>
      <c r="I519" s="318"/>
      <c r="J519" s="318"/>
      <c r="K519" s="293"/>
    </row>
    <row r="520" spans="1:11" ht="13.5" customHeight="1">
      <c r="A520" s="319">
        <v>1</v>
      </c>
      <c r="B520" s="254" t="str">
        <f>IF(D520=0,"",'13-Miscellaneous'!B41)</f>
        <v/>
      </c>
      <c r="C520" s="254"/>
      <c r="D520" s="327"/>
      <c r="E520" s="254"/>
      <c r="F520" s="369"/>
      <c r="G520" s="293"/>
      <c r="H520" s="281" t="str">
        <f t="shared" si="40"/>
        <v/>
      </c>
      <c r="I520" s="318"/>
      <c r="J520" s="318"/>
      <c r="K520" s="293"/>
    </row>
    <row r="521" spans="1:11" ht="13.5" customHeight="1">
      <c r="A521">
        <v>1</v>
      </c>
      <c r="B521" s="255"/>
      <c r="D521" s="254"/>
      <c r="G521" s="273"/>
    </row>
    <row r="522" spans="1:11" ht="13.5" customHeight="1">
      <c r="A522">
        <v>1</v>
      </c>
      <c r="B522" s="294"/>
      <c r="C522" s="296"/>
      <c r="D522" s="330"/>
      <c r="E522" s="330"/>
      <c r="F522" s="370"/>
      <c r="G522" s="287"/>
      <c r="H522" s="371"/>
      <c r="I522" s="296"/>
      <c r="J522" s="296"/>
      <c r="K522" s="296"/>
    </row>
    <row r="523" spans="1:11">
      <c r="A523">
        <v>1</v>
      </c>
    </row>
    <row r="524" spans="1:11" ht="15">
      <c r="A524" s="248">
        <v>1</v>
      </c>
      <c r="B524" s="372"/>
      <c r="C524" s="248"/>
      <c r="D524" s="248"/>
      <c r="E524" s="248"/>
      <c r="F524" s="248"/>
      <c r="G524" s="248"/>
      <c r="H524" s="248"/>
      <c r="I524" s="373"/>
      <c r="J524" s="374" t="s">
        <v>828</v>
      </c>
      <c r="K524" s="375">
        <f>K47</f>
        <v>2780346.5405072561</v>
      </c>
    </row>
    <row r="525" spans="1:11">
      <c r="A525">
        <v>1</v>
      </c>
      <c r="B525" s="254"/>
      <c r="C525" s="12"/>
    </row>
    <row r="526" spans="1:11" ht="39.75" customHeight="1">
      <c r="A526">
        <f>IF(B526="",0,1)</f>
        <v>1</v>
      </c>
      <c r="B526" s="255" t="s">
        <v>906</v>
      </c>
      <c r="C526" s="254"/>
    </row>
    <row r="527" spans="1:11">
      <c r="A527" s="319">
        <v>1</v>
      </c>
      <c r="B527" s="319"/>
      <c r="C527" s="254"/>
      <c r="D527" s="327"/>
      <c r="E527" s="254"/>
      <c r="F527" s="369"/>
      <c r="G527" s="293"/>
      <c r="H527" s="281"/>
      <c r="I527" s="318"/>
      <c r="J527" s="318"/>
      <c r="K527" s="293"/>
    </row>
    <row r="528" spans="1:11">
      <c r="A528">
        <v>1</v>
      </c>
      <c r="B528" s="254"/>
      <c r="C528" s="12"/>
    </row>
    <row r="529" spans="1:12">
      <c r="A529">
        <f t="shared" ref="A529:A560" si="41">IF(B529="",0,1)</f>
        <v>0</v>
      </c>
      <c r="B529" s="319"/>
      <c r="C529" s="254"/>
      <c r="D529" s="254"/>
      <c r="G529" s="376"/>
      <c r="H529" s="376"/>
      <c r="I529" s="254"/>
      <c r="J529" s="254"/>
    </row>
    <row r="530" spans="1:12">
      <c r="A530">
        <f t="shared" si="41"/>
        <v>0</v>
      </c>
      <c r="B530" s="12"/>
      <c r="C530" s="254"/>
      <c r="D530" s="254"/>
      <c r="G530" s="376"/>
      <c r="H530" s="376"/>
      <c r="I530" s="254"/>
      <c r="J530" s="254"/>
    </row>
    <row r="531" spans="1:12" ht="12.75" customHeight="1">
      <c r="A531">
        <f t="shared" si="41"/>
        <v>0</v>
      </c>
      <c r="B531" s="12"/>
      <c r="C531" s="254"/>
      <c r="D531" s="254"/>
    </row>
    <row r="532" spans="1:12" ht="15">
      <c r="A532">
        <f t="shared" si="41"/>
        <v>1</v>
      </c>
      <c r="B532" s="377" t="s">
        <v>907</v>
      </c>
      <c r="C532" s="18"/>
    </row>
    <row r="533" spans="1:12" ht="15">
      <c r="A533">
        <f t="shared" si="41"/>
        <v>1</v>
      </c>
      <c r="B533" s="378" t="s">
        <v>908</v>
      </c>
      <c r="C533" s="18"/>
    </row>
    <row r="534" spans="1:12" ht="15">
      <c r="A534">
        <f t="shared" si="41"/>
        <v>1</v>
      </c>
      <c r="B534" s="378" t="s">
        <v>909</v>
      </c>
      <c r="C534" s="18"/>
    </row>
    <row r="535" spans="1:12" ht="15">
      <c r="A535">
        <f t="shared" si="41"/>
        <v>1</v>
      </c>
      <c r="B535" s="378" t="s">
        <v>910</v>
      </c>
      <c r="C535" s="18"/>
    </row>
    <row r="536" spans="1:12" ht="15">
      <c r="A536">
        <f t="shared" si="41"/>
        <v>1</v>
      </c>
      <c r="B536" s="378" t="s">
        <v>911</v>
      </c>
      <c r="C536" s="18"/>
      <c r="L536">
        <f t="shared" ref="L536:L542" si="42">IF(K569="incl",0,K569)</f>
        <v>0</v>
      </c>
    </row>
    <row r="537" spans="1:12" ht="15">
      <c r="A537">
        <f t="shared" si="41"/>
        <v>1</v>
      </c>
      <c r="B537" s="282" t="s">
        <v>912</v>
      </c>
      <c r="C537" s="18"/>
      <c r="L537" s="301">
        <f t="shared" si="42"/>
        <v>0</v>
      </c>
    </row>
    <row r="538" spans="1:12" ht="15">
      <c r="A538">
        <f t="shared" si="41"/>
        <v>1</v>
      </c>
      <c r="B538" s="378" t="s">
        <v>913</v>
      </c>
      <c r="C538" s="18"/>
      <c r="L538" s="301">
        <f t="shared" si="42"/>
        <v>0</v>
      </c>
    </row>
    <row r="539" spans="1:12" ht="15">
      <c r="A539">
        <f t="shared" si="41"/>
        <v>1</v>
      </c>
      <c r="B539" s="378" t="s">
        <v>914</v>
      </c>
      <c r="C539" s="18"/>
      <c r="L539" s="301">
        <f t="shared" si="42"/>
        <v>0</v>
      </c>
    </row>
    <row r="540" spans="1:12" ht="15">
      <c r="A540">
        <f t="shared" si="41"/>
        <v>1</v>
      </c>
      <c r="B540" s="378" t="s">
        <v>915</v>
      </c>
      <c r="C540" s="18"/>
      <c r="L540" s="301">
        <f t="shared" si="42"/>
        <v>0</v>
      </c>
    </row>
    <row r="541" spans="1:12" ht="15">
      <c r="A541">
        <f t="shared" si="41"/>
        <v>1</v>
      </c>
      <c r="B541" s="378" t="s">
        <v>916</v>
      </c>
      <c r="C541" s="18"/>
      <c r="D541" s="254"/>
      <c r="L541" s="301">
        <f t="shared" si="42"/>
        <v>0</v>
      </c>
    </row>
    <row r="542" spans="1:12" ht="15">
      <c r="A542">
        <f t="shared" si="41"/>
        <v>1</v>
      </c>
      <c r="B542" s="378" t="s">
        <v>917</v>
      </c>
      <c r="C542" s="18"/>
      <c r="L542" s="301">
        <f t="shared" si="42"/>
        <v>0</v>
      </c>
    </row>
    <row r="543" spans="1:12" ht="15.45">
      <c r="A543">
        <f t="shared" si="41"/>
        <v>1</v>
      </c>
      <c r="B543" s="259" t="s">
        <v>918</v>
      </c>
      <c r="C543" s="18"/>
      <c r="D543" s="254"/>
      <c r="L543">
        <f>IF(K540="incl",0,K540)</f>
        <v>0</v>
      </c>
    </row>
    <row r="544" spans="1:12" ht="15">
      <c r="A544">
        <f t="shared" si="41"/>
        <v>1</v>
      </c>
      <c r="B544" s="377" t="s">
        <v>919</v>
      </c>
      <c r="C544" s="18"/>
      <c r="D544" s="254"/>
      <c r="L544">
        <f>IF(K577="incl",0,K577)</f>
        <v>0</v>
      </c>
    </row>
    <row r="545" spans="1:12" ht="15">
      <c r="A545">
        <f t="shared" si="41"/>
        <v>1</v>
      </c>
      <c r="B545" s="378" t="s">
        <v>920</v>
      </c>
      <c r="C545" s="18"/>
      <c r="D545" s="254"/>
      <c r="L545">
        <f>IF(K578="incl",0,K578)</f>
        <v>0</v>
      </c>
    </row>
    <row r="546" spans="1:12" ht="15">
      <c r="A546">
        <f t="shared" si="41"/>
        <v>1</v>
      </c>
      <c r="B546" s="378" t="s">
        <v>921</v>
      </c>
      <c r="C546" s="18"/>
      <c r="D546" s="254"/>
      <c r="L546">
        <f>IF(K579="incl",0,K579)</f>
        <v>0</v>
      </c>
    </row>
    <row r="547" spans="1:12" ht="15">
      <c r="A547">
        <f t="shared" si="41"/>
        <v>1</v>
      </c>
      <c r="B547" s="378" t="s">
        <v>922</v>
      </c>
      <c r="C547" s="18"/>
      <c r="D547" s="254"/>
      <c r="L547">
        <f>IF(K580="incl",0,K580)</f>
        <v>0</v>
      </c>
    </row>
    <row r="548" spans="1:12" ht="15">
      <c r="A548">
        <f t="shared" si="41"/>
        <v>1</v>
      </c>
      <c r="B548" s="378" t="s">
        <v>923</v>
      </c>
      <c r="C548" s="18"/>
      <c r="D548" s="254"/>
    </row>
    <row r="549" spans="1:12" ht="15">
      <c r="A549">
        <f t="shared" si="41"/>
        <v>1</v>
      </c>
      <c r="B549" s="378" t="s">
        <v>924</v>
      </c>
      <c r="C549" s="18"/>
      <c r="D549" s="254"/>
    </row>
    <row r="550" spans="1:12" ht="15">
      <c r="A550">
        <f t="shared" si="41"/>
        <v>1</v>
      </c>
      <c r="B550" s="378" t="s">
        <v>925</v>
      </c>
      <c r="C550" s="18"/>
      <c r="D550" s="254"/>
    </row>
    <row r="551" spans="1:12" ht="15">
      <c r="A551">
        <f t="shared" si="41"/>
        <v>1</v>
      </c>
      <c r="B551" s="378" t="s">
        <v>926</v>
      </c>
      <c r="C551" s="18"/>
      <c r="D551" s="254"/>
      <c r="L551">
        <f>IF(K585="incl",0,K585)</f>
        <v>0</v>
      </c>
    </row>
    <row r="552" spans="1:12" ht="15">
      <c r="A552">
        <f t="shared" si="41"/>
        <v>1</v>
      </c>
      <c r="B552" s="378" t="s">
        <v>927</v>
      </c>
      <c r="C552" s="18"/>
      <c r="D552" s="254"/>
    </row>
    <row r="553" spans="1:12" ht="15">
      <c r="A553">
        <f t="shared" si="41"/>
        <v>1</v>
      </c>
      <c r="B553" s="378" t="s">
        <v>928</v>
      </c>
      <c r="C553" s="18"/>
      <c r="D553" s="254"/>
    </row>
    <row r="554" spans="1:12" ht="15">
      <c r="A554">
        <f t="shared" si="41"/>
        <v>1</v>
      </c>
      <c r="B554" s="378" t="s">
        <v>929</v>
      </c>
      <c r="C554" s="18"/>
      <c r="D554" s="254"/>
      <c r="L554">
        <f>IF(K589="incl",0,K589)</f>
        <v>0</v>
      </c>
    </row>
    <row r="555" spans="1:12" ht="15">
      <c r="A555">
        <f t="shared" si="41"/>
        <v>1</v>
      </c>
      <c r="B555" s="378" t="s">
        <v>930</v>
      </c>
      <c r="C555" s="18"/>
      <c r="D555" s="254"/>
      <c r="L555">
        <f>IF(K590="incl",0,K590)</f>
        <v>0</v>
      </c>
    </row>
    <row r="556" spans="1:12" ht="15">
      <c r="A556">
        <f t="shared" si="41"/>
        <v>1</v>
      </c>
      <c r="B556" s="378" t="s">
        <v>931</v>
      </c>
      <c r="C556" s="18"/>
      <c r="D556" s="254"/>
      <c r="L556">
        <f>IF(K591="incl",0,K591)</f>
        <v>0</v>
      </c>
    </row>
    <row r="557" spans="1:12" ht="14.25" customHeight="1">
      <c r="A557">
        <f t="shared" si="41"/>
        <v>1</v>
      </c>
      <c r="B557" s="378" t="s">
        <v>932</v>
      </c>
      <c r="C557" s="18"/>
      <c r="D557" s="254"/>
      <c r="L557">
        <f>IF(K592="incl",0,K592)</f>
        <v>0</v>
      </c>
    </row>
    <row r="558" spans="1:12" ht="14.25" customHeight="1">
      <c r="A558">
        <f t="shared" si="41"/>
        <v>1</v>
      </c>
      <c r="B558" s="282" t="s">
        <v>933</v>
      </c>
      <c r="C558" s="18"/>
      <c r="D558" s="254"/>
    </row>
    <row r="559" spans="1:12" ht="15">
      <c r="A559">
        <f t="shared" si="41"/>
        <v>1</v>
      </c>
      <c r="B559" s="378" t="s">
        <v>934</v>
      </c>
      <c r="C559" s="18"/>
    </row>
    <row r="560" spans="1:12" ht="15">
      <c r="A560">
        <f t="shared" si="41"/>
        <v>1</v>
      </c>
      <c r="B560" s="378" t="s">
        <v>935</v>
      </c>
      <c r="C560" s="18"/>
    </row>
    <row r="561" spans="1:12" ht="15">
      <c r="A561">
        <f t="shared" ref="A561:A578" si="43">IF(B561="",0,1)</f>
        <v>1</v>
      </c>
      <c r="B561" s="378" t="s">
        <v>936</v>
      </c>
      <c r="C561" s="18"/>
    </row>
    <row r="562" spans="1:12" ht="15">
      <c r="A562">
        <f t="shared" si="43"/>
        <v>1</v>
      </c>
      <c r="B562" s="378" t="s">
        <v>937</v>
      </c>
      <c r="C562" s="18"/>
    </row>
    <row r="563" spans="1:12" ht="15">
      <c r="A563">
        <f t="shared" si="43"/>
        <v>1</v>
      </c>
      <c r="B563" s="378" t="s">
        <v>938</v>
      </c>
      <c r="C563" s="18"/>
    </row>
    <row r="564" spans="1:12" ht="15">
      <c r="A564">
        <f t="shared" si="43"/>
        <v>1</v>
      </c>
      <c r="B564" s="378" t="s">
        <v>939</v>
      </c>
      <c r="C564" s="18"/>
      <c r="L564">
        <f>IF(K599="incl",0,K599)</f>
        <v>0</v>
      </c>
    </row>
    <row r="565" spans="1:12" ht="15">
      <c r="A565">
        <f t="shared" si="43"/>
        <v>1</v>
      </c>
      <c r="B565" s="379" t="s">
        <v>940</v>
      </c>
      <c r="C565" s="18"/>
    </row>
    <row r="566" spans="1:12" ht="15">
      <c r="A566">
        <f t="shared" si="43"/>
        <v>1</v>
      </c>
      <c r="B566" s="379" t="s">
        <v>941</v>
      </c>
      <c r="C566" s="18"/>
    </row>
    <row r="567" spans="1:12" ht="15">
      <c r="A567">
        <f t="shared" si="43"/>
        <v>1</v>
      </c>
      <c r="B567" s="379" t="s">
        <v>942</v>
      </c>
      <c r="C567" s="18"/>
    </row>
    <row r="568" spans="1:12" ht="15">
      <c r="A568">
        <f t="shared" si="43"/>
        <v>1</v>
      </c>
      <c r="B568" s="379" t="s">
        <v>943</v>
      </c>
      <c r="C568" s="18"/>
      <c r="L568">
        <f>IF(K603="incl",0,K603)</f>
        <v>0</v>
      </c>
    </row>
    <row r="569" spans="1:12" ht="14.25" customHeight="1">
      <c r="A569">
        <f t="shared" si="43"/>
        <v>1</v>
      </c>
      <c r="B569" s="379" t="s">
        <v>944</v>
      </c>
      <c r="C569" s="18"/>
      <c r="D569" s="254"/>
      <c r="E569" s="254"/>
      <c r="F569" s="254"/>
      <c r="G569" s="254"/>
      <c r="H569" s="254"/>
      <c r="I569" s="254"/>
      <c r="J569" s="254"/>
      <c r="K569" s="254"/>
      <c r="L569">
        <f>IF(K604="incl",0,K604)</f>
        <v>0</v>
      </c>
    </row>
    <row r="570" spans="1:12" ht="12.75" customHeight="1">
      <c r="A570">
        <f t="shared" si="43"/>
        <v>1</v>
      </c>
      <c r="B570" s="379" t="s">
        <v>945</v>
      </c>
      <c r="C570" s="18"/>
      <c r="D570" s="327"/>
      <c r="E570" s="254"/>
      <c r="F570" s="369"/>
      <c r="G570" s="293"/>
      <c r="H570" s="281"/>
      <c r="I570" s="256"/>
      <c r="J570" s="256"/>
      <c r="K570" s="293"/>
    </row>
    <row r="571" spans="1:12" ht="17.25" customHeight="1">
      <c r="A571">
        <f t="shared" si="43"/>
        <v>1</v>
      </c>
      <c r="B571" s="379" t="s">
        <v>946</v>
      </c>
      <c r="C571" s="18"/>
      <c r="D571" s="327"/>
      <c r="E571" s="254"/>
      <c r="F571" s="369"/>
      <c r="G571" s="293"/>
      <c r="H571" s="281"/>
      <c r="I571" s="318"/>
      <c r="J571" s="318"/>
      <c r="K571" s="293"/>
    </row>
    <row r="572" spans="1:12" ht="15">
      <c r="A572">
        <f t="shared" si="43"/>
        <v>1</v>
      </c>
      <c r="B572" s="379" t="s">
        <v>947</v>
      </c>
      <c r="C572" s="18"/>
      <c r="D572" s="327"/>
      <c r="E572" s="254"/>
      <c r="F572" s="369"/>
      <c r="G572" s="293"/>
      <c r="H572" s="281"/>
      <c r="I572" s="256"/>
      <c r="J572" s="256"/>
      <c r="K572" s="293"/>
      <c r="L572">
        <f>IF(K607="incl",0,K607)</f>
        <v>0</v>
      </c>
    </row>
    <row r="573" spans="1:12" ht="15">
      <c r="A573">
        <f t="shared" si="43"/>
        <v>1</v>
      </c>
      <c r="B573" s="379" t="s">
        <v>948</v>
      </c>
      <c r="C573" s="18"/>
      <c r="D573" s="327"/>
      <c r="E573" s="254"/>
      <c r="F573" s="369"/>
      <c r="G573" s="293"/>
      <c r="H573" s="281"/>
      <c r="I573" s="318"/>
      <c r="J573" s="318"/>
      <c r="K573" s="293"/>
      <c r="L573">
        <f>IF(K608="incl",0,K608)</f>
        <v>0</v>
      </c>
    </row>
    <row r="574" spans="1:12" ht="15">
      <c r="A574">
        <f t="shared" si="43"/>
        <v>1</v>
      </c>
      <c r="B574" s="378" t="s">
        <v>949</v>
      </c>
      <c r="C574" s="18"/>
      <c r="D574" s="327"/>
      <c r="E574" s="254"/>
      <c r="F574" s="369"/>
      <c r="G574" s="293"/>
      <c r="H574" s="281"/>
      <c r="I574" s="318"/>
      <c r="J574" s="318"/>
      <c r="K574" s="293"/>
    </row>
    <row r="575" spans="1:12" ht="15">
      <c r="A575">
        <f t="shared" si="43"/>
        <v>1</v>
      </c>
      <c r="B575" s="379" t="s">
        <v>950</v>
      </c>
      <c r="C575" s="18"/>
      <c r="D575" s="327"/>
      <c r="E575" s="254"/>
      <c r="F575" s="369"/>
      <c r="G575" s="293"/>
      <c r="H575" s="281"/>
      <c r="I575" s="256"/>
      <c r="J575" s="256"/>
      <c r="K575" s="293"/>
    </row>
    <row r="576" spans="1:12" ht="15">
      <c r="A576">
        <f t="shared" si="43"/>
        <v>1</v>
      </c>
      <c r="B576" s="378" t="s">
        <v>951</v>
      </c>
      <c r="C576" s="18"/>
      <c r="D576" s="327"/>
      <c r="E576" s="254"/>
      <c r="F576" s="369"/>
      <c r="G576" s="293"/>
      <c r="H576" s="281"/>
      <c r="I576" s="318"/>
      <c r="J576" s="318"/>
      <c r="K576" s="293"/>
    </row>
    <row r="577" spans="1:12" ht="15">
      <c r="A577">
        <f t="shared" si="43"/>
        <v>1</v>
      </c>
      <c r="B577" s="378" t="s">
        <v>952</v>
      </c>
      <c r="C577" s="18"/>
      <c r="D577" s="327"/>
      <c r="E577" s="254"/>
      <c r="F577" s="369"/>
      <c r="G577" s="293"/>
      <c r="H577" s="281"/>
      <c r="I577" s="318"/>
      <c r="J577" s="318"/>
      <c r="K577" s="293"/>
    </row>
    <row r="578" spans="1:12" ht="15">
      <c r="A578">
        <f t="shared" si="43"/>
        <v>1</v>
      </c>
      <c r="B578" s="378" t="s">
        <v>953</v>
      </c>
      <c r="C578" s="18"/>
      <c r="D578" s="327"/>
      <c r="E578" s="254"/>
      <c r="F578" s="369"/>
      <c r="G578" s="293"/>
      <c r="H578" s="281"/>
      <c r="I578" s="318"/>
      <c r="J578" s="318"/>
      <c r="K578" s="293"/>
      <c r="L578">
        <f>IF(K613="incl",0,K613)</f>
        <v>0</v>
      </c>
    </row>
    <row r="579" spans="1:12" ht="31.5" customHeight="1">
      <c r="A579" s="254"/>
      <c r="B579" s="254"/>
      <c r="C579" s="254"/>
      <c r="D579" s="254"/>
      <c r="E579" s="254"/>
      <c r="F579" s="254"/>
      <c r="G579" s="254"/>
      <c r="H579" s="254"/>
      <c r="I579" s="364"/>
      <c r="J579" s="364"/>
      <c r="K579" s="336"/>
      <c r="L579">
        <f>IF(K614="incl",0,K614)</f>
        <v>0</v>
      </c>
    </row>
    <row r="580" spans="1:12" ht="13.5" customHeight="1">
      <c r="C580" s="254"/>
      <c r="D580" s="255"/>
      <c r="E580" s="255"/>
      <c r="F580" s="255"/>
      <c r="G580" s="319"/>
      <c r="H580" s="319"/>
      <c r="I580" s="255"/>
      <c r="J580" s="255"/>
      <c r="K580" s="293"/>
    </row>
    <row r="581" spans="1:12" ht="12.75" customHeight="1">
      <c r="B581" s="254"/>
      <c r="C581" s="254"/>
      <c r="D581" s="254"/>
      <c r="E581" s="254"/>
      <c r="F581" s="254"/>
      <c r="G581" s="254"/>
      <c r="H581" s="254"/>
      <c r="I581" s="254"/>
      <c r="J581" s="254"/>
      <c r="K581" s="254"/>
      <c r="L581">
        <f>IF(K616="incl",0,K616)</f>
        <v>0</v>
      </c>
    </row>
    <row r="582" spans="1:12">
      <c r="B582" s="254"/>
      <c r="C582" s="254"/>
      <c r="D582" s="254"/>
      <c r="E582" s="254"/>
      <c r="F582" s="254"/>
      <c r="G582" s="254"/>
      <c r="H582" s="254"/>
      <c r="I582" s="254"/>
      <c r="J582" s="254"/>
      <c r="K582" s="254"/>
      <c r="L582">
        <f>IF(K617="incl",0,K617)</f>
        <v>0</v>
      </c>
    </row>
    <row r="583" spans="1:12">
      <c r="B583" s="254"/>
      <c r="C583" s="254"/>
      <c r="D583" s="254"/>
      <c r="E583" s="254"/>
      <c r="F583" s="254"/>
      <c r="G583" s="254"/>
      <c r="H583" s="254"/>
      <c r="I583" s="254"/>
      <c r="J583" s="254"/>
      <c r="K583" s="254"/>
      <c r="L583">
        <f>IF(K618="incl",0,K618)</f>
        <v>0</v>
      </c>
    </row>
    <row r="584" spans="1:12">
      <c r="B584" s="254"/>
      <c r="C584" s="254"/>
      <c r="D584" s="254"/>
      <c r="E584" s="254"/>
      <c r="F584" s="254"/>
      <c r="G584" s="254"/>
      <c r="H584" s="254"/>
      <c r="I584" s="254"/>
      <c r="J584" s="254"/>
      <c r="K584" s="254"/>
    </row>
    <row r="585" spans="1:12">
      <c r="B585" s="255"/>
      <c r="C585" s="254"/>
      <c r="D585" s="254"/>
      <c r="E585" s="254"/>
      <c r="F585" s="254"/>
      <c r="G585" s="254"/>
      <c r="H585" s="254"/>
      <c r="I585" s="254"/>
      <c r="J585" s="254"/>
      <c r="K585" s="254"/>
      <c r="L585">
        <f>IF(K620="incl",0,K620)</f>
        <v>0</v>
      </c>
    </row>
    <row r="586" spans="1:12">
      <c r="B586" s="254"/>
      <c r="C586" s="254"/>
      <c r="D586" s="254"/>
      <c r="E586" s="254"/>
      <c r="F586" s="254"/>
      <c r="G586" s="254"/>
      <c r="H586" s="254"/>
      <c r="I586" s="254"/>
      <c r="J586" s="254"/>
      <c r="K586" s="254"/>
      <c r="L586">
        <f>IF(K320="incl",0,K320)</f>
        <v>0</v>
      </c>
    </row>
    <row r="587" spans="1:12">
      <c r="B587" s="254"/>
      <c r="C587" s="254"/>
      <c r="D587" s="254"/>
      <c r="E587" s="254"/>
      <c r="F587" s="254"/>
      <c r="G587" s="254"/>
      <c r="H587" s="254"/>
      <c r="I587" s="254"/>
      <c r="J587" s="254"/>
      <c r="K587" s="254"/>
      <c r="L587">
        <f>IF(K622="incl",0,K622)</f>
        <v>0</v>
      </c>
    </row>
    <row r="594" spans="3:4">
      <c r="C594" s="2900"/>
      <c r="D594" s="2900"/>
    </row>
    <row r="595" spans="3:4">
      <c r="C595" s="254"/>
      <c r="D595" s="254"/>
    </row>
    <row r="596" spans="3:4">
      <c r="C596" s="254"/>
      <c r="D596" s="254"/>
    </row>
    <row r="597" spans="3:4">
      <c r="C597" s="254"/>
      <c r="D597" s="254"/>
    </row>
    <row r="598" spans="3:4">
      <c r="C598" s="254"/>
      <c r="D598" s="254"/>
    </row>
    <row r="599" spans="3:4">
      <c r="C599" s="254"/>
      <c r="D599" s="254"/>
    </row>
    <row r="600" spans="3:4">
      <c r="C600" s="2900"/>
      <c r="D600" s="2900"/>
    </row>
  </sheetData>
  <mergeCells count="69">
    <mergeCell ref="F482:G482"/>
    <mergeCell ref="C491:D491"/>
    <mergeCell ref="C594:D594"/>
    <mergeCell ref="C600:D600"/>
    <mergeCell ref="F477:G477"/>
    <mergeCell ref="F478:G478"/>
    <mergeCell ref="F479:G479"/>
    <mergeCell ref="F480:G480"/>
    <mergeCell ref="F481:G481"/>
    <mergeCell ref="F472:G472"/>
    <mergeCell ref="F473:G473"/>
    <mergeCell ref="F474:G474"/>
    <mergeCell ref="F475:G475"/>
    <mergeCell ref="F476:G476"/>
    <mergeCell ref="F467:G467"/>
    <mergeCell ref="F468:G468"/>
    <mergeCell ref="F469:G469"/>
    <mergeCell ref="F470:G470"/>
    <mergeCell ref="F471:G471"/>
    <mergeCell ref="F462:G462"/>
    <mergeCell ref="F463:G463"/>
    <mergeCell ref="F464:G464"/>
    <mergeCell ref="F465:G465"/>
    <mergeCell ref="F466:G466"/>
    <mergeCell ref="F449:G449"/>
    <mergeCell ref="C458:D458"/>
    <mergeCell ref="F458:G458"/>
    <mergeCell ref="F460:G460"/>
    <mergeCell ref="F461:G461"/>
    <mergeCell ref="F444:G444"/>
    <mergeCell ref="F445:G445"/>
    <mergeCell ref="F446:G446"/>
    <mergeCell ref="F447:G447"/>
    <mergeCell ref="F448:G448"/>
    <mergeCell ref="F439:G439"/>
    <mergeCell ref="F440:G440"/>
    <mergeCell ref="F441:G441"/>
    <mergeCell ref="F442:G442"/>
    <mergeCell ref="F443:G443"/>
    <mergeCell ref="F434:G434"/>
    <mergeCell ref="F435:G435"/>
    <mergeCell ref="F436:G436"/>
    <mergeCell ref="F437:G437"/>
    <mergeCell ref="F438:G438"/>
    <mergeCell ref="F429:G429"/>
    <mergeCell ref="F430:G430"/>
    <mergeCell ref="F431:G431"/>
    <mergeCell ref="F432:G432"/>
    <mergeCell ref="F433:G433"/>
    <mergeCell ref="F424:G424"/>
    <mergeCell ref="F425:G425"/>
    <mergeCell ref="F426:G426"/>
    <mergeCell ref="F427:G427"/>
    <mergeCell ref="F428:G428"/>
    <mergeCell ref="C259:D259"/>
    <mergeCell ref="C294:D294"/>
    <mergeCell ref="C330:D330"/>
    <mergeCell ref="C380:D380"/>
    <mergeCell ref="C423:D423"/>
    <mergeCell ref="C62:D62"/>
    <mergeCell ref="C103:D103"/>
    <mergeCell ref="C139:D139"/>
    <mergeCell ref="C174:D174"/>
    <mergeCell ref="C216:D216"/>
    <mergeCell ref="J3:K3"/>
    <mergeCell ref="B33:J33"/>
    <mergeCell ref="B35:J35"/>
    <mergeCell ref="B36:C36"/>
    <mergeCell ref="B37:C37"/>
  </mergeCells>
  <pageMargins left="0.45" right="0.359722222222222" top="0.61111111111111105" bottom="0.75" header="2.0138888888888901E-2" footer="0.3"/>
  <pageSetup fitToHeight="0" orientation="portrait" horizontalDpi="300" verticalDpi="300"/>
  <headerFooter>
    <oddFooter>&amp;LOffice: 817-228-0452&amp;C&amp;14CTH Concrete, LLC
&amp;10 225 Creekside Dr.
Fort Worth, Tx 76131
&amp;P of &amp;N&amp;REmail: Cdykgraaf@cthconcrete.com</oddFooter>
  </headerFooter>
  <rowBreaks count="3" manualBreakCount="3">
    <brk id="59" max="16383" man="1"/>
    <brk id="420" max="16383" man="1"/>
    <brk id="525"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4">
              <controlPr defaultSize="0" print="0" autoFill="0" autoPict="0" macro="Sheet20.TestHide">
                <anchor moveWithCells="1">
                  <from>
                    <xdr:col>13</xdr:col>
                    <xdr:colOff>201386</xdr:colOff>
                    <xdr:row>0</xdr:row>
                    <xdr:rowOff>136071</xdr:rowOff>
                  </from>
                  <to>
                    <xdr:col>14</xdr:col>
                    <xdr:colOff>-1621971</xdr:colOff>
                    <xdr:row>1</xdr:row>
                    <xdr:rowOff>250371</xdr:rowOff>
                  </to>
                </anchor>
              </controlPr>
            </control>
          </mc:Choice>
        </mc:AlternateContent>
        <mc:AlternateContent xmlns:mc="http://schemas.openxmlformats.org/markup-compatibility/2006">
          <mc:Choice Requires="x14">
            <control shapeId="1002" r:id="rId4" name="Button 46">
              <controlPr defaultSize="0" print="0" autoFill="0" autoPict="0" macro="Module2.UnhideAllRows">
                <anchor moveWithCells="1">
                  <from>
                    <xdr:col>13</xdr:col>
                    <xdr:colOff>201386</xdr:colOff>
                    <xdr:row>2</xdr:row>
                    <xdr:rowOff>163286</xdr:rowOff>
                  </from>
                  <to>
                    <xdr:col>14</xdr:col>
                    <xdr:colOff>-1621971</xdr:colOff>
                    <xdr:row>5</xdr:row>
                    <xdr:rowOff>27214</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pageSetUpPr fitToPage="1"/>
  </sheetPr>
  <dimension ref="A1:CA306"/>
  <sheetViews>
    <sheetView showGridLines="0" zoomScale="70" zoomScaleNormal="70" zoomScalePageLayoutView="90" workbookViewId="0">
      <selection activeCell="G19" sqref="G19"/>
    </sheetView>
  </sheetViews>
  <sheetFormatPr defaultColWidth="9.15234375" defaultRowHeight="15"/>
  <cols>
    <col min="1" max="1" width="12.15234375" style="18" customWidth="1"/>
    <col min="2" max="2" width="15.15234375" style="18" customWidth="1"/>
    <col min="3" max="3" width="12.4609375" style="18" customWidth="1"/>
    <col min="4" max="4" width="5.15234375" style="17" customWidth="1"/>
    <col min="5" max="5" width="15.84375" style="18" customWidth="1"/>
    <col min="6" max="6" width="10.15234375" style="18" customWidth="1"/>
    <col min="7" max="7" width="15.4609375" style="18" customWidth="1"/>
    <col min="8" max="9" width="12.84375" style="18" customWidth="1"/>
    <col min="10" max="10" width="17.15234375" style="18" customWidth="1"/>
    <col min="11" max="11" width="15" style="18" customWidth="1"/>
    <col min="12" max="12" width="15.15234375" style="18" customWidth="1"/>
    <col min="13" max="13" width="13.84375" style="18" customWidth="1"/>
    <col min="14" max="14" width="12.84375" style="18" customWidth="1"/>
    <col min="15" max="15" width="15.15234375" style="380" customWidth="1"/>
    <col min="16" max="16" width="12.84375" style="380" customWidth="1"/>
    <col min="17" max="21" width="12.84375" style="18" customWidth="1"/>
    <col min="22" max="22" width="16.4609375" style="18" customWidth="1"/>
    <col min="23" max="23" width="19.53515625" style="18" customWidth="1"/>
    <col min="24" max="24" width="14.15234375" style="18" customWidth="1"/>
    <col min="25" max="25" width="13.15234375" style="18" customWidth="1"/>
    <col min="26" max="27" width="15.4609375" style="18" customWidth="1"/>
    <col min="28" max="28" width="12.53515625" style="18" customWidth="1"/>
    <col min="29" max="29" width="12.4609375" style="18" customWidth="1"/>
    <col min="30" max="30" width="18.84375" style="18" customWidth="1"/>
    <col min="31" max="31" width="18.15234375" style="18" customWidth="1"/>
    <col min="32" max="32" width="12.53515625" style="18" customWidth="1"/>
    <col min="33" max="33" width="12.4609375" style="18" customWidth="1"/>
    <col min="34" max="34" width="18.84375" style="18" customWidth="1"/>
    <col min="35" max="35" width="18.15234375" style="18" customWidth="1"/>
    <col min="36" max="36" width="12.53515625" style="18" customWidth="1"/>
    <col min="37" max="37" width="12.4609375" style="18" customWidth="1"/>
    <col min="38" max="38" width="18.84375" style="18" customWidth="1"/>
    <col min="39" max="39" width="18.15234375" style="18" customWidth="1"/>
    <col min="40" max="40" width="12.53515625" style="18" customWidth="1"/>
    <col min="41" max="41" width="12.4609375" style="18" customWidth="1"/>
    <col min="42" max="42" width="18.84375" style="18" customWidth="1"/>
    <col min="43" max="43" width="18.15234375" style="18" customWidth="1"/>
    <col min="44" max="44" width="12.53515625" style="18" customWidth="1"/>
    <col min="45" max="45" width="12.4609375" style="18" customWidth="1"/>
    <col min="46" max="46" width="18.84375" style="18" customWidth="1"/>
    <col min="47" max="47" width="18.15234375" style="18" customWidth="1"/>
    <col min="48" max="48" width="9.15234375" style="18"/>
    <col min="49" max="49" width="13.53515625" style="18" customWidth="1"/>
    <col min="50" max="50" width="9.15234375" style="18"/>
    <col min="51" max="51" width="16" style="18" customWidth="1"/>
    <col min="52" max="54" width="9.15234375" style="18"/>
    <col min="55" max="55" width="12" style="18" customWidth="1"/>
    <col min="56" max="58" width="9.15234375" style="18"/>
    <col min="59" max="59" width="12" style="18" customWidth="1"/>
    <col min="60" max="62" width="9.15234375" style="18"/>
    <col min="63" max="63" width="11.84375" style="18" customWidth="1"/>
    <col min="64" max="66" width="9.15234375" style="18"/>
    <col min="67" max="67" width="14" style="18" customWidth="1"/>
    <col min="68" max="69" width="9.15234375" style="18"/>
    <col min="70" max="70" width="11.4609375" style="18" customWidth="1"/>
    <col min="71" max="71" width="16.4609375" style="18" customWidth="1"/>
    <col min="72" max="72" width="10.53515625" style="18" customWidth="1"/>
    <col min="73" max="73" width="9.15234375" style="18"/>
    <col min="74" max="74" width="13.53515625" style="18" customWidth="1"/>
    <col min="75" max="75" width="14.84375" style="18" customWidth="1"/>
    <col min="76" max="77" width="9.15234375" style="18"/>
    <col min="78" max="78" width="15.84375" style="18" customWidth="1"/>
    <col min="79" max="79" width="13.53515625" style="18" customWidth="1"/>
    <col min="80" max="16384" width="9.15234375" style="18"/>
  </cols>
  <sheetData>
    <row r="1" spans="1:44" ht="21.75" customHeight="1">
      <c r="A1" s="381"/>
      <c r="B1" s="382" t="s">
        <v>2</v>
      </c>
      <c r="C1" s="383" t="str">
        <f>Information!C2</f>
        <v>Trammell Crow – LBJ</v>
      </c>
      <c r="D1" s="384"/>
      <c r="E1" s="385"/>
      <c r="F1" s="386"/>
      <c r="G1" s="387"/>
      <c r="H1" s="387"/>
      <c r="I1" s="388"/>
      <c r="J1" s="389"/>
      <c r="K1" s="158"/>
      <c r="L1" s="390"/>
      <c r="M1" s="387"/>
      <c r="N1" s="387"/>
      <c r="O1" s="391" t="s">
        <v>1</v>
      </c>
      <c r="P1" s="392" t="s">
        <v>954</v>
      </c>
      <c r="Q1" s="387"/>
      <c r="R1" s="387"/>
      <c r="S1" s="387"/>
      <c r="T1" s="158"/>
      <c r="U1" s="158"/>
      <c r="V1" s="158"/>
      <c r="W1" s="158"/>
      <c r="X1" s="393"/>
      <c r="Y1" s="394"/>
      <c r="Z1" s="395"/>
      <c r="AA1" s="12"/>
    </row>
    <row r="2" spans="1:44" ht="17.25" customHeight="1">
      <c r="A2" s="396"/>
      <c r="B2" s="397" t="s">
        <v>15</v>
      </c>
      <c r="C2" s="398">
        <f>Information!C3</f>
        <v>0</v>
      </c>
      <c r="D2" s="399"/>
      <c r="E2" s="400"/>
      <c r="F2" s="401"/>
      <c r="G2" s="402"/>
      <c r="H2" s="402"/>
      <c r="I2" s="403"/>
      <c r="J2" s="404" t="s">
        <v>955</v>
      </c>
      <c r="K2" s="405">
        <f>Information!I11</f>
        <v>0</v>
      </c>
      <c r="L2" s="406"/>
      <c r="M2" s="406"/>
      <c r="N2" s="407"/>
      <c r="O2" s="408">
        <f>Information!L11</f>
        <v>0</v>
      </c>
      <c r="P2" s="409"/>
      <c r="Q2" s="402"/>
      <c r="R2" s="402"/>
      <c r="S2" s="402"/>
      <c r="T2" s="12"/>
      <c r="U2" s="12"/>
      <c r="V2" s="12"/>
      <c r="W2" s="12"/>
      <c r="X2" s="12"/>
      <c r="Y2" s="410"/>
      <c r="Z2" s="411"/>
      <c r="AA2" s="12"/>
    </row>
    <row r="3" spans="1:44" ht="15.75" customHeight="1">
      <c r="A3" s="396"/>
      <c r="B3" s="397" t="s">
        <v>956</v>
      </c>
      <c r="C3" s="412" t="str">
        <f>Information!C4</f>
        <v>Dallas, TX</v>
      </c>
      <c r="D3" s="413"/>
      <c r="E3" s="414"/>
      <c r="F3" s="415"/>
      <c r="G3" s="402"/>
      <c r="H3" s="402"/>
      <c r="I3" s="403"/>
      <c r="J3" s="404" t="s">
        <v>71</v>
      </c>
      <c r="K3" s="416">
        <f>Information!I12</f>
        <v>0</v>
      </c>
      <c r="L3" s="417"/>
      <c r="M3" s="417"/>
      <c r="N3" s="418"/>
      <c r="O3" s="419">
        <f>Information!L12</f>
        <v>0</v>
      </c>
      <c r="P3" s="420"/>
      <c r="Q3" s="402"/>
      <c r="R3" s="402"/>
      <c r="S3" s="402"/>
      <c r="T3" s="421" t="s">
        <v>957</v>
      </c>
      <c r="U3" s="385"/>
      <c r="V3" s="385"/>
      <c r="W3" s="422">
        <f>Information!C7</f>
        <v>0</v>
      </c>
      <c r="X3" s="423"/>
      <c r="Y3" s="410"/>
      <c r="Z3" s="411"/>
      <c r="AA3" s="12"/>
    </row>
    <row r="4" spans="1:44" ht="21" customHeight="1">
      <c r="A4" s="396"/>
      <c r="B4" s="402"/>
      <c r="C4" s="53" t="s">
        <v>0</v>
      </c>
      <c r="D4" s="13"/>
      <c r="E4" s="53" t="s">
        <v>1</v>
      </c>
      <c r="F4" s="402"/>
      <c r="G4" s="402"/>
      <c r="H4" s="402"/>
      <c r="I4" s="403"/>
      <c r="J4" s="404" t="s">
        <v>79</v>
      </c>
      <c r="K4" s="424">
        <f>Information!I13</f>
        <v>0</v>
      </c>
      <c r="L4" s="425"/>
      <c r="M4" s="425"/>
      <c r="N4" s="426"/>
      <c r="O4" s="427">
        <f>Information!L13</f>
        <v>0</v>
      </c>
      <c r="P4" s="428"/>
      <c r="Q4" s="402"/>
      <c r="R4" s="402"/>
      <c r="S4" s="402"/>
      <c r="T4" s="429" t="s">
        <v>958</v>
      </c>
      <c r="U4" s="430"/>
      <c r="V4" s="430"/>
      <c r="W4" s="8"/>
      <c r="X4" s="431"/>
      <c r="Y4" s="410"/>
      <c r="Z4" s="411"/>
      <c r="AA4" s="12"/>
    </row>
    <row r="5" spans="1:44" ht="13.5" customHeight="1">
      <c r="A5" s="396"/>
      <c r="B5" s="397" t="s">
        <v>959</v>
      </c>
      <c r="C5" s="432">
        <f>Information!I2</f>
        <v>0</v>
      </c>
      <c r="D5" s="433"/>
      <c r="E5" s="434">
        <f>Information!J2</f>
        <v>0</v>
      </c>
      <c r="F5" s="402"/>
      <c r="G5" s="402"/>
      <c r="H5" s="402"/>
      <c r="I5" s="435"/>
      <c r="J5" s="436" t="s">
        <v>87</v>
      </c>
      <c r="K5" s="437">
        <f>Information!I14</f>
        <v>0</v>
      </c>
      <c r="L5" s="438"/>
      <c r="M5" s="438"/>
      <c r="N5" s="439"/>
      <c r="O5" s="440">
        <f>Information!L14</f>
        <v>0</v>
      </c>
      <c r="P5" s="441"/>
      <c r="Q5" s="402"/>
      <c r="R5" s="402"/>
      <c r="S5" s="402"/>
      <c r="T5" s="442" t="s">
        <v>958</v>
      </c>
      <c r="U5" s="443"/>
      <c r="V5" s="443"/>
      <c r="W5" s="444"/>
      <c r="X5" s="445"/>
      <c r="Y5" s="410"/>
      <c r="Z5" s="411"/>
      <c r="AA5" s="12"/>
    </row>
    <row r="6" spans="1:44" ht="13.5" customHeight="1">
      <c r="A6" s="396"/>
      <c r="B6" s="397" t="s">
        <v>960</v>
      </c>
      <c r="C6" s="446">
        <f>Information!I3</f>
        <v>0</v>
      </c>
      <c r="D6" s="433"/>
      <c r="E6" s="447">
        <f>Information!J3</f>
        <v>0</v>
      </c>
      <c r="F6" s="402"/>
      <c r="G6" s="402"/>
      <c r="H6" s="402"/>
      <c r="I6" s="402"/>
      <c r="J6" s="448"/>
      <c r="K6" s="12"/>
      <c r="L6" s="12"/>
      <c r="M6" s="156" t="s">
        <v>961</v>
      </c>
      <c r="N6" s="12"/>
      <c r="O6" s="12"/>
      <c r="P6" s="402"/>
      <c r="Q6" s="402"/>
      <c r="R6" s="402"/>
      <c r="S6" s="402"/>
      <c r="T6" s="402"/>
      <c r="U6" s="402"/>
      <c r="V6" s="402"/>
      <c r="W6" s="402"/>
      <c r="X6" s="402"/>
      <c r="Y6" s="410"/>
      <c r="Z6" s="411"/>
      <c r="AA6" s="12"/>
    </row>
    <row r="7" spans="1:44" ht="13.5" customHeight="1">
      <c r="A7" s="449"/>
      <c r="B7" s="450" t="s">
        <v>962</v>
      </c>
      <c r="C7" s="451"/>
      <c r="D7" s="452" t="str">
        <f>Pricing!A3</f>
        <v>SRM</v>
      </c>
      <c r="E7" s="453"/>
      <c r="F7" s="402"/>
      <c r="G7" s="454" t="s">
        <v>963</v>
      </c>
      <c r="H7" s="455" t="s">
        <v>964</v>
      </c>
      <c r="I7" s="455" t="s">
        <v>965</v>
      </c>
      <c r="J7" s="456" t="s">
        <v>966</v>
      </c>
      <c r="K7" s="455" t="s">
        <v>967</v>
      </c>
      <c r="L7" s="457" t="s">
        <v>968</v>
      </c>
      <c r="M7" s="455" t="s">
        <v>969</v>
      </c>
      <c r="N7" s="455" t="s">
        <v>970</v>
      </c>
      <c r="O7" s="455" t="s">
        <v>971</v>
      </c>
      <c r="P7" s="455" t="s">
        <v>972</v>
      </c>
      <c r="Q7" s="455" t="s">
        <v>973</v>
      </c>
      <c r="R7" s="455" t="s">
        <v>974</v>
      </c>
      <c r="S7" s="455" t="s">
        <v>975</v>
      </c>
      <c r="T7" s="455" t="s">
        <v>976</v>
      </c>
      <c r="U7" s="455" t="s">
        <v>977</v>
      </c>
      <c r="V7" s="455" t="s">
        <v>978</v>
      </c>
      <c r="W7" s="457" t="s">
        <v>979</v>
      </c>
      <c r="X7" s="458" t="s">
        <v>980</v>
      </c>
      <c r="Y7" s="459" t="s">
        <v>981</v>
      </c>
      <c r="Z7" s="126"/>
      <c r="AA7" s="12"/>
    </row>
    <row r="8" spans="1:44" ht="13.5" customHeight="1">
      <c r="A8" s="396"/>
      <c r="B8" s="402"/>
      <c r="C8" s="460"/>
      <c r="D8" s="461"/>
      <c r="E8" s="462" t="s">
        <v>982</v>
      </c>
      <c r="F8" s="53" t="s">
        <v>983</v>
      </c>
      <c r="G8" s="463" t="s">
        <v>554</v>
      </c>
      <c r="H8" s="464" t="s">
        <v>984</v>
      </c>
      <c r="I8" s="464" t="s">
        <v>985</v>
      </c>
      <c r="J8" s="465"/>
      <c r="K8" s="464"/>
      <c r="L8" s="466" t="s">
        <v>554</v>
      </c>
      <c r="M8" s="464"/>
      <c r="N8" s="464" t="s">
        <v>986</v>
      </c>
      <c r="O8" s="464" t="s">
        <v>987</v>
      </c>
      <c r="P8" s="464" t="s">
        <v>973</v>
      </c>
      <c r="Q8" s="464"/>
      <c r="R8" s="464"/>
      <c r="S8" s="464"/>
      <c r="T8" s="464"/>
      <c r="U8" s="464" t="s">
        <v>988</v>
      </c>
      <c r="V8" s="464" t="s">
        <v>989</v>
      </c>
      <c r="W8" s="466" t="s">
        <v>990</v>
      </c>
      <c r="X8" s="467"/>
      <c r="Y8" s="468" t="s">
        <v>991</v>
      </c>
      <c r="Z8" s="411"/>
      <c r="AA8" s="12"/>
    </row>
    <row r="9" spans="1:44" ht="15" customHeight="1">
      <c r="A9" s="469" t="s">
        <v>992</v>
      </c>
      <c r="B9" s="470"/>
      <c r="C9" s="471" t="s">
        <v>993</v>
      </c>
      <c r="D9" s="472" t="s">
        <v>994</v>
      </c>
      <c r="E9" s="471" t="s">
        <v>995</v>
      </c>
      <c r="F9" s="473" t="s">
        <v>519</v>
      </c>
      <c r="G9" s="474"/>
      <c r="H9" s="475"/>
      <c r="I9" s="475"/>
      <c r="J9" s="476"/>
      <c r="K9" s="475"/>
      <c r="L9" s="477"/>
      <c r="M9" s="475"/>
      <c r="N9" s="475" t="s">
        <v>996</v>
      </c>
      <c r="O9" s="475"/>
      <c r="P9" s="475"/>
      <c r="Q9" s="475"/>
      <c r="R9" s="475"/>
      <c r="S9" s="475"/>
      <c r="T9" s="475"/>
      <c r="U9" s="475"/>
      <c r="V9" s="475"/>
      <c r="W9" s="477"/>
      <c r="X9" s="478"/>
      <c r="Y9" s="479" t="s">
        <v>997</v>
      </c>
      <c r="Z9" s="480" t="s">
        <v>998</v>
      </c>
      <c r="AA9" s="12"/>
      <c r="AB9" s="481"/>
      <c r="AF9" s="481"/>
      <c r="AJ9" s="481"/>
      <c r="AN9" s="481"/>
      <c r="AR9" s="481"/>
    </row>
    <row r="10" spans="1:44" ht="16.5" customHeight="1">
      <c r="A10" s="482"/>
      <c r="B10" s="124"/>
      <c r="C10" s="12"/>
      <c r="D10" s="483"/>
      <c r="E10" s="484"/>
      <c r="F10" s="295"/>
      <c r="G10" s="485"/>
      <c r="H10" s="485"/>
      <c r="I10" s="485"/>
      <c r="J10" s="485"/>
      <c r="K10" s="485"/>
      <c r="L10" s="485"/>
      <c r="M10" s="485"/>
      <c r="N10" s="485"/>
      <c r="O10" s="485"/>
      <c r="P10" s="485"/>
      <c r="Q10" s="485"/>
      <c r="R10" s="485"/>
      <c r="S10" s="485"/>
      <c r="T10" s="485"/>
      <c r="U10" s="485"/>
      <c r="V10" s="485"/>
      <c r="W10" s="485"/>
      <c r="X10" s="486"/>
      <c r="Y10" s="487"/>
      <c r="Z10" s="488"/>
      <c r="AA10" s="12"/>
    </row>
    <row r="11" spans="1:44" ht="16.5" customHeight="1">
      <c r="A11" s="489" t="s">
        <v>999</v>
      </c>
      <c r="B11" s="490"/>
      <c r="C11" s="491">
        <f>'01-Piers'!E39</f>
        <v>106</v>
      </c>
      <c r="D11" s="492" t="s">
        <v>1000</v>
      </c>
      <c r="E11" s="493">
        <f>'01-Piers'!E42</f>
        <v>344916.3288672273</v>
      </c>
      <c r="F11" s="494">
        <f>IF(C11=0,0,E11/C11)</f>
        <v>3253.9276308228991</v>
      </c>
      <c r="G11" s="495">
        <f>SUM('01-Piers'!W49:W72)+'01-Piers'!W76+'01-Piers'!W77+'01-Piers'!W78</f>
        <v>3436.9639676595689</v>
      </c>
      <c r="H11" s="495"/>
      <c r="I11" s="495"/>
      <c r="J11" s="495"/>
      <c r="K11" s="495">
        <f>SUM('01-Piers'!O53:P53)</f>
        <v>46592.843494285116</v>
      </c>
      <c r="L11" s="495">
        <f>SUM('01-Piers'!W73:W75)</f>
        <v>7219.0130037856752</v>
      </c>
      <c r="M11" s="495">
        <f>SUM('01-Piers'!O49:P52)</f>
        <v>106159.04060967967</v>
      </c>
      <c r="N11" s="495">
        <f>SUM('01-Piers'!W79:W81)</f>
        <v>614.31875000000002</v>
      </c>
      <c r="O11" s="495">
        <f>SUM('01-Piers'!O78:P83)+'01-Piers'!O54-'01-Piers'!O82:P82</f>
        <v>76626.023382933345</v>
      </c>
      <c r="P11" s="495">
        <f>SUM('01-Piers'!O57:P63)</f>
        <v>32040.707907950964</v>
      </c>
      <c r="Q11" s="495">
        <f>SUM('01-Piers'!L57:M62)</f>
        <v>0</v>
      </c>
      <c r="R11" s="495">
        <f>SUM('01-Piers'!O66:P68)</f>
        <v>10375</v>
      </c>
      <c r="S11" s="495">
        <f>'01-Piers'!O69</f>
        <v>2000</v>
      </c>
      <c r="T11" s="495">
        <f>SUM('01-Piers'!O71:P76)</f>
        <v>7238.0625</v>
      </c>
      <c r="U11" s="495">
        <f>SUM('01-Piers'!O82:P82)</f>
        <v>0</v>
      </c>
      <c r="V11" s="495">
        <f>'01-Piers'!O84</f>
        <v>0</v>
      </c>
      <c r="W11" s="496">
        <f>IF(X11=0,0,SUM(G11:T11)/C11)</f>
        <v>2757.5657888329652</v>
      </c>
      <c r="X11" s="497">
        <f>IF(C11=0,0,SUM(G11:V11))</f>
        <v>292301.97361629433</v>
      </c>
      <c r="Y11" s="498">
        <f>IF(C11=0,0,1-(X11/E11))</f>
        <v>0.15254237288135597</v>
      </c>
      <c r="Z11" s="499">
        <f>'01-Piers'!S39</f>
        <v>632.69934059259276</v>
      </c>
      <c r="AA11" s="352">
        <f>X11-K73</f>
        <v>0</v>
      </c>
      <c r="AB11" s="500"/>
      <c r="AF11" s="500"/>
      <c r="AJ11" s="500"/>
      <c r="AN11" s="500"/>
      <c r="AR11" s="500"/>
    </row>
    <row r="12" spans="1:44" ht="16.5" customHeight="1">
      <c r="A12" s="489" t="s">
        <v>1001</v>
      </c>
      <c r="B12" s="490"/>
      <c r="C12" s="501">
        <f>'02-Gd Beams'!I63</f>
        <v>0</v>
      </c>
      <c r="D12" s="492" t="s">
        <v>868</v>
      </c>
      <c r="E12" s="493">
        <f>'02-Gd Beams'!E40</f>
        <v>0</v>
      </c>
      <c r="F12" s="502">
        <f>IF(C12=0,0,E12/C12)</f>
        <v>0</v>
      </c>
      <c r="G12" s="495">
        <f>SUM('02-Gd Beams'!X48:X77)+SUM('02-Gd Beams'!X81:X83)+SUM('02-Gd Beams'!O57:P59)</f>
        <v>0</v>
      </c>
      <c r="H12" s="495">
        <f>SUM('02-Gd Beams'!O55:P56)</f>
        <v>0</v>
      </c>
      <c r="I12" s="495">
        <f>SUM('02-Gd Beams'!O54:P54)</f>
        <v>0</v>
      </c>
      <c r="J12" s="495"/>
      <c r="K12" s="495">
        <f>SUM('02-Gd Beams'!O52:P53)</f>
        <v>0</v>
      </c>
      <c r="L12" s="495">
        <f>SUM('02-Gd Beams'!X78:X80)</f>
        <v>0</v>
      </c>
      <c r="M12" s="495">
        <f>SUM('02-Gd Beams'!O48:P51)</f>
        <v>0</v>
      </c>
      <c r="N12" s="495">
        <f>SUM('02-Gd Beams'!X84:X86)</f>
        <v>0</v>
      </c>
      <c r="O12" s="495">
        <f>SUM('02-Gd Beams'!O85:P89)</f>
        <v>0</v>
      </c>
      <c r="P12" s="495">
        <f>SUM('02-Gd Beams'!O62:P70)</f>
        <v>0</v>
      </c>
      <c r="Q12" s="495">
        <f>SUM('02-Gd Beams'!L62:M69)</f>
        <v>0</v>
      </c>
      <c r="R12" s="495">
        <f>SUM('02-Gd Beams'!O73:P75)</f>
        <v>0</v>
      </c>
      <c r="S12" s="495">
        <f>'02-Gd Beams'!O76</f>
        <v>0</v>
      </c>
      <c r="T12" s="495">
        <f>SUM('02-Gd Beams'!O78:P83)+SUM('02-Gd Beams'!O60:P60)</f>
        <v>0</v>
      </c>
      <c r="U12" s="495">
        <f>SUM('02-Gd Beams'!O90:P90)</f>
        <v>0</v>
      </c>
      <c r="V12" s="495">
        <f>'02-Gd Beams'!O91</f>
        <v>0</v>
      </c>
      <c r="W12" s="496">
        <f>IF(X12=0,0,SUM(G12:T12)/C12)</f>
        <v>0</v>
      </c>
      <c r="X12" s="497">
        <f>IF(C12=0,0,SUM(G12:V12))</f>
        <v>0</v>
      </c>
      <c r="Y12" s="498">
        <f>IF(C12=0,0,1-(X12/E12))</f>
        <v>0</v>
      </c>
      <c r="Z12" s="499">
        <f>'02-Gd Beams'!L48+'02-Gd Beams'!L50+'02-Gd Beams'!L51</f>
        <v>0</v>
      </c>
      <c r="AA12" s="76">
        <f>X12-O73</f>
        <v>0</v>
      </c>
      <c r="AB12" s="500"/>
      <c r="AF12" s="500"/>
      <c r="AJ12" s="500"/>
      <c r="AN12" s="500"/>
      <c r="AR12" s="500"/>
    </row>
    <row r="13" spans="1:44" ht="16.5" customHeight="1">
      <c r="A13" s="482"/>
      <c r="B13" s="503"/>
      <c r="C13" s="501"/>
      <c r="D13" s="12"/>
      <c r="E13" s="493"/>
      <c r="F13" s="504"/>
      <c r="G13" s="495"/>
      <c r="H13" s="495"/>
      <c r="I13" s="495"/>
      <c r="J13" s="495"/>
      <c r="K13" s="495"/>
      <c r="L13" s="495"/>
      <c r="M13" s="495"/>
      <c r="N13" s="495"/>
      <c r="O13" s="495"/>
      <c r="P13" s="495"/>
      <c r="Q13" s="495"/>
      <c r="R13" s="495"/>
      <c r="S13" s="495"/>
      <c r="T13" s="495"/>
      <c r="U13" s="495"/>
      <c r="V13" s="495"/>
      <c r="W13" s="496"/>
      <c r="X13" s="497"/>
      <c r="Y13" s="498"/>
      <c r="Z13" s="499">
        <v>0</v>
      </c>
      <c r="AA13" s="12"/>
      <c r="AB13" s="500"/>
      <c r="AF13" s="500"/>
      <c r="AJ13" s="500"/>
      <c r="AN13" s="500"/>
      <c r="AR13" s="500"/>
    </row>
    <row r="14" spans="1:44" ht="16.5" customHeight="1">
      <c r="A14" s="489" t="s">
        <v>1002</v>
      </c>
      <c r="B14" s="490"/>
      <c r="C14" s="491">
        <f>'03-Walls &amp; Footings'!H67</f>
        <v>0</v>
      </c>
      <c r="D14" s="505" t="s">
        <v>868</v>
      </c>
      <c r="E14" s="493">
        <f>'03-Walls &amp; Footings'!D40</f>
        <v>0</v>
      </c>
      <c r="F14" s="494" t="str">
        <f>IF(C14=0,"",E14/C14)</f>
        <v/>
      </c>
      <c r="G14" s="495">
        <f>SUM('03-Walls &amp; Footings'!W51:W82)+'03-Walls &amp; Footings'!N61+'03-Walls &amp; Footings'!N62+'03-Walls &amp; Footings'!N63+'03-Walls &amp; Footings'!W86+'03-Walls &amp; Footings'!W87+'03-Walls &amp; Footings'!W88</f>
        <v>0</v>
      </c>
      <c r="H14" s="495">
        <f>SUM('03-Walls &amp; Footings'!N59:O60)</f>
        <v>0</v>
      </c>
      <c r="I14" s="495"/>
      <c r="J14" s="495">
        <f>SUM('03-Walls &amp; Footings'!N58:O58)</f>
        <v>0</v>
      </c>
      <c r="K14" s="495">
        <f>SUM('03-Walls &amp; Footings'!N56:O57)</f>
        <v>0</v>
      </c>
      <c r="L14" s="495">
        <f>SUM('03-Walls &amp; Footings'!W83:W88)</f>
        <v>0</v>
      </c>
      <c r="M14" s="495">
        <f>SUM('03-Walls &amp; Footings'!N51:O55)</f>
        <v>0</v>
      </c>
      <c r="N14" s="495">
        <f>SUM('03-Walls &amp; Footings'!N91:O91)+'03-Walls &amp; Footings'!W89+'03-Walls &amp; Footings'!W90+'03-Walls &amp; Footings'!W91</f>
        <v>0</v>
      </c>
      <c r="O14" s="495">
        <f>SUM('03-Walls &amp; Footings'!N90:O95)-'03-Walls &amp; Footings'!N91-'03-Walls &amp; Footings'!N95+'03-Walls &amp; Footings'!N64</f>
        <v>0</v>
      </c>
      <c r="P14" s="495">
        <f>SUM('03-Walls &amp; Footings'!N66:O75)</f>
        <v>0</v>
      </c>
      <c r="Q14" s="495">
        <f>SUM('03-Walls &amp; Footings'!K66:K74)</f>
        <v>0</v>
      </c>
      <c r="R14" s="495">
        <f>SUM('03-Walls &amp; Footings'!N78:O80)</f>
        <v>0</v>
      </c>
      <c r="S14" s="495">
        <f>'03-Walls &amp; Footings'!N81</f>
        <v>0</v>
      </c>
      <c r="T14" s="495">
        <f>SUM('03-Walls &amp; Footings'!N83:O88)</f>
        <v>0</v>
      </c>
      <c r="U14" s="495">
        <f>'03-Walls &amp; Footings'!N95</f>
        <v>0</v>
      </c>
      <c r="V14" s="495">
        <f>'03-Walls &amp; Footings'!N96</f>
        <v>0</v>
      </c>
      <c r="W14" s="496"/>
      <c r="X14" s="497">
        <f>IF(C14=0,0,SUM(G14:V14))</f>
        <v>0</v>
      </c>
      <c r="Y14" s="498">
        <f>IF(C14=0,0,1-(X14/E14))</f>
        <v>0</v>
      </c>
      <c r="Z14" s="499">
        <f>SUM('03-Walls &amp; Footings'!K51:L55)</f>
        <v>0</v>
      </c>
      <c r="AA14" s="339">
        <f>X14-AE73</f>
        <v>0</v>
      </c>
      <c r="AB14" s="500"/>
      <c r="AF14" s="500"/>
      <c r="AJ14" s="500"/>
      <c r="AN14" s="500"/>
      <c r="AR14" s="500"/>
    </row>
    <row r="15" spans="1:44" ht="16.5" customHeight="1">
      <c r="A15" s="489" t="s">
        <v>1003</v>
      </c>
      <c r="B15" s="490"/>
      <c r="C15" s="506">
        <f>'04-PT Slab on Grade'!I79</f>
        <v>62723</v>
      </c>
      <c r="D15" s="492" t="s">
        <v>868</v>
      </c>
      <c r="E15" s="493">
        <f>'04-PT Slab on Grade'!E45</f>
        <v>812030.9508674657</v>
      </c>
      <c r="F15" s="507">
        <f>IF(C15=0,0,E15/$C$15)</f>
        <v>12.946302805469536</v>
      </c>
      <c r="G15" s="495">
        <f>SUM('04-PT Slab on Grade'!Z66:Z103)-'04-PT Slab on Grade'!Z100-'04-PT Slab on Grade'!Z99-'04-PT Slab on Grade'!Z98-'04-PT Slab on Grade'!Z90-'04-PT Slab on Grade'!Z89-'04-PT Slab on Grade'!Z88-'04-PT Slab on Grade'!Z87</f>
        <v>32237.134768032793</v>
      </c>
      <c r="H15" s="495">
        <f>SUM('04-PT Slab on Grade'!O73:P73)</f>
        <v>10478.032021604939</v>
      </c>
      <c r="I15" s="495">
        <f>SUM('04-PT Slab on Grade'!Z87:Z90)</f>
        <v>17993.805929705213</v>
      </c>
      <c r="J15" s="495">
        <f>SUM('04-PT Slab on Grade'!O72:P72)</f>
        <v>57713.000374999996</v>
      </c>
      <c r="K15" s="495">
        <f>SUM('04-PT Slab on Grade'!O70:P71)</f>
        <v>42907.276368176746</v>
      </c>
      <c r="L15" s="495">
        <f>SUM('04-PT Slab on Grade'!Z98:Z100)</f>
        <v>1747.4821173058913</v>
      </c>
      <c r="M15" s="495">
        <f>SUM('04-PT Slab on Grade'!O65:P69)</f>
        <v>319874.68608117296</v>
      </c>
      <c r="N15" s="495">
        <f>'04-PT Slab on Grade'!O104+'04-PT Slab on Grade'!Z104+'04-PT Slab on Grade'!Z105+'04-PT Slab on Grade'!Z106</f>
        <v>2457.2750000000001</v>
      </c>
      <c r="O15" s="495">
        <f>SUM('04-PT Slab on Grade'!O103:P109)-'04-PT Slab on Grade'!O104-'04-PT Slab on Grade'!O108:P108</f>
        <v>35283.133827160505</v>
      </c>
      <c r="P15" s="495">
        <f>SUM('04-PT Slab on Grade'!O79:P88)</f>
        <v>131779.34226887659</v>
      </c>
      <c r="Q15" s="495">
        <f>SUM('04-PT Slab on Grade'!L79:M87)</f>
        <v>0</v>
      </c>
      <c r="R15" s="495">
        <f>SUM('04-PT Slab on Grade'!O91:P93)</f>
        <v>14406.6890625</v>
      </c>
      <c r="S15" s="495">
        <f>'04-PT Slab on Grade'!O94</f>
        <v>5488.2624999999998</v>
      </c>
      <c r="T15" s="495">
        <f>SUM('04-PT Slab on Grade'!O96:P101)</f>
        <v>33747.75</v>
      </c>
      <c r="U15" s="495">
        <f>SUM('04-PT Slab on Grade'!O108)</f>
        <v>0</v>
      </c>
      <c r="V15" s="495">
        <f>'04-PT Slab on Grade'!O110</f>
        <v>0</v>
      </c>
      <c r="W15" s="495"/>
      <c r="X15" s="497">
        <f>IF(C15=0,0,SUM(G15:V15))</f>
        <v>706113.87031953561</v>
      </c>
      <c r="Y15" s="498">
        <f>IF(C15=0,0,1-(X15/E15))</f>
        <v>0.13043478260869534</v>
      </c>
      <c r="Z15" s="499">
        <f>SUM('04-PT Slab on Grade'!L65:L69)</f>
        <v>2205.1958641975316</v>
      </c>
      <c r="AA15" s="76">
        <f>X15-W73</f>
        <v>0</v>
      </c>
      <c r="AB15" s="500"/>
      <c r="AF15" s="500"/>
      <c r="AJ15" s="500"/>
      <c r="AN15" s="500"/>
      <c r="AR15" s="500"/>
    </row>
    <row r="16" spans="1:44" ht="16.5" customHeight="1">
      <c r="A16" s="482"/>
      <c r="B16" s="503"/>
      <c r="C16" s="491"/>
      <c r="D16" s="12"/>
      <c r="E16" s="493"/>
      <c r="F16" s="508" t="s">
        <v>1004</v>
      </c>
      <c r="G16" s="148">
        <f>IF(C15=0,0,G15/C15)</f>
        <v>0.51396034577480021</v>
      </c>
      <c r="H16" s="148">
        <f t="shared" ref="H16:R16" si="0">IF($C15=0,0,H15/$C$15)</f>
        <v>0.16705246913580246</v>
      </c>
      <c r="I16" s="148">
        <f t="shared" si="0"/>
        <v>0.28687731660962029</v>
      </c>
      <c r="J16" s="148">
        <f t="shared" si="0"/>
        <v>0.92012499999999997</v>
      </c>
      <c r="K16" s="148">
        <f t="shared" si="0"/>
        <v>0.68407564000728194</v>
      </c>
      <c r="L16" s="148">
        <f t="shared" si="0"/>
        <v>2.7860308296890953E-2</v>
      </c>
      <c r="M16" s="148">
        <f t="shared" si="0"/>
        <v>5.099798894841971</v>
      </c>
      <c r="N16" s="148">
        <f t="shared" si="0"/>
        <v>3.9176617827591159E-2</v>
      </c>
      <c r="O16" s="148">
        <f t="shared" si="0"/>
        <v>0.56252305896019805</v>
      </c>
      <c r="P16" s="148">
        <f t="shared" si="0"/>
        <v>2.1009732039104727</v>
      </c>
      <c r="Q16" s="148">
        <f t="shared" si="0"/>
        <v>0</v>
      </c>
      <c r="R16" s="148">
        <f t="shared" si="0"/>
        <v>0.22968749999999999</v>
      </c>
      <c r="S16" s="148"/>
      <c r="T16" s="148">
        <f>IF($C15=0,0,T15/$C$15)</f>
        <v>0.53804425808714507</v>
      </c>
      <c r="U16" s="148"/>
      <c r="V16" s="148"/>
      <c r="W16" s="509">
        <f>SUM(G16:T16)</f>
        <v>11.170154613451775</v>
      </c>
      <c r="X16" s="510"/>
      <c r="Y16" s="498"/>
      <c r="Z16" s="488"/>
      <c r="AA16" s="12"/>
      <c r="AB16" s="500"/>
      <c r="AF16" s="500"/>
      <c r="AJ16" s="500"/>
      <c r="AN16" s="500"/>
      <c r="AR16" s="500"/>
    </row>
    <row r="17" spans="1:44" ht="16.5" customHeight="1">
      <c r="A17" s="489" t="s">
        <v>1003</v>
      </c>
      <c r="B17" s="490"/>
      <c r="C17" s="506">
        <f>'04-PT Slab on Grade Wrap'!I79</f>
        <v>0</v>
      </c>
      <c r="D17" s="492" t="s">
        <v>868</v>
      </c>
      <c r="E17" s="493">
        <f>'04-PT Slab on Grade Wrap'!E45</f>
        <v>0</v>
      </c>
      <c r="F17" s="507">
        <f>IF(C17=0,0,E17/$C$17)</f>
        <v>0</v>
      </c>
      <c r="G17" s="495">
        <f>SUM('04-PT Slab on Grade Wrap'!Z66:Z103)-'04-PT Slab on Grade Wrap'!Z100-'04-PT Slab on Grade Wrap'!Z99-'04-PT Slab on Grade Wrap'!Z98-'04-PT Slab on Grade Wrap'!Z90-'04-PT Slab on Grade Wrap'!Z89-'04-PT Slab on Grade Wrap'!Z88-'04-PT Slab on Grade Wrap'!Z87</f>
        <v>0</v>
      </c>
      <c r="H17" s="495">
        <f>SUM('04-PT Slab on Grade Wrap'!O73:P73)</f>
        <v>0</v>
      </c>
      <c r="I17" s="495">
        <f>SUM('04-PT Slab on Grade Wrap'!Z87:Z90)</f>
        <v>0</v>
      </c>
      <c r="J17" s="495">
        <f>SUM('04-PT Slab on Grade Wrap'!O72:P72)</f>
        <v>0</v>
      </c>
      <c r="K17" s="495">
        <f>SUM('04-PT Slab on Grade Wrap'!O70:P71)</f>
        <v>0</v>
      </c>
      <c r="L17" s="495">
        <f>SUM('04-PT Slab on Grade Wrap'!Z98:Z100)</f>
        <v>0</v>
      </c>
      <c r="M17" s="495">
        <f>SUM('04-PT Slab on Grade Wrap'!O65:P69)</f>
        <v>0</v>
      </c>
      <c r="N17" s="495">
        <f>'04-PT Slab on Grade Wrap'!O104+'04-PT Slab on Grade Wrap'!Z104+'04-PT Slab on Grade Wrap'!Z105+'04-PT Slab on Grade Wrap'!Z106</f>
        <v>0</v>
      </c>
      <c r="O17" s="495">
        <f>SUM('04-PT Slab on Grade Wrap'!O103:P109)-'04-PT Slab on Grade Wrap'!O104-'04-PT Slab on Grade Wrap'!O108:P108</f>
        <v>0</v>
      </c>
      <c r="P17" s="495">
        <f>SUM('04-PT Slab on Grade Wrap'!O79:P88)</f>
        <v>0</v>
      </c>
      <c r="Q17" s="495">
        <f>SUM('04-PT Slab on Grade Wrap'!L79:M87)</f>
        <v>0</v>
      </c>
      <c r="R17" s="495">
        <f>SUM('04-PT Slab on Grade Wrap'!O91:P93)</f>
        <v>0</v>
      </c>
      <c r="S17" s="495">
        <f>'04-PT Slab on Grade Wrap'!O94</f>
        <v>0</v>
      </c>
      <c r="T17" s="495">
        <f>SUM('04-PT Slab on Grade Wrap'!O96:P101)</f>
        <v>0</v>
      </c>
      <c r="U17" s="495">
        <f>SUM('04-PT Slab on Grade Wrap'!O108)</f>
        <v>0</v>
      </c>
      <c r="V17" s="495">
        <f>'04-PT Slab on Grade Wrap'!O110</f>
        <v>0</v>
      </c>
      <c r="W17" s="495"/>
      <c r="X17" s="497">
        <f>IF(C17=0,0,SUM(G17:V17))</f>
        <v>0</v>
      </c>
      <c r="Y17" s="498">
        <f>IF(C17=0,0,1-(X17/E17))</f>
        <v>0</v>
      </c>
      <c r="Z17" s="499">
        <f>SUM('04-PT Slab on Grade Wrap'!L65:L69)</f>
        <v>0</v>
      </c>
      <c r="AA17" s="76">
        <f>X17-S73</f>
        <v>0</v>
      </c>
      <c r="AB17" s="500"/>
      <c r="AF17" s="500"/>
      <c r="AJ17" s="500"/>
      <c r="AN17" s="500"/>
      <c r="AR17" s="500"/>
    </row>
    <row r="18" spans="1:44" ht="16.5" customHeight="1">
      <c r="A18" s="482"/>
      <c r="B18" s="503"/>
      <c r="C18" s="491"/>
      <c r="D18" s="12"/>
      <c r="E18" s="493"/>
      <c r="F18" s="508" t="s">
        <v>1004</v>
      </c>
      <c r="G18" s="148">
        <f>IF(C17=0,0,G17/C17)</f>
        <v>0</v>
      </c>
      <c r="H18" s="148">
        <f t="shared" ref="H18:T18" si="1">IF($C17=0,0,H17/$C$17)</f>
        <v>0</v>
      </c>
      <c r="I18" s="148">
        <f t="shared" si="1"/>
        <v>0</v>
      </c>
      <c r="J18" s="148">
        <f t="shared" si="1"/>
        <v>0</v>
      </c>
      <c r="K18" s="148">
        <f t="shared" si="1"/>
        <v>0</v>
      </c>
      <c r="L18" s="148">
        <f t="shared" si="1"/>
        <v>0</v>
      </c>
      <c r="M18" s="148">
        <f t="shared" si="1"/>
        <v>0</v>
      </c>
      <c r="N18" s="148">
        <f t="shared" si="1"/>
        <v>0</v>
      </c>
      <c r="O18" s="148">
        <f t="shared" si="1"/>
        <v>0</v>
      </c>
      <c r="P18" s="148">
        <f t="shared" si="1"/>
        <v>0</v>
      </c>
      <c r="Q18" s="148">
        <f t="shared" si="1"/>
        <v>0</v>
      </c>
      <c r="R18" s="148">
        <f t="shared" si="1"/>
        <v>0</v>
      </c>
      <c r="S18" s="148">
        <f t="shared" si="1"/>
        <v>0</v>
      </c>
      <c r="T18" s="148">
        <f t="shared" si="1"/>
        <v>0</v>
      </c>
      <c r="U18" s="148"/>
      <c r="V18" s="148"/>
      <c r="W18" s="509">
        <f>SUM(G18:T18)</f>
        <v>0</v>
      </c>
      <c r="X18" s="510"/>
      <c r="Y18" s="498"/>
      <c r="Z18" s="488"/>
      <c r="AA18" s="12"/>
      <c r="AB18" s="500"/>
      <c r="AF18" s="500"/>
      <c r="AJ18" s="500"/>
      <c r="AN18" s="500"/>
      <c r="AR18" s="500"/>
    </row>
    <row r="19" spans="1:44" ht="16.5" customHeight="1">
      <c r="A19" s="489" t="s">
        <v>1005</v>
      </c>
      <c r="B19" s="490"/>
      <c r="C19" s="506">
        <f>'05-Slabs'!I79</f>
        <v>0</v>
      </c>
      <c r="D19" s="492" t="s">
        <v>868</v>
      </c>
      <c r="E19" s="493">
        <f>'05-Slabs'!E45</f>
        <v>0</v>
      </c>
      <c r="F19" s="507">
        <f>IF(C19=0,0,E19/$C$19)</f>
        <v>0</v>
      </c>
      <c r="G19" s="495">
        <f>SUM('05-Slabs'!Z66:Z103)-'05-Slabs'!Z100-'05-Slabs'!Z99-'05-Slabs'!Z98-'05-Slabs'!Z90-'05-Slabs'!Z89-'05-Slabs'!Z88-'05-Slabs'!Z87</f>
        <v>0</v>
      </c>
      <c r="H19" s="495">
        <f>SUM('05-Slabs'!O73:P73)</f>
        <v>0</v>
      </c>
      <c r="I19" s="495">
        <f>SUM('05-Slabs'!Z87:Z90)</f>
        <v>0</v>
      </c>
      <c r="J19" s="495">
        <f>SUM('05-Slabs'!O72:P72)</f>
        <v>0</v>
      </c>
      <c r="K19" s="495">
        <f>SUM('05-Slabs'!O70:P71)</f>
        <v>0</v>
      </c>
      <c r="L19" s="495">
        <f>SUM('05-Slabs'!Z98:Z100)</f>
        <v>0</v>
      </c>
      <c r="M19" s="495">
        <f>SUM('05-Slabs'!O65:P69)</f>
        <v>0</v>
      </c>
      <c r="N19" s="495">
        <f>'05-Slabs'!O104+'05-Slabs'!Z104+'05-Slabs'!Z105+'05-Slabs'!Z106</f>
        <v>0</v>
      </c>
      <c r="O19" s="495">
        <f>SUM('05-Slabs'!O103:P109)-'05-Slabs'!O104-'05-Slabs'!O108:P108</f>
        <v>0</v>
      </c>
      <c r="P19" s="495">
        <f>SUM('05-Slabs'!O79:P88)</f>
        <v>0</v>
      </c>
      <c r="Q19" s="495">
        <f>SUM('05-Slabs'!L79:M87)</f>
        <v>0</v>
      </c>
      <c r="R19" s="495">
        <f>SUM('05-Slabs'!O91:P93)</f>
        <v>0</v>
      </c>
      <c r="S19" s="495">
        <f>'05-Slabs'!O94</f>
        <v>0</v>
      </c>
      <c r="T19" s="495">
        <f>SUM('05-Slabs'!O96:P101)</f>
        <v>0</v>
      </c>
      <c r="U19" s="495">
        <f>SUM('05-Slabs'!O108)</f>
        <v>0</v>
      </c>
      <c r="V19" s="495">
        <f>'05-Slabs'!O110</f>
        <v>0</v>
      </c>
      <c r="W19" s="495"/>
      <c r="X19" s="497">
        <f>IF(C19=0,0,SUM(G19:V19))</f>
        <v>0</v>
      </c>
      <c r="Y19" s="498">
        <f>IF(C19=0,0,1-(X19/E19))</f>
        <v>0</v>
      </c>
      <c r="Z19" s="499">
        <f>SUM('05-Slabs'!L65:M67)</f>
        <v>0</v>
      </c>
      <c r="AA19" s="76">
        <f>X19-AA73</f>
        <v>0</v>
      </c>
      <c r="AB19" s="500"/>
      <c r="AF19" s="500"/>
      <c r="AJ19" s="500"/>
      <c r="AN19" s="500"/>
      <c r="AR19" s="500"/>
    </row>
    <row r="20" spans="1:44" ht="16.5" customHeight="1">
      <c r="A20" s="482"/>
      <c r="B20" s="503"/>
      <c r="C20" s="491"/>
      <c r="D20" s="12"/>
      <c r="E20" s="493"/>
      <c r="F20" s="508" t="s">
        <v>1004</v>
      </c>
      <c r="G20" s="511">
        <f t="shared" ref="G20:R20" si="2">IF($C$19=0,0,G19/$C19)</f>
        <v>0</v>
      </c>
      <c r="H20" s="511">
        <f t="shared" si="2"/>
        <v>0</v>
      </c>
      <c r="I20" s="511">
        <f t="shared" si="2"/>
        <v>0</v>
      </c>
      <c r="J20" s="511">
        <f t="shared" si="2"/>
        <v>0</v>
      </c>
      <c r="K20" s="511">
        <f t="shared" si="2"/>
        <v>0</v>
      </c>
      <c r="L20" s="511">
        <f t="shared" si="2"/>
        <v>0</v>
      </c>
      <c r="M20" s="511">
        <f t="shared" si="2"/>
        <v>0</v>
      </c>
      <c r="N20" s="511">
        <f t="shared" si="2"/>
        <v>0</v>
      </c>
      <c r="O20" s="511">
        <f t="shared" si="2"/>
        <v>0</v>
      </c>
      <c r="P20" s="511">
        <f t="shared" si="2"/>
        <v>0</v>
      </c>
      <c r="Q20" s="511">
        <f t="shared" si="2"/>
        <v>0</v>
      </c>
      <c r="R20" s="511">
        <f t="shared" si="2"/>
        <v>0</v>
      </c>
      <c r="S20" s="511"/>
      <c r="T20" s="511">
        <f>IF($C$19=0,0,T19/$C19)</f>
        <v>0</v>
      </c>
      <c r="U20" s="511">
        <f>IF($C$19=0,0,U19/$C19)</f>
        <v>0</v>
      </c>
      <c r="V20" s="511"/>
      <c r="W20" s="512">
        <f>IF($C$19=0,0,W19/$C19)</f>
        <v>0</v>
      </c>
      <c r="X20" s="513"/>
      <c r="Y20" s="498"/>
      <c r="Z20" s="488"/>
      <c r="AA20" s="12"/>
      <c r="AB20" s="500"/>
      <c r="AF20" s="500"/>
      <c r="AJ20" s="500"/>
      <c r="AN20" s="500"/>
      <c r="AR20" s="500"/>
    </row>
    <row r="21" spans="1:44" ht="16.5" customHeight="1">
      <c r="A21" s="482"/>
      <c r="B21" s="503"/>
      <c r="C21" s="491"/>
      <c r="D21" s="12"/>
      <c r="E21" s="493"/>
      <c r="F21" s="504"/>
      <c r="G21" s="495"/>
      <c r="H21" s="495"/>
      <c r="I21" s="495"/>
      <c r="J21" s="495"/>
      <c r="K21" s="495"/>
      <c r="L21" s="495"/>
      <c r="M21" s="495"/>
      <c r="N21" s="495"/>
      <c r="O21" s="495"/>
      <c r="P21" s="495"/>
      <c r="Q21" s="495"/>
      <c r="R21" s="495"/>
      <c r="S21" s="495"/>
      <c r="T21" s="495"/>
      <c r="U21" s="495"/>
      <c r="V21" s="495"/>
      <c r="W21" s="496"/>
      <c r="X21" s="497"/>
      <c r="Y21" s="498"/>
      <c r="Z21" s="499"/>
      <c r="AA21" s="12"/>
      <c r="AB21" s="500"/>
      <c r="AF21" s="500"/>
      <c r="AJ21" s="500"/>
      <c r="AN21" s="500"/>
      <c r="AR21" s="500"/>
    </row>
    <row r="22" spans="1:44" ht="16.5" customHeight="1">
      <c r="A22" s="489" t="s">
        <v>1006</v>
      </c>
      <c r="B22" s="490"/>
      <c r="C22" s="491">
        <f>SUM('06-Walls &amp; Footings'!H$67:I$70)</f>
        <v>3452.5499999999997</v>
      </c>
      <c r="D22" s="492" t="s">
        <v>849</v>
      </c>
      <c r="E22" s="514">
        <f>SUM('06-Walls &amp; Footings'!D$40:E$40)</f>
        <v>238839.54404178288</v>
      </c>
      <c r="F22" s="515">
        <f>SUM('06-Walls &amp; Footings'!B$42)</f>
        <v>44.601911677832796</v>
      </c>
      <c r="G22" s="495">
        <f>SUM('06-Walls &amp; Footings'!W$51:W$82)+SUM('06-Walls &amp; Footings'!N$61:O$63)+'06-Walls &amp; Footings'!W$86+'06-Walls &amp; Footings'!W$87+'06-Walls &amp; Footings'!W$88</f>
        <v>26741.858712069097</v>
      </c>
      <c r="H22" s="495">
        <f>SUM('06-Walls &amp; Footings'!N$59:O$60)</f>
        <v>7680</v>
      </c>
      <c r="I22" s="495"/>
      <c r="J22" s="495">
        <f>SUM('06-Walls &amp; Footings'!N$58:O$58)</f>
        <v>0</v>
      </c>
      <c r="K22" s="495">
        <f>SUM('06-Walls &amp; Footings'!N$56:O$57)</f>
        <v>23731.745974638703</v>
      </c>
      <c r="L22" s="495">
        <f>SUM('06-Walls &amp; Footings'!W$83:W$87)</f>
        <v>1349.1132904395781</v>
      </c>
      <c r="M22" s="495">
        <f>SUM('06-Walls &amp; Footings'!N$51:O$55)</f>
        <v>46987.875633796306</v>
      </c>
      <c r="N22" s="495">
        <f>SUM('06-Walls &amp; Footings'!W$89:W$91)</f>
        <v>567.5</v>
      </c>
      <c r="O22" s="495">
        <f>SUM('06-Walls &amp; Footings'!N$90:O$95)+'06-Walls &amp; Footings'!N$64-'06-Walls &amp; Footings'!N$91-'06-Walls &amp; Footings'!N$95+'06-Walls &amp; Footings'!N$91</f>
        <v>2850</v>
      </c>
      <c r="P22" s="495">
        <f>SUM('06-Walls &amp; Footings'!N$66:O$75)</f>
        <v>83022.966425389284</v>
      </c>
      <c r="Q22" s="495">
        <f>SUM('06-Walls &amp; Footings'!K$66:K$72)</f>
        <v>0</v>
      </c>
      <c r="R22" s="495">
        <f>SUM('06-Walls &amp; Footings'!N$78:O$80)</f>
        <v>6000</v>
      </c>
      <c r="S22" s="495">
        <f>'06-Walls &amp; Footings'!N$81</f>
        <v>0</v>
      </c>
      <c r="T22" s="495">
        <f>SUM('06-Walls &amp; Footings'!N$83:O$88)</f>
        <v>8755.5</v>
      </c>
      <c r="U22" s="495">
        <f>SUM('06-Walls &amp; Footings'!N$95)</f>
        <v>0</v>
      </c>
      <c r="V22" s="495">
        <f>'06-Walls &amp; Footings'!N$96</f>
        <v>0</v>
      </c>
      <c r="W22" s="496"/>
      <c r="X22" s="497">
        <f>SUM(G22:V22)</f>
        <v>207686.56003633296</v>
      </c>
      <c r="Y22" s="498">
        <f>IF(C22=0,0,1-(X22/E22))</f>
        <v>0.13043478260869557</v>
      </c>
      <c r="Z22" s="499">
        <f>SUM('06-Walls &amp; Footings'!K$51:L$55)</f>
        <v>284.86060493827165</v>
      </c>
      <c r="AA22" s="352">
        <f>X$22-AI$73</f>
        <v>0</v>
      </c>
      <c r="AB22" s="500"/>
      <c r="AF22" s="500"/>
      <c r="AJ22" s="500"/>
      <c r="AN22" s="500"/>
      <c r="AR22" s="500"/>
    </row>
    <row r="23" spans="1:44" ht="16.5" customHeight="1">
      <c r="A23" s="489" t="s">
        <v>1007</v>
      </c>
      <c r="B23" s="490"/>
      <c r="C23" s="491">
        <f>SUM('06-Footings'!H$67:I$70)</f>
        <v>0</v>
      </c>
      <c r="D23" s="492" t="s">
        <v>849</v>
      </c>
      <c r="E23" s="514">
        <f>SUM('06-Footings'!D$40:E$40)</f>
        <v>0</v>
      </c>
      <c r="F23" s="515">
        <f>SUM('06-Footings'!B$42)</f>
        <v>0</v>
      </c>
      <c r="G23" s="495">
        <f>SUM('06-Footings'!W$51:W$82)+SUM('06-Footings'!N$61:O$63)+'06-Footings'!W$86+'06-Footings'!W$87+'06-Footings'!W$88</f>
        <v>0</v>
      </c>
      <c r="H23" s="495">
        <f>SUM('06-Footings'!N$59:O$60)</f>
        <v>0</v>
      </c>
      <c r="I23" s="495"/>
      <c r="J23" s="495">
        <f>SUM('06-Footings'!N$58:O$58)</f>
        <v>0</v>
      </c>
      <c r="K23" s="495">
        <f>SUM('06-Footings'!N$56:O$57)</f>
        <v>0</v>
      </c>
      <c r="L23" s="495">
        <f>SUM('06-Footings'!W$83:W$87)</f>
        <v>0</v>
      </c>
      <c r="M23" s="495">
        <f>SUM('06-Footings'!N$51:O$55)</f>
        <v>0</v>
      </c>
      <c r="N23" s="495">
        <f>SUM('06-Footings'!W$89:W$91)</f>
        <v>0</v>
      </c>
      <c r="O23" s="495">
        <f>SUM('06-Footings'!N$90:O$95)+'06-Footings'!N$64-'06-Footings'!N$91-'06-Footings'!N$95+'06-Footings'!N$91</f>
        <v>0</v>
      </c>
      <c r="P23" s="495">
        <f>SUM('06-Footings'!N$66:O$75)</f>
        <v>0</v>
      </c>
      <c r="Q23" s="495">
        <f>SUM('06-Footings'!K$66:K$72)</f>
        <v>0</v>
      </c>
      <c r="R23" s="495">
        <f>SUM('06-Footings'!N$78:O$80)</f>
        <v>0</v>
      </c>
      <c r="S23" s="495">
        <f>'06-Footings'!N$81</f>
        <v>0</v>
      </c>
      <c r="T23" s="495">
        <f>SUM('06-Footings'!N$83:O$88)</f>
        <v>0</v>
      </c>
      <c r="U23" s="495">
        <f>SUM('06-Footings'!N$95)</f>
        <v>0</v>
      </c>
      <c r="V23" s="495">
        <f>'06-Footings'!N$96</f>
        <v>0</v>
      </c>
      <c r="W23" s="496"/>
      <c r="X23" s="497">
        <f>SUM(G23:V23)</f>
        <v>0</v>
      </c>
      <c r="Y23" s="498">
        <f>IF(C23=0,0,1-(X23/E23))</f>
        <v>0</v>
      </c>
      <c r="Z23" s="499">
        <f>SUM('06-Footings'!K$51:L$55)</f>
        <v>0</v>
      </c>
      <c r="AA23" s="352">
        <f>X$23-AI$73</f>
        <v>-207686.56003633293</v>
      </c>
      <c r="AB23" s="500"/>
      <c r="AF23" s="500"/>
      <c r="AJ23" s="500"/>
      <c r="AN23" s="500"/>
      <c r="AR23" s="500"/>
    </row>
    <row r="24" spans="1:44" ht="16.5" customHeight="1">
      <c r="A24" s="489" t="s">
        <v>1008</v>
      </c>
      <c r="B24" s="490"/>
      <c r="C24" s="491">
        <f>SUM('06-Garage Walls &amp; Footings'!H$67:I$70)</f>
        <v>0</v>
      </c>
      <c r="D24" s="492" t="s">
        <v>849</v>
      </c>
      <c r="E24" s="514">
        <f>SUM('06-Garage Walls &amp; Footings'!D$40:E$40)</f>
        <v>0</v>
      </c>
      <c r="F24" s="515">
        <f>SUM('06-Garage Walls &amp; Footings'!B$42)</f>
        <v>0</v>
      </c>
      <c r="G24" s="495">
        <f>SUM('06-Garage Walls &amp; Footings'!W$51:W$82)+SUM('06-Garage Walls &amp; Footings'!N$61:O$63)+'06-Garage Walls &amp; Footings'!W$86+'06-Garage Walls &amp; Footings'!W$87+'06-Garage Walls &amp; Footings'!W$88</f>
        <v>0</v>
      </c>
      <c r="H24" s="495">
        <f>SUM('06-Garage Walls &amp; Footings'!N$59:O$60)</f>
        <v>0</v>
      </c>
      <c r="I24" s="495"/>
      <c r="J24" s="495">
        <f>SUM('06-Garage Walls &amp; Footings'!N$58:O$58)</f>
        <v>0</v>
      </c>
      <c r="K24" s="495">
        <f>SUM('06-Garage Walls &amp; Footings'!N$56:O$57)</f>
        <v>0</v>
      </c>
      <c r="L24" s="495">
        <f>SUM('06-Garage Walls &amp; Footings'!W$83:W$87)</f>
        <v>0</v>
      </c>
      <c r="M24" s="495">
        <f>SUM('06-Garage Walls &amp; Footings'!N$51:O$55)</f>
        <v>0</v>
      </c>
      <c r="N24" s="495">
        <f>SUM('06-Garage Walls &amp; Footings'!W$89:W$91)</f>
        <v>0</v>
      </c>
      <c r="O24" s="495">
        <f>SUM('06-Garage Walls &amp; Footings'!N$90:O$95)+'06-Garage Walls &amp; Footings'!N$64-'06-Garage Walls &amp; Footings'!N$91-'06-Garage Walls &amp; Footings'!N$95+'06-Garage Walls &amp; Footings'!N$91</f>
        <v>0</v>
      </c>
      <c r="P24" s="495">
        <f>SUM('06-Garage Walls &amp; Footings'!N$66:O$75)</f>
        <v>0</v>
      </c>
      <c r="Q24" s="495">
        <f>SUM('06-Garage Walls &amp; Footings'!K$66:K$72)</f>
        <v>0</v>
      </c>
      <c r="R24" s="495">
        <f>SUM('06-Garage Walls &amp; Footings'!N$78:O$80)</f>
        <v>0</v>
      </c>
      <c r="S24" s="495">
        <f>'06-Garage Walls &amp; Footings'!N$81</f>
        <v>0</v>
      </c>
      <c r="T24" s="495">
        <f>SUM('06-Garage Walls &amp; Footings'!N$83:O$88)</f>
        <v>0</v>
      </c>
      <c r="U24" s="495">
        <f>SUM('06-Garage Walls &amp; Footings'!N$95)</f>
        <v>0</v>
      </c>
      <c r="V24" s="495">
        <f>'06-Garage Walls &amp; Footings'!N$96</f>
        <v>0</v>
      </c>
      <c r="W24" s="496"/>
      <c r="X24" s="497">
        <f>SUM(G24:V24)</f>
        <v>0</v>
      </c>
      <c r="Y24" s="498">
        <f>IF(C24=0,0,1-(X24/E24))</f>
        <v>0</v>
      </c>
      <c r="Z24" s="499">
        <f>SUM('06-Garage Walls &amp; Footings'!K$51:L$55)</f>
        <v>0</v>
      </c>
      <c r="AA24" s="352">
        <f>X$24-AQ$73</f>
        <v>0</v>
      </c>
      <c r="AB24" s="500"/>
      <c r="AF24" s="500"/>
      <c r="AJ24" s="500"/>
      <c r="AN24" s="500"/>
      <c r="AR24" s="500"/>
    </row>
    <row r="25" spans="1:44" ht="16.5" customHeight="1">
      <c r="A25" s="489" t="s">
        <v>1009</v>
      </c>
      <c r="B25" s="490"/>
      <c r="C25" s="491">
        <f>SUM('06-Garage Walls &amp; Footings'!H$67:I$70)</f>
        <v>0</v>
      </c>
      <c r="D25" s="492" t="s">
        <v>849</v>
      </c>
      <c r="E25" s="514">
        <f>SUM('06-Garage Footings'!D$40:E$40)</f>
        <v>0</v>
      </c>
      <c r="F25" s="515">
        <f>SUM('06-Garage Footings'!B$42)</f>
        <v>0</v>
      </c>
      <c r="G25" s="495">
        <f>SUM('06-Garage Footings'!W$51:W$82)+SUM('06-Garage Footings'!N$61:O$63)+'06-Garage Footings'!W$86+'06-Garage Footings'!W$87+'06-Garage Footings'!W$88</f>
        <v>0</v>
      </c>
      <c r="H25" s="495">
        <f>SUM('06-Garage Footings'!N$59:O$60)</f>
        <v>0</v>
      </c>
      <c r="I25" s="495"/>
      <c r="J25" s="495">
        <f>SUM('06-Garage Footings'!N$58:O$58)</f>
        <v>0</v>
      </c>
      <c r="K25" s="495">
        <f>SUM('06-Garage Footings'!N$56:O$57)</f>
        <v>0</v>
      </c>
      <c r="L25" s="495">
        <f>SUM('06-Garage Footings'!W$83:W$87)</f>
        <v>0</v>
      </c>
      <c r="M25" s="495">
        <f>SUM('06-Garage Footings'!N$51:O$55)</f>
        <v>0</v>
      </c>
      <c r="N25" s="495">
        <f>SUM('06-Garage Footings'!W$89:W$91)</f>
        <v>0</v>
      </c>
      <c r="O25" s="495">
        <f>SUM('06-Garage Footings'!N$90:O$95)+'06-Garage Footings'!N$64-'06-Garage Footings'!N$91-'06-Garage Footings'!N$95+'06-Garage Footings'!N$91</f>
        <v>0</v>
      </c>
      <c r="P25" s="495">
        <f>SUM('06-Garage Footings'!N$66:O$75)</f>
        <v>0</v>
      </c>
      <c r="Q25" s="495">
        <f>SUM('06-Garage Footings'!K$66:K$72)</f>
        <v>0</v>
      </c>
      <c r="R25" s="495">
        <f>SUM('06-Garage Footings'!N$78:O$80)</f>
        <v>0</v>
      </c>
      <c r="S25" s="495">
        <f>'06-Garage Footings'!N$81</f>
        <v>0</v>
      </c>
      <c r="T25" s="495">
        <f>SUM('06-Garage Footings'!N$83:O$88)</f>
        <v>0</v>
      </c>
      <c r="U25" s="495">
        <f>SUM('06-Garage Footings'!N$95)</f>
        <v>0</v>
      </c>
      <c r="V25" s="495">
        <f>'06-Garage Footings'!N$96</f>
        <v>0</v>
      </c>
      <c r="W25" s="496"/>
      <c r="X25" s="497">
        <f>SUM(G25:V25)</f>
        <v>0</v>
      </c>
      <c r="Y25" s="498">
        <f>IF(C25=0,0,1-(X25/E25))</f>
        <v>0</v>
      </c>
      <c r="Z25" s="499">
        <f>SUM('06-Garage Footings'!K$51:L$55)</f>
        <v>0</v>
      </c>
      <c r="AA25" s="352">
        <f>X$25-AU$73</f>
        <v>0</v>
      </c>
      <c r="AB25" s="500"/>
      <c r="AF25" s="500"/>
      <c r="AJ25" s="500"/>
      <c r="AN25" s="500"/>
      <c r="AR25" s="500"/>
    </row>
    <row r="26" spans="1:44" ht="16.5" customHeight="1">
      <c r="A26" s="489" t="s">
        <v>1010</v>
      </c>
      <c r="B26" s="490"/>
      <c r="C26" s="491">
        <f>'07-COLUMNS'!D54</f>
        <v>68</v>
      </c>
      <c r="D26" s="492" t="s">
        <v>1000</v>
      </c>
      <c r="E26" s="493">
        <f>'07-COLUMNS'!D58</f>
        <v>189680.510131321</v>
      </c>
      <c r="F26" s="494">
        <f>IF(C26=0,0,E26/C26)</f>
        <v>2789.4192666370736</v>
      </c>
      <c r="G26" s="495">
        <f>SUM('07-COLUMNS'!W67:W86)+SUM('07-COLUMNS'!W91:W96)+'07-COLUMNS'!W100+'07-COLUMNS'!W101+'07-COLUMNS'!W102</f>
        <v>20793.810156250001</v>
      </c>
      <c r="H26" s="495">
        <f>SUM('07-COLUMNS'!N75:O76)</f>
        <v>0</v>
      </c>
      <c r="I26" s="495">
        <f>SUM('08-CIP EL. DECK'!W91)</f>
        <v>0</v>
      </c>
      <c r="J26" s="495">
        <f>SUM('07-COLUMNS'!N74:O74)</f>
        <v>0</v>
      </c>
      <c r="K26" s="495">
        <f>SUM('07-COLUMNS'!N72:O73)</f>
        <v>31540.635371574714</v>
      </c>
      <c r="L26" s="495">
        <f>SUM('07-COLUMNS'!W97:W102)+'07-COLUMNS'!W108</f>
        <v>896.51832642600004</v>
      </c>
      <c r="M26" s="495">
        <f>SUM('07-COLUMNS'!N67:O71)</f>
        <v>24626.875</v>
      </c>
      <c r="N26" s="495">
        <f>SUM('07-COLUMNS'!W103:W105)</f>
        <v>542</v>
      </c>
      <c r="O26" s="495">
        <f>SUM('07-COLUMNS'!N104:O109)-'07-COLUMNS'!N109+'07-COLUMNS'!N80</f>
        <v>2600</v>
      </c>
      <c r="P26" s="495">
        <f>SUM('07-COLUMNS'!N82:O89)</f>
        <v>43913.831172292499</v>
      </c>
      <c r="Q26" s="495">
        <f>SUM('07-COLUMNS'!K82:L88)</f>
        <v>0</v>
      </c>
      <c r="R26" s="495">
        <f>SUM('07-COLUMNS'!N92:O94)</f>
        <v>13175</v>
      </c>
      <c r="S26" s="495">
        <f>'07-COLUMNS'!N95</f>
        <v>3400</v>
      </c>
      <c r="T26" s="495">
        <f>SUM('07-COLUMNS'!N97:O102)</f>
        <v>19257.525000000001</v>
      </c>
      <c r="U26" s="495">
        <f>SUM('07-COLUMNS'!N109:O109)</f>
        <v>0</v>
      </c>
      <c r="V26" s="495">
        <f>'07-COLUMNS'!N110</f>
        <v>0</v>
      </c>
      <c r="W26" s="496">
        <f>IF(C26=0,0,SUM(G26:T26)/C26)</f>
        <v>2363.9146327432823</v>
      </c>
      <c r="X26" s="497">
        <f>SUM(G26:V26)</f>
        <v>160746.1950265432</v>
      </c>
      <c r="Y26" s="498">
        <f>IF(C26=0,0,1-(X26/E26))</f>
        <v>0.15254237288135608</v>
      </c>
      <c r="Z26" s="499">
        <f>SUM('07-COLUMNS'!U10:U53)</f>
        <v>130</v>
      </c>
      <c r="AA26" s="352">
        <f>X26-AY73</f>
        <v>0</v>
      </c>
    </row>
    <row r="27" spans="1:44" ht="16.5" customHeight="1">
      <c r="A27" s="489"/>
      <c r="B27" s="516"/>
      <c r="C27" s="517"/>
      <c r="D27" s="518"/>
      <c r="E27" s="514"/>
      <c r="F27" s="519"/>
      <c r="G27" s="495"/>
      <c r="H27" s="495"/>
      <c r="I27" s="495"/>
      <c r="J27" s="495"/>
      <c r="K27" s="495"/>
      <c r="L27" s="495"/>
      <c r="M27" s="495"/>
      <c r="N27" s="495"/>
      <c r="O27" s="495"/>
      <c r="P27" s="495"/>
      <c r="Q27" s="495"/>
      <c r="R27" s="495"/>
      <c r="S27" s="495"/>
      <c r="T27" s="495"/>
      <c r="U27" s="495"/>
      <c r="V27" s="495"/>
      <c r="W27" s="496"/>
      <c r="X27" s="520"/>
      <c r="Y27" s="498"/>
      <c r="Z27" s="499"/>
      <c r="AA27" s="12"/>
    </row>
    <row r="28" spans="1:44" ht="16.5" customHeight="1">
      <c r="A28" s="489" t="s">
        <v>1011</v>
      </c>
      <c r="B28" s="490"/>
      <c r="C28" s="506">
        <f>'08-CIP EL. DECK'!C50:D50</f>
        <v>32100</v>
      </c>
      <c r="D28" s="492" t="s">
        <v>868</v>
      </c>
      <c r="E28" s="493">
        <f>'08-CIP EL. DECK'!D65</f>
        <v>1123421.385327864</v>
      </c>
      <c r="F28" s="502">
        <f>IF(C28=0,0,E28/C28)</f>
        <v>34.997550944793268</v>
      </c>
      <c r="G28" s="521">
        <f>SUM('08-CIP EL. DECK'!W73:W106)+'08-CIP EL. DECK'!N82+'08-CIP EL. DECK'!N81+'08-CIP EL. DECK'!W111+'08-CIP EL. DECK'!W112+'08-CIP EL. DECK'!W113</f>
        <v>34640.796039062501</v>
      </c>
      <c r="H28" s="521"/>
      <c r="I28" s="521">
        <f>SUM('08-CIP EL. DECK'!W91)</f>
        <v>0</v>
      </c>
      <c r="J28" s="521">
        <f>SUM('08-CIP EL. DECK'!N80:O80)+'08-CIP EL. DECK'!N118</f>
        <v>50384.962500000001</v>
      </c>
      <c r="K28" s="521">
        <f>SUM('08-CIP EL. DECK'!N78:O79)</f>
        <v>43424.540341509528</v>
      </c>
      <c r="L28" s="521">
        <f>SUM('08-CIP EL. DECK'!W107:W113)+'08-CIP EL. DECK'!W118</f>
        <v>1315.3091942870001</v>
      </c>
      <c r="M28" s="521">
        <f>SUM('08-CIP EL. DECK'!N73:O77)</f>
        <v>276550.68518518517</v>
      </c>
      <c r="N28" s="521">
        <f>SUM('08-CIP EL. DECK'!W113:W115)+'08-CIP EL. DECK'!N116:O116</f>
        <v>1135</v>
      </c>
      <c r="O28" s="521">
        <f>SUM('08-CIP EL. DECK'!N112:O115)+'08-CIP EL. DECK'!N117:O117+'08-CIP EL. DECK'!N83+'08-CIP EL. DECK'!N84</f>
        <v>62377.362268518518</v>
      </c>
      <c r="P28" s="521">
        <f>SUM('08-CIP EL. DECK'!N87:O97)</f>
        <v>251654.72843572876</v>
      </c>
      <c r="Q28" s="521">
        <f>SUM('08-CIP EL. DECK'!K87:L96)</f>
        <v>0</v>
      </c>
      <c r="R28" s="521">
        <f>SUM('08-CIP EL. DECK'!N100:O102)</f>
        <v>46500</v>
      </c>
      <c r="S28" s="521">
        <f>'08-CIP EL. DECK'!N103</f>
        <v>12000</v>
      </c>
      <c r="T28" s="521">
        <f>SUM('08-CIP EL. DECK'!N105:O110)</f>
        <v>172068.63750000001</v>
      </c>
      <c r="U28" s="521">
        <f>SUM('08-CIP EL. DECK'!N117:O117)</f>
        <v>0</v>
      </c>
      <c r="V28" s="521">
        <f>'08-CIP EL. DECK'!N119</f>
        <v>0</v>
      </c>
      <c r="W28" s="522">
        <f>IF(C28=0,0,X28/C28)</f>
        <v>29.658941478638365</v>
      </c>
      <c r="X28" s="497">
        <f>SUM(G28:V28)</f>
        <v>952052.02146429149</v>
      </c>
      <c r="Y28" s="498">
        <f>IF(C28=0,0,1-(X28/E28))</f>
        <v>0.15254237288135597</v>
      </c>
      <c r="Z28" s="499">
        <f>'08-CIP EL. DECK'!K73+'08-CIP EL. DECK'!K74+'08-CIP EL. DECK'!K77</f>
        <v>0</v>
      </c>
      <c r="AA28" s="352">
        <f>X28-BB73</f>
        <v>0</v>
      </c>
      <c r="AB28" s="500"/>
      <c r="AF28" s="500"/>
      <c r="AJ28" s="500"/>
      <c r="AN28" s="500"/>
      <c r="AR28" s="500"/>
    </row>
    <row r="29" spans="1:44" ht="16.5" customHeight="1">
      <c r="A29" s="489"/>
      <c r="B29" s="490"/>
      <c r="C29" s="491"/>
      <c r="D29" s="523"/>
      <c r="E29" s="524"/>
      <c r="F29" s="525"/>
      <c r="G29" s="526">
        <f t="shared" ref="G29:R29" si="3">IF($C$28=0,0,G28/$C$28)</f>
        <v>1.0791525245813864</v>
      </c>
      <c r="H29" s="526">
        <f t="shared" si="3"/>
        <v>0</v>
      </c>
      <c r="I29" s="526">
        <f t="shared" si="3"/>
        <v>0</v>
      </c>
      <c r="J29" s="526">
        <f t="shared" si="3"/>
        <v>1.569625</v>
      </c>
      <c r="K29" s="526">
        <f t="shared" si="3"/>
        <v>1.3527894187386145</v>
      </c>
      <c r="L29" s="526">
        <f t="shared" si="3"/>
        <v>4.0975364308006232E-2</v>
      </c>
      <c r="M29" s="526">
        <f t="shared" si="3"/>
        <v>8.6152861428406595</v>
      </c>
      <c r="N29" s="526">
        <f t="shared" si="3"/>
        <v>3.5358255451713394E-2</v>
      </c>
      <c r="O29" s="526">
        <f t="shared" si="3"/>
        <v>1.9432200083650628</v>
      </c>
      <c r="P29" s="526">
        <f t="shared" si="3"/>
        <v>7.83971116622208</v>
      </c>
      <c r="Q29" s="526">
        <f t="shared" si="3"/>
        <v>0</v>
      </c>
      <c r="R29" s="526">
        <f t="shared" si="3"/>
        <v>1.4485981308411215</v>
      </c>
      <c r="S29" s="526"/>
      <c r="T29" s="526">
        <f>IF($C$28=0,0,T28/$C$28)</f>
        <v>5.3603936915887855</v>
      </c>
      <c r="U29" s="526">
        <f>IF($C$28=0,0,U28/$C$28)</f>
        <v>0</v>
      </c>
      <c r="V29" s="526"/>
      <c r="W29" s="526"/>
      <c r="X29" s="513"/>
      <c r="Y29" s="498"/>
      <c r="Z29" s="499"/>
      <c r="AA29" s="12"/>
      <c r="AB29" s="500"/>
      <c r="AF29" s="500"/>
      <c r="AJ29" s="500"/>
      <c r="AN29" s="500"/>
      <c r="AR29" s="500"/>
    </row>
    <row r="30" spans="1:44" ht="16.5" customHeight="1">
      <c r="A30" s="489" t="s">
        <v>1012</v>
      </c>
      <c r="B30" s="490"/>
      <c r="C30" s="527">
        <f>'09-SLAB ON DECK'!D42</f>
        <v>0</v>
      </c>
      <c r="D30" s="492" t="s">
        <v>868</v>
      </c>
      <c r="E30" s="493">
        <f>'09-SLAB ON DECK'!E45:F45</f>
        <v>0</v>
      </c>
      <c r="F30" s="528">
        <f>IF(C30=0,0,E30/C30)</f>
        <v>0</v>
      </c>
      <c r="G30" s="495">
        <f>SUM('09-SLAB ON DECK'!Z65:Z97)-'09-SLAB ON DECK'!Z87-'09-SLAB ON DECK'!Z89-'09-SLAB ON DECK'!Z90-'09-SLAB ON DECK'!Z91+'09-SLAB ON DECK'!O74+'09-SLAB ON DECK'!Z101+'09-SLAB ON DECK'!Z102+'09-SLAB ON DECK'!Z103</f>
        <v>0</v>
      </c>
      <c r="H30" s="495">
        <f>SUM('09-SLAB ON DECK'!O73:P73)</f>
        <v>0</v>
      </c>
      <c r="I30" s="495">
        <f>SUM('09-SLAB ON DECK'!Z87:Z91)</f>
        <v>0</v>
      </c>
      <c r="J30" s="495">
        <f>SUM('09-SLAB ON DECK'!O72:P72)</f>
        <v>0</v>
      </c>
      <c r="K30" s="495">
        <f>SUM('09-SLAB ON DECK'!O70:P71)</f>
        <v>0</v>
      </c>
      <c r="L30" s="495">
        <f>SUM('09-SLAB ON DECK'!Z98:Z103)</f>
        <v>0</v>
      </c>
      <c r="M30" s="495">
        <f>SUM('09-SLAB ON DECK'!O65:P69)</f>
        <v>0</v>
      </c>
      <c r="N30" s="495">
        <f>'09-SLAB ON DECK'!O104+'09-SLAB ON DECK'!Z104+'09-SLAB ON DECK'!Z105+'09-SLAB ON DECK'!Z106</f>
        <v>0</v>
      </c>
      <c r="O30" s="495">
        <f>SUM('09-SLAB ON DECK'!O102:P108)-'09-SLAB ON DECK'!O103-'09-SLAB ON DECK'!O107:P107</f>
        <v>0</v>
      </c>
      <c r="P30" s="495">
        <f>SUM('09-SLAB ON DECK'!O79:P88)</f>
        <v>0</v>
      </c>
      <c r="Q30" s="495">
        <f>SUM('09-SLAB ON DECK'!L79:M86)</f>
        <v>0</v>
      </c>
      <c r="R30" s="495">
        <f>SUM('09-SLAB ON DECK'!O91:P93)</f>
        <v>0</v>
      </c>
      <c r="S30" s="495">
        <f>'09-SLAB ON DECK'!O94</f>
        <v>0</v>
      </c>
      <c r="T30" s="495">
        <f>SUM('09-SLAB ON DECK'!O96:P101)</f>
        <v>0</v>
      </c>
      <c r="U30" s="495">
        <f>SUM('09-SLAB ON DECK'!O107)</f>
        <v>0</v>
      </c>
      <c r="V30" s="495">
        <f>'09-SLAB ON DECK'!O110</f>
        <v>0</v>
      </c>
      <c r="W30" s="495"/>
      <c r="X30" s="497">
        <f>IF(C30=0,0,SUM(G30:V30))</f>
        <v>0</v>
      </c>
      <c r="Y30" s="498">
        <f>IF(C30=0,0,1-(X30/E30))</f>
        <v>0</v>
      </c>
      <c r="Z30" s="499">
        <f>'09-SLAB ON DECK'!L65+'09-SLAB ON DECK'!L66+'09-SLAB ON DECK'!L69</f>
        <v>0</v>
      </c>
      <c r="AA30" s="529">
        <f>X30-BF73</f>
        <v>0</v>
      </c>
      <c r="AB30" s="500"/>
      <c r="AF30" s="500"/>
      <c r="AJ30" s="500"/>
      <c r="AN30" s="500"/>
      <c r="AR30" s="500"/>
    </row>
    <row r="31" spans="1:44" ht="16.5" customHeight="1">
      <c r="A31" s="482"/>
      <c r="B31" s="503"/>
      <c r="C31" s="491"/>
      <c r="D31" s="12"/>
      <c r="E31" s="493"/>
      <c r="F31" s="525"/>
      <c r="G31" s="512">
        <f>IF($C$30=0,0,G30/$C$30)</f>
        <v>0</v>
      </c>
      <c r="H31" s="512">
        <f>IF($C$30=0,0,H30/$C$30)</f>
        <v>0</v>
      </c>
      <c r="I31" s="512">
        <f>IF($C$30=0,0,I30/$C$30)</f>
        <v>0</v>
      </c>
      <c r="J31" s="512">
        <f t="shared" ref="J31:R31" si="4">IF($C$30=0,0,J12/$C$30)</f>
        <v>0</v>
      </c>
      <c r="K31" s="512">
        <f t="shared" si="4"/>
        <v>0</v>
      </c>
      <c r="L31" s="512">
        <f t="shared" si="4"/>
        <v>0</v>
      </c>
      <c r="M31" s="512">
        <f t="shared" si="4"/>
        <v>0</v>
      </c>
      <c r="N31" s="512">
        <f t="shared" si="4"/>
        <v>0</v>
      </c>
      <c r="O31" s="512">
        <f t="shared" si="4"/>
        <v>0</v>
      </c>
      <c r="P31" s="512">
        <f t="shared" si="4"/>
        <v>0</v>
      </c>
      <c r="Q31" s="512">
        <f t="shared" si="4"/>
        <v>0</v>
      </c>
      <c r="R31" s="512">
        <f t="shared" si="4"/>
        <v>0</v>
      </c>
      <c r="S31" s="512"/>
      <c r="T31" s="512">
        <f>IF($C$30=0,0,T12/$C$30)</f>
        <v>0</v>
      </c>
      <c r="U31" s="512"/>
      <c r="V31" s="512"/>
      <c r="W31" s="512">
        <f>SUM(G31:I31)</f>
        <v>0</v>
      </c>
      <c r="X31" s="513"/>
      <c r="Y31" s="498"/>
      <c r="Z31" s="488"/>
      <c r="AA31" s="12"/>
      <c r="AB31" s="500"/>
      <c r="AF31" s="500"/>
      <c r="AJ31" s="500"/>
      <c r="AN31" s="500"/>
      <c r="AR31" s="500"/>
    </row>
    <row r="32" spans="1:44" ht="16.5" customHeight="1">
      <c r="A32" s="489" t="s">
        <v>1013</v>
      </c>
      <c r="B32" s="490"/>
      <c r="C32" s="491">
        <f>'12-PANELS'!H80</f>
        <v>30024</v>
      </c>
      <c r="D32" s="492" t="s">
        <v>868</v>
      </c>
      <c r="E32" s="493">
        <f>'12-PANELS'!D56</f>
        <v>485099.70582968986</v>
      </c>
      <c r="F32" s="502">
        <f>IF(C32=0,0,E32/C32)</f>
        <v>16.157064542688843</v>
      </c>
      <c r="G32" s="530">
        <f>SUM('12-PANELS'!W66:W83)+SUM('12-PANELS'!W87:W91)+'12-PANELS'!N74+'12-PANELS'!N75+'12-PANELS'!N76</f>
        <v>22196.430276687501</v>
      </c>
      <c r="H32" s="530">
        <f>SUM('12-PANELS'!N70:O72)</f>
        <v>0</v>
      </c>
      <c r="I32" s="530">
        <f>SUM('12-PANELS'!W84:W86)</f>
        <v>0</v>
      </c>
      <c r="J32" s="530">
        <f>SUM('12-PANELS'!N73:O73)</f>
        <v>0</v>
      </c>
      <c r="K32" s="530">
        <f>SUM('12-PANELS'!N69:O69)</f>
        <v>87266.498194518426</v>
      </c>
      <c r="L32" s="530">
        <f>SUM('12-PANELS'!W92:W98)+'12-PANELS'!W104</f>
        <v>10338.921042739596</v>
      </c>
      <c r="M32" s="530">
        <f>SUM('12-PANELS'!N66:O68)</f>
        <v>113017.1856666667</v>
      </c>
      <c r="N32" s="530">
        <f>SUM('12-PANELS'!W99:W101)+'12-PANELS'!N101</f>
        <v>3104.8304363636362</v>
      </c>
      <c r="O32" s="530">
        <f>SUM('12-PANELS'!N99:O104)-'12-PANELS'!N104-'12-PANELS'!N101</f>
        <v>14551.466666666671</v>
      </c>
      <c r="P32" s="530">
        <f>SUM('12-PANELS'!K79:L85)</f>
        <v>0</v>
      </c>
      <c r="Q32" s="530">
        <f>SUM('12-PANELS'!N79:O85)</f>
        <v>94965.613334738722</v>
      </c>
      <c r="R32" s="530">
        <f>SUM('12-PANELS'!N88:O90)</f>
        <v>28000</v>
      </c>
      <c r="S32" s="530"/>
      <c r="T32" s="530">
        <f>SUM('12-PANELS'!N92:O97)</f>
        <v>37660.5</v>
      </c>
      <c r="U32" s="530">
        <f>SUM('12-PANELS'!N104:O104)</f>
        <v>0</v>
      </c>
      <c r="V32" s="530"/>
      <c r="W32" s="531">
        <f>IF(X32=0,"",X32/C32)</f>
        <v>13.692427578549868</v>
      </c>
      <c r="X32" s="532">
        <f>SUM(G32:U32)</f>
        <v>411101.44561838126</v>
      </c>
      <c r="Y32" s="498">
        <f>IF(C32=0,0,1-(X32/E32))</f>
        <v>0.15254237288135586</v>
      </c>
      <c r="Z32" s="499">
        <f>'12-PANELS'!K66+'12-PANELS'!K67+'12-PANELS'!K68</f>
        <v>673.57333333333349</v>
      </c>
      <c r="AA32" s="352">
        <f>X32-Summary!BS73</f>
        <v>0</v>
      </c>
    </row>
    <row r="33" spans="1:44" ht="16.5" customHeight="1">
      <c r="A33" s="533"/>
      <c r="B33" s="534"/>
      <c r="C33" s="491"/>
      <c r="D33" s="12"/>
      <c r="E33" s="493"/>
      <c r="F33" s="535"/>
      <c r="G33" s="136">
        <f t="shared" ref="G33:R33" si="5">IF($C32=0,"",G32/$C32)</f>
        <v>0.73928957756086799</v>
      </c>
      <c r="H33" s="136">
        <f t="shared" si="5"/>
        <v>0</v>
      </c>
      <c r="I33" s="136">
        <f t="shared" si="5"/>
        <v>0</v>
      </c>
      <c r="J33" s="136">
        <f t="shared" si="5"/>
        <v>0</v>
      </c>
      <c r="K33" s="136">
        <f t="shared" si="5"/>
        <v>2.9065580267292308</v>
      </c>
      <c r="L33" s="136">
        <f t="shared" si="5"/>
        <v>0.3443552172508525</v>
      </c>
      <c r="M33" s="136">
        <f t="shared" si="5"/>
        <v>3.7642281397104549</v>
      </c>
      <c r="N33" s="136">
        <f t="shared" si="5"/>
        <v>0.10341161858392074</v>
      </c>
      <c r="O33" s="136">
        <f t="shared" si="5"/>
        <v>0.4846611599609203</v>
      </c>
      <c r="P33" s="136">
        <f t="shared" si="5"/>
        <v>0</v>
      </c>
      <c r="Q33" s="136">
        <f t="shared" si="5"/>
        <v>3.1629900524493313</v>
      </c>
      <c r="R33" s="136">
        <f t="shared" si="5"/>
        <v>0.93258726352251531</v>
      </c>
      <c r="S33" s="136"/>
      <c r="T33" s="136">
        <f>IF($C32=0,"",T32/$C32)</f>
        <v>1.2543465227817745</v>
      </c>
      <c r="U33" s="136">
        <f>IF($C32=0,"",U32/$C32)</f>
        <v>0</v>
      </c>
      <c r="V33" s="136"/>
      <c r="W33" s="136">
        <f>IF($C32=0,"",W32/$C32)</f>
        <v>4.5604941308785866E-4</v>
      </c>
      <c r="X33" s="536"/>
      <c r="Y33" s="498"/>
      <c r="Z33" s="488"/>
      <c r="AA33" s="12"/>
    </row>
    <row r="34" spans="1:44" ht="16.5" customHeight="1">
      <c r="A34" s="482"/>
      <c r="B34" s="503"/>
      <c r="C34" s="491"/>
      <c r="D34" s="537"/>
      <c r="E34" s="493"/>
      <c r="F34" s="502"/>
      <c r="G34" s="538"/>
      <c r="H34" s="539"/>
      <c r="I34" s="539"/>
      <c r="J34" s="539"/>
      <c r="K34" s="539"/>
      <c r="L34" s="539"/>
      <c r="M34" s="539"/>
      <c r="N34" s="540"/>
      <c r="O34" s="539"/>
      <c r="P34" s="539"/>
      <c r="Q34" s="539"/>
      <c r="R34" s="539"/>
      <c r="S34" s="539"/>
      <c r="T34" s="539"/>
      <c r="U34" s="539"/>
      <c r="V34" s="539"/>
      <c r="W34" s="539"/>
      <c r="X34" s="532"/>
      <c r="Y34" s="498"/>
      <c r="Z34" s="488"/>
      <c r="AA34" s="12"/>
      <c r="AB34" s="500"/>
      <c r="AF34" s="500"/>
      <c r="AJ34" s="500"/>
      <c r="AN34" s="500"/>
      <c r="AR34" s="500"/>
    </row>
    <row r="35" spans="1:44" ht="16.5" customHeight="1">
      <c r="A35" s="489"/>
      <c r="B35" s="490"/>
      <c r="C35" s="491"/>
      <c r="D35" s="541"/>
      <c r="E35" s="542"/>
      <c r="F35" s="543"/>
      <c r="G35" s="530"/>
      <c r="H35" s="530"/>
      <c r="I35" s="530"/>
      <c r="J35" s="530"/>
      <c r="K35" s="530"/>
      <c r="L35" s="530"/>
      <c r="M35" s="530"/>
      <c r="N35" s="530"/>
      <c r="O35" s="530"/>
      <c r="P35" s="530"/>
      <c r="Q35" s="530"/>
      <c r="R35" s="530"/>
      <c r="S35" s="530"/>
      <c r="T35" s="530"/>
      <c r="U35" s="530"/>
      <c r="V35" s="530"/>
      <c r="W35" s="544"/>
      <c r="X35" s="545"/>
      <c r="Y35" s="498"/>
      <c r="Z35" s="499"/>
      <c r="AA35" s="12"/>
      <c r="AB35" s="500"/>
      <c r="AF35" s="500"/>
      <c r="AJ35" s="500"/>
      <c r="AN35" s="500"/>
      <c r="AR35" s="500"/>
    </row>
    <row r="36" spans="1:44" ht="16.5" customHeight="1">
      <c r="A36" s="489"/>
      <c r="B36" s="490"/>
      <c r="C36" s="491"/>
      <c r="D36" s="541"/>
      <c r="E36" s="546"/>
      <c r="F36" s="542"/>
      <c r="G36" s="530"/>
      <c r="H36" s="530"/>
      <c r="I36" s="530"/>
      <c r="J36" s="530"/>
      <c r="K36" s="530"/>
      <c r="L36" s="530"/>
      <c r="M36" s="530"/>
      <c r="N36" s="530"/>
      <c r="O36" s="530"/>
      <c r="P36" s="530"/>
      <c r="Q36" s="530"/>
      <c r="R36" s="530"/>
      <c r="S36" s="530"/>
      <c r="T36" s="530"/>
      <c r="U36" s="530"/>
      <c r="V36" s="530"/>
      <c r="W36" s="544"/>
      <c r="X36" s="532"/>
      <c r="Y36" s="498"/>
      <c r="Z36" s="488"/>
      <c r="AA36" s="12"/>
    </row>
    <row r="37" spans="1:44" ht="18.75" customHeight="1">
      <c r="A37" s="482"/>
      <c r="B37" s="503"/>
      <c r="C37" s="491"/>
      <c r="E37" s="12"/>
      <c r="F37" s="547"/>
      <c r="G37" s="530"/>
      <c r="H37" s="530"/>
      <c r="I37" s="530"/>
      <c r="J37" s="530"/>
      <c r="K37" s="530"/>
      <c r="L37" s="530"/>
      <c r="M37" s="530"/>
      <c r="N37" s="530"/>
      <c r="O37" s="530"/>
      <c r="P37" s="530"/>
      <c r="Q37" s="530"/>
      <c r="R37" s="530"/>
      <c r="S37" s="530"/>
      <c r="T37" s="530"/>
      <c r="U37" s="530"/>
      <c r="V37" s="530"/>
      <c r="W37" s="544"/>
      <c r="X37" s="532"/>
      <c r="Y37" s="498"/>
      <c r="Z37" s="548"/>
      <c r="AA37" s="12"/>
    </row>
    <row r="38" spans="1:44" ht="16.5" customHeight="1">
      <c r="A38" s="549" t="s">
        <v>1014</v>
      </c>
      <c r="B38" s="550"/>
      <c r="C38" s="491"/>
      <c r="D38" s="12"/>
      <c r="E38" s="547"/>
      <c r="F38" s="551"/>
      <c r="G38" s="530"/>
      <c r="H38" s="530"/>
      <c r="I38" s="530"/>
      <c r="J38" s="530"/>
      <c r="K38" s="530"/>
      <c r="L38" s="530"/>
      <c r="M38" s="530"/>
      <c r="N38" s="530"/>
      <c r="O38" s="530"/>
      <c r="P38" s="530"/>
      <c r="Q38" s="530"/>
      <c r="R38" s="530"/>
      <c r="S38" s="530"/>
      <c r="T38" s="530"/>
      <c r="U38" s="530"/>
      <c r="V38" s="530"/>
      <c r="W38" s="544"/>
      <c r="X38" s="532"/>
      <c r="Y38" s="498"/>
      <c r="Z38" s="488"/>
      <c r="AA38" s="12"/>
    </row>
    <row r="39" spans="1:44" ht="16.5" customHeight="1">
      <c r="A39" s="489" t="s">
        <v>1015</v>
      </c>
      <c r="B39" s="490"/>
      <c r="C39" s="491">
        <f>'10-PAVING'!C35</f>
        <v>272703</v>
      </c>
      <c r="D39" s="492" t="s">
        <v>868</v>
      </c>
      <c r="E39" s="493">
        <f>'10-PAVING'!D39</f>
        <v>1654003.3036612102</v>
      </c>
      <c r="F39" s="507">
        <f>IF(E39=0,0,E39/C39)</f>
        <v>6.0652185845451285</v>
      </c>
      <c r="G39" s="495">
        <f>SUM('10-PAVING'!V47:V77)+'10-PAVING'!V82+'10-PAVING'!V83+'10-PAVING'!V84</f>
        <v>55243.878167968753</v>
      </c>
      <c r="H39" s="495">
        <f>SUM('10-PAVING'!N57:O58)</f>
        <v>48289.052060185189</v>
      </c>
      <c r="I39" s="495"/>
      <c r="J39" s="495">
        <f>SUM('10-PAVING'!N56:O56)</f>
        <v>0</v>
      </c>
      <c r="K39" s="495">
        <f>SUM('10-PAVING'!N54:O55)</f>
        <v>97602.174263705529</v>
      </c>
      <c r="L39" s="495">
        <f>SUM('10-PAVING'!V78:V84)+'10-PAVING'!V90</f>
        <v>27259.904822490185</v>
      </c>
      <c r="M39" s="495">
        <f>SUM('10-PAVING'!N47:O53)</f>
        <v>784662.96465277765</v>
      </c>
      <c r="N39" s="495">
        <f>SUM('10-PAVING'!N82:O84)+'10-PAVING'!V86+'10-PAVING'!V85+'10-PAVING'!V87</f>
        <v>50782.6</v>
      </c>
      <c r="O39" s="495">
        <f>SUM('10-PAVING'!N85:O90)-'10-PAVING'!N89</f>
        <v>0</v>
      </c>
      <c r="P39" s="495">
        <f>SUM('10-PAVING'!N61:O67)</f>
        <v>272703</v>
      </c>
      <c r="Q39" s="495">
        <f>SUM('10-PAVING'!K61:L66)</f>
        <v>0</v>
      </c>
      <c r="R39" s="495">
        <f>SUM('10-PAVING'!N70:O72)</f>
        <v>40087.341</v>
      </c>
      <c r="S39" s="495">
        <f>'10-PAVING'!N73</f>
        <v>0</v>
      </c>
      <c r="T39" s="495">
        <f>SUM('10-PAVING'!N75:O80)</f>
        <v>25066.799999999999</v>
      </c>
      <c r="U39" s="495">
        <f>SUM('10-PAVING'!N89:O89)</f>
        <v>0</v>
      </c>
      <c r="V39" s="495">
        <f>'10-PAVING'!N91</f>
        <v>0</v>
      </c>
      <c r="W39" s="496">
        <f>IF(C39=0,"",X39/C39)</f>
        <v>5.1400157496145162</v>
      </c>
      <c r="X39" s="497">
        <f>IF(C39=0,0,SUM(G39:V39))</f>
        <v>1401697.7149671274</v>
      </c>
      <c r="Y39" s="498">
        <f>IF(C39=0,0,1-(X39/E39))</f>
        <v>0.15254237288135586</v>
      </c>
      <c r="Z39" s="499">
        <f>SUM('10-PAVING'!K47:L53)</f>
        <v>4832.412407407407</v>
      </c>
      <c r="AA39" s="352">
        <f>X39-BK73</f>
        <v>0</v>
      </c>
    </row>
    <row r="40" spans="1:44" ht="16.5" customHeight="1">
      <c r="A40" s="482"/>
      <c r="B40" s="503"/>
      <c r="C40" s="491"/>
      <c r="D40" s="552"/>
      <c r="E40" s="493"/>
      <c r="F40" s="553"/>
      <c r="G40" s="512">
        <f t="shared" ref="G40:R40" si="6">IF($C39=0,0,G39/$C39)</f>
        <v>0.20257891613942183</v>
      </c>
      <c r="H40" s="512">
        <f t="shared" si="6"/>
        <v>0.17707561728395063</v>
      </c>
      <c r="I40" s="512">
        <f t="shared" si="6"/>
        <v>0</v>
      </c>
      <c r="J40" s="512">
        <f t="shared" si="6"/>
        <v>0</v>
      </c>
      <c r="K40" s="512">
        <f t="shared" si="6"/>
        <v>0.35790649264476565</v>
      </c>
      <c r="L40" s="512">
        <f t="shared" si="6"/>
        <v>9.9961880956535812E-2</v>
      </c>
      <c r="M40" s="512">
        <f t="shared" si="6"/>
        <v>2.8773536215325013</v>
      </c>
      <c r="N40" s="512">
        <f t="shared" si="6"/>
        <v>0.18621944019684419</v>
      </c>
      <c r="O40" s="512">
        <f t="shared" si="6"/>
        <v>0</v>
      </c>
      <c r="P40" s="512">
        <f t="shared" si="6"/>
        <v>1</v>
      </c>
      <c r="Q40" s="512">
        <f t="shared" si="6"/>
        <v>0</v>
      </c>
      <c r="R40" s="512">
        <f t="shared" si="6"/>
        <v>0.14699999999999999</v>
      </c>
      <c r="S40" s="512"/>
      <c r="T40" s="512">
        <f>IF($C39=0,0,T39/$C39)</f>
        <v>9.1919780860496583E-2</v>
      </c>
      <c r="U40" s="512"/>
      <c r="V40" s="512"/>
      <c r="W40" s="512">
        <f>SUM(G40:T40)</f>
        <v>5.1400157496145162</v>
      </c>
      <c r="X40" s="513"/>
      <c r="Y40" s="498"/>
      <c r="Z40" s="488"/>
      <c r="AA40" s="12"/>
    </row>
    <row r="41" spans="1:44" s="12" customFormat="1" ht="16.5" customHeight="1">
      <c r="A41" s="489" t="s">
        <v>1016</v>
      </c>
      <c r="B41" s="490"/>
      <c r="C41" s="517">
        <f>'11-Sidewalks'!C32</f>
        <v>12500</v>
      </c>
      <c r="D41" s="492" t="s">
        <v>868</v>
      </c>
      <c r="E41" s="493">
        <f>'11-Sidewalks'!D36</f>
        <v>124631.77584725941</v>
      </c>
      <c r="F41" s="507">
        <f>IF(E41=0,0,E41/C41)</f>
        <v>9.9705420677807535</v>
      </c>
      <c r="G41" s="495">
        <f>SUM('11-Sidewalks'!W44:W75)</f>
        <v>5658.3343395865486</v>
      </c>
      <c r="H41" s="495">
        <f>SUM('11-Sidewalks'!N54:O55)</f>
        <v>2192.5636574074074</v>
      </c>
      <c r="I41" s="495">
        <f>SUM('11-Sidewalks'!N79:O81)</f>
        <v>1562.5</v>
      </c>
      <c r="J41" s="495">
        <f>SUM('11-Sidewalks'!N53)</f>
        <v>0</v>
      </c>
      <c r="K41" s="495">
        <f>SUM('11-Sidewalks'!N51:O52)</f>
        <v>4473.831158059571</v>
      </c>
      <c r="L41" s="495">
        <f>SUM('11-Sidewalks'!W76:W78)+'11-Sidewalks'!W87</f>
        <v>586.2623143359375</v>
      </c>
      <c r="M41" s="495">
        <f>SUM('11-Sidewalks'!N44:O50)</f>
        <v>23728.132716049386</v>
      </c>
      <c r="N41" s="495">
        <f>SUM('11-Sidewalks'!W82:W84)</f>
        <v>429.92424242424244</v>
      </c>
      <c r="O41" s="495">
        <f>SUM('11-Sidewalks'!N82:O87)-'11-Sidewalks'!N86</f>
        <v>0</v>
      </c>
      <c r="P41" s="495">
        <f>SUM('11-Sidewalks'!N59:O64)</f>
        <v>23750</v>
      </c>
      <c r="Q41" s="495">
        <f>SUM('11-Sidewalks'!K59:L64)</f>
        <v>0</v>
      </c>
      <c r="R41" s="495">
        <f>SUM('11-Sidewalks'!N67:O69)</f>
        <v>26250.000000000004</v>
      </c>
      <c r="S41" s="495">
        <f>'11-Sidewalks'!N70</f>
        <v>2916.666666666667</v>
      </c>
      <c r="T41" s="495">
        <f>SUM('11-Sidewalks'!N72:O77)</f>
        <v>14071.933928571429</v>
      </c>
      <c r="U41" s="495">
        <f>SUM('11-Sidewalks'!N86)</f>
        <v>0</v>
      </c>
      <c r="V41" s="495">
        <f>SUM('11-Sidewalks'!N88)</f>
        <v>0</v>
      </c>
      <c r="W41" s="496">
        <f>IF(C41=0,0,SUM(G41:T41)/C41)</f>
        <v>8.4496119218480956</v>
      </c>
      <c r="X41" s="497">
        <f>SUM(G41:V41)</f>
        <v>105620.14902310118</v>
      </c>
      <c r="Y41" s="498">
        <f>IF(C41=0,0,1-(X41/E41))</f>
        <v>0.15254237288135608</v>
      </c>
      <c r="Z41" s="499">
        <f>SUM('11-Sidewalks'!K44:L50)</f>
        <v>163.58024691358025</v>
      </c>
      <c r="AA41" s="352">
        <f>X41-BO73</f>
        <v>0</v>
      </c>
    </row>
    <row r="42" spans="1:44" ht="16.5" customHeight="1">
      <c r="A42" s="489"/>
      <c r="B42" s="490"/>
      <c r="C42" s="491"/>
      <c r="D42" s="492"/>
      <c r="E42" s="493"/>
      <c r="F42" s="494"/>
      <c r="G42" s="554">
        <f t="shared" ref="G42:R42" si="7">IF($C41=0,0,G41/$C41)</f>
        <v>0.4526667471669239</v>
      </c>
      <c r="H42" s="554">
        <f t="shared" si="7"/>
        <v>0.1754050925925926</v>
      </c>
      <c r="I42" s="554">
        <f t="shared" si="7"/>
        <v>0.125</v>
      </c>
      <c r="J42" s="554">
        <f t="shared" si="7"/>
        <v>0</v>
      </c>
      <c r="K42" s="554">
        <f t="shared" si="7"/>
        <v>0.35790649264476565</v>
      </c>
      <c r="L42" s="554">
        <f t="shared" si="7"/>
        <v>4.6900985146874997E-2</v>
      </c>
      <c r="M42" s="554">
        <f t="shared" si="7"/>
        <v>1.8982506172839508</v>
      </c>
      <c r="N42" s="554">
        <f t="shared" si="7"/>
        <v>3.4393939393939393E-2</v>
      </c>
      <c r="O42" s="554">
        <f t="shared" si="7"/>
        <v>0</v>
      </c>
      <c r="P42" s="554">
        <f t="shared" si="7"/>
        <v>1.9</v>
      </c>
      <c r="Q42" s="554">
        <f t="shared" si="7"/>
        <v>0</v>
      </c>
      <c r="R42" s="554">
        <f t="shared" si="7"/>
        <v>2.1</v>
      </c>
      <c r="S42" s="554"/>
      <c r="T42" s="554">
        <f>IF($C41=0,0,T41/$C41)</f>
        <v>1.1257547142857143</v>
      </c>
      <c r="U42" s="554">
        <f>IF($C41=0,0,U41/$C41)</f>
        <v>0</v>
      </c>
      <c r="V42" s="554"/>
      <c r="W42" s="554">
        <f>IF($C41=0,0,W41/$C41)</f>
        <v>6.7596895374784762E-4</v>
      </c>
      <c r="X42" s="555"/>
      <c r="Y42" s="498"/>
      <c r="Z42" s="499"/>
      <c r="AA42" s="352"/>
    </row>
    <row r="43" spans="1:44" ht="16.5" customHeight="1">
      <c r="A43" s="482"/>
      <c r="B43" s="503"/>
      <c r="C43" s="491"/>
      <c r="D43" s="295"/>
      <c r="E43" s="493"/>
      <c r="F43" s="553"/>
      <c r="G43" s="530"/>
      <c r="H43" s="530"/>
      <c r="I43" s="530"/>
      <c r="J43" s="530"/>
      <c r="K43" s="530"/>
      <c r="L43" s="530"/>
      <c r="M43" s="530"/>
      <c r="N43" s="530"/>
      <c r="O43" s="530"/>
      <c r="P43" s="530"/>
      <c r="Q43" s="530"/>
      <c r="R43" s="530"/>
      <c r="S43" s="530"/>
      <c r="T43" s="530"/>
      <c r="U43" s="530"/>
      <c r="V43" s="530"/>
      <c r="W43" s="544"/>
      <c r="X43" s="532"/>
      <c r="Y43" s="498"/>
      <c r="Z43" s="499"/>
      <c r="AA43" s="12"/>
    </row>
    <row r="44" spans="1:44" ht="16.5" customHeight="1">
      <c r="A44" s="489"/>
      <c r="B44" s="490"/>
      <c r="C44" s="491"/>
      <c r="D44" s="492"/>
      <c r="E44" s="514"/>
      <c r="F44" s="515">
        <v>0</v>
      </c>
      <c r="G44" s="530"/>
      <c r="H44" s="530"/>
      <c r="I44" s="530"/>
      <c r="J44" s="530"/>
      <c r="K44" s="530"/>
      <c r="L44" s="530"/>
      <c r="M44" s="530"/>
      <c r="N44" s="530"/>
      <c r="O44" s="530"/>
      <c r="P44" s="530"/>
      <c r="Q44" s="530"/>
      <c r="R44" s="530"/>
      <c r="S44" s="530"/>
      <c r="T44" s="530"/>
      <c r="U44" s="530"/>
      <c r="V44" s="530"/>
      <c r="W44" s="544"/>
      <c r="X44" s="532"/>
      <c r="Y44" s="498"/>
      <c r="Z44" s="499"/>
      <c r="AA44" s="352"/>
    </row>
    <row r="45" spans="1:44" ht="16.5" customHeight="1">
      <c r="A45" s="489"/>
      <c r="B45" s="516"/>
      <c r="C45" s="517"/>
      <c r="D45" s="492"/>
      <c r="E45" s="514"/>
      <c r="F45" s="515"/>
      <c r="G45" s="556"/>
      <c r="H45" s="556"/>
      <c r="I45" s="556"/>
      <c r="J45" s="556"/>
      <c r="K45" s="556"/>
      <c r="L45" s="556"/>
      <c r="M45" s="556"/>
      <c r="N45" s="556"/>
      <c r="O45" s="556"/>
      <c r="P45" s="556"/>
      <c r="Q45" s="556"/>
      <c r="R45" s="556"/>
      <c r="S45" s="556"/>
      <c r="T45" s="556"/>
      <c r="U45" s="556"/>
      <c r="V45" s="556"/>
      <c r="W45" s="557"/>
      <c r="X45" s="558"/>
      <c r="Y45" s="498"/>
      <c r="Z45" s="499"/>
      <c r="AA45" s="12"/>
    </row>
    <row r="46" spans="1:44" ht="16.5" customHeight="1">
      <c r="A46" s="489"/>
      <c r="B46" s="490"/>
      <c r="C46" s="491"/>
      <c r="D46" s="492"/>
      <c r="E46" s="493"/>
      <c r="F46" s="494"/>
      <c r="G46" s="530"/>
      <c r="H46" s="530"/>
      <c r="I46" s="530"/>
      <c r="J46" s="530"/>
      <c r="K46" s="530"/>
      <c r="L46" s="530"/>
      <c r="M46" s="530"/>
      <c r="N46" s="530"/>
      <c r="O46" s="530"/>
      <c r="P46" s="530"/>
      <c r="Q46" s="530"/>
      <c r="R46" s="530"/>
      <c r="S46" s="530"/>
      <c r="T46" s="530"/>
      <c r="U46" s="530"/>
      <c r="V46" s="530"/>
      <c r="W46" s="544"/>
      <c r="X46" s="532"/>
      <c r="Y46" s="498"/>
      <c r="Z46" s="499"/>
      <c r="AA46" s="12"/>
    </row>
    <row r="47" spans="1:44" ht="16.5" customHeight="1">
      <c r="A47" s="489" t="s">
        <v>1017</v>
      </c>
      <c r="B47" s="490"/>
      <c r="C47" s="491">
        <v>0</v>
      </c>
      <c r="D47" s="492" t="s">
        <v>1018</v>
      </c>
      <c r="E47" s="493">
        <f>SUM('13-Miscellaneous'!K41)</f>
        <v>0</v>
      </c>
      <c r="F47" s="494"/>
      <c r="G47" s="530">
        <f>'13-Miscellaneous'!Q41</f>
        <v>0</v>
      </c>
      <c r="H47" s="530"/>
      <c r="I47" s="530"/>
      <c r="J47" s="530"/>
      <c r="K47" s="530">
        <f>'13-Miscellaneous'!S41</f>
        <v>0</v>
      </c>
      <c r="L47" s="530"/>
      <c r="M47" s="530">
        <f>'13-Miscellaneous'!R41</f>
        <v>0</v>
      </c>
      <c r="N47" s="530"/>
      <c r="O47" s="530"/>
      <c r="P47" s="530"/>
      <c r="Q47" s="530">
        <f>'13-Miscellaneous'!T41</f>
        <v>0</v>
      </c>
      <c r="R47" s="530">
        <f>'13-Miscellaneous'!U41</f>
        <v>0</v>
      </c>
      <c r="S47" s="530"/>
      <c r="T47" s="530">
        <f>'13-Miscellaneous'!V41</f>
        <v>0</v>
      </c>
      <c r="U47" s="530"/>
      <c r="V47" s="530"/>
      <c r="W47" s="544"/>
      <c r="X47" s="532">
        <f>SUM(G47:T47)</f>
        <v>0</v>
      </c>
      <c r="Y47" s="498">
        <f>IF(C47=0,0,1-(X47/E47))</f>
        <v>0</v>
      </c>
      <c r="Z47" s="499">
        <f>'13-Miscellaneous'!O41</f>
        <v>0</v>
      </c>
      <c r="AA47" s="352">
        <f>X47-BW73+X34</f>
        <v>0</v>
      </c>
    </row>
    <row r="48" spans="1:44" ht="16.5" customHeight="1">
      <c r="A48" s="489"/>
      <c r="B48" s="490"/>
      <c r="C48" s="517"/>
      <c r="D48" s="492"/>
      <c r="E48" s="493"/>
      <c r="F48" s="502"/>
      <c r="G48" s="530"/>
      <c r="H48" s="530"/>
      <c r="I48" s="530"/>
      <c r="J48" s="530"/>
      <c r="K48" s="530"/>
      <c r="L48" s="530"/>
      <c r="M48" s="530"/>
      <c r="N48" s="530"/>
      <c r="O48" s="530"/>
      <c r="P48" s="530"/>
      <c r="Q48" s="530"/>
      <c r="R48" s="530"/>
      <c r="S48" s="530"/>
      <c r="T48" s="530"/>
      <c r="U48" s="530"/>
      <c r="V48" s="530"/>
      <c r="W48" s="544"/>
      <c r="X48" s="532"/>
      <c r="Y48" s="498"/>
      <c r="Z48" s="499"/>
      <c r="AA48" s="12"/>
    </row>
    <row r="49" spans="1:39" ht="16.5" customHeight="1">
      <c r="A49" s="489"/>
      <c r="B49" s="490"/>
      <c r="C49" s="491"/>
      <c r="D49" s="492"/>
      <c r="E49" s="559"/>
      <c r="F49" s="502"/>
      <c r="G49" s="530"/>
      <c r="H49" s="530"/>
      <c r="I49" s="530"/>
      <c r="J49" s="530"/>
      <c r="K49" s="530"/>
      <c r="L49" s="530"/>
      <c r="M49" s="530"/>
      <c r="N49" s="530"/>
      <c r="O49" s="530"/>
      <c r="P49" s="530"/>
      <c r="Q49" s="530"/>
      <c r="R49" s="530"/>
      <c r="S49" s="530"/>
      <c r="T49" s="530"/>
      <c r="U49" s="530"/>
      <c r="V49" s="530"/>
      <c r="W49" s="544"/>
      <c r="X49" s="497"/>
      <c r="Y49" s="560"/>
      <c r="Z49" s="499"/>
      <c r="AA49" s="12"/>
    </row>
    <row r="50" spans="1:39" ht="16.5" customHeight="1">
      <c r="A50" s="489"/>
      <c r="B50" s="490"/>
      <c r="C50" s="491"/>
      <c r="D50" s="492"/>
      <c r="E50" s="559"/>
      <c r="F50" s="502"/>
      <c r="G50" s="506"/>
      <c r="H50" s="506"/>
      <c r="I50" s="506"/>
      <c r="J50" s="506"/>
      <c r="K50" s="506"/>
      <c r="L50" s="506"/>
      <c r="M50" s="506"/>
      <c r="N50" s="506"/>
      <c r="O50" s="506"/>
      <c r="P50" s="506"/>
      <c r="Q50" s="506"/>
      <c r="R50" s="506"/>
      <c r="S50" s="506"/>
      <c r="T50" s="506"/>
      <c r="U50" s="506"/>
      <c r="V50" s="506"/>
      <c r="W50" s="561"/>
      <c r="X50" s="562"/>
      <c r="Y50" s="560"/>
      <c r="Z50" s="499"/>
      <c r="AA50" s="12"/>
    </row>
    <row r="51" spans="1:39" ht="16.5" customHeight="1">
      <c r="A51" s="482"/>
      <c r="B51" s="503"/>
      <c r="C51" s="491"/>
      <c r="D51" s="12"/>
      <c r="E51" s="493"/>
      <c r="F51" s="551"/>
      <c r="G51" s="563"/>
      <c r="H51" s="563"/>
      <c r="I51" s="563"/>
      <c r="J51" s="563"/>
      <c r="K51" s="564" t="s">
        <v>1019</v>
      </c>
      <c r="L51" s="564" t="s">
        <v>998</v>
      </c>
      <c r="M51" s="563"/>
      <c r="N51" s="563"/>
      <c r="O51" s="563"/>
      <c r="P51" s="563"/>
      <c r="Q51" s="564"/>
      <c r="R51" s="564" t="s">
        <v>1020</v>
      </c>
      <c r="S51" s="564"/>
      <c r="T51" s="563"/>
      <c r="U51" s="563"/>
      <c r="V51" s="563"/>
      <c r="W51" s="565"/>
      <c r="X51" s="566"/>
      <c r="Y51" s="560"/>
      <c r="Z51" s="499"/>
      <c r="AA51" s="12"/>
      <c r="AK51" s="567" t="s">
        <v>1021</v>
      </c>
      <c r="AL51" s="568"/>
      <c r="AM51" s="569"/>
    </row>
    <row r="52" spans="1:39" ht="16.5" customHeight="1">
      <c r="A52" s="570"/>
      <c r="B52" s="503"/>
      <c r="C52" s="491"/>
      <c r="D52" s="12"/>
      <c r="E52" s="493">
        <f>E55-E54</f>
        <v>0</v>
      </c>
      <c r="F52" s="551"/>
      <c r="G52" s="506"/>
      <c r="H52" s="506"/>
      <c r="I52" s="506"/>
      <c r="J52" s="571"/>
      <c r="K52" s="572">
        <f>('01-Piers'!L53+'02-Gd Beams'!L52+'03-Walls &amp; Footings'!K56+'04-PT Slab on Grade'!L70+'05-Slabs'!L68+'06-Walls &amp; Footings'!K56+'07-COLUMNS'!K72+'08-CIP EL. DECK'!K78+'09-SLAB ON DECK'!L70+'10-PAVING'!K54+'11-Sidewalks'!K51+'13-Miscellaneous'!P41)/2000</f>
        <v>217.61430028706263</v>
      </c>
      <c r="L52" s="571"/>
      <c r="M52" s="572">
        <f>SUM(Z53)</f>
        <v>8922.3217973827159</v>
      </c>
      <c r="N52" s="571"/>
      <c r="O52" s="571"/>
      <c r="P52" s="571"/>
      <c r="Q52" s="572"/>
      <c r="R52" s="572">
        <f>R53/3150</f>
        <v>58.665067507861437</v>
      </c>
      <c r="S52" s="572"/>
      <c r="T52" s="506"/>
      <c r="U52" s="506"/>
      <c r="V52" s="506"/>
      <c r="W52" s="561"/>
      <c r="X52" s="573">
        <f>F73-X53</f>
        <v>0</v>
      </c>
      <c r="Y52" s="560"/>
      <c r="Z52" s="499">
        <v>0</v>
      </c>
      <c r="AA52" s="12"/>
      <c r="AK52" s="574" t="str">
        <f>A11</f>
        <v>01-PIERS</v>
      </c>
      <c r="AL52" s="575">
        <f>P11</f>
        <v>32040.707907950964</v>
      </c>
      <c r="AM52" s="576">
        <f>Q11</f>
        <v>0</v>
      </c>
    </row>
    <row r="53" spans="1:39" ht="16.5" customHeight="1">
      <c r="A53" s="577"/>
      <c r="B53" s="578" t="s">
        <v>1022</v>
      </c>
      <c r="C53" s="579"/>
      <c r="D53" s="580"/>
      <c r="E53" s="581">
        <f>SUM(E10:E50)</f>
        <v>4972623.5045738192</v>
      </c>
      <c r="F53" s="582"/>
      <c r="G53" s="583">
        <f t="shared" ref="G53:P53" si="8">SUM(G10:G50)-G16-G20-G29-G31-G40-G42-G18</f>
        <v>200949.94571689429</v>
      </c>
      <c r="H53" s="583">
        <f t="shared" si="8"/>
        <v>68639.647739197535</v>
      </c>
      <c r="I53" s="583">
        <f t="shared" si="8"/>
        <v>19556.305929705213</v>
      </c>
      <c r="J53" s="583">
        <f t="shared" si="8"/>
        <v>108097.962875</v>
      </c>
      <c r="K53" s="583">
        <f t="shared" si="8"/>
        <v>377542.4517244951</v>
      </c>
      <c r="L53" s="583">
        <f t="shared" si="8"/>
        <v>50712.86846702711</v>
      </c>
      <c r="M53" s="583">
        <f t="shared" si="8"/>
        <v>1695611.2097734674</v>
      </c>
      <c r="N53" s="583">
        <f t="shared" si="8"/>
        <v>59633.551840406457</v>
      </c>
      <c r="O53" s="583">
        <f t="shared" si="8"/>
        <v>194288.470806439</v>
      </c>
      <c r="P53" s="583">
        <f t="shared" si="8"/>
        <v>838864.57621023816</v>
      </c>
      <c r="Q53" s="583">
        <f>SUM(Q10:Q50)-Q16-Q20-Q29-Q31-Q40-Q42*Q18</f>
        <v>94968.776324791164</v>
      </c>
      <c r="R53" s="583">
        <f>SUM(R10:R50)-R16-R20-R29-R31-R40-R42-R18</f>
        <v>184794.96264976353</v>
      </c>
      <c r="S53" s="583">
        <f>SUM(S10:S50)-S16-S20-S29-S31-S40-S42-S18</f>
        <v>25804.929166666669</v>
      </c>
      <c r="T53" s="583">
        <f>SUM(T10:T50)-T16-T20-T29-T31-T40-T42-T18</f>
        <v>317867.96327509423</v>
      </c>
      <c r="U53" s="583">
        <f>SUM(U10:U50)-U16-U20-U29-U31-U40-U42-U18</f>
        <v>0</v>
      </c>
      <c r="V53" s="583">
        <f>SUM(V10:V52)</f>
        <v>0</v>
      </c>
      <c r="W53" s="584"/>
      <c r="X53" s="585">
        <f>SUM(X11:X51)</f>
        <v>4237319.9300716072</v>
      </c>
      <c r="Y53" s="586" t="s">
        <v>1023</v>
      </c>
      <c r="Z53" s="587">
        <f>SUM(Z10:Z52)</f>
        <v>8922.3217973827159</v>
      </c>
      <c r="AA53" s="588">
        <f>E53-X53</f>
        <v>735303.574502212</v>
      </c>
      <c r="AK53" s="574" t="str">
        <f>A12</f>
        <v>02-GRADE BEAMS</v>
      </c>
      <c r="AL53" s="575">
        <f>P12</f>
        <v>0</v>
      </c>
      <c r="AM53" s="576">
        <f>Q12</f>
        <v>0</v>
      </c>
    </row>
    <row r="54" spans="1:39" ht="16.5" customHeight="1">
      <c r="A54" s="589"/>
      <c r="B54" s="589"/>
      <c r="C54" s="590" t="s">
        <v>1024</v>
      </c>
      <c r="D54" s="591"/>
      <c r="E54" s="592">
        <f>X56*(1+P60+P59)</f>
        <v>0</v>
      </c>
      <c r="F54" s="593"/>
      <c r="G54" s="594">
        <f t="shared" ref="G54:U54" si="9">IF($E$53=0,0,G53/$E53)</f>
        <v>4.0411252839081931E-2</v>
      </c>
      <c r="H54" s="594">
        <f t="shared" si="9"/>
        <v>1.3803507881918425E-2</v>
      </c>
      <c r="I54" s="594">
        <f t="shared" si="9"/>
        <v>3.9327944115852172E-3</v>
      </c>
      <c r="J54" s="594">
        <f t="shared" si="9"/>
        <v>2.1738618010306125E-2</v>
      </c>
      <c r="K54" s="594">
        <f t="shared" si="9"/>
        <v>7.592419803695806E-2</v>
      </c>
      <c r="L54" s="594">
        <f t="shared" si="9"/>
        <v>1.0198413055076743E-2</v>
      </c>
      <c r="M54" s="594">
        <f t="shared" si="9"/>
        <v>0.34098926013880682</v>
      </c>
      <c r="N54" s="594">
        <f t="shared" si="9"/>
        <v>1.199237219257712E-2</v>
      </c>
      <c r="O54" s="594">
        <f t="shared" si="9"/>
        <v>3.9071622982864568E-2</v>
      </c>
      <c r="P54" s="594">
        <f t="shared" si="9"/>
        <v>0.16869657946929834</v>
      </c>
      <c r="Q54" s="594">
        <f t="shared" si="9"/>
        <v>1.9098324302541481E-2</v>
      </c>
      <c r="R54" s="594">
        <f t="shared" si="9"/>
        <v>3.7162468157862567E-2</v>
      </c>
      <c r="S54" s="594">
        <f t="shared" si="9"/>
        <v>5.189399346829957E-3</v>
      </c>
      <c r="T54" s="594">
        <f t="shared" si="9"/>
        <v>6.3923593447748311E-2</v>
      </c>
      <c r="U54" s="594">
        <f t="shared" si="9"/>
        <v>0</v>
      </c>
      <c r="V54" s="594"/>
      <c r="W54" s="594"/>
      <c r="X54" s="595">
        <f>SUM(G54:W54)</f>
        <v>0.85213240427345571</v>
      </c>
      <c r="Y54" s="596" t="s">
        <v>1025</v>
      </c>
      <c r="Z54" s="597">
        <f>IF(Z53=0,0,E53/Z53)</f>
        <v>557.32393624633607</v>
      </c>
      <c r="AA54" s="268"/>
      <c r="AK54" s="574" t="str">
        <f>A14</f>
        <v>03-WALL\FOOTINGS</v>
      </c>
      <c r="AL54" s="575">
        <f>P14</f>
        <v>0</v>
      </c>
      <c r="AM54" s="576">
        <f>Q14</f>
        <v>0</v>
      </c>
    </row>
    <row r="55" spans="1:39" ht="16.5" customHeight="1">
      <c r="A55" s="598" t="s">
        <v>1026</v>
      </c>
      <c r="B55" s="599"/>
      <c r="C55" s="600"/>
      <c r="D55" s="2901">
        <f>E53+E54</f>
        <v>4972623.5045738192</v>
      </c>
      <c r="E55" s="2901"/>
      <c r="F55" s="593"/>
      <c r="G55" s="594"/>
      <c r="H55" s="594"/>
      <c r="I55" s="594"/>
      <c r="J55" s="594"/>
      <c r="K55" s="594"/>
      <c r="L55" s="594"/>
      <c r="M55" s="594"/>
      <c r="N55" s="594"/>
      <c r="O55" s="594"/>
      <c r="P55" s="594"/>
      <c r="Q55" s="594"/>
      <c r="R55" s="594"/>
      <c r="S55" s="594"/>
      <c r="T55" s="594"/>
      <c r="U55" s="594"/>
      <c r="V55" s="594"/>
      <c r="W55" s="594"/>
      <c r="X55" s="601">
        <f>X53-X52</f>
        <v>4237319.9300716072</v>
      </c>
      <c r="Y55" s="596"/>
      <c r="Z55" s="597"/>
      <c r="AA55" s="268"/>
      <c r="AK55" s="574" t="str">
        <f>A15</f>
        <v>04-PT SLABS</v>
      </c>
      <c r="AL55" s="575">
        <f>P15</f>
        <v>131779.34226887659</v>
      </c>
      <c r="AM55" s="576">
        <f>Q15</f>
        <v>0</v>
      </c>
    </row>
    <row r="56" spans="1:39" ht="16.5" customHeight="1">
      <c r="A56" s="396" t="s">
        <v>1027</v>
      </c>
      <c r="B56" s="591"/>
      <c r="C56" s="602"/>
      <c r="D56" s="448"/>
      <c r="E56" s="603"/>
      <c r="F56" s="593"/>
      <c r="G56" s="594"/>
      <c r="H56" s="594"/>
      <c r="I56" s="594"/>
      <c r="J56" s="594"/>
      <c r="K56" s="594"/>
      <c r="L56" s="594"/>
      <c r="M56" s="594"/>
      <c r="N56" s="594"/>
      <c r="O56" s="594" t="s">
        <v>1028</v>
      </c>
      <c r="P56" s="604" t="s">
        <v>1029</v>
      </c>
      <c r="Q56" s="594"/>
      <c r="R56" s="594"/>
      <c r="S56" s="594"/>
      <c r="T56" s="605" t="s">
        <v>1030</v>
      </c>
      <c r="U56" s="605"/>
      <c r="V56" s="605"/>
      <c r="W56" s="591"/>
      <c r="X56" s="592">
        <f>IF(P56="y",IF(E53&lt;100000,E53*0.025,2500)+IF(E53&gt;100000,(-100000+E53)*0.015,0)+IF(E53&gt;500000,(-500000+E53)*0.01,0),0)</f>
        <v>0</v>
      </c>
      <c r="Y56" s="596"/>
      <c r="Z56" s="597"/>
      <c r="AA56" s="268"/>
      <c r="AK56" s="574" t="str">
        <f>A19</f>
        <v>05-SLABS</v>
      </c>
      <c r="AL56" s="575">
        <f>P19</f>
        <v>0</v>
      </c>
      <c r="AM56" s="576">
        <f>Q19</f>
        <v>0</v>
      </c>
    </row>
    <row r="57" spans="1:39" ht="16.5" customHeight="1">
      <c r="A57" s="605" t="s">
        <v>1031</v>
      </c>
      <c r="B57" s="2783"/>
      <c r="C57" s="2783"/>
      <c r="D57" s="606"/>
      <c r="E57" s="607">
        <f>B57-D55</f>
        <v>-4972623.5045738192</v>
      </c>
      <c r="F57" s="593"/>
      <c r="G57" s="594"/>
      <c r="H57" s="608" t="s">
        <v>1032</v>
      </c>
      <c r="I57" s="609" t="s">
        <v>1033</v>
      </c>
      <c r="J57" s="610"/>
      <c r="K57" s="610"/>
      <c r="L57" s="611">
        <f>(P53+Q53+R53)*0.025</f>
        <v>27965.707879619818</v>
      </c>
      <c r="M57" s="612">
        <f t="shared" ref="M57:M62" si="10">IF(L57=0,0,L57/D$55)</f>
        <v>5.6239342982425597E-3</v>
      </c>
      <c r="N57" s="594"/>
      <c r="O57" s="594"/>
      <c r="P57" s="594"/>
      <c r="Q57" s="594"/>
      <c r="R57" s="594"/>
      <c r="S57" s="594"/>
      <c r="T57" s="613" t="s">
        <v>980</v>
      </c>
      <c r="U57" s="613"/>
      <c r="V57" s="613"/>
      <c r="W57" s="594"/>
      <c r="X57" s="614">
        <f>X56+X53</f>
        <v>4237319.9300716072</v>
      </c>
      <c r="Y57" s="596"/>
      <c r="Z57" s="597"/>
      <c r="AA57" s="268"/>
      <c r="AK57" s="574" t="str">
        <f>A22</f>
        <v>06-WALLS</v>
      </c>
      <c r="AL57" s="575">
        <f>P22</f>
        <v>83022.966425389284</v>
      </c>
      <c r="AM57" s="576">
        <f>Q22</f>
        <v>0</v>
      </c>
    </row>
    <row r="58" spans="1:39" ht="16.5" customHeight="1">
      <c r="A58" s="615"/>
      <c r="B58" s="2902"/>
      <c r="C58" s="2902"/>
      <c r="D58" s="448"/>
      <c r="E58" s="616"/>
      <c r="F58" s="617"/>
      <c r="G58" s="617"/>
      <c r="H58" s="618"/>
      <c r="I58" s="619" t="s">
        <v>1034</v>
      </c>
      <c r="J58" s="620"/>
      <c r="K58" s="620"/>
      <c r="L58" s="621">
        <f>SUM(G53:N53)</f>
        <v>2580743.944066193</v>
      </c>
      <c r="M58" s="622">
        <f t="shared" si="10"/>
        <v>0.5189904165663104</v>
      </c>
      <c r="N58" s="617"/>
      <c r="O58" s="617"/>
      <c r="P58" s="623" t="s">
        <v>981</v>
      </c>
      <c r="Q58" s="624" t="s">
        <v>995</v>
      </c>
      <c r="R58" s="624"/>
      <c r="S58" s="624"/>
      <c r="T58" s="617"/>
      <c r="U58" s="617"/>
      <c r="V58" s="617"/>
      <c r="W58" s="617"/>
      <c r="X58" s="500">
        <f>AA120</f>
        <v>0</v>
      </c>
      <c r="Y58" s="625"/>
      <c r="Z58" s="411"/>
      <c r="AA58" s="12"/>
      <c r="AK58" s="574" t="str">
        <f>A26</f>
        <v>07-COLUMNS</v>
      </c>
      <c r="AL58" s="575">
        <f>P26</f>
        <v>43913.831172292499</v>
      </c>
      <c r="AM58" s="576">
        <f>Q26</f>
        <v>0</v>
      </c>
    </row>
    <row r="59" spans="1:39" ht="16.5" customHeight="1">
      <c r="A59" s="626"/>
      <c r="B59" s="2903"/>
      <c r="C59" s="2903"/>
      <c r="D59" s="626"/>
      <c r="E59" s="628"/>
      <c r="F59" s="617"/>
      <c r="G59" s="617"/>
      <c r="H59" s="617"/>
      <c r="I59" s="629" t="s">
        <v>1035</v>
      </c>
      <c r="J59" s="501"/>
      <c r="K59" s="501"/>
      <c r="L59" s="630">
        <f>Q53</f>
        <v>94968.776324791164</v>
      </c>
      <c r="M59" s="631">
        <f t="shared" si="10"/>
        <v>1.9098324302541481E-2</v>
      </c>
      <c r="N59" s="617"/>
      <c r="O59" s="632" t="s">
        <v>1036</v>
      </c>
      <c r="P59" s="633">
        <v>0.18</v>
      </c>
      <c r="Q59" s="2904">
        <f>L63/(P59)*P59+Q60</f>
        <v>735289.88207463361</v>
      </c>
      <c r="R59" s="2904"/>
      <c r="S59" s="511"/>
      <c r="T59" s="380"/>
      <c r="U59" s="2905" t="s">
        <v>1037</v>
      </c>
      <c r="V59" s="2905"/>
      <c r="W59" s="380"/>
      <c r="X59" s="625"/>
      <c r="Y59" s="402"/>
      <c r="Z59" s="126"/>
      <c r="AK59" s="574" t="str">
        <f>A28</f>
        <v>08-CIP ELEV.   SLAB</v>
      </c>
      <c r="AL59" s="575">
        <f>P28</f>
        <v>251654.72843572876</v>
      </c>
      <c r="AM59" s="576">
        <f>Q28</f>
        <v>0</v>
      </c>
    </row>
    <row r="60" spans="1:39" ht="16.5" customHeight="1">
      <c r="A60" s="626"/>
      <c r="B60" s="626"/>
      <c r="C60" s="634"/>
      <c r="E60" s="635"/>
      <c r="F60" s="617"/>
      <c r="G60" s="617"/>
      <c r="H60" s="617"/>
      <c r="I60" s="629" t="s">
        <v>1038</v>
      </c>
      <c r="J60" s="501"/>
      <c r="K60" s="501"/>
      <c r="L60" s="630">
        <f>P53+O53</f>
        <v>1033153.0470166772</v>
      </c>
      <c r="M60" s="631">
        <f t="shared" si="10"/>
        <v>0.20776820245216293</v>
      </c>
      <c r="N60" s="617"/>
      <c r="O60" s="636" t="s">
        <v>1039</v>
      </c>
      <c r="P60" s="637">
        <v>0</v>
      </c>
      <c r="Q60" s="2906">
        <f>'01-Piers'!G84+'02-Gd Beams'!G91+'03-Walls &amp; Footings'!F96+'04-PT Slab on Grade'!G110+'05-Slabs'!G110+'06-Walls &amp; Footings'!F96+'07-COLUMNS'!F110+'08-CIP EL. DECK'!F119+'09-SLAB ON DECK'!G110+'10-PAVING'!F91+'11-Sidewalks'!N88+'13-Miscellaneous'!Y43</f>
        <v>0</v>
      </c>
      <c r="R60" s="2906"/>
      <c r="S60" s="511"/>
      <c r="T60" s="617"/>
      <c r="U60" s="638" t="s">
        <v>1040</v>
      </c>
      <c r="V60" s="639" t="s">
        <v>1041</v>
      </c>
      <c r="W60" s="617"/>
      <c r="X60" s="625"/>
      <c r="Y60" s="402"/>
      <c r="Z60" s="126"/>
      <c r="AK60" s="574" t="str">
        <f>A30</f>
        <v>09-SLAB ON DECK</v>
      </c>
      <c r="AL60" s="575">
        <f>P30</f>
        <v>0</v>
      </c>
      <c r="AM60" s="576">
        <f>Q30</f>
        <v>0</v>
      </c>
    </row>
    <row r="61" spans="1:39" ht="16.5" customHeight="1">
      <c r="A61" s="396"/>
      <c r="B61" s="591"/>
      <c r="C61" s="591"/>
      <c r="D61" s="626"/>
      <c r="E61" s="626"/>
      <c r="F61" s="617"/>
      <c r="G61" s="617"/>
      <c r="H61" s="617"/>
      <c r="I61" s="629" t="s">
        <v>1042</v>
      </c>
      <c r="J61" s="501"/>
      <c r="K61" s="501"/>
      <c r="L61" s="630">
        <f>U53+T53+R53+S53</f>
        <v>528467.85509152443</v>
      </c>
      <c r="M61" s="631">
        <f t="shared" si="10"/>
        <v>0.10627546095244084</v>
      </c>
      <c r="N61" s="640"/>
      <c r="O61" s="641" t="s">
        <v>1043</v>
      </c>
      <c r="P61" s="642">
        <f>P59-P60</f>
        <v>0.18</v>
      </c>
      <c r="Q61" s="2907">
        <f>Q59-Q60</f>
        <v>735289.88207463361</v>
      </c>
      <c r="R61" s="2907"/>
      <c r="S61" s="643"/>
      <c r="T61" s="617"/>
      <c r="U61" s="638" t="s">
        <v>1044</v>
      </c>
      <c r="V61" s="639" t="s">
        <v>1041</v>
      </c>
      <c r="W61" s="617"/>
      <c r="X61" s="625"/>
      <c r="Y61" s="402"/>
      <c r="Z61" s="126"/>
      <c r="AK61" s="574" t="str">
        <f>A32</f>
        <v>12-TILT PANELS</v>
      </c>
      <c r="AL61" s="575">
        <f>P32</f>
        <v>0</v>
      </c>
      <c r="AM61" s="576">
        <f>Q32</f>
        <v>94965.613334738722</v>
      </c>
    </row>
    <row r="62" spans="1:39" ht="16.5" customHeight="1">
      <c r="A62" s="396"/>
      <c r="B62" s="591"/>
      <c r="C62" s="591"/>
      <c r="D62" s="448"/>
      <c r="E62" s="617"/>
      <c r="F62" s="617"/>
      <c r="G62" s="617"/>
      <c r="H62" s="617"/>
      <c r="I62" s="644" t="s">
        <v>1045</v>
      </c>
      <c r="J62" s="645"/>
      <c r="K62" s="645"/>
      <c r="L62" s="646">
        <f>G131</f>
        <v>0</v>
      </c>
      <c r="M62" s="647">
        <f t="shared" si="10"/>
        <v>0</v>
      </c>
      <c r="N62" s="617"/>
      <c r="O62" s="648" t="s">
        <v>1046</v>
      </c>
      <c r="P62" s="649" t="s">
        <v>1047</v>
      </c>
      <c r="Q62" s="650" t="s">
        <v>1048</v>
      </c>
      <c r="R62" s="651">
        <v>8.2500000000000004E-2</v>
      </c>
      <c r="S62" s="652"/>
      <c r="T62" s="617"/>
      <c r="U62" s="617"/>
      <c r="V62" s="617"/>
      <c r="W62" s="617"/>
      <c r="X62" s="625"/>
      <c r="Y62" s="402"/>
      <c r="Z62" s="126"/>
      <c r="AK62" s="574" t="str">
        <f>A38</f>
        <v>SITEWORK</v>
      </c>
      <c r="AL62" s="575">
        <f>P38</f>
        <v>0</v>
      </c>
      <c r="AM62" s="576">
        <f>Q38</f>
        <v>0</v>
      </c>
    </row>
    <row r="63" spans="1:39" ht="16.5" customHeight="1">
      <c r="A63" s="653"/>
      <c r="B63" s="654"/>
      <c r="C63" s="654"/>
      <c r="D63" s="655"/>
      <c r="E63" s="656"/>
      <c r="F63" s="656"/>
      <c r="G63" s="656"/>
      <c r="H63" s="656"/>
      <c r="I63" s="657" t="s">
        <v>1049</v>
      </c>
      <c r="J63" s="658"/>
      <c r="K63" s="658"/>
      <c r="L63" s="659">
        <f>D55-SUM(L58:L62)</f>
        <v>735289.88207463361</v>
      </c>
      <c r="M63" s="660">
        <f>1-SUM(M57:M62)</f>
        <v>0.1422436614283018</v>
      </c>
      <c r="N63" s="656"/>
      <c r="O63" s="656"/>
      <c r="P63" s="656"/>
      <c r="Q63" s="2908">
        <f>SUM(Q59:R62)</f>
        <v>1470579.8466492672</v>
      </c>
      <c r="R63" s="2908"/>
      <c r="S63" s="661"/>
      <c r="T63" s="656"/>
      <c r="U63" s="656"/>
      <c r="V63" s="656"/>
      <c r="W63" s="656"/>
      <c r="X63" s="662"/>
      <c r="Y63" s="654"/>
      <c r="Z63" s="139"/>
      <c r="AK63" s="574" t="str">
        <f>A39</f>
        <v>10-PAVING</v>
      </c>
      <c r="AL63" s="575">
        <f>P39</f>
        <v>272703</v>
      </c>
      <c r="AM63" s="576">
        <f>Q39</f>
        <v>0</v>
      </c>
    </row>
    <row r="64" spans="1:39">
      <c r="A64" s="626"/>
      <c r="B64" s="402"/>
      <c r="C64" s="402"/>
      <c r="D64" s="433"/>
      <c r="E64" s="617"/>
      <c r="F64" s="617"/>
      <c r="G64" s="617"/>
      <c r="H64" s="617"/>
      <c r="I64" s="617"/>
      <c r="J64" s="617"/>
      <c r="K64" s="617"/>
      <c r="L64" s="601">
        <f>D55-SUM(L57:L62)</f>
        <v>707324.17419501394</v>
      </c>
      <c r="M64" s="601">
        <f>L63-L64</f>
        <v>27965.707879619673</v>
      </c>
      <c r="N64" s="617"/>
      <c r="O64" s="617"/>
      <c r="P64" s="617"/>
      <c r="Q64" s="617"/>
      <c r="R64" s="617"/>
      <c r="S64" s="663"/>
      <c r="T64" s="663"/>
      <c r="U64" s="663"/>
      <c r="V64" s="625"/>
      <c r="W64" s="402"/>
      <c r="X64" s="12"/>
      <c r="AK64" s="574" t="str">
        <f>A41</f>
        <v>11-SIDEWALKS</v>
      </c>
      <c r="AL64" s="575">
        <f>P41</f>
        <v>23750</v>
      </c>
      <c r="AM64" s="576">
        <f>Q41</f>
        <v>0</v>
      </c>
    </row>
    <row r="65" spans="1:79">
      <c r="A65" s="626"/>
      <c r="B65" s="402" t="s">
        <v>1050</v>
      </c>
      <c r="C65" s="402"/>
      <c r="D65" s="433"/>
      <c r="E65" s="601">
        <f>G83+G85+G80</f>
        <v>143455.11723349307</v>
      </c>
      <c r="F65" s="617"/>
      <c r="G65" s="617"/>
      <c r="H65" s="617"/>
      <c r="I65" s="617"/>
      <c r="J65" s="617"/>
      <c r="K65" s="617"/>
      <c r="L65" s="617"/>
      <c r="M65" s="617"/>
      <c r="N65" s="617"/>
      <c r="O65" s="617"/>
      <c r="P65" s="617"/>
      <c r="Q65" s="601">
        <f>L63/P59</f>
        <v>4084943.7893035202</v>
      </c>
      <c r="R65" s="617"/>
      <c r="S65" s="617"/>
      <c r="T65" s="617"/>
      <c r="U65" s="617"/>
      <c r="V65" s="625"/>
      <c r="W65" s="402"/>
      <c r="X65" s="12"/>
      <c r="AK65" s="574" t="str">
        <f>A47</f>
        <v>13-MISCELLANEOUS</v>
      </c>
      <c r="AL65" s="575">
        <f>P47</f>
        <v>0</v>
      </c>
      <c r="AM65" s="576">
        <f>Q47</f>
        <v>0</v>
      </c>
    </row>
    <row r="66" spans="1:79">
      <c r="A66" s="626"/>
      <c r="B66" s="402"/>
      <c r="C66" s="402"/>
      <c r="D66" s="433"/>
      <c r="E66" s="617"/>
      <c r="F66" s="617"/>
      <c r="G66" s="617"/>
      <c r="H66" s="617"/>
      <c r="I66" s="617"/>
      <c r="J66" s="617"/>
      <c r="K66" s="617"/>
      <c r="L66" s="617"/>
      <c r="M66" s="617"/>
      <c r="N66" s="617"/>
      <c r="O66" s="617"/>
      <c r="P66" s="617"/>
      <c r="Q66" s="617"/>
      <c r="R66" s="617"/>
      <c r="S66" s="617"/>
      <c r="T66" s="617"/>
      <c r="U66" s="617"/>
      <c r="V66" s="625"/>
      <c r="W66" s="402"/>
      <c r="X66" s="12"/>
      <c r="AK66" s="577"/>
      <c r="AL66" s="664"/>
      <c r="AM66" s="665"/>
    </row>
    <row r="67" spans="1:79">
      <c r="A67" s="626"/>
      <c r="B67" s="402"/>
      <c r="C67" s="402"/>
      <c r="D67" s="433"/>
      <c r="E67" s="617"/>
      <c r="F67" s="617"/>
      <c r="G67" s="617"/>
      <c r="H67" s="617"/>
      <c r="I67" s="617"/>
      <c r="J67" s="617"/>
      <c r="K67" s="617"/>
      <c r="L67" s="617"/>
      <c r="M67" s="617"/>
      <c r="N67" s="666">
        <f>P59*P59</f>
        <v>3.2399999999999998E-2</v>
      </c>
      <c r="O67" s="617"/>
      <c r="P67" s="617"/>
      <c r="Q67" s="617"/>
      <c r="R67" s="617"/>
      <c r="S67" s="617"/>
      <c r="T67" s="617"/>
      <c r="U67" s="617"/>
      <c r="V67" s="625"/>
      <c r="W67" s="402"/>
      <c r="X67" s="12"/>
    </row>
    <row r="68" spans="1:79">
      <c r="A68" s="626"/>
      <c r="B68" s="402"/>
      <c r="C68" s="402"/>
      <c r="D68" s="433"/>
      <c r="E68" s="617"/>
      <c r="F68" s="617"/>
      <c r="G68" s="617"/>
      <c r="H68" s="617"/>
      <c r="I68" s="617"/>
      <c r="J68" s="617"/>
      <c r="K68" s="617"/>
      <c r="L68" s="617"/>
      <c r="M68" s="617"/>
      <c r="N68" s="617"/>
      <c r="O68" s="617"/>
      <c r="P68" s="617"/>
      <c r="Q68" s="617"/>
      <c r="R68" s="617"/>
      <c r="S68" s="617"/>
      <c r="T68" s="617"/>
      <c r="U68" s="617"/>
      <c r="V68" s="625"/>
      <c r="W68" s="402"/>
      <c r="X68" s="12"/>
    </row>
    <row r="69" spans="1:79">
      <c r="A69" s="626"/>
      <c r="B69" s="402"/>
      <c r="C69" s="667" t="s">
        <v>2</v>
      </c>
      <c r="D69" s="668">
        <v>0</v>
      </c>
      <c r="E69" s="669"/>
      <c r="F69" s="670"/>
      <c r="G69" s="670"/>
      <c r="H69" s="671"/>
      <c r="I69" s="626"/>
      <c r="J69" s="617"/>
      <c r="K69" s="617"/>
      <c r="L69" s="617"/>
      <c r="M69" s="617"/>
      <c r="N69" s="617"/>
      <c r="O69" s="617"/>
      <c r="P69" s="617"/>
      <c r="Q69" s="617"/>
      <c r="R69" s="617"/>
      <c r="S69" s="617"/>
      <c r="T69" s="617"/>
      <c r="U69" s="617"/>
      <c r="V69" s="625"/>
      <c r="W69" s="402"/>
      <c r="X69" s="12"/>
    </row>
    <row r="70" spans="1:79">
      <c r="A70" s="626"/>
      <c r="B70" s="402"/>
      <c r="C70" s="667" t="s">
        <v>1051</v>
      </c>
      <c r="D70" s="668">
        <v>0</v>
      </c>
      <c r="E70" s="669"/>
      <c r="F70" s="670"/>
      <c r="G70" s="670"/>
      <c r="H70" s="671"/>
      <c r="I70" s="626"/>
      <c r="J70" s="617"/>
      <c r="K70" s="617"/>
      <c r="L70" s="617"/>
      <c r="M70" s="617"/>
      <c r="N70" s="617"/>
      <c r="O70" s="617"/>
      <c r="P70" s="617"/>
      <c r="Q70" s="617"/>
      <c r="R70" s="617"/>
      <c r="S70" s="617"/>
      <c r="T70" s="617"/>
      <c r="U70" s="617"/>
      <c r="V70" s="625"/>
      <c r="W70" s="402"/>
      <c r="X70" s="12"/>
    </row>
    <row r="71" spans="1:79">
      <c r="A71" s="626"/>
      <c r="B71" s="402"/>
      <c r="C71" s="672" t="s">
        <v>1052</v>
      </c>
      <c r="D71" s="673">
        <v>0</v>
      </c>
      <c r="E71" s="12"/>
      <c r="H71" s="674"/>
      <c r="I71" s="626"/>
      <c r="J71" s="617"/>
      <c r="K71" s="617"/>
      <c r="L71" s="617"/>
      <c r="M71" s="617"/>
      <c r="N71" s="617"/>
      <c r="O71" s="617"/>
      <c r="P71" s="617"/>
      <c r="Q71" s="617"/>
      <c r="R71" s="617"/>
      <c r="S71" s="617"/>
      <c r="T71" s="617"/>
      <c r="U71" s="617"/>
      <c r="V71" s="625"/>
      <c r="W71" s="402"/>
      <c r="X71" s="12"/>
    </row>
    <row r="72" spans="1:79" ht="19.5" customHeight="1">
      <c r="A72" s="626"/>
      <c r="B72" s="402"/>
      <c r="C72" s="675" t="s">
        <v>1053</v>
      </c>
      <c r="D72" s="676" t="s">
        <v>1054</v>
      </c>
      <c r="E72" s="168"/>
      <c r="F72" s="2909">
        <f>X57-F73</f>
        <v>0</v>
      </c>
      <c r="G72" s="2909"/>
      <c r="H72" s="677" t="s">
        <v>1055</v>
      </c>
      <c r="I72" s="678" t="s">
        <v>834</v>
      </c>
      <c r="J72" s="168"/>
      <c r="K72" s="679">
        <f>'01-Piers'!T42-K73</f>
        <v>0</v>
      </c>
      <c r="L72" s="680" t="s">
        <v>1055</v>
      </c>
      <c r="M72" s="681" t="s">
        <v>1056</v>
      </c>
      <c r="N72" s="387"/>
      <c r="O72" s="682">
        <f>O73-'02-Gd Beams'!E101</f>
        <v>0</v>
      </c>
      <c r="P72" s="680" t="s">
        <v>1055</v>
      </c>
      <c r="Q72" s="683" t="s">
        <v>1057</v>
      </c>
      <c r="R72" s="387"/>
      <c r="S72" s="682">
        <f>S73-'04-PT Slab on Grade Wrap'!V114-W73</f>
        <v>-706113.87031953549</v>
      </c>
      <c r="T72" s="684" t="s">
        <v>1053</v>
      </c>
      <c r="U72" s="685" t="s">
        <v>1058</v>
      </c>
      <c r="V72" s="686"/>
      <c r="W72" s="687">
        <f>'04-PT Slab on Grade'!V114-W73</f>
        <v>0</v>
      </c>
      <c r="X72" s="680" t="s">
        <v>1053</v>
      </c>
      <c r="Y72" s="681" t="s">
        <v>1059</v>
      </c>
      <c r="Z72" s="387"/>
      <c r="AA72" s="682">
        <f>'05-Slabs'!V114-AA73</f>
        <v>0</v>
      </c>
      <c r="AB72" s="684" t="s">
        <v>1055</v>
      </c>
      <c r="AC72" s="688" t="s">
        <v>1060</v>
      </c>
      <c r="AD72" s="686"/>
      <c r="AE72" s="689">
        <f>AE73-'03-Walls &amp; Footings'!D104</f>
        <v>0</v>
      </c>
      <c r="AF72" s="684" t="s">
        <v>1055</v>
      </c>
      <c r="AG72" s="688" t="s">
        <v>1061</v>
      </c>
      <c r="AH72" s="686"/>
      <c r="AI72" s="689">
        <f>AI73-'06-Walls &amp; Footings'!D104</f>
        <v>0</v>
      </c>
      <c r="AJ72" s="684" t="s">
        <v>1055</v>
      </c>
      <c r="AK72" s="688" t="s">
        <v>1060</v>
      </c>
      <c r="AL72" s="686"/>
      <c r="AM72" s="689">
        <f>AM73-'06-Walls &amp; Footings'!D104</f>
        <v>-207686.56003633293</v>
      </c>
      <c r="AN72" s="684" t="s">
        <v>1055</v>
      </c>
      <c r="AO72" s="688" t="s">
        <v>1062</v>
      </c>
      <c r="AP72" s="686"/>
      <c r="AQ72" s="689">
        <f>AQ73-'06-Walls &amp; Footings'!D104</f>
        <v>-207686.56003633293</v>
      </c>
      <c r="AR72" s="684" t="s">
        <v>1055</v>
      </c>
      <c r="AS72" s="688" t="s">
        <v>1062</v>
      </c>
      <c r="AT72" s="686"/>
      <c r="AU72" s="689">
        <f>AU73-'06-Walls &amp; Footings'!H104</f>
        <v>0</v>
      </c>
      <c r="AV72" s="680" t="s">
        <v>1055</v>
      </c>
      <c r="AW72" s="683" t="s">
        <v>877</v>
      </c>
      <c r="AX72" s="387"/>
      <c r="AY72" s="690">
        <f>AY73-'07-COLUMNS'!D119</f>
        <v>0</v>
      </c>
      <c r="AZ72" s="680" t="s">
        <v>1055</v>
      </c>
      <c r="BA72" s="681" t="s">
        <v>883</v>
      </c>
      <c r="BB72" s="387"/>
      <c r="BC72" s="690">
        <f>BB73-'08-CIP EL. DECK'!D152</f>
        <v>0</v>
      </c>
      <c r="BD72" s="680" t="s">
        <v>1055</v>
      </c>
      <c r="BE72" s="681" t="s">
        <v>1063</v>
      </c>
      <c r="BF72" s="387"/>
      <c r="BG72" s="690">
        <f>BF73-'09-SLAB ON DECK'!D118</f>
        <v>0</v>
      </c>
      <c r="BH72" s="691" t="s">
        <v>1055</v>
      </c>
      <c r="BI72" s="678" t="s">
        <v>1064</v>
      </c>
      <c r="BJ72" s="168"/>
      <c r="BK72" s="679">
        <f>BK73-'10-PAVING'!D99</f>
        <v>0</v>
      </c>
      <c r="BL72" s="691" t="s">
        <v>1055</v>
      </c>
      <c r="BM72" s="678" t="s">
        <v>1065</v>
      </c>
      <c r="BN72" s="168"/>
      <c r="BO72" s="679">
        <f>BO73-'11-Sidewalks'!D96</f>
        <v>0</v>
      </c>
      <c r="BP72" s="680" t="s">
        <v>1055</v>
      </c>
      <c r="BQ72" s="681" t="s">
        <v>1066</v>
      </c>
      <c r="BR72" s="387"/>
      <c r="BS72" s="690">
        <f>BS73-'12-PANELS'!W114</f>
        <v>0</v>
      </c>
      <c r="BT72" s="680" t="s">
        <v>1055</v>
      </c>
      <c r="BU72" s="692" t="s">
        <v>1067</v>
      </c>
      <c r="BV72" s="387"/>
      <c r="BW72" s="682">
        <f>BW73-'13-Miscellaneous'!X41</f>
        <v>0</v>
      </c>
      <c r="BX72" s="680" t="s">
        <v>1055</v>
      </c>
      <c r="BY72" s="692" t="s">
        <v>1067</v>
      </c>
      <c r="BZ72" s="387"/>
      <c r="CA72" s="682">
        <f>CA73-'13-Miscellaneous'!AB41</f>
        <v>1000</v>
      </c>
    </row>
    <row r="73" spans="1:79" ht="19.5" customHeight="1">
      <c r="A73" s="693"/>
      <c r="B73" s="694"/>
      <c r="C73" s="695">
        <v>0</v>
      </c>
      <c r="D73" s="696"/>
      <c r="E73" s="60"/>
      <c r="F73" s="2839">
        <f>SUM(G74:G131)-G107-G117</f>
        <v>4237319.9300716082</v>
      </c>
      <c r="G73" s="2839"/>
      <c r="H73" s="698" t="s">
        <v>1068</v>
      </c>
      <c r="I73" s="229"/>
      <c r="J73" s="229"/>
      <c r="K73" s="699">
        <f>SUM(K74:K131)-K107-K117</f>
        <v>292301.97361629433</v>
      </c>
      <c r="L73" s="700" t="s">
        <v>1069</v>
      </c>
      <c r="M73" s="662"/>
      <c r="N73" s="654"/>
      <c r="O73" s="699">
        <f>SUM(O74:O131)-O107-O117</f>
        <v>0</v>
      </c>
      <c r="P73" s="700" t="s">
        <v>1070</v>
      </c>
      <c r="Q73" s="662"/>
      <c r="R73" s="654"/>
      <c r="S73" s="699">
        <f>SUM(S74:S131)-S107-S117</f>
        <v>0</v>
      </c>
      <c r="T73" s="701" t="s">
        <v>1071</v>
      </c>
      <c r="U73" s="702"/>
      <c r="V73" s="702"/>
      <c r="W73" s="699">
        <f>SUM(W74:W131)-W107-W117</f>
        <v>706113.87031953549</v>
      </c>
      <c r="X73" s="700" t="s">
        <v>1072</v>
      </c>
      <c r="Y73" s="662"/>
      <c r="Z73" s="654"/>
      <c r="AA73" s="699">
        <f>SUM(AA74:AA131)-AA107-AA117</f>
        <v>0</v>
      </c>
      <c r="AB73" s="700" t="s">
        <v>1070</v>
      </c>
      <c r="AC73" s="702"/>
      <c r="AD73" s="702"/>
      <c r="AE73" s="699">
        <f>SUM(AE74:AE131)-AE107-AE117</f>
        <v>0</v>
      </c>
      <c r="AF73" s="700" t="s">
        <v>1073</v>
      </c>
      <c r="AG73" s="702"/>
      <c r="AH73" s="702"/>
      <c r="AI73" s="699">
        <f>SUM(AI74:AI131)-AI107-AI117</f>
        <v>207686.56003633293</v>
      </c>
      <c r="AJ73" s="700" t="s">
        <v>1073</v>
      </c>
      <c r="AK73" s="702"/>
      <c r="AL73" s="702"/>
      <c r="AM73" s="699">
        <f>SUM(AM74:AM131)-AM107-AM117</f>
        <v>0</v>
      </c>
      <c r="AN73" s="700" t="s">
        <v>1073</v>
      </c>
      <c r="AO73" s="702"/>
      <c r="AP73" s="702"/>
      <c r="AQ73" s="699">
        <f>SUM(AQ74:AQ131)-AQ107-AQ117</f>
        <v>0</v>
      </c>
      <c r="AR73" s="700" t="s">
        <v>1073</v>
      </c>
      <c r="AS73" s="702"/>
      <c r="AT73" s="702"/>
      <c r="AU73" s="699">
        <f>SUM(AU74:AU131)-AU107-AU117</f>
        <v>0</v>
      </c>
      <c r="AV73" s="700" t="s">
        <v>1074</v>
      </c>
      <c r="AW73" s="662"/>
      <c r="AX73" s="654"/>
      <c r="AY73" s="699">
        <f>SUM(AY74:AY131)-AY107-AY117</f>
        <v>160746.1950265432</v>
      </c>
      <c r="AZ73" s="700" t="s">
        <v>1075</v>
      </c>
      <c r="BA73" s="662"/>
      <c r="BB73" s="2867">
        <f>SUM(BC74:BC131)-BC107-BC117</f>
        <v>952052.02146429149</v>
      </c>
      <c r="BC73" s="2867">
        <f>SUM(BC74:BC127)-BC107-BC117</f>
        <v>952052.02146429149</v>
      </c>
      <c r="BD73" s="700" t="s">
        <v>1076</v>
      </c>
      <c r="BE73" s="662"/>
      <c r="BF73" s="2867">
        <f>SUM(BG74:BG131)-BG107-BG117</f>
        <v>0</v>
      </c>
      <c r="BG73" s="2867">
        <f>SUM(BG74:BG127)-BG107-BG117</f>
        <v>0</v>
      </c>
      <c r="BH73" s="698">
        <v>10</v>
      </c>
      <c r="BI73" s="229"/>
      <c r="BJ73" s="229"/>
      <c r="BK73" s="699">
        <f>SUM(BK74:BK131)-BK107-BK117</f>
        <v>1401697.714967127</v>
      </c>
      <c r="BL73" s="698">
        <v>11</v>
      </c>
      <c r="BM73" s="229"/>
      <c r="BN73" s="229"/>
      <c r="BO73" s="699">
        <f>SUM(BO74:BO131)-BO107-BO117</f>
        <v>105620.14902310118</v>
      </c>
      <c r="BP73" s="700" t="s">
        <v>1077</v>
      </c>
      <c r="BQ73" s="662"/>
      <c r="BR73" s="654"/>
      <c r="BS73" s="699">
        <f>SUM(BS74:BS131)-BS107-BS117</f>
        <v>411101.4456183812</v>
      </c>
      <c r="BT73" s="700" t="s">
        <v>1078</v>
      </c>
      <c r="BU73" s="662"/>
      <c r="BV73" s="654"/>
      <c r="BW73" s="699">
        <f>SUM(BW74:BW131)-BW107-BW117</f>
        <v>0</v>
      </c>
      <c r="BX73" s="700">
        <v>14</v>
      </c>
      <c r="BY73" s="662"/>
      <c r="BZ73" s="654"/>
      <c r="CA73" s="699">
        <f>'14-Contingency'!E43</f>
        <v>1000</v>
      </c>
    </row>
    <row r="74" spans="1:79" ht="21" customHeight="1">
      <c r="A74" s="2910" t="s">
        <v>1079</v>
      </c>
      <c r="B74" s="704">
        <v>1</v>
      </c>
      <c r="C74" s="705" t="s">
        <v>1080</v>
      </c>
      <c r="D74" s="706" t="s">
        <v>1081</v>
      </c>
      <c r="E74" s="707"/>
      <c r="F74" s="296"/>
      <c r="G74" s="708">
        <f t="shared" ref="G74:G105" si="11">K74+BK74+AI74+W74+AA74+AY74+BS74+BC74+BG74+S74+O74+BW74+BO74+AE74+AM74+AQ74+AU74</f>
        <v>0</v>
      </c>
      <c r="H74" s="709">
        <f t="shared" ref="H74:H105" si="12">C74+10000</f>
        <v>10001</v>
      </c>
      <c r="I74" s="707" t="str">
        <f t="shared" ref="I74:I105" si="13">D74</f>
        <v>General Requirements</v>
      </c>
      <c r="J74" s="296"/>
      <c r="K74" s="708">
        <f>'01-Piers'!E94</f>
        <v>0</v>
      </c>
      <c r="L74" s="709">
        <f t="shared" ref="L74:L105" si="14">C74+20000</f>
        <v>20001</v>
      </c>
      <c r="M74" s="707" t="str">
        <f t="shared" ref="M74:M85" si="15">Q74</f>
        <v>General Requirements</v>
      </c>
      <c r="N74" s="296"/>
      <c r="O74" s="708">
        <f>'02-Gd Beams'!E102</f>
        <v>0</v>
      </c>
      <c r="P74" s="709">
        <f t="shared" ref="P74:P105" si="16">C74+40000</f>
        <v>40001</v>
      </c>
      <c r="Q74" s="707" t="str">
        <f t="shared" ref="Q74:Q105" si="17">D74</f>
        <v>General Requirements</v>
      </c>
      <c r="R74" s="296"/>
      <c r="S74" s="710">
        <f>'04-PT Slab on Grade Wrap'!E120</f>
        <v>0</v>
      </c>
      <c r="T74" s="709">
        <f t="shared" ref="T74:T105" si="18">C74+40000</f>
        <v>40001</v>
      </c>
      <c r="U74" s="707" t="str">
        <f t="shared" ref="U74:U118" si="19">D74</f>
        <v>General Requirements</v>
      </c>
      <c r="V74" s="296"/>
      <c r="W74" s="710">
        <f>'04-PT Slab on Grade'!E120</f>
        <v>0</v>
      </c>
      <c r="X74" s="709">
        <f t="shared" ref="X74:X105" si="20">C74+50000</f>
        <v>50001</v>
      </c>
      <c r="Y74" s="707" t="str">
        <f t="shared" ref="Y74:Y105" si="21">D74</f>
        <v>General Requirements</v>
      </c>
      <c r="Z74" s="296"/>
      <c r="AA74" s="710">
        <f>'05-Slabs'!E120</f>
        <v>0</v>
      </c>
      <c r="AB74" s="709">
        <f t="shared" ref="AB74:AB105" si="22">C74+30000</f>
        <v>30001</v>
      </c>
      <c r="AC74" s="707" t="str">
        <f t="shared" ref="AC74:AC116" si="23">BE74</f>
        <v>General Requirements</v>
      </c>
      <c r="AD74" s="296"/>
      <c r="AE74" s="710">
        <f>'03-Walls &amp; Footings'!D105</f>
        <v>0</v>
      </c>
      <c r="AF74" s="709">
        <f t="shared" ref="AF74:AF105" si="24">C74+60000</f>
        <v>60001</v>
      </c>
      <c r="AG74" s="707" t="str">
        <f t="shared" ref="AG74:AG116" si="25">BI74</f>
        <v>General Requirements</v>
      </c>
      <c r="AH74" s="296"/>
      <c r="AI74" s="710">
        <f>'06-Walls &amp; Footings'!D105</f>
        <v>0</v>
      </c>
      <c r="AJ74" s="709">
        <f t="shared" ref="AJ74:AJ105" si="26">C74+60000</f>
        <v>60001</v>
      </c>
      <c r="AK74" s="707" t="str">
        <f t="shared" ref="AK74:AK116" si="27">BI74</f>
        <v>General Requirements</v>
      </c>
      <c r="AL74" s="296"/>
      <c r="AM74" s="710">
        <f>'06-Footings'!D105</f>
        <v>0</v>
      </c>
      <c r="AN74" s="709">
        <f t="shared" ref="AN74:AN105" si="28">C74+60000</f>
        <v>60001</v>
      </c>
      <c r="AO74" s="707" t="str">
        <f t="shared" ref="AO74:AO116" si="29">BI74</f>
        <v>General Requirements</v>
      </c>
      <c r="AP74" s="296"/>
      <c r="AQ74" s="710">
        <f>'06-Garage Walls &amp; Footings'!D105</f>
        <v>0</v>
      </c>
      <c r="AR74" s="709">
        <f t="shared" ref="AR74:AR105" si="30">G74+60000</f>
        <v>60000</v>
      </c>
      <c r="AS74" s="707" t="str">
        <f t="shared" ref="AS74:AS116" si="31">BM74</f>
        <v>General Requirements</v>
      </c>
      <c r="AT74" s="296"/>
      <c r="AU74" s="710">
        <f>'06-Garage Footings'!D105</f>
        <v>0</v>
      </c>
      <c r="AV74" s="709">
        <f t="shared" ref="AV74:AV105" si="32">C74+70000</f>
        <v>70001</v>
      </c>
      <c r="AW74" s="707" t="str">
        <f t="shared" ref="AW74:AW116" si="33">D74</f>
        <v>General Requirements</v>
      </c>
      <c r="AX74" s="296"/>
      <c r="AY74" s="708">
        <f>'07-COLUMNS'!D120</f>
        <v>0</v>
      </c>
      <c r="AZ74" s="709">
        <f t="shared" ref="AZ74:AZ105" si="34">C74+80000</f>
        <v>80001</v>
      </c>
      <c r="BA74" s="707" t="str">
        <f t="shared" ref="BA74:BA116" si="35">D74</f>
        <v>General Requirements</v>
      </c>
      <c r="BB74" s="296"/>
      <c r="BC74" s="708">
        <f>'08-CIP EL. DECK'!D153</f>
        <v>0</v>
      </c>
      <c r="BD74" s="709">
        <f t="shared" ref="BD74:BD105" si="36">C74+90000</f>
        <v>90001</v>
      </c>
      <c r="BE74" s="707" t="str">
        <f t="shared" ref="BE74:BE116" si="37">D74</f>
        <v>General Requirements</v>
      </c>
      <c r="BF74" s="296"/>
      <c r="BG74" s="708">
        <f>'09-SLAB ON DECK'!E119</f>
        <v>0</v>
      </c>
      <c r="BH74" s="709">
        <f t="shared" ref="BH74:BH105" si="38">C74+100000</f>
        <v>100001</v>
      </c>
      <c r="BI74" s="707" t="str">
        <f t="shared" ref="BI74:BI116" si="39">D74</f>
        <v>General Requirements</v>
      </c>
      <c r="BJ74" s="296"/>
      <c r="BK74" s="708">
        <f>'10-PAVING'!D100</f>
        <v>0</v>
      </c>
      <c r="BL74" s="709">
        <f t="shared" ref="BL74:BL105" si="40">C74+110000</f>
        <v>110001</v>
      </c>
      <c r="BM74" s="707" t="str">
        <f t="shared" ref="BM74:BM116" si="41">D74</f>
        <v>General Requirements</v>
      </c>
      <c r="BN74" s="296"/>
      <c r="BO74" s="708">
        <f>'11-Sidewalks'!D97</f>
        <v>0</v>
      </c>
      <c r="BP74" s="709">
        <f t="shared" ref="BP74:BP105" si="42">C74+120000</f>
        <v>120001</v>
      </c>
      <c r="BQ74" s="707" t="str">
        <f t="shared" ref="BQ74:BQ116" si="43">D74</f>
        <v>General Requirements</v>
      </c>
      <c r="BR74" s="296"/>
      <c r="BS74" s="708">
        <f>'12-PANELS'!F115</f>
        <v>0</v>
      </c>
      <c r="BT74" s="709">
        <f t="shared" ref="BT74:BT105" si="44">C74+130000</f>
        <v>130001</v>
      </c>
      <c r="BU74" s="707" t="str">
        <f t="shared" ref="BU74:BU116" si="45">M74</f>
        <v>General Requirements</v>
      </c>
      <c r="BV74" s="296"/>
      <c r="BW74" s="708">
        <f>'13-Miscellaneous'!E48</f>
        <v>0</v>
      </c>
      <c r="BX74" s="709">
        <f t="shared" ref="BX74:BX105" si="46">C74+140000</f>
        <v>140001</v>
      </c>
      <c r="BY74" s="707" t="str">
        <f t="shared" ref="BY74:BY116" si="47">Q74</f>
        <v>General Requirements</v>
      </c>
      <c r="BZ74" s="296"/>
      <c r="CA74" s="708"/>
    </row>
    <row r="75" spans="1:79" ht="21" customHeight="1">
      <c r="A75" s="2910"/>
      <c r="B75" s="402">
        <v>2</v>
      </c>
      <c r="C75" s="705" t="s">
        <v>1082</v>
      </c>
      <c r="D75" s="518" t="s">
        <v>1083</v>
      </c>
      <c r="E75" s="518"/>
      <c r="F75" s="296"/>
      <c r="G75" s="708">
        <f t="shared" si="11"/>
        <v>184460.11296127283</v>
      </c>
      <c r="H75" s="711">
        <f t="shared" si="12"/>
        <v>10002</v>
      </c>
      <c r="I75" s="518" t="str">
        <f t="shared" si="13"/>
        <v>Lumber</v>
      </c>
      <c r="J75" s="296"/>
      <c r="K75" s="708">
        <f>'01-Piers'!E95</f>
        <v>2866.2164375000007</v>
      </c>
      <c r="L75" s="709">
        <f t="shared" si="14"/>
        <v>20002</v>
      </c>
      <c r="M75" s="518" t="str">
        <f t="shared" si="15"/>
        <v>Lumber</v>
      </c>
      <c r="N75" s="296"/>
      <c r="O75" s="708">
        <f>'02-Gd Beams'!E103</f>
        <v>0</v>
      </c>
      <c r="P75" s="709">
        <f t="shared" si="16"/>
        <v>40002</v>
      </c>
      <c r="Q75" s="707" t="str">
        <f t="shared" si="17"/>
        <v>Lumber</v>
      </c>
      <c r="R75" s="296"/>
      <c r="S75" s="710">
        <f>'04-PT Slab on Grade Wrap'!E121</f>
        <v>0</v>
      </c>
      <c r="T75" s="709">
        <f t="shared" si="18"/>
        <v>40002</v>
      </c>
      <c r="U75" s="518" t="str">
        <f t="shared" si="19"/>
        <v>Lumber</v>
      </c>
      <c r="V75" s="296"/>
      <c r="W75" s="710">
        <f>'04-PT Slab on Grade'!E121</f>
        <v>27870.990682148436</v>
      </c>
      <c r="X75" s="709">
        <f t="shared" si="20"/>
        <v>50002</v>
      </c>
      <c r="Y75" s="707" t="str">
        <f t="shared" si="21"/>
        <v>Lumber</v>
      </c>
      <c r="Z75" s="296"/>
      <c r="AA75" s="710">
        <f>'05-Slabs'!E121</f>
        <v>0</v>
      </c>
      <c r="AB75" s="709">
        <f t="shared" si="22"/>
        <v>30002</v>
      </c>
      <c r="AC75" s="707" t="str">
        <f t="shared" si="23"/>
        <v>Lumber</v>
      </c>
      <c r="AD75" s="296"/>
      <c r="AE75" s="710">
        <f>'03-Walls &amp; Footings'!D106</f>
        <v>0</v>
      </c>
      <c r="AF75" s="709">
        <f t="shared" si="24"/>
        <v>60002</v>
      </c>
      <c r="AG75" s="707" t="str">
        <f t="shared" si="25"/>
        <v>Lumber</v>
      </c>
      <c r="AH75" s="296"/>
      <c r="AI75" s="710">
        <f>'06-Walls &amp; Footings'!D106</f>
        <v>26741.858712069097</v>
      </c>
      <c r="AJ75" s="709">
        <f t="shared" si="26"/>
        <v>60002</v>
      </c>
      <c r="AK75" s="707" t="str">
        <f t="shared" si="27"/>
        <v>Lumber</v>
      </c>
      <c r="AL75" s="296"/>
      <c r="AM75" s="710">
        <f>'06-Footings'!D106</f>
        <v>0</v>
      </c>
      <c r="AN75" s="709">
        <f t="shared" si="28"/>
        <v>60002</v>
      </c>
      <c r="AO75" s="707" t="str">
        <f t="shared" si="29"/>
        <v>Lumber</v>
      </c>
      <c r="AP75" s="296"/>
      <c r="AQ75" s="710">
        <f>'06-Garage Walls &amp; Footings'!D106</f>
        <v>0</v>
      </c>
      <c r="AR75" s="709">
        <f t="shared" si="30"/>
        <v>244460.11296127283</v>
      </c>
      <c r="AS75" s="707" t="str">
        <f t="shared" si="31"/>
        <v>Lumber</v>
      </c>
      <c r="AT75" s="296"/>
      <c r="AU75" s="710">
        <f>'06-Garage Footings'!D106</f>
        <v>0</v>
      </c>
      <c r="AV75" s="712">
        <f t="shared" si="32"/>
        <v>70002</v>
      </c>
      <c r="AW75" s="518" t="str">
        <f t="shared" si="33"/>
        <v>Lumber</v>
      </c>
      <c r="AX75" s="296"/>
      <c r="AY75" s="708">
        <f>'07-COLUMNS'!D121</f>
        <v>20793.810156250001</v>
      </c>
      <c r="AZ75" s="709">
        <f t="shared" si="34"/>
        <v>80002</v>
      </c>
      <c r="BA75" s="707" t="str">
        <f t="shared" si="35"/>
        <v>Lumber</v>
      </c>
      <c r="BB75" s="296"/>
      <c r="BC75" s="708">
        <f>'08-CIP EL. DECK'!D154</f>
        <v>34640.796039062501</v>
      </c>
      <c r="BD75" s="711">
        <f t="shared" si="36"/>
        <v>90002</v>
      </c>
      <c r="BE75" s="707" t="str">
        <f t="shared" si="37"/>
        <v>Lumber</v>
      </c>
      <c r="BF75" s="296"/>
      <c r="BG75" s="708">
        <f>'09-SLAB ON DECK'!E120</f>
        <v>0</v>
      </c>
      <c r="BH75" s="711">
        <f t="shared" si="38"/>
        <v>100002</v>
      </c>
      <c r="BI75" s="518" t="str">
        <f t="shared" si="39"/>
        <v>Lumber</v>
      </c>
      <c r="BJ75" s="296"/>
      <c r="BK75" s="708">
        <f>'10-PAVING'!D101</f>
        <v>55243.878167968753</v>
      </c>
      <c r="BL75" s="711">
        <f t="shared" si="40"/>
        <v>110002</v>
      </c>
      <c r="BM75" s="518" t="str">
        <f t="shared" si="41"/>
        <v>Lumber</v>
      </c>
      <c r="BN75" s="296"/>
      <c r="BO75" s="708">
        <f>'11-Sidewalks'!D98</f>
        <v>5658.3343395865486</v>
      </c>
      <c r="BP75" s="711">
        <f t="shared" si="42"/>
        <v>120002</v>
      </c>
      <c r="BQ75" s="518" t="str">
        <f t="shared" si="43"/>
        <v>Lumber</v>
      </c>
      <c r="BR75" s="296"/>
      <c r="BS75" s="708">
        <f>'12-PANELS'!F116</f>
        <v>10644.228426687499</v>
      </c>
      <c r="BT75" s="711">
        <f t="shared" si="44"/>
        <v>130002</v>
      </c>
      <c r="BU75" s="707" t="str">
        <f t="shared" si="45"/>
        <v>Lumber</v>
      </c>
      <c r="BV75" s="296"/>
      <c r="BW75" s="708">
        <f>'13-Miscellaneous'!E49</f>
        <v>0</v>
      </c>
      <c r="BX75" s="709">
        <f t="shared" si="46"/>
        <v>140002</v>
      </c>
      <c r="BY75" s="707" t="str">
        <f t="shared" si="47"/>
        <v>Lumber</v>
      </c>
      <c r="BZ75" s="296"/>
      <c r="CA75" s="708"/>
    </row>
    <row r="76" spans="1:79" ht="21" customHeight="1">
      <c r="A76" s="2910"/>
      <c r="B76" s="402">
        <v>3</v>
      </c>
      <c r="C76" s="705" t="s">
        <v>1084</v>
      </c>
      <c r="D76" s="518" t="s">
        <v>1085</v>
      </c>
      <c r="E76" s="518"/>
      <c r="F76" s="296"/>
      <c r="G76" s="708">
        <f t="shared" si="11"/>
        <v>68639.647739197535</v>
      </c>
      <c r="H76" s="713">
        <f t="shared" si="12"/>
        <v>10003</v>
      </c>
      <c r="I76" s="518" t="str">
        <f t="shared" si="13"/>
        <v>Sand Material</v>
      </c>
      <c r="J76" s="296"/>
      <c r="K76" s="708">
        <f>'01-Piers'!E96</f>
        <v>0</v>
      </c>
      <c r="L76" s="709">
        <f t="shared" si="14"/>
        <v>20003</v>
      </c>
      <c r="M76" s="518" t="str">
        <f t="shared" si="15"/>
        <v>Sand Material</v>
      </c>
      <c r="N76" s="296"/>
      <c r="O76" s="708">
        <f>'02-Gd Beams'!E104</f>
        <v>0</v>
      </c>
      <c r="P76" s="709">
        <f t="shared" si="16"/>
        <v>40003</v>
      </c>
      <c r="Q76" s="707" t="str">
        <f t="shared" si="17"/>
        <v>Sand Material</v>
      </c>
      <c r="R76" s="296"/>
      <c r="S76" s="710">
        <f>'04-PT Slab on Grade Wrap'!E122</f>
        <v>0</v>
      </c>
      <c r="T76" s="709">
        <f t="shared" si="18"/>
        <v>40003</v>
      </c>
      <c r="U76" s="518" t="str">
        <f t="shared" si="19"/>
        <v>Sand Material</v>
      </c>
      <c r="V76" s="296"/>
      <c r="W76" s="710">
        <f>'04-PT Slab on Grade'!E122</f>
        <v>10478.032021604939</v>
      </c>
      <c r="X76" s="709">
        <f t="shared" si="20"/>
        <v>50003</v>
      </c>
      <c r="Y76" s="707" t="str">
        <f t="shared" si="21"/>
        <v>Sand Material</v>
      </c>
      <c r="Z76" s="296"/>
      <c r="AA76" s="710">
        <f>'05-Slabs'!E122</f>
        <v>0</v>
      </c>
      <c r="AB76" s="709">
        <f t="shared" si="22"/>
        <v>30003</v>
      </c>
      <c r="AC76" s="707" t="str">
        <f t="shared" si="23"/>
        <v>Sand Material</v>
      </c>
      <c r="AD76" s="296"/>
      <c r="AE76" s="710">
        <f>'03-Walls &amp; Footings'!D107</f>
        <v>0</v>
      </c>
      <c r="AF76" s="709">
        <f t="shared" si="24"/>
        <v>60003</v>
      </c>
      <c r="AG76" s="707" t="str">
        <f t="shared" si="25"/>
        <v>Sand Material</v>
      </c>
      <c r="AH76" s="296"/>
      <c r="AI76" s="710">
        <f>'06-Walls &amp; Footings'!D107</f>
        <v>7680</v>
      </c>
      <c r="AJ76" s="709">
        <f t="shared" si="26"/>
        <v>60003</v>
      </c>
      <c r="AK76" s="707" t="str">
        <f t="shared" si="27"/>
        <v>Sand Material</v>
      </c>
      <c r="AL76" s="296"/>
      <c r="AM76" s="710">
        <f>'06-Footings'!D107</f>
        <v>0</v>
      </c>
      <c r="AN76" s="709">
        <f t="shared" si="28"/>
        <v>60003</v>
      </c>
      <c r="AO76" s="707" t="str">
        <f t="shared" si="29"/>
        <v>Sand Material</v>
      </c>
      <c r="AP76" s="296"/>
      <c r="AQ76" s="710">
        <f>'06-Garage Walls &amp; Footings'!D107</f>
        <v>0</v>
      </c>
      <c r="AR76" s="709">
        <f t="shared" si="30"/>
        <v>128639.64773919753</v>
      </c>
      <c r="AS76" s="707" t="str">
        <f t="shared" si="31"/>
        <v>Sand Material</v>
      </c>
      <c r="AT76" s="296"/>
      <c r="AU76" s="710">
        <f>'06-Garage Footings'!D107</f>
        <v>0</v>
      </c>
      <c r="AV76" s="712">
        <f t="shared" si="32"/>
        <v>70003</v>
      </c>
      <c r="AW76" s="518" t="str">
        <f t="shared" si="33"/>
        <v>Sand Material</v>
      </c>
      <c r="AX76" s="296"/>
      <c r="AY76" s="708">
        <f>'07-COLUMNS'!D122</f>
        <v>0</v>
      </c>
      <c r="AZ76" s="709">
        <f t="shared" si="34"/>
        <v>80003</v>
      </c>
      <c r="BA76" s="707" t="str">
        <f t="shared" si="35"/>
        <v>Sand Material</v>
      </c>
      <c r="BB76" s="296"/>
      <c r="BC76" s="708">
        <f>'08-CIP EL. DECK'!D155</f>
        <v>0</v>
      </c>
      <c r="BD76" s="713">
        <f t="shared" si="36"/>
        <v>90003</v>
      </c>
      <c r="BE76" s="707" t="str">
        <f t="shared" si="37"/>
        <v>Sand Material</v>
      </c>
      <c r="BF76" s="296"/>
      <c r="BG76" s="708">
        <f>'09-SLAB ON DECK'!E121</f>
        <v>0</v>
      </c>
      <c r="BH76" s="713">
        <f t="shared" si="38"/>
        <v>100003</v>
      </c>
      <c r="BI76" s="518" t="str">
        <f t="shared" si="39"/>
        <v>Sand Material</v>
      </c>
      <c r="BJ76" s="296"/>
      <c r="BK76" s="708">
        <f>'10-PAVING'!D102</f>
        <v>48289.052060185189</v>
      </c>
      <c r="BL76" s="713">
        <f t="shared" si="40"/>
        <v>110003</v>
      </c>
      <c r="BM76" s="518" t="str">
        <f t="shared" si="41"/>
        <v>Sand Material</v>
      </c>
      <c r="BN76" s="296"/>
      <c r="BO76" s="708">
        <f>'11-Sidewalks'!D99</f>
        <v>2192.5636574074074</v>
      </c>
      <c r="BP76" s="713">
        <f t="shared" si="42"/>
        <v>120003</v>
      </c>
      <c r="BQ76" s="518" t="str">
        <f t="shared" si="43"/>
        <v>Sand Material</v>
      </c>
      <c r="BR76" s="296"/>
      <c r="BS76" s="708">
        <f>'12-PANELS'!F117</f>
        <v>0</v>
      </c>
      <c r="BT76" s="711">
        <f t="shared" si="44"/>
        <v>130003</v>
      </c>
      <c r="BU76" s="707" t="str">
        <f t="shared" si="45"/>
        <v>Sand Material</v>
      </c>
      <c r="BV76" s="296"/>
      <c r="BW76" s="708">
        <f>'13-Miscellaneous'!E50</f>
        <v>0</v>
      </c>
      <c r="BX76" s="709">
        <f t="shared" si="46"/>
        <v>140003</v>
      </c>
      <c r="BY76" s="707" t="str">
        <f t="shared" si="47"/>
        <v>Sand Material</v>
      </c>
      <c r="BZ76" s="296"/>
      <c r="CA76" s="708"/>
    </row>
    <row r="77" spans="1:79" ht="21" customHeight="1">
      <c r="A77" s="2910"/>
      <c r="B77" s="402">
        <v>4</v>
      </c>
      <c r="C77" s="705" t="s">
        <v>1086</v>
      </c>
      <c r="D77" s="518" t="s">
        <v>1087</v>
      </c>
      <c r="E77" s="518"/>
      <c r="F77" s="296"/>
      <c r="G77" s="708">
        <f t="shared" si="11"/>
        <v>0</v>
      </c>
      <c r="H77" s="713">
        <f t="shared" si="12"/>
        <v>10004</v>
      </c>
      <c r="I77" s="518" t="str">
        <f t="shared" si="13"/>
        <v>Rock Material</v>
      </c>
      <c r="J77" s="296"/>
      <c r="K77" s="708">
        <f>'01-Piers'!E97</f>
        <v>0</v>
      </c>
      <c r="L77" s="709">
        <f t="shared" si="14"/>
        <v>20004</v>
      </c>
      <c r="M77" s="518" t="str">
        <f t="shared" si="15"/>
        <v>Rock Material</v>
      </c>
      <c r="N77" s="296"/>
      <c r="O77" s="708">
        <f>'02-Gd Beams'!E105</f>
        <v>0</v>
      </c>
      <c r="P77" s="709">
        <f t="shared" si="16"/>
        <v>40004</v>
      </c>
      <c r="Q77" s="707" t="str">
        <f t="shared" si="17"/>
        <v>Rock Material</v>
      </c>
      <c r="R77" s="296"/>
      <c r="S77" s="710">
        <f>'04-PT Slab on Grade Wrap'!E123</f>
        <v>0</v>
      </c>
      <c r="T77" s="709">
        <f t="shared" si="18"/>
        <v>40004</v>
      </c>
      <c r="U77" s="518" t="str">
        <f t="shared" si="19"/>
        <v>Rock Material</v>
      </c>
      <c r="V77" s="296"/>
      <c r="W77" s="710">
        <f>'04-PT Slab on Grade'!E123</f>
        <v>0</v>
      </c>
      <c r="X77" s="709">
        <f t="shared" si="20"/>
        <v>50004</v>
      </c>
      <c r="Y77" s="707" t="str">
        <f t="shared" si="21"/>
        <v>Rock Material</v>
      </c>
      <c r="Z77" s="296"/>
      <c r="AA77" s="710">
        <f>'05-Slabs'!E123</f>
        <v>0</v>
      </c>
      <c r="AB77" s="709">
        <f t="shared" si="22"/>
        <v>30004</v>
      </c>
      <c r="AC77" s="707" t="str">
        <f t="shared" si="23"/>
        <v>Rock Material</v>
      </c>
      <c r="AD77" s="296"/>
      <c r="AE77" s="710">
        <f>'03-Walls &amp; Footings'!D108</f>
        <v>0</v>
      </c>
      <c r="AF77" s="709">
        <f t="shared" si="24"/>
        <v>60004</v>
      </c>
      <c r="AG77" s="707" t="str">
        <f t="shared" si="25"/>
        <v>Rock Material</v>
      </c>
      <c r="AH77" s="296"/>
      <c r="AI77" s="710">
        <f>'06-Walls &amp; Footings'!D108</f>
        <v>0</v>
      </c>
      <c r="AJ77" s="709">
        <f t="shared" si="26"/>
        <v>60004</v>
      </c>
      <c r="AK77" s="707" t="str">
        <f t="shared" si="27"/>
        <v>Rock Material</v>
      </c>
      <c r="AL77" s="296"/>
      <c r="AM77" s="710">
        <f>'06-Footings'!D108</f>
        <v>0</v>
      </c>
      <c r="AN77" s="709">
        <f t="shared" si="28"/>
        <v>60004</v>
      </c>
      <c r="AO77" s="707" t="str">
        <f t="shared" si="29"/>
        <v>Rock Material</v>
      </c>
      <c r="AP77" s="296"/>
      <c r="AQ77" s="710">
        <f>'06-Garage Walls &amp; Footings'!D108</f>
        <v>0</v>
      </c>
      <c r="AR77" s="709">
        <f t="shared" si="30"/>
        <v>60000</v>
      </c>
      <c r="AS77" s="707" t="str">
        <f t="shared" si="31"/>
        <v>Rock Material</v>
      </c>
      <c r="AT77" s="296"/>
      <c r="AU77" s="710">
        <f>'06-Garage Footings'!D108</f>
        <v>0</v>
      </c>
      <c r="AV77" s="712">
        <f t="shared" si="32"/>
        <v>70004</v>
      </c>
      <c r="AW77" s="518" t="str">
        <f t="shared" si="33"/>
        <v>Rock Material</v>
      </c>
      <c r="AX77" s="296"/>
      <c r="AY77" s="708">
        <f>'07-COLUMNS'!D123</f>
        <v>0</v>
      </c>
      <c r="AZ77" s="709">
        <f t="shared" si="34"/>
        <v>80004</v>
      </c>
      <c r="BA77" s="707" t="str">
        <f t="shared" si="35"/>
        <v>Rock Material</v>
      </c>
      <c r="BB77" s="296"/>
      <c r="BC77" s="708">
        <f>'08-CIP EL. DECK'!D156</f>
        <v>0</v>
      </c>
      <c r="BD77" s="713">
        <f t="shared" si="36"/>
        <v>90004</v>
      </c>
      <c r="BE77" s="707" t="str">
        <f t="shared" si="37"/>
        <v>Rock Material</v>
      </c>
      <c r="BF77" s="296"/>
      <c r="BG77" s="708">
        <f>'09-SLAB ON DECK'!E122</f>
        <v>0</v>
      </c>
      <c r="BH77" s="713">
        <f t="shared" si="38"/>
        <v>100004</v>
      </c>
      <c r="BI77" s="518" t="str">
        <f t="shared" si="39"/>
        <v>Rock Material</v>
      </c>
      <c r="BJ77" s="296"/>
      <c r="BK77" s="708">
        <f>'10-PAVING'!D103</f>
        <v>0</v>
      </c>
      <c r="BL77" s="713">
        <f t="shared" si="40"/>
        <v>110004</v>
      </c>
      <c r="BM77" s="518" t="str">
        <f t="shared" si="41"/>
        <v>Rock Material</v>
      </c>
      <c r="BN77" s="296"/>
      <c r="BO77" s="708">
        <f>'11-Sidewalks'!D100</f>
        <v>0</v>
      </c>
      <c r="BP77" s="713">
        <f t="shared" si="42"/>
        <v>120004</v>
      </c>
      <c r="BQ77" s="518" t="str">
        <f t="shared" si="43"/>
        <v>Rock Material</v>
      </c>
      <c r="BR77" s="296"/>
      <c r="BS77" s="708">
        <f>'12-PANELS'!F118</f>
        <v>0</v>
      </c>
      <c r="BT77" s="711">
        <f t="shared" si="44"/>
        <v>130004</v>
      </c>
      <c r="BU77" s="707" t="str">
        <f t="shared" si="45"/>
        <v>Rock Material</v>
      </c>
      <c r="BV77" s="296"/>
      <c r="BW77" s="708">
        <f>'13-Miscellaneous'!E51</f>
        <v>0</v>
      </c>
      <c r="BX77" s="709">
        <f t="shared" si="46"/>
        <v>140004</v>
      </c>
      <c r="BY77" s="707" t="str">
        <f t="shared" si="47"/>
        <v>Rock Material</v>
      </c>
      <c r="BZ77" s="296"/>
      <c r="CA77" s="708"/>
    </row>
    <row r="78" spans="1:79" ht="21" customHeight="1">
      <c r="A78" s="2910"/>
      <c r="B78" s="402">
        <v>5</v>
      </c>
      <c r="C78" s="705" t="s">
        <v>1088</v>
      </c>
      <c r="D78" s="518" t="s">
        <v>1089</v>
      </c>
      <c r="E78" s="518"/>
      <c r="F78" s="296"/>
      <c r="G78" s="708">
        <f t="shared" si="11"/>
        <v>377539.54516646831</v>
      </c>
      <c r="H78" s="713">
        <f t="shared" si="12"/>
        <v>10005</v>
      </c>
      <c r="I78" s="518" t="str">
        <f t="shared" si="13"/>
        <v>Reinforcement Material</v>
      </c>
      <c r="J78" s="296"/>
      <c r="K78" s="708">
        <f>'01-Piers'!E98</f>
        <v>46592.843494285116</v>
      </c>
      <c r="L78" s="709">
        <f t="shared" si="14"/>
        <v>20005</v>
      </c>
      <c r="M78" s="518" t="str">
        <f t="shared" si="15"/>
        <v>Reinforcement Material</v>
      </c>
      <c r="N78" s="296"/>
      <c r="O78" s="708">
        <f>'02-Gd Beams'!E106</f>
        <v>0</v>
      </c>
      <c r="P78" s="709">
        <f t="shared" si="16"/>
        <v>40005</v>
      </c>
      <c r="Q78" s="707" t="str">
        <f t="shared" si="17"/>
        <v>Reinforcement Material</v>
      </c>
      <c r="R78" s="296"/>
      <c r="S78" s="710">
        <f>'04-PT Slab on Grade Wrap'!E124</f>
        <v>0</v>
      </c>
      <c r="T78" s="709">
        <f t="shared" si="18"/>
        <v>40005</v>
      </c>
      <c r="U78" s="518" t="str">
        <f t="shared" si="19"/>
        <v>Reinforcement Material</v>
      </c>
      <c r="V78" s="296"/>
      <c r="W78" s="710">
        <f>'04-PT Slab on Grade'!E124</f>
        <v>42907.276368176732</v>
      </c>
      <c r="X78" s="709">
        <f t="shared" si="20"/>
        <v>50005</v>
      </c>
      <c r="Y78" s="707" t="str">
        <f t="shared" si="21"/>
        <v>Reinforcement Material</v>
      </c>
      <c r="Z78" s="296"/>
      <c r="AA78" s="710">
        <f>'05-Slabs'!E124</f>
        <v>0</v>
      </c>
      <c r="AB78" s="709">
        <f t="shared" si="22"/>
        <v>30005</v>
      </c>
      <c r="AC78" s="707" t="str">
        <f t="shared" si="23"/>
        <v>Reinforcement Material</v>
      </c>
      <c r="AD78" s="296"/>
      <c r="AE78" s="710">
        <f>'03-Walls &amp; Footings'!D109</f>
        <v>0</v>
      </c>
      <c r="AF78" s="709">
        <f t="shared" si="24"/>
        <v>60005</v>
      </c>
      <c r="AG78" s="707" t="str">
        <f t="shared" si="25"/>
        <v>Reinforcement Material</v>
      </c>
      <c r="AH78" s="296"/>
      <c r="AI78" s="710">
        <f>'06-Walls &amp; Footings'!D109</f>
        <v>23731.745974638703</v>
      </c>
      <c r="AJ78" s="709">
        <f t="shared" si="26"/>
        <v>60005</v>
      </c>
      <c r="AK78" s="707" t="str">
        <f t="shared" si="27"/>
        <v>Reinforcement Material</v>
      </c>
      <c r="AL78" s="296"/>
      <c r="AM78" s="710">
        <f>'06-Footings'!D109</f>
        <v>0</v>
      </c>
      <c r="AN78" s="709">
        <f t="shared" si="28"/>
        <v>60005</v>
      </c>
      <c r="AO78" s="707" t="str">
        <f t="shared" si="29"/>
        <v>Reinforcement Material</v>
      </c>
      <c r="AP78" s="296"/>
      <c r="AQ78" s="710">
        <f>'06-Garage Walls &amp; Footings'!D109</f>
        <v>0</v>
      </c>
      <c r="AR78" s="709">
        <f t="shared" si="30"/>
        <v>437539.54516646831</v>
      </c>
      <c r="AS78" s="707" t="str">
        <f t="shared" si="31"/>
        <v>Reinforcement Material</v>
      </c>
      <c r="AT78" s="296"/>
      <c r="AU78" s="710">
        <f>'06-Garage Footings'!D109</f>
        <v>0</v>
      </c>
      <c r="AV78" s="712">
        <f t="shared" si="32"/>
        <v>70005</v>
      </c>
      <c r="AW78" s="518" t="str">
        <f t="shared" si="33"/>
        <v>Reinforcement Material</v>
      </c>
      <c r="AX78" s="296"/>
      <c r="AY78" s="708">
        <f>'07-COLUMNS'!D124</f>
        <v>31540.635371574714</v>
      </c>
      <c r="AZ78" s="709">
        <f t="shared" si="34"/>
        <v>80005</v>
      </c>
      <c r="BA78" s="707" t="str">
        <f t="shared" si="35"/>
        <v>Reinforcement Material</v>
      </c>
      <c r="BB78" s="296"/>
      <c r="BC78" s="708">
        <f>'08-CIP EL. DECK'!D157</f>
        <v>43424.540341509528</v>
      </c>
      <c r="BD78" s="713">
        <f t="shared" si="36"/>
        <v>90005</v>
      </c>
      <c r="BE78" s="707" t="str">
        <f t="shared" si="37"/>
        <v>Reinforcement Material</v>
      </c>
      <c r="BF78" s="296"/>
      <c r="BG78" s="708">
        <f>'09-SLAB ON DECK'!E123</f>
        <v>0</v>
      </c>
      <c r="BH78" s="713">
        <f t="shared" si="38"/>
        <v>100005</v>
      </c>
      <c r="BI78" s="518" t="str">
        <f t="shared" si="39"/>
        <v>Reinforcement Material</v>
      </c>
      <c r="BJ78" s="296"/>
      <c r="BK78" s="708">
        <f>'10-PAVING'!D104</f>
        <v>97602.174263705529</v>
      </c>
      <c r="BL78" s="713">
        <f t="shared" si="40"/>
        <v>110005</v>
      </c>
      <c r="BM78" s="518" t="str">
        <f t="shared" si="41"/>
        <v>Reinforcement Material</v>
      </c>
      <c r="BN78" s="296"/>
      <c r="BO78" s="708">
        <f>'11-Sidewalks'!D101</f>
        <v>4473.831158059571</v>
      </c>
      <c r="BP78" s="713">
        <f t="shared" si="42"/>
        <v>120005</v>
      </c>
      <c r="BQ78" s="518" t="str">
        <f t="shared" si="43"/>
        <v>Reinforcement Material</v>
      </c>
      <c r="BR78" s="296"/>
      <c r="BS78" s="708">
        <f>'12-PANELS'!F119</f>
        <v>87266.498194518426</v>
      </c>
      <c r="BT78" s="711">
        <f t="shared" si="44"/>
        <v>130005</v>
      </c>
      <c r="BU78" s="707" t="str">
        <f t="shared" si="45"/>
        <v>Reinforcement Material</v>
      </c>
      <c r="BV78" s="296"/>
      <c r="BW78" s="708">
        <f>'13-Miscellaneous'!E52</f>
        <v>0</v>
      </c>
      <c r="BX78" s="709">
        <f t="shared" si="46"/>
        <v>140005</v>
      </c>
      <c r="BY78" s="707" t="str">
        <f t="shared" si="47"/>
        <v>Reinforcement Material</v>
      </c>
      <c r="BZ78" s="296"/>
      <c r="CA78" s="708"/>
    </row>
    <row r="79" spans="1:79" ht="21" customHeight="1">
      <c r="A79" s="2910"/>
      <c r="B79" s="402">
        <v>6</v>
      </c>
      <c r="C79" s="714" t="s">
        <v>1090</v>
      </c>
      <c r="D79" s="518" t="s">
        <v>1091</v>
      </c>
      <c r="E79" s="518"/>
      <c r="F79" s="715"/>
      <c r="G79" s="708">
        <f t="shared" si="11"/>
        <v>50712.524111809857</v>
      </c>
      <c r="H79" s="711">
        <f t="shared" si="12"/>
        <v>10006</v>
      </c>
      <c r="I79" s="518" t="str">
        <f t="shared" si="13"/>
        <v>Reinforcement Accessories</v>
      </c>
      <c r="J79" s="715"/>
      <c r="K79" s="708">
        <f>'01-Piers'!E99</f>
        <v>7219.0130037856752</v>
      </c>
      <c r="L79" s="716">
        <f t="shared" si="14"/>
        <v>20006</v>
      </c>
      <c r="M79" s="518" t="str">
        <f t="shared" si="15"/>
        <v>Reinforcement Accessories</v>
      </c>
      <c r="N79" s="715"/>
      <c r="O79" s="717">
        <f>'02-Gd Beams'!E107</f>
        <v>0</v>
      </c>
      <c r="P79" s="709">
        <f t="shared" si="16"/>
        <v>40006</v>
      </c>
      <c r="Q79" s="518" t="str">
        <f t="shared" si="17"/>
        <v>Reinforcement Accessories</v>
      </c>
      <c r="R79" s="715"/>
      <c r="S79" s="710">
        <f>'04-PT Slab on Grade Wrap'!E125</f>
        <v>0</v>
      </c>
      <c r="T79" s="709">
        <f t="shared" si="18"/>
        <v>40006</v>
      </c>
      <c r="U79" s="518" t="str">
        <f t="shared" si="19"/>
        <v>Reinforcement Accessories</v>
      </c>
      <c r="V79" s="715"/>
      <c r="W79" s="718">
        <f>'04-PT Slab on Grade'!E125</f>
        <v>1747.4821173058913</v>
      </c>
      <c r="X79" s="716">
        <f t="shared" si="20"/>
        <v>50006</v>
      </c>
      <c r="Y79" s="518" t="str">
        <f t="shared" si="21"/>
        <v>Reinforcement Accessories</v>
      </c>
      <c r="Z79" s="715"/>
      <c r="AA79" s="710">
        <f>'05-Slabs'!E125</f>
        <v>0</v>
      </c>
      <c r="AB79" s="709">
        <f t="shared" si="22"/>
        <v>30006</v>
      </c>
      <c r="AC79" s="518" t="str">
        <f t="shared" si="23"/>
        <v>Reinforcement Accessories</v>
      </c>
      <c r="AD79" s="715"/>
      <c r="AE79" s="710">
        <f>'03-Walls &amp; Footings'!D110</f>
        <v>0</v>
      </c>
      <c r="AF79" s="716">
        <f t="shared" si="24"/>
        <v>60006</v>
      </c>
      <c r="AG79" s="518" t="str">
        <f t="shared" si="25"/>
        <v>Reinforcement Accessories</v>
      </c>
      <c r="AH79" s="715"/>
      <c r="AI79" s="718">
        <f>'06-Walls &amp; Footings'!D110</f>
        <v>1349.1132904395781</v>
      </c>
      <c r="AJ79" s="716">
        <f t="shared" si="26"/>
        <v>60006</v>
      </c>
      <c r="AK79" s="518" t="str">
        <f t="shared" si="27"/>
        <v>Reinforcement Accessories</v>
      </c>
      <c r="AL79" s="715"/>
      <c r="AM79" s="718">
        <f>'06-Footings'!D110</f>
        <v>0</v>
      </c>
      <c r="AN79" s="716">
        <f t="shared" si="28"/>
        <v>60006</v>
      </c>
      <c r="AO79" s="518" t="str">
        <f t="shared" si="29"/>
        <v>Reinforcement Accessories</v>
      </c>
      <c r="AP79" s="715"/>
      <c r="AQ79" s="710">
        <f>'06-Garage Walls &amp; Footings'!D110</f>
        <v>0</v>
      </c>
      <c r="AR79" s="716">
        <f t="shared" si="30"/>
        <v>110712.52411180985</v>
      </c>
      <c r="AS79" s="518" t="str">
        <f t="shared" si="31"/>
        <v>Reinforcement Accessories</v>
      </c>
      <c r="AT79" s="715"/>
      <c r="AU79" s="710">
        <f>'06-Garage Footings'!D110</f>
        <v>0</v>
      </c>
      <c r="AV79" s="716">
        <f t="shared" si="32"/>
        <v>70006</v>
      </c>
      <c r="AW79" s="518" t="str">
        <f t="shared" si="33"/>
        <v>Reinforcement Accessories</v>
      </c>
      <c r="AX79" s="715"/>
      <c r="AY79" s="717">
        <f>'07-COLUMNS'!D125</f>
        <v>896.51832642600004</v>
      </c>
      <c r="AZ79" s="716">
        <f t="shared" si="34"/>
        <v>80006</v>
      </c>
      <c r="BA79" s="518" t="str">
        <f t="shared" si="35"/>
        <v>Reinforcement Accessories</v>
      </c>
      <c r="BB79" s="715"/>
      <c r="BC79" s="708">
        <f>'08-CIP EL. DECK'!D158</f>
        <v>1315.3091942870001</v>
      </c>
      <c r="BD79" s="711">
        <f t="shared" si="36"/>
        <v>90006</v>
      </c>
      <c r="BE79" s="518" t="str">
        <f t="shared" si="37"/>
        <v>Reinforcement Accessories</v>
      </c>
      <c r="BF79" s="715"/>
      <c r="BG79" s="717">
        <f>'09-SLAB ON DECK'!E124</f>
        <v>0</v>
      </c>
      <c r="BH79" s="711">
        <f t="shared" si="38"/>
        <v>100006</v>
      </c>
      <c r="BI79" s="518" t="str">
        <f t="shared" si="39"/>
        <v>Reinforcement Accessories</v>
      </c>
      <c r="BJ79" s="715"/>
      <c r="BK79" s="717">
        <f>'10-PAVING'!D105</f>
        <v>27259.904822490185</v>
      </c>
      <c r="BL79" s="711">
        <f t="shared" si="40"/>
        <v>110006</v>
      </c>
      <c r="BM79" s="518" t="str">
        <f t="shared" si="41"/>
        <v>Reinforcement Accessories</v>
      </c>
      <c r="BN79" s="715"/>
      <c r="BO79" s="717">
        <f>'11-Sidewalks'!D102</f>
        <v>586.2623143359375</v>
      </c>
      <c r="BP79" s="711">
        <f t="shared" si="42"/>
        <v>120006</v>
      </c>
      <c r="BQ79" s="518" t="str">
        <f t="shared" si="43"/>
        <v>Reinforcement Accessories</v>
      </c>
      <c r="BR79" s="715"/>
      <c r="BS79" s="708">
        <f>'12-PANELS'!F120</f>
        <v>10338.921042739596</v>
      </c>
      <c r="BT79" s="711">
        <f t="shared" si="44"/>
        <v>130006</v>
      </c>
      <c r="BU79" s="518" t="str">
        <f t="shared" si="45"/>
        <v>Reinforcement Accessories</v>
      </c>
      <c r="BV79" s="715"/>
      <c r="BW79" s="717">
        <f>'13-Miscellaneous'!E53</f>
        <v>0</v>
      </c>
      <c r="BX79" s="709">
        <f t="shared" si="46"/>
        <v>140006</v>
      </c>
      <c r="BY79" s="518" t="str">
        <f t="shared" si="47"/>
        <v>Reinforcement Accessories</v>
      </c>
      <c r="BZ79" s="715"/>
      <c r="CA79" s="717"/>
    </row>
    <row r="80" spans="1:79" ht="21" customHeight="1">
      <c r="A80" s="2910"/>
      <c r="B80" s="402">
        <v>7</v>
      </c>
      <c r="C80" s="705" t="s">
        <v>1092</v>
      </c>
      <c r="D80" s="707" t="s">
        <v>1093</v>
      </c>
      <c r="E80" s="707"/>
      <c r="F80" s="296"/>
      <c r="G80" s="708">
        <f t="shared" si="11"/>
        <v>108097.962875</v>
      </c>
      <c r="H80" s="713">
        <f t="shared" si="12"/>
        <v>10007</v>
      </c>
      <c r="I80" s="707" t="str">
        <f t="shared" si="13"/>
        <v>PT Cables</v>
      </c>
      <c r="J80" s="296"/>
      <c r="K80" s="708">
        <f>'01-Piers'!E100</f>
        <v>0</v>
      </c>
      <c r="L80" s="713">
        <f t="shared" si="14"/>
        <v>20007</v>
      </c>
      <c r="M80" s="707" t="str">
        <f t="shared" si="15"/>
        <v>PT Cables</v>
      </c>
      <c r="N80" s="296"/>
      <c r="O80" s="708">
        <f>'02-Gd Beams'!E108</f>
        <v>0</v>
      </c>
      <c r="P80" s="709">
        <f t="shared" si="16"/>
        <v>40007</v>
      </c>
      <c r="Q80" s="707" t="str">
        <f t="shared" si="17"/>
        <v>PT Cables</v>
      </c>
      <c r="R80" s="296"/>
      <c r="S80" s="710">
        <f>'04-PT Slab on Grade Wrap'!E126</f>
        <v>0</v>
      </c>
      <c r="T80" s="709">
        <f t="shared" si="18"/>
        <v>40007</v>
      </c>
      <c r="U80" s="707" t="str">
        <f t="shared" si="19"/>
        <v>PT Cables</v>
      </c>
      <c r="V80" s="296"/>
      <c r="W80" s="710">
        <f>'04-PT Slab on Grade'!E126</f>
        <v>57713.000375000003</v>
      </c>
      <c r="X80" s="713">
        <f t="shared" si="20"/>
        <v>50007</v>
      </c>
      <c r="Y80" s="707" t="str">
        <f t="shared" si="21"/>
        <v>PT Cables</v>
      </c>
      <c r="Z80" s="296"/>
      <c r="AA80" s="710">
        <f>'05-Slabs'!E126</f>
        <v>0</v>
      </c>
      <c r="AB80" s="709">
        <f t="shared" si="22"/>
        <v>30007</v>
      </c>
      <c r="AC80" s="707" t="str">
        <f t="shared" si="23"/>
        <v>PT Cables</v>
      </c>
      <c r="AD80" s="296"/>
      <c r="AE80" s="710">
        <f>'03-Walls &amp; Footings'!D111</f>
        <v>0</v>
      </c>
      <c r="AF80" s="713">
        <f t="shared" si="24"/>
        <v>60007</v>
      </c>
      <c r="AG80" s="707" t="str">
        <f t="shared" si="25"/>
        <v>PT Cables</v>
      </c>
      <c r="AH80" s="296"/>
      <c r="AI80" s="710">
        <f>'06-Walls &amp; Footings'!D111</f>
        <v>0</v>
      </c>
      <c r="AJ80" s="713">
        <f t="shared" si="26"/>
        <v>60007</v>
      </c>
      <c r="AK80" s="707" t="str">
        <f t="shared" si="27"/>
        <v>PT Cables</v>
      </c>
      <c r="AL80" s="296"/>
      <c r="AM80" s="710">
        <f>'06-Footings'!D111</f>
        <v>0</v>
      </c>
      <c r="AN80" s="713">
        <f t="shared" si="28"/>
        <v>60007</v>
      </c>
      <c r="AO80" s="707" t="str">
        <f t="shared" si="29"/>
        <v>PT Cables</v>
      </c>
      <c r="AP80" s="296"/>
      <c r="AQ80" s="710">
        <f>'06-Garage Walls &amp; Footings'!D111</f>
        <v>0</v>
      </c>
      <c r="AR80" s="713">
        <f t="shared" si="30"/>
        <v>168097.962875</v>
      </c>
      <c r="AS80" s="707" t="str">
        <f t="shared" si="31"/>
        <v>PT Cables</v>
      </c>
      <c r="AT80" s="296"/>
      <c r="AU80" s="710">
        <f>'06-Garage Footings'!D111</f>
        <v>0</v>
      </c>
      <c r="AV80" s="713">
        <f t="shared" si="32"/>
        <v>70007</v>
      </c>
      <c r="AW80" s="707" t="str">
        <f t="shared" si="33"/>
        <v>PT Cables</v>
      </c>
      <c r="AX80" s="296"/>
      <c r="AY80" s="708">
        <f>'07-COLUMNS'!D126</f>
        <v>0</v>
      </c>
      <c r="AZ80" s="713">
        <f t="shared" si="34"/>
        <v>80007</v>
      </c>
      <c r="BA80" s="707" t="str">
        <f t="shared" si="35"/>
        <v>PT Cables</v>
      </c>
      <c r="BB80" s="296"/>
      <c r="BC80" s="708">
        <f>'08-CIP EL. DECK'!D159</f>
        <v>50384.962500000001</v>
      </c>
      <c r="BD80" s="713">
        <f t="shared" si="36"/>
        <v>90007</v>
      </c>
      <c r="BE80" s="707" t="str">
        <f t="shared" si="37"/>
        <v>PT Cables</v>
      </c>
      <c r="BF80" s="296"/>
      <c r="BG80" s="708">
        <f>'09-SLAB ON DECK'!E125</f>
        <v>0</v>
      </c>
      <c r="BH80" s="713">
        <f t="shared" si="38"/>
        <v>100007</v>
      </c>
      <c r="BI80" s="707" t="str">
        <f t="shared" si="39"/>
        <v>PT Cables</v>
      </c>
      <c r="BJ80" s="296"/>
      <c r="BK80" s="708">
        <f>'10-PAVING'!D106</f>
        <v>0</v>
      </c>
      <c r="BL80" s="713">
        <f t="shared" si="40"/>
        <v>110007</v>
      </c>
      <c r="BM80" s="707" t="str">
        <f t="shared" si="41"/>
        <v>PT Cables</v>
      </c>
      <c r="BN80" s="296"/>
      <c r="BO80" s="708">
        <f>'11-Sidewalks'!D103</f>
        <v>0</v>
      </c>
      <c r="BP80" s="713">
        <f t="shared" si="42"/>
        <v>120007</v>
      </c>
      <c r="BQ80" s="707" t="str">
        <f t="shared" si="43"/>
        <v>PT Cables</v>
      </c>
      <c r="BR80" s="296"/>
      <c r="BS80" s="708">
        <f>'12-PANELS'!F121</f>
        <v>0</v>
      </c>
      <c r="BT80" s="713">
        <f t="shared" si="44"/>
        <v>130007</v>
      </c>
      <c r="BU80" s="707" t="str">
        <f t="shared" si="45"/>
        <v>PT Cables</v>
      </c>
      <c r="BV80" s="296"/>
      <c r="BW80" s="708">
        <f>'13-Miscellaneous'!E54</f>
        <v>0</v>
      </c>
      <c r="BX80" s="709">
        <f t="shared" si="46"/>
        <v>140007</v>
      </c>
      <c r="BY80" s="707" t="str">
        <f t="shared" si="47"/>
        <v>PT Cables</v>
      </c>
      <c r="BZ80" s="296"/>
      <c r="CA80" s="708"/>
    </row>
    <row r="81" spans="1:79" ht="21" customHeight="1">
      <c r="A81" s="2910"/>
      <c r="B81" s="402">
        <v>8</v>
      </c>
      <c r="C81" s="714" t="s">
        <v>1094</v>
      </c>
      <c r="D81" s="518" t="s">
        <v>1095</v>
      </c>
      <c r="E81" s="518"/>
      <c r="F81" s="715"/>
      <c r="G81" s="708">
        <f t="shared" si="11"/>
        <v>1695607.4455453278</v>
      </c>
      <c r="H81" s="716">
        <f t="shared" si="12"/>
        <v>10008</v>
      </c>
      <c r="I81" s="518" t="str">
        <f t="shared" si="13"/>
        <v>Concrete Material</v>
      </c>
      <c r="J81" s="715"/>
      <c r="K81" s="708">
        <f>'01-Piers'!E101</f>
        <v>106159.04060967967</v>
      </c>
      <c r="L81" s="716">
        <f t="shared" si="14"/>
        <v>20008</v>
      </c>
      <c r="M81" s="518" t="str">
        <f t="shared" si="15"/>
        <v>Concrete Material</v>
      </c>
      <c r="N81" s="715"/>
      <c r="O81" s="717">
        <f>'02-Gd Beams'!E109</f>
        <v>0</v>
      </c>
      <c r="P81" s="709">
        <f t="shared" si="16"/>
        <v>40008</v>
      </c>
      <c r="Q81" s="518" t="str">
        <f t="shared" si="17"/>
        <v>Concrete Material</v>
      </c>
      <c r="R81" s="715"/>
      <c r="S81" s="710">
        <f>'04-PT Slab on Grade Wrap'!E127</f>
        <v>0</v>
      </c>
      <c r="T81" s="709">
        <f t="shared" si="18"/>
        <v>40008</v>
      </c>
      <c r="U81" s="518" t="str">
        <f t="shared" si="19"/>
        <v>Concrete Material</v>
      </c>
      <c r="V81" s="715"/>
      <c r="W81" s="718">
        <f>'04-PT Slab on Grade'!E127</f>
        <v>319874.68608117296</v>
      </c>
      <c r="X81" s="716">
        <f t="shared" si="20"/>
        <v>50008</v>
      </c>
      <c r="Y81" s="518" t="str">
        <f t="shared" si="21"/>
        <v>Concrete Material</v>
      </c>
      <c r="Z81" s="715"/>
      <c r="AA81" s="710">
        <f>'05-Slabs'!E127</f>
        <v>0</v>
      </c>
      <c r="AB81" s="709">
        <f t="shared" si="22"/>
        <v>30008</v>
      </c>
      <c r="AC81" s="518" t="str">
        <f t="shared" si="23"/>
        <v>Concrete Material</v>
      </c>
      <c r="AD81" s="715"/>
      <c r="AE81" s="710">
        <f>'03-Walls &amp; Footings'!D112</f>
        <v>0</v>
      </c>
      <c r="AF81" s="716">
        <f t="shared" si="24"/>
        <v>60008</v>
      </c>
      <c r="AG81" s="518" t="str">
        <f t="shared" si="25"/>
        <v>Concrete Material</v>
      </c>
      <c r="AH81" s="715"/>
      <c r="AI81" s="718">
        <f>'06-Walls &amp; Footings'!D112</f>
        <v>46987.875633796306</v>
      </c>
      <c r="AJ81" s="716">
        <f t="shared" si="26"/>
        <v>60008</v>
      </c>
      <c r="AK81" s="518" t="str">
        <f t="shared" si="27"/>
        <v>Concrete Material</v>
      </c>
      <c r="AL81" s="715"/>
      <c r="AM81" s="718">
        <f>'06-Footings'!D112</f>
        <v>0</v>
      </c>
      <c r="AN81" s="716">
        <f t="shared" si="28"/>
        <v>60008</v>
      </c>
      <c r="AO81" s="518" t="str">
        <f t="shared" si="29"/>
        <v>Concrete Material</v>
      </c>
      <c r="AP81" s="715"/>
      <c r="AQ81" s="710">
        <f>'06-Garage Walls &amp; Footings'!D112</f>
        <v>0</v>
      </c>
      <c r="AR81" s="716">
        <f t="shared" si="30"/>
        <v>1755607.4455453278</v>
      </c>
      <c r="AS81" s="518" t="str">
        <f t="shared" si="31"/>
        <v>Concrete Material</v>
      </c>
      <c r="AT81" s="715"/>
      <c r="AU81" s="710">
        <f>'06-Garage Footings'!D112</f>
        <v>0</v>
      </c>
      <c r="AV81" s="716">
        <f t="shared" si="32"/>
        <v>70008</v>
      </c>
      <c r="AW81" s="518" t="str">
        <f t="shared" si="33"/>
        <v>Concrete Material</v>
      </c>
      <c r="AX81" s="715"/>
      <c r="AY81" s="717">
        <f>'07-COLUMNS'!D127</f>
        <v>24626.875</v>
      </c>
      <c r="AZ81" s="716">
        <f t="shared" si="34"/>
        <v>80008</v>
      </c>
      <c r="BA81" s="518" t="str">
        <f t="shared" si="35"/>
        <v>Concrete Material</v>
      </c>
      <c r="BB81" s="715"/>
      <c r="BC81" s="708">
        <f>'08-CIP EL. DECK'!D160</f>
        <v>276550.68518518517</v>
      </c>
      <c r="BD81" s="716">
        <f t="shared" si="36"/>
        <v>90008</v>
      </c>
      <c r="BE81" s="518" t="str">
        <f t="shared" si="37"/>
        <v>Concrete Material</v>
      </c>
      <c r="BF81" s="715"/>
      <c r="BG81" s="717">
        <f>'09-SLAB ON DECK'!E126</f>
        <v>0</v>
      </c>
      <c r="BH81" s="716">
        <f t="shared" si="38"/>
        <v>100008</v>
      </c>
      <c r="BI81" s="518" t="str">
        <f t="shared" si="39"/>
        <v>Concrete Material</v>
      </c>
      <c r="BJ81" s="715"/>
      <c r="BK81" s="717">
        <f>'10-PAVING'!D107</f>
        <v>784662.96465277765</v>
      </c>
      <c r="BL81" s="716">
        <f t="shared" si="40"/>
        <v>110008</v>
      </c>
      <c r="BM81" s="518" t="str">
        <f t="shared" si="41"/>
        <v>Concrete Material</v>
      </c>
      <c r="BN81" s="715"/>
      <c r="BO81" s="717">
        <f>'11-Sidewalks'!D104</f>
        <v>23728.132716049386</v>
      </c>
      <c r="BP81" s="716">
        <f t="shared" si="42"/>
        <v>120008</v>
      </c>
      <c r="BQ81" s="518" t="str">
        <f t="shared" si="43"/>
        <v>Concrete Material</v>
      </c>
      <c r="BR81" s="715"/>
      <c r="BS81" s="708">
        <f>'12-PANELS'!F122</f>
        <v>113017.1856666667</v>
      </c>
      <c r="BT81" s="716">
        <f t="shared" si="44"/>
        <v>130008</v>
      </c>
      <c r="BU81" s="518" t="str">
        <f t="shared" si="45"/>
        <v>Concrete Material</v>
      </c>
      <c r="BV81" s="715"/>
      <c r="BW81" s="717">
        <f>'13-Miscellaneous'!E55</f>
        <v>0</v>
      </c>
      <c r="BX81" s="709">
        <f t="shared" si="46"/>
        <v>140008</v>
      </c>
      <c r="BY81" s="518" t="str">
        <f t="shared" si="47"/>
        <v>Concrete Material</v>
      </c>
      <c r="BZ81" s="715"/>
      <c r="CA81" s="717"/>
    </row>
    <row r="82" spans="1:79" ht="21" customHeight="1">
      <c r="A82" s="2910"/>
      <c r="B82" s="402">
        <v>9</v>
      </c>
      <c r="C82" s="705" t="s">
        <v>1096</v>
      </c>
      <c r="D82" s="707" t="s">
        <v>1097</v>
      </c>
      <c r="E82" s="707"/>
      <c r="F82" s="296"/>
      <c r="G82" s="708">
        <f t="shared" si="11"/>
        <v>5702.025450000001</v>
      </c>
      <c r="H82" s="709">
        <f t="shared" si="12"/>
        <v>10009</v>
      </c>
      <c r="I82" s="707" t="str">
        <f t="shared" si="13"/>
        <v>Carton Forms</v>
      </c>
      <c r="J82" s="296"/>
      <c r="K82" s="708">
        <f>'01-Piers'!E102</f>
        <v>0</v>
      </c>
      <c r="L82" s="709">
        <f t="shared" si="14"/>
        <v>20009</v>
      </c>
      <c r="M82" s="707" t="str">
        <f t="shared" si="15"/>
        <v>Carton Forms</v>
      </c>
      <c r="N82" s="296"/>
      <c r="O82" s="708">
        <f>'02-Gd Beams'!E110</f>
        <v>0</v>
      </c>
      <c r="P82" s="709">
        <f t="shared" si="16"/>
        <v>40009</v>
      </c>
      <c r="Q82" s="707" t="str">
        <f t="shared" si="17"/>
        <v>Carton Forms</v>
      </c>
      <c r="R82" s="296"/>
      <c r="S82" s="710">
        <f>'04-PT Slab on Grade Wrap'!E128</f>
        <v>0</v>
      </c>
      <c r="T82" s="709">
        <f t="shared" si="18"/>
        <v>40009</v>
      </c>
      <c r="U82" s="707" t="str">
        <f t="shared" si="19"/>
        <v>Carton Forms</v>
      </c>
      <c r="V82" s="296"/>
      <c r="W82" s="710">
        <f>'04-PT Slab on Grade'!E128</f>
        <v>0</v>
      </c>
      <c r="X82" s="709">
        <f t="shared" si="20"/>
        <v>50009</v>
      </c>
      <c r="Y82" s="707" t="str">
        <f t="shared" si="21"/>
        <v>Carton Forms</v>
      </c>
      <c r="Z82" s="296"/>
      <c r="AA82" s="710">
        <f>'05-Slabs'!E128</f>
        <v>0</v>
      </c>
      <c r="AB82" s="709">
        <f t="shared" si="22"/>
        <v>30009</v>
      </c>
      <c r="AC82" s="707" t="str">
        <f t="shared" si="23"/>
        <v>Carton Forms</v>
      </c>
      <c r="AD82" s="296"/>
      <c r="AE82" s="710">
        <f>'03-Walls &amp; Footings'!D113</f>
        <v>0</v>
      </c>
      <c r="AF82" s="709">
        <f t="shared" si="24"/>
        <v>60009</v>
      </c>
      <c r="AG82" s="707" t="str">
        <f t="shared" si="25"/>
        <v>Carton Forms</v>
      </c>
      <c r="AH82" s="296"/>
      <c r="AI82" s="710">
        <f>'06-Walls &amp; Footings'!D113</f>
        <v>0</v>
      </c>
      <c r="AJ82" s="709">
        <f t="shared" si="26"/>
        <v>60009</v>
      </c>
      <c r="AK82" s="707" t="str">
        <f t="shared" si="27"/>
        <v>Carton Forms</v>
      </c>
      <c r="AL82" s="296"/>
      <c r="AM82" s="710">
        <f>'06-Footings'!D113</f>
        <v>0</v>
      </c>
      <c r="AN82" s="709">
        <f t="shared" si="28"/>
        <v>60009</v>
      </c>
      <c r="AO82" s="707" t="str">
        <f t="shared" si="29"/>
        <v>Carton Forms</v>
      </c>
      <c r="AP82" s="296"/>
      <c r="AQ82" s="710">
        <f>'06-Garage Walls &amp; Footings'!D113</f>
        <v>0</v>
      </c>
      <c r="AR82" s="709">
        <f t="shared" si="30"/>
        <v>65702.025450000001</v>
      </c>
      <c r="AS82" s="707" t="str">
        <f t="shared" si="31"/>
        <v>Carton Forms</v>
      </c>
      <c r="AT82" s="296"/>
      <c r="AU82" s="710">
        <f>'06-Garage Footings'!D113</f>
        <v>0</v>
      </c>
      <c r="AV82" s="709">
        <f t="shared" si="32"/>
        <v>70009</v>
      </c>
      <c r="AW82" s="707" t="str">
        <f t="shared" si="33"/>
        <v>Carton Forms</v>
      </c>
      <c r="AX82" s="296"/>
      <c r="AY82" s="708">
        <f>'07-COLUMNS'!D128</f>
        <v>0</v>
      </c>
      <c r="AZ82" s="709">
        <f t="shared" si="34"/>
        <v>80009</v>
      </c>
      <c r="BA82" s="707" t="str">
        <f t="shared" si="35"/>
        <v>Carton Forms</v>
      </c>
      <c r="BB82" s="296"/>
      <c r="BC82" s="708">
        <f>'08-CIP EL. DECK'!D161</f>
        <v>0</v>
      </c>
      <c r="BD82" s="709">
        <f t="shared" si="36"/>
        <v>90009</v>
      </c>
      <c r="BE82" s="707" t="str">
        <f t="shared" si="37"/>
        <v>Carton Forms</v>
      </c>
      <c r="BF82" s="296"/>
      <c r="BG82" s="708">
        <f>'09-SLAB ON DECK'!E127</f>
        <v>0</v>
      </c>
      <c r="BH82" s="709">
        <f t="shared" si="38"/>
        <v>100009</v>
      </c>
      <c r="BI82" s="707" t="str">
        <f t="shared" si="39"/>
        <v>Carton Forms</v>
      </c>
      <c r="BJ82" s="296"/>
      <c r="BK82" s="708">
        <f>'10-PAVING'!D108</f>
        <v>0</v>
      </c>
      <c r="BL82" s="709">
        <f t="shared" si="40"/>
        <v>110009</v>
      </c>
      <c r="BM82" s="707" t="str">
        <f t="shared" si="41"/>
        <v>Carton Forms</v>
      </c>
      <c r="BN82" s="296"/>
      <c r="BO82" s="708">
        <f>'11-Sidewalks'!D105</f>
        <v>0</v>
      </c>
      <c r="BP82" s="709">
        <f t="shared" si="42"/>
        <v>120009</v>
      </c>
      <c r="BQ82" s="707" t="str">
        <f t="shared" si="43"/>
        <v>Carton Forms</v>
      </c>
      <c r="BR82" s="296"/>
      <c r="BS82" s="708">
        <f>'12-PANELS'!F123</f>
        <v>5702.025450000001</v>
      </c>
      <c r="BT82" s="709">
        <f t="shared" si="44"/>
        <v>130009</v>
      </c>
      <c r="BU82" s="707" t="str">
        <f t="shared" si="45"/>
        <v>Carton Forms</v>
      </c>
      <c r="BV82" s="296"/>
      <c r="BW82" s="708">
        <f>'13-Miscellaneous'!E56</f>
        <v>0</v>
      </c>
      <c r="BX82" s="709">
        <f t="shared" si="46"/>
        <v>140009</v>
      </c>
      <c r="BY82" s="707" t="str">
        <f t="shared" si="47"/>
        <v>Carton Forms</v>
      </c>
      <c r="BZ82" s="296"/>
      <c r="CA82" s="708"/>
    </row>
    <row r="83" spans="1:79" ht="21" customHeight="1">
      <c r="A83" s="2910"/>
      <c r="B83" s="402">
        <v>10</v>
      </c>
      <c r="C83" s="714" t="s">
        <v>1098</v>
      </c>
      <c r="D83" s="518" t="s">
        <v>1099</v>
      </c>
      <c r="E83" s="518"/>
      <c r="F83" s="715"/>
      <c r="G83" s="708">
        <f t="shared" si="11"/>
        <v>17363.348428787878</v>
      </c>
      <c r="H83" s="712">
        <f t="shared" si="12"/>
        <v>10010</v>
      </c>
      <c r="I83" s="518" t="str">
        <f t="shared" si="13"/>
        <v>Cure/Sealers</v>
      </c>
      <c r="J83" s="715"/>
      <c r="K83" s="708">
        <f>'01-Piers'!E103</f>
        <v>614.31875000000002</v>
      </c>
      <c r="L83" s="712">
        <f t="shared" si="14"/>
        <v>20010</v>
      </c>
      <c r="M83" s="518" t="str">
        <f t="shared" si="15"/>
        <v>Cure/Sealers</v>
      </c>
      <c r="N83" s="715"/>
      <c r="O83" s="717">
        <f>'02-Gd Beams'!E111</f>
        <v>0</v>
      </c>
      <c r="P83" s="709">
        <f t="shared" si="16"/>
        <v>40010</v>
      </c>
      <c r="Q83" s="518" t="str">
        <f t="shared" si="17"/>
        <v>Cure/Sealers</v>
      </c>
      <c r="R83" s="715"/>
      <c r="S83" s="710">
        <f>'04-PT Slab on Grade Wrap'!E129</f>
        <v>0</v>
      </c>
      <c r="T83" s="712">
        <f t="shared" si="18"/>
        <v>40010</v>
      </c>
      <c r="U83" s="518" t="str">
        <f t="shared" si="19"/>
        <v>Cure/Sealers</v>
      </c>
      <c r="V83" s="715"/>
      <c r="W83" s="718">
        <f>'04-PT Slab on Grade'!E129</f>
        <v>2457.2750000000001</v>
      </c>
      <c r="X83" s="712">
        <f t="shared" si="20"/>
        <v>50010</v>
      </c>
      <c r="Y83" s="518" t="str">
        <f t="shared" si="21"/>
        <v>Cure/Sealers</v>
      </c>
      <c r="Z83" s="715"/>
      <c r="AA83" s="710">
        <f>'05-Slabs'!E129</f>
        <v>0</v>
      </c>
      <c r="AB83" s="709">
        <f t="shared" si="22"/>
        <v>30010</v>
      </c>
      <c r="AC83" s="518" t="str">
        <f t="shared" si="23"/>
        <v>Cure/Sealers</v>
      </c>
      <c r="AD83" s="715"/>
      <c r="AE83" s="710">
        <f>'03-Walls &amp; Footings'!D114</f>
        <v>0</v>
      </c>
      <c r="AF83" s="712">
        <f t="shared" si="24"/>
        <v>60010</v>
      </c>
      <c r="AG83" s="518" t="str">
        <f t="shared" si="25"/>
        <v>Cure/Sealers</v>
      </c>
      <c r="AH83" s="715"/>
      <c r="AI83" s="718">
        <f>'06-Walls &amp; Footings'!D114</f>
        <v>567.5</v>
      </c>
      <c r="AJ83" s="712">
        <f t="shared" si="26"/>
        <v>60010</v>
      </c>
      <c r="AK83" s="518" t="str">
        <f t="shared" si="27"/>
        <v>Cure/Sealers</v>
      </c>
      <c r="AL83" s="715"/>
      <c r="AM83" s="718">
        <f>'06-Footings'!D114</f>
        <v>0</v>
      </c>
      <c r="AN83" s="712">
        <f t="shared" si="28"/>
        <v>60010</v>
      </c>
      <c r="AO83" s="518" t="str">
        <f t="shared" si="29"/>
        <v>Cure/Sealers</v>
      </c>
      <c r="AP83" s="715"/>
      <c r="AQ83" s="710">
        <f>'06-Garage Walls &amp; Footings'!D114</f>
        <v>0</v>
      </c>
      <c r="AR83" s="712">
        <f t="shared" si="30"/>
        <v>77363.348428787882</v>
      </c>
      <c r="AS83" s="518" t="str">
        <f t="shared" si="31"/>
        <v>Cure/Sealers</v>
      </c>
      <c r="AT83" s="715"/>
      <c r="AU83" s="710">
        <f>'06-Garage Footings'!D114</f>
        <v>0</v>
      </c>
      <c r="AV83" s="712">
        <f t="shared" si="32"/>
        <v>70010</v>
      </c>
      <c r="AW83" s="518" t="str">
        <f t="shared" si="33"/>
        <v>Cure/Sealers</v>
      </c>
      <c r="AX83" s="715"/>
      <c r="AY83" s="717">
        <f>'07-COLUMNS'!D129</f>
        <v>542</v>
      </c>
      <c r="AZ83" s="712">
        <f t="shared" si="34"/>
        <v>80010</v>
      </c>
      <c r="BA83" s="518" t="str">
        <f t="shared" si="35"/>
        <v>Cure/Sealers</v>
      </c>
      <c r="BB83" s="715"/>
      <c r="BC83" s="708">
        <f>'08-CIP EL. DECK'!D162</f>
        <v>1135</v>
      </c>
      <c r="BD83" s="712">
        <f t="shared" si="36"/>
        <v>90010</v>
      </c>
      <c r="BE83" s="518" t="str">
        <f t="shared" si="37"/>
        <v>Cure/Sealers</v>
      </c>
      <c r="BF83" s="715"/>
      <c r="BG83" s="717">
        <f>'09-SLAB ON DECK'!E128</f>
        <v>0</v>
      </c>
      <c r="BH83" s="712">
        <f t="shared" si="38"/>
        <v>100010</v>
      </c>
      <c r="BI83" s="518" t="str">
        <f t="shared" si="39"/>
        <v>Cure/Sealers</v>
      </c>
      <c r="BJ83" s="715"/>
      <c r="BK83" s="717">
        <f>'10-PAVING'!D109</f>
        <v>8512.5</v>
      </c>
      <c r="BL83" s="712">
        <f t="shared" si="40"/>
        <v>110010</v>
      </c>
      <c r="BM83" s="518" t="str">
        <f t="shared" si="41"/>
        <v>Cure/Sealers</v>
      </c>
      <c r="BN83" s="715"/>
      <c r="BO83" s="717">
        <f>'11-Sidewalks'!D106</f>
        <v>429.92424242424244</v>
      </c>
      <c r="BP83" s="712">
        <f t="shared" si="42"/>
        <v>120010</v>
      </c>
      <c r="BQ83" s="518" t="str">
        <f t="shared" si="43"/>
        <v>Cure/Sealers</v>
      </c>
      <c r="BR83" s="715"/>
      <c r="BS83" s="708">
        <f>'12-PANELS'!F124</f>
        <v>3104.8304363636362</v>
      </c>
      <c r="BT83" s="712">
        <f t="shared" si="44"/>
        <v>130010</v>
      </c>
      <c r="BU83" s="518" t="str">
        <f t="shared" si="45"/>
        <v>Cure/Sealers</v>
      </c>
      <c r="BV83" s="715"/>
      <c r="BW83" s="717">
        <f>'13-Miscellaneous'!E57</f>
        <v>0</v>
      </c>
      <c r="BX83" s="709">
        <f t="shared" si="46"/>
        <v>140010</v>
      </c>
      <c r="BY83" s="518" t="str">
        <f t="shared" si="47"/>
        <v>Cure/Sealers</v>
      </c>
      <c r="BZ83" s="715"/>
      <c r="CA83" s="717"/>
    </row>
    <row r="84" spans="1:79" ht="21" customHeight="1">
      <c r="A84" s="2910"/>
      <c r="B84" s="402">
        <v>11</v>
      </c>
      <c r="C84" s="714" t="s">
        <v>1100</v>
      </c>
      <c r="D84" s="518" t="s">
        <v>1101</v>
      </c>
      <c r="E84" s="518"/>
      <c r="F84" s="715"/>
      <c r="G84" s="708">
        <f t="shared" si="11"/>
        <v>10216.320485884353</v>
      </c>
      <c r="H84" s="712">
        <f t="shared" si="12"/>
        <v>10011</v>
      </c>
      <c r="I84" s="518" t="str">
        <f t="shared" si="13"/>
        <v>Patch/Grout</v>
      </c>
      <c r="J84" s="715"/>
      <c r="K84" s="708">
        <f>'01-Piers'!E104</f>
        <v>0</v>
      </c>
      <c r="L84" s="712">
        <f t="shared" si="14"/>
        <v>20011</v>
      </c>
      <c r="M84" s="518" t="str">
        <f t="shared" si="15"/>
        <v>Patch/Grout</v>
      </c>
      <c r="N84" s="715"/>
      <c r="O84" s="717">
        <f>'02-Gd Beams'!E112</f>
        <v>0</v>
      </c>
      <c r="P84" s="709">
        <f t="shared" si="16"/>
        <v>40011</v>
      </c>
      <c r="Q84" s="518" t="str">
        <f t="shared" si="17"/>
        <v>Patch/Grout</v>
      </c>
      <c r="R84" s="715"/>
      <c r="S84" s="710">
        <f>'04-PT Slab on Grade Wrap'!E130</f>
        <v>0</v>
      </c>
      <c r="T84" s="712">
        <f t="shared" si="18"/>
        <v>40011</v>
      </c>
      <c r="U84" s="518" t="str">
        <f t="shared" si="19"/>
        <v>Patch/Grout</v>
      </c>
      <c r="V84" s="715"/>
      <c r="W84" s="718">
        <f>'04-PT Slab on Grade'!E130</f>
        <v>4366.1440858843534</v>
      </c>
      <c r="X84" s="712">
        <f t="shared" si="20"/>
        <v>50011</v>
      </c>
      <c r="Y84" s="518" t="str">
        <f t="shared" si="21"/>
        <v>Patch/Grout</v>
      </c>
      <c r="Z84" s="715"/>
      <c r="AA84" s="710">
        <f>'05-Slabs'!E130</f>
        <v>0</v>
      </c>
      <c r="AB84" s="709">
        <f t="shared" si="22"/>
        <v>30011</v>
      </c>
      <c r="AC84" s="518" t="str">
        <f t="shared" si="23"/>
        <v>Patch/Grout</v>
      </c>
      <c r="AD84" s="715"/>
      <c r="AE84" s="710">
        <f>'03-Walls &amp; Footings'!D115</f>
        <v>0</v>
      </c>
      <c r="AF84" s="712">
        <f t="shared" si="24"/>
        <v>60011</v>
      </c>
      <c r="AG84" s="518" t="str">
        <f t="shared" si="25"/>
        <v>Patch/Grout</v>
      </c>
      <c r="AH84" s="715"/>
      <c r="AI84" s="718">
        <f>'06-Walls &amp; Footings'!D115</f>
        <v>0</v>
      </c>
      <c r="AJ84" s="712">
        <f t="shared" si="26"/>
        <v>60011</v>
      </c>
      <c r="AK84" s="518" t="str">
        <f t="shared" si="27"/>
        <v>Patch/Grout</v>
      </c>
      <c r="AL84" s="715"/>
      <c r="AM84" s="718">
        <f>'06-Footings'!D115</f>
        <v>0</v>
      </c>
      <c r="AN84" s="712">
        <f t="shared" si="28"/>
        <v>60011</v>
      </c>
      <c r="AO84" s="518" t="str">
        <f t="shared" si="29"/>
        <v>Patch/Grout</v>
      </c>
      <c r="AP84" s="715"/>
      <c r="AQ84" s="710">
        <f>'06-Garage Walls &amp; Footings'!D115</f>
        <v>0</v>
      </c>
      <c r="AR84" s="712">
        <f t="shared" si="30"/>
        <v>70216.320485884353</v>
      </c>
      <c r="AS84" s="518" t="str">
        <f t="shared" si="31"/>
        <v>Patch/Grout</v>
      </c>
      <c r="AT84" s="715"/>
      <c r="AU84" s="710">
        <f>'06-Garage Footings'!D115</f>
        <v>0</v>
      </c>
      <c r="AV84" s="712">
        <f t="shared" si="32"/>
        <v>70011</v>
      </c>
      <c r="AW84" s="518" t="str">
        <f t="shared" si="33"/>
        <v>Patch/Grout</v>
      </c>
      <c r="AX84" s="715"/>
      <c r="AY84" s="717">
        <f>'07-COLUMNS'!D130</f>
        <v>0</v>
      </c>
      <c r="AZ84" s="712">
        <f t="shared" si="34"/>
        <v>80011</v>
      </c>
      <c r="BA84" s="518" t="str">
        <f t="shared" si="35"/>
        <v>Patch/Grout</v>
      </c>
      <c r="BB84" s="715"/>
      <c r="BC84" s="708">
        <f>'08-CIP EL. DECK'!D163</f>
        <v>0</v>
      </c>
      <c r="BD84" s="712">
        <f t="shared" si="36"/>
        <v>90011</v>
      </c>
      <c r="BE84" s="518" t="str">
        <f t="shared" si="37"/>
        <v>Patch/Grout</v>
      </c>
      <c r="BF84" s="715"/>
      <c r="BG84" s="717">
        <f>'09-SLAB ON DECK'!E129</f>
        <v>0</v>
      </c>
      <c r="BH84" s="712">
        <f t="shared" si="38"/>
        <v>100011</v>
      </c>
      <c r="BI84" s="518" t="str">
        <f t="shared" si="39"/>
        <v>Patch/Grout</v>
      </c>
      <c r="BJ84" s="715"/>
      <c r="BK84" s="717">
        <f>'10-PAVING'!D110</f>
        <v>0</v>
      </c>
      <c r="BL84" s="712">
        <f t="shared" si="40"/>
        <v>110011</v>
      </c>
      <c r="BM84" s="518" t="str">
        <f t="shared" si="41"/>
        <v>Patch/Grout</v>
      </c>
      <c r="BN84" s="715"/>
      <c r="BO84" s="717">
        <f>'11-Sidewalks'!D107</f>
        <v>0</v>
      </c>
      <c r="BP84" s="712">
        <f t="shared" si="42"/>
        <v>120011</v>
      </c>
      <c r="BQ84" s="518" t="str">
        <f t="shared" si="43"/>
        <v>Patch/Grout</v>
      </c>
      <c r="BR84" s="715"/>
      <c r="BS84" s="708">
        <f>'12-PANELS'!F125</f>
        <v>5850.1763999999994</v>
      </c>
      <c r="BT84" s="712">
        <f t="shared" si="44"/>
        <v>130011</v>
      </c>
      <c r="BU84" s="518" t="str">
        <f t="shared" si="45"/>
        <v>Patch/Grout</v>
      </c>
      <c r="BV84" s="715"/>
      <c r="BW84" s="717">
        <f>'13-Miscellaneous'!E58</f>
        <v>0</v>
      </c>
      <c r="BX84" s="709">
        <f t="shared" si="46"/>
        <v>140011</v>
      </c>
      <c r="BY84" s="518" t="str">
        <f t="shared" si="47"/>
        <v>Patch/Grout</v>
      </c>
      <c r="BZ84" s="715"/>
      <c r="CA84" s="717"/>
    </row>
    <row r="85" spans="1:79" ht="21" customHeight="1">
      <c r="A85" s="2910"/>
      <c r="B85" s="402">
        <v>12</v>
      </c>
      <c r="C85" s="714" t="s">
        <v>1102</v>
      </c>
      <c r="D85" s="518" t="s">
        <v>1103</v>
      </c>
      <c r="E85" s="518"/>
      <c r="F85" s="715"/>
      <c r="G85" s="708">
        <f t="shared" si="11"/>
        <v>17993.805929705213</v>
      </c>
      <c r="H85" s="712">
        <f t="shared" si="12"/>
        <v>10012</v>
      </c>
      <c r="I85" s="518" t="str">
        <f t="shared" si="13"/>
        <v>Poly/Vapor Barrier</v>
      </c>
      <c r="J85" s="715"/>
      <c r="K85" s="708">
        <f>'01-Piers'!E105</f>
        <v>0</v>
      </c>
      <c r="L85" s="712">
        <f t="shared" si="14"/>
        <v>20012</v>
      </c>
      <c r="M85" s="518" t="str">
        <f t="shared" si="15"/>
        <v>Poly/Vapor Barrier</v>
      </c>
      <c r="N85" s="715"/>
      <c r="O85" s="717">
        <f>'02-Gd Beams'!E113</f>
        <v>0</v>
      </c>
      <c r="P85" s="709">
        <f t="shared" si="16"/>
        <v>40012</v>
      </c>
      <c r="Q85" s="518" t="str">
        <f t="shared" si="17"/>
        <v>Poly/Vapor Barrier</v>
      </c>
      <c r="R85" s="715"/>
      <c r="S85" s="710">
        <f>'04-PT Slab on Grade Wrap'!E131</f>
        <v>0</v>
      </c>
      <c r="T85" s="712">
        <f t="shared" si="18"/>
        <v>40012</v>
      </c>
      <c r="U85" s="518" t="str">
        <f t="shared" si="19"/>
        <v>Poly/Vapor Barrier</v>
      </c>
      <c r="V85" s="715"/>
      <c r="W85" s="718">
        <f>'04-PT Slab on Grade'!E131</f>
        <v>17993.805929705213</v>
      </c>
      <c r="X85" s="712">
        <f t="shared" si="20"/>
        <v>50012</v>
      </c>
      <c r="Y85" s="518" t="str">
        <f t="shared" si="21"/>
        <v>Poly/Vapor Barrier</v>
      </c>
      <c r="Z85" s="715"/>
      <c r="AA85" s="710">
        <f>'05-Slabs'!E131</f>
        <v>0</v>
      </c>
      <c r="AB85" s="709">
        <f t="shared" si="22"/>
        <v>30012</v>
      </c>
      <c r="AC85" s="518" t="str">
        <f t="shared" si="23"/>
        <v>Poly/Vapor Barrier</v>
      </c>
      <c r="AD85" s="715"/>
      <c r="AE85" s="710">
        <f>'03-Walls &amp; Footings'!D116</f>
        <v>0</v>
      </c>
      <c r="AF85" s="712">
        <f t="shared" si="24"/>
        <v>60012</v>
      </c>
      <c r="AG85" s="518" t="str">
        <f t="shared" si="25"/>
        <v>Poly/Vapor Barrier</v>
      </c>
      <c r="AH85" s="715"/>
      <c r="AI85" s="718">
        <f>'06-Walls &amp; Footings'!D116</f>
        <v>0</v>
      </c>
      <c r="AJ85" s="712">
        <f t="shared" si="26"/>
        <v>60012</v>
      </c>
      <c r="AK85" s="518" t="str">
        <f t="shared" si="27"/>
        <v>Poly/Vapor Barrier</v>
      </c>
      <c r="AL85" s="715"/>
      <c r="AM85" s="718">
        <f>'06-Footings'!D116</f>
        <v>0</v>
      </c>
      <c r="AN85" s="712">
        <f t="shared" si="28"/>
        <v>60012</v>
      </c>
      <c r="AO85" s="518" t="str">
        <f t="shared" si="29"/>
        <v>Poly/Vapor Barrier</v>
      </c>
      <c r="AP85" s="715"/>
      <c r="AQ85" s="710">
        <f>'06-Garage Walls &amp; Footings'!D116</f>
        <v>0</v>
      </c>
      <c r="AR85" s="712">
        <f t="shared" si="30"/>
        <v>77993.80592970521</v>
      </c>
      <c r="AS85" s="518" t="str">
        <f t="shared" si="31"/>
        <v>Poly/Vapor Barrier</v>
      </c>
      <c r="AT85" s="715"/>
      <c r="AU85" s="710">
        <f>'06-Garage Footings'!D116</f>
        <v>0</v>
      </c>
      <c r="AV85" s="712">
        <f t="shared" si="32"/>
        <v>70012</v>
      </c>
      <c r="AW85" s="518" t="str">
        <f t="shared" si="33"/>
        <v>Poly/Vapor Barrier</v>
      </c>
      <c r="AX85" s="715"/>
      <c r="AY85" s="717">
        <f>'07-COLUMNS'!D131</f>
        <v>0</v>
      </c>
      <c r="AZ85" s="712">
        <f t="shared" si="34"/>
        <v>80012</v>
      </c>
      <c r="BA85" s="518" t="str">
        <f t="shared" si="35"/>
        <v>Poly/Vapor Barrier</v>
      </c>
      <c r="BB85" s="715"/>
      <c r="BC85" s="708">
        <f>'08-CIP EL. DECK'!D164</f>
        <v>0</v>
      </c>
      <c r="BD85" s="712">
        <f t="shared" si="36"/>
        <v>90012</v>
      </c>
      <c r="BE85" s="518" t="str">
        <f t="shared" si="37"/>
        <v>Poly/Vapor Barrier</v>
      </c>
      <c r="BF85" s="715"/>
      <c r="BG85" s="717">
        <f>'09-SLAB ON DECK'!E130</f>
        <v>0</v>
      </c>
      <c r="BH85" s="712">
        <f t="shared" si="38"/>
        <v>100012</v>
      </c>
      <c r="BI85" s="518" t="str">
        <f t="shared" si="39"/>
        <v>Poly/Vapor Barrier</v>
      </c>
      <c r="BJ85" s="715"/>
      <c r="BK85" s="717">
        <f>'10-PAVING'!D111</f>
        <v>0</v>
      </c>
      <c r="BL85" s="712">
        <f t="shared" si="40"/>
        <v>110012</v>
      </c>
      <c r="BM85" s="518" t="str">
        <f t="shared" si="41"/>
        <v>Poly/Vapor Barrier</v>
      </c>
      <c r="BN85" s="715"/>
      <c r="BO85" s="717">
        <f>'11-Sidewalks'!D108</f>
        <v>0</v>
      </c>
      <c r="BP85" s="712">
        <f t="shared" si="42"/>
        <v>120012</v>
      </c>
      <c r="BQ85" s="518" t="str">
        <f t="shared" si="43"/>
        <v>Poly/Vapor Barrier</v>
      </c>
      <c r="BR85" s="715"/>
      <c r="BS85" s="708">
        <f>'12-PANELS'!F126</f>
        <v>0</v>
      </c>
      <c r="BT85" s="712">
        <f t="shared" si="44"/>
        <v>130012</v>
      </c>
      <c r="BU85" s="518" t="str">
        <f t="shared" si="45"/>
        <v>Poly/Vapor Barrier</v>
      </c>
      <c r="BV85" s="715"/>
      <c r="BW85" s="717">
        <f>'13-Miscellaneous'!E59</f>
        <v>0</v>
      </c>
      <c r="BX85" s="709">
        <f t="shared" si="46"/>
        <v>140012</v>
      </c>
      <c r="BY85" s="518" t="str">
        <f t="shared" si="47"/>
        <v>Poly/Vapor Barrier</v>
      </c>
      <c r="BZ85" s="715"/>
      <c r="CA85" s="717"/>
    </row>
    <row r="86" spans="1:79" ht="21" customHeight="1">
      <c r="A86" s="2910"/>
      <c r="B86" s="402">
        <v>13</v>
      </c>
      <c r="C86" s="714" t="s">
        <v>1104</v>
      </c>
      <c r="D86" s="518" t="s">
        <v>1105</v>
      </c>
      <c r="E86" s="518"/>
      <c r="F86" s="715"/>
      <c r="G86" s="708">
        <f t="shared" si="11"/>
        <v>0</v>
      </c>
      <c r="H86" s="712">
        <f t="shared" si="12"/>
        <v>10013</v>
      </c>
      <c r="I86" s="518" t="str">
        <f t="shared" si="13"/>
        <v>Special Material</v>
      </c>
      <c r="J86" s="715"/>
      <c r="K86" s="708">
        <f>'01-Piers'!E106</f>
        <v>0</v>
      </c>
      <c r="L86" s="712">
        <f t="shared" si="14"/>
        <v>20013</v>
      </c>
      <c r="M86" s="518" t="str">
        <f>D86</f>
        <v>Special Material</v>
      </c>
      <c r="N86" s="715"/>
      <c r="O86" s="717">
        <f>'02-Gd Beams'!E114</f>
        <v>0</v>
      </c>
      <c r="P86" s="709">
        <f t="shared" si="16"/>
        <v>40013</v>
      </c>
      <c r="Q86" s="518" t="str">
        <f t="shared" si="17"/>
        <v>Special Material</v>
      </c>
      <c r="R86" s="715"/>
      <c r="S86" s="710">
        <f>'04-PT Slab on Grade Wrap'!E132</f>
        <v>0</v>
      </c>
      <c r="T86" s="712">
        <f t="shared" si="18"/>
        <v>40013</v>
      </c>
      <c r="U86" s="518" t="str">
        <f t="shared" si="19"/>
        <v>Special Material</v>
      </c>
      <c r="V86" s="715"/>
      <c r="W86" s="718">
        <f>'04-PT Slab on Grade'!E132</f>
        <v>0</v>
      </c>
      <c r="X86" s="712">
        <f t="shared" si="20"/>
        <v>50013</v>
      </c>
      <c r="Y86" s="518" t="str">
        <f t="shared" si="21"/>
        <v>Special Material</v>
      </c>
      <c r="Z86" s="715"/>
      <c r="AA86" s="710">
        <f>'05-Slabs'!E132</f>
        <v>0</v>
      </c>
      <c r="AB86" s="709">
        <f t="shared" si="22"/>
        <v>30013</v>
      </c>
      <c r="AC86" s="518" t="str">
        <f t="shared" si="23"/>
        <v>Special Material</v>
      </c>
      <c r="AD86" s="715"/>
      <c r="AE86" s="710">
        <f>'03-Walls &amp; Footings'!D117</f>
        <v>0</v>
      </c>
      <c r="AF86" s="712">
        <f t="shared" si="24"/>
        <v>60013</v>
      </c>
      <c r="AG86" s="518" t="str">
        <f t="shared" si="25"/>
        <v>Special Material</v>
      </c>
      <c r="AH86" s="715"/>
      <c r="AI86" s="718">
        <f>'06-Walls &amp; Footings'!D117</f>
        <v>0</v>
      </c>
      <c r="AJ86" s="712">
        <f t="shared" si="26"/>
        <v>60013</v>
      </c>
      <c r="AK86" s="518" t="str">
        <f t="shared" si="27"/>
        <v>Special Material</v>
      </c>
      <c r="AL86" s="715"/>
      <c r="AM86" s="718">
        <f>'06-Footings'!D117</f>
        <v>0</v>
      </c>
      <c r="AN86" s="712">
        <f t="shared" si="28"/>
        <v>60013</v>
      </c>
      <c r="AO86" s="518" t="str">
        <f t="shared" si="29"/>
        <v>Special Material</v>
      </c>
      <c r="AP86" s="715"/>
      <c r="AQ86" s="710">
        <f>'06-Garage Walls &amp; Footings'!D117</f>
        <v>0</v>
      </c>
      <c r="AR86" s="712">
        <f t="shared" si="30"/>
        <v>60000</v>
      </c>
      <c r="AS86" s="518" t="str">
        <f t="shared" si="31"/>
        <v>Special Material</v>
      </c>
      <c r="AT86" s="715"/>
      <c r="AU86" s="710">
        <f>'06-Garage Footings'!D117</f>
        <v>0</v>
      </c>
      <c r="AV86" s="712">
        <f t="shared" si="32"/>
        <v>70013</v>
      </c>
      <c r="AW86" s="518" t="str">
        <f t="shared" si="33"/>
        <v>Special Material</v>
      </c>
      <c r="AX86" s="715"/>
      <c r="AY86" s="717">
        <f>'07-COLUMNS'!D132</f>
        <v>0</v>
      </c>
      <c r="AZ86" s="712">
        <f t="shared" si="34"/>
        <v>80013</v>
      </c>
      <c r="BA86" s="518" t="str">
        <f t="shared" si="35"/>
        <v>Special Material</v>
      </c>
      <c r="BB86" s="715"/>
      <c r="BC86" s="708">
        <f>'08-CIP EL. DECK'!D165</f>
        <v>0</v>
      </c>
      <c r="BD86" s="712">
        <f t="shared" si="36"/>
        <v>90013</v>
      </c>
      <c r="BE86" s="518" t="str">
        <f t="shared" si="37"/>
        <v>Special Material</v>
      </c>
      <c r="BF86" s="715"/>
      <c r="BG86" s="717">
        <f>'09-SLAB ON DECK'!E131</f>
        <v>0</v>
      </c>
      <c r="BH86" s="712">
        <f t="shared" si="38"/>
        <v>100013</v>
      </c>
      <c r="BI86" s="518" t="str">
        <f t="shared" si="39"/>
        <v>Special Material</v>
      </c>
      <c r="BJ86" s="715"/>
      <c r="BK86" s="717">
        <f>'10-PAVING'!D112</f>
        <v>0</v>
      </c>
      <c r="BL86" s="712">
        <f t="shared" si="40"/>
        <v>110013</v>
      </c>
      <c r="BM86" s="518" t="str">
        <f t="shared" si="41"/>
        <v>Special Material</v>
      </c>
      <c r="BN86" s="715"/>
      <c r="BO86" s="717">
        <f>'11-Sidewalks'!D109</f>
        <v>0</v>
      </c>
      <c r="BP86" s="712">
        <f t="shared" si="42"/>
        <v>120013</v>
      </c>
      <c r="BQ86" s="518" t="str">
        <f t="shared" si="43"/>
        <v>Special Material</v>
      </c>
      <c r="BR86" s="715"/>
      <c r="BS86" s="708">
        <f>'12-PANELS'!F127</f>
        <v>0</v>
      </c>
      <c r="BT86" s="712">
        <f t="shared" si="44"/>
        <v>130013</v>
      </c>
      <c r="BU86" s="518" t="str">
        <f t="shared" si="45"/>
        <v>Special Material</v>
      </c>
      <c r="BV86" s="715"/>
      <c r="BW86" s="717">
        <f>'13-Miscellaneous'!E60</f>
        <v>0</v>
      </c>
      <c r="BX86" s="709">
        <f t="shared" si="46"/>
        <v>140013</v>
      </c>
      <c r="BY86" s="518" t="str">
        <f t="shared" si="47"/>
        <v>Special Material</v>
      </c>
    </row>
    <row r="87" spans="1:79" ht="21" customHeight="1">
      <c r="A87" s="2910"/>
      <c r="B87" s="402">
        <v>14</v>
      </c>
      <c r="C87" s="714" t="s">
        <v>1106</v>
      </c>
      <c r="D87" s="518" t="s">
        <v>1105</v>
      </c>
      <c r="E87" s="518"/>
      <c r="F87" s="715"/>
      <c r="G87" s="708">
        <f t="shared" si="11"/>
        <v>0</v>
      </c>
      <c r="H87" s="712">
        <f t="shared" si="12"/>
        <v>10014</v>
      </c>
      <c r="I87" s="518" t="str">
        <f t="shared" si="13"/>
        <v>Special Material</v>
      </c>
      <c r="J87" s="715"/>
      <c r="K87" s="708">
        <f>'01-Piers'!E107</f>
        <v>0</v>
      </c>
      <c r="L87" s="712">
        <f t="shared" si="14"/>
        <v>20014</v>
      </c>
      <c r="M87" s="518" t="str">
        <f t="shared" ref="M87:M131" si="48">Q87</f>
        <v>Special Material</v>
      </c>
      <c r="N87" s="715"/>
      <c r="O87" s="717">
        <f>'02-Gd Beams'!E115</f>
        <v>0</v>
      </c>
      <c r="P87" s="709">
        <f t="shared" si="16"/>
        <v>40014</v>
      </c>
      <c r="Q87" s="518" t="str">
        <f t="shared" si="17"/>
        <v>Special Material</v>
      </c>
      <c r="R87" s="715"/>
      <c r="S87" s="710">
        <f>'04-PT Slab on Grade Wrap'!E133</f>
        <v>0</v>
      </c>
      <c r="T87" s="712">
        <f t="shared" si="18"/>
        <v>40014</v>
      </c>
      <c r="U87" s="518" t="str">
        <f t="shared" si="19"/>
        <v>Special Material</v>
      </c>
      <c r="V87" s="715"/>
      <c r="W87" s="718">
        <f>'04-PT Slab on Grade'!E133</f>
        <v>0</v>
      </c>
      <c r="X87" s="712">
        <f t="shared" si="20"/>
        <v>50014</v>
      </c>
      <c r="Y87" s="518" t="str">
        <f t="shared" si="21"/>
        <v>Special Material</v>
      </c>
      <c r="Z87" s="715"/>
      <c r="AA87" s="710">
        <f>'05-Slabs'!E133</f>
        <v>0</v>
      </c>
      <c r="AB87" s="709">
        <f t="shared" si="22"/>
        <v>30014</v>
      </c>
      <c r="AC87" s="518" t="str">
        <f t="shared" si="23"/>
        <v>Special Material</v>
      </c>
      <c r="AD87" s="715"/>
      <c r="AE87" s="710">
        <f>'03-Walls &amp; Footings'!D118</f>
        <v>0</v>
      </c>
      <c r="AF87" s="712">
        <f t="shared" si="24"/>
        <v>60014</v>
      </c>
      <c r="AG87" s="518" t="str">
        <f t="shared" si="25"/>
        <v>Special Material</v>
      </c>
      <c r="AH87" s="715"/>
      <c r="AI87" s="718">
        <f>'06-Walls &amp; Footings'!D118</f>
        <v>0</v>
      </c>
      <c r="AJ87" s="712">
        <f t="shared" si="26"/>
        <v>60014</v>
      </c>
      <c r="AK87" s="518" t="str">
        <f t="shared" si="27"/>
        <v>Special Material</v>
      </c>
      <c r="AL87" s="715"/>
      <c r="AM87" s="718">
        <f>'06-Footings'!D118</f>
        <v>0</v>
      </c>
      <c r="AN87" s="712">
        <f t="shared" si="28"/>
        <v>60014</v>
      </c>
      <c r="AO87" s="518" t="str">
        <f t="shared" si="29"/>
        <v>Special Material</v>
      </c>
      <c r="AP87" s="715"/>
      <c r="AQ87" s="710">
        <f>'06-Garage Walls &amp; Footings'!D118</f>
        <v>0</v>
      </c>
      <c r="AR87" s="712">
        <f t="shared" si="30"/>
        <v>60000</v>
      </c>
      <c r="AS87" s="518" t="str">
        <f t="shared" si="31"/>
        <v>Special Material</v>
      </c>
      <c r="AT87" s="715"/>
      <c r="AU87" s="710">
        <f>'06-Garage Footings'!D118</f>
        <v>0</v>
      </c>
      <c r="AV87" s="712">
        <f t="shared" si="32"/>
        <v>70014</v>
      </c>
      <c r="AW87" s="518" t="str">
        <f t="shared" si="33"/>
        <v>Special Material</v>
      </c>
      <c r="AX87" s="715"/>
      <c r="AY87" s="717">
        <f>'07-COLUMNS'!D133</f>
        <v>0</v>
      </c>
      <c r="AZ87" s="712">
        <f t="shared" si="34"/>
        <v>80014</v>
      </c>
      <c r="BA87" s="518" t="str">
        <f t="shared" si="35"/>
        <v>Special Material</v>
      </c>
      <c r="BB87" s="715"/>
      <c r="BC87" s="708">
        <f>'08-CIP EL. DECK'!D166</f>
        <v>0</v>
      </c>
      <c r="BD87" s="712">
        <f t="shared" si="36"/>
        <v>90014</v>
      </c>
      <c r="BE87" s="518" t="str">
        <f t="shared" si="37"/>
        <v>Special Material</v>
      </c>
      <c r="BF87" s="715"/>
      <c r="BG87" s="717">
        <f>'09-SLAB ON DECK'!E132</f>
        <v>0</v>
      </c>
      <c r="BH87" s="712">
        <f t="shared" si="38"/>
        <v>100014</v>
      </c>
      <c r="BI87" s="518" t="str">
        <f t="shared" si="39"/>
        <v>Special Material</v>
      </c>
      <c r="BJ87" s="715"/>
      <c r="BK87" s="717">
        <f>'10-PAVING'!D113</f>
        <v>0</v>
      </c>
      <c r="BL87" s="712">
        <f t="shared" si="40"/>
        <v>110014</v>
      </c>
      <c r="BM87" s="518" t="str">
        <f t="shared" si="41"/>
        <v>Special Material</v>
      </c>
      <c r="BN87" s="715"/>
      <c r="BO87" s="717">
        <f>'11-Sidewalks'!D110</f>
        <v>0</v>
      </c>
      <c r="BP87" s="712">
        <f t="shared" si="42"/>
        <v>120014</v>
      </c>
      <c r="BQ87" s="518" t="str">
        <f t="shared" si="43"/>
        <v>Special Material</v>
      </c>
      <c r="BR87" s="715"/>
      <c r="BS87" s="708">
        <f>'12-PANELS'!F128</f>
        <v>0</v>
      </c>
      <c r="BT87" s="712">
        <f t="shared" si="44"/>
        <v>130014</v>
      </c>
      <c r="BU87" s="518" t="str">
        <f t="shared" si="45"/>
        <v>Special Material</v>
      </c>
      <c r="BV87" s="715"/>
      <c r="BW87" s="717">
        <f>'13-Miscellaneous'!E61</f>
        <v>0</v>
      </c>
      <c r="BX87" s="709">
        <f t="shared" si="46"/>
        <v>140014</v>
      </c>
      <c r="BY87" s="518" t="str">
        <f t="shared" si="47"/>
        <v>Special Material</v>
      </c>
    </row>
    <row r="88" spans="1:79" ht="21" customHeight="1">
      <c r="A88" s="2910"/>
      <c r="B88" s="719">
        <v>15</v>
      </c>
      <c r="C88" s="714" t="s">
        <v>1107</v>
      </c>
      <c r="D88" s="518" t="s">
        <v>1108</v>
      </c>
      <c r="E88" s="518"/>
      <c r="F88" s="715"/>
      <c r="G88" s="708">
        <f t="shared" si="11"/>
        <v>0</v>
      </c>
      <c r="H88" s="712">
        <f t="shared" si="12"/>
        <v>10015</v>
      </c>
      <c r="I88" s="518" t="str">
        <f t="shared" si="13"/>
        <v>PPE/Safety</v>
      </c>
      <c r="J88" s="715"/>
      <c r="K88" s="708">
        <f>'01-Piers'!E108</f>
        <v>0</v>
      </c>
      <c r="L88" s="712">
        <f t="shared" si="14"/>
        <v>20015</v>
      </c>
      <c r="M88" s="518" t="str">
        <f t="shared" si="48"/>
        <v>PPE/Safety</v>
      </c>
      <c r="N88" s="715"/>
      <c r="O88" s="717">
        <f>'02-Gd Beams'!E116</f>
        <v>0</v>
      </c>
      <c r="P88" s="709">
        <f t="shared" si="16"/>
        <v>40015</v>
      </c>
      <c r="Q88" s="518" t="str">
        <f t="shared" si="17"/>
        <v>PPE/Safety</v>
      </c>
      <c r="R88" s="715"/>
      <c r="S88" s="710">
        <f>'04-PT Slab on Grade Wrap'!E134</f>
        <v>0</v>
      </c>
      <c r="T88" s="720">
        <f t="shared" si="18"/>
        <v>40015</v>
      </c>
      <c r="U88" s="518" t="str">
        <f t="shared" si="19"/>
        <v>PPE/Safety</v>
      </c>
      <c r="V88" s="715"/>
      <c r="W88" s="718">
        <f>'04-PT Slab on Grade'!E134</f>
        <v>0</v>
      </c>
      <c r="X88" s="712">
        <f t="shared" si="20"/>
        <v>50015</v>
      </c>
      <c r="Y88" s="518" t="str">
        <f t="shared" si="21"/>
        <v>PPE/Safety</v>
      </c>
      <c r="Z88" s="715"/>
      <c r="AA88" s="721">
        <f>'05-Slabs'!E134</f>
        <v>0</v>
      </c>
      <c r="AB88" s="709">
        <f t="shared" si="22"/>
        <v>30015</v>
      </c>
      <c r="AC88" s="518" t="str">
        <f t="shared" si="23"/>
        <v>PPE/Safety</v>
      </c>
      <c r="AD88" s="715"/>
      <c r="AE88" s="710">
        <f>'03-Walls &amp; Footings'!D119</f>
        <v>0</v>
      </c>
      <c r="AF88" s="716">
        <f t="shared" si="24"/>
        <v>60015</v>
      </c>
      <c r="AG88" s="518" t="str">
        <f t="shared" si="25"/>
        <v>PPE/Safety</v>
      </c>
      <c r="AH88" s="715"/>
      <c r="AI88" s="718">
        <f>'06-Walls &amp; Footings'!D119</f>
        <v>0</v>
      </c>
      <c r="AJ88" s="716">
        <f t="shared" si="26"/>
        <v>60015</v>
      </c>
      <c r="AK88" s="518" t="str">
        <f t="shared" si="27"/>
        <v>PPE/Safety</v>
      </c>
      <c r="AL88" s="715"/>
      <c r="AM88" s="718">
        <f>'06-Footings'!D119</f>
        <v>0</v>
      </c>
      <c r="AN88" s="716">
        <f t="shared" si="28"/>
        <v>60015</v>
      </c>
      <c r="AO88" s="518" t="str">
        <f t="shared" si="29"/>
        <v>PPE/Safety</v>
      </c>
      <c r="AP88" s="715"/>
      <c r="AQ88" s="710">
        <f>'06-Garage Walls &amp; Footings'!D119</f>
        <v>0</v>
      </c>
      <c r="AR88" s="716">
        <f t="shared" si="30"/>
        <v>60000</v>
      </c>
      <c r="AS88" s="518" t="str">
        <f t="shared" si="31"/>
        <v>PPE/Safety</v>
      </c>
      <c r="AT88" s="715"/>
      <c r="AU88" s="710">
        <f>'06-Garage Footings'!D119</f>
        <v>0</v>
      </c>
      <c r="AV88" s="712">
        <f t="shared" si="32"/>
        <v>70015</v>
      </c>
      <c r="AW88" s="518" t="str">
        <f t="shared" si="33"/>
        <v>PPE/Safety</v>
      </c>
      <c r="AX88" s="715"/>
      <c r="AY88" s="717">
        <f>'07-COLUMNS'!D134</f>
        <v>0</v>
      </c>
      <c r="AZ88" s="712">
        <f t="shared" si="34"/>
        <v>80015</v>
      </c>
      <c r="BA88" s="518" t="str">
        <f t="shared" si="35"/>
        <v>PPE/Safety</v>
      </c>
      <c r="BB88" s="715"/>
      <c r="BC88" s="708">
        <f>'08-CIP EL. DECK'!D167</f>
        <v>0</v>
      </c>
      <c r="BD88" s="712">
        <f t="shared" si="36"/>
        <v>90015</v>
      </c>
      <c r="BE88" s="518" t="str">
        <f t="shared" si="37"/>
        <v>PPE/Safety</v>
      </c>
      <c r="BF88" s="715"/>
      <c r="BG88" s="717">
        <f>'09-SLAB ON DECK'!E133</f>
        <v>0</v>
      </c>
      <c r="BH88" s="712">
        <f t="shared" si="38"/>
        <v>100015</v>
      </c>
      <c r="BI88" s="518" t="str">
        <f t="shared" si="39"/>
        <v>PPE/Safety</v>
      </c>
      <c r="BJ88" s="715"/>
      <c r="BK88" s="717">
        <f>'10-PAVING'!D114</f>
        <v>0</v>
      </c>
      <c r="BL88" s="712">
        <f t="shared" si="40"/>
        <v>110015</v>
      </c>
      <c r="BM88" s="518" t="str">
        <f t="shared" si="41"/>
        <v>PPE/Safety</v>
      </c>
      <c r="BN88" s="715"/>
      <c r="BO88" s="717">
        <f>'11-Sidewalks'!D111</f>
        <v>0</v>
      </c>
      <c r="BP88" s="712">
        <f t="shared" si="42"/>
        <v>120015</v>
      </c>
      <c r="BQ88" s="518" t="str">
        <f t="shared" si="43"/>
        <v>PPE/Safety</v>
      </c>
      <c r="BR88" s="715"/>
      <c r="BS88" s="722">
        <f>'12-PANELS'!F129</f>
        <v>0</v>
      </c>
      <c r="BT88" s="712">
        <f t="shared" si="44"/>
        <v>130015</v>
      </c>
      <c r="BU88" s="518" t="str">
        <f t="shared" si="45"/>
        <v>PPE/Safety</v>
      </c>
      <c r="BV88" s="715"/>
      <c r="BW88" s="717">
        <f>'13-Miscellaneous'!E62</f>
        <v>0</v>
      </c>
      <c r="BX88" s="709">
        <f t="shared" si="46"/>
        <v>140015</v>
      </c>
      <c r="BY88" s="518" t="str">
        <f t="shared" si="47"/>
        <v>PPE/Safety</v>
      </c>
    </row>
    <row r="89" spans="1:79" ht="21" customHeight="1">
      <c r="A89" s="723"/>
      <c r="B89" s="704">
        <v>20</v>
      </c>
      <c r="C89" s="724" t="s">
        <v>1109</v>
      </c>
      <c r="D89" s="725" t="s">
        <v>1110</v>
      </c>
      <c r="E89" s="725"/>
      <c r="F89" s="726"/>
      <c r="G89" s="708">
        <f t="shared" si="11"/>
        <v>157797.54814583334</v>
      </c>
      <c r="H89" s="727">
        <f t="shared" si="12"/>
        <v>10020</v>
      </c>
      <c r="I89" s="725" t="str">
        <f t="shared" si="13"/>
        <v>Supervision</v>
      </c>
      <c r="J89" s="726"/>
      <c r="K89" s="728">
        <f>'01-Piers'!E109</f>
        <v>8875</v>
      </c>
      <c r="L89" s="727">
        <f t="shared" si="14"/>
        <v>20020</v>
      </c>
      <c r="M89" s="725" t="str">
        <f t="shared" si="48"/>
        <v>Supervision</v>
      </c>
      <c r="N89" s="726"/>
      <c r="O89" s="728">
        <f>'02-Gd Beams'!E117</f>
        <v>0</v>
      </c>
      <c r="P89" s="709">
        <f t="shared" si="16"/>
        <v>40020</v>
      </c>
      <c r="Q89" s="725" t="str">
        <f t="shared" si="17"/>
        <v>Supervision</v>
      </c>
      <c r="R89" s="726"/>
      <c r="S89" s="710">
        <f>'04-PT Slab on Grade Wrap'!E135</f>
        <v>0</v>
      </c>
      <c r="T89" s="709">
        <f t="shared" si="18"/>
        <v>40020</v>
      </c>
      <c r="U89" s="725" t="str">
        <f t="shared" si="19"/>
        <v>Supervision</v>
      </c>
      <c r="V89" s="726"/>
      <c r="W89" s="728">
        <f>'04-PT Slab on Grade'!E135</f>
        <v>11662.557812499999</v>
      </c>
      <c r="X89" s="727">
        <f t="shared" si="20"/>
        <v>50020</v>
      </c>
      <c r="Y89" s="725" t="str">
        <f t="shared" si="21"/>
        <v>Supervision</v>
      </c>
      <c r="Z89" s="726"/>
      <c r="AA89" s="710">
        <f>'05-Slabs'!E135</f>
        <v>0</v>
      </c>
      <c r="AB89" s="709">
        <f t="shared" si="22"/>
        <v>30020</v>
      </c>
      <c r="AC89" s="725" t="str">
        <f t="shared" si="23"/>
        <v>Supervision</v>
      </c>
      <c r="AD89" s="726"/>
      <c r="AE89" s="710">
        <f>'03-Walls &amp; Footings'!D120</f>
        <v>0</v>
      </c>
      <c r="AF89" s="727">
        <f t="shared" si="24"/>
        <v>60020</v>
      </c>
      <c r="AG89" s="725" t="str">
        <f t="shared" si="25"/>
        <v>Supervision</v>
      </c>
      <c r="AH89" s="726"/>
      <c r="AI89" s="728">
        <f>'06-Walls &amp; Footings'!D120</f>
        <v>5500</v>
      </c>
      <c r="AJ89" s="727">
        <f t="shared" si="26"/>
        <v>60020</v>
      </c>
      <c r="AK89" s="725" t="str">
        <f t="shared" si="27"/>
        <v>Supervision</v>
      </c>
      <c r="AL89" s="726"/>
      <c r="AM89" s="728">
        <f>'06-Footings'!D120</f>
        <v>0</v>
      </c>
      <c r="AN89" s="727">
        <f t="shared" si="28"/>
        <v>60020</v>
      </c>
      <c r="AO89" s="725" t="str">
        <f t="shared" si="29"/>
        <v>Supervision</v>
      </c>
      <c r="AP89" s="726"/>
      <c r="AQ89" s="710">
        <f>'06-Garage Walls &amp; Footings'!D120</f>
        <v>0</v>
      </c>
      <c r="AR89" s="727">
        <f t="shared" si="30"/>
        <v>217797.54814583334</v>
      </c>
      <c r="AS89" s="725" t="str">
        <f t="shared" si="31"/>
        <v>Supervision</v>
      </c>
      <c r="AT89" s="726"/>
      <c r="AU89" s="710">
        <f>'06-Garage Footings'!D120</f>
        <v>0</v>
      </c>
      <c r="AV89" s="727">
        <f t="shared" si="32"/>
        <v>70020</v>
      </c>
      <c r="AW89" s="725" t="str">
        <f t="shared" si="33"/>
        <v>Supervision</v>
      </c>
      <c r="AX89" s="726"/>
      <c r="AY89" s="728">
        <f>'07-COLUMNS'!D135</f>
        <v>11475</v>
      </c>
      <c r="AZ89" s="727">
        <f t="shared" si="34"/>
        <v>80020</v>
      </c>
      <c r="BA89" s="725" t="str">
        <f t="shared" si="35"/>
        <v>Supervision</v>
      </c>
      <c r="BB89" s="726"/>
      <c r="BC89" s="728">
        <f>'08-CIP EL. DECK'!D168</f>
        <v>40500</v>
      </c>
      <c r="BD89" s="727">
        <f t="shared" si="36"/>
        <v>90020</v>
      </c>
      <c r="BE89" s="725" t="str">
        <f t="shared" si="37"/>
        <v>Supervision</v>
      </c>
      <c r="BF89" s="726"/>
      <c r="BG89" s="728">
        <f>'09-SLAB ON DECK'!E134</f>
        <v>0</v>
      </c>
      <c r="BH89" s="727">
        <f t="shared" si="38"/>
        <v>100020</v>
      </c>
      <c r="BI89" s="725" t="str">
        <f t="shared" si="39"/>
        <v>Supervision</v>
      </c>
      <c r="BJ89" s="726"/>
      <c r="BK89" s="728">
        <f>'10-PAVING'!D115</f>
        <v>32451.657000000003</v>
      </c>
      <c r="BL89" s="727">
        <f t="shared" si="40"/>
        <v>110020</v>
      </c>
      <c r="BM89" s="725" t="str">
        <f t="shared" si="41"/>
        <v>Supervision</v>
      </c>
      <c r="BN89" s="726"/>
      <c r="BO89" s="728">
        <f>'11-Sidewalks'!D112</f>
        <v>23333.333333333336</v>
      </c>
      <c r="BP89" s="729">
        <f t="shared" si="42"/>
        <v>120020</v>
      </c>
      <c r="BQ89" s="725" t="str">
        <f t="shared" si="43"/>
        <v>Supervision</v>
      </c>
      <c r="BR89" s="726"/>
      <c r="BS89" s="708">
        <f>'12-PANELS'!F130</f>
        <v>24000</v>
      </c>
      <c r="BT89" s="730">
        <f t="shared" si="44"/>
        <v>130020</v>
      </c>
      <c r="BU89" s="731" t="str">
        <f t="shared" si="45"/>
        <v>Supervision</v>
      </c>
      <c r="BV89" s="731"/>
      <c r="BW89" s="732">
        <f>'13-Miscellaneous'!E63</f>
        <v>0</v>
      </c>
      <c r="BX89" s="709">
        <f t="shared" si="46"/>
        <v>140020</v>
      </c>
      <c r="BY89" s="731" t="str">
        <f t="shared" si="47"/>
        <v>Supervision</v>
      </c>
    </row>
    <row r="90" spans="1:79" ht="21" customHeight="1">
      <c r="A90" s="733" t="s">
        <v>1110</v>
      </c>
      <c r="B90" s="734">
        <v>21</v>
      </c>
      <c r="C90" s="735" t="s">
        <v>1111</v>
      </c>
      <c r="D90" s="736" t="s">
        <v>1112</v>
      </c>
      <c r="E90" s="736"/>
      <c r="F90" s="248"/>
      <c r="G90" s="708">
        <f t="shared" si="11"/>
        <v>26996.481916666668</v>
      </c>
      <c r="H90" s="737">
        <f t="shared" si="12"/>
        <v>10021</v>
      </c>
      <c r="I90" s="736" t="str">
        <f t="shared" si="13"/>
        <v>Supervision Expense</v>
      </c>
      <c r="J90" s="248"/>
      <c r="K90" s="738">
        <f>'01-Piers'!E110</f>
        <v>1500</v>
      </c>
      <c r="L90" s="739">
        <f t="shared" si="14"/>
        <v>20021</v>
      </c>
      <c r="M90" s="736" t="str">
        <f t="shared" si="48"/>
        <v>Supervision Expense</v>
      </c>
      <c r="N90" s="248"/>
      <c r="O90" s="738">
        <f>'02-Gd Beams'!E118</f>
        <v>0</v>
      </c>
      <c r="P90" s="709">
        <f t="shared" si="16"/>
        <v>40021</v>
      </c>
      <c r="Q90" s="736" t="str">
        <f t="shared" si="17"/>
        <v>Supervision Expense</v>
      </c>
      <c r="R90" s="248"/>
      <c r="S90" s="710">
        <f>'04-PT Slab on Grade Wrap'!E136</f>
        <v>0</v>
      </c>
      <c r="T90" s="720">
        <f t="shared" si="18"/>
        <v>40021</v>
      </c>
      <c r="U90" s="736" t="str">
        <f t="shared" si="19"/>
        <v>Supervision Expense</v>
      </c>
      <c r="V90" s="248"/>
      <c r="W90" s="740">
        <f>'04-PT Slab on Grade'!E136</f>
        <v>2744.1312499999999</v>
      </c>
      <c r="X90" s="739">
        <f t="shared" si="20"/>
        <v>50021</v>
      </c>
      <c r="Y90" s="736" t="str">
        <f t="shared" si="21"/>
        <v>Supervision Expense</v>
      </c>
      <c r="Z90" s="248"/>
      <c r="AA90" s="248">
        <f>'05-Slabs'!E136</f>
        <v>0</v>
      </c>
      <c r="AB90" s="709">
        <f t="shared" si="22"/>
        <v>30021</v>
      </c>
      <c r="AC90" s="736" t="str">
        <f t="shared" si="23"/>
        <v>Supervision Expense</v>
      </c>
      <c r="AD90" s="248"/>
      <c r="AE90" s="710">
        <f>'03-Walls &amp; Footings'!D121</f>
        <v>0</v>
      </c>
      <c r="AF90" s="739">
        <f t="shared" si="24"/>
        <v>60021</v>
      </c>
      <c r="AG90" s="736" t="str">
        <f t="shared" si="25"/>
        <v>Supervision Expense</v>
      </c>
      <c r="AH90" s="248"/>
      <c r="AI90" s="740">
        <f>'06-Walls &amp; Footings'!D121</f>
        <v>500</v>
      </c>
      <c r="AJ90" s="739">
        <f t="shared" si="26"/>
        <v>60021</v>
      </c>
      <c r="AK90" s="736" t="str">
        <f t="shared" si="27"/>
        <v>Supervision Expense</v>
      </c>
      <c r="AL90" s="248"/>
      <c r="AM90" s="740">
        <f>'06-Footings'!D121</f>
        <v>0</v>
      </c>
      <c r="AN90" s="739">
        <f t="shared" si="28"/>
        <v>60021</v>
      </c>
      <c r="AO90" s="736" t="str">
        <f t="shared" si="29"/>
        <v>Supervision Expense</v>
      </c>
      <c r="AP90" s="248"/>
      <c r="AQ90" s="710">
        <f>'06-Garage Walls &amp; Footings'!D121</f>
        <v>0</v>
      </c>
      <c r="AR90" s="739">
        <f t="shared" si="30"/>
        <v>86996.481916666671</v>
      </c>
      <c r="AS90" s="736" t="str">
        <f t="shared" si="31"/>
        <v>Supervision Expense</v>
      </c>
      <c r="AT90" s="248"/>
      <c r="AU90" s="710">
        <f>'06-Garage Footings'!D121</f>
        <v>0</v>
      </c>
      <c r="AV90" s="739">
        <f t="shared" si="32"/>
        <v>70021</v>
      </c>
      <c r="AW90" s="736" t="str">
        <f t="shared" si="33"/>
        <v>Supervision Expense</v>
      </c>
      <c r="AX90" s="248"/>
      <c r="AY90" s="738">
        <f>'07-COLUMNS'!D136</f>
        <v>1700</v>
      </c>
      <c r="AZ90" s="739">
        <f t="shared" si="34"/>
        <v>80021</v>
      </c>
      <c r="BA90" s="736" t="str">
        <f t="shared" si="35"/>
        <v>Supervision Expense</v>
      </c>
      <c r="BB90" s="248"/>
      <c r="BC90" s="738">
        <f>'08-CIP EL. DECK'!D169</f>
        <v>6000</v>
      </c>
      <c r="BD90" s="739">
        <f t="shared" si="36"/>
        <v>90021</v>
      </c>
      <c r="BE90" s="736" t="str">
        <f t="shared" si="37"/>
        <v>Supervision Expense</v>
      </c>
      <c r="BF90" s="248"/>
      <c r="BG90" s="738">
        <f>'09-SLAB ON DECK'!E135</f>
        <v>0</v>
      </c>
      <c r="BH90" s="739">
        <f t="shared" si="38"/>
        <v>100021</v>
      </c>
      <c r="BI90" s="736" t="str">
        <f t="shared" si="39"/>
        <v>Supervision Expense</v>
      </c>
      <c r="BJ90" s="248"/>
      <c r="BK90" s="738">
        <f>'10-PAVING'!D116</f>
        <v>7635.6840000000002</v>
      </c>
      <c r="BL90" s="739">
        <f t="shared" si="40"/>
        <v>110021</v>
      </c>
      <c r="BM90" s="736" t="str">
        <f t="shared" si="41"/>
        <v>Supervision Expense</v>
      </c>
      <c r="BN90" s="248"/>
      <c r="BO90" s="738">
        <f>'11-Sidewalks'!D113</f>
        <v>2916.666666666667</v>
      </c>
      <c r="BP90" s="739">
        <f t="shared" si="42"/>
        <v>120021</v>
      </c>
      <c r="BQ90" s="736" t="str">
        <f t="shared" si="43"/>
        <v>Supervision Expense</v>
      </c>
      <c r="BR90" s="248"/>
      <c r="BS90" s="722">
        <f>'12-PANELS'!F131</f>
        <v>4000</v>
      </c>
      <c r="BT90" s="739">
        <f t="shared" si="44"/>
        <v>130021</v>
      </c>
      <c r="BU90" s="736" t="str">
        <f t="shared" si="45"/>
        <v>Supervision Expense</v>
      </c>
      <c r="BV90" s="248"/>
      <c r="BW90" s="738">
        <f>'13-Miscellaneous'!E64</f>
        <v>0</v>
      </c>
      <c r="BX90" s="709">
        <f t="shared" si="46"/>
        <v>140021</v>
      </c>
      <c r="BY90" s="736" t="str">
        <f t="shared" si="47"/>
        <v>Supervision Expense</v>
      </c>
    </row>
    <row r="91" spans="1:79" ht="21" customHeight="1">
      <c r="A91" s="2911" t="s">
        <v>1113</v>
      </c>
      <c r="B91" s="741">
        <v>22</v>
      </c>
      <c r="C91" s="705" t="s">
        <v>1114</v>
      </c>
      <c r="D91" s="707" t="s">
        <v>1115</v>
      </c>
      <c r="E91" s="12"/>
      <c r="F91" s="715"/>
      <c r="G91" s="708">
        <f t="shared" si="11"/>
        <v>25804.929166666669</v>
      </c>
      <c r="H91" s="709">
        <f t="shared" si="12"/>
        <v>10022</v>
      </c>
      <c r="I91" s="518" t="str">
        <f t="shared" si="13"/>
        <v>Project Management</v>
      </c>
      <c r="J91" s="715"/>
      <c r="K91" s="708">
        <f>'01-Piers'!E111</f>
        <v>2000</v>
      </c>
      <c r="L91" s="709">
        <f t="shared" si="14"/>
        <v>20022</v>
      </c>
      <c r="M91" s="518" t="str">
        <f t="shared" si="48"/>
        <v>Project Management</v>
      </c>
      <c r="N91" s="715"/>
      <c r="O91" s="708">
        <f>'02-Gd Beams'!E119</f>
        <v>0</v>
      </c>
      <c r="P91" s="709">
        <f t="shared" si="16"/>
        <v>40022</v>
      </c>
      <c r="Q91" s="707" t="str">
        <f t="shared" si="17"/>
        <v>Project Management</v>
      </c>
      <c r="R91" s="296"/>
      <c r="S91" s="710">
        <f>'04-PT Slab on Grade Wrap'!E137</f>
        <v>0</v>
      </c>
      <c r="T91" s="709">
        <f t="shared" si="18"/>
        <v>40022</v>
      </c>
      <c r="U91" s="707" t="str">
        <f t="shared" si="19"/>
        <v>Project Management</v>
      </c>
      <c r="V91" s="296"/>
      <c r="W91" s="710">
        <f>'04-PT Slab on Grade'!E137</f>
        <v>5488.2624999999998</v>
      </c>
      <c r="X91" s="709">
        <f t="shared" si="20"/>
        <v>50022</v>
      </c>
      <c r="Y91" s="707" t="str">
        <f t="shared" si="21"/>
        <v>Project Management</v>
      </c>
      <c r="Z91" s="296"/>
      <c r="AA91" s="710">
        <f>'05-Slabs'!E137</f>
        <v>0</v>
      </c>
      <c r="AB91" s="709">
        <f t="shared" si="22"/>
        <v>30022</v>
      </c>
      <c r="AC91" s="707" t="str">
        <f t="shared" si="23"/>
        <v>Project Management</v>
      </c>
      <c r="AD91" s="296"/>
      <c r="AE91" s="710">
        <f>'03-Walls &amp; Footings'!D122</f>
        <v>0</v>
      </c>
      <c r="AF91" s="709">
        <f t="shared" si="24"/>
        <v>60022</v>
      </c>
      <c r="AG91" s="707" t="str">
        <f t="shared" si="25"/>
        <v>Project Management</v>
      </c>
      <c r="AH91" s="296"/>
      <c r="AI91" s="710">
        <f>'06-Walls &amp; Footings'!D122</f>
        <v>0</v>
      </c>
      <c r="AJ91" s="709">
        <f t="shared" si="26"/>
        <v>60022</v>
      </c>
      <c r="AK91" s="707" t="str">
        <f t="shared" si="27"/>
        <v>Project Management</v>
      </c>
      <c r="AL91" s="296"/>
      <c r="AM91" s="710">
        <f>'06-Footings'!D122</f>
        <v>0</v>
      </c>
      <c r="AN91" s="709">
        <f t="shared" si="28"/>
        <v>60022</v>
      </c>
      <c r="AO91" s="707" t="str">
        <f t="shared" si="29"/>
        <v>Project Management</v>
      </c>
      <c r="AP91" s="296"/>
      <c r="AQ91" s="710">
        <f>'06-Garage Walls &amp; Footings'!D122</f>
        <v>0</v>
      </c>
      <c r="AR91" s="709">
        <f t="shared" si="30"/>
        <v>85804.929166666669</v>
      </c>
      <c r="AS91" s="707" t="str">
        <f t="shared" si="31"/>
        <v>Project Management</v>
      </c>
      <c r="AT91" s="296"/>
      <c r="AU91" s="710">
        <f>'06-Garage Footings'!D122</f>
        <v>0</v>
      </c>
      <c r="AV91" s="709">
        <f t="shared" si="32"/>
        <v>70022</v>
      </c>
      <c r="AW91" s="707" t="str">
        <f t="shared" si="33"/>
        <v>Project Management</v>
      </c>
      <c r="AX91" s="296"/>
      <c r="AY91" s="708">
        <f>'07-COLUMNS'!D137</f>
        <v>3400</v>
      </c>
      <c r="AZ91" s="709">
        <f t="shared" si="34"/>
        <v>80022</v>
      </c>
      <c r="BA91" s="707" t="str">
        <f t="shared" si="35"/>
        <v>Project Management</v>
      </c>
      <c r="BB91" s="296"/>
      <c r="BC91" s="708">
        <f>'08-CIP EL. DECK'!D170</f>
        <v>12000</v>
      </c>
      <c r="BD91" s="709">
        <f t="shared" si="36"/>
        <v>90022</v>
      </c>
      <c r="BE91" s="707" t="str">
        <f t="shared" si="37"/>
        <v>Project Management</v>
      </c>
      <c r="BF91" s="296"/>
      <c r="BG91" s="708">
        <f>'09-SLAB ON DECK'!E136</f>
        <v>0</v>
      </c>
      <c r="BH91" s="742">
        <f t="shared" si="38"/>
        <v>100022</v>
      </c>
      <c r="BI91" s="707" t="str">
        <f t="shared" si="39"/>
        <v>Project Management</v>
      </c>
      <c r="BJ91" s="296"/>
      <c r="BK91" s="708">
        <f>'10-PAVING'!D117</f>
        <v>0</v>
      </c>
      <c r="BL91" s="742">
        <f t="shared" si="40"/>
        <v>110022</v>
      </c>
      <c r="BM91" s="707" t="str">
        <f t="shared" si="41"/>
        <v>Project Management</v>
      </c>
      <c r="BN91" s="296"/>
      <c r="BO91" s="708">
        <f>'11-Sidewalks'!D114</f>
        <v>2916.666666666667</v>
      </c>
      <c r="BP91" s="709">
        <f t="shared" si="42"/>
        <v>120022</v>
      </c>
      <c r="BQ91" s="707" t="str">
        <f t="shared" si="43"/>
        <v>Project Management</v>
      </c>
      <c r="BR91" s="296"/>
      <c r="BS91" s="708">
        <f>'12-PANELS'!F132</f>
        <v>0</v>
      </c>
      <c r="BT91" s="709">
        <f t="shared" si="44"/>
        <v>130022</v>
      </c>
      <c r="BU91" s="707" t="str">
        <f t="shared" si="45"/>
        <v>Project Management</v>
      </c>
      <c r="BV91" s="296"/>
      <c r="BW91" s="708">
        <f>'13-Miscellaneous'!E65</f>
        <v>0</v>
      </c>
      <c r="BX91" s="709">
        <f t="shared" si="46"/>
        <v>140022</v>
      </c>
      <c r="BY91" s="707" t="str">
        <f t="shared" si="47"/>
        <v>Project Management</v>
      </c>
    </row>
    <row r="92" spans="1:79" ht="21" customHeight="1">
      <c r="A92" s="2911"/>
      <c r="B92" s="743">
        <v>23</v>
      </c>
      <c r="C92" s="705" t="s">
        <v>1116</v>
      </c>
      <c r="D92" s="518" t="s">
        <v>1117</v>
      </c>
      <c r="E92" s="518"/>
      <c r="F92" s="715"/>
      <c r="G92" s="708">
        <f t="shared" si="11"/>
        <v>0</v>
      </c>
      <c r="H92" s="709">
        <f t="shared" si="12"/>
        <v>10023</v>
      </c>
      <c r="I92" s="12" t="str">
        <f t="shared" si="13"/>
        <v>Labor Grade, Poly, Reinf.</v>
      </c>
      <c r="J92" s="715"/>
      <c r="K92" s="708">
        <f>'01-Piers'!E112</f>
        <v>0</v>
      </c>
      <c r="L92" s="709">
        <f t="shared" si="14"/>
        <v>20023</v>
      </c>
      <c r="M92" s="12" t="str">
        <f t="shared" si="48"/>
        <v>Labor Grade, Poly, Reinf.</v>
      </c>
      <c r="N92" s="715"/>
      <c r="O92" s="708">
        <f>'02-Gd Beams'!E120</f>
        <v>0</v>
      </c>
      <c r="P92" s="709">
        <f t="shared" si="16"/>
        <v>40023</v>
      </c>
      <c r="Q92" s="518" t="str">
        <f t="shared" si="17"/>
        <v>Labor Grade, Poly, Reinf.</v>
      </c>
      <c r="S92" s="710">
        <f>'04-PT Slab on Grade Wrap'!E138</f>
        <v>0</v>
      </c>
      <c r="T92" s="709">
        <f t="shared" si="18"/>
        <v>40023</v>
      </c>
      <c r="U92" s="12" t="str">
        <f t="shared" si="19"/>
        <v>Labor Grade, Poly, Reinf.</v>
      </c>
      <c r="V92" s="715"/>
      <c r="W92" s="710">
        <f>'04-PT Slab on Grade'!E138</f>
        <v>0</v>
      </c>
      <c r="X92" s="709">
        <f t="shared" si="20"/>
        <v>50023</v>
      </c>
      <c r="Y92" s="518" t="str">
        <f t="shared" si="21"/>
        <v>Labor Grade, Poly, Reinf.</v>
      </c>
      <c r="AA92" s="710">
        <f>'05-Slabs'!E138</f>
        <v>0</v>
      </c>
      <c r="AB92" s="709">
        <f t="shared" si="22"/>
        <v>30023</v>
      </c>
      <c r="AC92" s="518" t="str">
        <f t="shared" si="23"/>
        <v>Labor Grade, Poly, Reinf.</v>
      </c>
      <c r="AD92" s="715"/>
      <c r="AE92" s="710">
        <f>'03-Walls &amp; Footings'!D123</f>
        <v>0</v>
      </c>
      <c r="AF92" s="709">
        <f t="shared" si="24"/>
        <v>60023</v>
      </c>
      <c r="AG92" s="518" t="str">
        <f t="shared" si="25"/>
        <v>Labor Grade, Poly, Reinf.</v>
      </c>
      <c r="AH92" s="715"/>
      <c r="AI92" s="710">
        <f>'06-Walls &amp; Footings'!D123</f>
        <v>0</v>
      </c>
      <c r="AJ92" s="709">
        <f t="shared" si="26"/>
        <v>60023</v>
      </c>
      <c r="AK92" s="518" t="str">
        <f t="shared" si="27"/>
        <v>Labor Grade, Poly, Reinf.</v>
      </c>
      <c r="AL92" s="715"/>
      <c r="AM92" s="710">
        <f>'06-Footings'!D123</f>
        <v>0</v>
      </c>
      <c r="AN92" s="709">
        <f t="shared" si="28"/>
        <v>60023</v>
      </c>
      <c r="AO92" s="518" t="str">
        <f t="shared" si="29"/>
        <v>Labor Grade, Poly, Reinf.</v>
      </c>
      <c r="AP92" s="715"/>
      <c r="AQ92" s="710">
        <f>'06-Garage Walls &amp; Footings'!D123</f>
        <v>0</v>
      </c>
      <c r="AR92" s="709">
        <f t="shared" si="30"/>
        <v>60000</v>
      </c>
      <c r="AS92" s="518" t="str">
        <f t="shared" si="31"/>
        <v>Labor Grade, Poly, Reinf.</v>
      </c>
      <c r="AT92" s="715"/>
      <c r="AU92" s="710">
        <f>'06-Garage Footings'!D123</f>
        <v>0</v>
      </c>
      <c r="AV92" s="712">
        <f t="shared" si="32"/>
        <v>70023</v>
      </c>
      <c r="AW92" s="12" t="str">
        <f t="shared" si="33"/>
        <v>Labor Grade, Poly, Reinf.</v>
      </c>
      <c r="AX92" s="715"/>
      <c r="AY92" s="708">
        <f>'07-COLUMNS'!D138</f>
        <v>0</v>
      </c>
      <c r="AZ92" s="709">
        <f t="shared" si="34"/>
        <v>80023</v>
      </c>
      <c r="BA92" s="518" t="str">
        <f t="shared" si="35"/>
        <v>Labor Grade, Poly, Reinf.</v>
      </c>
      <c r="BB92" s="715"/>
      <c r="BC92" s="708">
        <f>'08-CIP EL. DECK'!D171</f>
        <v>0</v>
      </c>
      <c r="BD92" s="709">
        <f t="shared" si="36"/>
        <v>90023</v>
      </c>
      <c r="BE92" s="707" t="str">
        <f t="shared" si="37"/>
        <v>Labor Grade, Poly, Reinf.</v>
      </c>
      <c r="BF92" s="715"/>
      <c r="BG92" s="708">
        <f>'09-SLAB ON DECK'!E137</f>
        <v>0</v>
      </c>
      <c r="BH92" s="742">
        <f t="shared" si="38"/>
        <v>100023</v>
      </c>
      <c r="BI92" s="12" t="str">
        <f t="shared" si="39"/>
        <v>Labor Grade, Poly, Reinf.</v>
      </c>
      <c r="BJ92" s="715"/>
      <c r="BK92" s="708">
        <f>'10-PAVING'!D118</f>
        <v>0</v>
      </c>
      <c r="BL92" s="742">
        <f t="shared" si="40"/>
        <v>110023</v>
      </c>
      <c r="BM92" s="12" t="str">
        <f t="shared" si="41"/>
        <v>Labor Grade, Poly, Reinf.</v>
      </c>
      <c r="BN92" s="715"/>
      <c r="BO92" s="708">
        <f>'11-Sidewalks'!D115</f>
        <v>0</v>
      </c>
      <c r="BP92" s="709">
        <f t="shared" si="42"/>
        <v>120023</v>
      </c>
      <c r="BQ92" s="12" t="str">
        <f t="shared" si="43"/>
        <v>Labor Grade, Poly, Reinf.</v>
      </c>
      <c r="BR92" s="715"/>
      <c r="BS92" s="708">
        <f>'12-PANELS'!F133</f>
        <v>0</v>
      </c>
      <c r="BT92" s="712">
        <f t="shared" si="44"/>
        <v>130023</v>
      </c>
      <c r="BU92" s="518" t="str">
        <f t="shared" si="45"/>
        <v>Labor Grade, Poly, Reinf.</v>
      </c>
      <c r="BV92" s="715"/>
      <c r="BW92" s="708">
        <f>'13-Miscellaneous'!E66</f>
        <v>0</v>
      </c>
      <c r="BX92" s="709">
        <f t="shared" si="46"/>
        <v>140023</v>
      </c>
      <c r="BY92" s="518" t="str">
        <f t="shared" si="47"/>
        <v>Labor Grade, Poly, Reinf.</v>
      </c>
    </row>
    <row r="93" spans="1:79" ht="21" customHeight="1">
      <c r="A93" s="2911"/>
      <c r="B93" s="704">
        <v>24</v>
      </c>
      <c r="C93" s="705" t="s">
        <v>1118</v>
      </c>
      <c r="D93" s="518" t="s">
        <v>1119</v>
      </c>
      <c r="E93" s="518"/>
      <c r="F93" s="715"/>
      <c r="G93" s="708">
        <f t="shared" si="11"/>
        <v>0</v>
      </c>
      <c r="H93" s="712">
        <f t="shared" si="12"/>
        <v>10024</v>
      </c>
      <c r="I93" s="518" t="str">
        <f t="shared" si="13"/>
        <v>Labor Place &amp; Finish</v>
      </c>
      <c r="J93" s="715"/>
      <c r="K93" s="708">
        <f>'01-Piers'!E113</f>
        <v>0</v>
      </c>
      <c r="L93" s="712">
        <f t="shared" si="14"/>
        <v>20024</v>
      </c>
      <c r="M93" s="518" t="str">
        <f t="shared" si="48"/>
        <v>Labor Place &amp; Finish</v>
      </c>
      <c r="N93" s="715"/>
      <c r="O93" s="708">
        <f>'02-Gd Beams'!E121</f>
        <v>0</v>
      </c>
      <c r="P93" s="709">
        <f t="shared" si="16"/>
        <v>40024</v>
      </c>
      <c r="Q93" s="518" t="str">
        <f t="shared" si="17"/>
        <v>Labor Place &amp; Finish</v>
      </c>
      <c r="R93" s="715"/>
      <c r="S93" s="710">
        <f>'04-PT Slab on Grade Wrap'!E139</f>
        <v>0</v>
      </c>
      <c r="T93" s="709">
        <f t="shared" si="18"/>
        <v>40024</v>
      </c>
      <c r="U93" s="518" t="str">
        <f t="shared" si="19"/>
        <v>Labor Place &amp; Finish</v>
      </c>
      <c r="V93" s="715"/>
      <c r="W93" s="710">
        <f>'04-PT Slab on Grade'!E139</f>
        <v>0</v>
      </c>
      <c r="X93" s="712">
        <f t="shared" si="20"/>
        <v>50024</v>
      </c>
      <c r="Y93" s="518" t="str">
        <f t="shared" si="21"/>
        <v>Labor Place &amp; Finish</v>
      </c>
      <c r="Z93" s="715"/>
      <c r="AA93" s="710">
        <f>'05-Slabs'!E139</f>
        <v>0</v>
      </c>
      <c r="AB93" s="709">
        <f t="shared" si="22"/>
        <v>30024</v>
      </c>
      <c r="AC93" s="518" t="str">
        <f t="shared" si="23"/>
        <v>Labor Place &amp; Finish</v>
      </c>
      <c r="AD93" s="715"/>
      <c r="AE93" s="710">
        <f>'03-Walls &amp; Footings'!D124</f>
        <v>0</v>
      </c>
      <c r="AF93" s="709">
        <f t="shared" si="24"/>
        <v>60024</v>
      </c>
      <c r="AG93" s="518" t="str">
        <f t="shared" si="25"/>
        <v>Labor Place &amp; Finish</v>
      </c>
      <c r="AH93" s="715"/>
      <c r="AI93" s="710">
        <f>'06-Walls &amp; Footings'!D124</f>
        <v>0</v>
      </c>
      <c r="AJ93" s="709">
        <f t="shared" si="26"/>
        <v>60024</v>
      </c>
      <c r="AK93" s="518" t="str">
        <f t="shared" si="27"/>
        <v>Labor Place &amp; Finish</v>
      </c>
      <c r="AL93" s="715"/>
      <c r="AM93" s="710">
        <f>'06-Footings'!D124</f>
        <v>0</v>
      </c>
      <c r="AN93" s="709">
        <f t="shared" si="28"/>
        <v>60024</v>
      </c>
      <c r="AO93" s="518" t="str">
        <f t="shared" si="29"/>
        <v>Labor Place &amp; Finish</v>
      </c>
      <c r="AP93" s="715"/>
      <c r="AQ93" s="710">
        <f>'06-Garage Walls &amp; Footings'!D124</f>
        <v>0</v>
      </c>
      <c r="AR93" s="709">
        <f t="shared" si="30"/>
        <v>60000</v>
      </c>
      <c r="AS93" s="518" t="str">
        <f t="shared" si="31"/>
        <v>Labor Place &amp; Finish</v>
      </c>
      <c r="AT93" s="715"/>
      <c r="AU93" s="710">
        <f>'06-Garage Footings'!D124</f>
        <v>0</v>
      </c>
      <c r="AV93" s="712">
        <f t="shared" si="32"/>
        <v>70024</v>
      </c>
      <c r="AW93" s="518" t="str">
        <f t="shared" si="33"/>
        <v>Labor Place &amp; Finish</v>
      </c>
      <c r="AX93" s="715"/>
      <c r="AY93" s="708">
        <f>'07-COLUMNS'!D139</f>
        <v>0</v>
      </c>
      <c r="AZ93" s="712">
        <f t="shared" si="34"/>
        <v>80024</v>
      </c>
      <c r="BA93" s="518" t="str">
        <f t="shared" si="35"/>
        <v>Labor Place &amp; Finish</v>
      </c>
      <c r="BB93" s="715"/>
      <c r="BC93" s="708">
        <f>'08-CIP EL. DECK'!D172</f>
        <v>0</v>
      </c>
      <c r="BD93" s="711">
        <f t="shared" si="36"/>
        <v>90024</v>
      </c>
      <c r="BE93" s="518" t="str">
        <f t="shared" si="37"/>
        <v>Labor Place &amp; Finish</v>
      </c>
      <c r="BF93" s="715"/>
      <c r="BG93" s="708">
        <f>'09-SLAB ON DECK'!E138</f>
        <v>0</v>
      </c>
      <c r="BH93" s="711">
        <f t="shared" si="38"/>
        <v>100024</v>
      </c>
      <c r="BI93" s="518" t="str">
        <f t="shared" si="39"/>
        <v>Labor Place &amp; Finish</v>
      </c>
      <c r="BJ93" s="715"/>
      <c r="BK93" s="708">
        <f>'10-PAVING'!D119</f>
        <v>0</v>
      </c>
      <c r="BL93" s="711">
        <f t="shared" si="40"/>
        <v>110024</v>
      </c>
      <c r="BM93" s="518" t="str">
        <f t="shared" si="41"/>
        <v>Labor Place &amp; Finish</v>
      </c>
      <c r="BN93" s="715"/>
      <c r="BO93" s="708">
        <f>'11-Sidewalks'!D116</f>
        <v>0</v>
      </c>
      <c r="BP93" s="712">
        <f t="shared" si="42"/>
        <v>120024</v>
      </c>
      <c r="BQ93" s="518" t="str">
        <f t="shared" si="43"/>
        <v>Labor Place &amp; Finish</v>
      </c>
      <c r="BR93" s="715"/>
      <c r="BS93" s="708">
        <f>'12-PANELS'!F134</f>
        <v>0</v>
      </c>
      <c r="BT93" s="712">
        <f t="shared" si="44"/>
        <v>130024</v>
      </c>
      <c r="BU93" s="518" t="str">
        <f t="shared" si="45"/>
        <v>Labor Place &amp; Finish</v>
      </c>
      <c r="BV93" s="715"/>
      <c r="BW93" s="708">
        <f>'13-Miscellaneous'!E67</f>
        <v>0</v>
      </c>
      <c r="BX93" s="709">
        <f t="shared" si="46"/>
        <v>140024</v>
      </c>
      <c r="BY93" s="518" t="str">
        <f t="shared" si="47"/>
        <v>Labor Place &amp; Finish</v>
      </c>
    </row>
    <row r="94" spans="1:79" ht="21" customHeight="1">
      <c r="A94" s="2911"/>
      <c r="B94" s="704">
        <v>25</v>
      </c>
      <c r="C94" s="705" t="s">
        <v>1120</v>
      </c>
      <c r="D94" s="518" t="s">
        <v>1121</v>
      </c>
      <c r="E94" s="518"/>
      <c r="F94" s="715"/>
      <c r="G94" s="708">
        <f t="shared" si="11"/>
        <v>0</v>
      </c>
      <c r="H94" s="709">
        <f t="shared" si="12"/>
        <v>10025</v>
      </c>
      <c r="I94" s="707" t="str">
        <f t="shared" si="13"/>
        <v>Labor Drops</v>
      </c>
      <c r="J94" s="296"/>
      <c r="K94" s="708">
        <f>'01-Piers'!E114</f>
        <v>0</v>
      </c>
      <c r="L94" s="709">
        <f t="shared" si="14"/>
        <v>20025</v>
      </c>
      <c r="M94" s="707" t="str">
        <f t="shared" si="48"/>
        <v>Labor Drops</v>
      </c>
      <c r="N94" s="296"/>
      <c r="O94" s="708">
        <f>'02-Gd Beams'!E122</f>
        <v>0</v>
      </c>
      <c r="P94" s="709">
        <f t="shared" si="16"/>
        <v>40025</v>
      </c>
      <c r="Q94" s="707" t="str">
        <f t="shared" si="17"/>
        <v>Labor Drops</v>
      </c>
      <c r="R94" s="296"/>
      <c r="S94" s="710">
        <f>'04-PT Slab on Grade Wrap'!E140</f>
        <v>0</v>
      </c>
      <c r="T94" s="709">
        <f t="shared" si="18"/>
        <v>40025</v>
      </c>
      <c r="U94" s="707" t="str">
        <f t="shared" si="19"/>
        <v>Labor Drops</v>
      </c>
      <c r="V94" s="296"/>
      <c r="W94" s="710">
        <f>'04-PT Slab on Grade'!E140</f>
        <v>0</v>
      </c>
      <c r="X94" s="709">
        <f t="shared" si="20"/>
        <v>50025</v>
      </c>
      <c r="Y94" s="707" t="str">
        <f t="shared" si="21"/>
        <v>Labor Drops</v>
      </c>
      <c r="Z94" s="296"/>
      <c r="AA94" s="710">
        <f>'05-Slabs'!E140</f>
        <v>0</v>
      </c>
      <c r="AB94" s="709">
        <f t="shared" si="22"/>
        <v>30025</v>
      </c>
      <c r="AC94" s="707" t="str">
        <f t="shared" si="23"/>
        <v>Labor Drops</v>
      </c>
      <c r="AD94" s="296"/>
      <c r="AE94" s="710">
        <f>'03-Walls &amp; Footings'!D125</f>
        <v>0</v>
      </c>
      <c r="AF94" s="709">
        <f t="shared" si="24"/>
        <v>60025</v>
      </c>
      <c r="AG94" s="707" t="str">
        <f t="shared" si="25"/>
        <v>Labor Drops</v>
      </c>
      <c r="AH94" s="296"/>
      <c r="AI94" s="710">
        <f>'06-Walls &amp; Footings'!D125</f>
        <v>0</v>
      </c>
      <c r="AJ94" s="709">
        <f t="shared" si="26"/>
        <v>60025</v>
      </c>
      <c r="AK94" s="707" t="str">
        <f t="shared" si="27"/>
        <v>Labor Drops</v>
      </c>
      <c r="AL94" s="296"/>
      <c r="AM94" s="710">
        <f>'06-Footings'!D125</f>
        <v>0</v>
      </c>
      <c r="AN94" s="709">
        <f t="shared" si="28"/>
        <v>60025</v>
      </c>
      <c r="AO94" s="707" t="str">
        <f t="shared" si="29"/>
        <v>Labor Drops</v>
      </c>
      <c r="AP94" s="296"/>
      <c r="AQ94" s="710">
        <f>'06-Garage Walls &amp; Footings'!D125</f>
        <v>0</v>
      </c>
      <c r="AR94" s="709">
        <f t="shared" si="30"/>
        <v>60000</v>
      </c>
      <c r="AS94" s="707" t="str">
        <f t="shared" si="31"/>
        <v>Labor Drops</v>
      </c>
      <c r="AT94" s="296"/>
      <c r="AU94" s="710">
        <f>'06-Garage Footings'!D125</f>
        <v>0</v>
      </c>
      <c r="AV94" s="709">
        <f t="shared" si="32"/>
        <v>70025</v>
      </c>
      <c r="AW94" s="707" t="str">
        <f t="shared" si="33"/>
        <v>Labor Drops</v>
      </c>
      <c r="AX94" s="296"/>
      <c r="AY94" s="708">
        <f>'07-COLUMNS'!D140</f>
        <v>0</v>
      </c>
      <c r="AZ94" s="709">
        <f t="shared" si="34"/>
        <v>80025</v>
      </c>
      <c r="BA94" s="707" t="str">
        <f t="shared" si="35"/>
        <v>Labor Drops</v>
      </c>
      <c r="BB94" s="296"/>
      <c r="BC94" s="708">
        <f>'08-CIP EL. DECK'!D173</f>
        <v>0</v>
      </c>
      <c r="BD94" s="709">
        <f t="shared" si="36"/>
        <v>90025</v>
      </c>
      <c r="BE94" s="707" t="str">
        <f t="shared" si="37"/>
        <v>Labor Drops</v>
      </c>
      <c r="BF94" s="296"/>
      <c r="BG94" s="708">
        <f>'09-SLAB ON DECK'!E139</f>
        <v>0</v>
      </c>
      <c r="BH94" s="709">
        <f t="shared" si="38"/>
        <v>100025</v>
      </c>
      <c r="BI94" s="707" t="str">
        <f t="shared" si="39"/>
        <v>Labor Drops</v>
      </c>
      <c r="BJ94" s="296"/>
      <c r="BK94" s="708">
        <f>'10-PAVING'!D120</f>
        <v>0</v>
      </c>
      <c r="BL94" s="709">
        <f t="shared" si="40"/>
        <v>110025</v>
      </c>
      <c r="BM94" s="707" t="str">
        <f t="shared" si="41"/>
        <v>Labor Drops</v>
      </c>
      <c r="BN94" s="296"/>
      <c r="BO94" s="708">
        <f>'11-Sidewalks'!D117</f>
        <v>0</v>
      </c>
      <c r="BP94" s="709">
        <f t="shared" si="42"/>
        <v>120025</v>
      </c>
      <c r="BQ94" s="707" t="str">
        <f t="shared" si="43"/>
        <v>Labor Drops</v>
      </c>
      <c r="BR94" s="296"/>
      <c r="BS94" s="708">
        <f>'12-PANELS'!F135</f>
        <v>0</v>
      </c>
      <c r="BT94" s="709">
        <f t="shared" si="44"/>
        <v>130025</v>
      </c>
      <c r="BU94" s="707" t="str">
        <f t="shared" si="45"/>
        <v>Labor Drops</v>
      </c>
      <c r="BV94" s="296"/>
      <c r="BW94" s="708">
        <f>'13-Miscellaneous'!E68</f>
        <v>0</v>
      </c>
      <c r="BX94" s="709">
        <f t="shared" si="46"/>
        <v>140025</v>
      </c>
      <c r="BY94" s="707" t="str">
        <f t="shared" si="47"/>
        <v>Labor Drops</v>
      </c>
    </row>
    <row r="95" spans="1:79" ht="21" customHeight="1">
      <c r="A95" s="2911"/>
      <c r="B95" s="704">
        <v>26</v>
      </c>
      <c r="C95" s="705" t="s">
        <v>1122</v>
      </c>
      <c r="D95" s="518" t="s">
        <v>1123</v>
      </c>
      <c r="E95" s="518"/>
      <c r="F95" s="715"/>
      <c r="G95" s="708">
        <f t="shared" si="11"/>
        <v>0</v>
      </c>
      <c r="H95" s="709">
        <f t="shared" si="12"/>
        <v>10026</v>
      </c>
      <c r="I95" s="744" t="str">
        <f t="shared" si="13"/>
        <v>Labor Strip Forms</v>
      </c>
      <c r="J95" s="745"/>
      <c r="K95" s="708">
        <f>'01-Piers'!E115</f>
        <v>0</v>
      </c>
      <c r="L95" s="709">
        <f t="shared" si="14"/>
        <v>20026</v>
      </c>
      <c r="M95" s="744" t="str">
        <f t="shared" si="48"/>
        <v>Labor Strip Forms</v>
      </c>
      <c r="N95" s="745"/>
      <c r="O95" s="708">
        <f>'02-Gd Beams'!E123</f>
        <v>0</v>
      </c>
      <c r="P95" s="709">
        <f t="shared" si="16"/>
        <v>40026</v>
      </c>
      <c r="Q95" s="746" t="str">
        <f t="shared" si="17"/>
        <v>Labor Strip Forms</v>
      </c>
      <c r="R95" s="747"/>
      <c r="S95" s="710">
        <f>'04-PT Slab on Grade Wrap'!E141</f>
        <v>0</v>
      </c>
      <c r="T95" s="709">
        <f t="shared" si="18"/>
        <v>40026</v>
      </c>
      <c r="U95" s="748" t="str">
        <f t="shared" si="19"/>
        <v>Labor Strip Forms</v>
      </c>
      <c r="V95" s="749"/>
      <c r="W95" s="710">
        <f>'04-PT Slab on Grade'!E141</f>
        <v>0</v>
      </c>
      <c r="X95" s="709">
        <f t="shared" si="20"/>
        <v>50026</v>
      </c>
      <c r="Y95" s="746" t="str">
        <f t="shared" si="21"/>
        <v>Labor Strip Forms</v>
      </c>
      <c r="Z95" s="747"/>
      <c r="AA95" s="710">
        <f>'05-Slabs'!E141</f>
        <v>0</v>
      </c>
      <c r="AB95" s="709">
        <f t="shared" si="22"/>
        <v>30026</v>
      </c>
      <c r="AC95" s="750" t="str">
        <f t="shared" si="23"/>
        <v>Labor Strip Forms</v>
      </c>
      <c r="AD95" s="749"/>
      <c r="AE95" s="710">
        <f>'03-Walls &amp; Footings'!D126</f>
        <v>0</v>
      </c>
      <c r="AF95" s="709">
        <f t="shared" si="24"/>
        <v>60026</v>
      </c>
      <c r="AG95" s="750" t="str">
        <f t="shared" si="25"/>
        <v>Labor Strip Forms</v>
      </c>
      <c r="AH95" s="749"/>
      <c r="AI95" s="710">
        <f>'06-Walls &amp; Footings'!D126</f>
        <v>0</v>
      </c>
      <c r="AJ95" s="709">
        <f t="shared" si="26"/>
        <v>60026</v>
      </c>
      <c r="AK95" s="750" t="str">
        <f t="shared" si="27"/>
        <v>Labor Strip Forms</v>
      </c>
      <c r="AL95" s="749"/>
      <c r="AM95" s="710">
        <f>'06-Footings'!D126</f>
        <v>0</v>
      </c>
      <c r="AN95" s="709">
        <f t="shared" si="28"/>
        <v>60026</v>
      </c>
      <c r="AO95" s="750" t="str">
        <f t="shared" si="29"/>
        <v>Labor Strip Forms</v>
      </c>
      <c r="AP95" s="749"/>
      <c r="AQ95" s="710">
        <f>'06-Garage Walls &amp; Footings'!D126</f>
        <v>0</v>
      </c>
      <c r="AR95" s="709">
        <f t="shared" si="30"/>
        <v>60000</v>
      </c>
      <c r="AS95" s="750" t="str">
        <f t="shared" si="31"/>
        <v>Labor Strip Forms</v>
      </c>
      <c r="AT95" s="749"/>
      <c r="AU95" s="710">
        <f>'06-Garage Footings'!D126</f>
        <v>0</v>
      </c>
      <c r="AV95" s="712">
        <f t="shared" si="32"/>
        <v>70026</v>
      </c>
      <c r="AW95" s="751" t="str">
        <f t="shared" si="33"/>
        <v>Labor Strip Forms</v>
      </c>
      <c r="AX95" s="747"/>
      <c r="AY95" s="708">
        <f>'07-COLUMNS'!D141</f>
        <v>0</v>
      </c>
      <c r="AZ95" s="709">
        <f t="shared" si="34"/>
        <v>80026</v>
      </c>
      <c r="BA95" s="746" t="str">
        <f t="shared" si="35"/>
        <v>Labor Strip Forms</v>
      </c>
      <c r="BB95" s="747"/>
      <c r="BC95" s="708">
        <f>'08-CIP EL. DECK'!D174</f>
        <v>0</v>
      </c>
      <c r="BD95" s="709">
        <f t="shared" si="36"/>
        <v>90026</v>
      </c>
      <c r="BE95" s="707" t="str">
        <f t="shared" si="37"/>
        <v>Labor Strip Forms</v>
      </c>
      <c r="BF95" s="747"/>
      <c r="BG95" s="708">
        <f>'09-SLAB ON DECK'!E140</f>
        <v>0</v>
      </c>
      <c r="BH95" s="709">
        <f t="shared" si="38"/>
        <v>100026</v>
      </c>
      <c r="BI95" s="744" t="str">
        <f t="shared" si="39"/>
        <v>Labor Strip Forms</v>
      </c>
      <c r="BJ95" s="745"/>
      <c r="BK95" s="708">
        <f>'10-PAVING'!D121</f>
        <v>0</v>
      </c>
      <c r="BL95" s="709">
        <f t="shared" si="40"/>
        <v>110026</v>
      </c>
      <c r="BM95" s="744" t="str">
        <f t="shared" si="41"/>
        <v>Labor Strip Forms</v>
      </c>
      <c r="BN95" s="745"/>
      <c r="BO95" s="708">
        <f>'11-Sidewalks'!D118</f>
        <v>0</v>
      </c>
      <c r="BP95" s="709">
        <f t="shared" si="42"/>
        <v>120026</v>
      </c>
      <c r="BQ95" s="751" t="str">
        <f t="shared" si="43"/>
        <v>Labor Strip Forms</v>
      </c>
      <c r="BR95" s="747"/>
      <c r="BS95" s="708">
        <f>'12-PANELS'!F136</f>
        <v>0</v>
      </c>
      <c r="BT95" s="712">
        <f t="shared" si="44"/>
        <v>130026</v>
      </c>
      <c r="BU95" s="746" t="str">
        <f t="shared" si="45"/>
        <v>Labor Strip Forms</v>
      </c>
      <c r="BV95" s="747"/>
      <c r="BW95" s="708">
        <f>'13-Miscellaneous'!E69</f>
        <v>0</v>
      </c>
      <c r="BX95" s="709">
        <f t="shared" si="46"/>
        <v>140026</v>
      </c>
      <c r="BY95" s="746" t="str">
        <f t="shared" si="47"/>
        <v>Labor Strip Forms</v>
      </c>
    </row>
    <row r="96" spans="1:79" ht="21" customHeight="1">
      <c r="A96" s="2911"/>
      <c r="B96" s="704">
        <v>27</v>
      </c>
      <c r="C96" s="705" t="s">
        <v>1124</v>
      </c>
      <c r="D96" s="518" t="s">
        <v>1125</v>
      </c>
      <c r="E96" s="518"/>
      <c r="F96" s="715"/>
      <c r="G96" s="708">
        <f t="shared" si="11"/>
        <v>0</v>
      </c>
      <c r="H96" s="711">
        <f t="shared" si="12"/>
        <v>10027</v>
      </c>
      <c r="I96" s="518" t="str">
        <f t="shared" si="13"/>
        <v>Labor Burden</v>
      </c>
      <c r="J96" s="715"/>
      <c r="K96" s="708">
        <f>'01-Piers'!E116</f>
        <v>0</v>
      </c>
      <c r="L96" s="712">
        <f t="shared" si="14"/>
        <v>20027</v>
      </c>
      <c r="M96" s="518" t="str">
        <f t="shared" si="48"/>
        <v>Labor Burden</v>
      </c>
      <c r="N96" s="715"/>
      <c r="O96" s="717">
        <f>'02-Gd Beams'!E124</f>
        <v>0</v>
      </c>
      <c r="P96" s="709">
        <f t="shared" si="16"/>
        <v>40027</v>
      </c>
      <c r="Q96" s="518" t="str">
        <f t="shared" si="17"/>
        <v>Labor Burden</v>
      </c>
      <c r="R96" s="715"/>
      <c r="S96" s="710">
        <f>'04-PT Slab on Grade Wrap'!E142</f>
        <v>0</v>
      </c>
      <c r="T96" s="712">
        <f t="shared" si="18"/>
        <v>40027</v>
      </c>
      <c r="U96" s="518" t="str">
        <f t="shared" si="19"/>
        <v>Labor Burden</v>
      </c>
      <c r="V96" s="715"/>
      <c r="W96" s="718">
        <f>'04-PT Slab on Grade'!E142</f>
        <v>0</v>
      </c>
      <c r="X96" s="712">
        <f t="shared" si="20"/>
        <v>50027</v>
      </c>
      <c r="Y96" s="518" t="str">
        <f t="shared" si="21"/>
        <v>Labor Burden</v>
      </c>
      <c r="Z96" s="715"/>
      <c r="AA96" s="710">
        <f>'05-Slabs'!E142</f>
        <v>0</v>
      </c>
      <c r="AB96" s="709">
        <f t="shared" si="22"/>
        <v>30027</v>
      </c>
      <c r="AC96" s="518" t="str">
        <f t="shared" si="23"/>
        <v>Labor Burden</v>
      </c>
      <c r="AD96" s="715"/>
      <c r="AE96" s="710">
        <f>'03-Walls &amp; Footings'!D127</f>
        <v>0</v>
      </c>
      <c r="AF96" s="712">
        <f t="shared" si="24"/>
        <v>60027</v>
      </c>
      <c r="AG96" s="518" t="str">
        <f t="shared" si="25"/>
        <v>Labor Burden</v>
      </c>
      <c r="AH96" s="715"/>
      <c r="AI96" s="718">
        <f>'06-Walls &amp; Footings'!D127</f>
        <v>0</v>
      </c>
      <c r="AJ96" s="712">
        <f t="shared" si="26"/>
        <v>60027</v>
      </c>
      <c r="AK96" s="518" t="str">
        <f t="shared" si="27"/>
        <v>Labor Burden</v>
      </c>
      <c r="AL96" s="715"/>
      <c r="AM96" s="718">
        <f>'06-Footings'!D127</f>
        <v>0</v>
      </c>
      <c r="AN96" s="712">
        <f t="shared" si="28"/>
        <v>60027</v>
      </c>
      <c r="AO96" s="518" t="str">
        <f t="shared" si="29"/>
        <v>Labor Burden</v>
      </c>
      <c r="AP96" s="715"/>
      <c r="AQ96" s="710">
        <f>'06-Garage Walls &amp; Footings'!D127</f>
        <v>0</v>
      </c>
      <c r="AR96" s="712">
        <f t="shared" si="30"/>
        <v>60000</v>
      </c>
      <c r="AS96" s="518" t="str">
        <f t="shared" si="31"/>
        <v>Labor Burden</v>
      </c>
      <c r="AT96" s="715"/>
      <c r="AU96" s="710">
        <f>'06-Garage Footings'!D127</f>
        <v>0</v>
      </c>
      <c r="AV96" s="712">
        <f t="shared" si="32"/>
        <v>70027</v>
      </c>
      <c r="AW96" s="518" t="str">
        <f t="shared" si="33"/>
        <v>Labor Burden</v>
      </c>
      <c r="AX96" s="715"/>
      <c r="AY96" s="717">
        <f>'07-COLUMNS'!D142</f>
        <v>0</v>
      </c>
      <c r="AZ96" s="712">
        <f t="shared" si="34"/>
        <v>80027</v>
      </c>
      <c r="BA96" s="518" t="str">
        <f t="shared" si="35"/>
        <v>Labor Burden</v>
      </c>
      <c r="BB96" s="715"/>
      <c r="BC96" s="717">
        <f>'08-CIP EL. DECK'!D175</f>
        <v>0</v>
      </c>
      <c r="BD96" s="712">
        <f t="shared" si="36"/>
        <v>90027</v>
      </c>
      <c r="BE96" s="518" t="str">
        <f t="shared" si="37"/>
        <v>Labor Burden</v>
      </c>
      <c r="BF96" s="715"/>
      <c r="BG96" s="717">
        <f>'09-SLAB ON DECK'!E141</f>
        <v>0</v>
      </c>
      <c r="BH96" s="712">
        <f t="shared" si="38"/>
        <v>100027</v>
      </c>
      <c r="BI96" s="518" t="str">
        <f t="shared" si="39"/>
        <v>Labor Burden</v>
      </c>
      <c r="BJ96" s="715"/>
      <c r="BK96" s="717">
        <f>'10-PAVING'!D122</f>
        <v>0</v>
      </c>
      <c r="BL96" s="712">
        <f t="shared" si="40"/>
        <v>110027</v>
      </c>
      <c r="BM96" s="518" t="str">
        <f t="shared" si="41"/>
        <v>Labor Burden</v>
      </c>
      <c r="BN96" s="715"/>
      <c r="BO96" s="717">
        <f>'11-Sidewalks'!D119</f>
        <v>0</v>
      </c>
      <c r="BP96" s="712">
        <f t="shared" si="42"/>
        <v>120027</v>
      </c>
      <c r="BQ96" s="518" t="str">
        <f t="shared" si="43"/>
        <v>Labor Burden</v>
      </c>
      <c r="BR96" s="715"/>
      <c r="BS96" s="717">
        <f>'12-PANELS'!F137</f>
        <v>0</v>
      </c>
      <c r="BT96" s="712">
        <f t="shared" si="44"/>
        <v>130027</v>
      </c>
      <c r="BU96" s="518" t="str">
        <f t="shared" si="45"/>
        <v>Labor Burden</v>
      </c>
      <c r="BV96" s="715"/>
      <c r="BW96" s="717">
        <f>'13-Miscellaneous'!E70</f>
        <v>0</v>
      </c>
      <c r="BX96" s="712">
        <f t="shared" si="46"/>
        <v>140027</v>
      </c>
      <c r="BY96" s="518" t="str">
        <f t="shared" si="47"/>
        <v>Labor Burden</v>
      </c>
    </row>
    <row r="97" spans="1:77" ht="21" customHeight="1">
      <c r="A97" s="2911"/>
      <c r="B97" s="704"/>
      <c r="C97" s="752" t="s">
        <v>1126</v>
      </c>
      <c r="D97" s="753" t="s">
        <v>1127</v>
      </c>
      <c r="E97" s="12"/>
      <c r="G97" s="708">
        <f t="shared" si="11"/>
        <v>2650</v>
      </c>
      <c r="H97" s="754">
        <f t="shared" si="12"/>
        <v>10028</v>
      </c>
      <c r="I97" s="755" t="str">
        <f t="shared" si="13"/>
        <v>Surveying</v>
      </c>
      <c r="K97" s="708">
        <f>'01-Piers'!E117</f>
        <v>2650</v>
      </c>
      <c r="L97" s="756">
        <f t="shared" si="14"/>
        <v>20028</v>
      </c>
      <c r="M97" s="755" t="str">
        <f t="shared" si="48"/>
        <v>Surveying</v>
      </c>
      <c r="O97" s="757"/>
      <c r="P97" s="709">
        <f t="shared" si="16"/>
        <v>40028</v>
      </c>
      <c r="Q97" s="755" t="str">
        <f t="shared" si="17"/>
        <v>Surveying</v>
      </c>
      <c r="S97" s="710">
        <f>'04-PT Slab on Grade Wrap'!E143</f>
        <v>0</v>
      </c>
      <c r="T97" s="756">
        <f t="shared" si="18"/>
        <v>40028</v>
      </c>
      <c r="U97" s="755" t="str">
        <f t="shared" si="19"/>
        <v>Surveying</v>
      </c>
      <c r="W97" s="718">
        <f>'04-PT Slab on Grade'!E143</f>
        <v>0</v>
      </c>
      <c r="X97" s="756">
        <f t="shared" si="20"/>
        <v>50028</v>
      </c>
      <c r="Y97" s="755" t="str">
        <f t="shared" si="21"/>
        <v>Surveying</v>
      </c>
      <c r="AA97" s="758">
        <f>'05-Slabs'!E143</f>
        <v>0</v>
      </c>
      <c r="AB97" s="709">
        <f t="shared" si="22"/>
        <v>30028</v>
      </c>
      <c r="AC97" s="755" t="str">
        <f t="shared" si="23"/>
        <v>Surveying</v>
      </c>
      <c r="AE97" s="759"/>
      <c r="AF97" s="756">
        <f t="shared" si="24"/>
        <v>60028</v>
      </c>
      <c r="AG97" s="755" t="str">
        <f t="shared" si="25"/>
        <v>Surveying</v>
      </c>
      <c r="AI97" s="759"/>
      <c r="AJ97" s="756">
        <f t="shared" si="26"/>
        <v>60028</v>
      </c>
      <c r="AK97" s="755" t="str">
        <f t="shared" si="27"/>
        <v>Surveying</v>
      </c>
      <c r="AM97" s="759"/>
      <c r="AN97" s="756">
        <f t="shared" si="28"/>
        <v>60028</v>
      </c>
      <c r="AO97" s="755" t="str">
        <f t="shared" si="29"/>
        <v>Surveying</v>
      </c>
      <c r="AQ97" s="759"/>
      <c r="AR97" s="756">
        <f t="shared" si="30"/>
        <v>62650</v>
      </c>
      <c r="AS97" s="755" t="str">
        <f t="shared" si="31"/>
        <v>Surveying</v>
      </c>
      <c r="AU97" s="759"/>
      <c r="AV97" s="756">
        <f t="shared" si="32"/>
        <v>70028</v>
      </c>
      <c r="AW97" s="755" t="str">
        <f t="shared" si="33"/>
        <v>Surveying</v>
      </c>
      <c r="AY97" s="757"/>
      <c r="AZ97" s="756">
        <f t="shared" si="34"/>
        <v>80028</v>
      </c>
      <c r="BA97" s="755" t="str">
        <f t="shared" si="35"/>
        <v>Surveying</v>
      </c>
      <c r="BC97" s="757"/>
      <c r="BD97" s="756">
        <f t="shared" si="36"/>
        <v>90028</v>
      </c>
      <c r="BE97" s="755" t="str">
        <f t="shared" si="37"/>
        <v>Surveying</v>
      </c>
      <c r="BG97" s="757"/>
      <c r="BH97" s="756">
        <f t="shared" si="38"/>
        <v>100028</v>
      </c>
      <c r="BI97" s="755" t="str">
        <f t="shared" si="39"/>
        <v>Surveying</v>
      </c>
      <c r="BK97" s="757"/>
      <c r="BL97" s="756">
        <f t="shared" si="40"/>
        <v>110028</v>
      </c>
      <c r="BM97" s="755" t="str">
        <f t="shared" si="41"/>
        <v>Surveying</v>
      </c>
      <c r="BO97" s="757"/>
      <c r="BP97" s="756">
        <f t="shared" si="42"/>
        <v>120028</v>
      </c>
      <c r="BQ97" s="755" t="str">
        <f t="shared" si="43"/>
        <v>Surveying</v>
      </c>
      <c r="BS97" s="757"/>
      <c r="BT97" s="756">
        <f t="shared" si="44"/>
        <v>130028</v>
      </c>
      <c r="BU97" s="755" t="str">
        <f t="shared" si="45"/>
        <v>Surveying</v>
      </c>
      <c r="BW97" s="708"/>
      <c r="BX97" s="709">
        <f t="shared" si="46"/>
        <v>140028</v>
      </c>
      <c r="BY97" s="755" t="str">
        <f t="shared" si="47"/>
        <v>Surveying</v>
      </c>
    </row>
    <row r="98" spans="1:77" ht="21" customHeight="1">
      <c r="A98" s="2911" t="s">
        <v>1128</v>
      </c>
      <c r="B98" s="760">
        <v>30</v>
      </c>
      <c r="C98" s="724" t="s">
        <v>1129</v>
      </c>
      <c r="D98" s="725" t="s">
        <v>1130</v>
      </c>
      <c r="E98" s="725"/>
      <c r="F98" s="726"/>
      <c r="G98" s="708">
        <f t="shared" si="11"/>
        <v>81457.105824197555</v>
      </c>
      <c r="H98" s="727">
        <f t="shared" si="12"/>
        <v>10030</v>
      </c>
      <c r="I98" s="725" t="str">
        <f t="shared" si="13"/>
        <v>Pumping</v>
      </c>
      <c r="J98" s="726"/>
      <c r="K98" s="728">
        <f>'01-Piers'!E118</f>
        <v>12653.986811851855</v>
      </c>
      <c r="L98" s="727">
        <f t="shared" si="14"/>
        <v>20030</v>
      </c>
      <c r="M98" s="725" t="str">
        <f t="shared" si="48"/>
        <v>Pumping</v>
      </c>
      <c r="N98" s="726"/>
      <c r="O98" s="728">
        <f>'02-Gd Beams'!E125</f>
        <v>0</v>
      </c>
      <c r="P98" s="709">
        <f t="shared" si="16"/>
        <v>40030</v>
      </c>
      <c r="Q98" s="725" t="str">
        <f t="shared" si="17"/>
        <v>Pumping</v>
      </c>
      <c r="R98" s="726"/>
      <c r="S98" s="710">
        <f>'04-PT Slab on Grade Wrap'!E144</f>
        <v>0</v>
      </c>
      <c r="T98" s="727">
        <f t="shared" si="18"/>
        <v>40030</v>
      </c>
      <c r="U98" s="725" t="str">
        <f t="shared" si="19"/>
        <v>Pumping</v>
      </c>
      <c r="V98" s="726"/>
      <c r="W98" s="761">
        <f>'04-PT Slab on Grade'!E144</f>
        <v>35283.133827160505</v>
      </c>
      <c r="X98" s="727">
        <f t="shared" si="20"/>
        <v>50030</v>
      </c>
      <c r="Y98" s="725" t="str">
        <f t="shared" si="21"/>
        <v>Pumping</v>
      </c>
      <c r="Z98" s="726"/>
      <c r="AA98" s="710">
        <f>'05-Slabs'!E144</f>
        <v>0</v>
      </c>
      <c r="AB98" s="709">
        <f t="shared" si="22"/>
        <v>30030</v>
      </c>
      <c r="AC98" s="725" t="str">
        <f t="shared" si="23"/>
        <v>Pumping</v>
      </c>
      <c r="AD98" s="726"/>
      <c r="AE98" s="761">
        <f>'03-Walls &amp; Footings'!D128</f>
        <v>0</v>
      </c>
      <c r="AF98" s="727">
        <f t="shared" si="24"/>
        <v>60030</v>
      </c>
      <c r="AG98" s="725" t="str">
        <f t="shared" si="25"/>
        <v>Pumping</v>
      </c>
      <c r="AH98" s="726"/>
      <c r="AI98" s="761">
        <f>'06-Walls &amp; Footings'!D128</f>
        <v>2850</v>
      </c>
      <c r="AJ98" s="727">
        <f t="shared" si="26"/>
        <v>60030</v>
      </c>
      <c r="AK98" s="725" t="str">
        <f t="shared" si="27"/>
        <v>Pumping</v>
      </c>
      <c r="AL98" s="726"/>
      <c r="AM98" s="761">
        <f>'06-Footings'!D128</f>
        <v>0</v>
      </c>
      <c r="AN98" s="727">
        <f t="shared" si="28"/>
        <v>60030</v>
      </c>
      <c r="AO98" s="725" t="str">
        <f t="shared" si="29"/>
        <v>Pumping</v>
      </c>
      <c r="AP98" s="726"/>
      <c r="AQ98" s="761">
        <f>'06-Garage Walls &amp; Footings'!D128</f>
        <v>0</v>
      </c>
      <c r="AR98" s="727">
        <f t="shared" si="30"/>
        <v>141457.10582419756</v>
      </c>
      <c r="AS98" s="725" t="str">
        <f t="shared" si="31"/>
        <v>Pumping</v>
      </c>
      <c r="AT98" s="726"/>
      <c r="AU98" s="761">
        <f>'06-Garage Footings'!D128</f>
        <v>0</v>
      </c>
      <c r="AV98" s="727">
        <f t="shared" si="32"/>
        <v>70030</v>
      </c>
      <c r="AW98" s="725" t="str">
        <f t="shared" si="33"/>
        <v>Pumping</v>
      </c>
      <c r="AX98" s="726"/>
      <c r="AY98" s="728">
        <f>'07-COLUMNS'!D143</f>
        <v>2600</v>
      </c>
      <c r="AZ98" s="727">
        <f t="shared" si="34"/>
        <v>80030</v>
      </c>
      <c r="BA98" s="725" t="str">
        <f t="shared" si="35"/>
        <v>Pumping</v>
      </c>
      <c r="BB98" s="726"/>
      <c r="BC98" s="728">
        <f>'08-CIP EL. DECK'!D176</f>
        <v>14598.518518518518</v>
      </c>
      <c r="BD98" s="727">
        <f t="shared" si="36"/>
        <v>90030</v>
      </c>
      <c r="BE98" s="725" t="str">
        <f t="shared" si="37"/>
        <v>Pumping</v>
      </c>
      <c r="BF98" s="726"/>
      <c r="BG98" s="728">
        <f>'09-SLAB ON DECK'!E142</f>
        <v>0</v>
      </c>
      <c r="BH98" s="727">
        <f t="shared" si="38"/>
        <v>100030</v>
      </c>
      <c r="BI98" s="725" t="str">
        <f t="shared" si="39"/>
        <v>Pumping</v>
      </c>
      <c r="BJ98" s="726"/>
      <c r="BK98" s="728">
        <f>'10-PAVING'!D123</f>
        <v>0</v>
      </c>
      <c r="BL98" s="727">
        <f t="shared" si="40"/>
        <v>110030</v>
      </c>
      <c r="BM98" s="725" t="str">
        <f t="shared" si="41"/>
        <v>Pumping</v>
      </c>
      <c r="BN98" s="726"/>
      <c r="BO98" s="728">
        <f>'11-Sidewalks'!D120</f>
        <v>0</v>
      </c>
      <c r="BP98" s="727">
        <f t="shared" si="42"/>
        <v>120030</v>
      </c>
      <c r="BQ98" s="725" t="str">
        <f t="shared" si="43"/>
        <v>Pumping</v>
      </c>
      <c r="BR98" s="726"/>
      <c r="BS98" s="708">
        <f>'12-PANELS'!F138</f>
        <v>13471.466666666671</v>
      </c>
      <c r="BT98" s="727">
        <f t="shared" si="44"/>
        <v>130030</v>
      </c>
      <c r="BU98" s="725" t="str">
        <f t="shared" si="45"/>
        <v>Pumping</v>
      </c>
      <c r="BV98" s="726"/>
      <c r="BW98" s="728">
        <f>'13-Miscellaneous'!E71</f>
        <v>0</v>
      </c>
      <c r="BX98" s="709">
        <f t="shared" si="46"/>
        <v>140030</v>
      </c>
      <c r="BY98" s="725" t="str">
        <f t="shared" si="47"/>
        <v>Pumping</v>
      </c>
    </row>
    <row r="99" spans="1:77" ht="21" customHeight="1">
      <c r="A99" s="2911"/>
      <c r="B99" s="704">
        <v>31</v>
      </c>
      <c r="C99" s="762" t="s">
        <v>1131</v>
      </c>
      <c r="D99" s="707" t="s">
        <v>1132</v>
      </c>
      <c r="E99" s="707"/>
      <c r="F99" s="296"/>
      <c r="G99" s="708">
        <f t="shared" si="11"/>
        <v>0</v>
      </c>
      <c r="H99" s="713">
        <f t="shared" si="12"/>
        <v>10031</v>
      </c>
      <c r="I99" s="707" t="str">
        <f t="shared" si="13"/>
        <v>Earth Work/Excavation</v>
      </c>
      <c r="J99" s="296"/>
      <c r="K99" s="708">
        <f>'01-Piers'!E119</f>
        <v>0</v>
      </c>
      <c r="L99" s="709">
        <f t="shared" si="14"/>
        <v>20031</v>
      </c>
      <c r="M99" s="707" t="str">
        <f t="shared" si="48"/>
        <v>Earth Work/Excavation</v>
      </c>
      <c r="N99" s="296"/>
      <c r="O99" s="708">
        <f>'02-Gd Beams'!E126</f>
        <v>0</v>
      </c>
      <c r="P99" s="709">
        <f t="shared" si="16"/>
        <v>40031</v>
      </c>
      <c r="Q99" s="707" t="str">
        <f t="shared" si="17"/>
        <v>Earth Work/Excavation</v>
      </c>
      <c r="R99" s="296"/>
      <c r="S99" s="710">
        <f>'04-PT Slab on Grade Wrap'!E145</f>
        <v>0</v>
      </c>
      <c r="T99" s="709">
        <f t="shared" si="18"/>
        <v>40031</v>
      </c>
      <c r="U99" s="707" t="str">
        <f t="shared" si="19"/>
        <v>Earth Work/Excavation</v>
      </c>
      <c r="V99" s="296"/>
      <c r="W99" s="710">
        <f>'04-PT Slab on Grade'!E145</f>
        <v>0</v>
      </c>
      <c r="X99" s="709">
        <f t="shared" si="20"/>
        <v>50031</v>
      </c>
      <c r="Y99" s="707" t="str">
        <f t="shared" si="21"/>
        <v>Earth Work/Excavation</v>
      </c>
      <c r="Z99" s="296"/>
      <c r="AA99" s="710">
        <f>'05-Slabs'!E145</f>
        <v>0</v>
      </c>
      <c r="AB99" s="709">
        <f t="shared" si="22"/>
        <v>30031</v>
      </c>
      <c r="AC99" s="707" t="str">
        <f t="shared" si="23"/>
        <v>Earth Work/Excavation</v>
      </c>
      <c r="AD99" s="296"/>
      <c r="AE99" s="761">
        <f>'03-Walls &amp; Footings'!D129</f>
        <v>0</v>
      </c>
      <c r="AF99" s="709">
        <f t="shared" si="24"/>
        <v>60031</v>
      </c>
      <c r="AG99" s="707" t="str">
        <f t="shared" si="25"/>
        <v>Earth Work/Excavation</v>
      </c>
      <c r="AH99" s="296"/>
      <c r="AI99" s="710">
        <f>'06-Walls &amp; Footings'!D129</f>
        <v>0</v>
      </c>
      <c r="AJ99" s="709">
        <f t="shared" si="26"/>
        <v>60031</v>
      </c>
      <c r="AK99" s="707" t="str">
        <f t="shared" si="27"/>
        <v>Earth Work/Excavation</v>
      </c>
      <c r="AL99" s="296"/>
      <c r="AM99" s="710">
        <f>'06-Footings'!D129</f>
        <v>0</v>
      </c>
      <c r="AN99" s="709">
        <f t="shared" si="28"/>
        <v>60031</v>
      </c>
      <c r="AO99" s="707" t="str">
        <f t="shared" si="29"/>
        <v>Earth Work/Excavation</v>
      </c>
      <c r="AP99" s="296"/>
      <c r="AQ99" s="718">
        <f>'06-Garage Walls &amp; Footings'!D129</f>
        <v>0</v>
      </c>
      <c r="AR99" s="709">
        <f t="shared" si="30"/>
        <v>60000</v>
      </c>
      <c r="AS99" s="707" t="str">
        <f t="shared" si="31"/>
        <v>Earth Work/Excavation</v>
      </c>
      <c r="AT99" s="296"/>
      <c r="AU99" s="718">
        <f>'06-Garage Footings'!D129</f>
        <v>0</v>
      </c>
      <c r="AV99" s="709">
        <f t="shared" si="32"/>
        <v>70031</v>
      </c>
      <c r="AW99" s="707" t="str">
        <f t="shared" si="33"/>
        <v>Earth Work/Excavation</v>
      </c>
      <c r="AX99" s="296"/>
      <c r="AY99" s="708">
        <f>'07-COLUMNS'!D144</f>
        <v>0</v>
      </c>
      <c r="AZ99" s="709">
        <f t="shared" si="34"/>
        <v>80031</v>
      </c>
      <c r="BA99" s="707" t="str">
        <f t="shared" si="35"/>
        <v>Earth Work/Excavation</v>
      </c>
      <c r="BB99" s="296"/>
      <c r="BC99" s="708">
        <f>'08-CIP EL. DECK'!D177</f>
        <v>0</v>
      </c>
      <c r="BD99" s="709">
        <f t="shared" si="36"/>
        <v>90031</v>
      </c>
      <c r="BE99" s="707" t="str">
        <f t="shared" si="37"/>
        <v>Earth Work/Excavation</v>
      </c>
      <c r="BF99" s="296"/>
      <c r="BG99" s="708">
        <f>'09-SLAB ON DECK'!E143</f>
        <v>0</v>
      </c>
      <c r="BH99" s="709">
        <f t="shared" si="38"/>
        <v>100031</v>
      </c>
      <c r="BI99" s="707" t="str">
        <f t="shared" si="39"/>
        <v>Earth Work/Excavation</v>
      </c>
      <c r="BJ99" s="296"/>
      <c r="BK99" s="708">
        <f>'10-PAVING'!D124</f>
        <v>0</v>
      </c>
      <c r="BL99" s="709">
        <f t="shared" si="40"/>
        <v>110031</v>
      </c>
      <c r="BM99" s="707" t="str">
        <f t="shared" si="41"/>
        <v>Earth Work/Excavation</v>
      </c>
      <c r="BN99" s="296"/>
      <c r="BO99" s="708">
        <f>'11-Sidewalks'!D121</f>
        <v>0</v>
      </c>
      <c r="BP99" s="709">
        <f t="shared" si="42"/>
        <v>120031</v>
      </c>
      <c r="BQ99" s="707" t="str">
        <f t="shared" si="43"/>
        <v>Earth Work/Excavation</v>
      </c>
      <c r="BR99" s="296"/>
      <c r="BS99" s="708">
        <f>'12-PANELS'!F139</f>
        <v>0</v>
      </c>
      <c r="BT99" s="709">
        <f t="shared" si="44"/>
        <v>130031</v>
      </c>
      <c r="BU99" s="707" t="str">
        <f t="shared" si="45"/>
        <v>Earth Work/Excavation</v>
      </c>
      <c r="BV99" s="296"/>
      <c r="BW99" s="708">
        <f>'13-Miscellaneous'!E72</f>
        <v>0</v>
      </c>
      <c r="BX99" s="709">
        <f t="shared" si="46"/>
        <v>140031</v>
      </c>
      <c r="BY99" s="707" t="str">
        <f t="shared" si="47"/>
        <v>Earth Work/Excavation</v>
      </c>
    </row>
    <row r="100" spans="1:77" ht="21.75" customHeight="1">
      <c r="A100" s="2911"/>
      <c r="B100" s="704">
        <v>32</v>
      </c>
      <c r="C100" s="763" t="s">
        <v>1133</v>
      </c>
      <c r="D100" s="518" t="s">
        <v>756</v>
      </c>
      <c r="E100" s="518"/>
      <c r="F100" s="715"/>
      <c r="G100" s="708">
        <f t="shared" si="11"/>
        <v>58032</v>
      </c>
      <c r="H100" s="712">
        <f t="shared" si="12"/>
        <v>10032</v>
      </c>
      <c r="I100" s="518" t="str">
        <f t="shared" si="13"/>
        <v>Drilling</v>
      </c>
      <c r="J100" s="715"/>
      <c r="K100" s="708">
        <f>'01-Piers'!E120</f>
        <v>58032</v>
      </c>
      <c r="L100" s="712">
        <f t="shared" si="14"/>
        <v>20032</v>
      </c>
      <c r="M100" s="518" t="str">
        <f t="shared" si="48"/>
        <v>Drilling</v>
      </c>
      <c r="N100" s="715"/>
      <c r="O100" s="717">
        <f>'02-Gd Beams'!E127</f>
        <v>0</v>
      </c>
      <c r="P100" s="709">
        <f t="shared" si="16"/>
        <v>40032</v>
      </c>
      <c r="Q100" s="518" t="str">
        <f t="shared" si="17"/>
        <v>Drilling</v>
      </c>
      <c r="R100" s="715"/>
      <c r="S100" s="710">
        <f>'04-PT Slab on Grade Wrap'!E146</f>
        <v>0</v>
      </c>
      <c r="T100" s="712">
        <f t="shared" si="18"/>
        <v>40032</v>
      </c>
      <c r="U100" s="518" t="str">
        <f t="shared" si="19"/>
        <v>Drilling</v>
      </c>
      <c r="V100" s="715"/>
      <c r="W100" s="710">
        <f>'04-PT Slab on Grade'!E146</f>
        <v>0</v>
      </c>
      <c r="X100" s="712">
        <f t="shared" si="20"/>
        <v>50032</v>
      </c>
      <c r="Y100" s="518" t="str">
        <f t="shared" si="21"/>
        <v>Drilling</v>
      </c>
      <c r="Z100" s="715"/>
      <c r="AA100" s="710">
        <f>'05-Slabs'!E146</f>
        <v>0</v>
      </c>
      <c r="AB100" s="709">
        <f t="shared" si="22"/>
        <v>30032</v>
      </c>
      <c r="AC100" s="518" t="str">
        <f t="shared" si="23"/>
        <v>Drilling</v>
      </c>
      <c r="AD100" s="715"/>
      <c r="AE100" s="761">
        <f>'03-Walls &amp; Footings'!D130</f>
        <v>0</v>
      </c>
      <c r="AF100" s="712">
        <f t="shared" si="24"/>
        <v>60032</v>
      </c>
      <c r="AG100" s="518" t="str">
        <f t="shared" si="25"/>
        <v>Drilling</v>
      </c>
      <c r="AH100" s="715"/>
      <c r="AI100" s="718">
        <f>'06-Walls &amp; Footings'!D130</f>
        <v>0</v>
      </c>
      <c r="AJ100" s="712">
        <f t="shared" si="26"/>
        <v>60032</v>
      </c>
      <c r="AK100" s="518" t="str">
        <f t="shared" si="27"/>
        <v>Drilling</v>
      </c>
      <c r="AL100" s="715"/>
      <c r="AM100" s="718">
        <f>'06-Footings'!D130</f>
        <v>0</v>
      </c>
      <c r="AN100" s="712">
        <f t="shared" si="28"/>
        <v>60032</v>
      </c>
      <c r="AO100" s="518" t="str">
        <f t="shared" si="29"/>
        <v>Drilling</v>
      </c>
      <c r="AP100" s="715"/>
      <c r="AQ100" s="718">
        <f>'06-Garage Walls &amp; Footings'!D130</f>
        <v>0</v>
      </c>
      <c r="AR100" s="712">
        <f t="shared" si="30"/>
        <v>118032</v>
      </c>
      <c r="AS100" s="518" t="str">
        <f t="shared" si="31"/>
        <v>Drilling</v>
      </c>
      <c r="AT100" s="715"/>
      <c r="AU100" s="718">
        <f>'06-Garage Footings'!D130</f>
        <v>0</v>
      </c>
      <c r="AV100" s="712">
        <f t="shared" si="32"/>
        <v>70032</v>
      </c>
      <c r="AW100" s="518" t="str">
        <f t="shared" si="33"/>
        <v>Drilling</v>
      </c>
      <c r="AX100" s="715"/>
      <c r="AY100" s="717">
        <f>'07-COLUMNS'!D145</f>
        <v>0</v>
      </c>
      <c r="AZ100" s="712">
        <f t="shared" si="34"/>
        <v>80032</v>
      </c>
      <c r="BA100" s="518" t="str">
        <f t="shared" si="35"/>
        <v>Drilling</v>
      </c>
      <c r="BB100" s="715"/>
      <c r="BC100" s="717">
        <f>'08-CIP EL. DECK'!D178</f>
        <v>0</v>
      </c>
      <c r="BD100" s="712">
        <f t="shared" si="36"/>
        <v>90032</v>
      </c>
      <c r="BE100" s="518" t="str">
        <f t="shared" si="37"/>
        <v>Drilling</v>
      </c>
      <c r="BF100" s="715"/>
      <c r="BG100" s="717">
        <f>'09-SLAB ON DECK'!E144</f>
        <v>0</v>
      </c>
      <c r="BH100" s="712">
        <f t="shared" si="38"/>
        <v>100032</v>
      </c>
      <c r="BI100" s="518" t="str">
        <f t="shared" si="39"/>
        <v>Drilling</v>
      </c>
      <c r="BJ100" s="715"/>
      <c r="BK100" s="717">
        <f>'10-PAVING'!D125</f>
        <v>0</v>
      </c>
      <c r="BL100" s="712">
        <f t="shared" si="40"/>
        <v>110032</v>
      </c>
      <c r="BM100" s="518" t="str">
        <f t="shared" si="41"/>
        <v>Drilling</v>
      </c>
      <c r="BN100" s="715"/>
      <c r="BO100" s="717">
        <f>'11-Sidewalks'!D122</f>
        <v>0</v>
      </c>
      <c r="BP100" s="712">
        <f t="shared" si="42"/>
        <v>120032</v>
      </c>
      <c r="BQ100" s="518" t="str">
        <f t="shared" si="43"/>
        <v>Drilling</v>
      </c>
      <c r="BR100" s="715"/>
      <c r="BS100" s="708">
        <f>'12-PANELS'!F140</f>
        <v>0</v>
      </c>
      <c r="BT100" s="712">
        <f t="shared" si="44"/>
        <v>130032</v>
      </c>
      <c r="BU100" s="518" t="str">
        <f t="shared" si="45"/>
        <v>Drilling</v>
      </c>
      <c r="BV100" s="715"/>
      <c r="BW100" s="708">
        <f>'13-Miscellaneous'!E73</f>
        <v>0</v>
      </c>
      <c r="BX100" s="709">
        <f t="shared" si="46"/>
        <v>140032</v>
      </c>
      <c r="BY100" s="518" t="str">
        <f t="shared" si="47"/>
        <v>Drilling</v>
      </c>
    </row>
    <row r="101" spans="1:77" ht="21" customHeight="1">
      <c r="A101" s="2911"/>
      <c r="B101" s="402">
        <v>33</v>
      </c>
      <c r="C101" s="705" t="s">
        <v>1134</v>
      </c>
      <c r="D101" s="707" t="s">
        <v>1135</v>
      </c>
      <c r="E101" s="707"/>
      <c r="F101" s="296"/>
      <c r="G101" s="708">
        <f t="shared" si="11"/>
        <v>3860.7841012410508</v>
      </c>
      <c r="H101" s="709">
        <f t="shared" si="12"/>
        <v>10033</v>
      </c>
      <c r="I101" s="707" t="str">
        <f t="shared" si="13"/>
        <v>Haul off</v>
      </c>
      <c r="J101" s="296"/>
      <c r="K101" s="708">
        <f>'01-Piers'!E121</f>
        <v>3860.7841012410508</v>
      </c>
      <c r="L101" s="709">
        <f t="shared" si="14"/>
        <v>20033</v>
      </c>
      <c r="M101" s="707" t="str">
        <f t="shared" si="48"/>
        <v>Haul off</v>
      </c>
      <c r="N101" s="296"/>
      <c r="O101" s="708">
        <f>'02-Gd Beams'!E128</f>
        <v>0</v>
      </c>
      <c r="P101" s="709">
        <f t="shared" si="16"/>
        <v>40033</v>
      </c>
      <c r="Q101" s="707" t="str">
        <f t="shared" si="17"/>
        <v>Haul off</v>
      </c>
      <c r="R101" s="296"/>
      <c r="S101" s="710">
        <f>'04-PT Slab on Grade Wrap'!E147</f>
        <v>0</v>
      </c>
      <c r="T101" s="709">
        <f t="shared" si="18"/>
        <v>40033</v>
      </c>
      <c r="U101" s="707" t="str">
        <f t="shared" si="19"/>
        <v>Haul off</v>
      </c>
      <c r="V101" s="296"/>
      <c r="W101" s="710">
        <f>'04-PT Slab on Grade'!E147</f>
        <v>0</v>
      </c>
      <c r="X101" s="709">
        <f t="shared" si="20"/>
        <v>50033</v>
      </c>
      <c r="Y101" s="707" t="str">
        <f t="shared" si="21"/>
        <v>Haul off</v>
      </c>
      <c r="Z101" s="296"/>
      <c r="AA101" s="710">
        <f>'05-Slabs'!E147</f>
        <v>0</v>
      </c>
      <c r="AB101" s="709">
        <f t="shared" si="22"/>
        <v>30033</v>
      </c>
      <c r="AC101" s="707" t="str">
        <f t="shared" si="23"/>
        <v>Haul off</v>
      </c>
      <c r="AD101" s="296"/>
      <c r="AE101" s="761">
        <f>'03-Walls &amp; Footings'!D131</f>
        <v>0</v>
      </c>
      <c r="AF101" s="709">
        <f t="shared" si="24"/>
        <v>60033</v>
      </c>
      <c r="AG101" s="707" t="str">
        <f t="shared" si="25"/>
        <v>Haul off</v>
      </c>
      <c r="AH101" s="296"/>
      <c r="AI101" s="710">
        <f>'06-Walls &amp; Footings'!D131</f>
        <v>0</v>
      </c>
      <c r="AJ101" s="709">
        <f t="shared" si="26"/>
        <v>60033</v>
      </c>
      <c r="AK101" s="707" t="str">
        <f t="shared" si="27"/>
        <v>Haul off</v>
      </c>
      <c r="AL101" s="296"/>
      <c r="AM101" s="710">
        <f>'06-Footings'!D131</f>
        <v>0</v>
      </c>
      <c r="AN101" s="709">
        <f t="shared" si="28"/>
        <v>60033</v>
      </c>
      <c r="AO101" s="707" t="str">
        <f t="shared" si="29"/>
        <v>Haul off</v>
      </c>
      <c r="AP101" s="296"/>
      <c r="AQ101" s="718">
        <f>'06-Garage Walls &amp; Footings'!D131</f>
        <v>0</v>
      </c>
      <c r="AR101" s="709">
        <f t="shared" si="30"/>
        <v>63860.78410124105</v>
      </c>
      <c r="AS101" s="707" t="str">
        <f t="shared" si="31"/>
        <v>Haul off</v>
      </c>
      <c r="AT101" s="296"/>
      <c r="AU101" s="718">
        <f>'06-Garage Footings'!D131</f>
        <v>0</v>
      </c>
      <c r="AV101" s="709">
        <f t="shared" si="32"/>
        <v>70033</v>
      </c>
      <c r="AW101" s="707" t="str">
        <f t="shared" si="33"/>
        <v>Haul off</v>
      </c>
      <c r="AX101" s="296"/>
      <c r="AY101" s="708">
        <f>'07-COLUMNS'!D146</f>
        <v>0</v>
      </c>
      <c r="AZ101" s="709">
        <f t="shared" si="34"/>
        <v>80033</v>
      </c>
      <c r="BA101" s="707" t="str">
        <f t="shared" si="35"/>
        <v>Haul off</v>
      </c>
      <c r="BB101" s="296"/>
      <c r="BC101" s="708">
        <f>'08-CIP EL. DECK'!D179</f>
        <v>0</v>
      </c>
      <c r="BD101" s="713">
        <f t="shared" si="36"/>
        <v>90033</v>
      </c>
      <c r="BE101" s="707" t="str">
        <f t="shared" si="37"/>
        <v>Haul off</v>
      </c>
      <c r="BF101" s="296"/>
      <c r="BG101" s="708">
        <f>'09-SLAB ON DECK'!E145</f>
        <v>0</v>
      </c>
      <c r="BH101" s="709">
        <f t="shared" si="38"/>
        <v>100033</v>
      </c>
      <c r="BI101" s="707" t="str">
        <f t="shared" si="39"/>
        <v>Haul off</v>
      </c>
      <c r="BJ101" s="296"/>
      <c r="BK101" s="708">
        <f>'10-PAVING'!D126</f>
        <v>0</v>
      </c>
      <c r="BL101" s="709">
        <f t="shared" si="40"/>
        <v>110033</v>
      </c>
      <c r="BM101" s="707" t="str">
        <f t="shared" si="41"/>
        <v>Haul off</v>
      </c>
      <c r="BN101" s="296"/>
      <c r="BO101" s="708">
        <f>'11-Sidewalks'!D123</f>
        <v>0</v>
      </c>
      <c r="BP101" s="709">
        <f t="shared" si="42"/>
        <v>120033</v>
      </c>
      <c r="BQ101" s="707" t="str">
        <f t="shared" si="43"/>
        <v>Haul off</v>
      </c>
      <c r="BR101" s="296"/>
      <c r="BS101" s="708">
        <f>'12-PANELS'!F141</f>
        <v>0</v>
      </c>
      <c r="BT101" s="709">
        <f t="shared" si="44"/>
        <v>130033</v>
      </c>
      <c r="BU101" s="707" t="str">
        <f t="shared" si="45"/>
        <v>Haul off</v>
      </c>
      <c r="BV101" s="296"/>
      <c r="BW101" s="708">
        <f>'13-Miscellaneous'!E74</f>
        <v>0</v>
      </c>
      <c r="BX101" s="709">
        <f t="shared" si="46"/>
        <v>140033</v>
      </c>
      <c r="BY101" s="707" t="str">
        <f t="shared" si="47"/>
        <v>Haul off</v>
      </c>
    </row>
    <row r="102" spans="1:77" ht="21" customHeight="1">
      <c r="A102" s="2911"/>
      <c r="B102" s="402">
        <v>34</v>
      </c>
      <c r="C102" s="705" t="s">
        <v>1136</v>
      </c>
      <c r="D102" s="518" t="s">
        <v>1137</v>
      </c>
      <c r="E102" s="707"/>
      <c r="F102" s="296"/>
      <c r="G102" s="708">
        <f t="shared" si="11"/>
        <v>43832.6</v>
      </c>
      <c r="H102" s="709">
        <f t="shared" si="12"/>
        <v>10034</v>
      </c>
      <c r="I102" s="707" t="str">
        <f t="shared" si="13"/>
        <v>Saw Cutting/Sealing</v>
      </c>
      <c r="J102" s="296"/>
      <c r="K102" s="708">
        <f>'01-Piers'!E122</f>
        <v>0</v>
      </c>
      <c r="L102" s="709">
        <f t="shared" si="14"/>
        <v>20034</v>
      </c>
      <c r="M102" s="707" t="str">
        <f t="shared" si="48"/>
        <v>Saw Cutting/Sealing</v>
      </c>
      <c r="N102" s="296"/>
      <c r="O102" s="708">
        <f>'02-Gd Beams'!E129</f>
        <v>0</v>
      </c>
      <c r="P102" s="709">
        <f t="shared" si="16"/>
        <v>40034</v>
      </c>
      <c r="Q102" s="707" t="str">
        <f t="shared" si="17"/>
        <v>Saw Cutting/Sealing</v>
      </c>
      <c r="R102" s="296"/>
      <c r="S102" s="710">
        <f>'04-PT Slab on Grade Wrap'!E148</f>
        <v>0</v>
      </c>
      <c r="T102" s="709">
        <f t="shared" si="18"/>
        <v>40034</v>
      </c>
      <c r="U102" s="707" t="str">
        <f t="shared" si="19"/>
        <v>Saw Cutting/Sealing</v>
      </c>
      <c r="V102" s="296"/>
      <c r="W102" s="710">
        <f>'04-PT Slab on Grade'!E148</f>
        <v>0</v>
      </c>
      <c r="X102" s="709">
        <f t="shared" si="20"/>
        <v>50034</v>
      </c>
      <c r="Y102" s="707" t="str">
        <f t="shared" si="21"/>
        <v>Saw Cutting/Sealing</v>
      </c>
      <c r="Z102" s="296"/>
      <c r="AA102" s="710">
        <f>'05-Slabs'!E148</f>
        <v>0</v>
      </c>
      <c r="AB102" s="709">
        <f t="shared" si="22"/>
        <v>30034</v>
      </c>
      <c r="AC102" s="707" t="str">
        <f t="shared" si="23"/>
        <v>Saw Cutting/Sealing</v>
      </c>
      <c r="AD102" s="296"/>
      <c r="AE102" s="761">
        <f>'03-Walls &amp; Footings'!D132</f>
        <v>0</v>
      </c>
      <c r="AF102" s="709">
        <f t="shared" si="24"/>
        <v>60034</v>
      </c>
      <c r="AG102" s="707" t="str">
        <f t="shared" si="25"/>
        <v>Saw Cutting/Sealing</v>
      </c>
      <c r="AH102" s="296"/>
      <c r="AI102" s="710">
        <f>'06-Walls &amp; Footings'!D132</f>
        <v>0</v>
      </c>
      <c r="AJ102" s="709">
        <f t="shared" si="26"/>
        <v>60034</v>
      </c>
      <c r="AK102" s="707" t="str">
        <f t="shared" si="27"/>
        <v>Saw Cutting/Sealing</v>
      </c>
      <c r="AL102" s="296"/>
      <c r="AM102" s="710">
        <f>'06-Footings'!D132</f>
        <v>0</v>
      </c>
      <c r="AN102" s="709">
        <f t="shared" si="28"/>
        <v>60034</v>
      </c>
      <c r="AO102" s="707" t="str">
        <f t="shared" si="29"/>
        <v>Saw Cutting/Sealing</v>
      </c>
      <c r="AP102" s="296"/>
      <c r="AQ102" s="718">
        <f>'06-Garage Walls &amp; Footings'!D132</f>
        <v>0</v>
      </c>
      <c r="AR102" s="709">
        <f t="shared" si="30"/>
        <v>103832.6</v>
      </c>
      <c r="AS102" s="707" t="str">
        <f t="shared" si="31"/>
        <v>Saw Cutting/Sealing</v>
      </c>
      <c r="AT102" s="296"/>
      <c r="AU102" s="718">
        <f>'06-Garage Footings'!D132</f>
        <v>0</v>
      </c>
      <c r="AV102" s="709">
        <f t="shared" si="32"/>
        <v>70034</v>
      </c>
      <c r="AW102" s="707" t="str">
        <f t="shared" si="33"/>
        <v>Saw Cutting/Sealing</v>
      </c>
      <c r="AX102" s="296"/>
      <c r="AY102" s="708">
        <f>'07-COLUMNS'!D147</f>
        <v>0</v>
      </c>
      <c r="AZ102" s="709">
        <f t="shared" si="34"/>
        <v>80034</v>
      </c>
      <c r="BA102" s="707" t="str">
        <f t="shared" si="35"/>
        <v>Saw Cutting/Sealing</v>
      </c>
      <c r="BB102" s="296"/>
      <c r="BC102" s="708">
        <f>'08-CIP EL. DECK'!D180</f>
        <v>0</v>
      </c>
      <c r="BD102" s="709">
        <f t="shared" si="36"/>
        <v>90034</v>
      </c>
      <c r="BE102" s="707" t="str">
        <f t="shared" si="37"/>
        <v>Saw Cutting/Sealing</v>
      </c>
      <c r="BF102" s="296"/>
      <c r="BG102" s="708">
        <f>'09-SLAB ON DECK'!E146</f>
        <v>0</v>
      </c>
      <c r="BH102" s="709">
        <f t="shared" si="38"/>
        <v>100034</v>
      </c>
      <c r="BI102" s="707" t="str">
        <f t="shared" si="39"/>
        <v>Saw Cutting/Sealing</v>
      </c>
      <c r="BJ102" s="296"/>
      <c r="BK102" s="708">
        <f>'10-PAVING'!D127</f>
        <v>42270.1</v>
      </c>
      <c r="BL102" s="709">
        <f t="shared" si="40"/>
        <v>110034</v>
      </c>
      <c r="BM102" s="707" t="str">
        <f t="shared" si="41"/>
        <v>Saw Cutting/Sealing</v>
      </c>
      <c r="BN102" s="296"/>
      <c r="BO102" s="708">
        <f>'11-Sidewalks'!D124</f>
        <v>1562.5</v>
      </c>
      <c r="BP102" s="709">
        <f t="shared" si="42"/>
        <v>120034</v>
      </c>
      <c r="BQ102" s="707" t="str">
        <f t="shared" si="43"/>
        <v>Saw Cutting/Sealing</v>
      </c>
      <c r="BR102" s="296"/>
      <c r="BS102" s="708">
        <f>'12-PANELS'!F142</f>
        <v>0</v>
      </c>
      <c r="BT102" s="709">
        <f t="shared" si="44"/>
        <v>130034</v>
      </c>
      <c r="BU102" s="707" t="str">
        <f t="shared" si="45"/>
        <v>Saw Cutting/Sealing</v>
      </c>
      <c r="BV102" s="296"/>
      <c r="BW102" s="708">
        <f>'13-Miscellaneous'!E75</f>
        <v>0</v>
      </c>
      <c r="BX102" s="709">
        <f t="shared" si="46"/>
        <v>140034</v>
      </c>
      <c r="BY102" s="707" t="str">
        <f t="shared" si="47"/>
        <v>Saw Cutting/Sealing</v>
      </c>
    </row>
    <row r="103" spans="1:77" ht="21" customHeight="1">
      <c r="A103" s="2911"/>
      <c r="B103" s="402">
        <v>35</v>
      </c>
      <c r="C103" s="705" t="s">
        <v>1138</v>
      </c>
      <c r="D103" s="518" t="s">
        <v>1139</v>
      </c>
      <c r="E103" s="518"/>
      <c r="F103" s="296"/>
      <c r="G103" s="708">
        <f t="shared" si="11"/>
        <v>0</v>
      </c>
      <c r="H103" s="709">
        <f t="shared" si="12"/>
        <v>10035</v>
      </c>
      <c r="I103" s="518" t="str">
        <f t="shared" si="13"/>
        <v>Demolition</v>
      </c>
      <c r="J103" s="296"/>
      <c r="K103" s="708">
        <f>'01-Piers'!E123</f>
        <v>0</v>
      </c>
      <c r="L103" s="709">
        <f t="shared" si="14"/>
        <v>20035</v>
      </c>
      <c r="M103" s="518" t="str">
        <f t="shared" si="48"/>
        <v>Demolition</v>
      </c>
      <c r="N103" s="296"/>
      <c r="O103" s="708">
        <f>'02-Gd Beams'!E130</f>
        <v>0</v>
      </c>
      <c r="P103" s="709">
        <f t="shared" si="16"/>
        <v>40035</v>
      </c>
      <c r="Q103" s="707" t="str">
        <f t="shared" si="17"/>
        <v>Demolition</v>
      </c>
      <c r="R103" s="296"/>
      <c r="S103" s="710">
        <f>'04-PT Slab on Grade Wrap'!E149</f>
        <v>0</v>
      </c>
      <c r="T103" s="709">
        <f t="shared" si="18"/>
        <v>40035</v>
      </c>
      <c r="U103" s="518" t="str">
        <f t="shared" si="19"/>
        <v>Demolition</v>
      </c>
      <c r="V103" s="296"/>
      <c r="W103" s="710">
        <f>'04-PT Slab on Grade'!E149</f>
        <v>0</v>
      </c>
      <c r="X103" s="709">
        <f t="shared" si="20"/>
        <v>50035</v>
      </c>
      <c r="Y103" s="707" t="str">
        <f t="shared" si="21"/>
        <v>Demolition</v>
      </c>
      <c r="Z103" s="296"/>
      <c r="AA103" s="710">
        <f>'05-Slabs'!E149</f>
        <v>0</v>
      </c>
      <c r="AB103" s="709">
        <f t="shared" si="22"/>
        <v>30035</v>
      </c>
      <c r="AC103" s="707" t="str">
        <f t="shared" si="23"/>
        <v>Demolition</v>
      </c>
      <c r="AD103" s="296"/>
      <c r="AE103" s="761">
        <f>'03-Walls &amp; Footings'!D133</f>
        <v>0</v>
      </c>
      <c r="AF103" s="709">
        <f t="shared" si="24"/>
        <v>60035</v>
      </c>
      <c r="AG103" s="707" t="str">
        <f t="shared" si="25"/>
        <v>Demolition</v>
      </c>
      <c r="AH103" s="296"/>
      <c r="AI103" s="710">
        <f>'06-Walls &amp; Footings'!D133</f>
        <v>0</v>
      </c>
      <c r="AJ103" s="709">
        <f t="shared" si="26"/>
        <v>60035</v>
      </c>
      <c r="AK103" s="707" t="str">
        <f t="shared" si="27"/>
        <v>Demolition</v>
      </c>
      <c r="AL103" s="296"/>
      <c r="AM103" s="710">
        <f>'06-Footings'!D133</f>
        <v>0</v>
      </c>
      <c r="AN103" s="709">
        <f t="shared" si="28"/>
        <v>60035</v>
      </c>
      <c r="AO103" s="707" t="str">
        <f t="shared" si="29"/>
        <v>Demolition</v>
      </c>
      <c r="AP103" s="296"/>
      <c r="AQ103" s="718">
        <f>'06-Garage Walls &amp; Footings'!D133</f>
        <v>0</v>
      </c>
      <c r="AR103" s="709">
        <f t="shared" si="30"/>
        <v>60000</v>
      </c>
      <c r="AS103" s="707" t="str">
        <f t="shared" si="31"/>
        <v>Demolition</v>
      </c>
      <c r="AT103" s="296"/>
      <c r="AU103" s="718">
        <f>'06-Garage Footings'!D133</f>
        <v>0</v>
      </c>
      <c r="AV103" s="712">
        <f t="shared" si="32"/>
        <v>70035</v>
      </c>
      <c r="AW103" s="518" t="str">
        <f t="shared" si="33"/>
        <v>Demolition</v>
      </c>
      <c r="AX103" s="296"/>
      <c r="AY103" s="708">
        <f>'07-COLUMNS'!D148</f>
        <v>0</v>
      </c>
      <c r="AZ103" s="709">
        <f t="shared" si="34"/>
        <v>80035</v>
      </c>
      <c r="BA103" s="707" t="str">
        <f t="shared" si="35"/>
        <v>Demolition</v>
      </c>
      <c r="BB103" s="296"/>
      <c r="BC103" s="708">
        <f>'08-CIP EL. DECK'!D181</f>
        <v>0</v>
      </c>
      <c r="BD103" s="709">
        <f t="shared" si="36"/>
        <v>90035</v>
      </c>
      <c r="BE103" s="707" t="str">
        <f t="shared" si="37"/>
        <v>Demolition</v>
      </c>
      <c r="BF103" s="296"/>
      <c r="BG103" s="708">
        <f>'09-SLAB ON DECK'!E147</f>
        <v>0</v>
      </c>
      <c r="BH103" s="709">
        <f t="shared" si="38"/>
        <v>100035</v>
      </c>
      <c r="BI103" s="518" t="str">
        <f t="shared" si="39"/>
        <v>Demolition</v>
      </c>
      <c r="BJ103" s="296"/>
      <c r="BK103" s="708">
        <f>'10-PAVING'!D128</f>
        <v>0</v>
      </c>
      <c r="BL103" s="709">
        <f t="shared" si="40"/>
        <v>110035</v>
      </c>
      <c r="BM103" s="518" t="str">
        <f t="shared" si="41"/>
        <v>Demolition</v>
      </c>
      <c r="BN103" s="296"/>
      <c r="BO103" s="708">
        <f>'11-Sidewalks'!D125</f>
        <v>0</v>
      </c>
      <c r="BP103" s="709">
        <f t="shared" si="42"/>
        <v>120035</v>
      </c>
      <c r="BQ103" s="518" t="str">
        <f t="shared" si="43"/>
        <v>Demolition</v>
      </c>
      <c r="BR103" s="296"/>
      <c r="BS103" s="708">
        <f>'12-PANELS'!F143</f>
        <v>0</v>
      </c>
      <c r="BT103" s="712">
        <f t="shared" si="44"/>
        <v>130035</v>
      </c>
      <c r="BU103" s="707" t="str">
        <f t="shared" si="45"/>
        <v>Demolition</v>
      </c>
      <c r="BV103" s="296"/>
      <c r="BW103" s="708">
        <f>'13-Miscellaneous'!E76</f>
        <v>0</v>
      </c>
      <c r="BX103" s="709">
        <f t="shared" si="46"/>
        <v>140035</v>
      </c>
      <c r="BY103" s="707" t="str">
        <f t="shared" si="47"/>
        <v>Demolition</v>
      </c>
    </row>
    <row r="104" spans="1:77" ht="21" customHeight="1">
      <c r="A104" s="2911"/>
      <c r="B104" s="402">
        <v>37</v>
      </c>
      <c r="C104" s="705" t="s">
        <v>1140</v>
      </c>
      <c r="D104" s="518" t="s">
        <v>1141</v>
      </c>
      <c r="E104" s="518"/>
      <c r="F104" s="296"/>
      <c r="G104" s="708">
        <f t="shared" si="11"/>
        <v>0</v>
      </c>
      <c r="H104" s="709">
        <f t="shared" si="12"/>
        <v>10037</v>
      </c>
      <c r="I104" s="518" t="str">
        <f t="shared" si="13"/>
        <v>Waterproofing</v>
      </c>
      <c r="J104" s="296"/>
      <c r="K104" s="708">
        <f>'01-Piers'!E124</f>
        <v>0</v>
      </c>
      <c r="L104" s="709">
        <f t="shared" si="14"/>
        <v>20037</v>
      </c>
      <c r="M104" s="518" t="str">
        <f t="shared" si="48"/>
        <v>Waterproofing</v>
      </c>
      <c r="N104" s="296"/>
      <c r="O104" s="708">
        <f>'02-Gd Beams'!E131</f>
        <v>0</v>
      </c>
      <c r="P104" s="709">
        <f t="shared" si="16"/>
        <v>40037</v>
      </c>
      <c r="Q104" s="707" t="str">
        <f t="shared" si="17"/>
        <v>Waterproofing</v>
      </c>
      <c r="R104" s="296"/>
      <c r="S104" s="710">
        <f>'04-PT Slab on Grade Wrap'!E150</f>
        <v>0</v>
      </c>
      <c r="T104" s="709">
        <f t="shared" si="18"/>
        <v>40037</v>
      </c>
      <c r="U104" s="518" t="str">
        <f t="shared" si="19"/>
        <v>Waterproofing</v>
      </c>
      <c r="V104" s="296"/>
      <c r="W104" s="710">
        <f>'04-PT Slab on Grade'!E150</f>
        <v>0</v>
      </c>
      <c r="X104" s="709">
        <f t="shared" si="20"/>
        <v>50037</v>
      </c>
      <c r="Y104" s="707" t="str">
        <f t="shared" si="21"/>
        <v>Waterproofing</v>
      </c>
      <c r="Z104" s="296"/>
      <c r="AA104" s="710">
        <f>'05-Slabs'!E150</f>
        <v>0</v>
      </c>
      <c r="AB104" s="709">
        <f t="shared" si="22"/>
        <v>30037</v>
      </c>
      <c r="AC104" s="707" t="str">
        <f t="shared" si="23"/>
        <v>Waterproofing</v>
      </c>
      <c r="AD104" s="296"/>
      <c r="AE104" s="761">
        <f>'03-Walls &amp; Footings'!D134</f>
        <v>0</v>
      </c>
      <c r="AF104" s="709">
        <f t="shared" si="24"/>
        <v>60037</v>
      </c>
      <c r="AG104" s="707" t="str">
        <f t="shared" si="25"/>
        <v>Waterproofing</v>
      </c>
      <c r="AH104" s="296"/>
      <c r="AI104" s="710">
        <f>'06-Walls &amp; Footings'!D134</f>
        <v>0</v>
      </c>
      <c r="AJ104" s="709">
        <f t="shared" si="26"/>
        <v>60037</v>
      </c>
      <c r="AK104" s="707" t="str">
        <f t="shared" si="27"/>
        <v>Waterproofing</v>
      </c>
      <c r="AL104" s="296"/>
      <c r="AM104" s="710">
        <f>'06-Footings'!D134</f>
        <v>0</v>
      </c>
      <c r="AN104" s="709">
        <f t="shared" si="28"/>
        <v>60037</v>
      </c>
      <c r="AO104" s="707" t="str">
        <f t="shared" si="29"/>
        <v>Waterproofing</v>
      </c>
      <c r="AP104" s="296"/>
      <c r="AQ104" s="718">
        <f>'06-Garage Walls &amp; Footings'!D134</f>
        <v>0</v>
      </c>
      <c r="AR104" s="709">
        <f t="shared" si="30"/>
        <v>60000</v>
      </c>
      <c r="AS104" s="707" t="str">
        <f t="shared" si="31"/>
        <v>Waterproofing</v>
      </c>
      <c r="AT104" s="296"/>
      <c r="AU104" s="718">
        <f>'06-Garage Footings'!D134</f>
        <v>0</v>
      </c>
      <c r="AV104" s="712">
        <f t="shared" si="32"/>
        <v>70037</v>
      </c>
      <c r="AW104" s="518" t="str">
        <f t="shared" si="33"/>
        <v>Waterproofing</v>
      </c>
      <c r="AX104" s="296"/>
      <c r="AY104" s="708">
        <f>'07-COLUMNS'!D149</f>
        <v>0</v>
      </c>
      <c r="AZ104" s="709">
        <f t="shared" si="34"/>
        <v>80037</v>
      </c>
      <c r="BA104" s="707" t="str">
        <f t="shared" si="35"/>
        <v>Waterproofing</v>
      </c>
      <c r="BB104" s="296"/>
      <c r="BC104" s="708">
        <f>'08-CIP EL. DECK'!D182</f>
        <v>0</v>
      </c>
      <c r="BD104" s="709">
        <f t="shared" si="36"/>
        <v>90037</v>
      </c>
      <c r="BE104" s="707" t="str">
        <f t="shared" si="37"/>
        <v>Waterproofing</v>
      </c>
      <c r="BF104" s="296"/>
      <c r="BG104" s="708">
        <f>'09-SLAB ON DECK'!E148</f>
        <v>0</v>
      </c>
      <c r="BH104" s="709">
        <f t="shared" si="38"/>
        <v>100037</v>
      </c>
      <c r="BI104" s="518" t="str">
        <f t="shared" si="39"/>
        <v>Waterproofing</v>
      </c>
      <c r="BJ104" s="296"/>
      <c r="BK104" s="708">
        <f>'10-PAVING'!D129</f>
        <v>0</v>
      </c>
      <c r="BL104" s="709">
        <f t="shared" si="40"/>
        <v>110037</v>
      </c>
      <c r="BM104" s="518" t="str">
        <f t="shared" si="41"/>
        <v>Waterproofing</v>
      </c>
      <c r="BN104" s="296"/>
      <c r="BO104" s="708">
        <f>'11-Sidewalks'!D126</f>
        <v>0</v>
      </c>
      <c r="BP104" s="709">
        <f t="shared" si="42"/>
        <v>120037</v>
      </c>
      <c r="BQ104" s="518" t="str">
        <f t="shared" si="43"/>
        <v>Waterproofing</v>
      </c>
      <c r="BR104" s="296"/>
      <c r="BS104" s="708">
        <f>'12-PANELS'!F144</f>
        <v>0</v>
      </c>
      <c r="BT104" s="712">
        <f t="shared" si="44"/>
        <v>130037</v>
      </c>
      <c r="BU104" s="707" t="str">
        <f t="shared" si="45"/>
        <v>Waterproofing</v>
      </c>
      <c r="BV104" s="296"/>
      <c r="BW104" s="708">
        <f>'13-Miscellaneous'!E77</f>
        <v>0</v>
      </c>
      <c r="BX104" s="709">
        <f t="shared" si="46"/>
        <v>140037</v>
      </c>
      <c r="BY104" s="707" t="str">
        <f t="shared" si="47"/>
        <v>Waterproofing</v>
      </c>
    </row>
    <row r="105" spans="1:77" ht="21" customHeight="1">
      <c r="A105" s="2911"/>
      <c r="B105" s="402">
        <v>38</v>
      </c>
      <c r="C105" s="705" t="s">
        <v>1142</v>
      </c>
      <c r="D105" s="518" t="s">
        <v>1143</v>
      </c>
      <c r="E105" s="518"/>
      <c r="F105" s="296"/>
      <c r="G105" s="708">
        <f t="shared" si="11"/>
        <v>136728</v>
      </c>
      <c r="H105" s="709">
        <f t="shared" si="12"/>
        <v>10038</v>
      </c>
      <c r="I105" s="518" t="str">
        <f t="shared" si="13"/>
        <v>Crain/Hoisting</v>
      </c>
      <c r="J105" s="296"/>
      <c r="K105" s="708">
        <f>'01-Piers'!E125</f>
        <v>0</v>
      </c>
      <c r="L105" s="709">
        <f t="shared" si="14"/>
        <v>20038</v>
      </c>
      <c r="M105" s="518" t="str">
        <f t="shared" si="48"/>
        <v>Crain/Hoisting</v>
      </c>
      <c r="N105" s="296"/>
      <c r="O105" s="708">
        <f>'02-Gd Beams'!E132</f>
        <v>0</v>
      </c>
      <c r="P105" s="709">
        <f t="shared" si="16"/>
        <v>40038</v>
      </c>
      <c r="Q105" s="707" t="str">
        <f t="shared" si="17"/>
        <v>Crain/Hoisting</v>
      </c>
      <c r="R105" s="296"/>
      <c r="S105" s="710">
        <f>'04-PT Slab on Grade Wrap'!E151</f>
        <v>0</v>
      </c>
      <c r="T105" s="709">
        <f t="shared" si="18"/>
        <v>40038</v>
      </c>
      <c r="U105" s="518" t="str">
        <f t="shared" si="19"/>
        <v>Crain/Hoisting</v>
      </c>
      <c r="V105" s="296"/>
      <c r="W105" s="710">
        <f>'04-PT Slab on Grade'!E151</f>
        <v>0</v>
      </c>
      <c r="X105" s="709">
        <f t="shared" si="20"/>
        <v>50038</v>
      </c>
      <c r="Y105" s="707" t="str">
        <f t="shared" si="21"/>
        <v>Crain/Hoisting</v>
      </c>
      <c r="Z105" s="296"/>
      <c r="AA105" s="710">
        <f>'05-Slabs'!E151</f>
        <v>0</v>
      </c>
      <c r="AB105" s="709">
        <f t="shared" si="22"/>
        <v>30038</v>
      </c>
      <c r="AC105" s="707" t="str">
        <f t="shared" si="23"/>
        <v>Crain/Hoisting</v>
      </c>
      <c r="AD105" s="296"/>
      <c r="AE105" s="761">
        <f>'03-Walls &amp; Footings'!D135</f>
        <v>0</v>
      </c>
      <c r="AF105" s="709">
        <f t="shared" si="24"/>
        <v>60038</v>
      </c>
      <c r="AG105" s="707" t="str">
        <f t="shared" si="25"/>
        <v>Crain/Hoisting</v>
      </c>
      <c r="AH105" s="296"/>
      <c r="AI105" s="710">
        <f>'06-Walls &amp; Footings'!D135</f>
        <v>0</v>
      </c>
      <c r="AJ105" s="709">
        <f t="shared" si="26"/>
        <v>60038</v>
      </c>
      <c r="AK105" s="707" t="str">
        <f t="shared" si="27"/>
        <v>Crain/Hoisting</v>
      </c>
      <c r="AL105" s="296"/>
      <c r="AM105" s="710">
        <f>'06-Footings'!D135</f>
        <v>0</v>
      </c>
      <c r="AN105" s="709">
        <f t="shared" si="28"/>
        <v>60038</v>
      </c>
      <c r="AO105" s="707" t="str">
        <f t="shared" si="29"/>
        <v>Crain/Hoisting</v>
      </c>
      <c r="AP105" s="296"/>
      <c r="AQ105" s="718">
        <f>'06-Garage Walls &amp; Footings'!D135</f>
        <v>0</v>
      </c>
      <c r="AR105" s="709">
        <f t="shared" si="30"/>
        <v>196728</v>
      </c>
      <c r="AS105" s="707" t="str">
        <f t="shared" si="31"/>
        <v>Crain/Hoisting</v>
      </c>
      <c r="AT105" s="296"/>
      <c r="AU105" s="718">
        <f>'06-Garage Footings'!D135</f>
        <v>0</v>
      </c>
      <c r="AV105" s="712">
        <f t="shared" si="32"/>
        <v>70038</v>
      </c>
      <c r="AW105" s="518" t="str">
        <f t="shared" si="33"/>
        <v>Crain/Hoisting</v>
      </c>
      <c r="AX105" s="296"/>
      <c r="AY105" s="708">
        <f>'07-COLUMNS'!D150</f>
        <v>0</v>
      </c>
      <c r="AZ105" s="709">
        <f t="shared" si="34"/>
        <v>80038</v>
      </c>
      <c r="BA105" s="707" t="str">
        <f t="shared" si="35"/>
        <v>Crain/Hoisting</v>
      </c>
      <c r="BB105" s="296"/>
      <c r="BC105" s="708">
        <f>'08-CIP EL. DECK'!D183</f>
        <v>136728</v>
      </c>
      <c r="BD105" s="709">
        <f t="shared" si="36"/>
        <v>90038</v>
      </c>
      <c r="BE105" s="707" t="str">
        <f t="shared" si="37"/>
        <v>Crain/Hoisting</v>
      </c>
      <c r="BF105" s="296"/>
      <c r="BG105" s="708">
        <f>'09-SLAB ON DECK'!E149</f>
        <v>0</v>
      </c>
      <c r="BH105" s="709">
        <f t="shared" si="38"/>
        <v>100038</v>
      </c>
      <c r="BI105" s="518" t="str">
        <f t="shared" si="39"/>
        <v>Crain/Hoisting</v>
      </c>
      <c r="BJ105" s="296"/>
      <c r="BK105" s="708">
        <f>'10-PAVING'!D130</f>
        <v>0</v>
      </c>
      <c r="BL105" s="709">
        <f t="shared" si="40"/>
        <v>110038</v>
      </c>
      <c r="BM105" s="518" t="str">
        <f t="shared" si="41"/>
        <v>Crain/Hoisting</v>
      </c>
      <c r="BN105" s="296"/>
      <c r="BO105" s="708">
        <f>'11-Sidewalks'!D127</f>
        <v>0</v>
      </c>
      <c r="BP105" s="709">
        <f t="shared" si="42"/>
        <v>120038</v>
      </c>
      <c r="BQ105" s="518" t="str">
        <f t="shared" si="43"/>
        <v>Crain/Hoisting</v>
      </c>
      <c r="BR105" s="296"/>
      <c r="BS105" s="708">
        <f>'12-PANELS'!F145</f>
        <v>0</v>
      </c>
      <c r="BT105" s="712">
        <f t="shared" si="44"/>
        <v>130038</v>
      </c>
      <c r="BU105" s="707" t="str">
        <f t="shared" si="45"/>
        <v>Crain/Hoisting</v>
      </c>
      <c r="BV105" s="296"/>
      <c r="BW105" s="708">
        <f>'13-Miscellaneous'!E78</f>
        <v>0</v>
      </c>
      <c r="BX105" s="709">
        <f t="shared" si="46"/>
        <v>140038</v>
      </c>
      <c r="BY105" s="707" t="str">
        <f t="shared" si="47"/>
        <v>Crain/Hoisting</v>
      </c>
    </row>
    <row r="106" spans="1:77" ht="21" customHeight="1">
      <c r="A106" s="2911"/>
      <c r="B106" s="734">
        <v>39</v>
      </c>
      <c r="C106" s="764" t="s">
        <v>1144</v>
      </c>
      <c r="D106" s="753" t="s">
        <v>1145</v>
      </c>
      <c r="E106" s="753"/>
      <c r="F106" s="765"/>
      <c r="G106" s="708">
        <f t="shared" ref="G106:G131" si="49">K106+BK106+AI106+W106+AA106+AY106+BS106+BC106+BG106+S106+O106+BW106+BO106+AE106+AM106+AQ106+AU106</f>
        <v>47778.84375</v>
      </c>
      <c r="H106" s="766">
        <f t="shared" ref="H106:H131" si="50">C106+10000</f>
        <v>10039</v>
      </c>
      <c r="I106" s="753" t="str">
        <f t="shared" ref="I106:I131" si="51">D106</f>
        <v>Forming Systems</v>
      </c>
      <c r="J106" s="765"/>
      <c r="K106" s="722">
        <f>'01-Piers'!E126</f>
        <v>0</v>
      </c>
      <c r="L106" s="766">
        <f t="shared" ref="L106:L131" si="52">C106+20000</f>
        <v>20039</v>
      </c>
      <c r="M106" s="753" t="str">
        <f t="shared" si="48"/>
        <v>Forming Systems</v>
      </c>
      <c r="N106" s="765"/>
      <c r="O106" s="722">
        <f>'02-Gd Beams'!E133</f>
        <v>0</v>
      </c>
      <c r="P106" s="709">
        <f t="shared" ref="P106:P131" si="53">C106+40000</f>
        <v>40039</v>
      </c>
      <c r="Q106" s="753" t="str">
        <f t="shared" ref="Q106:Q131" si="54">D106</f>
        <v>Forming Systems</v>
      </c>
      <c r="R106" s="765"/>
      <c r="S106" s="710">
        <f>'04-PT Slab on Grade Wrap'!E152</f>
        <v>0</v>
      </c>
      <c r="T106" s="766">
        <f t="shared" ref="T106:T131" si="55">C106+40000</f>
        <v>40039</v>
      </c>
      <c r="U106" s="753" t="str">
        <f t="shared" si="19"/>
        <v>Forming Systems</v>
      </c>
      <c r="V106" s="765"/>
      <c r="W106" s="758">
        <f>'04-PT Slab on Grade'!E152</f>
        <v>0</v>
      </c>
      <c r="X106" s="766">
        <f t="shared" ref="X106:X131" si="56">C106+50000</f>
        <v>50039</v>
      </c>
      <c r="Y106" s="753" t="str">
        <f t="shared" ref="Y106:Y131" si="57">D106</f>
        <v>Forming Systems</v>
      </c>
      <c r="Z106" s="765"/>
      <c r="AA106" s="765">
        <f>'05-Slabs'!E152</f>
        <v>0</v>
      </c>
      <c r="AB106" s="709">
        <f t="shared" ref="AB106:AB131" si="58">C106+30000</f>
        <v>30039</v>
      </c>
      <c r="AC106" s="753" t="str">
        <f t="shared" si="23"/>
        <v>Forming Systems</v>
      </c>
      <c r="AD106" s="765"/>
      <c r="AE106" s="761">
        <f>'03-Walls &amp; Footings'!D136</f>
        <v>0</v>
      </c>
      <c r="AF106" s="766">
        <f t="shared" ref="AF106:AF131" si="59">C106+60000</f>
        <v>60039</v>
      </c>
      <c r="AG106" s="753" t="str">
        <f t="shared" si="25"/>
        <v>Forming Systems</v>
      </c>
      <c r="AH106" s="765"/>
      <c r="AI106" s="758">
        <f>'06-Walls &amp; Footings'!D136</f>
        <v>0</v>
      </c>
      <c r="AJ106" s="766">
        <f t="shared" ref="AJ106:AJ131" si="60">C106+60000</f>
        <v>60039</v>
      </c>
      <c r="AK106" s="753" t="str">
        <f t="shared" si="27"/>
        <v>Forming Systems</v>
      </c>
      <c r="AL106" s="765"/>
      <c r="AM106" s="758">
        <f>'06-Footings'!D136</f>
        <v>0</v>
      </c>
      <c r="AN106" s="766">
        <f t="shared" ref="AN106:AN131" si="61">C106+60000</f>
        <v>60039</v>
      </c>
      <c r="AO106" s="753" t="str">
        <f t="shared" si="29"/>
        <v>Forming Systems</v>
      </c>
      <c r="AP106" s="765"/>
      <c r="AQ106" s="718">
        <f>'06-Garage Walls &amp; Footings'!D136</f>
        <v>0</v>
      </c>
      <c r="AR106" s="766">
        <f t="shared" ref="AR106:AR131" si="62">G106+60000</f>
        <v>107778.84375</v>
      </c>
      <c r="AS106" s="753" t="str">
        <f t="shared" si="31"/>
        <v>Forming Systems</v>
      </c>
      <c r="AT106" s="765"/>
      <c r="AU106" s="718">
        <f>'06-Garage Footings'!D136</f>
        <v>0</v>
      </c>
      <c r="AV106" s="766">
        <f t="shared" ref="AV106:AV131" si="63">C106+70000</f>
        <v>70039</v>
      </c>
      <c r="AW106" s="753" t="str">
        <f t="shared" si="33"/>
        <v>Forming Systems</v>
      </c>
      <c r="AX106" s="765"/>
      <c r="AY106" s="722">
        <f>'07-COLUMNS'!D151</f>
        <v>0</v>
      </c>
      <c r="AZ106" s="766">
        <f t="shared" ref="AZ106:AZ131" si="64">C106+80000</f>
        <v>80039</v>
      </c>
      <c r="BA106" s="753" t="str">
        <f t="shared" si="35"/>
        <v>Forming Systems</v>
      </c>
      <c r="BB106" s="765"/>
      <c r="BC106" s="722">
        <f>'08-CIP EL. DECK'!D184</f>
        <v>47778.84375</v>
      </c>
      <c r="BD106" s="766">
        <f t="shared" ref="BD106:BD131" si="65">C106+90000</f>
        <v>90039</v>
      </c>
      <c r="BE106" s="753" t="str">
        <f t="shared" si="37"/>
        <v>Forming Systems</v>
      </c>
      <c r="BF106" s="765"/>
      <c r="BG106" s="722">
        <f>'09-SLAB ON DECK'!E150</f>
        <v>0</v>
      </c>
      <c r="BH106" s="766">
        <f t="shared" ref="BH106:BH131" si="66">C106+100000</f>
        <v>100039</v>
      </c>
      <c r="BI106" s="753" t="str">
        <f t="shared" si="39"/>
        <v>Forming Systems</v>
      </c>
      <c r="BJ106" s="765"/>
      <c r="BK106" s="722">
        <f>'10-PAVING'!D131</f>
        <v>0</v>
      </c>
      <c r="BL106" s="766">
        <f t="shared" ref="BL106:BL131" si="67">C106+110000</f>
        <v>110039</v>
      </c>
      <c r="BM106" s="753" t="str">
        <f t="shared" si="41"/>
        <v>Forming Systems</v>
      </c>
      <c r="BN106" s="765"/>
      <c r="BO106" s="722">
        <f>'11-Sidewalks'!D128</f>
        <v>0</v>
      </c>
      <c r="BP106" s="766">
        <f t="shared" ref="BP106:BP131" si="68">C106+120000</f>
        <v>120039</v>
      </c>
      <c r="BQ106" s="753" t="str">
        <f t="shared" si="43"/>
        <v>Forming Systems</v>
      </c>
      <c r="BR106" s="765"/>
      <c r="BS106" s="722">
        <f>'12-PANELS'!F146</f>
        <v>0</v>
      </c>
      <c r="BT106" s="766">
        <f t="shared" ref="BT106:BT131" si="69">C106+130000</f>
        <v>130039</v>
      </c>
      <c r="BU106" s="753" t="str">
        <f t="shared" si="45"/>
        <v>Forming Systems</v>
      </c>
      <c r="BV106" s="765"/>
      <c r="BW106" s="708">
        <f>'13-Miscellaneous'!E79</f>
        <v>0</v>
      </c>
      <c r="BX106" s="709">
        <f t="shared" ref="BX106:BX131" si="70">C106+140000</f>
        <v>140039</v>
      </c>
      <c r="BY106" s="753" t="str">
        <f t="shared" si="47"/>
        <v>Forming Systems</v>
      </c>
    </row>
    <row r="107" spans="1:77" s="774" customFormat="1" ht="21" customHeight="1">
      <c r="A107" s="2911" t="s">
        <v>1146</v>
      </c>
      <c r="B107" s="767">
        <v>40</v>
      </c>
      <c r="C107" s="768" t="s">
        <v>1147</v>
      </c>
      <c r="D107" s="769" t="s">
        <v>1148</v>
      </c>
      <c r="E107" s="770"/>
      <c r="F107" s="769"/>
      <c r="G107" s="708">
        <f t="shared" si="49"/>
        <v>933830.18954497692</v>
      </c>
      <c r="H107" s="771">
        <f t="shared" si="50"/>
        <v>10040</v>
      </c>
      <c r="I107" s="770" t="str">
        <f t="shared" si="51"/>
        <v>Total Sub Labor</v>
      </c>
      <c r="J107" s="769"/>
      <c r="K107" s="772">
        <f>'01-Piers'!E127</f>
        <v>32040.707907950964</v>
      </c>
      <c r="L107" s="771">
        <f t="shared" si="52"/>
        <v>20040</v>
      </c>
      <c r="M107" s="770" t="str">
        <f t="shared" si="48"/>
        <v>Total Sub Labor</v>
      </c>
      <c r="N107" s="769"/>
      <c r="O107" s="772">
        <f>'02-Gd Beams'!E134</f>
        <v>0</v>
      </c>
      <c r="P107" s="709">
        <f t="shared" si="53"/>
        <v>40040</v>
      </c>
      <c r="Q107" s="770" t="str">
        <f t="shared" si="54"/>
        <v>Total Sub Labor</v>
      </c>
      <c r="R107" s="769"/>
      <c r="S107" s="710">
        <f>'04-PT Slab on Grade Wrap'!E153</f>
        <v>0</v>
      </c>
      <c r="T107" s="771">
        <f t="shared" si="55"/>
        <v>40040</v>
      </c>
      <c r="U107" s="770" t="str">
        <f t="shared" si="19"/>
        <v>Total Sub Labor</v>
      </c>
      <c r="V107" s="769"/>
      <c r="W107" s="773">
        <f>'04-PT Slab on Grade'!E153</f>
        <v>131779.34226887659</v>
      </c>
      <c r="X107" s="771">
        <f t="shared" si="56"/>
        <v>50040</v>
      </c>
      <c r="Y107" s="770" t="str">
        <f t="shared" si="57"/>
        <v>Total Sub Labor</v>
      </c>
      <c r="Z107" s="769"/>
      <c r="AA107" s="710">
        <f>'05-Slabs'!E153</f>
        <v>0</v>
      </c>
      <c r="AB107" s="709">
        <f t="shared" si="58"/>
        <v>30040</v>
      </c>
      <c r="AC107" s="770" t="str">
        <f t="shared" si="23"/>
        <v>Total Sub Labor</v>
      </c>
      <c r="AD107" s="769"/>
      <c r="AE107" s="761">
        <f>'03-Walls &amp; Footings'!D137</f>
        <v>0</v>
      </c>
      <c r="AF107" s="771">
        <f t="shared" si="59"/>
        <v>60040</v>
      </c>
      <c r="AG107" s="770" t="str">
        <f t="shared" si="25"/>
        <v>Total Sub Labor</v>
      </c>
      <c r="AH107" s="769"/>
      <c r="AI107" s="773">
        <f>'06-Walls &amp; Footings'!D137</f>
        <v>83022.966425389284</v>
      </c>
      <c r="AJ107" s="771">
        <f t="shared" si="60"/>
        <v>60040</v>
      </c>
      <c r="AK107" s="770" t="str">
        <f t="shared" si="27"/>
        <v>Total Sub Labor</v>
      </c>
      <c r="AL107" s="769"/>
      <c r="AM107" s="773">
        <f>'06-Footings'!D137</f>
        <v>0</v>
      </c>
      <c r="AN107" s="771">
        <f t="shared" si="61"/>
        <v>60040</v>
      </c>
      <c r="AO107" s="770" t="str">
        <f t="shared" si="29"/>
        <v>Total Sub Labor</v>
      </c>
      <c r="AP107" s="769"/>
      <c r="AQ107" s="761">
        <f>'06-Garage Walls &amp; Footings'!D137</f>
        <v>0</v>
      </c>
      <c r="AR107" s="771">
        <f t="shared" si="62"/>
        <v>993830.18954497692</v>
      </c>
      <c r="AS107" s="770" t="str">
        <f t="shared" si="31"/>
        <v>Total Sub Labor</v>
      </c>
      <c r="AT107" s="769"/>
      <c r="AU107" s="761">
        <f>'06-Garage Footings'!D137</f>
        <v>0</v>
      </c>
      <c r="AV107" s="771">
        <f t="shared" si="63"/>
        <v>70040</v>
      </c>
      <c r="AW107" s="770" t="str">
        <f t="shared" si="33"/>
        <v>Total Sub Labor</v>
      </c>
      <c r="AX107" s="769"/>
      <c r="AY107" s="772">
        <f>'07-COLUMNS'!D152</f>
        <v>43913.831172292499</v>
      </c>
      <c r="AZ107" s="771">
        <f t="shared" si="64"/>
        <v>80040</v>
      </c>
      <c r="BA107" s="770" t="str">
        <f t="shared" si="35"/>
        <v>Total Sub Labor</v>
      </c>
      <c r="BB107" s="769"/>
      <c r="BC107" s="772">
        <f>'08-CIP EL. DECK'!D185</f>
        <v>251654.72843572876</v>
      </c>
      <c r="BD107" s="771">
        <f t="shared" si="65"/>
        <v>90040</v>
      </c>
      <c r="BE107" s="770" t="str">
        <f t="shared" si="37"/>
        <v>Total Sub Labor</v>
      </c>
      <c r="BF107" s="769"/>
      <c r="BG107" s="772">
        <f>'09-SLAB ON DECK'!E151</f>
        <v>0</v>
      </c>
      <c r="BH107" s="771">
        <f t="shared" si="66"/>
        <v>100040</v>
      </c>
      <c r="BI107" s="770" t="str">
        <f t="shared" si="39"/>
        <v>Total Sub Labor</v>
      </c>
      <c r="BJ107" s="769"/>
      <c r="BK107" s="772">
        <f>'10-PAVING'!D132</f>
        <v>272703</v>
      </c>
      <c r="BL107" s="771">
        <f t="shared" si="67"/>
        <v>110040</v>
      </c>
      <c r="BM107" s="770" t="str">
        <f t="shared" si="41"/>
        <v>Total Sub Labor</v>
      </c>
      <c r="BN107" s="769"/>
      <c r="BO107" s="772">
        <f>'11-Sidewalks'!D129</f>
        <v>23750</v>
      </c>
      <c r="BP107" s="771">
        <f t="shared" si="68"/>
        <v>120040</v>
      </c>
      <c r="BQ107" s="770" t="str">
        <f t="shared" si="43"/>
        <v>Total Sub Labor</v>
      </c>
      <c r="BR107" s="769"/>
      <c r="BS107" s="708">
        <f>'12-PANELS'!F147</f>
        <v>94965.613334738722</v>
      </c>
      <c r="BT107" s="771">
        <f t="shared" si="69"/>
        <v>130040</v>
      </c>
      <c r="BU107" s="770" t="str">
        <f t="shared" si="45"/>
        <v>Total Sub Labor</v>
      </c>
      <c r="BV107" s="769"/>
      <c r="BW107" s="772">
        <f>'13-Miscellaneous'!E80</f>
        <v>0</v>
      </c>
      <c r="BX107" s="709">
        <f t="shared" si="70"/>
        <v>140040</v>
      </c>
      <c r="BY107" s="770" t="str">
        <f t="shared" si="47"/>
        <v>Total Sub Labor</v>
      </c>
    </row>
    <row r="108" spans="1:77" ht="21" customHeight="1">
      <c r="A108" s="2911"/>
      <c r="B108" s="402">
        <v>41</v>
      </c>
      <c r="C108" s="705" t="s">
        <v>1149</v>
      </c>
      <c r="D108" s="295" t="s">
        <v>1150</v>
      </c>
      <c r="E108" s="707"/>
      <c r="F108" s="296"/>
      <c r="G108" s="708">
        <f t="shared" si="49"/>
        <v>320286.57499999995</v>
      </c>
      <c r="H108" s="709">
        <f t="shared" si="50"/>
        <v>10041</v>
      </c>
      <c r="I108" s="707" t="str">
        <f t="shared" si="51"/>
        <v>Labor Forming</v>
      </c>
      <c r="J108" s="296"/>
      <c r="K108" s="708">
        <f>'01-Piers'!E128</f>
        <v>5300</v>
      </c>
      <c r="L108" s="709">
        <f t="shared" si="52"/>
        <v>20041</v>
      </c>
      <c r="M108" s="707" t="str">
        <f t="shared" si="48"/>
        <v>Labor Forming</v>
      </c>
      <c r="N108" s="296"/>
      <c r="O108" s="708">
        <f>'02-Gd Beams'!E135</f>
        <v>0</v>
      </c>
      <c r="P108" s="709">
        <f t="shared" si="53"/>
        <v>40041</v>
      </c>
      <c r="Q108" s="707" t="str">
        <f t="shared" si="54"/>
        <v>Labor Forming</v>
      </c>
      <c r="R108" s="296"/>
      <c r="S108" s="710">
        <f>'04-PT Slab on Grade Wrap'!E154</f>
        <v>0</v>
      </c>
      <c r="T108" s="709">
        <f t="shared" si="55"/>
        <v>40041</v>
      </c>
      <c r="U108" s="707" t="str">
        <f t="shared" si="19"/>
        <v>Labor Forming</v>
      </c>
      <c r="V108" s="296"/>
      <c r="W108" s="710">
        <f>'04-PT Slab on Grade'!E154</f>
        <v>28225.350000000002</v>
      </c>
      <c r="X108" s="709">
        <f t="shared" si="56"/>
        <v>50041</v>
      </c>
      <c r="Y108" s="707" t="str">
        <f t="shared" si="57"/>
        <v>Labor Forming</v>
      </c>
      <c r="Z108" s="296"/>
      <c r="AA108" s="710">
        <f>'05-Slabs'!E154</f>
        <v>0</v>
      </c>
      <c r="AB108" s="709">
        <f t="shared" si="58"/>
        <v>30041</v>
      </c>
      <c r="AC108" s="707" t="str">
        <f t="shared" si="23"/>
        <v>Labor Forming</v>
      </c>
      <c r="AD108" s="296"/>
      <c r="AE108" s="761">
        <f>'03-Walls &amp; Footings'!D138</f>
        <v>0</v>
      </c>
      <c r="AF108" s="709">
        <f t="shared" si="59"/>
        <v>60041</v>
      </c>
      <c r="AG108" s="707" t="str">
        <f t="shared" si="25"/>
        <v>Labor Forming</v>
      </c>
      <c r="AH108" s="296"/>
      <c r="AI108" s="710">
        <f>'06-Walls &amp; Footings'!D138</f>
        <v>12083.924999999999</v>
      </c>
      <c r="AJ108" s="709">
        <f t="shared" si="60"/>
        <v>60041</v>
      </c>
      <c r="AK108" s="707" t="str">
        <f t="shared" si="27"/>
        <v>Labor Forming</v>
      </c>
      <c r="AL108" s="296"/>
      <c r="AM108" s="710">
        <f>'06-Footings'!D138</f>
        <v>0</v>
      </c>
      <c r="AN108" s="709">
        <f t="shared" si="61"/>
        <v>60041</v>
      </c>
      <c r="AO108" s="707" t="str">
        <f t="shared" si="29"/>
        <v>Labor Forming</v>
      </c>
      <c r="AP108" s="296"/>
      <c r="AQ108" s="718">
        <f>'06-Garage Walls &amp; Footings'!D138</f>
        <v>0</v>
      </c>
      <c r="AR108" s="709">
        <f t="shared" si="62"/>
        <v>380286.57499999995</v>
      </c>
      <c r="AS108" s="707" t="str">
        <f t="shared" si="31"/>
        <v>Labor Forming</v>
      </c>
      <c r="AT108" s="296"/>
      <c r="AU108" s="718">
        <f>'06-Garage Footings'!D138</f>
        <v>0</v>
      </c>
      <c r="AV108" s="709">
        <f t="shared" si="63"/>
        <v>70041</v>
      </c>
      <c r="AW108" s="707" t="str">
        <f t="shared" si="33"/>
        <v>Labor Forming</v>
      </c>
      <c r="AX108" s="296"/>
      <c r="AY108" s="708">
        <f>'07-COLUMNS'!D153</f>
        <v>20508</v>
      </c>
      <c r="AZ108" s="709">
        <f t="shared" si="64"/>
        <v>80041</v>
      </c>
      <c r="BA108" s="707" t="str">
        <f t="shared" si="35"/>
        <v>Labor Forming</v>
      </c>
      <c r="BB108" s="296"/>
      <c r="BC108" s="708">
        <f>'08-CIP EL. DECK'!D186</f>
        <v>152475</v>
      </c>
      <c r="BD108" s="709">
        <f t="shared" si="65"/>
        <v>90041</v>
      </c>
      <c r="BE108" s="707" t="str">
        <f t="shared" si="37"/>
        <v>Labor Forming</v>
      </c>
      <c r="BF108" s="296"/>
      <c r="BG108" s="708">
        <f>'09-SLAB ON DECK'!E152</f>
        <v>0</v>
      </c>
      <c r="BH108" s="709">
        <f t="shared" si="66"/>
        <v>100041</v>
      </c>
      <c r="BI108" s="707" t="str">
        <f t="shared" si="39"/>
        <v>Labor Forming</v>
      </c>
      <c r="BJ108" s="296"/>
      <c r="BK108" s="708">
        <f>'10-PAVING'!D133</f>
        <v>81810.899999999994</v>
      </c>
      <c r="BL108" s="709">
        <f t="shared" si="67"/>
        <v>110041</v>
      </c>
      <c r="BM108" s="707" t="str">
        <f t="shared" si="41"/>
        <v>Labor Forming</v>
      </c>
      <c r="BN108" s="296"/>
      <c r="BO108" s="708">
        <f>'11-Sidewalks'!D130</f>
        <v>9375</v>
      </c>
      <c r="BP108" s="709">
        <f t="shared" si="68"/>
        <v>120041</v>
      </c>
      <c r="BQ108" s="707" t="str">
        <f t="shared" si="43"/>
        <v>Labor Forming</v>
      </c>
      <c r="BR108" s="296"/>
      <c r="BS108" s="708">
        <f>'12-PANELS'!F148</f>
        <v>10508.4</v>
      </c>
      <c r="BT108" s="709">
        <f t="shared" si="69"/>
        <v>130041</v>
      </c>
      <c r="BU108" s="707" t="str">
        <f t="shared" si="45"/>
        <v>Labor Forming</v>
      </c>
      <c r="BV108" s="296"/>
      <c r="BW108" s="708">
        <f>'13-Miscellaneous'!E81</f>
        <v>0</v>
      </c>
      <c r="BX108" s="709">
        <f t="shared" si="70"/>
        <v>140041</v>
      </c>
      <c r="BY108" s="707" t="str">
        <f t="shared" si="47"/>
        <v>Labor Forming</v>
      </c>
    </row>
    <row r="109" spans="1:77" ht="21" customHeight="1">
      <c r="A109" s="2911"/>
      <c r="B109" s="402">
        <v>42</v>
      </c>
      <c r="C109" s="714" t="s">
        <v>1151</v>
      </c>
      <c r="D109" s="295" t="s">
        <v>1117</v>
      </c>
      <c r="E109" s="518"/>
      <c r="F109" s="715"/>
      <c r="G109" s="708">
        <f t="shared" si="49"/>
        <v>236487.26666666669</v>
      </c>
      <c r="H109" s="711">
        <f t="shared" si="50"/>
        <v>10042</v>
      </c>
      <c r="I109" s="518" t="str">
        <f t="shared" si="51"/>
        <v>Labor Grade, Poly, Reinf.</v>
      </c>
      <c r="J109" s="715"/>
      <c r="K109" s="708">
        <f>'01-Piers'!E129</f>
        <v>5300</v>
      </c>
      <c r="L109" s="709">
        <f t="shared" si="52"/>
        <v>20042</v>
      </c>
      <c r="M109" s="518" t="str">
        <f t="shared" si="48"/>
        <v>Labor Grade, Poly, Reinf.</v>
      </c>
      <c r="N109" s="715"/>
      <c r="O109" s="708">
        <f>'02-Gd Beams'!E136</f>
        <v>0</v>
      </c>
      <c r="P109" s="709">
        <f t="shared" si="53"/>
        <v>40042</v>
      </c>
      <c r="Q109" s="707" t="str">
        <f t="shared" si="54"/>
        <v>Labor Grade, Poly, Reinf.</v>
      </c>
      <c r="R109" s="296"/>
      <c r="S109" s="710">
        <f>'04-PT Slab on Grade Wrap'!E155</f>
        <v>0</v>
      </c>
      <c r="T109" s="709">
        <f t="shared" si="55"/>
        <v>40042</v>
      </c>
      <c r="U109" s="518" t="str">
        <f t="shared" si="19"/>
        <v>Labor Grade, Poly, Reinf.</v>
      </c>
      <c r="V109" s="296"/>
      <c r="W109" s="710">
        <f>'04-PT Slab on Grade'!E155</f>
        <v>40769.950000000004</v>
      </c>
      <c r="X109" s="709">
        <f t="shared" si="56"/>
        <v>50042</v>
      </c>
      <c r="Y109" s="707" t="str">
        <f t="shared" si="57"/>
        <v>Labor Grade, Poly, Reinf.</v>
      </c>
      <c r="Z109" s="296"/>
      <c r="AA109" s="710">
        <f>'05-Slabs'!E155</f>
        <v>0</v>
      </c>
      <c r="AB109" s="709">
        <f t="shared" si="58"/>
        <v>30042</v>
      </c>
      <c r="AC109" s="707" t="str">
        <f t="shared" si="23"/>
        <v>Labor Grade, Poly, Reinf.</v>
      </c>
      <c r="AD109" s="296"/>
      <c r="AE109" s="761">
        <f>'03-Walls &amp; Footings'!D139</f>
        <v>0</v>
      </c>
      <c r="AF109" s="709">
        <f t="shared" si="59"/>
        <v>60042</v>
      </c>
      <c r="AG109" s="707" t="str">
        <f t="shared" si="25"/>
        <v>Labor Grade, Poly, Reinf.</v>
      </c>
      <c r="AH109" s="296"/>
      <c r="AI109" s="710">
        <f>'06-Walls &amp; Footings'!D139</f>
        <v>40430.666666666657</v>
      </c>
      <c r="AJ109" s="709">
        <f t="shared" si="60"/>
        <v>60042</v>
      </c>
      <c r="AK109" s="707" t="str">
        <f t="shared" si="27"/>
        <v>Labor Grade, Poly, Reinf.</v>
      </c>
      <c r="AL109" s="296"/>
      <c r="AM109" s="710">
        <f>'06-Footings'!D139</f>
        <v>0</v>
      </c>
      <c r="AN109" s="709">
        <f t="shared" si="61"/>
        <v>60042</v>
      </c>
      <c r="AO109" s="707" t="str">
        <f t="shared" si="29"/>
        <v>Labor Grade, Poly, Reinf.</v>
      </c>
      <c r="AP109" s="296"/>
      <c r="AQ109" s="718">
        <f>'06-Garage Walls &amp; Footings'!D139</f>
        <v>0</v>
      </c>
      <c r="AR109" s="709">
        <f t="shared" si="62"/>
        <v>296487.26666666672</v>
      </c>
      <c r="AS109" s="707" t="str">
        <f t="shared" si="31"/>
        <v>Labor Grade, Poly, Reinf.</v>
      </c>
      <c r="AT109" s="296"/>
      <c r="AU109" s="718">
        <f>'06-Garage Footings'!D139</f>
        <v>0</v>
      </c>
      <c r="AV109" s="712">
        <f t="shared" si="63"/>
        <v>70042</v>
      </c>
      <c r="AW109" s="518" t="str">
        <f t="shared" si="33"/>
        <v>Labor Grade, Poly, Reinf.</v>
      </c>
      <c r="AX109" s="296"/>
      <c r="AY109" s="708">
        <f>'07-COLUMNS'!D154</f>
        <v>0</v>
      </c>
      <c r="AZ109" s="709">
        <f t="shared" si="64"/>
        <v>80042</v>
      </c>
      <c r="BA109" s="707" t="str">
        <f t="shared" si="35"/>
        <v>Labor Grade, Poly, Reinf.</v>
      </c>
      <c r="BB109" s="296"/>
      <c r="BC109" s="708">
        <f>'08-CIP EL. DECK'!D187</f>
        <v>0</v>
      </c>
      <c r="BD109" s="709">
        <f t="shared" si="65"/>
        <v>90042</v>
      </c>
      <c r="BE109" s="707" t="str">
        <f t="shared" si="37"/>
        <v>Labor Grade, Poly, Reinf.</v>
      </c>
      <c r="BF109" s="296"/>
      <c r="BG109" s="708">
        <f>'09-SLAB ON DECK'!E153</f>
        <v>0</v>
      </c>
      <c r="BH109" s="709">
        <f t="shared" si="66"/>
        <v>100042</v>
      </c>
      <c r="BI109" s="518" t="str">
        <f t="shared" si="39"/>
        <v>Labor Grade, Poly, Reinf.</v>
      </c>
      <c r="BJ109" s="296"/>
      <c r="BK109" s="708">
        <f>'10-PAVING'!D134</f>
        <v>149986.65000000002</v>
      </c>
      <c r="BL109" s="709">
        <f t="shared" si="67"/>
        <v>110042</v>
      </c>
      <c r="BM109" s="518" t="str">
        <f t="shared" si="41"/>
        <v>Labor Grade, Poly, Reinf.</v>
      </c>
      <c r="BN109" s="296"/>
      <c r="BO109" s="708">
        <f>'11-Sidewalks'!D131</f>
        <v>0</v>
      </c>
      <c r="BP109" s="709">
        <f t="shared" si="68"/>
        <v>120042</v>
      </c>
      <c r="BQ109" s="518" t="str">
        <f t="shared" si="43"/>
        <v>Labor Grade, Poly, Reinf.</v>
      </c>
      <c r="BR109" s="296"/>
      <c r="BS109" s="708">
        <f>'12-PANELS'!F149</f>
        <v>0</v>
      </c>
      <c r="BT109" s="712">
        <f t="shared" si="69"/>
        <v>130042</v>
      </c>
      <c r="BU109" s="707" t="str">
        <f t="shared" si="45"/>
        <v>Labor Grade, Poly, Reinf.</v>
      </c>
      <c r="BV109" s="296"/>
      <c r="BW109" s="708">
        <f>'13-Miscellaneous'!E82</f>
        <v>0</v>
      </c>
      <c r="BX109" s="709">
        <f t="shared" si="70"/>
        <v>140042</v>
      </c>
      <c r="BY109" s="707" t="str">
        <f t="shared" si="47"/>
        <v>Labor Grade, Poly, Reinf.</v>
      </c>
    </row>
    <row r="110" spans="1:77" ht="21" customHeight="1">
      <c r="A110" s="2911"/>
      <c r="B110" s="402">
        <v>43</v>
      </c>
      <c r="C110" s="775" t="s">
        <v>1152</v>
      </c>
      <c r="D110" s="669" t="s">
        <v>1119</v>
      </c>
      <c r="E110" s="518"/>
      <c r="F110" s="715"/>
      <c r="G110" s="708">
        <f t="shared" si="49"/>
        <v>112669.47500000001</v>
      </c>
      <c r="H110" s="711">
        <f t="shared" si="50"/>
        <v>10043</v>
      </c>
      <c r="I110" s="518" t="str">
        <f t="shared" si="51"/>
        <v>Labor Place &amp; Finish</v>
      </c>
      <c r="J110" s="715"/>
      <c r="K110" s="708">
        <f>'01-Piers'!E130</f>
        <v>5300</v>
      </c>
      <c r="L110" s="709">
        <f t="shared" si="52"/>
        <v>20043</v>
      </c>
      <c r="M110" s="518" t="str">
        <f t="shared" si="48"/>
        <v>Labor Place &amp; Finish</v>
      </c>
      <c r="N110" s="715"/>
      <c r="O110" s="708">
        <f>'02-Gd Beams'!E137</f>
        <v>0</v>
      </c>
      <c r="P110" s="709">
        <f t="shared" si="53"/>
        <v>40043</v>
      </c>
      <c r="Q110" s="707" t="str">
        <f t="shared" si="54"/>
        <v>Labor Place &amp; Finish</v>
      </c>
      <c r="R110" s="296"/>
      <c r="S110" s="710">
        <f>'04-PT Slab on Grade Wrap'!E156</f>
        <v>0</v>
      </c>
      <c r="T110" s="709">
        <f t="shared" si="55"/>
        <v>40043</v>
      </c>
      <c r="U110" s="518" t="str">
        <f t="shared" si="19"/>
        <v>Labor Place &amp; Finish</v>
      </c>
      <c r="V110" s="296"/>
      <c r="W110" s="710">
        <f>'04-PT Slab on Grade'!E156</f>
        <v>40769.950000000004</v>
      </c>
      <c r="X110" s="709">
        <f t="shared" si="56"/>
        <v>50043</v>
      </c>
      <c r="Y110" s="707" t="str">
        <f t="shared" si="57"/>
        <v>Labor Place &amp; Finish</v>
      </c>
      <c r="Z110" s="296"/>
      <c r="AA110" s="710">
        <f>'05-Slabs'!E156</f>
        <v>0</v>
      </c>
      <c r="AB110" s="709">
        <f t="shared" si="58"/>
        <v>30043</v>
      </c>
      <c r="AC110" s="707" t="str">
        <f t="shared" si="23"/>
        <v>Labor Place &amp; Finish</v>
      </c>
      <c r="AD110" s="296"/>
      <c r="AE110" s="761">
        <f>'03-Walls &amp; Footings'!D140</f>
        <v>0</v>
      </c>
      <c r="AF110" s="709">
        <f t="shared" si="59"/>
        <v>60043</v>
      </c>
      <c r="AG110" s="707" t="str">
        <f t="shared" si="25"/>
        <v>Labor Place &amp; Finish</v>
      </c>
      <c r="AH110" s="296"/>
      <c r="AI110" s="710">
        <f>'06-Walls &amp; Footings'!D140</f>
        <v>12083.924999999999</v>
      </c>
      <c r="AJ110" s="709">
        <f t="shared" si="60"/>
        <v>60043</v>
      </c>
      <c r="AK110" s="707" t="str">
        <f t="shared" si="27"/>
        <v>Labor Place &amp; Finish</v>
      </c>
      <c r="AL110" s="296"/>
      <c r="AM110" s="710">
        <f>'06-Footings'!D140</f>
        <v>0</v>
      </c>
      <c r="AN110" s="709">
        <f t="shared" si="61"/>
        <v>60043</v>
      </c>
      <c r="AO110" s="707" t="str">
        <f t="shared" si="29"/>
        <v>Labor Place &amp; Finish</v>
      </c>
      <c r="AP110" s="296"/>
      <c r="AQ110" s="718">
        <f>'06-Garage Walls &amp; Footings'!D140</f>
        <v>0</v>
      </c>
      <c r="AR110" s="709">
        <f t="shared" si="62"/>
        <v>172669.47500000001</v>
      </c>
      <c r="AS110" s="707" t="str">
        <f t="shared" si="31"/>
        <v>Labor Place &amp; Finish</v>
      </c>
      <c r="AT110" s="296"/>
      <c r="AU110" s="718">
        <f>'06-Garage Footings'!D140</f>
        <v>0</v>
      </c>
      <c r="AV110" s="712">
        <f t="shared" si="63"/>
        <v>70043</v>
      </c>
      <c r="AW110" s="518" t="str">
        <f t="shared" si="33"/>
        <v>Labor Place &amp; Finish</v>
      </c>
      <c r="AX110" s="296"/>
      <c r="AY110" s="708">
        <f>'07-COLUMNS'!D155</f>
        <v>8325</v>
      </c>
      <c r="AZ110" s="709">
        <f t="shared" si="64"/>
        <v>80043</v>
      </c>
      <c r="BA110" s="707" t="str">
        <f t="shared" si="35"/>
        <v>Labor Place &amp; Finish</v>
      </c>
      <c r="BB110" s="296"/>
      <c r="BC110" s="708">
        <f>'08-CIP EL. DECK'!D188</f>
        <v>16050</v>
      </c>
      <c r="BD110" s="709">
        <f t="shared" si="65"/>
        <v>90043</v>
      </c>
      <c r="BE110" s="707" t="str">
        <f t="shared" si="37"/>
        <v>Labor Place &amp; Finish</v>
      </c>
      <c r="BF110" s="296"/>
      <c r="BG110" s="708">
        <f>'09-SLAB ON DECK'!E154</f>
        <v>0</v>
      </c>
      <c r="BH110" s="709">
        <f t="shared" si="66"/>
        <v>100043</v>
      </c>
      <c r="BI110" s="518" t="str">
        <f t="shared" si="39"/>
        <v>Labor Place &amp; Finish</v>
      </c>
      <c r="BJ110" s="296"/>
      <c r="BK110" s="708">
        <f>'10-PAVING'!D135</f>
        <v>0</v>
      </c>
      <c r="BL110" s="709">
        <f t="shared" si="67"/>
        <v>110043</v>
      </c>
      <c r="BM110" s="518" t="str">
        <f t="shared" si="41"/>
        <v>Labor Place &amp; Finish</v>
      </c>
      <c r="BN110" s="296"/>
      <c r="BO110" s="708">
        <f>'11-Sidewalks'!D132</f>
        <v>10625</v>
      </c>
      <c r="BP110" s="709">
        <f t="shared" si="68"/>
        <v>120043</v>
      </c>
      <c r="BQ110" s="518" t="str">
        <f t="shared" si="43"/>
        <v>Labor Place &amp; Finish</v>
      </c>
      <c r="BR110" s="296"/>
      <c r="BS110" s="708">
        <f>'12-PANELS'!F150</f>
        <v>19515.600000000002</v>
      </c>
      <c r="BT110" s="712">
        <f t="shared" si="69"/>
        <v>130043</v>
      </c>
      <c r="BU110" s="707" t="str">
        <f t="shared" si="45"/>
        <v>Labor Place &amp; Finish</v>
      </c>
      <c r="BV110" s="296"/>
      <c r="BW110" s="708">
        <f>'13-Miscellaneous'!E83</f>
        <v>0</v>
      </c>
      <c r="BX110" s="709">
        <f t="shared" si="70"/>
        <v>140043</v>
      </c>
      <c r="BY110" s="707" t="str">
        <f t="shared" si="47"/>
        <v>Labor Place &amp; Finish</v>
      </c>
    </row>
    <row r="111" spans="1:77" ht="21" customHeight="1">
      <c r="A111" s="2911"/>
      <c r="B111" s="402">
        <v>44</v>
      </c>
      <c r="C111" s="775" t="s">
        <v>1153</v>
      </c>
      <c r="D111" s="669" t="s">
        <v>1121</v>
      </c>
      <c r="E111" s="518"/>
      <c r="F111" s="715"/>
      <c r="G111" s="708">
        <f t="shared" si="49"/>
        <v>70604.45</v>
      </c>
      <c r="H111" s="711">
        <f t="shared" si="50"/>
        <v>10044</v>
      </c>
      <c r="I111" s="518" t="str">
        <f t="shared" si="51"/>
        <v>Labor Drops</v>
      </c>
      <c r="J111" s="715"/>
      <c r="K111" s="708">
        <f>'01-Piers'!E131</f>
        <v>0</v>
      </c>
      <c r="L111" s="709">
        <f t="shared" si="52"/>
        <v>20044</v>
      </c>
      <c r="M111" s="518" t="str">
        <f t="shared" si="48"/>
        <v>Labor Drops</v>
      </c>
      <c r="N111" s="715"/>
      <c r="O111" s="708">
        <f>'02-Gd Beams'!E138</f>
        <v>0</v>
      </c>
      <c r="P111" s="709">
        <f t="shared" si="53"/>
        <v>40044</v>
      </c>
      <c r="Q111" s="707" t="str">
        <f t="shared" si="54"/>
        <v>Labor Drops</v>
      </c>
      <c r="R111" s="296"/>
      <c r="S111" s="710">
        <f>'04-PT Slab on Grade Wrap'!E157</f>
        <v>0</v>
      </c>
      <c r="T111" s="709">
        <f t="shared" si="55"/>
        <v>40044</v>
      </c>
      <c r="U111" s="518" t="str">
        <f t="shared" si="19"/>
        <v>Labor Drops</v>
      </c>
      <c r="V111" s="296"/>
      <c r="W111" s="710">
        <f>'04-PT Slab on Grade'!E157</f>
        <v>6920</v>
      </c>
      <c r="X111" s="709">
        <f t="shared" si="56"/>
        <v>50044</v>
      </c>
      <c r="Y111" s="707" t="str">
        <f t="shared" si="57"/>
        <v>Labor Drops</v>
      </c>
      <c r="Z111" s="296"/>
      <c r="AA111" s="710">
        <f>'05-Slabs'!E157</f>
        <v>0</v>
      </c>
      <c r="AB111" s="709">
        <f t="shared" si="58"/>
        <v>30044</v>
      </c>
      <c r="AC111" s="707" t="str">
        <f t="shared" si="23"/>
        <v>Labor Drops</v>
      </c>
      <c r="AD111" s="296"/>
      <c r="AE111" s="761">
        <f>'03-Walls &amp; Footings'!D141</f>
        <v>0</v>
      </c>
      <c r="AF111" s="709">
        <f t="shared" si="59"/>
        <v>60044</v>
      </c>
      <c r="AG111" s="707" t="str">
        <f t="shared" si="25"/>
        <v>Labor Drops</v>
      </c>
      <c r="AH111" s="296"/>
      <c r="AI111" s="710">
        <f>'06-Walls &amp; Footings'!D141</f>
        <v>0</v>
      </c>
      <c r="AJ111" s="709">
        <f t="shared" si="60"/>
        <v>60044</v>
      </c>
      <c r="AK111" s="707" t="str">
        <f t="shared" si="27"/>
        <v>Labor Drops</v>
      </c>
      <c r="AL111" s="296"/>
      <c r="AM111" s="710">
        <f>'06-Footings'!D141</f>
        <v>0</v>
      </c>
      <c r="AN111" s="709">
        <f t="shared" si="61"/>
        <v>60044</v>
      </c>
      <c r="AO111" s="707" t="str">
        <f t="shared" si="29"/>
        <v>Labor Drops</v>
      </c>
      <c r="AP111" s="296"/>
      <c r="AQ111" s="718">
        <f>'06-Garage Walls &amp; Footings'!D141</f>
        <v>0</v>
      </c>
      <c r="AR111" s="709">
        <f t="shared" si="62"/>
        <v>130604.45</v>
      </c>
      <c r="AS111" s="707" t="str">
        <f t="shared" si="31"/>
        <v>Labor Drops</v>
      </c>
      <c r="AT111" s="296"/>
      <c r="AU111" s="718">
        <f>'06-Garage Footings'!D141</f>
        <v>0</v>
      </c>
      <c r="AV111" s="712">
        <f t="shared" si="63"/>
        <v>70044</v>
      </c>
      <c r="AW111" s="518" t="str">
        <f t="shared" si="33"/>
        <v>Labor Drops</v>
      </c>
      <c r="AX111" s="296"/>
      <c r="AY111" s="708">
        <f>'07-COLUMNS'!D156</f>
        <v>0</v>
      </c>
      <c r="AZ111" s="709">
        <f t="shared" si="64"/>
        <v>80044</v>
      </c>
      <c r="BA111" s="707" t="str">
        <f t="shared" si="35"/>
        <v>Labor Drops</v>
      </c>
      <c r="BB111" s="296"/>
      <c r="BC111" s="708">
        <f>'08-CIP EL. DECK'!D189</f>
        <v>22779</v>
      </c>
      <c r="BD111" s="709">
        <f t="shared" si="65"/>
        <v>90044</v>
      </c>
      <c r="BE111" s="707" t="str">
        <f t="shared" si="37"/>
        <v>Labor Drops</v>
      </c>
      <c r="BF111" s="296"/>
      <c r="BG111" s="708">
        <f>'09-SLAB ON DECK'!E155</f>
        <v>0</v>
      </c>
      <c r="BH111" s="709">
        <f t="shared" si="66"/>
        <v>100044</v>
      </c>
      <c r="BI111" s="518" t="str">
        <f t="shared" si="39"/>
        <v>Labor Drops</v>
      </c>
      <c r="BJ111" s="296"/>
      <c r="BK111" s="708">
        <f>'10-PAVING'!D136</f>
        <v>40905.449999999997</v>
      </c>
      <c r="BL111" s="709">
        <f t="shared" si="67"/>
        <v>110044</v>
      </c>
      <c r="BM111" s="518" t="str">
        <f t="shared" si="41"/>
        <v>Labor Drops</v>
      </c>
      <c r="BN111" s="296"/>
      <c r="BO111" s="708">
        <f>'11-Sidewalks'!D133</f>
        <v>0</v>
      </c>
      <c r="BP111" s="709">
        <f t="shared" si="68"/>
        <v>120044</v>
      </c>
      <c r="BQ111" s="518" t="str">
        <f t="shared" si="43"/>
        <v>Labor Drops</v>
      </c>
      <c r="BR111" s="296"/>
      <c r="BS111" s="708">
        <f>'12-PANELS'!F151</f>
        <v>0</v>
      </c>
      <c r="BT111" s="712">
        <f t="shared" si="69"/>
        <v>130044</v>
      </c>
      <c r="BU111" s="707" t="str">
        <f t="shared" si="45"/>
        <v>Labor Drops</v>
      </c>
      <c r="BV111" s="296"/>
      <c r="BW111" s="708">
        <f>'13-Miscellaneous'!E84</f>
        <v>0</v>
      </c>
      <c r="BX111" s="709">
        <f t="shared" si="70"/>
        <v>140044</v>
      </c>
      <c r="BY111" s="707" t="str">
        <f t="shared" si="47"/>
        <v>Labor Drops</v>
      </c>
    </row>
    <row r="112" spans="1:77" ht="21" customHeight="1">
      <c r="A112" s="2911"/>
      <c r="B112" s="402">
        <v>45</v>
      </c>
      <c r="C112" s="775" t="s">
        <v>1154</v>
      </c>
      <c r="D112" s="669" t="s">
        <v>1123</v>
      </c>
      <c r="E112" s="518"/>
      <c r="F112" s="715"/>
      <c r="G112" s="708">
        <f t="shared" si="49"/>
        <v>38755.85</v>
      </c>
      <c r="H112" s="711">
        <f t="shared" si="50"/>
        <v>10045</v>
      </c>
      <c r="I112" s="518" t="str">
        <f t="shared" si="51"/>
        <v>Labor Strip Forms</v>
      </c>
      <c r="J112" s="715"/>
      <c r="K112" s="708">
        <f>'01-Piers'!E132</f>
        <v>0</v>
      </c>
      <c r="L112" s="709">
        <f t="shared" si="52"/>
        <v>20045</v>
      </c>
      <c r="M112" s="518" t="str">
        <f t="shared" si="48"/>
        <v>Labor Strip Forms</v>
      </c>
      <c r="N112" s="715"/>
      <c r="O112" s="708">
        <f>'02-Gd Beams'!E139</f>
        <v>0</v>
      </c>
      <c r="P112" s="709">
        <f t="shared" si="53"/>
        <v>40045</v>
      </c>
      <c r="Q112" s="707" t="str">
        <f t="shared" si="54"/>
        <v>Labor Strip Forms</v>
      </c>
      <c r="R112" s="296"/>
      <c r="S112" s="710">
        <f>'04-PT Slab on Grade Wrap'!E158</f>
        <v>0</v>
      </c>
      <c r="T112" s="709">
        <f t="shared" si="55"/>
        <v>40045</v>
      </c>
      <c r="U112" s="518" t="str">
        <f t="shared" si="19"/>
        <v>Labor Strip Forms</v>
      </c>
      <c r="V112" s="296"/>
      <c r="W112" s="710">
        <f>'04-PT Slab on Grade'!E158</f>
        <v>6272.3</v>
      </c>
      <c r="X112" s="709">
        <f t="shared" si="56"/>
        <v>50045</v>
      </c>
      <c r="Y112" s="707" t="str">
        <f t="shared" si="57"/>
        <v>Labor Strip Forms</v>
      </c>
      <c r="Z112" s="296"/>
      <c r="AA112" s="710">
        <f>'05-Slabs'!E158</f>
        <v>0</v>
      </c>
      <c r="AB112" s="709">
        <f t="shared" si="58"/>
        <v>30045</v>
      </c>
      <c r="AC112" s="707" t="str">
        <f t="shared" si="23"/>
        <v>Labor Strip Forms</v>
      </c>
      <c r="AD112" s="296"/>
      <c r="AE112" s="761">
        <f>'03-Walls &amp; Footings'!D142</f>
        <v>0</v>
      </c>
      <c r="AF112" s="709">
        <f t="shared" si="59"/>
        <v>60045</v>
      </c>
      <c r="AG112" s="707" t="str">
        <f t="shared" si="25"/>
        <v>Labor Strip Forms</v>
      </c>
      <c r="AH112" s="296"/>
      <c r="AI112" s="710">
        <f>'06-Walls &amp; Footings'!D142</f>
        <v>3452.5499999999997</v>
      </c>
      <c r="AJ112" s="709">
        <f t="shared" si="60"/>
        <v>60045</v>
      </c>
      <c r="AK112" s="707" t="str">
        <f t="shared" si="27"/>
        <v>Labor Strip Forms</v>
      </c>
      <c r="AL112" s="296"/>
      <c r="AM112" s="710">
        <f>'06-Footings'!D142</f>
        <v>0</v>
      </c>
      <c r="AN112" s="709">
        <f t="shared" si="61"/>
        <v>60045</v>
      </c>
      <c r="AO112" s="707" t="str">
        <f t="shared" si="29"/>
        <v>Labor Strip Forms</v>
      </c>
      <c r="AP112" s="296"/>
      <c r="AQ112" s="718">
        <f>'06-Garage Walls &amp; Footings'!D142</f>
        <v>0</v>
      </c>
      <c r="AR112" s="709">
        <f t="shared" si="62"/>
        <v>98755.85</v>
      </c>
      <c r="AS112" s="707" t="str">
        <f t="shared" si="31"/>
        <v>Labor Strip Forms</v>
      </c>
      <c r="AT112" s="296"/>
      <c r="AU112" s="718">
        <f>'06-Garage Footings'!D142</f>
        <v>0</v>
      </c>
      <c r="AV112" s="712">
        <f t="shared" si="63"/>
        <v>70045</v>
      </c>
      <c r="AW112" s="518" t="str">
        <f t="shared" si="33"/>
        <v>Labor Strip Forms</v>
      </c>
      <c r="AX112" s="296"/>
      <c r="AY112" s="708">
        <f>'07-COLUMNS'!D157</f>
        <v>3330</v>
      </c>
      <c r="AZ112" s="709">
        <f t="shared" si="64"/>
        <v>80045</v>
      </c>
      <c r="BA112" s="707" t="str">
        <f t="shared" si="35"/>
        <v>Labor Strip Forms</v>
      </c>
      <c r="BB112" s="296"/>
      <c r="BC112" s="708">
        <f>'08-CIP EL. DECK'!D190</f>
        <v>14445</v>
      </c>
      <c r="BD112" s="709">
        <f t="shared" si="65"/>
        <v>90045</v>
      </c>
      <c r="BE112" s="707" t="str">
        <f t="shared" si="37"/>
        <v>Labor Strip Forms</v>
      </c>
      <c r="BF112" s="296"/>
      <c r="BG112" s="708">
        <f>'09-SLAB ON DECK'!E156</f>
        <v>0</v>
      </c>
      <c r="BH112" s="709">
        <f t="shared" si="66"/>
        <v>100045</v>
      </c>
      <c r="BI112" s="518" t="str">
        <f t="shared" si="39"/>
        <v>Labor Strip Forms</v>
      </c>
      <c r="BJ112" s="296"/>
      <c r="BK112" s="708">
        <f>'10-PAVING'!D137</f>
        <v>0</v>
      </c>
      <c r="BL112" s="709">
        <f t="shared" si="67"/>
        <v>110045</v>
      </c>
      <c r="BM112" s="518" t="str">
        <f t="shared" si="41"/>
        <v>Labor Strip Forms</v>
      </c>
      <c r="BN112" s="296"/>
      <c r="BO112" s="708">
        <f>'11-Sidewalks'!D134</f>
        <v>3750</v>
      </c>
      <c r="BP112" s="709">
        <f t="shared" si="68"/>
        <v>120045</v>
      </c>
      <c r="BQ112" s="518" t="str">
        <f t="shared" si="43"/>
        <v>Labor Strip Forms</v>
      </c>
      <c r="BR112" s="296"/>
      <c r="BS112" s="708">
        <f>'12-PANELS'!F152</f>
        <v>7506</v>
      </c>
      <c r="BT112" s="712">
        <f t="shared" si="69"/>
        <v>130045</v>
      </c>
      <c r="BU112" s="707" t="str">
        <f t="shared" si="45"/>
        <v>Labor Strip Forms</v>
      </c>
      <c r="BV112" s="296"/>
      <c r="BW112" s="708">
        <f>'13-Miscellaneous'!E85</f>
        <v>0</v>
      </c>
      <c r="BX112" s="709">
        <f t="shared" si="70"/>
        <v>140045</v>
      </c>
      <c r="BY112" s="707" t="str">
        <f t="shared" si="47"/>
        <v>Labor Strip Forms</v>
      </c>
    </row>
    <row r="113" spans="1:79" ht="21" customHeight="1">
      <c r="A113" s="2911"/>
      <c r="B113" s="402">
        <v>46</v>
      </c>
      <c r="C113" s="775" t="s">
        <v>1155</v>
      </c>
      <c r="D113" s="669" t="s">
        <v>1125</v>
      </c>
      <c r="E113" s="518"/>
      <c r="F113" s="715"/>
      <c r="G113" s="708">
        <f t="shared" si="49"/>
        <v>62744.023185728744</v>
      </c>
      <c r="H113" s="711">
        <f t="shared" si="50"/>
        <v>10046</v>
      </c>
      <c r="I113" s="518" t="str">
        <f t="shared" si="51"/>
        <v>Labor Burden</v>
      </c>
      <c r="J113" s="715"/>
      <c r="K113" s="708">
        <f>'01-Piers'!E133</f>
        <v>16140.707907950966</v>
      </c>
      <c r="L113" s="709">
        <f t="shared" si="52"/>
        <v>20046</v>
      </c>
      <c r="M113" s="518" t="str">
        <f t="shared" si="48"/>
        <v>Labor Burden</v>
      </c>
      <c r="N113" s="715"/>
      <c r="O113" s="708">
        <f>'02-Gd Beams'!E140</f>
        <v>0</v>
      </c>
      <c r="P113" s="709">
        <f t="shared" si="53"/>
        <v>40046</v>
      </c>
      <c r="Q113" s="707" t="str">
        <f t="shared" si="54"/>
        <v>Labor Burden</v>
      </c>
      <c r="R113" s="296"/>
      <c r="S113" s="710">
        <f>'04-PT Slab on Grade Wrap'!E159</f>
        <v>0</v>
      </c>
      <c r="T113" s="709">
        <f t="shared" si="55"/>
        <v>40046</v>
      </c>
      <c r="U113" s="518" t="str">
        <f t="shared" si="19"/>
        <v>Labor Burden</v>
      </c>
      <c r="V113" s="296"/>
      <c r="W113" s="710">
        <f>'04-PT Slab on Grade'!E159</f>
        <v>0</v>
      </c>
      <c r="X113" s="709">
        <f t="shared" si="56"/>
        <v>50046</v>
      </c>
      <c r="Y113" s="707" t="str">
        <f t="shared" si="57"/>
        <v>Labor Burden</v>
      </c>
      <c r="Z113" s="296"/>
      <c r="AA113" s="710">
        <f>'05-Slabs'!E159</f>
        <v>0</v>
      </c>
      <c r="AB113" s="709">
        <f t="shared" si="58"/>
        <v>30046</v>
      </c>
      <c r="AC113" s="707" t="str">
        <f t="shared" si="23"/>
        <v>Labor Burden</v>
      </c>
      <c r="AD113" s="296"/>
      <c r="AE113" s="761">
        <f>'03-Walls &amp; Footings'!D143</f>
        <v>0</v>
      </c>
      <c r="AF113" s="709">
        <f t="shared" si="59"/>
        <v>60046</v>
      </c>
      <c r="AG113" s="707" t="str">
        <f t="shared" si="25"/>
        <v>Labor Burden</v>
      </c>
      <c r="AH113" s="296"/>
      <c r="AI113" s="710">
        <f>'06-Walls &amp; Footings'!D143</f>
        <v>7383.1374999999998</v>
      </c>
      <c r="AJ113" s="709">
        <f t="shared" si="60"/>
        <v>60046</v>
      </c>
      <c r="AK113" s="707" t="str">
        <f t="shared" si="27"/>
        <v>Labor Burden</v>
      </c>
      <c r="AL113" s="296"/>
      <c r="AM113" s="710">
        <f>'06-Footings'!D143</f>
        <v>0</v>
      </c>
      <c r="AN113" s="709">
        <f t="shared" si="61"/>
        <v>60046</v>
      </c>
      <c r="AO113" s="707" t="str">
        <f t="shared" si="29"/>
        <v>Labor Burden</v>
      </c>
      <c r="AP113" s="296"/>
      <c r="AQ113" s="718">
        <f>'06-Garage Walls &amp; Footings'!D143</f>
        <v>0</v>
      </c>
      <c r="AR113" s="709">
        <f t="shared" si="62"/>
        <v>122744.02318572874</v>
      </c>
      <c r="AS113" s="707" t="str">
        <f t="shared" si="31"/>
        <v>Labor Burden</v>
      </c>
      <c r="AT113" s="296"/>
      <c r="AU113" s="718">
        <f>'06-Garage Footings'!D143</f>
        <v>0</v>
      </c>
      <c r="AV113" s="712">
        <f t="shared" si="63"/>
        <v>70046</v>
      </c>
      <c r="AW113" s="518" t="str">
        <f t="shared" si="33"/>
        <v>Labor Burden</v>
      </c>
      <c r="AX113" s="296"/>
      <c r="AY113" s="708">
        <f>'07-COLUMNS'!D158</f>
        <v>1665</v>
      </c>
      <c r="AZ113" s="709">
        <f t="shared" si="64"/>
        <v>80046</v>
      </c>
      <c r="BA113" s="707" t="str">
        <f t="shared" si="35"/>
        <v>Labor Burden</v>
      </c>
      <c r="BB113" s="296"/>
      <c r="BC113" s="708">
        <f>'08-CIP EL. DECK'!D191</f>
        <v>8025</v>
      </c>
      <c r="BD113" s="709">
        <f t="shared" si="65"/>
        <v>90046</v>
      </c>
      <c r="BE113" s="707" t="str">
        <f t="shared" si="37"/>
        <v>Labor Burden</v>
      </c>
      <c r="BF113" s="296"/>
      <c r="BG113" s="708">
        <f>'09-SLAB ON DECK'!E157</f>
        <v>0</v>
      </c>
      <c r="BH113" s="709">
        <f t="shared" si="66"/>
        <v>100046</v>
      </c>
      <c r="BI113" s="518" t="str">
        <f t="shared" si="39"/>
        <v>Labor Burden</v>
      </c>
      <c r="BJ113" s="296"/>
      <c r="BK113" s="708">
        <f>'10-PAVING'!D138</f>
        <v>0</v>
      </c>
      <c r="BL113" s="709">
        <f t="shared" si="67"/>
        <v>110046</v>
      </c>
      <c r="BM113" s="518" t="str">
        <f t="shared" si="41"/>
        <v>Labor Burden</v>
      </c>
      <c r="BN113" s="296"/>
      <c r="BO113" s="708">
        <f>'11-Sidewalks'!D135</f>
        <v>0</v>
      </c>
      <c r="BP113" s="709">
        <f t="shared" si="68"/>
        <v>120046</v>
      </c>
      <c r="BQ113" s="518" t="str">
        <f t="shared" si="43"/>
        <v>Labor Burden</v>
      </c>
      <c r="BR113" s="296"/>
      <c r="BS113" s="708">
        <f>'12-PANELS'!F153</f>
        <v>29530.177777777775</v>
      </c>
      <c r="BT113" s="712">
        <f t="shared" si="69"/>
        <v>130046</v>
      </c>
      <c r="BU113" s="707" t="str">
        <f t="shared" si="45"/>
        <v>Labor Burden</v>
      </c>
      <c r="BV113" s="296"/>
      <c r="BW113" s="708">
        <f>'13-Miscellaneous'!E86</f>
        <v>0</v>
      </c>
      <c r="BX113" s="709">
        <f t="shared" si="70"/>
        <v>140046</v>
      </c>
      <c r="BY113" s="707" t="str">
        <f t="shared" si="47"/>
        <v>Labor Burden</v>
      </c>
    </row>
    <row r="114" spans="1:79" ht="21" customHeight="1">
      <c r="A114" s="2911"/>
      <c r="B114" s="402">
        <v>47</v>
      </c>
      <c r="C114" s="775" t="s">
        <v>1156</v>
      </c>
      <c r="D114" s="295" t="s">
        <v>721</v>
      </c>
      <c r="E114" s="518"/>
      <c r="F114" s="715"/>
      <c r="G114" s="708">
        <f t="shared" si="49"/>
        <v>68287.799692581422</v>
      </c>
      <c r="H114" s="711">
        <f t="shared" si="50"/>
        <v>10047</v>
      </c>
      <c r="I114" s="518" t="str">
        <f t="shared" si="51"/>
        <v>Rebar</v>
      </c>
      <c r="J114" s="715"/>
      <c r="K114" s="708">
        <f>'01-Piers'!E134</f>
        <v>0</v>
      </c>
      <c r="L114" s="709">
        <f t="shared" si="52"/>
        <v>20047</v>
      </c>
      <c r="M114" s="518" t="str">
        <f t="shared" si="48"/>
        <v>Rebar</v>
      </c>
      <c r="N114" s="715"/>
      <c r="O114" s="708">
        <f>'02-Gd Beams'!E141</f>
        <v>0</v>
      </c>
      <c r="P114" s="709">
        <f t="shared" si="53"/>
        <v>40047</v>
      </c>
      <c r="Q114" s="707" t="str">
        <f t="shared" si="54"/>
        <v>Rebar</v>
      </c>
      <c r="R114" s="296"/>
      <c r="S114" s="710">
        <f>'04-PT Slab on Grade Wrap'!E160</f>
        <v>0</v>
      </c>
      <c r="T114" s="709">
        <f t="shared" si="55"/>
        <v>40047</v>
      </c>
      <c r="U114" s="518" t="str">
        <f t="shared" si="19"/>
        <v>Rebar</v>
      </c>
      <c r="V114" s="296"/>
      <c r="W114" s="710">
        <f>'04-PT Slab on Grade'!E160</f>
        <v>8821.7922688765957</v>
      </c>
      <c r="X114" s="709">
        <f t="shared" si="56"/>
        <v>50047</v>
      </c>
      <c r="Y114" s="707" t="str">
        <f t="shared" si="57"/>
        <v>Rebar</v>
      </c>
      <c r="Z114" s="296"/>
      <c r="AA114" s="710">
        <f>'05-Slabs'!E160</f>
        <v>0</v>
      </c>
      <c r="AB114" s="709">
        <f t="shared" si="58"/>
        <v>30047</v>
      </c>
      <c r="AC114" s="707" t="str">
        <f t="shared" si="23"/>
        <v>Rebar</v>
      </c>
      <c r="AD114" s="296"/>
      <c r="AE114" s="761">
        <f>'03-Walls &amp; Footings'!D144</f>
        <v>0</v>
      </c>
      <c r="AF114" s="709">
        <f t="shared" si="59"/>
        <v>60047</v>
      </c>
      <c r="AG114" s="707" t="str">
        <f t="shared" si="25"/>
        <v>Rebar</v>
      </c>
      <c r="AH114" s="296"/>
      <c r="AI114" s="710">
        <f>'06-Walls &amp; Footings'!D144</f>
        <v>7588.7622587226269</v>
      </c>
      <c r="AJ114" s="709">
        <f t="shared" si="60"/>
        <v>60047</v>
      </c>
      <c r="AK114" s="707" t="str">
        <f t="shared" si="27"/>
        <v>Rebar</v>
      </c>
      <c r="AL114" s="296"/>
      <c r="AM114" s="710">
        <f>'06-Footings'!D144</f>
        <v>0</v>
      </c>
      <c r="AN114" s="709">
        <f t="shared" si="61"/>
        <v>60047</v>
      </c>
      <c r="AO114" s="707" t="str">
        <f t="shared" si="29"/>
        <v>Rebar</v>
      </c>
      <c r="AP114" s="296"/>
      <c r="AQ114" s="718">
        <f>'06-Garage Walls &amp; Footings'!D144</f>
        <v>0</v>
      </c>
      <c r="AR114" s="709">
        <f t="shared" si="62"/>
        <v>128287.79969258142</v>
      </c>
      <c r="AS114" s="707" t="str">
        <f t="shared" si="31"/>
        <v>Rebar</v>
      </c>
      <c r="AT114" s="296"/>
      <c r="AU114" s="718">
        <f>'06-Garage Footings'!D144</f>
        <v>0</v>
      </c>
      <c r="AV114" s="712">
        <f t="shared" si="63"/>
        <v>70047</v>
      </c>
      <c r="AW114" s="518" t="str">
        <f t="shared" si="33"/>
        <v>Rebar</v>
      </c>
      <c r="AX114" s="296"/>
      <c r="AY114" s="708">
        <f>'07-COLUMNS'!D159</f>
        <v>10085.831172292499</v>
      </c>
      <c r="AZ114" s="709">
        <f t="shared" si="64"/>
        <v>80047</v>
      </c>
      <c r="BA114" s="707" t="str">
        <f t="shared" si="35"/>
        <v>Rebar</v>
      </c>
      <c r="BB114" s="296"/>
      <c r="BC114" s="708">
        <f>'08-CIP EL. DECK'!D192</f>
        <v>13885.978435728752</v>
      </c>
      <c r="BD114" s="709">
        <f t="shared" si="65"/>
        <v>90047</v>
      </c>
      <c r="BE114" s="707" t="str">
        <f t="shared" si="37"/>
        <v>Rebar</v>
      </c>
      <c r="BF114" s="296"/>
      <c r="BG114" s="708">
        <f>'09-SLAB ON DECK'!E158</f>
        <v>0</v>
      </c>
      <c r="BH114" s="709">
        <f t="shared" si="66"/>
        <v>100047</v>
      </c>
      <c r="BI114" s="518" t="str">
        <f t="shared" si="39"/>
        <v>Rebar</v>
      </c>
      <c r="BJ114" s="296"/>
      <c r="BK114" s="708">
        <f>'10-PAVING'!D139</f>
        <v>0</v>
      </c>
      <c r="BL114" s="709">
        <f t="shared" si="67"/>
        <v>110047</v>
      </c>
      <c r="BM114" s="518" t="str">
        <f t="shared" si="41"/>
        <v>Rebar</v>
      </c>
      <c r="BN114" s="296"/>
      <c r="BO114" s="708">
        <f>'11-Sidewalks'!D136</f>
        <v>0</v>
      </c>
      <c r="BP114" s="709">
        <f t="shared" si="68"/>
        <v>120047</v>
      </c>
      <c r="BQ114" s="518" t="str">
        <f t="shared" si="43"/>
        <v>Rebar</v>
      </c>
      <c r="BR114" s="296"/>
      <c r="BS114" s="708">
        <f>'12-PANELS'!F154</f>
        <v>27905.435556960947</v>
      </c>
      <c r="BT114" s="712">
        <f t="shared" si="69"/>
        <v>130047</v>
      </c>
      <c r="BU114" s="707" t="str">
        <f t="shared" si="45"/>
        <v>Rebar</v>
      </c>
      <c r="BV114" s="296"/>
      <c r="BW114" s="708">
        <f>'13-Miscellaneous'!E87</f>
        <v>0</v>
      </c>
      <c r="BX114" s="709">
        <f t="shared" si="70"/>
        <v>140047</v>
      </c>
      <c r="BY114" s="707" t="str">
        <f t="shared" si="47"/>
        <v>Rebar</v>
      </c>
    </row>
    <row r="115" spans="1:79" ht="21" customHeight="1">
      <c r="A115" s="2911"/>
      <c r="B115" s="402">
        <v>48</v>
      </c>
      <c r="C115" s="776" t="s">
        <v>1157</v>
      </c>
      <c r="D115" s="777" t="s">
        <v>1158</v>
      </c>
      <c r="E115" s="753"/>
      <c r="F115" s="765"/>
      <c r="G115" s="708">
        <f t="shared" si="49"/>
        <v>23994.75</v>
      </c>
      <c r="H115" s="720">
        <f t="shared" si="50"/>
        <v>10048</v>
      </c>
      <c r="I115" s="753" t="str">
        <f t="shared" si="51"/>
        <v>PT Installation</v>
      </c>
      <c r="J115" s="765"/>
      <c r="K115" s="722">
        <f>'01-Piers'!E135</f>
        <v>0</v>
      </c>
      <c r="L115" s="766">
        <f t="shared" si="52"/>
        <v>20048</v>
      </c>
      <c r="M115" s="753" t="str">
        <f t="shared" si="48"/>
        <v>PT Installation</v>
      </c>
      <c r="N115" s="765"/>
      <c r="O115" s="722">
        <f>'02-Gd Beams'!E142</f>
        <v>0</v>
      </c>
      <c r="P115" s="709">
        <f t="shared" si="53"/>
        <v>40048</v>
      </c>
      <c r="Q115" s="753" t="str">
        <f t="shared" si="54"/>
        <v>PT Installation</v>
      </c>
      <c r="R115" s="765"/>
      <c r="S115" s="710">
        <f>'04-PT Slab on Grade Wrap'!E161</f>
        <v>0</v>
      </c>
      <c r="T115" s="766">
        <f t="shared" si="55"/>
        <v>40048</v>
      </c>
      <c r="U115" s="753" t="str">
        <f t="shared" si="19"/>
        <v>PT Installation</v>
      </c>
      <c r="V115" s="765"/>
      <c r="W115" s="758">
        <f>'04-PT Slab on Grade'!E161</f>
        <v>0</v>
      </c>
      <c r="X115" s="766">
        <f t="shared" si="56"/>
        <v>50048</v>
      </c>
      <c r="Y115" s="753" t="str">
        <f t="shared" si="57"/>
        <v>PT Installation</v>
      </c>
      <c r="Z115" s="765"/>
      <c r="AA115" s="778">
        <f>'05-Slabs'!E161</f>
        <v>0</v>
      </c>
      <c r="AB115" s="709">
        <f t="shared" si="58"/>
        <v>30048</v>
      </c>
      <c r="AC115" s="753" t="str">
        <f t="shared" si="23"/>
        <v>PT Installation</v>
      </c>
      <c r="AD115" s="765"/>
      <c r="AE115" s="761">
        <f>'03-Walls &amp; Footings'!D145</f>
        <v>0</v>
      </c>
      <c r="AF115" s="766">
        <f t="shared" si="59"/>
        <v>60048</v>
      </c>
      <c r="AG115" s="753" t="str">
        <f t="shared" si="25"/>
        <v>PT Installation</v>
      </c>
      <c r="AH115" s="765"/>
      <c r="AI115" s="758">
        <f>'06-Walls &amp; Footings'!D145</f>
        <v>0</v>
      </c>
      <c r="AJ115" s="766">
        <f t="shared" si="60"/>
        <v>60048</v>
      </c>
      <c r="AK115" s="753" t="str">
        <f t="shared" si="27"/>
        <v>PT Installation</v>
      </c>
      <c r="AL115" s="765"/>
      <c r="AM115" s="758">
        <f>'06-Footings'!D145</f>
        <v>0</v>
      </c>
      <c r="AN115" s="766">
        <f t="shared" si="61"/>
        <v>60048</v>
      </c>
      <c r="AO115" s="753" t="str">
        <f t="shared" si="29"/>
        <v>PT Installation</v>
      </c>
      <c r="AP115" s="765"/>
      <c r="AQ115" s="718">
        <f>'06-Garage Walls &amp; Footings'!D145</f>
        <v>0</v>
      </c>
      <c r="AR115" s="766">
        <f t="shared" si="62"/>
        <v>83994.75</v>
      </c>
      <c r="AS115" s="753" t="str">
        <f t="shared" si="31"/>
        <v>PT Installation</v>
      </c>
      <c r="AT115" s="765"/>
      <c r="AU115" s="718">
        <f>'06-Garage Footings'!D145</f>
        <v>0</v>
      </c>
      <c r="AV115" s="766">
        <f t="shared" si="63"/>
        <v>70048</v>
      </c>
      <c r="AW115" s="753" t="str">
        <f t="shared" si="33"/>
        <v>PT Installation</v>
      </c>
      <c r="AX115" s="765"/>
      <c r="AY115" s="722">
        <f>'07-COLUMNS'!D160</f>
        <v>0</v>
      </c>
      <c r="AZ115" s="766">
        <f t="shared" si="64"/>
        <v>80048</v>
      </c>
      <c r="BA115" s="753" t="str">
        <f t="shared" si="35"/>
        <v>PT Installation</v>
      </c>
      <c r="BB115" s="765"/>
      <c r="BC115" s="722">
        <f>'08-CIP EL. DECK'!D193</f>
        <v>23994.75</v>
      </c>
      <c r="BD115" s="766">
        <f t="shared" si="65"/>
        <v>90048</v>
      </c>
      <c r="BE115" s="753" t="str">
        <f t="shared" si="37"/>
        <v>PT Installation</v>
      </c>
      <c r="BF115" s="765"/>
      <c r="BG115" s="722">
        <f>'09-SLAB ON DECK'!E159</f>
        <v>0</v>
      </c>
      <c r="BH115" s="766">
        <f t="shared" si="66"/>
        <v>100048</v>
      </c>
      <c r="BI115" s="753" t="str">
        <f t="shared" si="39"/>
        <v>PT Installation</v>
      </c>
      <c r="BJ115" s="765"/>
      <c r="BK115" s="722">
        <f>'10-PAVING'!D140</f>
        <v>0</v>
      </c>
      <c r="BL115" s="766">
        <f t="shared" si="67"/>
        <v>110048</v>
      </c>
      <c r="BM115" s="753" t="str">
        <f t="shared" si="41"/>
        <v>PT Installation</v>
      </c>
      <c r="BN115" s="765"/>
      <c r="BO115" s="722">
        <f>'11-Sidewalks'!D137</f>
        <v>0</v>
      </c>
      <c r="BP115" s="766">
        <f t="shared" si="68"/>
        <v>120048</v>
      </c>
      <c r="BQ115" s="753" t="str">
        <f t="shared" si="43"/>
        <v>PT Installation</v>
      </c>
      <c r="BR115" s="765"/>
      <c r="BS115" s="722">
        <f>'12-PANELS'!F155</f>
        <v>0</v>
      </c>
      <c r="BT115" s="766">
        <f t="shared" si="69"/>
        <v>130048</v>
      </c>
      <c r="BU115" s="753" t="str">
        <f t="shared" si="45"/>
        <v>PT Installation</v>
      </c>
      <c r="BV115" s="765"/>
      <c r="BW115" s="722">
        <f>'13-Miscellaneous'!E88</f>
        <v>0</v>
      </c>
      <c r="BX115" s="766">
        <f t="shared" si="70"/>
        <v>140048</v>
      </c>
      <c r="BY115" s="753" t="str">
        <f t="shared" si="47"/>
        <v>PT Installation</v>
      </c>
    </row>
    <row r="116" spans="1:79" ht="21" customHeight="1">
      <c r="A116" s="2911"/>
      <c r="B116" s="779">
        <v>49</v>
      </c>
      <c r="C116" s="780">
        <v>49</v>
      </c>
      <c r="D116" s="779" t="s">
        <v>1159</v>
      </c>
      <c r="E116" s="736"/>
      <c r="F116" s="248"/>
      <c r="G116" s="708">
        <f t="shared" si="49"/>
        <v>0</v>
      </c>
      <c r="H116" s="737">
        <f t="shared" si="50"/>
        <v>10049</v>
      </c>
      <c r="I116" s="736" t="str">
        <f t="shared" si="51"/>
        <v>Extra Hours</v>
      </c>
      <c r="J116" s="248"/>
      <c r="K116" s="738">
        <f>'01-Piers'!E136</f>
        <v>0</v>
      </c>
      <c r="L116" s="739">
        <f t="shared" si="52"/>
        <v>20049</v>
      </c>
      <c r="M116" s="736" t="str">
        <f t="shared" si="48"/>
        <v>Extra Hours</v>
      </c>
      <c r="N116" s="248"/>
      <c r="O116" s="738">
        <f>'02-Gd Beams'!E143</f>
        <v>0</v>
      </c>
      <c r="P116" s="709">
        <f t="shared" si="53"/>
        <v>40049</v>
      </c>
      <c r="Q116" s="736" t="str">
        <f t="shared" si="54"/>
        <v>Extra Hours</v>
      </c>
      <c r="R116" s="248"/>
      <c r="S116" s="710">
        <f>'04-PT Slab on Grade Wrap'!E162</f>
        <v>0</v>
      </c>
      <c r="T116" s="739">
        <f t="shared" si="55"/>
        <v>40049</v>
      </c>
      <c r="U116" s="736" t="str">
        <f t="shared" si="19"/>
        <v>Extra Hours</v>
      </c>
      <c r="V116" s="248"/>
      <c r="W116" s="740">
        <f>'04-PT Slab on Grade'!E162</f>
        <v>0</v>
      </c>
      <c r="X116" s="739">
        <f t="shared" si="56"/>
        <v>50049</v>
      </c>
      <c r="Y116" s="736" t="str">
        <f t="shared" si="57"/>
        <v>Extra Hours</v>
      </c>
      <c r="Z116" s="248"/>
      <c r="AA116" s="248">
        <f>'05-Slabs'!E162</f>
        <v>0</v>
      </c>
      <c r="AB116" s="709">
        <f t="shared" si="58"/>
        <v>30049</v>
      </c>
      <c r="AC116" s="736" t="str">
        <f t="shared" si="23"/>
        <v>Extra Hours</v>
      </c>
      <c r="AD116" s="248"/>
      <c r="AE116" s="761">
        <f>'03-Walls &amp; Footings'!D146</f>
        <v>0</v>
      </c>
      <c r="AF116" s="739">
        <f t="shared" si="59"/>
        <v>60049</v>
      </c>
      <c r="AG116" s="736" t="str">
        <f t="shared" si="25"/>
        <v>Extra Hours</v>
      </c>
      <c r="AH116" s="248"/>
      <c r="AI116" s="740">
        <f>'06-Walls &amp; Footings'!D146</f>
        <v>0</v>
      </c>
      <c r="AJ116" s="739">
        <f t="shared" si="60"/>
        <v>60049</v>
      </c>
      <c r="AK116" s="736" t="str">
        <f t="shared" si="27"/>
        <v>Extra Hours</v>
      </c>
      <c r="AL116" s="248"/>
      <c r="AM116" s="740">
        <f>'06-Footings'!D146</f>
        <v>0</v>
      </c>
      <c r="AN116" s="739">
        <f t="shared" si="61"/>
        <v>60049</v>
      </c>
      <c r="AO116" s="736" t="str">
        <f t="shared" si="29"/>
        <v>Extra Hours</v>
      </c>
      <c r="AP116" s="248"/>
      <c r="AQ116" s="761">
        <f>'06-Garage Walls &amp; Footings'!D146</f>
        <v>0</v>
      </c>
      <c r="AR116" s="739">
        <f t="shared" si="62"/>
        <v>60000</v>
      </c>
      <c r="AS116" s="736" t="str">
        <f t="shared" si="31"/>
        <v>Extra Hours</v>
      </c>
      <c r="AT116" s="248"/>
      <c r="AU116" s="761">
        <f>'06-Garage Footings'!D146</f>
        <v>0</v>
      </c>
      <c r="AV116" s="739">
        <f t="shared" si="63"/>
        <v>70049</v>
      </c>
      <c r="AW116" s="736" t="str">
        <f t="shared" si="33"/>
        <v>Extra Hours</v>
      </c>
      <c r="AX116" s="248"/>
      <c r="AY116" s="738">
        <f>'07-COLUMNS'!D161</f>
        <v>0</v>
      </c>
      <c r="AZ116" s="739">
        <f t="shared" si="64"/>
        <v>80049</v>
      </c>
      <c r="BA116" s="736" t="str">
        <f t="shared" si="35"/>
        <v>Extra Hours</v>
      </c>
      <c r="BB116" s="248"/>
      <c r="BC116" s="738">
        <f>'08-CIP EL. DECK'!D194</f>
        <v>0</v>
      </c>
      <c r="BD116" s="739">
        <f t="shared" si="65"/>
        <v>90049</v>
      </c>
      <c r="BE116" s="736" t="str">
        <f t="shared" si="37"/>
        <v>Extra Hours</v>
      </c>
      <c r="BF116" s="248"/>
      <c r="BG116" s="738">
        <f>'09-SLAB ON DECK'!E160</f>
        <v>0</v>
      </c>
      <c r="BH116" s="739">
        <f t="shared" si="66"/>
        <v>100049</v>
      </c>
      <c r="BI116" s="736" t="str">
        <f t="shared" si="39"/>
        <v>Extra Hours</v>
      </c>
      <c r="BJ116" s="248"/>
      <c r="BK116" s="738">
        <f>'10-PAVING'!D141</f>
        <v>0</v>
      </c>
      <c r="BL116" s="739">
        <f t="shared" si="67"/>
        <v>110049</v>
      </c>
      <c r="BM116" s="736" t="str">
        <f t="shared" si="41"/>
        <v>Extra Hours</v>
      </c>
      <c r="BN116" s="248"/>
      <c r="BO116" s="738">
        <f>'11-Sidewalks'!D138</f>
        <v>0</v>
      </c>
      <c r="BP116" s="739">
        <f t="shared" si="68"/>
        <v>120049</v>
      </c>
      <c r="BQ116" s="736" t="str">
        <f t="shared" si="43"/>
        <v>Extra Hours</v>
      </c>
      <c r="BR116" s="248"/>
      <c r="BS116" s="781">
        <f>'12-PANELS'!F156</f>
        <v>0</v>
      </c>
      <c r="BT116" s="739">
        <f t="shared" si="69"/>
        <v>130049</v>
      </c>
      <c r="BU116" s="736" t="str">
        <f t="shared" si="45"/>
        <v>Extra Hours</v>
      </c>
      <c r="BV116" s="248"/>
      <c r="BW116" s="738">
        <f>'13-Miscellaneous'!E89</f>
        <v>0</v>
      </c>
      <c r="BX116" s="709">
        <f t="shared" si="70"/>
        <v>140049</v>
      </c>
      <c r="BY116" s="736" t="str">
        <f t="shared" si="47"/>
        <v>Extra Hours</v>
      </c>
    </row>
    <row r="117" spans="1:79" s="774" customFormat="1" ht="21" customHeight="1">
      <c r="A117" s="2913" t="s">
        <v>1160</v>
      </c>
      <c r="B117" s="782">
        <v>60</v>
      </c>
      <c r="C117" s="783" t="s">
        <v>1161</v>
      </c>
      <c r="D117" s="784" t="s">
        <v>1162</v>
      </c>
      <c r="E117" s="770"/>
      <c r="F117" s="769"/>
      <c r="G117" s="708">
        <f t="shared" si="49"/>
        <v>181138.70892857146</v>
      </c>
      <c r="H117" s="785">
        <f t="shared" si="50"/>
        <v>10060</v>
      </c>
      <c r="I117" s="770" t="str">
        <f t="shared" si="51"/>
        <v>Total Equipment Rental</v>
      </c>
      <c r="J117" s="769"/>
      <c r="K117" s="772">
        <f>'01-Piers'!E137</f>
        <v>7238.0625</v>
      </c>
      <c r="L117" s="771">
        <f t="shared" si="52"/>
        <v>20060</v>
      </c>
      <c r="M117" s="770" t="str">
        <f t="shared" si="48"/>
        <v>Total Equipment Rental</v>
      </c>
      <c r="N117" s="769"/>
      <c r="O117" s="772">
        <f>'02-Gd Beams'!E144</f>
        <v>0</v>
      </c>
      <c r="P117" s="709">
        <f t="shared" si="53"/>
        <v>40060</v>
      </c>
      <c r="Q117" s="770" t="str">
        <f t="shared" si="54"/>
        <v>Total Equipment Rental</v>
      </c>
      <c r="R117" s="769"/>
      <c r="S117" s="710">
        <f>'04-PT Slab on Grade Wrap'!E163</f>
        <v>0</v>
      </c>
      <c r="T117" s="771">
        <f t="shared" si="55"/>
        <v>40060</v>
      </c>
      <c r="U117" s="770" t="str">
        <f t="shared" si="19"/>
        <v>Total Equipment Rental</v>
      </c>
      <c r="V117" s="769"/>
      <c r="W117" s="773">
        <f>'04-PT Slab on Grade'!E163</f>
        <v>33747.75</v>
      </c>
      <c r="X117" s="771">
        <f t="shared" si="56"/>
        <v>50060</v>
      </c>
      <c r="Y117" s="770" t="str">
        <f t="shared" si="57"/>
        <v>Total Equipment Rental</v>
      </c>
      <c r="Z117" s="769"/>
      <c r="AA117" s="710">
        <f>'05-Slabs'!E163</f>
        <v>0</v>
      </c>
      <c r="AB117" s="709">
        <f t="shared" si="58"/>
        <v>30060</v>
      </c>
      <c r="AC117" s="770" t="e">
        <f>#REF!</f>
        <v>#REF!</v>
      </c>
      <c r="AD117" s="769"/>
      <c r="AE117" s="761">
        <f>'03-Walls &amp; Footings'!D147</f>
        <v>0</v>
      </c>
      <c r="AF117" s="771">
        <f t="shared" si="59"/>
        <v>60060</v>
      </c>
      <c r="AG117" s="770" t="str">
        <f>D117</f>
        <v>Total Equipment Rental</v>
      </c>
      <c r="AH117" s="769"/>
      <c r="AI117" s="773">
        <f>'06-Walls &amp; Footings'!D147</f>
        <v>8755.5</v>
      </c>
      <c r="AJ117" s="771">
        <f t="shared" si="60"/>
        <v>60060</v>
      </c>
      <c r="AK117" s="770" t="str">
        <f>D117</f>
        <v>Total Equipment Rental</v>
      </c>
      <c r="AL117" s="769"/>
      <c r="AM117" s="773">
        <f>'06-Footings'!D147</f>
        <v>0</v>
      </c>
      <c r="AN117" s="771">
        <f t="shared" si="61"/>
        <v>60060</v>
      </c>
      <c r="AO117" s="770" t="str">
        <f>D117</f>
        <v>Total Equipment Rental</v>
      </c>
      <c r="AP117" s="769"/>
      <c r="AQ117" s="761">
        <f>'06-Garage Walls &amp; Footings'!D147</f>
        <v>0</v>
      </c>
      <c r="AR117" s="771">
        <f t="shared" si="62"/>
        <v>241138.70892857146</v>
      </c>
      <c r="AS117" s="770">
        <f>H117</f>
        <v>10060</v>
      </c>
      <c r="AT117" s="769"/>
      <c r="AU117" s="761">
        <f>'06-Garage Footings'!D147</f>
        <v>0</v>
      </c>
      <c r="AV117" s="771">
        <f t="shared" si="63"/>
        <v>70060</v>
      </c>
      <c r="AW117" s="770" t="str">
        <f>AG117</f>
        <v>Total Equipment Rental</v>
      </c>
      <c r="AX117" s="769"/>
      <c r="AY117" s="772">
        <f>'07-COLUMNS'!D162</f>
        <v>19257.525000000001</v>
      </c>
      <c r="AZ117" s="771">
        <f t="shared" si="64"/>
        <v>80060</v>
      </c>
      <c r="BA117" s="770" t="str">
        <f>AW117</f>
        <v>Total Equipment Rental</v>
      </c>
      <c r="BB117" s="769"/>
      <c r="BC117" s="772">
        <f>'08-CIP EL. DECK'!D195</f>
        <v>35340.637500000004</v>
      </c>
      <c r="BD117" s="771">
        <f t="shared" si="65"/>
        <v>90060</v>
      </c>
      <c r="BE117" s="770" t="str">
        <f>BA117</f>
        <v>Total Equipment Rental</v>
      </c>
      <c r="BF117" s="769"/>
      <c r="BG117" s="772">
        <f>'09-SLAB ON DECK'!E161</f>
        <v>0</v>
      </c>
      <c r="BH117" s="771">
        <f t="shared" si="66"/>
        <v>100060</v>
      </c>
      <c r="BI117" s="770" t="str">
        <f>BE117</f>
        <v>Total Equipment Rental</v>
      </c>
      <c r="BJ117" s="769"/>
      <c r="BK117" s="772">
        <f>'10-PAVING'!D142</f>
        <v>25066.799999999999</v>
      </c>
      <c r="BL117" s="771">
        <f t="shared" si="67"/>
        <v>110060</v>
      </c>
      <c r="BM117" s="770" t="str">
        <f>BI117</f>
        <v>Total Equipment Rental</v>
      </c>
      <c r="BN117" s="769"/>
      <c r="BO117" s="772">
        <f>'11-Sidewalks'!D139</f>
        <v>14071.933928571429</v>
      </c>
      <c r="BP117" s="771">
        <f t="shared" si="68"/>
        <v>120060</v>
      </c>
      <c r="BQ117" s="770" t="str">
        <f>BM117</f>
        <v>Total Equipment Rental</v>
      </c>
      <c r="BR117" s="769"/>
      <c r="BS117" s="708">
        <f>'12-PANELS'!F157</f>
        <v>37660.5</v>
      </c>
      <c r="BT117" s="771">
        <f t="shared" si="69"/>
        <v>130060</v>
      </c>
      <c r="BU117" s="770" t="str">
        <f>BQ117</f>
        <v>Total Equipment Rental</v>
      </c>
      <c r="BV117" s="769"/>
      <c r="BW117" s="772">
        <f>'13-Miscellaneous'!E90</f>
        <v>0</v>
      </c>
      <c r="BX117" s="709">
        <f t="shared" si="70"/>
        <v>140060</v>
      </c>
      <c r="BY117" s="770" t="str">
        <f>BU117</f>
        <v>Total Equipment Rental</v>
      </c>
    </row>
    <row r="118" spans="1:79" ht="21" customHeight="1">
      <c r="A118" s="2913"/>
      <c r="B118" s="12">
        <v>61</v>
      </c>
      <c r="C118" s="786" t="s">
        <v>1163</v>
      </c>
      <c r="D118" s="295" t="s">
        <v>619</v>
      </c>
      <c r="E118" s="707"/>
      <c r="F118" s="296"/>
      <c r="G118" s="708">
        <f t="shared" si="49"/>
        <v>29632.796226492908</v>
      </c>
      <c r="H118" s="713">
        <f t="shared" si="50"/>
        <v>10061</v>
      </c>
      <c r="I118" s="707" t="str">
        <f t="shared" si="51"/>
        <v>SkyTrack</v>
      </c>
      <c r="J118" s="296"/>
      <c r="K118" s="708">
        <f>'01-Piers'!E138</f>
        <v>0</v>
      </c>
      <c r="L118" s="709">
        <f t="shared" si="52"/>
        <v>20061</v>
      </c>
      <c r="M118" s="707" t="str">
        <f t="shared" si="48"/>
        <v>SkyTrack</v>
      </c>
      <c r="N118" s="296"/>
      <c r="O118" s="708">
        <f>'02-Gd Beams'!E145</f>
        <v>0</v>
      </c>
      <c r="P118" s="709">
        <f t="shared" si="53"/>
        <v>40061</v>
      </c>
      <c r="Q118" s="707" t="str">
        <f t="shared" si="54"/>
        <v>SkyTrack</v>
      </c>
      <c r="R118" s="296"/>
      <c r="S118" s="710">
        <f>'04-PT Slab on Grade Wrap'!E164</f>
        <v>0</v>
      </c>
      <c r="T118" s="709">
        <f t="shared" si="55"/>
        <v>40061</v>
      </c>
      <c r="U118" s="707" t="str">
        <f t="shared" si="19"/>
        <v>SkyTrack</v>
      </c>
      <c r="V118" s="296"/>
      <c r="W118" s="710">
        <f>'04-PT Slab on Grade'!E164</f>
        <v>0</v>
      </c>
      <c r="X118" s="709">
        <f t="shared" si="56"/>
        <v>50061</v>
      </c>
      <c r="Y118" s="707" t="str">
        <f t="shared" si="57"/>
        <v>SkyTrack</v>
      </c>
      <c r="Z118" s="296"/>
      <c r="AA118" s="710">
        <f>'05-Slabs'!E164</f>
        <v>0</v>
      </c>
      <c r="AB118" s="709">
        <f t="shared" si="58"/>
        <v>30061</v>
      </c>
      <c r="AC118" s="707" t="str">
        <f t="shared" ref="AC118:AC123" si="71">BE118</f>
        <v>SkyTrack</v>
      </c>
      <c r="AD118" s="296"/>
      <c r="AE118" s="761">
        <f>'03-Walls &amp; Footings'!D148</f>
        <v>0</v>
      </c>
      <c r="AF118" s="709">
        <f t="shared" si="59"/>
        <v>60061</v>
      </c>
      <c r="AG118" s="707" t="str">
        <f t="shared" ref="AG118:AG123" si="72">BI118</f>
        <v>SkyTrack</v>
      </c>
      <c r="AH118" s="296"/>
      <c r="AI118" s="710">
        <f>'06-Walls &amp; Footings'!D148</f>
        <v>0</v>
      </c>
      <c r="AJ118" s="709">
        <f t="shared" si="60"/>
        <v>60061</v>
      </c>
      <c r="AK118" s="707" t="str">
        <f t="shared" ref="AK118:AK123" si="73">BI118</f>
        <v>SkyTrack</v>
      </c>
      <c r="AL118" s="296"/>
      <c r="AM118" s="710">
        <f>'06-Footings'!D148</f>
        <v>0</v>
      </c>
      <c r="AN118" s="709">
        <f t="shared" si="61"/>
        <v>60061</v>
      </c>
      <c r="AO118" s="707" t="str">
        <f t="shared" ref="AO118:AO123" si="74">BI118</f>
        <v>SkyTrack</v>
      </c>
      <c r="AP118" s="296"/>
      <c r="AQ118" s="718">
        <f>'06-Garage Walls &amp; Footings'!D148</f>
        <v>0</v>
      </c>
      <c r="AR118" s="709">
        <f t="shared" si="62"/>
        <v>89632.796226492908</v>
      </c>
      <c r="AS118" s="707" t="str">
        <f t="shared" ref="AS118:AS123" si="75">BM118</f>
        <v>SkyTrack</v>
      </c>
      <c r="AT118" s="296"/>
      <c r="AU118" s="718">
        <f>'06-Garage Footings'!D148</f>
        <v>0</v>
      </c>
      <c r="AV118" s="709">
        <f t="shared" si="63"/>
        <v>70061</v>
      </c>
      <c r="AW118" s="707" t="str">
        <f t="shared" ref="AW118:AW131" si="76">D118</f>
        <v>SkyTrack</v>
      </c>
      <c r="AX118" s="296"/>
      <c r="AY118" s="708">
        <f>'07-COLUMNS'!D163</f>
        <v>3825</v>
      </c>
      <c r="AZ118" s="709">
        <f t="shared" si="64"/>
        <v>80061</v>
      </c>
      <c r="BA118" s="707" t="str">
        <f t="shared" ref="BA118:BA127" si="77">D118</f>
        <v>SkyTrack</v>
      </c>
      <c r="BB118" s="296"/>
      <c r="BC118" s="708">
        <f>'08-CIP EL. DECK'!D196</f>
        <v>10260</v>
      </c>
      <c r="BD118" s="709">
        <f t="shared" si="65"/>
        <v>90061</v>
      </c>
      <c r="BE118" s="707" t="str">
        <f t="shared" ref="BE118:BE131" si="78">D118</f>
        <v>SkyTrack</v>
      </c>
      <c r="BF118" s="296"/>
      <c r="BG118" s="708">
        <f>'09-SLAB ON DECK'!E162</f>
        <v>0</v>
      </c>
      <c r="BH118" s="709">
        <f t="shared" si="66"/>
        <v>100061</v>
      </c>
      <c r="BI118" s="707" t="str">
        <f t="shared" ref="BI118:BI131" si="79">D118</f>
        <v>SkyTrack</v>
      </c>
      <c r="BJ118" s="296"/>
      <c r="BK118" s="708">
        <f>'10-PAVING'!D143</f>
        <v>0</v>
      </c>
      <c r="BL118" s="709">
        <f t="shared" si="67"/>
        <v>110061</v>
      </c>
      <c r="BM118" s="707" t="str">
        <f t="shared" ref="BM118:BM131" si="80">D118</f>
        <v>SkyTrack</v>
      </c>
      <c r="BN118" s="296"/>
      <c r="BO118" s="708">
        <f>'11-Sidewalks'!D140</f>
        <v>4364.3089285714286</v>
      </c>
      <c r="BP118" s="709">
        <f t="shared" si="68"/>
        <v>120061</v>
      </c>
      <c r="BQ118" s="707" t="str">
        <f t="shared" ref="BQ118:BQ131" si="81">D118</f>
        <v>SkyTrack</v>
      </c>
      <c r="BR118" s="296"/>
      <c r="BS118" s="708">
        <f>'12-PANELS'!F158</f>
        <v>11183.487297921478</v>
      </c>
      <c r="BT118" s="709">
        <f t="shared" si="69"/>
        <v>130061</v>
      </c>
      <c r="BU118" s="707" t="str">
        <f t="shared" ref="BU118:BU131" si="82">M118</f>
        <v>SkyTrack</v>
      </c>
      <c r="BV118" s="296"/>
      <c r="BW118" s="708">
        <f>'13-Miscellaneous'!E91</f>
        <v>0</v>
      </c>
      <c r="BX118" s="709">
        <f t="shared" si="70"/>
        <v>140061</v>
      </c>
      <c r="BY118" s="707" t="str">
        <f t="shared" ref="BY118:BY131" si="83">Q118</f>
        <v>SkyTrack</v>
      </c>
      <c r="BZ118" s="296"/>
      <c r="CA118" s="708"/>
    </row>
    <row r="119" spans="1:79" ht="21" customHeight="1">
      <c r="A119" s="2913"/>
      <c r="B119" s="402">
        <v>62</v>
      </c>
      <c r="C119" s="775" t="s">
        <v>1164</v>
      </c>
      <c r="D119" s="295" t="s">
        <v>1165</v>
      </c>
      <c r="E119" s="518"/>
      <c r="F119" s="715"/>
      <c r="G119" s="708">
        <f t="shared" si="49"/>
        <v>50306.299797921478</v>
      </c>
      <c r="H119" s="711">
        <f t="shared" si="50"/>
        <v>10062</v>
      </c>
      <c r="I119" s="518" t="str">
        <f t="shared" si="51"/>
        <v>Mini Excavator</v>
      </c>
      <c r="J119" s="715"/>
      <c r="K119" s="708">
        <f>'01-Piers'!E139</f>
        <v>0</v>
      </c>
      <c r="L119" s="709">
        <f t="shared" si="52"/>
        <v>20062</v>
      </c>
      <c r="M119" s="518" t="str">
        <f t="shared" si="48"/>
        <v>Mini Excavator</v>
      </c>
      <c r="N119" s="715"/>
      <c r="O119" s="708">
        <f>'02-Gd Beams'!E146</f>
        <v>0</v>
      </c>
      <c r="P119" s="709">
        <f t="shared" si="53"/>
        <v>40062</v>
      </c>
      <c r="Q119" s="707" t="str">
        <f t="shared" si="54"/>
        <v>Mini Excavator</v>
      </c>
      <c r="R119" s="296"/>
      <c r="S119" s="710">
        <f>'04-PT Slab on Grade Wrap'!E165</f>
        <v>0</v>
      </c>
      <c r="T119" s="709">
        <f t="shared" si="55"/>
        <v>40062</v>
      </c>
      <c r="U119" s="518" t="s">
        <v>1166</v>
      </c>
      <c r="V119" s="296"/>
      <c r="W119" s="710">
        <f>'04-PT Slab on Grade'!E165</f>
        <v>8550</v>
      </c>
      <c r="X119" s="709">
        <f t="shared" si="56"/>
        <v>50062</v>
      </c>
      <c r="Y119" s="707" t="str">
        <f t="shared" si="57"/>
        <v>Mini Excavator</v>
      </c>
      <c r="Z119" s="296"/>
      <c r="AA119" s="710">
        <f>'05-Slabs'!E165</f>
        <v>0</v>
      </c>
      <c r="AB119" s="709">
        <f t="shared" si="58"/>
        <v>30062</v>
      </c>
      <c r="AC119" s="707" t="str">
        <f t="shared" si="71"/>
        <v>Mini Excavator</v>
      </c>
      <c r="AD119" s="296"/>
      <c r="AE119" s="761">
        <f>'03-Walls &amp; Footings'!D149</f>
        <v>0</v>
      </c>
      <c r="AF119" s="709">
        <f t="shared" si="59"/>
        <v>60062</v>
      </c>
      <c r="AG119" s="707" t="str">
        <f t="shared" si="72"/>
        <v>Mini Excavator</v>
      </c>
      <c r="AH119" s="296"/>
      <c r="AI119" s="710">
        <f>'06-Walls &amp; Footings'!D149</f>
        <v>2850</v>
      </c>
      <c r="AJ119" s="709">
        <f t="shared" si="60"/>
        <v>60062</v>
      </c>
      <c r="AK119" s="707" t="str">
        <f t="shared" si="73"/>
        <v>Mini Excavator</v>
      </c>
      <c r="AL119" s="296"/>
      <c r="AM119" s="710">
        <f>'06-Footings'!D149</f>
        <v>0</v>
      </c>
      <c r="AN119" s="709">
        <f t="shared" si="61"/>
        <v>60062</v>
      </c>
      <c r="AO119" s="707" t="str">
        <f t="shared" si="74"/>
        <v>Mini Excavator</v>
      </c>
      <c r="AP119" s="296"/>
      <c r="AQ119" s="718">
        <f>'06-Garage Walls &amp; Footings'!D149</f>
        <v>0</v>
      </c>
      <c r="AR119" s="709">
        <f t="shared" si="62"/>
        <v>110306.29979792147</v>
      </c>
      <c r="AS119" s="707" t="str">
        <f t="shared" si="75"/>
        <v>Mini Excavator</v>
      </c>
      <c r="AT119" s="296"/>
      <c r="AU119" s="718">
        <f>'06-Garage Footings'!D149</f>
        <v>0</v>
      </c>
      <c r="AV119" s="712">
        <f t="shared" si="63"/>
        <v>70062</v>
      </c>
      <c r="AW119" s="518" t="str">
        <f t="shared" si="76"/>
        <v>Mini Excavator</v>
      </c>
      <c r="AX119" s="296"/>
      <c r="AY119" s="708">
        <f>'07-COLUMNS'!D164</f>
        <v>6765.1875</v>
      </c>
      <c r="AZ119" s="709">
        <f t="shared" si="64"/>
        <v>80062</v>
      </c>
      <c r="BA119" s="707" t="str">
        <f t="shared" si="77"/>
        <v>Mini Excavator</v>
      </c>
      <c r="BB119" s="296"/>
      <c r="BC119" s="708">
        <f>'08-CIP EL. DECK'!D197</f>
        <v>0</v>
      </c>
      <c r="BD119" s="709">
        <f t="shared" si="65"/>
        <v>90062</v>
      </c>
      <c r="BE119" s="707" t="str">
        <f t="shared" si="78"/>
        <v>Mini Excavator</v>
      </c>
      <c r="BF119" s="296"/>
      <c r="BG119" s="708">
        <f>'09-SLAB ON DECK'!E163</f>
        <v>0</v>
      </c>
      <c r="BH119" s="709">
        <f t="shared" si="66"/>
        <v>100062</v>
      </c>
      <c r="BI119" s="518" t="str">
        <f t="shared" si="79"/>
        <v>Mini Excavator</v>
      </c>
      <c r="BJ119" s="296"/>
      <c r="BK119" s="708">
        <f>'10-PAVING'!D144</f>
        <v>11700</v>
      </c>
      <c r="BL119" s="709">
        <f t="shared" si="67"/>
        <v>110062</v>
      </c>
      <c r="BM119" s="518" t="str">
        <f t="shared" si="80"/>
        <v>Mini Excavator</v>
      </c>
      <c r="BN119" s="296"/>
      <c r="BO119" s="708">
        <f>'11-Sidewalks'!D141</f>
        <v>9257.625</v>
      </c>
      <c r="BP119" s="709">
        <f t="shared" si="68"/>
        <v>120062</v>
      </c>
      <c r="BQ119" s="518" t="str">
        <f t="shared" si="81"/>
        <v>Mini Excavator</v>
      </c>
      <c r="BR119" s="296"/>
      <c r="BS119" s="708">
        <f>'12-PANELS'!F159</f>
        <v>11183.487297921478</v>
      </c>
      <c r="BT119" s="712">
        <f t="shared" si="69"/>
        <v>130062</v>
      </c>
      <c r="BU119" s="707" t="str">
        <f t="shared" si="82"/>
        <v>Mini Excavator</v>
      </c>
      <c r="BV119" s="296"/>
      <c r="BW119" s="708">
        <f>'13-Miscellaneous'!E92</f>
        <v>0</v>
      </c>
      <c r="BX119" s="709">
        <f t="shared" si="70"/>
        <v>140062</v>
      </c>
      <c r="BY119" s="707" t="str">
        <f t="shared" si="83"/>
        <v>Mini Excavator</v>
      </c>
      <c r="BZ119" s="296"/>
      <c r="CA119" s="708"/>
    </row>
    <row r="120" spans="1:79" ht="21" customHeight="1">
      <c r="A120" s="2913"/>
      <c r="B120" s="402">
        <v>63</v>
      </c>
      <c r="C120" s="775" t="s">
        <v>1167</v>
      </c>
      <c r="D120" s="295" t="s">
        <v>1168</v>
      </c>
      <c r="E120" s="518"/>
      <c r="F120" s="715"/>
      <c r="G120" s="708">
        <f t="shared" si="49"/>
        <v>11175</v>
      </c>
      <c r="H120" s="711">
        <f t="shared" si="50"/>
        <v>10063</v>
      </c>
      <c r="I120" s="518" t="str">
        <f t="shared" si="51"/>
        <v>Trencher</v>
      </c>
      <c r="J120" s="715"/>
      <c r="K120" s="708">
        <f>'01-Piers'!E140</f>
        <v>2925</v>
      </c>
      <c r="L120" s="709">
        <f t="shared" si="52"/>
        <v>20063</v>
      </c>
      <c r="M120" s="518" t="str">
        <f t="shared" si="48"/>
        <v>Trencher</v>
      </c>
      <c r="N120" s="715"/>
      <c r="O120" s="708">
        <f>'02-Gd Beams'!E147</f>
        <v>0</v>
      </c>
      <c r="P120" s="709">
        <f t="shared" si="53"/>
        <v>40063</v>
      </c>
      <c r="Q120" s="707" t="str">
        <f t="shared" si="54"/>
        <v>Trencher</v>
      </c>
      <c r="R120" s="296"/>
      <c r="S120" s="710">
        <f>'04-PT Slab on Grade Wrap'!E166</f>
        <v>0</v>
      </c>
      <c r="T120" s="709">
        <f t="shared" si="55"/>
        <v>40063</v>
      </c>
      <c r="U120" s="518" t="str">
        <f t="shared" ref="U120:U131" si="84">D120</f>
        <v>Trencher</v>
      </c>
      <c r="V120" s="296"/>
      <c r="W120" s="710">
        <f>'04-PT Slab on Grade'!E166</f>
        <v>5850</v>
      </c>
      <c r="X120" s="709">
        <f t="shared" si="56"/>
        <v>50063</v>
      </c>
      <c r="Y120" s="707" t="str">
        <f t="shared" si="57"/>
        <v>Trencher</v>
      </c>
      <c r="Z120" s="296"/>
      <c r="AA120" s="710">
        <f>'05-Slabs'!E166</f>
        <v>0</v>
      </c>
      <c r="AB120" s="709">
        <f t="shared" si="58"/>
        <v>30063</v>
      </c>
      <c r="AC120" s="707" t="str">
        <f t="shared" si="71"/>
        <v>Trencher</v>
      </c>
      <c r="AD120" s="296"/>
      <c r="AE120" s="761">
        <f>'03-Walls &amp; Footings'!D150</f>
        <v>0</v>
      </c>
      <c r="AF120" s="709">
        <f t="shared" si="59"/>
        <v>60063</v>
      </c>
      <c r="AG120" s="707" t="str">
        <f t="shared" si="72"/>
        <v>Trencher</v>
      </c>
      <c r="AH120" s="296"/>
      <c r="AI120" s="710">
        <f>'06-Walls &amp; Footings'!D150</f>
        <v>1950</v>
      </c>
      <c r="AJ120" s="709">
        <f t="shared" si="60"/>
        <v>60063</v>
      </c>
      <c r="AK120" s="707" t="str">
        <f t="shared" si="73"/>
        <v>Trencher</v>
      </c>
      <c r="AL120" s="296"/>
      <c r="AM120" s="710">
        <f>'06-Footings'!D150</f>
        <v>0</v>
      </c>
      <c r="AN120" s="709">
        <f t="shared" si="61"/>
        <v>60063</v>
      </c>
      <c r="AO120" s="707" t="str">
        <f t="shared" si="74"/>
        <v>Trencher</v>
      </c>
      <c r="AP120" s="296"/>
      <c r="AQ120" s="718">
        <f>'06-Garage Walls &amp; Footings'!D150</f>
        <v>0</v>
      </c>
      <c r="AR120" s="709">
        <f t="shared" si="62"/>
        <v>71175</v>
      </c>
      <c r="AS120" s="707" t="str">
        <f t="shared" si="75"/>
        <v>Trencher</v>
      </c>
      <c r="AT120" s="296"/>
      <c r="AU120" s="718">
        <f>'06-Garage Footings'!D150</f>
        <v>0</v>
      </c>
      <c r="AV120" s="712">
        <f t="shared" si="63"/>
        <v>70063</v>
      </c>
      <c r="AW120" s="518" t="str">
        <f t="shared" si="76"/>
        <v>Trencher</v>
      </c>
      <c r="AX120" s="296"/>
      <c r="AY120" s="708">
        <f>'07-COLUMNS'!D165</f>
        <v>0</v>
      </c>
      <c r="AZ120" s="709">
        <f t="shared" si="64"/>
        <v>80063</v>
      </c>
      <c r="BA120" s="707" t="str">
        <f t="shared" si="77"/>
        <v>Trencher</v>
      </c>
      <c r="BB120" s="296"/>
      <c r="BC120" s="708">
        <f>'08-CIP EL. DECK'!D198</f>
        <v>0</v>
      </c>
      <c r="BD120" s="709">
        <f t="shared" si="65"/>
        <v>90063</v>
      </c>
      <c r="BE120" s="707" t="str">
        <f t="shared" si="78"/>
        <v>Trencher</v>
      </c>
      <c r="BF120" s="296"/>
      <c r="BG120" s="708">
        <f>'09-SLAB ON DECK'!E164</f>
        <v>0</v>
      </c>
      <c r="BH120" s="709">
        <f t="shared" si="66"/>
        <v>100063</v>
      </c>
      <c r="BI120" s="518" t="str">
        <f t="shared" si="79"/>
        <v>Trencher</v>
      </c>
      <c r="BJ120" s="296"/>
      <c r="BK120" s="708">
        <f>'10-PAVING'!D145</f>
        <v>0</v>
      </c>
      <c r="BL120" s="709">
        <f t="shared" si="67"/>
        <v>110063</v>
      </c>
      <c r="BM120" s="518" t="str">
        <f t="shared" si="80"/>
        <v>Trencher</v>
      </c>
      <c r="BN120" s="296"/>
      <c r="BO120" s="708">
        <f>'11-Sidewalks'!D142</f>
        <v>450</v>
      </c>
      <c r="BP120" s="709">
        <f t="shared" si="68"/>
        <v>120063</v>
      </c>
      <c r="BQ120" s="518" t="str">
        <f t="shared" si="81"/>
        <v>Trencher</v>
      </c>
      <c r="BR120" s="296"/>
      <c r="BS120" s="708">
        <f>'12-PANELS'!F160</f>
        <v>0</v>
      </c>
      <c r="BT120" s="712">
        <f t="shared" si="69"/>
        <v>130063</v>
      </c>
      <c r="BU120" s="707" t="str">
        <f t="shared" si="82"/>
        <v>Trencher</v>
      </c>
      <c r="BV120" s="296"/>
      <c r="BW120" s="708">
        <f>'13-Miscellaneous'!E93</f>
        <v>0</v>
      </c>
      <c r="BX120" s="709">
        <f t="shared" si="70"/>
        <v>140063</v>
      </c>
      <c r="BY120" s="707" t="str">
        <f t="shared" si="83"/>
        <v>Trencher</v>
      </c>
      <c r="BZ120" s="296"/>
      <c r="CA120" s="708"/>
    </row>
    <row r="121" spans="1:79" ht="21" customHeight="1">
      <c r="A121" s="2913"/>
      <c r="B121" s="402">
        <v>64</v>
      </c>
      <c r="C121" s="775" t="s">
        <v>1169</v>
      </c>
      <c r="D121" s="295" t="s">
        <v>1170</v>
      </c>
      <c r="E121" s="518"/>
      <c r="F121" s="715"/>
      <c r="G121" s="708">
        <f t="shared" si="49"/>
        <v>31202.078521939955</v>
      </c>
      <c r="H121" s="711">
        <f t="shared" si="50"/>
        <v>10064</v>
      </c>
      <c r="I121" s="518" t="str">
        <f t="shared" si="51"/>
        <v>Skid Steer</v>
      </c>
      <c r="J121" s="715"/>
      <c r="K121" s="708">
        <f>'01-Piers'!E141</f>
        <v>900</v>
      </c>
      <c r="L121" s="709">
        <f t="shared" si="52"/>
        <v>20064</v>
      </c>
      <c r="M121" s="518" t="str">
        <f t="shared" si="48"/>
        <v>Skid Steer</v>
      </c>
      <c r="N121" s="715"/>
      <c r="O121" s="708">
        <f>'02-Gd Beams'!E148</f>
        <v>0</v>
      </c>
      <c r="P121" s="709">
        <f t="shared" si="53"/>
        <v>40064</v>
      </c>
      <c r="Q121" s="707" t="str">
        <f t="shared" si="54"/>
        <v>Skid Steer</v>
      </c>
      <c r="R121" s="296"/>
      <c r="S121" s="710">
        <f>'04-PT Slab on Grade Wrap'!E167</f>
        <v>0</v>
      </c>
      <c r="T121" s="709">
        <f t="shared" si="55"/>
        <v>40064</v>
      </c>
      <c r="U121" s="518" t="str">
        <f t="shared" si="84"/>
        <v>Skid Steer</v>
      </c>
      <c r="V121" s="296"/>
      <c r="W121" s="710">
        <f>'04-PT Slab on Grade'!E167</f>
        <v>5850</v>
      </c>
      <c r="X121" s="709">
        <f t="shared" si="56"/>
        <v>50064</v>
      </c>
      <c r="Y121" s="707" t="str">
        <f t="shared" si="57"/>
        <v>Skid Steer</v>
      </c>
      <c r="Z121" s="296"/>
      <c r="AA121" s="710">
        <f>'05-Slabs'!E167</f>
        <v>0</v>
      </c>
      <c r="AB121" s="709">
        <f t="shared" si="58"/>
        <v>30064</v>
      </c>
      <c r="AC121" s="707" t="str">
        <f t="shared" si="71"/>
        <v>Skid Steer</v>
      </c>
      <c r="AD121" s="296"/>
      <c r="AE121" s="761">
        <f>'03-Walls &amp; Footings'!D151</f>
        <v>0</v>
      </c>
      <c r="AF121" s="709">
        <f t="shared" si="59"/>
        <v>60064</v>
      </c>
      <c r="AG121" s="707" t="str">
        <f t="shared" si="72"/>
        <v>Skid Steer</v>
      </c>
      <c r="AH121" s="296"/>
      <c r="AI121" s="710">
        <f>'06-Walls &amp; Footings'!D151</f>
        <v>600</v>
      </c>
      <c r="AJ121" s="709">
        <f t="shared" si="60"/>
        <v>60064</v>
      </c>
      <c r="AK121" s="707" t="str">
        <f t="shared" si="73"/>
        <v>Skid Steer</v>
      </c>
      <c r="AL121" s="296"/>
      <c r="AM121" s="710">
        <f>'06-Footings'!D151</f>
        <v>0</v>
      </c>
      <c r="AN121" s="709">
        <f t="shared" si="61"/>
        <v>60064</v>
      </c>
      <c r="AO121" s="707" t="str">
        <f t="shared" si="74"/>
        <v>Skid Steer</v>
      </c>
      <c r="AP121" s="296"/>
      <c r="AQ121" s="718">
        <f>'06-Garage Walls &amp; Footings'!D151</f>
        <v>0</v>
      </c>
      <c r="AR121" s="709">
        <f t="shared" si="62"/>
        <v>91202.078521939955</v>
      </c>
      <c r="AS121" s="707" t="str">
        <f t="shared" si="75"/>
        <v>Skid Steer</v>
      </c>
      <c r="AT121" s="296"/>
      <c r="AU121" s="718">
        <f>'06-Garage Footings'!D151</f>
        <v>0</v>
      </c>
      <c r="AV121" s="712">
        <f t="shared" si="63"/>
        <v>70064</v>
      </c>
      <c r="AW121" s="518" t="str">
        <f t="shared" si="76"/>
        <v>Skid Steer</v>
      </c>
      <c r="AX121" s="296"/>
      <c r="AY121" s="708">
        <f>'07-COLUMNS'!D166</f>
        <v>2925</v>
      </c>
      <c r="AZ121" s="709">
        <f t="shared" si="64"/>
        <v>80064</v>
      </c>
      <c r="BA121" s="707" t="str">
        <f t="shared" si="77"/>
        <v>Skid Steer</v>
      </c>
      <c r="BB121" s="296"/>
      <c r="BC121" s="708">
        <f>'08-CIP EL. DECK'!D199</f>
        <v>8775</v>
      </c>
      <c r="BD121" s="709">
        <f t="shared" si="65"/>
        <v>90064</v>
      </c>
      <c r="BE121" s="707" t="str">
        <f t="shared" si="78"/>
        <v>Skid Steer</v>
      </c>
      <c r="BF121" s="296"/>
      <c r="BG121" s="708">
        <f>'09-SLAB ON DECK'!E165</f>
        <v>0</v>
      </c>
      <c r="BH121" s="709">
        <f t="shared" si="66"/>
        <v>100064</v>
      </c>
      <c r="BI121" s="518" t="str">
        <f t="shared" si="79"/>
        <v>Skid Steer</v>
      </c>
      <c r="BJ121" s="296"/>
      <c r="BK121" s="708">
        <f>'10-PAVING'!D146</f>
        <v>3600</v>
      </c>
      <c r="BL121" s="709">
        <f t="shared" si="67"/>
        <v>110064</v>
      </c>
      <c r="BM121" s="518" t="str">
        <f t="shared" si="80"/>
        <v>Skid Steer</v>
      </c>
      <c r="BN121" s="296"/>
      <c r="BO121" s="708">
        <f>'11-Sidewalks'!D143</f>
        <v>0</v>
      </c>
      <c r="BP121" s="709">
        <f t="shared" si="68"/>
        <v>120064</v>
      </c>
      <c r="BQ121" s="518" t="str">
        <f t="shared" si="81"/>
        <v>Skid Steer</v>
      </c>
      <c r="BR121" s="296"/>
      <c r="BS121" s="708">
        <f>'12-PANELS'!F161</f>
        <v>8552.0785219399531</v>
      </c>
      <c r="BT121" s="712">
        <f t="shared" si="69"/>
        <v>130064</v>
      </c>
      <c r="BU121" s="707" t="str">
        <f t="shared" si="82"/>
        <v>Skid Steer</v>
      </c>
      <c r="BV121" s="296"/>
      <c r="BW121" s="708">
        <f>'13-Miscellaneous'!E94</f>
        <v>0</v>
      </c>
      <c r="BX121" s="709">
        <f t="shared" si="70"/>
        <v>140064</v>
      </c>
      <c r="BY121" s="707" t="str">
        <f t="shared" si="83"/>
        <v>Skid Steer</v>
      </c>
      <c r="BZ121" s="296"/>
      <c r="CA121" s="708"/>
    </row>
    <row r="122" spans="1:79" ht="21" customHeight="1">
      <c r="A122" s="2913"/>
      <c r="B122" s="402">
        <v>65</v>
      </c>
      <c r="C122" s="775" t="s">
        <v>1171</v>
      </c>
      <c r="D122" s="295" t="s">
        <v>1172</v>
      </c>
      <c r="E122" s="518"/>
      <c r="F122" s="715"/>
      <c r="G122" s="708">
        <f t="shared" si="49"/>
        <v>10809.564648708996</v>
      </c>
      <c r="H122" s="711">
        <f t="shared" si="50"/>
        <v>10065</v>
      </c>
      <c r="I122" s="518" t="str">
        <f t="shared" si="51"/>
        <v>General Equipment Rental</v>
      </c>
      <c r="J122" s="715"/>
      <c r="K122" s="708">
        <f>'01-Piers'!E142</f>
        <v>748.8151658767772</v>
      </c>
      <c r="L122" s="709">
        <f t="shared" si="52"/>
        <v>20065</v>
      </c>
      <c r="M122" s="518" t="str">
        <f t="shared" si="48"/>
        <v>General Equipment Rental</v>
      </c>
      <c r="N122" s="715"/>
      <c r="O122" s="708">
        <f>'02-Gd Beams'!E149</f>
        <v>0</v>
      </c>
      <c r="P122" s="709">
        <f t="shared" si="53"/>
        <v>40065</v>
      </c>
      <c r="Q122" s="707" t="str">
        <f t="shared" si="54"/>
        <v>General Equipment Rental</v>
      </c>
      <c r="R122" s="296"/>
      <c r="S122" s="710">
        <f>'04-PT Slab on Grade Wrap'!E168</f>
        <v>0</v>
      </c>
      <c r="T122" s="709">
        <f t="shared" si="55"/>
        <v>40065</v>
      </c>
      <c r="U122" s="518" t="str">
        <f t="shared" si="84"/>
        <v>General Equipment Rental</v>
      </c>
      <c r="V122" s="296"/>
      <c r="W122" s="710">
        <f>'04-PT Slab on Grade'!E168</f>
        <v>1075.5924170616113</v>
      </c>
      <c r="X122" s="709">
        <f t="shared" si="56"/>
        <v>50065</v>
      </c>
      <c r="Y122" s="707" t="str">
        <f t="shared" si="57"/>
        <v>General Equipment Rental</v>
      </c>
      <c r="Z122" s="296"/>
      <c r="AA122" s="710">
        <f>'05-Slabs'!E168</f>
        <v>0</v>
      </c>
      <c r="AB122" s="709">
        <f t="shared" si="58"/>
        <v>30065</v>
      </c>
      <c r="AC122" s="707" t="str">
        <f t="shared" si="71"/>
        <v>General Equipment Rental</v>
      </c>
      <c r="AD122" s="296"/>
      <c r="AE122" s="761">
        <f>'03-Walls &amp; Footings'!D152</f>
        <v>0</v>
      </c>
      <c r="AF122" s="709">
        <f t="shared" si="59"/>
        <v>60065</v>
      </c>
      <c r="AG122" s="707" t="str">
        <f t="shared" si="72"/>
        <v>General Equipment Rental</v>
      </c>
      <c r="AH122" s="296"/>
      <c r="AI122" s="710">
        <f>'06-Walls &amp; Footings'!D152</f>
        <v>132.70142180094786</v>
      </c>
      <c r="AJ122" s="709">
        <f t="shared" si="60"/>
        <v>60065</v>
      </c>
      <c r="AK122" s="707" t="str">
        <f t="shared" si="73"/>
        <v>General Equipment Rental</v>
      </c>
      <c r="AL122" s="296"/>
      <c r="AM122" s="710">
        <f>'06-Footings'!D152</f>
        <v>0</v>
      </c>
      <c r="AN122" s="709">
        <f t="shared" si="61"/>
        <v>60065</v>
      </c>
      <c r="AO122" s="707" t="str">
        <f t="shared" si="74"/>
        <v>General Equipment Rental</v>
      </c>
      <c r="AP122" s="296"/>
      <c r="AQ122" s="718">
        <f>'06-Garage Walls &amp; Footings'!D152</f>
        <v>0</v>
      </c>
      <c r="AR122" s="709">
        <f t="shared" si="62"/>
        <v>70809.564648708998</v>
      </c>
      <c r="AS122" s="707" t="str">
        <f t="shared" si="75"/>
        <v>General Equipment Rental</v>
      </c>
      <c r="AT122" s="296"/>
      <c r="AU122" s="718">
        <f>'06-Garage Footings'!D152</f>
        <v>0</v>
      </c>
      <c r="AV122" s="712">
        <f t="shared" si="63"/>
        <v>70065</v>
      </c>
      <c r="AW122" s="518" t="str">
        <f t="shared" si="76"/>
        <v>General Equipment Rental</v>
      </c>
      <c r="AX122" s="296"/>
      <c r="AY122" s="708">
        <f>'07-COLUMNS'!D167</f>
        <v>1144.0521327014219</v>
      </c>
      <c r="AZ122" s="709">
        <f t="shared" si="64"/>
        <v>80065</v>
      </c>
      <c r="BA122" s="707" t="str">
        <f t="shared" si="77"/>
        <v>General Equipment Rental</v>
      </c>
      <c r="BB122" s="296"/>
      <c r="BC122" s="708">
        <f>'08-CIP EL. DECK'!D200</f>
        <v>3297.1563981042655</v>
      </c>
      <c r="BD122" s="709">
        <f t="shared" si="65"/>
        <v>90065</v>
      </c>
      <c r="BE122" s="707" t="str">
        <f t="shared" si="78"/>
        <v>General Equipment Rental</v>
      </c>
      <c r="BF122" s="296"/>
      <c r="BG122" s="708">
        <f>'09-SLAB ON DECK'!E166</f>
        <v>0</v>
      </c>
      <c r="BH122" s="709">
        <f t="shared" si="66"/>
        <v>100065</v>
      </c>
      <c r="BI122" s="518" t="str">
        <f t="shared" si="79"/>
        <v>General Equipment Rental</v>
      </c>
      <c r="BJ122" s="296"/>
      <c r="BK122" s="708">
        <f>'10-PAVING'!D147</f>
        <v>540</v>
      </c>
      <c r="BL122" s="709">
        <f t="shared" si="67"/>
        <v>110065</v>
      </c>
      <c r="BM122" s="518" t="str">
        <f t="shared" si="80"/>
        <v>General Equipment Rental</v>
      </c>
      <c r="BN122" s="296"/>
      <c r="BO122" s="708">
        <f>'11-Sidewalks'!D144</f>
        <v>0</v>
      </c>
      <c r="BP122" s="709">
        <f t="shared" si="68"/>
        <v>120065</v>
      </c>
      <c r="BQ122" s="518" t="str">
        <f t="shared" si="81"/>
        <v>General Equipment Rental</v>
      </c>
      <c r="BR122" s="296"/>
      <c r="BS122" s="708">
        <f>'12-PANELS'!F162</f>
        <v>3871.2471131639722</v>
      </c>
      <c r="BT122" s="712">
        <f t="shared" si="69"/>
        <v>130065</v>
      </c>
      <c r="BU122" s="707" t="str">
        <f t="shared" si="82"/>
        <v>General Equipment Rental</v>
      </c>
      <c r="BV122" s="296"/>
      <c r="BW122" s="708">
        <f>'13-Miscellaneous'!E95</f>
        <v>0</v>
      </c>
      <c r="BX122" s="709">
        <f t="shared" si="70"/>
        <v>140065</v>
      </c>
      <c r="BY122" s="707" t="str">
        <f t="shared" si="83"/>
        <v>General Equipment Rental</v>
      </c>
      <c r="BZ122" s="296"/>
      <c r="CA122" s="708"/>
    </row>
    <row r="123" spans="1:79" ht="21" customHeight="1">
      <c r="A123" s="2913"/>
      <c r="B123" s="402">
        <v>66</v>
      </c>
      <c r="C123" s="775" t="s">
        <v>1173</v>
      </c>
      <c r="D123" s="2914" t="s">
        <v>1174</v>
      </c>
      <c r="E123" s="2914"/>
      <c r="F123" s="2914"/>
      <c r="G123" s="708">
        <f t="shared" si="49"/>
        <v>48012.969733508093</v>
      </c>
      <c r="H123" s="711">
        <f t="shared" si="50"/>
        <v>10066</v>
      </c>
      <c r="I123" s="518" t="str">
        <f t="shared" si="51"/>
        <v>Fuel</v>
      </c>
      <c r="J123" s="715"/>
      <c r="K123" s="708">
        <f>'01-Piers'!E143</f>
        <v>2664.2473341232226</v>
      </c>
      <c r="L123" s="709">
        <f t="shared" si="52"/>
        <v>20066</v>
      </c>
      <c r="M123" s="518" t="str">
        <f t="shared" si="48"/>
        <v>Fuel</v>
      </c>
      <c r="N123" s="715"/>
      <c r="O123" s="708">
        <f>'02-Gd Beams'!E150</f>
        <v>0</v>
      </c>
      <c r="P123" s="709">
        <f t="shared" si="53"/>
        <v>40066</v>
      </c>
      <c r="Q123" s="707" t="str">
        <f t="shared" si="54"/>
        <v>Fuel</v>
      </c>
      <c r="R123" s="296"/>
      <c r="S123" s="710">
        <f>'04-PT Slab on Grade Wrap'!E169</f>
        <v>0</v>
      </c>
      <c r="T123" s="709">
        <f t="shared" si="55"/>
        <v>40066</v>
      </c>
      <c r="U123" s="518" t="str">
        <f t="shared" si="84"/>
        <v>Fuel</v>
      </c>
      <c r="V123" s="296"/>
      <c r="W123" s="710">
        <f>'04-PT Slab on Grade'!E169</f>
        <v>12422.157582938387</v>
      </c>
      <c r="X123" s="709">
        <f t="shared" si="56"/>
        <v>50066</v>
      </c>
      <c r="Y123" s="707" t="str">
        <f t="shared" si="57"/>
        <v>Fuel</v>
      </c>
      <c r="Z123" s="296"/>
      <c r="AA123" s="710">
        <f>'05-Slabs'!E169</f>
        <v>0</v>
      </c>
      <c r="AB123" s="709">
        <f t="shared" si="58"/>
        <v>30066</v>
      </c>
      <c r="AC123" s="707" t="str">
        <f t="shared" si="71"/>
        <v>Fuel</v>
      </c>
      <c r="AD123" s="296"/>
      <c r="AE123" s="761">
        <f>'03-Walls &amp; Footings'!D153</f>
        <v>0</v>
      </c>
      <c r="AF123" s="709">
        <f t="shared" si="59"/>
        <v>60066</v>
      </c>
      <c r="AG123" s="707" t="str">
        <f t="shared" si="72"/>
        <v>Fuel</v>
      </c>
      <c r="AH123" s="296"/>
      <c r="AI123" s="710">
        <f>'06-Walls &amp; Footings'!D153</f>
        <v>3222.7985781990519</v>
      </c>
      <c r="AJ123" s="709">
        <f t="shared" si="60"/>
        <v>60066</v>
      </c>
      <c r="AK123" s="707" t="str">
        <f t="shared" si="73"/>
        <v>Fuel</v>
      </c>
      <c r="AL123" s="296"/>
      <c r="AM123" s="710">
        <f>'06-Footings'!D153</f>
        <v>0</v>
      </c>
      <c r="AN123" s="709">
        <f t="shared" si="61"/>
        <v>60066</v>
      </c>
      <c r="AO123" s="707" t="str">
        <f t="shared" si="74"/>
        <v>Fuel</v>
      </c>
      <c r="AP123" s="296"/>
      <c r="AQ123" s="718">
        <f>'06-Garage Walls &amp; Footings'!D153</f>
        <v>0</v>
      </c>
      <c r="AR123" s="709">
        <f t="shared" si="62"/>
        <v>108012.9697335081</v>
      </c>
      <c r="AS123" s="707" t="str">
        <f t="shared" si="75"/>
        <v>Fuel</v>
      </c>
      <c r="AT123" s="296"/>
      <c r="AU123" s="718">
        <f>'06-Garage Footings'!D153</f>
        <v>0</v>
      </c>
      <c r="AV123" s="712">
        <f t="shared" si="63"/>
        <v>70066</v>
      </c>
      <c r="AW123" s="518" t="str">
        <f t="shared" si="76"/>
        <v>Fuel</v>
      </c>
      <c r="AX123" s="296"/>
      <c r="AY123" s="708">
        <f>'07-COLUMNS'!D168</f>
        <v>4598.2853672985802</v>
      </c>
      <c r="AZ123" s="709">
        <f t="shared" si="64"/>
        <v>80066</v>
      </c>
      <c r="BA123" s="707" t="str">
        <f t="shared" si="77"/>
        <v>Fuel</v>
      </c>
      <c r="BB123" s="296"/>
      <c r="BC123" s="708">
        <f>'08-CIP EL. DECK'!D201</f>
        <v>13008.481101895741</v>
      </c>
      <c r="BD123" s="709">
        <f t="shared" si="65"/>
        <v>90066</v>
      </c>
      <c r="BE123" s="707" t="str">
        <f t="shared" si="78"/>
        <v>Fuel</v>
      </c>
      <c r="BF123" s="296"/>
      <c r="BG123" s="708">
        <f>'09-SLAB ON DECK'!E167</f>
        <v>0</v>
      </c>
      <c r="BH123" s="709">
        <f t="shared" si="66"/>
        <v>100066</v>
      </c>
      <c r="BI123" s="518" t="str">
        <f t="shared" si="79"/>
        <v>Fuel</v>
      </c>
      <c r="BJ123" s="296"/>
      <c r="BK123" s="708">
        <f>'10-PAVING'!D148</f>
        <v>9226.7999999999993</v>
      </c>
      <c r="BL123" s="709">
        <f t="shared" si="67"/>
        <v>110066</v>
      </c>
      <c r="BM123" s="518" t="str">
        <f t="shared" si="80"/>
        <v>Fuel</v>
      </c>
      <c r="BN123" s="296"/>
      <c r="BO123" s="708">
        <f>'11-Sidewalks'!D145</f>
        <v>0</v>
      </c>
      <c r="BP123" s="709">
        <f t="shared" si="68"/>
        <v>120066</v>
      </c>
      <c r="BQ123" s="518" t="str">
        <f t="shared" si="81"/>
        <v>Fuel</v>
      </c>
      <c r="BR123" s="296"/>
      <c r="BS123" s="708">
        <f>'12-PANELS'!F163</f>
        <v>2870.1997690531134</v>
      </c>
      <c r="BT123" s="712">
        <f t="shared" si="69"/>
        <v>130066</v>
      </c>
      <c r="BU123" s="707" t="str">
        <f t="shared" si="82"/>
        <v>Fuel</v>
      </c>
      <c r="BV123" s="296"/>
      <c r="BW123" s="708">
        <f>'13-Miscellaneous'!E96</f>
        <v>0</v>
      </c>
      <c r="BX123" s="709">
        <f t="shared" si="70"/>
        <v>140066</v>
      </c>
      <c r="BY123" s="707" t="str">
        <f t="shared" si="83"/>
        <v>Fuel</v>
      </c>
      <c r="BZ123" s="296"/>
      <c r="CA123" s="708"/>
    </row>
    <row r="124" spans="1:79" ht="21" customHeight="1">
      <c r="A124" s="2913"/>
      <c r="B124" s="402">
        <v>67</v>
      </c>
      <c r="C124" s="775" t="s">
        <v>1175</v>
      </c>
      <c r="D124" s="295" t="s">
        <v>1176</v>
      </c>
      <c r="E124" s="518"/>
      <c r="F124" s="715"/>
      <c r="G124" s="708">
        <f t="shared" si="49"/>
        <v>0</v>
      </c>
      <c r="H124" s="711">
        <f t="shared" si="50"/>
        <v>10067</v>
      </c>
      <c r="I124" s="518" t="str">
        <f t="shared" si="51"/>
        <v>Purchased Tools</v>
      </c>
      <c r="J124" s="715"/>
      <c r="K124" s="708">
        <f>'01-Piers'!E144</f>
        <v>0</v>
      </c>
      <c r="L124" s="709">
        <f t="shared" si="52"/>
        <v>20067</v>
      </c>
      <c r="M124" s="518" t="str">
        <f t="shared" si="48"/>
        <v>Purchased Tools</v>
      </c>
      <c r="N124" s="715"/>
      <c r="O124" s="708">
        <f>'02-Gd Beams'!E151</f>
        <v>0</v>
      </c>
      <c r="P124" s="709">
        <f t="shared" si="53"/>
        <v>40067</v>
      </c>
      <c r="Q124" s="707" t="str">
        <f t="shared" si="54"/>
        <v>Purchased Tools</v>
      </c>
      <c r="R124" s="296"/>
      <c r="S124" s="710">
        <f>'04-PT Slab on Grade Wrap'!E170</f>
        <v>0</v>
      </c>
      <c r="T124" s="709">
        <f t="shared" si="55"/>
        <v>40067</v>
      </c>
      <c r="U124" s="518" t="str">
        <f t="shared" si="84"/>
        <v>Purchased Tools</v>
      </c>
      <c r="V124" s="296"/>
      <c r="W124" s="710">
        <f>'04-PT Slab on Grade'!E170</f>
        <v>0</v>
      </c>
      <c r="X124" s="709">
        <f t="shared" si="56"/>
        <v>50067</v>
      </c>
      <c r="Y124" s="707" t="str">
        <f t="shared" si="57"/>
        <v>Purchased Tools</v>
      </c>
      <c r="Z124" s="296"/>
      <c r="AA124" s="710">
        <f>'05-Slabs'!E170</f>
        <v>0</v>
      </c>
      <c r="AB124" s="709">
        <f t="shared" si="58"/>
        <v>30067</v>
      </c>
      <c r="AC124" s="707" t="str">
        <f>AS124</f>
        <v>Purchased Tools</v>
      </c>
      <c r="AD124" s="296"/>
      <c r="AE124" s="761">
        <f>'03-Walls &amp; Footings'!D154</f>
        <v>0</v>
      </c>
      <c r="AF124" s="709">
        <f t="shared" si="59"/>
        <v>60067</v>
      </c>
      <c r="AG124" s="707" t="str">
        <f>AW124</f>
        <v>Purchased Tools</v>
      </c>
      <c r="AH124" s="296"/>
      <c r="AI124" s="710">
        <f>'06-Walls &amp; Footings'!D154</f>
        <v>0</v>
      </c>
      <c r="AJ124" s="709">
        <f t="shared" si="60"/>
        <v>60067</v>
      </c>
      <c r="AK124" s="707" t="str">
        <f>AW124</f>
        <v>Purchased Tools</v>
      </c>
      <c r="AL124" s="296"/>
      <c r="AM124" s="710">
        <f>'06-Footings'!D154</f>
        <v>0</v>
      </c>
      <c r="AN124" s="709">
        <f t="shared" si="61"/>
        <v>60067</v>
      </c>
      <c r="AO124" s="707" t="str">
        <f>AW124</f>
        <v>Purchased Tools</v>
      </c>
      <c r="AP124" s="296"/>
      <c r="AQ124" s="718">
        <f>'06-Garage Walls &amp; Footings'!D154</f>
        <v>0</v>
      </c>
      <c r="AR124" s="709">
        <f t="shared" si="62"/>
        <v>60000</v>
      </c>
      <c r="AS124" s="707" t="str">
        <f>BA124</f>
        <v>Purchased Tools</v>
      </c>
      <c r="AT124" s="296"/>
      <c r="AU124" s="718">
        <f>'06-Garage Footings'!D154</f>
        <v>0</v>
      </c>
      <c r="AV124" s="712">
        <f t="shared" si="63"/>
        <v>70067</v>
      </c>
      <c r="AW124" s="518" t="str">
        <f t="shared" si="76"/>
        <v>Purchased Tools</v>
      </c>
      <c r="AX124" s="296"/>
      <c r="AY124" s="708">
        <f>'07-COLUMNS'!D169</f>
        <v>0</v>
      </c>
      <c r="AZ124" s="709">
        <f t="shared" si="64"/>
        <v>80067</v>
      </c>
      <c r="BA124" s="707" t="str">
        <f t="shared" si="77"/>
        <v>Purchased Tools</v>
      </c>
      <c r="BB124" s="296"/>
      <c r="BC124" s="708">
        <f>'08-CIP EL. DECK'!D202</f>
        <v>0</v>
      </c>
      <c r="BD124" s="709">
        <f t="shared" si="65"/>
        <v>90067</v>
      </c>
      <c r="BE124" s="707" t="str">
        <f t="shared" si="78"/>
        <v>Purchased Tools</v>
      </c>
      <c r="BF124" s="296"/>
      <c r="BG124" s="708">
        <f>'09-SLAB ON DECK'!E168</f>
        <v>0</v>
      </c>
      <c r="BH124" s="709">
        <f t="shared" si="66"/>
        <v>100067</v>
      </c>
      <c r="BI124" s="518" t="str">
        <f t="shared" si="79"/>
        <v>Purchased Tools</v>
      </c>
      <c r="BJ124" s="296"/>
      <c r="BK124" s="708">
        <f>'10-PAVING'!D149</f>
        <v>0</v>
      </c>
      <c r="BL124" s="709">
        <f t="shared" si="67"/>
        <v>110067</v>
      </c>
      <c r="BM124" s="518" t="str">
        <f t="shared" si="80"/>
        <v>Purchased Tools</v>
      </c>
      <c r="BN124" s="296"/>
      <c r="BO124" s="708">
        <f>'11-Sidewalks'!D146</f>
        <v>0</v>
      </c>
      <c r="BP124" s="709">
        <f t="shared" si="68"/>
        <v>120067</v>
      </c>
      <c r="BQ124" s="518" t="str">
        <f t="shared" si="81"/>
        <v>Purchased Tools</v>
      </c>
      <c r="BR124" s="296"/>
      <c r="BS124" s="708">
        <f>'12-PANELS'!F164</f>
        <v>0</v>
      </c>
      <c r="BT124" s="712">
        <f t="shared" si="69"/>
        <v>130067</v>
      </c>
      <c r="BU124" s="707" t="str">
        <f t="shared" si="82"/>
        <v>Purchased Tools</v>
      </c>
      <c r="BV124" s="296"/>
      <c r="BW124" s="708">
        <f>'13-Miscellaneous'!E97</f>
        <v>0</v>
      </c>
      <c r="BX124" s="709">
        <f t="shared" si="70"/>
        <v>140067</v>
      </c>
      <c r="BY124" s="707" t="str">
        <f t="shared" si="83"/>
        <v>Purchased Tools</v>
      </c>
      <c r="BZ124" s="296"/>
      <c r="CA124" s="708"/>
    </row>
    <row r="125" spans="1:79" ht="21" customHeight="1">
      <c r="A125" s="2913"/>
      <c r="B125" s="779">
        <v>68</v>
      </c>
      <c r="C125" s="776" t="s">
        <v>1177</v>
      </c>
      <c r="D125" s="777" t="s">
        <v>1178</v>
      </c>
      <c r="E125" s="753"/>
      <c r="F125" s="765"/>
      <c r="G125" s="708">
        <f t="shared" si="49"/>
        <v>0</v>
      </c>
      <c r="H125" s="720">
        <f t="shared" si="50"/>
        <v>10068</v>
      </c>
      <c r="I125" s="753" t="str">
        <f t="shared" si="51"/>
        <v>Stolen/Damaged</v>
      </c>
      <c r="J125" s="765"/>
      <c r="K125" s="722">
        <f>'01-Piers'!E145</f>
        <v>0</v>
      </c>
      <c r="L125" s="766">
        <f t="shared" si="52"/>
        <v>20068</v>
      </c>
      <c r="M125" s="753" t="str">
        <f t="shared" si="48"/>
        <v>Stolen/Damaged</v>
      </c>
      <c r="N125" s="765"/>
      <c r="O125" s="722">
        <f>'02-Gd Beams'!E152</f>
        <v>0</v>
      </c>
      <c r="P125" s="709">
        <f t="shared" si="53"/>
        <v>40068</v>
      </c>
      <c r="Q125" s="753" t="str">
        <f t="shared" si="54"/>
        <v>Stolen/Damaged</v>
      </c>
      <c r="R125" s="765"/>
      <c r="S125" s="710">
        <f>'04-PT Slab on Grade Wrap'!E171</f>
        <v>0</v>
      </c>
      <c r="T125" s="766">
        <f t="shared" si="55"/>
        <v>40068</v>
      </c>
      <c r="U125" s="753" t="str">
        <f t="shared" si="84"/>
        <v>Stolen/Damaged</v>
      </c>
      <c r="V125" s="765"/>
      <c r="W125" s="758">
        <f>'04-PT Slab on Grade'!E171</f>
        <v>0</v>
      </c>
      <c r="X125" s="766">
        <f t="shared" si="56"/>
        <v>50068</v>
      </c>
      <c r="Y125" s="753" t="str">
        <f t="shared" si="57"/>
        <v>Stolen/Damaged</v>
      </c>
      <c r="Z125" s="765"/>
      <c r="AA125" s="758">
        <f>'05-Slabs'!E171</f>
        <v>0</v>
      </c>
      <c r="AB125" s="709">
        <f t="shared" si="58"/>
        <v>30068</v>
      </c>
      <c r="AC125" s="753" t="str">
        <f>AS125</f>
        <v>Stolen/Damaged</v>
      </c>
      <c r="AD125" s="765"/>
      <c r="AE125" s="761">
        <f>'03-Walls &amp; Footings'!D155</f>
        <v>0</v>
      </c>
      <c r="AF125" s="766">
        <f t="shared" si="59"/>
        <v>60068</v>
      </c>
      <c r="AG125" s="753" t="str">
        <f>AW125</f>
        <v>Stolen/Damaged</v>
      </c>
      <c r="AH125" s="765"/>
      <c r="AI125" s="758">
        <f>'06-Walls &amp; Footings'!D155</f>
        <v>0</v>
      </c>
      <c r="AJ125" s="766">
        <f t="shared" si="60"/>
        <v>60068</v>
      </c>
      <c r="AK125" s="753" t="str">
        <f>AW125</f>
        <v>Stolen/Damaged</v>
      </c>
      <c r="AL125" s="765"/>
      <c r="AM125" s="758">
        <f>'06-Footings'!D155</f>
        <v>0</v>
      </c>
      <c r="AN125" s="766">
        <f t="shared" si="61"/>
        <v>60068</v>
      </c>
      <c r="AO125" s="753" t="str">
        <f>AW125</f>
        <v>Stolen/Damaged</v>
      </c>
      <c r="AP125" s="765"/>
      <c r="AQ125" s="718">
        <f>'06-Garage Walls &amp; Footings'!D155</f>
        <v>0</v>
      </c>
      <c r="AR125" s="766">
        <f t="shared" si="62"/>
        <v>60000</v>
      </c>
      <c r="AS125" s="753" t="str">
        <f>BA125</f>
        <v>Stolen/Damaged</v>
      </c>
      <c r="AT125" s="765"/>
      <c r="AU125" s="718">
        <f>'06-Garage Footings'!D155</f>
        <v>0</v>
      </c>
      <c r="AV125" s="766">
        <f t="shared" si="63"/>
        <v>70068</v>
      </c>
      <c r="AW125" s="753" t="str">
        <f t="shared" si="76"/>
        <v>Stolen/Damaged</v>
      </c>
      <c r="AX125" s="765"/>
      <c r="AY125" s="722">
        <f>'07-COLUMNS'!D170</f>
        <v>0</v>
      </c>
      <c r="AZ125" s="766">
        <f t="shared" si="64"/>
        <v>80068</v>
      </c>
      <c r="BA125" s="753" t="str">
        <f t="shared" si="77"/>
        <v>Stolen/Damaged</v>
      </c>
      <c r="BB125" s="765"/>
      <c r="BC125" s="708">
        <f>'08-CIP EL. DECK'!D203</f>
        <v>0</v>
      </c>
      <c r="BD125" s="766">
        <f t="shared" si="65"/>
        <v>90068</v>
      </c>
      <c r="BE125" s="753" t="str">
        <f t="shared" si="78"/>
        <v>Stolen/Damaged</v>
      </c>
      <c r="BF125" s="765"/>
      <c r="BG125" s="722">
        <f>'09-SLAB ON DECK'!E169</f>
        <v>0</v>
      </c>
      <c r="BH125" s="766">
        <f t="shared" si="66"/>
        <v>100068</v>
      </c>
      <c r="BI125" s="753" t="str">
        <f t="shared" si="79"/>
        <v>Stolen/Damaged</v>
      </c>
      <c r="BJ125" s="765"/>
      <c r="BK125" s="722">
        <f>'10-PAVING'!D150</f>
        <v>0</v>
      </c>
      <c r="BL125" s="766">
        <f t="shared" si="67"/>
        <v>110068</v>
      </c>
      <c r="BM125" s="753" t="str">
        <f t="shared" si="80"/>
        <v>Stolen/Damaged</v>
      </c>
      <c r="BN125" s="765"/>
      <c r="BO125" s="722">
        <f>'11-Sidewalks'!D147</f>
        <v>0</v>
      </c>
      <c r="BP125" s="766">
        <f t="shared" si="68"/>
        <v>120068</v>
      </c>
      <c r="BQ125" s="753" t="str">
        <f t="shared" si="81"/>
        <v>Stolen/Damaged</v>
      </c>
      <c r="BR125" s="765"/>
      <c r="BS125" s="722">
        <f>'12-PANELS'!F165</f>
        <v>0</v>
      </c>
      <c r="BT125" s="766">
        <f t="shared" si="69"/>
        <v>130068</v>
      </c>
      <c r="BU125" s="753" t="str">
        <f t="shared" si="82"/>
        <v>Stolen/Damaged</v>
      </c>
      <c r="BV125" s="765"/>
      <c r="BW125" s="738">
        <f>'13-Miscellaneous'!E98</f>
        <v>0</v>
      </c>
      <c r="BX125" s="709">
        <f t="shared" si="70"/>
        <v>140068</v>
      </c>
      <c r="BY125" s="753" t="str">
        <f t="shared" si="83"/>
        <v>Stolen/Damaged</v>
      </c>
      <c r="BZ125" s="765"/>
      <c r="CA125" s="722"/>
    </row>
    <row r="126" spans="1:79" ht="21" customHeight="1">
      <c r="A126" s="2915" t="s">
        <v>1179</v>
      </c>
      <c r="B126" s="2915"/>
      <c r="C126" s="786" t="s">
        <v>1180</v>
      </c>
      <c r="D126" s="295" t="s">
        <v>1181</v>
      </c>
      <c r="E126" s="707"/>
      <c r="F126" s="296"/>
      <c r="G126" s="708">
        <f t="shared" si="49"/>
        <v>0</v>
      </c>
      <c r="H126" s="713">
        <f t="shared" si="50"/>
        <v>10070</v>
      </c>
      <c r="I126" s="707" t="str">
        <f t="shared" si="51"/>
        <v>Out of Town Expense</v>
      </c>
      <c r="J126" s="296"/>
      <c r="K126" s="708">
        <f>'01-Piers'!E146</f>
        <v>0</v>
      </c>
      <c r="L126" s="709">
        <f t="shared" si="52"/>
        <v>20070</v>
      </c>
      <c r="M126" s="707" t="str">
        <f t="shared" si="48"/>
        <v>Out of Town Expense</v>
      </c>
      <c r="N126" s="296"/>
      <c r="O126" s="708">
        <f>'02-Gd Beams'!E153</f>
        <v>0</v>
      </c>
      <c r="P126" s="709">
        <f t="shared" si="53"/>
        <v>40070</v>
      </c>
      <c r="Q126" s="707" t="str">
        <f t="shared" si="54"/>
        <v>Out of Town Expense</v>
      </c>
      <c r="R126" s="296"/>
      <c r="S126" s="710">
        <f>'04-PT Slab on Grade Wrap'!E172</f>
        <v>0</v>
      </c>
      <c r="T126" s="709">
        <f t="shared" si="55"/>
        <v>40070</v>
      </c>
      <c r="U126" s="707" t="str">
        <f t="shared" si="84"/>
        <v>Out of Town Expense</v>
      </c>
      <c r="V126" s="296"/>
      <c r="W126" s="710">
        <f>'04-PT Slab on Grade'!E172</f>
        <v>0</v>
      </c>
      <c r="X126" s="709">
        <f t="shared" si="56"/>
        <v>50070</v>
      </c>
      <c r="Y126" s="707" t="str">
        <f t="shared" si="57"/>
        <v>Out of Town Expense</v>
      </c>
      <c r="Z126" s="296"/>
      <c r="AA126" s="710">
        <f>'05-Slabs'!E172</f>
        <v>0</v>
      </c>
      <c r="AB126" s="709">
        <f t="shared" si="58"/>
        <v>30070</v>
      </c>
      <c r="AC126" s="707" t="str">
        <f>BE126</f>
        <v>Out of Town Expense</v>
      </c>
      <c r="AD126" s="296"/>
      <c r="AE126" s="761">
        <f>'03-Walls &amp; Footings'!D156</f>
        <v>0</v>
      </c>
      <c r="AF126" s="709">
        <f t="shared" si="59"/>
        <v>60070</v>
      </c>
      <c r="AG126" s="707" t="str">
        <f>BI126</f>
        <v>Out of Town Expense</v>
      </c>
      <c r="AH126" s="296"/>
      <c r="AI126" s="710">
        <f>'06-Walls &amp; Footings'!D156</f>
        <v>0</v>
      </c>
      <c r="AJ126" s="709">
        <f t="shared" si="60"/>
        <v>60070</v>
      </c>
      <c r="AK126" s="707" t="str">
        <f>BI126</f>
        <v>Out of Town Expense</v>
      </c>
      <c r="AL126" s="296"/>
      <c r="AM126" s="710">
        <f>'06-Footings'!D156</f>
        <v>0</v>
      </c>
      <c r="AN126" s="709">
        <f t="shared" si="61"/>
        <v>60070</v>
      </c>
      <c r="AO126" s="707" t="str">
        <f>BI126</f>
        <v>Out of Town Expense</v>
      </c>
      <c r="AP126" s="296"/>
      <c r="AQ126" s="761">
        <f>'06-Garage Walls &amp; Footings'!D156</f>
        <v>0</v>
      </c>
      <c r="AR126" s="709">
        <f t="shared" si="62"/>
        <v>60000</v>
      </c>
      <c r="AS126" s="707" t="str">
        <f>BM126</f>
        <v>Out of Town Expense</v>
      </c>
      <c r="AT126" s="296"/>
      <c r="AU126" s="761">
        <f>'06-Garage Footings'!D156</f>
        <v>0</v>
      </c>
      <c r="AV126" s="709">
        <f t="shared" si="63"/>
        <v>70070</v>
      </c>
      <c r="AW126" s="707" t="str">
        <f t="shared" si="76"/>
        <v>Out of Town Expense</v>
      </c>
      <c r="AX126" s="296"/>
      <c r="AY126" s="708">
        <f>'07-COLUMNS'!D171</f>
        <v>0</v>
      </c>
      <c r="AZ126" s="709">
        <f t="shared" si="64"/>
        <v>80070</v>
      </c>
      <c r="BA126" s="707" t="str">
        <f t="shared" si="77"/>
        <v>Out of Town Expense</v>
      </c>
      <c r="BB126" s="296"/>
      <c r="BC126" s="708">
        <f>'08-CIP EL. DECK'!D204</f>
        <v>0</v>
      </c>
      <c r="BD126" s="709">
        <f t="shared" si="65"/>
        <v>90070</v>
      </c>
      <c r="BE126" s="707" t="str">
        <f t="shared" si="78"/>
        <v>Out of Town Expense</v>
      </c>
      <c r="BF126" s="296"/>
      <c r="BG126" s="708">
        <f>'09-SLAB ON DECK'!E170</f>
        <v>0</v>
      </c>
      <c r="BH126" s="709">
        <f t="shared" si="66"/>
        <v>100070</v>
      </c>
      <c r="BI126" s="707" t="str">
        <f t="shared" si="79"/>
        <v>Out of Town Expense</v>
      </c>
      <c r="BJ126" s="296"/>
      <c r="BK126" s="708">
        <f>'10-PAVING'!D151</f>
        <v>0</v>
      </c>
      <c r="BL126" s="709">
        <f t="shared" si="67"/>
        <v>110070</v>
      </c>
      <c r="BM126" s="707" t="str">
        <f t="shared" si="80"/>
        <v>Out of Town Expense</v>
      </c>
      <c r="BN126" s="296"/>
      <c r="BO126" s="708">
        <f>'11-Sidewalks'!D148</f>
        <v>0</v>
      </c>
      <c r="BP126" s="709">
        <f t="shared" si="68"/>
        <v>120070</v>
      </c>
      <c r="BQ126" s="707" t="str">
        <f t="shared" si="81"/>
        <v>Out of Town Expense</v>
      </c>
      <c r="BR126" s="296"/>
      <c r="BS126" s="708">
        <f>'12-PANELS'!F166</f>
        <v>0</v>
      </c>
      <c r="BT126" s="709">
        <f t="shared" si="69"/>
        <v>130070</v>
      </c>
      <c r="BU126" s="707" t="str">
        <f t="shared" si="82"/>
        <v>Out of Town Expense</v>
      </c>
      <c r="BV126" s="296"/>
      <c r="BW126" s="708">
        <f>'13-Miscellaneous'!E99</f>
        <v>0</v>
      </c>
      <c r="BX126" s="709">
        <f t="shared" si="70"/>
        <v>140070</v>
      </c>
      <c r="BY126" s="707" t="str">
        <f t="shared" si="83"/>
        <v>Out of Town Expense</v>
      </c>
      <c r="BZ126" s="296"/>
      <c r="CA126" s="708"/>
    </row>
    <row r="127" spans="1:79" ht="21" customHeight="1">
      <c r="A127" s="2912" t="s">
        <v>1182</v>
      </c>
      <c r="B127" s="402">
        <v>48</v>
      </c>
      <c r="C127" s="775" t="s">
        <v>1183</v>
      </c>
      <c r="D127" s="295" t="s">
        <v>905</v>
      </c>
      <c r="E127" s="518"/>
      <c r="F127" s="715"/>
      <c r="G127" s="708">
        <f t="shared" si="49"/>
        <v>0</v>
      </c>
      <c r="H127" s="711">
        <f t="shared" si="50"/>
        <v>10071</v>
      </c>
      <c r="I127" s="518" t="str">
        <f t="shared" si="51"/>
        <v>Miscellaneous</v>
      </c>
      <c r="J127" s="715"/>
      <c r="K127" s="708">
        <f>'01-Piers'!E147</f>
        <v>0</v>
      </c>
      <c r="L127" s="709">
        <f t="shared" si="52"/>
        <v>20071</v>
      </c>
      <c r="M127" s="518" t="str">
        <f t="shared" si="48"/>
        <v>Miscellaneous</v>
      </c>
      <c r="N127" s="715"/>
      <c r="O127" s="708">
        <f>'02-Gd Beams'!E154</f>
        <v>0</v>
      </c>
      <c r="P127" s="709">
        <f t="shared" si="53"/>
        <v>40071</v>
      </c>
      <c r="Q127" s="707" t="str">
        <f t="shared" si="54"/>
        <v>Miscellaneous</v>
      </c>
      <c r="R127" s="296"/>
      <c r="S127" s="710">
        <f>'04-PT Slab on Grade Wrap'!E173</f>
        <v>0</v>
      </c>
      <c r="T127" s="709">
        <f t="shared" si="55"/>
        <v>40071</v>
      </c>
      <c r="U127" s="518" t="str">
        <f t="shared" si="84"/>
        <v>Miscellaneous</v>
      </c>
      <c r="V127" s="296"/>
      <c r="W127" s="710">
        <f>'04-PT Slab on Grade'!E173</f>
        <v>0</v>
      </c>
      <c r="X127" s="709">
        <f t="shared" si="56"/>
        <v>50071</v>
      </c>
      <c r="Y127" s="707" t="str">
        <f t="shared" si="57"/>
        <v>Miscellaneous</v>
      </c>
      <c r="Z127" s="296"/>
      <c r="AA127" s="710">
        <f>'05-Slabs'!E173</f>
        <v>0</v>
      </c>
      <c r="AB127" s="709">
        <f t="shared" si="58"/>
        <v>30071</v>
      </c>
      <c r="AC127" s="707" t="str">
        <f>BE127</f>
        <v>Miscellaneous</v>
      </c>
      <c r="AD127" s="296"/>
      <c r="AE127" s="761">
        <f>'03-Walls &amp; Footings'!D157</f>
        <v>0</v>
      </c>
      <c r="AF127" s="709">
        <f t="shared" si="59"/>
        <v>60071</v>
      </c>
      <c r="AG127" s="707" t="str">
        <f>BI127</f>
        <v>Miscellaneous</v>
      </c>
      <c r="AH127" s="296"/>
      <c r="AI127" s="710">
        <f>'06-Walls &amp; Footings'!D157</f>
        <v>0</v>
      </c>
      <c r="AJ127" s="709">
        <f t="shared" si="60"/>
        <v>60071</v>
      </c>
      <c r="AK127" s="707" t="str">
        <f>BI127</f>
        <v>Miscellaneous</v>
      </c>
      <c r="AL127" s="296"/>
      <c r="AM127" s="710">
        <f>'06-Footings'!D157</f>
        <v>0</v>
      </c>
      <c r="AN127" s="709">
        <f t="shared" si="61"/>
        <v>60071</v>
      </c>
      <c r="AO127" s="707" t="str">
        <f>BI127</f>
        <v>Miscellaneous</v>
      </c>
      <c r="AP127" s="296"/>
      <c r="AQ127" s="718">
        <f>'06-Garage Walls &amp; Footings'!D157</f>
        <v>0</v>
      </c>
      <c r="AR127" s="709">
        <f t="shared" si="62"/>
        <v>60000</v>
      </c>
      <c r="AS127" s="707" t="str">
        <f>BM127</f>
        <v>Miscellaneous</v>
      </c>
      <c r="AT127" s="296"/>
      <c r="AU127" s="718">
        <f>'06-Garage Footings'!D157</f>
        <v>0</v>
      </c>
      <c r="AV127" s="712">
        <f t="shared" si="63"/>
        <v>70071</v>
      </c>
      <c r="AW127" s="518" t="str">
        <f t="shared" si="76"/>
        <v>Miscellaneous</v>
      </c>
      <c r="AX127" s="296"/>
      <c r="AY127" s="708">
        <f>'07-COLUMNS'!D172</f>
        <v>0</v>
      </c>
      <c r="AZ127" s="709">
        <f t="shared" si="64"/>
        <v>80071</v>
      </c>
      <c r="BA127" s="707" t="str">
        <f t="shared" si="77"/>
        <v>Miscellaneous</v>
      </c>
      <c r="BB127" s="296"/>
      <c r="BC127" s="708">
        <f>'08-CIP EL. DECK'!D205</f>
        <v>0</v>
      </c>
      <c r="BD127" s="709">
        <f t="shared" si="65"/>
        <v>90071</v>
      </c>
      <c r="BE127" s="707" t="str">
        <f t="shared" si="78"/>
        <v>Miscellaneous</v>
      </c>
      <c r="BF127" s="296"/>
      <c r="BG127" s="708">
        <f>'09-SLAB ON DECK'!E171</f>
        <v>0</v>
      </c>
      <c r="BH127" s="709">
        <f t="shared" si="66"/>
        <v>100071</v>
      </c>
      <c r="BI127" s="518" t="str">
        <f t="shared" si="79"/>
        <v>Miscellaneous</v>
      </c>
      <c r="BJ127" s="296"/>
      <c r="BK127" s="708">
        <f>'10-PAVING'!D152</f>
        <v>0</v>
      </c>
      <c r="BL127" s="709">
        <f t="shared" si="67"/>
        <v>110071</v>
      </c>
      <c r="BM127" s="518" t="str">
        <f t="shared" si="80"/>
        <v>Miscellaneous</v>
      </c>
      <c r="BN127" s="296"/>
      <c r="BO127" s="708">
        <f>'11-Sidewalks'!D149</f>
        <v>0</v>
      </c>
      <c r="BP127" s="709">
        <f t="shared" si="68"/>
        <v>120071</v>
      </c>
      <c r="BQ127" s="518" t="str">
        <f t="shared" si="81"/>
        <v>Miscellaneous</v>
      </c>
      <c r="BR127" s="296"/>
      <c r="BS127" s="708">
        <f>'12-PANELS'!F167</f>
        <v>0</v>
      </c>
      <c r="BT127" s="712">
        <f t="shared" si="69"/>
        <v>130071</v>
      </c>
      <c r="BU127" s="707" t="str">
        <f t="shared" si="82"/>
        <v>Miscellaneous</v>
      </c>
      <c r="BV127" s="296"/>
      <c r="BW127" s="708">
        <f>'13-Miscellaneous'!E100</f>
        <v>0</v>
      </c>
      <c r="BX127" s="709">
        <f t="shared" si="70"/>
        <v>140071</v>
      </c>
      <c r="BY127" s="707" t="str">
        <f t="shared" si="83"/>
        <v>Miscellaneous</v>
      </c>
      <c r="BZ127" s="296"/>
      <c r="CA127" s="708"/>
    </row>
    <row r="128" spans="1:79" ht="21" customHeight="1">
      <c r="A128" s="2912"/>
      <c r="B128" s="402"/>
      <c r="C128" s="775" t="s">
        <v>1184</v>
      </c>
      <c r="D128" s="295" t="s">
        <v>1185</v>
      </c>
      <c r="E128" s="518"/>
      <c r="F128" s="715"/>
      <c r="G128" s="708">
        <f t="shared" si="49"/>
        <v>0</v>
      </c>
      <c r="H128" s="711">
        <f t="shared" si="50"/>
        <v>10072</v>
      </c>
      <c r="I128" s="518" t="str">
        <f t="shared" si="51"/>
        <v>Repairs</v>
      </c>
      <c r="J128" s="715"/>
      <c r="K128" s="708">
        <f>'01-Piers'!E148</f>
        <v>0</v>
      </c>
      <c r="L128" s="709">
        <f t="shared" si="52"/>
        <v>20072</v>
      </c>
      <c r="M128" s="518" t="str">
        <f t="shared" si="48"/>
        <v>Repairs</v>
      </c>
      <c r="N128" s="715"/>
      <c r="O128" s="708">
        <f>'02-Gd Beams'!E155</f>
        <v>0</v>
      </c>
      <c r="P128" s="709">
        <f t="shared" si="53"/>
        <v>40072</v>
      </c>
      <c r="Q128" s="707" t="str">
        <f t="shared" si="54"/>
        <v>Repairs</v>
      </c>
      <c r="R128" s="296"/>
      <c r="S128" s="710">
        <f>'04-PT Slab on Grade Wrap'!E174</f>
        <v>0</v>
      </c>
      <c r="T128" s="709">
        <f t="shared" si="55"/>
        <v>40072</v>
      </c>
      <c r="U128" s="518" t="str">
        <f t="shared" si="84"/>
        <v>Repairs</v>
      </c>
      <c r="V128" s="296"/>
      <c r="W128" s="710">
        <f>'04-PT Slab on Grade'!E174</f>
        <v>0</v>
      </c>
      <c r="X128" s="709">
        <f t="shared" si="56"/>
        <v>50072</v>
      </c>
      <c r="Y128" s="707" t="str">
        <f t="shared" si="57"/>
        <v>Repairs</v>
      </c>
      <c r="Z128" s="296"/>
      <c r="AA128" s="710">
        <f>'05-Slabs'!E174</f>
        <v>0</v>
      </c>
      <c r="AB128" s="709">
        <f t="shared" si="58"/>
        <v>30072</v>
      </c>
      <c r="AC128" s="707" t="str">
        <f>U128</f>
        <v>Repairs</v>
      </c>
      <c r="AD128" s="296"/>
      <c r="AE128" s="761">
        <f>'03-Walls &amp; Footings'!D158</f>
        <v>0</v>
      </c>
      <c r="AF128" s="709">
        <f t="shared" si="59"/>
        <v>60072</v>
      </c>
      <c r="AG128" s="707" t="str">
        <f>Y128</f>
        <v>Repairs</v>
      </c>
      <c r="AH128" s="296"/>
      <c r="AI128" s="710">
        <f>'06-Walls &amp; Footings'!D158</f>
        <v>0</v>
      </c>
      <c r="AJ128" s="709">
        <f t="shared" si="60"/>
        <v>60072</v>
      </c>
      <c r="AK128" s="707" t="str">
        <f>Y128</f>
        <v>Repairs</v>
      </c>
      <c r="AL128" s="296"/>
      <c r="AM128" s="710">
        <f>'06-Walls &amp; Footings'!D158</f>
        <v>0</v>
      </c>
      <c r="AN128" s="709">
        <f t="shared" si="61"/>
        <v>60072</v>
      </c>
      <c r="AO128" s="707" t="str">
        <f>Y128</f>
        <v>Repairs</v>
      </c>
      <c r="AP128" s="296"/>
      <c r="AQ128" s="718">
        <f>'06-Garage Walls &amp; Footings'!D158</f>
        <v>0</v>
      </c>
      <c r="AR128" s="709">
        <f t="shared" si="62"/>
        <v>60000</v>
      </c>
      <c r="AS128" s="707" t="str">
        <f>AG128</f>
        <v>Repairs</v>
      </c>
      <c r="AT128" s="296"/>
      <c r="AU128" s="718">
        <f>'06-Garage Footings'!D158</f>
        <v>0</v>
      </c>
      <c r="AV128" s="712">
        <f t="shared" si="63"/>
        <v>70072</v>
      </c>
      <c r="AW128" s="518" t="str">
        <f t="shared" si="76"/>
        <v>Repairs</v>
      </c>
      <c r="AX128" s="296"/>
      <c r="AY128" s="708">
        <f>'07-COLUMNS'!D173</f>
        <v>0</v>
      </c>
      <c r="AZ128" s="709">
        <f t="shared" si="64"/>
        <v>80072</v>
      </c>
      <c r="BA128" s="707" t="str">
        <f>AW128</f>
        <v>Repairs</v>
      </c>
      <c r="BB128" s="296"/>
      <c r="BC128" s="708">
        <f>'08-CIP EL. DECK'!D206</f>
        <v>0</v>
      </c>
      <c r="BD128" s="709">
        <f t="shared" si="65"/>
        <v>90072</v>
      </c>
      <c r="BE128" s="707" t="str">
        <f t="shared" si="78"/>
        <v>Repairs</v>
      </c>
      <c r="BF128" s="296"/>
      <c r="BG128" s="708">
        <f>'09-SLAB ON DECK'!E172</f>
        <v>0</v>
      </c>
      <c r="BH128" s="709">
        <f t="shared" si="66"/>
        <v>100072</v>
      </c>
      <c r="BI128" s="518" t="str">
        <f t="shared" si="79"/>
        <v>Repairs</v>
      </c>
      <c r="BJ128" s="296"/>
      <c r="BK128" s="708">
        <f>'10-PAVING'!D153</f>
        <v>0</v>
      </c>
      <c r="BL128" s="709">
        <f t="shared" si="67"/>
        <v>110072</v>
      </c>
      <c r="BM128" s="518" t="str">
        <f t="shared" si="80"/>
        <v>Repairs</v>
      </c>
      <c r="BN128" s="296"/>
      <c r="BO128" s="708">
        <f>'11-Sidewalks'!D150</f>
        <v>0</v>
      </c>
      <c r="BP128" s="709">
        <f t="shared" si="68"/>
        <v>120072</v>
      </c>
      <c r="BQ128" s="518" t="str">
        <f t="shared" si="81"/>
        <v>Repairs</v>
      </c>
      <c r="BR128" s="296"/>
      <c r="BS128" s="708">
        <f>'12-PANELS'!F168</f>
        <v>0</v>
      </c>
      <c r="BT128" s="712">
        <f t="shared" si="69"/>
        <v>130072</v>
      </c>
      <c r="BU128" s="707" t="str">
        <f t="shared" si="82"/>
        <v>Repairs</v>
      </c>
      <c r="BV128" s="296"/>
      <c r="BW128" s="708">
        <v>0</v>
      </c>
      <c r="BX128" s="709">
        <f t="shared" si="70"/>
        <v>140072</v>
      </c>
      <c r="BY128" s="707" t="str">
        <f t="shared" si="83"/>
        <v>Repairs</v>
      </c>
      <c r="BZ128" s="296"/>
      <c r="CA128" s="708"/>
    </row>
    <row r="129" spans="1:79" ht="21" customHeight="1">
      <c r="A129" s="2912"/>
      <c r="B129" s="402"/>
      <c r="C129" s="775" t="s">
        <v>1186</v>
      </c>
      <c r="D129" s="295" t="s">
        <v>1187</v>
      </c>
      <c r="E129" s="518"/>
      <c r="F129" s="715"/>
      <c r="G129" s="708">
        <f t="shared" si="49"/>
        <v>1080</v>
      </c>
      <c r="H129" s="711">
        <f t="shared" si="50"/>
        <v>10073</v>
      </c>
      <c r="I129" s="518" t="str">
        <f t="shared" si="51"/>
        <v>Engineering</v>
      </c>
      <c r="J129" s="715"/>
      <c r="K129" s="708">
        <f>'01-Piers'!E149</f>
        <v>0</v>
      </c>
      <c r="L129" s="709">
        <f t="shared" si="52"/>
        <v>20073</v>
      </c>
      <c r="M129" s="518" t="str">
        <f t="shared" si="48"/>
        <v>Engineering</v>
      </c>
      <c r="N129" s="715"/>
      <c r="O129" s="708">
        <f>'02-Gd Beams'!E156</f>
        <v>0</v>
      </c>
      <c r="P129" s="709">
        <f t="shared" si="53"/>
        <v>40073</v>
      </c>
      <c r="Q129" s="707" t="str">
        <f t="shared" si="54"/>
        <v>Engineering</v>
      </c>
      <c r="R129" s="296"/>
      <c r="S129" s="710">
        <f>'04-PT Slab on Grade Wrap'!E175</f>
        <v>0</v>
      </c>
      <c r="T129" s="709">
        <f t="shared" si="55"/>
        <v>40073</v>
      </c>
      <c r="U129" s="518" t="str">
        <f t="shared" si="84"/>
        <v>Engineering</v>
      </c>
      <c r="V129" s="296"/>
      <c r="W129" s="710">
        <f>'04-PT Slab on Grade'!E175</f>
        <v>0</v>
      </c>
      <c r="X129" s="709">
        <f t="shared" si="56"/>
        <v>50073</v>
      </c>
      <c r="Y129" s="707" t="str">
        <f t="shared" si="57"/>
        <v>Engineering</v>
      </c>
      <c r="Z129" s="296"/>
      <c r="AA129" s="710">
        <f>'05-Slabs'!E175</f>
        <v>0</v>
      </c>
      <c r="AB129" s="709">
        <f t="shared" si="58"/>
        <v>30073</v>
      </c>
      <c r="AC129" s="707"/>
      <c r="AD129" s="296"/>
      <c r="AE129" s="761">
        <f>'03-Walls &amp; Footings'!D159</f>
        <v>0</v>
      </c>
      <c r="AF129" s="709">
        <f t="shared" si="59"/>
        <v>60073</v>
      </c>
      <c r="AG129" s="707"/>
      <c r="AH129" s="296"/>
      <c r="AI129" s="710">
        <f>'06-Walls &amp; Footings'!D159</f>
        <v>0</v>
      </c>
      <c r="AJ129" s="709">
        <f t="shared" si="60"/>
        <v>60073</v>
      </c>
      <c r="AK129" s="707"/>
      <c r="AL129" s="296"/>
      <c r="AM129" s="710">
        <f>'06-Footings'!D159</f>
        <v>0</v>
      </c>
      <c r="AN129" s="709">
        <f t="shared" si="61"/>
        <v>60073</v>
      </c>
      <c r="AO129" s="707"/>
      <c r="AP129" s="296"/>
      <c r="AQ129" s="718">
        <f>'06-Garage Walls &amp; Footings'!D159</f>
        <v>0</v>
      </c>
      <c r="AR129" s="709">
        <f t="shared" si="62"/>
        <v>61080</v>
      </c>
      <c r="AS129" s="707"/>
      <c r="AT129" s="296"/>
      <c r="AU129" s="718">
        <f>'06-Garage Footings'!D159</f>
        <v>0</v>
      </c>
      <c r="AV129" s="712">
        <f t="shared" si="63"/>
        <v>70073</v>
      </c>
      <c r="AW129" s="518" t="str">
        <f t="shared" si="76"/>
        <v>Engineering</v>
      </c>
      <c r="AX129" s="296"/>
      <c r="AY129" s="708">
        <f>'07-COLUMNS'!D174</f>
        <v>0</v>
      </c>
      <c r="AZ129" s="709">
        <f t="shared" si="64"/>
        <v>80073</v>
      </c>
      <c r="BA129" s="707" t="str">
        <f>AW129</f>
        <v>Engineering</v>
      </c>
      <c r="BB129" s="296"/>
      <c r="BC129" s="708">
        <f>'08-CIP EL. DECK'!D207</f>
        <v>0</v>
      </c>
      <c r="BD129" s="709">
        <f t="shared" si="65"/>
        <v>90073</v>
      </c>
      <c r="BE129" s="707" t="str">
        <f t="shared" si="78"/>
        <v>Engineering</v>
      </c>
      <c r="BF129" s="296"/>
      <c r="BG129" s="708">
        <f>'09-SLAB ON DECK'!E173</f>
        <v>0</v>
      </c>
      <c r="BH129" s="709">
        <f t="shared" si="66"/>
        <v>100073</v>
      </c>
      <c r="BI129" s="518" t="str">
        <f t="shared" si="79"/>
        <v>Engineering</v>
      </c>
      <c r="BJ129" s="296"/>
      <c r="BK129" s="708">
        <f>'10-PAVING'!D154</f>
        <v>0</v>
      </c>
      <c r="BL129" s="709">
        <f t="shared" si="67"/>
        <v>110073</v>
      </c>
      <c r="BM129" s="518" t="str">
        <f t="shared" si="80"/>
        <v>Engineering</v>
      </c>
      <c r="BN129" s="296"/>
      <c r="BO129" s="708">
        <f>'11-Sidewalks'!D151</f>
        <v>0</v>
      </c>
      <c r="BP129" s="709">
        <f t="shared" si="68"/>
        <v>120073</v>
      </c>
      <c r="BQ129" s="518" t="str">
        <f t="shared" si="81"/>
        <v>Engineering</v>
      </c>
      <c r="BR129" s="296"/>
      <c r="BS129" s="708">
        <f>'12-PANELS'!F169</f>
        <v>1080</v>
      </c>
      <c r="BT129" s="712">
        <f t="shared" si="69"/>
        <v>130073</v>
      </c>
      <c r="BU129" s="707" t="str">
        <f t="shared" si="82"/>
        <v>Engineering</v>
      </c>
      <c r="BV129" s="296"/>
      <c r="BW129" s="708"/>
      <c r="BX129" s="709">
        <f t="shared" si="70"/>
        <v>140073</v>
      </c>
      <c r="BY129" s="707" t="str">
        <f t="shared" si="83"/>
        <v>Engineering</v>
      </c>
      <c r="BZ129" s="296"/>
      <c r="CA129" s="708"/>
    </row>
    <row r="130" spans="1:79" ht="21" customHeight="1">
      <c r="A130" s="2912"/>
      <c r="B130" s="402"/>
      <c r="C130" s="775" t="s">
        <v>1188</v>
      </c>
      <c r="D130" s="295" t="s">
        <v>1189</v>
      </c>
      <c r="E130" s="518"/>
      <c r="F130" s="715"/>
      <c r="G130" s="708">
        <f t="shared" si="49"/>
        <v>0</v>
      </c>
      <c r="H130" s="711">
        <f t="shared" si="50"/>
        <v>10090</v>
      </c>
      <c r="I130" s="518" t="str">
        <f t="shared" si="51"/>
        <v>Not Used</v>
      </c>
      <c r="J130" s="715"/>
      <c r="K130" s="708">
        <f>'01-Piers'!E150</f>
        <v>0</v>
      </c>
      <c r="L130" s="709">
        <f t="shared" si="52"/>
        <v>20090</v>
      </c>
      <c r="M130" s="518" t="str">
        <f t="shared" si="48"/>
        <v>Not Used</v>
      </c>
      <c r="N130" s="715"/>
      <c r="O130" s="708">
        <f>'02-Gd Beams'!E157</f>
        <v>0</v>
      </c>
      <c r="P130" s="709">
        <f t="shared" si="53"/>
        <v>40090</v>
      </c>
      <c r="Q130" s="707" t="str">
        <f t="shared" si="54"/>
        <v>Not Used</v>
      </c>
      <c r="R130" s="296"/>
      <c r="S130" s="710">
        <f>'04-PT Slab on Grade Wrap'!E176</f>
        <v>0</v>
      </c>
      <c r="T130" s="709">
        <f t="shared" si="55"/>
        <v>40090</v>
      </c>
      <c r="U130" s="518" t="str">
        <f t="shared" si="84"/>
        <v>Not Used</v>
      </c>
      <c r="V130" s="296"/>
      <c r="W130" s="710">
        <f>'04-PT Slab on Grade'!E176</f>
        <v>0</v>
      </c>
      <c r="X130" s="709">
        <f t="shared" si="56"/>
        <v>50090</v>
      </c>
      <c r="Y130" s="707" t="str">
        <f t="shared" si="57"/>
        <v>Not Used</v>
      </c>
      <c r="Z130" s="296"/>
      <c r="AA130" s="710">
        <f>'05-Slabs'!E176</f>
        <v>0</v>
      </c>
      <c r="AB130" s="709">
        <f t="shared" si="58"/>
        <v>30090</v>
      </c>
      <c r="AC130" s="707" t="str">
        <f>BE130</f>
        <v>Not Used</v>
      </c>
      <c r="AD130" s="296"/>
      <c r="AE130" s="761">
        <f>'03-Walls &amp; Footings'!D160</f>
        <v>0</v>
      </c>
      <c r="AF130" s="709">
        <f t="shared" si="59"/>
        <v>60090</v>
      </c>
      <c r="AG130" s="707" t="str">
        <f>BI130</f>
        <v>Not Used</v>
      </c>
      <c r="AH130" s="296"/>
      <c r="AI130" s="710">
        <f>'06-Walls &amp; Footings'!D160</f>
        <v>0</v>
      </c>
      <c r="AJ130" s="709">
        <f t="shared" si="60"/>
        <v>60090</v>
      </c>
      <c r="AK130" s="707" t="str">
        <f>BI130</f>
        <v>Not Used</v>
      </c>
      <c r="AL130" s="296"/>
      <c r="AM130" s="710">
        <f>'06-Footings'!D160</f>
        <v>0</v>
      </c>
      <c r="AN130" s="709">
        <f t="shared" si="61"/>
        <v>60090</v>
      </c>
      <c r="AO130" s="707" t="str">
        <f>BI130</f>
        <v>Not Used</v>
      </c>
      <c r="AP130" s="296"/>
      <c r="AQ130" s="718">
        <f>'06-Garage Walls &amp; Footings'!D160</f>
        <v>0</v>
      </c>
      <c r="AR130" s="709">
        <f t="shared" si="62"/>
        <v>60000</v>
      </c>
      <c r="AS130" s="707" t="str">
        <f>BM130</f>
        <v>Not Used</v>
      </c>
      <c r="AT130" s="296"/>
      <c r="AU130" s="718">
        <f>'06-Garage Footings'!D160</f>
        <v>0</v>
      </c>
      <c r="AV130" s="712">
        <f t="shared" si="63"/>
        <v>70090</v>
      </c>
      <c r="AW130" s="518" t="str">
        <f t="shared" si="76"/>
        <v>Not Used</v>
      </c>
      <c r="AX130" s="296"/>
      <c r="AY130" s="708">
        <f>'07-COLUMNS'!D175</f>
        <v>0</v>
      </c>
      <c r="AZ130" s="709">
        <f t="shared" si="64"/>
        <v>80090</v>
      </c>
      <c r="BA130" s="707" t="str">
        <f>D130</f>
        <v>Not Used</v>
      </c>
      <c r="BB130" s="296"/>
      <c r="BC130" s="708">
        <f>'08-CIP EL. DECK'!D208</f>
        <v>0</v>
      </c>
      <c r="BD130" s="709">
        <f t="shared" si="65"/>
        <v>90090</v>
      </c>
      <c r="BE130" s="707" t="str">
        <f t="shared" si="78"/>
        <v>Not Used</v>
      </c>
      <c r="BF130" s="296"/>
      <c r="BG130" s="708">
        <f>'09-SLAB ON DECK'!E174</f>
        <v>0</v>
      </c>
      <c r="BH130" s="709">
        <f t="shared" si="66"/>
        <v>100090</v>
      </c>
      <c r="BI130" s="518" t="str">
        <f t="shared" si="79"/>
        <v>Not Used</v>
      </c>
      <c r="BJ130" s="296"/>
      <c r="BK130" s="708">
        <f>'10-PAVING'!D155</f>
        <v>0</v>
      </c>
      <c r="BL130" s="709">
        <f t="shared" si="67"/>
        <v>110090</v>
      </c>
      <c r="BM130" s="518" t="str">
        <f t="shared" si="80"/>
        <v>Not Used</v>
      </c>
      <c r="BN130" s="296"/>
      <c r="BO130" s="708">
        <f>'11-Sidewalks'!D152</f>
        <v>0</v>
      </c>
      <c r="BP130" s="709">
        <f t="shared" si="68"/>
        <v>120090</v>
      </c>
      <c r="BQ130" s="518" t="str">
        <f t="shared" si="81"/>
        <v>Not Used</v>
      </c>
      <c r="BR130" s="296"/>
      <c r="BS130" s="708">
        <f>'12-PANELS'!F170</f>
        <v>0</v>
      </c>
      <c r="BT130" s="712">
        <f t="shared" si="69"/>
        <v>130090</v>
      </c>
      <c r="BU130" s="707" t="str">
        <f t="shared" si="82"/>
        <v>Not Used</v>
      </c>
      <c r="BV130" s="296"/>
      <c r="BW130" s="708">
        <f>'13-Miscellaneous'!E101</f>
        <v>0</v>
      </c>
      <c r="BX130" s="709">
        <f t="shared" si="70"/>
        <v>140090</v>
      </c>
      <c r="BY130" s="707" t="str">
        <f t="shared" si="83"/>
        <v>Not Used</v>
      </c>
      <c r="BZ130" s="296"/>
      <c r="CA130" s="708"/>
    </row>
    <row r="131" spans="1:79" ht="21" customHeight="1">
      <c r="A131" s="2912"/>
      <c r="B131" s="402"/>
      <c r="C131" s="775" t="s">
        <v>1190</v>
      </c>
      <c r="D131" s="295" t="s">
        <v>1191</v>
      </c>
      <c r="E131" s="518"/>
      <c r="F131" s="715"/>
      <c r="G131" s="708">
        <f t="shared" si="49"/>
        <v>0</v>
      </c>
      <c r="H131" s="711">
        <f t="shared" si="50"/>
        <v>10091</v>
      </c>
      <c r="I131" s="518" t="str">
        <f t="shared" si="51"/>
        <v>Margin Contingency</v>
      </c>
      <c r="J131" s="715"/>
      <c r="K131" s="708">
        <f>'01-Piers'!E151</f>
        <v>0</v>
      </c>
      <c r="L131" s="709">
        <f t="shared" si="52"/>
        <v>20091</v>
      </c>
      <c r="M131" s="518" t="str">
        <f t="shared" si="48"/>
        <v>Margin Contingency</v>
      </c>
      <c r="N131" s="715"/>
      <c r="O131" s="708">
        <f>'02-Gd Beams'!E158</f>
        <v>0</v>
      </c>
      <c r="P131" s="709">
        <f t="shared" si="53"/>
        <v>40091</v>
      </c>
      <c r="Q131" s="707" t="str">
        <f t="shared" si="54"/>
        <v>Margin Contingency</v>
      </c>
      <c r="R131" s="296"/>
      <c r="S131" s="710">
        <f>'04-PT Slab on Grade Wrap'!E177</f>
        <v>0</v>
      </c>
      <c r="T131" s="709">
        <f t="shared" si="55"/>
        <v>40091</v>
      </c>
      <c r="U131" s="518" t="str">
        <f t="shared" si="84"/>
        <v>Margin Contingency</v>
      </c>
      <c r="V131" s="296"/>
      <c r="W131" s="710">
        <f>'04-PT Slab on Grade'!E177</f>
        <v>0</v>
      </c>
      <c r="X131" s="709">
        <f t="shared" si="56"/>
        <v>50091</v>
      </c>
      <c r="Y131" s="707" t="str">
        <f t="shared" si="57"/>
        <v>Margin Contingency</v>
      </c>
      <c r="Z131" s="296"/>
      <c r="AA131" s="710">
        <f>'05-Slabs'!E177</f>
        <v>0</v>
      </c>
      <c r="AB131" s="709">
        <f t="shared" si="58"/>
        <v>30091</v>
      </c>
      <c r="AC131" s="707" t="str">
        <f>BE131</f>
        <v>Margin Contingency</v>
      </c>
      <c r="AD131" s="296"/>
      <c r="AE131" s="761">
        <f>'03-Walls &amp; Footings'!D161</f>
        <v>0</v>
      </c>
      <c r="AF131" s="709">
        <f t="shared" si="59"/>
        <v>60091</v>
      </c>
      <c r="AG131" s="707" t="str">
        <f>BI131</f>
        <v>Margin Contingency</v>
      </c>
      <c r="AH131" s="296"/>
      <c r="AI131" s="710">
        <f>'06-Walls &amp; Footings'!D161</f>
        <v>0</v>
      </c>
      <c r="AJ131" s="709">
        <f t="shared" si="60"/>
        <v>60091</v>
      </c>
      <c r="AK131" s="707" t="str">
        <f>BI131</f>
        <v>Margin Contingency</v>
      </c>
      <c r="AL131" s="296"/>
      <c r="AM131" s="710">
        <f>'06-Footings'!D161</f>
        <v>0</v>
      </c>
      <c r="AN131" s="709">
        <f t="shared" si="61"/>
        <v>60091</v>
      </c>
      <c r="AO131" s="707" t="str">
        <f>BI131</f>
        <v>Margin Contingency</v>
      </c>
      <c r="AP131" s="296"/>
      <c r="AQ131" s="718">
        <f>'06-Garage Walls &amp; Footings'!D161</f>
        <v>0</v>
      </c>
      <c r="AR131" s="709">
        <f t="shared" si="62"/>
        <v>60000</v>
      </c>
      <c r="AS131" s="707" t="str">
        <f>BM131</f>
        <v>Margin Contingency</v>
      </c>
      <c r="AT131" s="296"/>
      <c r="AU131" s="718">
        <f>'06-Garage Footings'!D161</f>
        <v>0</v>
      </c>
      <c r="AV131" s="712">
        <f t="shared" si="63"/>
        <v>70091</v>
      </c>
      <c r="AW131" s="518" t="str">
        <f t="shared" si="76"/>
        <v>Margin Contingency</v>
      </c>
      <c r="AX131" s="296"/>
      <c r="AY131" s="708">
        <f>'07-COLUMNS'!D176</f>
        <v>0</v>
      </c>
      <c r="AZ131" s="709">
        <f t="shared" si="64"/>
        <v>80091</v>
      </c>
      <c r="BA131" s="707" t="str">
        <f>D131</f>
        <v>Margin Contingency</v>
      </c>
      <c r="BB131" s="296"/>
      <c r="BC131" s="708">
        <f>'08-CIP EL. DECK'!D209</f>
        <v>0</v>
      </c>
      <c r="BD131" s="709">
        <f t="shared" si="65"/>
        <v>90091</v>
      </c>
      <c r="BE131" s="707" t="str">
        <f t="shared" si="78"/>
        <v>Margin Contingency</v>
      </c>
      <c r="BF131" s="296"/>
      <c r="BG131" s="708">
        <f>'09-SLAB ON DECK'!E175</f>
        <v>0</v>
      </c>
      <c r="BH131" s="709">
        <f t="shared" si="66"/>
        <v>100091</v>
      </c>
      <c r="BI131" s="518" t="str">
        <f t="shared" si="79"/>
        <v>Margin Contingency</v>
      </c>
      <c r="BJ131" s="296"/>
      <c r="BK131" s="708">
        <f>'10-PAVING'!D156</f>
        <v>0</v>
      </c>
      <c r="BL131" s="709">
        <f t="shared" si="67"/>
        <v>110091</v>
      </c>
      <c r="BM131" s="518" t="str">
        <f t="shared" si="80"/>
        <v>Margin Contingency</v>
      </c>
      <c r="BN131" s="296"/>
      <c r="BO131" s="708">
        <f>'11-Sidewalks'!D153</f>
        <v>0</v>
      </c>
      <c r="BP131" s="709">
        <f t="shared" si="68"/>
        <v>120091</v>
      </c>
      <c r="BQ131" s="518" t="str">
        <f t="shared" si="81"/>
        <v>Margin Contingency</v>
      </c>
      <c r="BR131" s="296"/>
      <c r="BS131" s="708">
        <f>'12-PANELS'!F171</f>
        <v>0</v>
      </c>
      <c r="BT131" s="712">
        <f t="shared" si="69"/>
        <v>130091</v>
      </c>
      <c r="BU131" s="707" t="str">
        <f t="shared" si="82"/>
        <v>Margin Contingency</v>
      </c>
      <c r="BV131" s="296"/>
      <c r="BW131" s="708">
        <f>'13-Miscellaneous'!E102</f>
        <v>0</v>
      </c>
      <c r="BX131" s="709">
        <f t="shared" si="70"/>
        <v>140091</v>
      </c>
      <c r="BY131" s="707" t="str">
        <f t="shared" si="83"/>
        <v>Margin Contingency</v>
      </c>
      <c r="BZ131" s="296"/>
      <c r="CA131" s="708">
        <f>'14-Contingency'!E95</f>
        <v>1000</v>
      </c>
    </row>
    <row r="132" spans="1:79" ht="21" customHeight="1">
      <c r="A132" s="2912"/>
      <c r="C132" s="787"/>
      <c r="D132" s="788"/>
      <c r="E132" s="501"/>
      <c r="F132" s="501"/>
      <c r="G132" s="501"/>
      <c r="H132" s="501"/>
      <c r="I132" s="501"/>
      <c r="J132" s="501"/>
      <c r="K132" s="501"/>
      <c r="L132" s="501"/>
      <c r="M132" s="501"/>
      <c r="N132" s="501"/>
      <c r="O132" s="501"/>
      <c r="P132" s="501"/>
      <c r="AB132" s="789"/>
      <c r="AF132" s="789"/>
      <c r="AJ132" s="789"/>
      <c r="AN132" s="789"/>
      <c r="AR132" s="789"/>
      <c r="AV132" s="789"/>
    </row>
    <row r="306" spans="1:3">
      <c r="A306" s="18" t="s">
        <v>1192</v>
      </c>
      <c r="C306" s="790">
        <v>43563</v>
      </c>
    </row>
  </sheetData>
  <mergeCells count="21">
    <mergeCell ref="A127:A132"/>
    <mergeCell ref="A98:A106"/>
    <mergeCell ref="A107:A116"/>
    <mergeCell ref="A117:A125"/>
    <mergeCell ref="D123:F123"/>
    <mergeCell ref="A126:B126"/>
    <mergeCell ref="F73:G73"/>
    <mergeCell ref="BB73:BC73"/>
    <mergeCell ref="BF73:BG73"/>
    <mergeCell ref="A74:A88"/>
    <mergeCell ref="A91:A97"/>
    <mergeCell ref="U59:V59"/>
    <mergeCell ref="Q60:R60"/>
    <mergeCell ref="Q61:R61"/>
    <mergeCell ref="Q63:R63"/>
    <mergeCell ref="F72:G72"/>
    <mergeCell ref="D55:E55"/>
    <mergeCell ref="B57:C57"/>
    <mergeCell ref="B58:C58"/>
    <mergeCell ref="B59:C59"/>
    <mergeCell ref="Q59:R59"/>
  </mergeCells>
  <pageMargins left="0.45" right="0.359722222222222" top="1.0645833333333301" bottom="0.75" header="2.0138888888888901E-2" footer="0.3"/>
  <pageSetup fitToHeight="0" orientation="portrait" horizontalDpi="300" verticalDpi="300"/>
  <headerFooter>
    <oddHeader>&amp;LCTH Concrete, LLC
225 Creekside Dr.
Fort Worth, Texas 76131</oddHeader>
    <oddFooter>&amp;LOffice: 817-228-0452&amp;C&amp;14CTH Concrete, LLC
&amp;10&amp;P of &amp;N&amp;REmail: cdykgraaf@cthconcrete.com</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B9CDE5"/>
    <pageSetUpPr fitToPage="1"/>
  </sheetPr>
  <dimension ref="A1:IT151"/>
  <sheetViews>
    <sheetView topLeftCell="A41" zoomScale="70" zoomScaleNormal="70" zoomScalePageLayoutView="70" workbookViewId="0">
      <selection activeCell="F54" sqref="F54:H54"/>
    </sheetView>
  </sheetViews>
  <sheetFormatPr defaultColWidth="9.84375" defaultRowHeight="15"/>
  <cols>
    <col min="1" max="1" width="15.15234375" style="18" customWidth="1"/>
    <col min="2" max="2" width="11.15234375" style="18" customWidth="1"/>
    <col min="3" max="3" width="29.84375" style="18" customWidth="1"/>
    <col min="4" max="4" width="10.4609375" style="18" customWidth="1"/>
    <col min="5" max="5" width="14.15234375" style="18" customWidth="1"/>
    <col min="6" max="6" width="10.15234375" style="18" customWidth="1"/>
    <col min="7" max="7" width="17.53515625" style="18" customWidth="1"/>
    <col min="8" max="8" width="11.84375" style="18" customWidth="1"/>
    <col min="9" max="9" width="9" style="18" customWidth="1"/>
    <col min="10" max="11" width="12.84375" style="18" customWidth="1"/>
    <col min="12" max="12" width="19.15234375" style="18" customWidth="1"/>
    <col min="13" max="13" width="12.84375" style="18" customWidth="1"/>
    <col min="14" max="14" width="14.15234375" style="18" customWidth="1"/>
    <col min="15" max="15" width="15.15234375" style="18" customWidth="1"/>
    <col min="16" max="16" width="14" style="18" customWidth="1"/>
    <col min="17" max="19" width="12.84375" style="18" customWidth="1"/>
    <col min="20" max="20" width="13.53515625" style="18" customWidth="1"/>
    <col min="21" max="21" width="19.15234375" style="18" customWidth="1"/>
    <col min="22" max="22" width="14.84375" style="18" customWidth="1"/>
    <col min="23" max="23" width="17.84375" style="18" customWidth="1"/>
    <col min="28" max="28" width="15.4609375" hidden="1" customWidth="1"/>
    <col min="29" max="64" width="9.84375" hidden="1"/>
    <col min="65" max="65" width="12.53515625" hidden="1" customWidth="1"/>
    <col min="66" max="69" width="9.84375" hidden="1"/>
    <col min="70" max="70" width="11.15234375" hidden="1" customWidth="1"/>
    <col min="71" max="73" width="9.84375" hidden="1"/>
    <col min="74" max="74" width="11.84375" hidden="1" customWidth="1"/>
    <col min="75" max="76" width="9.84375" hidden="1"/>
    <col min="77" max="77" width="11.84375" hidden="1" customWidth="1"/>
    <col min="78" max="84" width="9.84375" hidden="1"/>
    <col min="85" max="86" width="11.15234375" hidden="1" customWidth="1"/>
    <col min="87" max="87" width="13.15234375" hidden="1" customWidth="1"/>
    <col min="88" max="90" width="10.15234375" hidden="1" customWidth="1"/>
    <col min="91" max="91" width="10.84375" customWidth="1"/>
    <col min="94" max="94" width="11.15234375" customWidth="1"/>
    <col min="96" max="96" width="11.4609375" customWidth="1"/>
    <col min="97" max="97" width="11.84375" customWidth="1"/>
    <col min="255" max="16384" width="9.84375" style="18"/>
  </cols>
  <sheetData>
    <row r="1" spans="1:96" ht="19.5" customHeight="1">
      <c r="B1" s="791"/>
      <c r="D1" s="626"/>
      <c r="E1" s="626"/>
      <c r="F1" s="626"/>
      <c r="G1" s="626"/>
      <c r="H1" s="626"/>
      <c r="I1" s="626"/>
      <c r="J1" s="626"/>
      <c r="K1" s="626"/>
      <c r="L1" s="626"/>
      <c r="M1" s="626"/>
      <c r="N1" s="626"/>
      <c r="O1" s="626"/>
      <c r="P1" s="626"/>
      <c r="Q1" s="626"/>
      <c r="R1" s="626"/>
      <c r="S1" s="626"/>
      <c r="T1" s="792" t="s">
        <v>1193</v>
      </c>
      <c r="U1" s="792"/>
      <c r="V1" s="2748">
        <v>37456</v>
      </c>
      <c r="W1" s="2748"/>
    </row>
    <row r="2" spans="1:96" ht="19.5" customHeight="1">
      <c r="B2" s="2916" t="str">
        <f>Summary!C1</f>
        <v>Trammell Crow – LBJ</v>
      </c>
      <c r="C2" s="2916"/>
      <c r="D2" s="2916"/>
      <c r="E2" s="2916"/>
      <c r="F2" s="2916"/>
      <c r="G2" s="626"/>
      <c r="I2" s="793" t="s">
        <v>56</v>
      </c>
      <c r="K2" s="794" t="s">
        <v>57</v>
      </c>
      <c r="L2" s="626"/>
      <c r="M2" s="626"/>
      <c r="N2" s="626"/>
      <c r="O2" s="2917" t="s">
        <v>1</v>
      </c>
      <c r="P2" s="2917"/>
      <c r="Q2" s="2917" t="s">
        <v>1194</v>
      </c>
      <c r="R2" s="2917"/>
      <c r="S2" s="626"/>
      <c r="T2" s="795" t="s">
        <v>957</v>
      </c>
      <c r="U2" s="663"/>
      <c r="V2" s="796">
        <f>Information!C7</f>
        <v>0</v>
      </c>
      <c r="W2" s="797"/>
    </row>
    <row r="3" spans="1:96" ht="19.5" customHeight="1">
      <c r="B3" s="2918">
        <f>Summary!C2</f>
        <v>0</v>
      </c>
      <c r="C3" s="2918"/>
      <c r="D3" s="2918"/>
      <c r="E3" s="2918"/>
      <c r="F3" s="2918"/>
      <c r="G3" s="626"/>
      <c r="I3" s="793" t="s">
        <v>955</v>
      </c>
      <c r="J3" s="2919">
        <f>Summary!K2</f>
        <v>0</v>
      </c>
      <c r="K3" s="2919"/>
      <c r="L3" s="2919"/>
      <c r="M3" s="2919"/>
      <c r="N3" s="2919"/>
      <c r="O3" s="2920">
        <f>Summary!O2</f>
        <v>0</v>
      </c>
      <c r="P3" s="2920"/>
      <c r="Q3" s="2921">
        <f>Summary!P2</f>
        <v>0</v>
      </c>
      <c r="R3" s="2921"/>
      <c r="S3" s="626"/>
      <c r="T3" s="574"/>
      <c r="W3" s="798"/>
      <c r="AT3" t="s">
        <v>1195</v>
      </c>
    </row>
    <row r="4" spans="1:96" ht="19.5" customHeight="1">
      <c r="B4" s="2922" t="str">
        <f>Summary!C3</f>
        <v>Dallas, TX</v>
      </c>
      <c r="C4" s="2922"/>
      <c r="D4" s="2922"/>
      <c r="E4" s="2922"/>
      <c r="F4" s="2922"/>
      <c r="G4" s="626"/>
      <c r="I4" s="793" t="s">
        <v>71</v>
      </c>
      <c r="J4" s="2923">
        <f>Summary!K3</f>
        <v>0</v>
      </c>
      <c r="K4" s="2923"/>
      <c r="L4" s="2923"/>
      <c r="M4" s="2923"/>
      <c r="N4" s="2923"/>
      <c r="O4" s="2924">
        <f>Summary!O3</f>
        <v>0</v>
      </c>
      <c r="P4" s="2924"/>
      <c r="Q4" s="2925">
        <f>Summary!P3</f>
        <v>0</v>
      </c>
      <c r="R4" s="2925"/>
      <c r="S4" s="626"/>
      <c r="T4" s="574" t="s">
        <v>958</v>
      </c>
      <c r="V4" s="799"/>
      <c r="W4" s="800"/>
      <c r="AT4">
        <f>AW11*AX11*AY11*AV11/144/12/27</f>
        <v>0</v>
      </c>
    </row>
    <row r="5" spans="1:96" ht="19.5" customHeight="1">
      <c r="B5" s="380" t="s">
        <v>0</v>
      </c>
      <c r="D5" s="380" t="s">
        <v>1</v>
      </c>
      <c r="F5" s="626"/>
      <c r="G5" s="626"/>
      <c r="I5" s="793" t="s">
        <v>79</v>
      </c>
      <c r="J5" s="2923">
        <f>Summary!K4</f>
        <v>0</v>
      </c>
      <c r="K5" s="2923"/>
      <c r="L5" s="2923"/>
      <c r="M5" s="2923"/>
      <c r="N5" s="2923"/>
      <c r="O5" s="2924">
        <f>Summary!O4</f>
        <v>0</v>
      </c>
      <c r="P5" s="2924"/>
      <c r="Q5" s="2925">
        <f>Summary!P4</f>
        <v>0</v>
      </c>
      <c r="R5" s="2925"/>
      <c r="S5" s="626"/>
      <c r="T5" s="574"/>
      <c r="W5" s="798"/>
      <c r="AT5">
        <f>AW12*AX12*AY12*AV12/144/12/27</f>
        <v>0</v>
      </c>
    </row>
    <row r="6" spans="1:96" ht="19.5" customHeight="1">
      <c r="B6" s="801">
        <f>Summary!C5</f>
        <v>0</v>
      </c>
      <c r="D6" s="2760">
        <f>Summary!E5</f>
        <v>0</v>
      </c>
      <c r="E6" s="2760"/>
      <c r="F6" s="626"/>
      <c r="G6" s="626"/>
      <c r="I6" s="793" t="s">
        <v>87</v>
      </c>
      <c r="J6" s="2926">
        <f>Summary!K5</f>
        <v>0</v>
      </c>
      <c r="K6" s="2926"/>
      <c r="L6" s="2926"/>
      <c r="M6" s="2926"/>
      <c r="N6" s="2926"/>
      <c r="O6" s="2927">
        <f>Summary!O5</f>
        <v>0</v>
      </c>
      <c r="P6" s="2927"/>
      <c r="Q6" s="2928">
        <f>Summary!P5</f>
        <v>0</v>
      </c>
      <c r="R6" s="2928"/>
      <c r="S6" s="626"/>
      <c r="T6" s="577" t="s">
        <v>958</v>
      </c>
      <c r="U6" s="802"/>
      <c r="V6" s="802"/>
      <c r="W6" s="803"/>
      <c r="AT6">
        <f>AW13*AX13*AY13*AV13/144/12/27</f>
        <v>0</v>
      </c>
    </row>
    <row r="7" spans="1:96" ht="19.5" customHeight="1">
      <c r="B7" s="804">
        <f>Summary!C6</f>
        <v>0</v>
      </c>
      <c r="D7" s="2929">
        <f>Summary!E6</f>
        <v>0</v>
      </c>
      <c r="E7" s="2929"/>
      <c r="F7" s="805"/>
      <c r="G7" s="626"/>
      <c r="H7" s="18" t="s">
        <v>1196</v>
      </c>
      <c r="J7" s="2930" t="str">
        <f>Pricing!A3</f>
        <v>SRM</v>
      </c>
      <c r="K7" s="2930"/>
      <c r="L7" s="2930"/>
      <c r="M7" s="2930"/>
      <c r="N7" s="2930"/>
      <c r="O7" s="626"/>
      <c r="P7" s="626"/>
      <c r="Q7" s="626"/>
      <c r="R7" s="626"/>
      <c r="S7" s="626"/>
      <c r="T7" s="626"/>
      <c r="U7" s="626"/>
      <c r="V7" s="626"/>
      <c r="W7" s="626"/>
      <c r="AM7">
        <f>IF(F11&lt;=12,AM57,IF(B11&lt;=18,AN57,IF(B11&lt;=24,AO57,IF(B11&lt;=30,AP57,IF(B11&lt;=36,AQ57,IF(B11&lt;=48,AS57,IF(B11&lt;=60,AT57,0)))))))</f>
        <v>0</v>
      </c>
      <c r="AU7">
        <f>AW14*AX14*AY14*AV14/144/12/27</f>
        <v>0</v>
      </c>
    </row>
    <row r="8" spans="1:96" ht="19.5" customHeight="1">
      <c r="F8" s="626"/>
      <c r="G8" s="626"/>
      <c r="H8" s="626"/>
      <c r="I8" s="626"/>
      <c r="J8" s="626"/>
      <c r="K8" s="626"/>
      <c r="L8" s="626"/>
      <c r="M8" s="626"/>
      <c r="N8" s="626"/>
      <c r="O8" s="626"/>
      <c r="P8" s="626"/>
      <c r="Q8" s="626"/>
      <c r="R8" s="626"/>
      <c r="S8" s="626"/>
      <c r="T8" s="626"/>
      <c r="U8" s="626"/>
      <c r="V8" s="626"/>
      <c r="W8" s="626"/>
      <c r="AU8">
        <f>AW15*AX15*AY15*AV15/144/12/27</f>
        <v>0</v>
      </c>
    </row>
    <row r="9" spans="1:96" ht="42.75" customHeight="1">
      <c r="B9" s="2931" t="s">
        <v>1197</v>
      </c>
      <c r="C9" s="2931"/>
      <c r="D9" s="2931"/>
      <c r="E9" s="2931"/>
      <c r="F9" s="2931"/>
      <c r="G9" s="2931"/>
      <c r="H9" s="2931"/>
      <c r="I9" s="2931"/>
      <c r="J9" s="2931"/>
      <c r="K9" s="2932" t="s">
        <v>1198</v>
      </c>
      <c r="L9" s="2932"/>
      <c r="M9" s="2933" t="s">
        <v>1199</v>
      </c>
      <c r="N9" s="2933"/>
      <c r="O9" s="2934" t="s">
        <v>1200</v>
      </c>
      <c r="P9" s="2934"/>
      <c r="Q9" s="2934"/>
      <c r="R9" s="2751" t="s">
        <v>1201</v>
      </c>
      <c r="S9" s="2751"/>
      <c r="T9" s="2751"/>
      <c r="U9" s="2935" t="s">
        <v>1202</v>
      </c>
      <c r="V9" s="2935"/>
      <c r="W9" s="2935"/>
      <c r="X9" s="2936" t="s">
        <v>1203</v>
      </c>
      <c r="Y9" s="2936"/>
      <c r="Z9" s="2936"/>
      <c r="AA9" s="2936"/>
      <c r="AN9" t="s">
        <v>1204</v>
      </c>
      <c r="BM9" s="809"/>
      <c r="BN9" s="810" t="s">
        <v>1205</v>
      </c>
      <c r="BO9" s="715"/>
      <c r="BP9" s="715"/>
      <c r="BQ9" s="715"/>
      <c r="BR9" s="715">
        <f>SUM(BN39:BV39)</f>
        <v>58032</v>
      </c>
      <c r="BS9" s="715"/>
      <c r="BT9" s="715"/>
      <c r="BU9" s="715"/>
      <c r="BV9" s="811" t="s">
        <v>1206</v>
      </c>
      <c r="BW9" s="2937" t="s">
        <v>738</v>
      </c>
      <c r="BX9" s="2937"/>
      <c r="BY9" s="2937"/>
      <c r="BZ9" s="2937"/>
      <c r="CA9" s="2937"/>
      <c r="CB9" s="2937"/>
      <c r="CC9" s="2937"/>
      <c r="CD9" s="2937"/>
      <c r="CE9" s="2937"/>
      <c r="CF9" s="2937"/>
      <c r="CG9" s="168"/>
      <c r="CH9" s="2937" t="s">
        <v>1146</v>
      </c>
      <c r="CI9" s="2937"/>
      <c r="CJ9" s="2937"/>
      <c r="CK9" s="2937"/>
      <c r="CL9" s="2937"/>
      <c r="CM9" s="168"/>
      <c r="CN9" s="168"/>
      <c r="CO9" s="168"/>
      <c r="CP9" s="168"/>
      <c r="CQ9" s="168"/>
      <c r="CR9" s="812"/>
    </row>
    <row r="10" spans="1:96" ht="45" customHeight="1">
      <c r="A10" s="18" t="s">
        <v>1207</v>
      </c>
      <c r="B10" s="2938" t="s">
        <v>1208</v>
      </c>
      <c r="C10" s="2938"/>
      <c r="D10" s="813" t="s">
        <v>1209</v>
      </c>
      <c r="E10" s="813" t="s">
        <v>835</v>
      </c>
      <c r="F10" s="813" t="s">
        <v>1210</v>
      </c>
      <c r="G10" s="813" t="s">
        <v>1211</v>
      </c>
      <c r="H10" s="813" t="s">
        <v>1212</v>
      </c>
      <c r="I10" s="814" t="s">
        <v>1213</v>
      </c>
      <c r="J10" s="815" t="s">
        <v>1214</v>
      </c>
      <c r="K10" s="816" t="s">
        <v>835</v>
      </c>
      <c r="L10" s="813" t="s">
        <v>1215</v>
      </c>
      <c r="M10" s="817" t="s">
        <v>1215</v>
      </c>
      <c r="N10" s="813" t="s">
        <v>1216</v>
      </c>
      <c r="O10" s="813" t="s">
        <v>1200</v>
      </c>
      <c r="P10" s="818" t="s">
        <v>1215</v>
      </c>
      <c r="Q10" s="819" t="s">
        <v>1217</v>
      </c>
      <c r="R10" s="820" t="s">
        <v>1218</v>
      </c>
      <c r="S10" s="821" t="s">
        <v>1219</v>
      </c>
      <c r="T10" s="822"/>
      <c r="U10" s="823" t="s">
        <v>1220</v>
      </c>
      <c r="V10" s="813" t="s">
        <v>1221</v>
      </c>
      <c r="W10" s="814" t="s">
        <v>1222</v>
      </c>
      <c r="X10" s="824" t="s">
        <v>553</v>
      </c>
      <c r="Y10" s="60" t="s">
        <v>1223</v>
      </c>
      <c r="Z10" s="60" t="s">
        <v>1224</v>
      </c>
      <c r="AA10" s="139" t="s">
        <v>835</v>
      </c>
      <c r="AH10" t="s">
        <v>1225</v>
      </c>
      <c r="AI10" t="s">
        <v>1226</v>
      </c>
      <c r="AJ10" t="s">
        <v>1227</v>
      </c>
      <c r="AK10" t="s">
        <v>1228</v>
      </c>
      <c r="AL10" t="s">
        <v>1229</v>
      </c>
      <c r="AM10" t="s">
        <v>1230</v>
      </c>
      <c r="AN10" t="s">
        <v>553</v>
      </c>
      <c r="AO10" t="s">
        <v>1231</v>
      </c>
      <c r="AP10" t="s">
        <v>1232</v>
      </c>
      <c r="AQ10" t="s">
        <v>967</v>
      </c>
      <c r="AR10" t="s">
        <v>1233</v>
      </c>
      <c r="AS10" t="s">
        <v>1234</v>
      </c>
      <c r="AT10" t="s">
        <v>1235</v>
      </c>
      <c r="AU10" t="s">
        <v>1236</v>
      </c>
      <c r="AV10" t="s">
        <v>1237</v>
      </c>
      <c r="AW10" t="s">
        <v>1238</v>
      </c>
      <c r="AX10" t="s">
        <v>1239</v>
      </c>
      <c r="AY10" t="s">
        <v>1240</v>
      </c>
      <c r="AZ10" t="s">
        <v>1241</v>
      </c>
      <c r="BA10" t="s">
        <v>1242</v>
      </c>
      <c r="BB10" t="s">
        <v>1243</v>
      </c>
      <c r="BC10" t="s">
        <v>1244</v>
      </c>
      <c r="BD10">
        <f t="shared" ref="BD10:BK10" si="0">AM50</f>
        <v>16</v>
      </c>
      <c r="BE10">
        <f t="shared" si="0"/>
        <v>18</v>
      </c>
      <c r="BF10">
        <f t="shared" si="0"/>
        <v>24</v>
      </c>
      <c r="BG10">
        <f t="shared" si="0"/>
        <v>30</v>
      </c>
      <c r="BH10">
        <f t="shared" si="0"/>
        <v>36</v>
      </c>
      <c r="BI10">
        <f t="shared" si="0"/>
        <v>42</v>
      </c>
      <c r="BJ10">
        <f t="shared" si="0"/>
        <v>48</v>
      </c>
      <c r="BK10">
        <f t="shared" si="0"/>
        <v>54</v>
      </c>
      <c r="BL10" t="s">
        <v>1245</v>
      </c>
      <c r="BM10" s="172" t="s">
        <v>1246</v>
      </c>
      <c r="BN10" s="825">
        <f>AM50</f>
        <v>16</v>
      </c>
      <c r="BO10" s="296">
        <f>BE10</f>
        <v>18</v>
      </c>
      <c r="BP10" s="296">
        <f>BF10</f>
        <v>24</v>
      </c>
      <c r="BQ10" s="296">
        <f>BG10</f>
        <v>30</v>
      </c>
      <c r="BR10" s="296">
        <f>BH10</f>
        <v>36</v>
      </c>
      <c r="BS10" s="296" t="s">
        <v>1247</v>
      </c>
      <c r="BT10" s="296">
        <f>BJ10</f>
        <v>48</v>
      </c>
      <c r="BU10" s="296">
        <f>BK10</f>
        <v>54</v>
      </c>
      <c r="BV10" s="826" t="s">
        <v>1248</v>
      </c>
      <c r="BW10" s="810" t="s">
        <v>1235</v>
      </c>
      <c r="BX10" s="715" t="s">
        <v>1236</v>
      </c>
      <c r="BY10" s="715" t="s">
        <v>1237</v>
      </c>
      <c r="BZ10" s="715" t="s">
        <v>1238</v>
      </c>
      <c r="CA10" s="715" t="s">
        <v>1239</v>
      </c>
      <c r="CB10" s="715" t="s">
        <v>1240</v>
      </c>
      <c r="CC10" s="715" t="s">
        <v>1241</v>
      </c>
      <c r="CD10" s="715" t="s">
        <v>1242</v>
      </c>
      <c r="CE10" s="715" t="s">
        <v>1243</v>
      </c>
      <c r="CF10" s="811" t="s">
        <v>1244</v>
      </c>
      <c r="CG10" s="811" t="s">
        <v>577</v>
      </c>
      <c r="CH10" s="827" t="s">
        <v>1249</v>
      </c>
      <c r="CI10" s="715" t="s">
        <v>1250</v>
      </c>
      <c r="CJ10" s="828" t="s">
        <v>1251</v>
      </c>
      <c r="CK10" s="828" t="s">
        <v>1252</v>
      </c>
      <c r="CL10" s="829" t="s">
        <v>1159</v>
      </c>
      <c r="CM10" s="830" t="s">
        <v>550</v>
      </c>
      <c r="CN10" s="811" t="s">
        <v>1253</v>
      </c>
      <c r="CO10" s="831" t="s">
        <v>976</v>
      </c>
      <c r="CP10" s="832" t="s">
        <v>1254</v>
      </c>
      <c r="CQ10" t="s">
        <v>1255</v>
      </c>
      <c r="CR10" s="247"/>
    </row>
    <row r="11" spans="1:96" ht="19.5" customHeight="1">
      <c r="A11" s="18" t="s">
        <v>1256</v>
      </c>
      <c r="B11" s="833"/>
      <c r="C11" s="541"/>
      <c r="D11" s="834">
        <v>5</v>
      </c>
      <c r="E11" s="835">
        <v>12</v>
      </c>
      <c r="F11" s="836">
        <v>24</v>
      </c>
      <c r="G11" s="836">
        <v>16</v>
      </c>
      <c r="H11" s="836">
        <v>3</v>
      </c>
      <c r="I11" s="837"/>
      <c r="J11" s="838">
        <f t="shared" ref="J11:J38" si="1">G11+H11</f>
        <v>19</v>
      </c>
      <c r="K11" s="77">
        <v>7</v>
      </c>
      <c r="L11" s="839">
        <v>6</v>
      </c>
      <c r="M11" s="77">
        <v>3</v>
      </c>
      <c r="N11" s="839">
        <v>10</v>
      </c>
      <c r="O11" s="840">
        <v>4</v>
      </c>
      <c r="P11" s="77">
        <v>6</v>
      </c>
      <c r="Q11" s="837">
        <v>8</v>
      </c>
      <c r="R11" s="841">
        <f t="shared" ref="R11:R38" si="2">IF(E11="",0,IF(N11=0,(L11/16*L11/16*K11*10.680159*E11*J11)+(O11*P11/16*P11/16*10.680159*E11*Q11),(L11/16*L11/16*K11*10.680159*E11*J11)+(O11*P11/16*P11/16*10.680159*E11*Q11)+(M11/16*M11/16*10.680159*((F11-3)*3.1412)*E11*J11/N11)))*(1+K$53)</f>
        <v>3892.3199059790868</v>
      </c>
      <c r="S11" s="841">
        <f t="shared" ref="S11:S38" si="3">(IF(E11="",0,(((F11*F11/576)*J11*3.1412/27)+0.5*((3.1412*(I11*I11/576)*I11/12)/27-((F11*F11/576)*I11/12*3.1412/27)))*E11)*(1+K$49))</f>
        <v>28.117230222222222</v>
      </c>
      <c r="T11" s="842">
        <f>(IF(E11="",0,IF(J$54="",SUM(BN11:CP11)/E11,(SUM(BW11:CP11)+BM11)/E11)))*(1+M$42+Summary!P$57)</f>
        <v>1705.7653759914492</v>
      </c>
      <c r="U11" s="843">
        <f t="shared" ref="U11:U38" si="4">IF(E11=0,0,SUM(AO11:AS11)*(1+W$39))</f>
        <v>51.122133378530449</v>
      </c>
      <c r="V11" s="844">
        <f t="shared" ref="V11:V38" si="5">AM11+AR11</f>
        <v>20.716784768518519</v>
      </c>
      <c r="W11" s="845">
        <f t="shared" ref="W11:W38" si="6">IF(E11=0,0,(AN11+(AL11)+(AP11-0.5)+(AK11))*(1+W$39))</f>
        <v>45.823869756076384</v>
      </c>
      <c r="X11" s="846">
        <f t="shared" ref="X11:X38" si="7">E11</f>
        <v>12</v>
      </c>
      <c r="Y11" s="847">
        <f t="shared" ref="Y11:Y38" si="8">R11</f>
        <v>3892.3199059790868</v>
      </c>
      <c r="Z11" s="847">
        <f t="shared" ref="Z11:Z38" si="9">S11</f>
        <v>28.117230222222222</v>
      </c>
      <c r="AA11" s="848">
        <f t="shared" ref="AA11:AA38" si="10">E11</f>
        <v>12</v>
      </c>
      <c r="AB11" s="849">
        <f t="shared" ref="AB11:AB38" si="11">E11*T11</f>
        <v>20469.184511897391</v>
      </c>
      <c r="AG11">
        <f t="shared" ref="AG11:AG38" si="12">IF(E11="","",J11*E11)</f>
        <v>228</v>
      </c>
      <c r="AH11">
        <f t="shared" ref="AH11:AH38" si="13">IF(E11=0,0,(((F11+3)*0.5)*((F11+3)*0.5)*3.145/144*(1+K$49)/27)-AI11)</f>
        <v>3.2796817129629605E-2</v>
      </c>
      <c r="AI11">
        <f t="shared" ref="AI11:AI38" si="14">(F11*0.5)*(F11*0.5)*3.145/144*(1+K$49)/27</f>
        <v>0.12347037037037038</v>
      </c>
      <c r="AJ11">
        <f t="shared" ref="AJ11:AJ38" si="15">IF(E11="","",R11/E11/J11)</f>
        <v>17.071578534995993</v>
      </c>
      <c r="AK11">
        <f t="shared" ref="AK11:AK38" si="16">AH11*1.4*4</f>
        <v>0.18366217592592576</v>
      </c>
      <c r="AL11">
        <f t="shared" ref="AL11:AL38" si="17">IF(SUM(AT11:BC11)=0,0,(SUM(BW11:CF11)/SUM(AT11:BC11)*AH11))</f>
        <v>5.5028959541377267</v>
      </c>
      <c r="AM11">
        <f t="shared" ref="AM11:AM38" si="18">IF(F11=$AM$50,$AM$56,IF(F11=$AN$50,$AN$56,IF(F11=AO$50,AO$56,IF(F11=AP$50,AP$56,IF(F11=AQ$50,AQ$56,IF(F11=AR$50,AR$56,IF(F11=AS$50,AS$56,IF(F11=AT$50,AT$56,0))))))))</f>
        <v>0</v>
      </c>
      <c r="AN11">
        <f t="shared" ref="AN11:AN38" si="19">IF(BD11&gt;0,AM$54,0)+IF(BE11&gt;0,AN$54,0)+IF(BF11&gt;0,AO$54,0)+IF(BG11&gt;0,AP$54,0)+IF(BH11&gt;0,AQ$54,0)+IF(BI11&gt;0,AR$54,0)+IF(BJ11&gt;0,AS$54,0)+IF(BK11&gt;0,AT$54,0)</f>
        <v>30</v>
      </c>
      <c r="AO11">
        <f t="shared" ref="AO11:AO38" si="20">IF(E11="","",SUM(BN11:BU11)/(E11*J11))</f>
        <v>8</v>
      </c>
      <c r="AP11">
        <v>3</v>
      </c>
      <c r="AQ11">
        <f t="shared" ref="AQ11:AQ38" si="21">IF(E11="","",R11/(E11*J11)*G$53)</f>
        <v>10.242947120997595</v>
      </c>
      <c r="AR11">
        <f t="shared" ref="AR11:AR38" si="22">IF(SUM(AT11:BC11)=0,0,SUM(BW11:CF11)/SUM(AT11:BC11)*AI11)</f>
        <v>20.716784768518519</v>
      </c>
      <c r="AS11">
        <f t="shared" ref="AS11:AS38" si="23">AI11*1.3*4</f>
        <v>0.64204592592592602</v>
      </c>
      <c r="AT11">
        <f t="shared" ref="AT11:AT38" si="24">IF($D11=1,S11,0)</f>
        <v>0</v>
      </c>
      <c r="AU11">
        <f t="shared" ref="AU11:AU38" si="25">IF($D11=2,S11,0)</f>
        <v>0</v>
      </c>
      <c r="AV11">
        <f t="shared" ref="AV11:AV38" si="26">IF($D11=3,S11,0)</f>
        <v>0</v>
      </c>
      <c r="AW11">
        <f t="shared" ref="AW11:AW38" si="27">IF($D11=4,S11,0)</f>
        <v>0</v>
      </c>
      <c r="AX11" s="847">
        <f t="shared" ref="AX11:AX38" si="28">IF($D11=5,S11,0)</f>
        <v>28.117230222222222</v>
      </c>
      <c r="AY11">
        <f t="shared" ref="AY11:AY38" si="29">IF($D11=6,S11,0)</f>
        <v>0</v>
      </c>
      <c r="AZ11">
        <f t="shared" ref="AZ11:AZ38" si="30">IF($D11=7,S11,0)</f>
        <v>0</v>
      </c>
      <c r="BA11">
        <f t="shared" ref="BA11:BA38" si="31">IF($D11=8,S11,0)</f>
        <v>0</v>
      </c>
      <c r="BB11">
        <f t="shared" ref="BB11:BB38" si="32">IF($D11=9,S11,0)</f>
        <v>0</v>
      </c>
      <c r="BC11">
        <f t="shared" ref="BC11:BC38" si="33">IF($D11=10,S11,0)</f>
        <v>0</v>
      </c>
      <c r="BD11">
        <f t="shared" ref="BD11:BD38" si="34">IF(F11&gt;0,IF(F11&lt;=BD$10,E11*$J11,0),0)</f>
        <v>0</v>
      </c>
      <c r="BE11">
        <f t="shared" ref="BE11:BK20" si="35">IF($F11&gt;BD$10,IF($F11&lt;=BE$10,$E11*$J11,0),0)</f>
        <v>0</v>
      </c>
      <c r="BF11">
        <f t="shared" si="35"/>
        <v>228</v>
      </c>
      <c r="BG11">
        <f t="shared" si="35"/>
        <v>0</v>
      </c>
      <c r="BH11">
        <f t="shared" si="35"/>
        <v>0</v>
      </c>
      <c r="BI11">
        <f t="shared" si="35"/>
        <v>0</v>
      </c>
      <c r="BJ11">
        <f t="shared" si="35"/>
        <v>0</v>
      </c>
      <c r="BK11">
        <f t="shared" si="35"/>
        <v>0</v>
      </c>
      <c r="BL11" t="str">
        <f t="shared" ref="BL11:BL38" si="36">IF(I11="","",I11*E11)</f>
        <v/>
      </c>
      <c r="BM11" s="850">
        <f t="shared" ref="BM11:BM38" si="37">IF(SUM(BN11:BV11)="","",SUM(BN11:BV11)/SUM(BN$39:BV$39))*J$54</f>
        <v>0</v>
      </c>
      <c r="BN11" s="851">
        <f t="shared" ref="BN11:BN38" si="38">BD11*AM$52</f>
        <v>0</v>
      </c>
      <c r="BO11" s="852">
        <f t="shared" ref="BO11:BO38" si="39">BE11*AN$52</f>
        <v>0</v>
      </c>
      <c r="BP11" s="852">
        <f t="shared" ref="BP11:BP38" si="40">BF11*AO$52</f>
        <v>1824</v>
      </c>
      <c r="BQ11" s="852">
        <f t="shared" ref="BQ11:BQ38" si="41">BG11*AP$52</f>
        <v>0</v>
      </c>
      <c r="BR11" s="852">
        <f t="shared" ref="BR11:BR38" si="42">BH11*AQ$52</f>
        <v>0</v>
      </c>
      <c r="BS11" s="852">
        <f t="shared" ref="BS11:BS38" si="43">BI11*AR$52</f>
        <v>0</v>
      </c>
      <c r="BT11" s="852">
        <f t="shared" ref="BT11:BT38" si="44">BJ11*AS$52</f>
        <v>0</v>
      </c>
      <c r="BU11" s="852">
        <f t="shared" ref="BU11:BU38" si="45">BK11*AT$52</f>
        <v>0</v>
      </c>
      <c r="BV11" s="853" t="str">
        <f t="shared" ref="BV11:BV38" si="46">IF(BL11="","",BL11*AR$45)</f>
        <v/>
      </c>
      <c r="BW11" s="854">
        <f>AT11*Pricing!F$3*IF($T$41="N",(1+$V$41),1)</f>
        <v>0</v>
      </c>
      <c r="BX11" s="273">
        <f>AU11*Pricing!G$3*IF($T$41="N",(1+$V$41),1)</f>
        <v>0</v>
      </c>
      <c r="BY11" s="273">
        <f>AV11*Pricing!H$3*IF($T$41="N",(1+$V$41),1)</f>
        <v>0</v>
      </c>
      <c r="BZ11" s="273">
        <f>AW11*Pricing!I$3*IF($T$41="N",(1+$V$41),1)</f>
        <v>0</v>
      </c>
      <c r="CA11" s="273">
        <f>AX11*Pricing!J$3*IF($T$41="N",(1+$V$41),1)</f>
        <v>4717.7197659111107</v>
      </c>
      <c r="CB11" s="273">
        <f>AY11*Pricing!K$3*IF($T$41="N",(1+$V$41),1)</f>
        <v>0</v>
      </c>
      <c r="CC11" s="273">
        <f>AZ11*Pricing!L$3*IF($T$41="N",(1+$V$41),1)</f>
        <v>0</v>
      </c>
      <c r="CD11" s="273">
        <f>BA11*Pricing!M$3*IF($T$41="N",(1+$V$41),1)</f>
        <v>0</v>
      </c>
      <c r="CE11" s="273">
        <f>BB11*Pricing!N$3*IF($T$41="N",(1+$V$41),1)</f>
        <v>0</v>
      </c>
      <c r="CF11" s="855">
        <f>BC11*Pricing!O$3*IF($T$41="N",(1+$V$41),1)</f>
        <v>0</v>
      </c>
      <c r="CG11" s="273">
        <f t="shared" ref="CG11:CG38" si="47">IF(E11=0,0,R11*G$53*IF($T$41="n",(1+$V$41),1))</f>
        <v>2528.0617789334165</v>
      </c>
      <c r="CH11" s="854">
        <f t="shared" ref="CH11:CH38" si="48">E11*H$57</f>
        <v>1800</v>
      </c>
      <c r="CI11" s="273">
        <f t="shared" ref="CI11:CI38" si="49">Z11*E$60</f>
        <v>0</v>
      </c>
      <c r="CJ11" s="273">
        <f t="shared" ref="CJ11:CJ38" si="50">IF(E11="","",R11/2000*E$61)</f>
        <v>875.7719788452946</v>
      </c>
      <c r="CK11" s="273">
        <f t="shared" ref="CK11:CK38" si="51">O$62/I$57*E11</f>
        <v>0</v>
      </c>
      <c r="CL11" s="856">
        <f t="shared" ref="CL11:CL38" si="52">O$63/I$57*E11</f>
        <v>0</v>
      </c>
      <c r="CM11" s="857">
        <f t="shared" ref="CM11:CM38" si="53">IF(E11="",0,(W$85)/E$39*E11)</f>
        <v>1275.8825345032351</v>
      </c>
      <c r="CN11" s="855">
        <f t="shared" ref="CN11:CN38" si="54">IF(E11="",0,SUM(O$66:P$69)/E$39*E11)</f>
        <v>1400.9433962264152</v>
      </c>
      <c r="CO11" s="857">
        <f t="shared" ref="CO11:CO38" si="55">IF(E11="",0,SUM(O$71:P$76)/E$39*E11)</f>
        <v>819.40330188679241</v>
      </c>
      <c r="CP11" s="273">
        <f t="shared" ref="CP11:CP38" si="56">IF(E11="",0,SUM(O$78:P$83)/E$39*E11)</f>
        <v>2104.9837792000008</v>
      </c>
      <c r="CQ11" s="54">
        <f t="shared" ref="CQ11:CQ38" si="57">O$84/I$57*E11</f>
        <v>0</v>
      </c>
      <c r="CR11" s="858">
        <f t="shared" ref="CR11:CR38" si="58">IF(E11="",0,T11*E11)</f>
        <v>20469.184511897391</v>
      </c>
    </row>
    <row r="12" spans="1:96" ht="19.5" customHeight="1">
      <c r="A12" s="18" t="s">
        <v>1256</v>
      </c>
      <c r="B12" s="833"/>
      <c r="C12" s="541"/>
      <c r="D12" s="834">
        <v>5</v>
      </c>
      <c r="E12" s="835">
        <v>12</v>
      </c>
      <c r="F12" s="836">
        <v>24</v>
      </c>
      <c r="G12" s="836">
        <v>16</v>
      </c>
      <c r="H12" s="836">
        <v>5</v>
      </c>
      <c r="I12" s="837"/>
      <c r="J12" s="838">
        <f t="shared" si="1"/>
        <v>21</v>
      </c>
      <c r="K12" s="77">
        <v>7</v>
      </c>
      <c r="L12" s="839">
        <v>6</v>
      </c>
      <c r="M12" s="77">
        <v>3</v>
      </c>
      <c r="N12" s="839">
        <v>10</v>
      </c>
      <c r="O12" s="840">
        <v>4</v>
      </c>
      <c r="P12" s="77">
        <v>6</v>
      </c>
      <c r="Q12" s="837">
        <v>8</v>
      </c>
      <c r="R12" s="841">
        <f t="shared" si="2"/>
        <v>4235.2586913874111</v>
      </c>
      <c r="S12" s="841">
        <f t="shared" si="3"/>
        <v>31.076938666666663</v>
      </c>
      <c r="T12" s="842">
        <f>(IF(E12="",0,IF(J$54="",SUM(BN12:CP12)/E12,(SUM(BW12:CP12)+BM12)/E12)))*(1+M$42+Summary!P$57)</f>
        <v>1802.9680774235267</v>
      </c>
      <c r="U12" s="843">
        <f t="shared" si="4"/>
        <v>50.93133595158308</v>
      </c>
      <c r="V12" s="844">
        <f t="shared" si="5"/>
        <v>20.716784768518519</v>
      </c>
      <c r="W12" s="845">
        <f t="shared" si="6"/>
        <v>45.823869756076384</v>
      </c>
      <c r="X12" s="846">
        <f t="shared" si="7"/>
        <v>12</v>
      </c>
      <c r="Y12" s="847">
        <f t="shared" si="8"/>
        <v>4235.2586913874111</v>
      </c>
      <c r="Z12" s="847">
        <f t="shared" si="9"/>
        <v>31.076938666666663</v>
      </c>
      <c r="AA12" s="848">
        <f t="shared" si="10"/>
        <v>12</v>
      </c>
      <c r="AB12" s="849">
        <f t="shared" si="11"/>
        <v>21635.61692908232</v>
      </c>
      <c r="AG12">
        <f t="shared" si="12"/>
        <v>252</v>
      </c>
      <c r="AH12">
        <f t="shared" si="13"/>
        <v>3.2796817129629605E-2</v>
      </c>
      <c r="AI12">
        <f t="shared" si="14"/>
        <v>0.12347037037037038</v>
      </c>
      <c r="AJ12">
        <f t="shared" si="15"/>
        <v>16.806582108680203</v>
      </c>
      <c r="AK12">
        <f t="shared" si="16"/>
        <v>0.18366217592592576</v>
      </c>
      <c r="AL12">
        <f t="shared" si="17"/>
        <v>5.5028959541377267</v>
      </c>
      <c r="AM12">
        <f t="shared" si="18"/>
        <v>0</v>
      </c>
      <c r="AN12">
        <f t="shared" si="19"/>
        <v>30</v>
      </c>
      <c r="AO12">
        <f t="shared" si="20"/>
        <v>8</v>
      </c>
      <c r="AP12">
        <v>3</v>
      </c>
      <c r="AQ12">
        <f t="shared" si="21"/>
        <v>10.083949265208121</v>
      </c>
      <c r="AR12">
        <f t="shared" si="22"/>
        <v>20.716784768518519</v>
      </c>
      <c r="AS12">
        <f t="shared" si="23"/>
        <v>0.64204592592592602</v>
      </c>
      <c r="AT12">
        <f t="shared" si="24"/>
        <v>0</v>
      </c>
      <c r="AU12">
        <f t="shared" si="25"/>
        <v>0</v>
      </c>
      <c r="AV12">
        <f t="shared" si="26"/>
        <v>0</v>
      </c>
      <c r="AW12">
        <f t="shared" si="27"/>
        <v>0</v>
      </c>
      <c r="AX12" s="847">
        <f t="shared" si="28"/>
        <v>31.076938666666663</v>
      </c>
      <c r="AY12">
        <f t="shared" si="29"/>
        <v>0</v>
      </c>
      <c r="AZ12">
        <f t="shared" si="30"/>
        <v>0</v>
      </c>
      <c r="BA12">
        <f t="shared" si="31"/>
        <v>0</v>
      </c>
      <c r="BB12">
        <f t="shared" si="32"/>
        <v>0</v>
      </c>
      <c r="BC12">
        <f t="shared" si="33"/>
        <v>0</v>
      </c>
      <c r="BD12">
        <f t="shared" si="34"/>
        <v>0</v>
      </c>
      <c r="BE12">
        <f t="shared" si="35"/>
        <v>0</v>
      </c>
      <c r="BF12">
        <f t="shared" si="35"/>
        <v>252</v>
      </c>
      <c r="BG12">
        <f t="shared" si="35"/>
        <v>0</v>
      </c>
      <c r="BH12">
        <f t="shared" si="35"/>
        <v>0</v>
      </c>
      <c r="BI12">
        <f t="shared" si="35"/>
        <v>0</v>
      </c>
      <c r="BJ12">
        <f t="shared" si="35"/>
        <v>0</v>
      </c>
      <c r="BK12">
        <f t="shared" si="35"/>
        <v>0</v>
      </c>
      <c r="BL12" t="str">
        <f t="shared" si="36"/>
        <v/>
      </c>
      <c r="BM12" s="850">
        <f t="shared" si="37"/>
        <v>0</v>
      </c>
      <c r="BN12" s="854">
        <f t="shared" si="38"/>
        <v>0</v>
      </c>
      <c r="BO12" s="273">
        <f t="shared" si="39"/>
        <v>0</v>
      </c>
      <c r="BP12" s="273">
        <f t="shared" si="40"/>
        <v>2016</v>
      </c>
      <c r="BQ12" s="273">
        <f t="shared" si="41"/>
        <v>0</v>
      </c>
      <c r="BR12" s="273">
        <f t="shared" si="42"/>
        <v>0</v>
      </c>
      <c r="BS12" s="273">
        <f t="shared" si="43"/>
        <v>0</v>
      </c>
      <c r="BT12" s="273">
        <f t="shared" si="44"/>
        <v>0</v>
      </c>
      <c r="BU12" s="273">
        <f t="shared" si="45"/>
        <v>0</v>
      </c>
      <c r="BV12" s="855" t="str">
        <f t="shared" si="46"/>
        <v/>
      </c>
      <c r="BW12" s="854">
        <f>AT12*Pricing!F$3*IF($T$41="N",(1+$V$41),1)</f>
        <v>0</v>
      </c>
      <c r="BX12" s="273">
        <f>AU12*Pricing!G$3*IF($T$41="N",(1+$V$41),1)</f>
        <v>0</v>
      </c>
      <c r="BY12" s="273">
        <f>AV12*Pricing!H$3*IF($T$41="N",(1+$V$41),1)</f>
        <v>0</v>
      </c>
      <c r="BZ12" s="273">
        <f>AW12*Pricing!I$3*IF($T$41="N",(1+$V$41),1)</f>
        <v>0</v>
      </c>
      <c r="CA12" s="273">
        <f>AX12*Pricing!J$3*IF($T$41="N",(1+$V$41),1)</f>
        <v>5214.321846533333</v>
      </c>
      <c r="CB12" s="273">
        <f>AY12*Pricing!K$3*IF($T$41="N",(1+$V$41),1)</f>
        <v>0</v>
      </c>
      <c r="CC12" s="273">
        <f>AZ12*Pricing!L$3*IF($T$41="N",(1+$V$41),1)</f>
        <v>0</v>
      </c>
      <c r="CD12" s="273">
        <f>BA12*Pricing!M$3*IF($T$41="N",(1+$V$41),1)</f>
        <v>0</v>
      </c>
      <c r="CE12" s="273">
        <f>BB12*Pricing!N$3*IF($T$41="N",(1+$V$41),1)</f>
        <v>0</v>
      </c>
      <c r="CF12" s="855">
        <f>BC12*Pricing!O$3*IF($T$41="N",(1+$V$41),1)</f>
        <v>0</v>
      </c>
      <c r="CG12" s="273">
        <f t="shared" si="47"/>
        <v>2750.8005200561238</v>
      </c>
      <c r="CH12" s="854">
        <f t="shared" si="48"/>
        <v>1800</v>
      </c>
      <c r="CI12" s="273">
        <f t="shared" si="49"/>
        <v>0</v>
      </c>
      <c r="CJ12" s="273">
        <f t="shared" si="50"/>
        <v>952.93320556216759</v>
      </c>
      <c r="CK12" s="273">
        <f t="shared" si="51"/>
        <v>0</v>
      </c>
      <c r="CL12" s="856">
        <f t="shared" si="52"/>
        <v>0</v>
      </c>
      <c r="CM12" s="857">
        <f t="shared" si="53"/>
        <v>1275.8825345032351</v>
      </c>
      <c r="CN12" s="855">
        <f t="shared" si="54"/>
        <v>1400.9433962264152</v>
      </c>
      <c r="CO12" s="857">
        <f t="shared" si="55"/>
        <v>819.40330188679241</v>
      </c>
      <c r="CP12" s="273">
        <f t="shared" si="56"/>
        <v>2104.9837792000008</v>
      </c>
      <c r="CQ12" s="54">
        <f t="shared" si="57"/>
        <v>0</v>
      </c>
      <c r="CR12" s="858">
        <f t="shared" si="58"/>
        <v>21635.61692908232</v>
      </c>
    </row>
    <row r="13" spans="1:96" ht="19.5" customHeight="1">
      <c r="A13" s="18" t="s">
        <v>1256</v>
      </c>
      <c r="B13" s="833"/>
      <c r="C13" s="541"/>
      <c r="D13" s="834">
        <v>5</v>
      </c>
      <c r="E13" s="835">
        <v>46</v>
      </c>
      <c r="F13" s="836">
        <v>36</v>
      </c>
      <c r="G13" s="836">
        <v>16</v>
      </c>
      <c r="H13" s="836">
        <v>8</v>
      </c>
      <c r="I13" s="837"/>
      <c r="J13" s="838">
        <f t="shared" si="1"/>
        <v>24</v>
      </c>
      <c r="K13" s="77">
        <v>8</v>
      </c>
      <c r="L13" s="839">
        <v>8</v>
      </c>
      <c r="M13" s="77">
        <v>3</v>
      </c>
      <c r="N13" s="839">
        <v>10</v>
      </c>
      <c r="O13" s="840">
        <v>4</v>
      </c>
      <c r="P13" s="77">
        <v>6</v>
      </c>
      <c r="Q13" s="837">
        <v>8</v>
      </c>
      <c r="R13" s="841">
        <f t="shared" si="2"/>
        <v>33098.471757541054</v>
      </c>
      <c r="S13" s="841">
        <f t="shared" si="3"/>
        <v>306.32982400000003</v>
      </c>
      <c r="T13" s="842">
        <f>(IF(E13="",0,IF(J$54="",SUM(BN13:CP13)/E13,(SUM(BW13:CP13)+BM13)/E13)))*(1+M$42+Summary!P$57)</f>
        <v>3638.3567308949096</v>
      </c>
      <c r="U13" s="843">
        <f t="shared" si="4"/>
        <v>118.85480271687462</v>
      </c>
      <c r="V13" s="844">
        <f t="shared" si="5"/>
        <v>46.612765729166675</v>
      </c>
      <c r="W13" s="845">
        <f t="shared" si="6"/>
        <v>67.035102582465271</v>
      </c>
      <c r="X13" s="846">
        <f t="shared" si="7"/>
        <v>46</v>
      </c>
      <c r="Y13" s="847">
        <f t="shared" si="8"/>
        <v>33098.471757541054</v>
      </c>
      <c r="Z13" s="847">
        <f t="shared" si="9"/>
        <v>306.32982400000003</v>
      </c>
      <c r="AA13" s="848">
        <f t="shared" si="10"/>
        <v>46</v>
      </c>
      <c r="AB13" s="849">
        <f t="shared" si="11"/>
        <v>167364.40962116583</v>
      </c>
      <c r="AG13">
        <f t="shared" si="12"/>
        <v>1104</v>
      </c>
      <c r="AH13">
        <f t="shared" si="13"/>
        <v>4.8230613425925883E-2</v>
      </c>
      <c r="AI13">
        <f t="shared" si="14"/>
        <v>0.27780833333333338</v>
      </c>
      <c r="AJ13">
        <f t="shared" si="15"/>
        <v>29.98049978038139</v>
      </c>
      <c r="AK13">
        <f t="shared" si="16"/>
        <v>0.27009143518518491</v>
      </c>
      <c r="AL13">
        <f t="shared" si="17"/>
        <v>8.0924940502025393</v>
      </c>
      <c r="AM13">
        <f t="shared" si="18"/>
        <v>0</v>
      </c>
      <c r="AN13">
        <f t="shared" si="19"/>
        <v>45</v>
      </c>
      <c r="AO13">
        <f t="shared" si="20"/>
        <v>30</v>
      </c>
      <c r="AP13">
        <v>3</v>
      </c>
      <c r="AQ13">
        <f t="shared" si="21"/>
        <v>17.988299868228832</v>
      </c>
      <c r="AR13">
        <f t="shared" si="22"/>
        <v>46.612765729166675</v>
      </c>
      <c r="AS13">
        <f t="shared" si="23"/>
        <v>1.4446033333333337</v>
      </c>
      <c r="AT13">
        <f t="shared" si="24"/>
        <v>0</v>
      </c>
      <c r="AU13">
        <f t="shared" si="25"/>
        <v>0</v>
      </c>
      <c r="AV13">
        <f t="shared" si="26"/>
        <v>0</v>
      </c>
      <c r="AW13">
        <f t="shared" si="27"/>
        <v>0</v>
      </c>
      <c r="AX13">
        <f t="shared" si="28"/>
        <v>306.32982400000003</v>
      </c>
      <c r="AY13">
        <f t="shared" si="29"/>
        <v>0</v>
      </c>
      <c r="AZ13">
        <f t="shared" si="30"/>
        <v>0</v>
      </c>
      <c r="BA13">
        <f t="shared" si="31"/>
        <v>0</v>
      </c>
      <c r="BB13">
        <f t="shared" si="32"/>
        <v>0</v>
      </c>
      <c r="BC13">
        <f t="shared" si="33"/>
        <v>0</v>
      </c>
      <c r="BD13">
        <f t="shared" si="34"/>
        <v>0</v>
      </c>
      <c r="BE13">
        <f t="shared" si="35"/>
        <v>0</v>
      </c>
      <c r="BF13">
        <f t="shared" si="35"/>
        <v>0</v>
      </c>
      <c r="BG13">
        <f t="shared" si="35"/>
        <v>0</v>
      </c>
      <c r="BH13">
        <f t="shared" si="35"/>
        <v>1104</v>
      </c>
      <c r="BI13">
        <f t="shared" si="35"/>
        <v>0</v>
      </c>
      <c r="BJ13">
        <f t="shared" si="35"/>
        <v>0</v>
      </c>
      <c r="BK13">
        <f t="shared" si="35"/>
        <v>0</v>
      </c>
      <c r="BL13" t="str">
        <f t="shared" si="36"/>
        <v/>
      </c>
      <c r="BM13" s="850">
        <f t="shared" si="37"/>
        <v>0</v>
      </c>
      <c r="BN13" s="854">
        <f t="shared" si="38"/>
        <v>0</v>
      </c>
      <c r="BO13" s="273">
        <f t="shared" si="39"/>
        <v>0</v>
      </c>
      <c r="BP13" s="273">
        <f t="shared" si="40"/>
        <v>0</v>
      </c>
      <c r="BQ13" s="273">
        <f t="shared" si="41"/>
        <v>0</v>
      </c>
      <c r="BR13" s="273">
        <f t="shared" si="42"/>
        <v>33120</v>
      </c>
      <c r="BS13" s="273">
        <f t="shared" si="43"/>
        <v>0</v>
      </c>
      <c r="BT13" s="273">
        <f t="shared" si="44"/>
        <v>0</v>
      </c>
      <c r="BU13" s="273">
        <f t="shared" si="45"/>
        <v>0</v>
      </c>
      <c r="BV13" s="855" t="str">
        <f t="shared" si="46"/>
        <v/>
      </c>
      <c r="BW13" s="854">
        <f>AT13*Pricing!F$3*IF($T$41="N",(1+$V$41),1)</f>
        <v>0</v>
      </c>
      <c r="BX13" s="273">
        <f>AU13*Pricing!G$3*IF($T$41="N",(1+$V$41),1)</f>
        <v>0</v>
      </c>
      <c r="BY13" s="273">
        <f>AV13*Pricing!H$3*IF($T$41="N",(1+$V$41),1)</f>
        <v>0</v>
      </c>
      <c r="BZ13" s="273">
        <f>AW13*Pricing!I$3*IF($T$41="N",(1+$V$41),1)</f>
        <v>0</v>
      </c>
      <c r="CA13" s="273">
        <f>AX13*Pricing!J$3*IF($T$41="N",(1+$V$41),1)</f>
        <v>51398.315344400005</v>
      </c>
      <c r="CB13" s="273">
        <f>AY13*Pricing!K$3*IF($T$41="N",(1+$V$41),1)</f>
        <v>0</v>
      </c>
      <c r="CC13" s="273">
        <f>AZ13*Pricing!L$3*IF($T$41="N",(1+$V$41),1)</f>
        <v>0</v>
      </c>
      <c r="CD13" s="273">
        <f>BA13*Pricing!M$3*IF($T$41="N",(1+$V$41),1)</f>
        <v>0</v>
      </c>
      <c r="CE13" s="273">
        <f>BB13*Pricing!N$3*IF($T$41="N",(1+$V$41),1)</f>
        <v>0</v>
      </c>
      <c r="CF13" s="855">
        <f>BC13*Pricing!O$3*IF($T$41="N",(1+$V$41),1)</f>
        <v>0</v>
      </c>
      <c r="CG13" s="273">
        <f t="shared" si="47"/>
        <v>21497.457406522914</v>
      </c>
      <c r="CH13" s="854">
        <f t="shared" si="48"/>
        <v>6900</v>
      </c>
      <c r="CI13" s="273">
        <f t="shared" si="49"/>
        <v>0</v>
      </c>
      <c r="CJ13" s="273">
        <f t="shared" si="50"/>
        <v>7447.1561454467374</v>
      </c>
      <c r="CK13" s="273">
        <f t="shared" si="51"/>
        <v>0</v>
      </c>
      <c r="CL13" s="856">
        <f t="shared" si="52"/>
        <v>0</v>
      </c>
      <c r="CM13" s="857">
        <f t="shared" si="53"/>
        <v>4890.8830489290676</v>
      </c>
      <c r="CN13" s="855">
        <f t="shared" si="54"/>
        <v>5370.2830188679245</v>
      </c>
      <c r="CO13" s="857">
        <f t="shared" si="55"/>
        <v>3141.0459905660377</v>
      </c>
      <c r="CP13" s="273">
        <f t="shared" si="56"/>
        <v>8069.1044869333355</v>
      </c>
      <c r="CQ13" s="54">
        <f t="shared" si="57"/>
        <v>0</v>
      </c>
      <c r="CR13" s="858">
        <f t="shared" si="58"/>
        <v>167364.40962116583</v>
      </c>
    </row>
    <row r="14" spans="1:96" ht="19.5" customHeight="1">
      <c r="A14" s="18" t="s">
        <v>1256</v>
      </c>
      <c r="B14" s="833"/>
      <c r="C14" s="541"/>
      <c r="D14" s="834">
        <v>5</v>
      </c>
      <c r="E14" s="835">
        <v>20</v>
      </c>
      <c r="F14" s="836">
        <v>42</v>
      </c>
      <c r="G14" s="836">
        <v>16</v>
      </c>
      <c r="H14" s="836">
        <v>6</v>
      </c>
      <c r="I14" s="837"/>
      <c r="J14" s="838">
        <f t="shared" si="1"/>
        <v>22</v>
      </c>
      <c r="K14" s="77">
        <v>12</v>
      </c>
      <c r="L14" s="839">
        <v>8</v>
      </c>
      <c r="M14" s="77">
        <v>3</v>
      </c>
      <c r="N14" s="839">
        <v>10</v>
      </c>
      <c r="O14" s="840">
        <v>4</v>
      </c>
      <c r="P14" s="77">
        <v>6</v>
      </c>
      <c r="Q14" s="837">
        <v>8</v>
      </c>
      <c r="R14" s="841">
        <f t="shared" si="2"/>
        <v>18791.237546048324</v>
      </c>
      <c r="S14" s="841">
        <f t="shared" si="3"/>
        <v>166.17529703703704</v>
      </c>
      <c r="T14" s="842">
        <f>(IF(E14="",0,IF(J$54="",SUM(BN14:CP14)/E14,(SUM(BW14:CP14)+BM14)/E14)))*(1+M$42+Summary!P$57)</f>
        <v>4121.1753644135952</v>
      </c>
      <c r="U14" s="843">
        <f t="shared" si="4"/>
        <v>148.84300060470784</v>
      </c>
      <c r="V14" s="844">
        <f t="shared" si="5"/>
        <v>63.445153353587962</v>
      </c>
      <c r="W14" s="845">
        <f t="shared" si="6"/>
        <v>86.640718995659711</v>
      </c>
      <c r="X14" s="846">
        <f t="shared" si="7"/>
        <v>20</v>
      </c>
      <c r="Y14" s="847">
        <f t="shared" si="8"/>
        <v>18791.237546048324</v>
      </c>
      <c r="Z14" s="847">
        <f t="shared" si="9"/>
        <v>166.17529703703704</v>
      </c>
      <c r="AA14" s="848">
        <f t="shared" si="10"/>
        <v>20</v>
      </c>
      <c r="AB14" s="849">
        <f t="shared" si="11"/>
        <v>82423.507288271911</v>
      </c>
      <c r="AG14">
        <f t="shared" si="12"/>
        <v>440</v>
      </c>
      <c r="AH14">
        <f t="shared" si="13"/>
        <v>5.5947511574074071E-2</v>
      </c>
      <c r="AI14">
        <f t="shared" si="14"/>
        <v>0.37812800925925927</v>
      </c>
      <c r="AJ14">
        <f t="shared" si="15"/>
        <v>42.707358059200736</v>
      </c>
      <c r="AK14">
        <f t="shared" si="16"/>
        <v>0.31330606481481477</v>
      </c>
      <c r="AL14">
        <f t="shared" si="17"/>
        <v>9.3872930982349523</v>
      </c>
      <c r="AM14">
        <f t="shared" si="18"/>
        <v>0</v>
      </c>
      <c r="AN14">
        <f t="shared" si="19"/>
        <v>60</v>
      </c>
      <c r="AO14">
        <f t="shared" si="20"/>
        <v>30</v>
      </c>
      <c r="AP14">
        <v>3</v>
      </c>
      <c r="AQ14">
        <f t="shared" si="21"/>
        <v>25.62441483552044</v>
      </c>
      <c r="AR14">
        <f t="shared" si="22"/>
        <v>63.445153353587962</v>
      </c>
      <c r="AS14">
        <f t="shared" si="23"/>
        <v>1.9662656481481482</v>
      </c>
      <c r="AT14">
        <f t="shared" si="24"/>
        <v>0</v>
      </c>
      <c r="AU14">
        <f t="shared" si="25"/>
        <v>0</v>
      </c>
      <c r="AV14">
        <f t="shared" si="26"/>
        <v>0</v>
      </c>
      <c r="AW14">
        <f t="shared" si="27"/>
        <v>0</v>
      </c>
      <c r="AX14">
        <f t="shared" si="28"/>
        <v>166.17529703703704</v>
      </c>
      <c r="AY14">
        <f t="shared" si="29"/>
        <v>0</v>
      </c>
      <c r="AZ14">
        <f t="shared" si="30"/>
        <v>0</v>
      </c>
      <c r="BA14">
        <f t="shared" si="31"/>
        <v>0</v>
      </c>
      <c r="BB14">
        <f t="shared" si="32"/>
        <v>0</v>
      </c>
      <c r="BC14">
        <f t="shared" si="33"/>
        <v>0</v>
      </c>
      <c r="BD14">
        <f t="shared" si="34"/>
        <v>0</v>
      </c>
      <c r="BE14">
        <f t="shared" si="35"/>
        <v>0</v>
      </c>
      <c r="BF14">
        <f t="shared" si="35"/>
        <v>0</v>
      </c>
      <c r="BG14">
        <f t="shared" si="35"/>
        <v>0</v>
      </c>
      <c r="BH14">
        <f t="shared" si="35"/>
        <v>0</v>
      </c>
      <c r="BI14">
        <f t="shared" si="35"/>
        <v>440</v>
      </c>
      <c r="BJ14">
        <f t="shared" si="35"/>
        <v>0</v>
      </c>
      <c r="BK14">
        <f t="shared" si="35"/>
        <v>0</v>
      </c>
      <c r="BL14" t="str">
        <f t="shared" si="36"/>
        <v/>
      </c>
      <c r="BM14" s="850">
        <f t="shared" si="37"/>
        <v>0</v>
      </c>
      <c r="BN14" s="854">
        <f t="shared" si="38"/>
        <v>0</v>
      </c>
      <c r="BO14" s="273">
        <f t="shared" si="39"/>
        <v>0</v>
      </c>
      <c r="BP14" s="273">
        <f t="shared" si="40"/>
        <v>0</v>
      </c>
      <c r="BQ14" s="273">
        <f t="shared" si="41"/>
        <v>0</v>
      </c>
      <c r="BR14" s="273">
        <f t="shared" si="42"/>
        <v>0</v>
      </c>
      <c r="BS14" s="273">
        <f t="shared" si="43"/>
        <v>13200</v>
      </c>
      <c r="BT14" s="273">
        <f t="shared" si="44"/>
        <v>0</v>
      </c>
      <c r="BU14" s="273">
        <f t="shared" si="45"/>
        <v>0</v>
      </c>
      <c r="BV14" s="855" t="str">
        <f t="shared" si="46"/>
        <v/>
      </c>
      <c r="BW14" s="854">
        <f>AT14*Pricing!F$3*IF($T$41="N",(1+$V$41),1)</f>
        <v>0</v>
      </c>
      <c r="BX14" s="273">
        <f>AU14*Pricing!G$3*IF($T$41="N",(1+$V$41),1)</f>
        <v>0</v>
      </c>
      <c r="BY14" s="273">
        <f>AV14*Pricing!H$3*IF($T$41="N",(1+$V$41),1)</f>
        <v>0</v>
      </c>
      <c r="BZ14" s="273">
        <f>AW14*Pricing!I$3*IF($T$41="N",(1+$V$41),1)</f>
        <v>0</v>
      </c>
      <c r="CA14" s="273">
        <f>AX14*Pricing!J$3*IF($T$41="N",(1+$V$41),1)</f>
        <v>27882.137651601854</v>
      </c>
      <c r="CB14" s="273">
        <f>AY14*Pricing!K$3*IF($T$41="N",(1+$V$41),1)</f>
        <v>0</v>
      </c>
      <c r="CC14" s="273">
        <f>AZ14*Pricing!L$3*IF($T$41="N",(1+$V$41),1)</f>
        <v>0</v>
      </c>
      <c r="CD14" s="273">
        <f>BA14*Pricing!M$3*IF($T$41="N",(1+$V$41),1)</f>
        <v>0</v>
      </c>
      <c r="CE14" s="273">
        <f>BB14*Pricing!N$3*IF($T$41="N",(1+$V$41),1)</f>
        <v>0</v>
      </c>
      <c r="CF14" s="855">
        <f>BC14*Pricing!O$3*IF($T$41="N",(1+$V$41),1)</f>
        <v>0</v>
      </c>
      <c r="CG14" s="273">
        <f t="shared" si="47"/>
        <v>12204.908786158387</v>
      </c>
      <c r="CH14" s="854">
        <f t="shared" si="48"/>
        <v>3000</v>
      </c>
      <c r="CI14" s="273">
        <f t="shared" si="49"/>
        <v>0</v>
      </c>
      <c r="CJ14" s="273">
        <f t="shared" si="50"/>
        <v>4228.0284478608728</v>
      </c>
      <c r="CK14" s="273">
        <f t="shared" si="51"/>
        <v>0</v>
      </c>
      <c r="CL14" s="856">
        <f t="shared" si="52"/>
        <v>0</v>
      </c>
      <c r="CM14" s="857">
        <f t="shared" si="53"/>
        <v>2126.4708908387252</v>
      </c>
      <c r="CN14" s="855">
        <f t="shared" si="54"/>
        <v>2334.9056603773583</v>
      </c>
      <c r="CO14" s="857">
        <f t="shared" si="55"/>
        <v>1365.6721698113208</v>
      </c>
      <c r="CP14" s="273">
        <f t="shared" si="56"/>
        <v>3508.3062986666673</v>
      </c>
      <c r="CQ14" s="54">
        <f t="shared" si="57"/>
        <v>0</v>
      </c>
      <c r="CR14" s="858">
        <f t="shared" si="58"/>
        <v>82423.507288271911</v>
      </c>
    </row>
    <row r="15" spans="1:96" ht="19.5" customHeight="1">
      <c r="B15" s="833"/>
      <c r="C15" s="541"/>
      <c r="D15" s="834">
        <v>5</v>
      </c>
      <c r="E15" s="835"/>
      <c r="F15" s="836"/>
      <c r="G15" s="836"/>
      <c r="H15" s="836"/>
      <c r="I15" s="837"/>
      <c r="J15" s="838">
        <f t="shared" si="1"/>
        <v>0</v>
      </c>
      <c r="K15" s="77"/>
      <c r="L15" s="839"/>
      <c r="M15" s="77"/>
      <c r="N15" s="839"/>
      <c r="O15" s="840"/>
      <c r="P15" s="77"/>
      <c r="Q15" s="837"/>
      <c r="R15" s="841">
        <f t="shared" si="2"/>
        <v>0</v>
      </c>
      <c r="S15" s="841">
        <f t="shared" si="3"/>
        <v>0</v>
      </c>
      <c r="T15" s="842">
        <f>(IF(E15="",0,IF(J$54="",SUM(BN15:CP15)/E15,(SUM(BW15:CP15)+BM15)/E15)))*(1+M$42+Summary!P$57)</f>
        <v>0</v>
      </c>
      <c r="U15" s="843">
        <f t="shared" si="4"/>
        <v>0</v>
      </c>
      <c r="V15" s="844">
        <f t="shared" si="5"/>
        <v>0</v>
      </c>
      <c r="W15" s="845">
        <f t="shared" si="6"/>
        <v>0</v>
      </c>
      <c r="X15" s="846">
        <f t="shared" si="7"/>
        <v>0</v>
      </c>
      <c r="Y15" s="847">
        <f t="shared" si="8"/>
        <v>0</v>
      </c>
      <c r="Z15" s="847">
        <f t="shared" si="9"/>
        <v>0</v>
      </c>
      <c r="AA15" s="848">
        <f t="shared" si="10"/>
        <v>0</v>
      </c>
      <c r="AB15" s="849">
        <f t="shared" si="11"/>
        <v>0</v>
      </c>
      <c r="AG15" t="str">
        <f t="shared" si="12"/>
        <v/>
      </c>
      <c r="AH15">
        <f t="shared" si="13"/>
        <v>0</v>
      </c>
      <c r="AI15">
        <f t="shared" si="14"/>
        <v>0</v>
      </c>
      <c r="AJ15" t="str">
        <f t="shared" si="15"/>
        <v/>
      </c>
      <c r="AK15">
        <f t="shared" si="16"/>
        <v>0</v>
      </c>
      <c r="AL15">
        <f t="shared" si="17"/>
        <v>0</v>
      </c>
      <c r="AM15">
        <f t="shared" si="18"/>
        <v>0</v>
      </c>
      <c r="AN15">
        <f t="shared" si="19"/>
        <v>0</v>
      </c>
      <c r="AO15" t="str">
        <f t="shared" si="20"/>
        <v/>
      </c>
      <c r="AP15">
        <v>3</v>
      </c>
      <c r="AQ15" t="str">
        <f t="shared" si="21"/>
        <v/>
      </c>
      <c r="AR15">
        <f t="shared" si="22"/>
        <v>0</v>
      </c>
      <c r="AS15">
        <f t="shared" si="23"/>
        <v>0</v>
      </c>
      <c r="AT15">
        <f t="shared" si="24"/>
        <v>0</v>
      </c>
      <c r="AU15">
        <f t="shared" si="25"/>
        <v>0</v>
      </c>
      <c r="AV15">
        <f t="shared" si="26"/>
        <v>0</v>
      </c>
      <c r="AW15">
        <f t="shared" si="27"/>
        <v>0</v>
      </c>
      <c r="AX15" s="847">
        <f t="shared" si="28"/>
        <v>0</v>
      </c>
      <c r="AY15">
        <f t="shared" si="29"/>
        <v>0</v>
      </c>
      <c r="AZ15">
        <f t="shared" si="30"/>
        <v>0</v>
      </c>
      <c r="BA15">
        <f t="shared" si="31"/>
        <v>0</v>
      </c>
      <c r="BB15">
        <f t="shared" si="32"/>
        <v>0</v>
      </c>
      <c r="BC15">
        <f t="shared" si="33"/>
        <v>0</v>
      </c>
      <c r="BD15">
        <f t="shared" si="34"/>
        <v>0</v>
      </c>
      <c r="BE15">
        <f t="shared" si="35"/>
        <v>0</v>
      </c>
      <c r="BF15">
        <f t="shared" si="35"/>
        <v>0</v>
      </c>
      <c r="BG15">
        <f t="shared" si="35"/>
        <v>0</v>
      </c>
      <c r="BH15">
        <f t="shared" si="35"/>
        <v>0</v>
      </c>
      <c r="BI15">
        <f t="shared" si="35"/>
        <v>0</v>
      </c>
      <c r="BJ15">
        <f t="shared" si="35"/>
        <v>0</v>
      </c>
      <c r="BK15">
        <f t="shared" si="35"/>
        <v>0</v>
      </c>
      <c r="BL15" t="str">
        <f t="shared" si="36"/>
        <v/>
      </c>
      <c r="BM15" s="850">
        <f t="shared" si="37"/>
        <v>0</v>
      </c>
      <c r="BN15" s="854">
        <f t="shared" si="38"/>
        <v>0</v>
      </c>
      <c r="BO15" s="273">
        <f t="shared" si="39"/>
        <v>0</v>
      </c>
      <c r="BP15" s="273">
        <f t="shared" si="40"/>
        <v>0</v>
      </c>
      <c r="BQ15" s="273">
        <f t="shared" si="41"/>
        <v>0</v>
      </c>
      <c r="BR15" s="273">
        <f t="shared" si="42"/>
        <v>0</v>
      </c>
      <c r="BS15" s="273">
        <f t="shared" si="43"/>
        <v>0</v>
      </c>
      <c r="BT15" s="273">
        <f t="shared" si="44"/>
        <v>0</v>
      </c>
      <c r="BU15" s="273">
        <f t="shared" si="45"/>
        <v>0</v>
      </c>
      <c r="BV15" s="855" t="str">
        <f t="shared" si="46"/>
        <v/>
      </c>
      <c r="BW15" s="854">
        <f>AT15*Pricing!F$3*IF($T$41="N",(1+$V$41),1)</f>
        <v>0</v>
      </c>
      <c r="BX15" s="273">
        <f>AU15*Pricing!G$3*IF($T$41="N",(1+$V$41),1)</f>
        <v>0</v>
      </c>
      <c r="BY15" s="273">
        <f>AV15*Pricing!H$3*IF($T$41="N",(1+$V$41),1)</f>
        <v>0</v>
      </c>
      <c r="BZ15" s="273">
        <f>AW15*Pricing!I$3*IF($T$41="N",(1+$V$41),1)</f>
        <v>0</v>
      </c>
      <c r="CA15" s="273">
        <f>AX15*Pricing!J$3*IF($T$41="N",(1+$V$41),1)</f>
        <v>0</v>
      </c>
      <c r="CB15" s="273">
        <f>AY15*Pricing!K$3*IF($T$41="N",(1+$V$41),1)</f>
        <v>0</v>
      </c>
      <c r="CC15" s="273">
        <f>AZ15*Pricing!L$3*IF($T$41="N",(1+$V$41),1)</f>
        <v>0</v>
      </c>
      <c r="CD15" s="273">
        <f>BA15*Pricing!M$3*IF($T$41="N",(1+$V$41),1)</f>
        <v>0</v>
      </c>
      <c r="CE15" s="273">
        <f>BB15*Pricing!N$3*IF($T$41="N",(1+$V$41),1)</f>
        <v>0</v>
      </c>
      <c r="CF15" s="855">
        <f>BC15*Pricing!O$3*IF($T$41="N",(1+$V$41),1)</f>
        <v>0</v>
      </c>
      <c r="CG15" s="273">
        <f t="shared" si="47"/>
        <v>0</v>
      </c>
      <c r="CH15" s="854">
        <f t="shared" si="48"/>
        <v>0</v>
      </c>
      <c r="CI15" s="273">
        <f t="shared" si="49"/>
        <v>0</v>
      </c>
      <c r="CJ15" s="273" t="str">
        <f t="shared" si="50"/>
        <v/>
      </c>
      <c r="CK15" s="273">
        <f t="shared" si="51"/>
        <v>0</v>
      </c>
      <c r="CL15" s="856">
        <f t="shared" si="52"/>
        <v>0</v>
      </c>
      <c r="CM15" s="857">
        <f t="shared" si="53"/>
        <v>0</v>
      </c>
      <c r="CN15" s="855">
        <f t="shared" si="54"/>
        <v>0</v>
      </c>
      <c r="CO15" s="857">
        <f t="shared" si="55"/>
        <v>0</v>
      </c>
      <c r="CP15" s="273">
        <f t="shared" si="56"/>
        <v>0</v>
      </c>
      <c r="CQ15" s="54">
        <f t="shared" si="57"/>
        <v>0</v>
      </c>
      <c r="CR15" s="858">
        <f t="shared" si="58"/>
        <v>0</v>
      </c>
    </row>
    <row r="16" spans="1:96" ht="19.5" customHeight="1">
      <c r="A16" s="18" t="s">
        <v>1257</v>
      </c>
      <c r="B16" s="833"/>
      <c r="C16" s="541"/>
      <c r="D16" s="834">
        <v>5</v>
      </c>
      <c r="E16" s="835"/>
      <c r="F16" s="836"/>
      <c r="G16" s="836"/>
      <c r="H16" s="836"/>
      <c r="I16" s="837"/>
      <c r="J16" s="838">
        <f t="shared" si="1"/>
        <v>0</v>
      </c>
      <c r="K16" s="77"/>
      <c r="L16" s="839"/>
      <c r="M16" s="77"/>
      <c r="N16" s="839"/>
      <c r="O16" s="840"/>
      <c r="P16" s="77"/>
      <c r="Q16" s="837"/>
      <c r="R16" s="841">
        <f t="shared" si="2"/>
        <v>0</v>
      </c>
      <c r="S16" s="841">
        <f t="shared" si="3"/>
        <v>0</v>
      </c>
      <c r="T16" s="842">
        <f>(IF(E16="",0,IF(J$54="",SUM(BN16:CP16)/E16,(SUM(BW16:CP16)+BM16)/E16)))*(1+M$42+Summary!P$57)</f>
        <v>0</v>
      </c>
      <c r="U16" s="843">
        <f t="shared" si="4"/>
        <v>0</v>
      </c>
      <c r="V16" s="844">
        <f t="shared" si="5"/>
        <v>0</v>
      </c>
      <c r="W16" s="845">
        <f t="shared" si="6"/>
        <v>0</v>
      </c>
      <c r="X16" s="846">
        <f t="shared" si="7"/>
        <v>0</v>
      </c>
      <c r="Y16" s="847">
        <f t="shared" si="8"/>
        <v>0</v>
      </c>
      <c r="Z16" s="847">
        <f t="shared" si="9"/>
        <v>0</v>
      </c>
      <c r="AA16" s="848">
        <f t="shared" si="10"/>
        <v>0</v>
      </c>
      <c r="AB16" s="849">
        <f t="shared" si="11"/>
        <v>0</v>
      </c>
      <c r="AG16" t="str">
        <f t="shared" si="12"/>
        <v/>
      </c>
      <c r="AH16">
        <f t="shared" si="13"/>
        <v>0</v>
      </c>
      <c r="AI16">
        <f t="shared" si="14"/>
        <v>0</v>
      </c>
      <c r="AJ16" t="str">
        <f t="shared" si="15"/>
        <v/>
      </c>
      <c r="AK16">
        <f t="shared" si="16"/>
        <v>0</v>
      </c>
      <c r="AL16">
        <f t="shared" si="17"/>
        <v>0</v>
      </c>
      <c r="AM16">
        <f t="shared" si="18"/>
        <v>0</v>
      </c>
      <c r="AN16">
        <f t="shared" si="19"/>
        <v>0</v>
      </c>
      <c r="AO16" t="str">
        <f t="shared" si="20"/>
        <v/>
      </c>
      <c r="AP16">
        <v>3</v>
      </c>
      <c r="AQ16" t="str">
        <f t="shared" si="21"/>
        <v/>
      </c>
      <c r="AR16">
        <f t="shared" si="22"/>
        <v>0</v>
      </c>
      <c r="AS16">
        <f t="shared" si="23"/>
        <v>0</v>
      </c>
      <c r="AT16">
        <f t="shared" si="24"/>
        <v>0</v>
      </c>
      <c r="AU16">
        <f t="shared" si="25"/>
        <v>0</v>
      </c>
      <c r="AV16">
        <f t="shared" si="26"/>
        <v>0</v>
      </c>
      <c r="AW16">
        <f t="shared" si="27"/>
        <v>0</v>
      </c>
      <c r="AX16" s="847">
        <f t="shared" si="28"/>
        <v>0</v>
      </c>
      <c r="AY16">
        <f t="shared" si="29"/>
        <v>0</v>
      </c>
      <c r="AZ16">
        <f t="shared" si="30"/>
        <v>0</v>
      </c>
      <c r="BA16">
        <f t="shared" si="31"/>
        <v>0</v>
      </c>
      <c r="BB16">
        <f t="shared" si="32"/>
        <v>0</v>
      </c>
      <c r="BC16">
        <f t="shared" si="33"/>
        <v>0</v>
      </c>
      <c r="BD16">
        <f t="shared" si="34"/>
        <v>0</v>
      </c>
      <c r="BE16">
        <f t="shared" si="35"/>
        <v>0</v>
      </c>
      <c r="BF16">
        <f t="shared" si="35"/>
        <v>0</v>
      </c>
      <c r="BG16">
        <f t="shared" si="35"/>
        <v>0</v>
      </c>
      <c r="BH16">
        <f t="shared" si="35"/>
        <v>0</v>
      </c>
      <c r="BI16">
        <f t="shared" si="35"/>
        <v>0</v>
      </c>
      <c r="BJ16">
        <f t="shared" si="35"/>
        <v>0</v>
      </c>
      <c r="BK16">
        <f t="shared" si="35"/>
        <v>0</v>
      </c>
      <c r="BL16" t="str">
        <f t="shared" si="36"/>
        <v/>
      </c>
      <c r="BM16" s="850">
        <f t="shared" si="37"/>
        <v>0</v>
      </c>
      <c r="BN16" s="854">
        <f t="shared" si="38"/>
        <v>0</v>
      </c>
      <c r="BO16" s="273">
        <f t="shared" si="39"/>
        <v>0</v>
      </c>
      <c r="BP16" s="273">
        <f t="shared" si="40"/>
        <v>0</v>
      </c>
      <c r="BQ16" s="273">
        <f t="shared" si="41"/>
        <v>0</v>
      </c>
      <c r="BR16" s="273">
        <f t="shared" si="42"/>
        <v>0</v>
      </c>
      <c r="BS16" s="273">
        <f t="shared" si="43"/>
        <v>0</v>
      </c>
      <c r="BT16" s="273">
        <f t="shared" si="44"/>
        <v>0</v>
      </c>
      <c r="BU16" s="273">
        <f t="shared" si="45"/>
        <v>0</v>
      </c>
      <c r="BV16" s="855" t="str">
        <f t="shared" si="46"/>
        <v/>
      </c>
      <c r="BW16" s="854">
        <f>AT16*Pricing!F$3*IF($T$41="N",(1+$V$41),1)</f>
        <v>0</v>
      </c>
      <c r="BX16" s="273">
        <f>AU16*Pricing!G$3*IF($T$41="N",(1+$V$41),1)</f>
        <v>0</v>
      </c>
      <c r="BY16" s="273">
        <f>AV16*Pricing!H$3*IF($T$41="N",(1+$V$41),1)</f>
        <v>0</v>
      </c>
      <c r="BZ16" s="273">
        <f>AW16*Pricing!I$3*IF($T$41="N",(1+$V$41),1)</f>
        <v>0</v>
      </c>
      <c r="CA16" s="273">
        <f>AX16*Pricing!J$3*IF($T$41="N",(1+$V$41),1)</f>
        <v>0</v>
      </c>
      <c r="CB16" s="273">
        <f>AY16*Pricing!K$3*IF($T$41="N",(1+$V$41),1)</f>
        <v>0</v>
      </c>
      <c r="CC16" s="273">
        <f>AZ16*Pricing!L$3*IF($T$41="N",(1+$V$41),1)</f>
        <v>0</v>
      </c>
      <c r="CD16" s="273">
        <f>BA16*Pricing!M$3*IF($T$41="N",(1+$V$41),1)</f>
        <v>0</v>
      </c>
      <c r="CE16" s="273">
        <f>BB16*Pricing!N$3*IF($T$41="N",(1+$V$41),1)</f>
        <v>0</v>
      </c>
      <c r="CF16" s="855">
        <f>BC16*Pricing!O$3*IF($T$41="N",(1+$V$41),1)</f>
        <v>0</v>
      </c>
      <c r="CG16" s="273">
        <f t="shared" si="47"/>
        <v>0</v>
      </c>
      <c r="CH16" s="854">
        <f t="shared" si="48"/>
        <v>0</v>
      </c>
      <c r="CI16" s="273">
        <f t="shared" si="49"/>
        <v>0</v>
      </c>
      <c r="CJ16" s="273" t="str">
        <f t="shared" si="50"/>
        <v/>
      </c>
      <c r="CK16" s="273">
        <f t="shared" si="51"/>
        <v>0</v>
      </c>
      <c r="CL16" s="856">
        <f t="shared" si="52"/>
        <v>0</v>
      </c>
      <c r="CM16" s="857">
        <f t="shared" si="53"/>
        <v>0</v>
      </c>
      <c r="CN16" s="855">
        <f t="shared" si="54"/>
        <v>0</v>
      </c>
      <c r="CO16" s="857">
        <f t="shared" si="55"/>
        <v>0</v>
      </c>
      <c r="CP16" s="273">
        <f t="shared" si="56"/>
        <v>0</v>
      </c>
      <c r="CQ16" s="54">
        <f t="shared" si="57"/>
        <v>0</v>
      </c>
      <c r="CR16" s="858">
        <f t="shared" si="58"/>
        <v>0</v>
      </c>
    </row>
    <row r="17" spans="1:96" ht="19.5" customHeight="1">
      <c r="A17" s="18" t="s">
        <v>1257</v>
      </c>
      <c r="B17" s="833"/>
      <c r="C17" s="541"/>
      <c r="D17" s="834">
        <v>5</v>
      </c>
      <c r="E17" s="835">
        <v>4</v>
      </c>
      <c r="F17" s="836">
        <v>24</v>
      </c>
      <c r="G17" s="836">
        <v>16</v>
      </c>
      <c r="H17" s="836">
        <v>5</v>
      </c>
      <c r="I17" s="837"/>
      <c r="J17" s="838">
        <f t="shared" si="1"/>
        <v>21</v>
      </c>
      <c r="K17" s="77">
        <v>7</v>
      </c>
      <c r="L17" s="839">
        <v>6</v>
      </c>
      <c r="M17" s="77">
        <v>3</v>
      </c>
      <c r="N17" s="839">
        <v>10</v>
      </c>
      <c r="O17" s="840">
        <v>4</v>
      </c>
      <c r="P17" s="77">
        <v>6</v>
      </c>
      <c r="Q17" s="837">
        <v>8</v>
      </c>
      <c r="R17" s="841">
        <f t="shared" si="2"/>
        <v>1411.7528971291372</v>
      </c>
      <c r="S17" s="841">
        <f t="shared" si="3"/>
        <v>10.358979555555555</v>
      </c>
      <c r="T17" s="842">
        <f>(IF(E17="",0,IF(J$54="",SUM(BN17:CP17)/E17,(SUM(BW17:CP17)+BM17)/E17)))*(1+M$42+Summary!P$57)</f>
        <v>1802.9680774235264</v>
      </c>
      <c r="U17" s="843">
        <f t="shared" si="4"/>
        <v>50.93133595158308</v>
      </c>
      <c r="V17" s="844">
        <f t="shared" si="5"/>
        <v>20.716784768518519</v>
      </c>
      <c r="W17" s="845">
        <f t="shared" si="6"/>
        <v>45.823869756076384</v>
      </c>
      <c r="X17" s="846">
        <f t="shared" si="7"/>
        <v>4</v>
      </c>
      <c r="Y17" s="847">
        <f t="shared" si="8"/>
        <v>1411.7528971291372</v>
      </c>
      <c r="Z17" s="847">
        <f t="shared" si="9"/>
        <v>10.358979555555555</v>
      </c>
      <c r="AA17" s="848">
        <f t="shared" si="10"/>
        <v>4</v>
      </c>
      <c r="AB17" s="849">
        <f t="shared" si="11"/>
        <v>7211.8723096941058</v>
      </c>
      <c r="AG17">
        <f t="shared" si="12"/>
        <v>84</v>
      </c>
      <c r="AH17">
        <f t="shared" si="13"/>
        <v>3.2796817129629605E-2</v>
      </c>
      <c r="AI17">
        <f t="shared" si="14"/>
        <v>0.12347037037037038</v>
      </c>
      <c r="AJ17">
        <f t="shared" si="15"/>
        <v>16.806582108680203</v>
      </c>
      <c r="AK17">
        <f t="shared" si="16"/>
        <v>0.18366217592592576</v>
      </c>
      <c r="AL17">
        <f t="shared" si="17"/>
        <v>5.5028959541377267</v>
      </c>
      <c r="AM17">
        <f t="shared" si="18"/>
        <v>0</v>
      </c>
      <c r="AN17">
        <f t="shared" si="19"/>
        <v>30</v>
      </c>
      <c r="AO17">
        <f t="shared" si="20"/>
        <v>8</v>
      </c>
      <c r="AP17">
        <v>3</v>
      </c>
      <c r="AQ17">
        <f t="shared" si="21"/>
        <v>10.083949265208121</v>
      </c>
      <c r="AR17">
        <f t="shared" si="22"/>
        <v>20.716784768518519</v>
      </c>
      <c r="AS17">
        <f t="shared" si="23"/>
        <v>0.64204592592592602</v>
      </c>
      <c r="AT17">
        <f t="shared" si="24"/>
        <v>0</v>
      </c>
      <c r="AU17">
        <f t="shared" si="25"/>
        <v>0</v>
      </c>
      <c r="AV17">
        <f t="shared" si="26"/>
        <v>0</v>
      </c>
      <c r="AW17">
        <f t="shared" si="27"/>
        <v>0</v>
      </c>
      <c r="AX17" s="847">
        <f t="shared" si="28"/>
        <v>10.358979555555555</v>
      </c>
      <c r="AY17">
        <f t="shared" si="29"/>
        <v>0</v>
      </c>
      <c r="AZ17">
        <f t="shared" si="30"/>
        <v>0</v>
      </c>
      <c r="BA17">
        <f t="shared" si="31"/>
        <v>0</v>
      </c>
      <c r="BB17">
        <f t="shared" si="32"/>
        <v>0</v>
      </c>
      <c r="BC17">
        <f t="shared" si="33"/>
        <v>0</v>
      </c>
      <c r="BD17">
        <f t="shared" si="34"/>
        <v>0</v>
      </c>
      <c r="BE17">
        <f t="shared" si="35"/>
        <v>0</v>
      </c>
      <c r="BF17">
        <f t="shared" si="35"/>
        <v>84</v>
      </c>
      <c r="BG17">
        <f t="shared" si="35"/>
        <v>0</v>
      </c>
      <c r="BH17">
        <f t="shared" si="35"/>
        <v>0</v>
      </c>
      <c r="BI17">
        <f t="shared" si="35"/>
        <v>0</v>
      </c>
      <c r="BJ17">
        <f t="shared" si="35"/>
        <v>0</v>
      </c>
      <c r="BK17">
        <f t="shared" si="35"/>
        <v>0</v>
      </c>
      <c r="BL17" t="str">
        <f t="shared" si="36"/>
        <v/>
      </c>
      <c r="BM17" s="850">
        <f t="shared" si="37"/>
        <v>0</v>
      </c>
      <c r="BN17" s="854">
        <f t="shared" si="38"/>
        <v>0</v>
      </c>
      <c r="BO17" s="273">
        <f t="shared" si="39"/>
        <v>0</v>
      </c>
      <c r="BP17" s="273">
        <f t="shared" si="40"/>
        <v>672</v>
      </c>
      <c r="BQ17" s="273">
        <f t="shared" si="41"/>
        <v>0</v>
      </c>
      <c r="BR17" s="273">
        <f t="shared" si="42"/>
        <v>0</v>
      </c>
      <c r="BS17" s="273">
        <f t="shared" si="43"/>
        <v>0</v>
      </c>
      <c r="BT17" s="273">
        <f t="shared" si="44"/>
        <v>0</v>
      </c>
      <c r="BU17" s="273">
        <f t="shared" si="45"/>
        <v>0</v>
      </c>
      <c r="BV17" s="855" t="str">
        <f t="shared" si="46"/>
        <v/>
      </c>
      <c r="BW17" s="854">
        <f>AT17*Pricing!F$3*IF($T$41="N",(1+$V$41),1)</f>
        <v>0</v>
      </c>
      <c r="BX17" s="273">
        <f>AU17*Pricing!G$3*IF($T$41="N",(1+$V$41),1)</f>
        <v>0</v>
      </c>
      <c r="BY17" s="273">
        <f>AV17*Pricing!H$3*IF($T$41="N",(1+$V$41),1)</f>
        <v>0</v>
      </c>
      <c r="BZ17" s="273">
        <f>AW17*Pricing!I$3*IF($T$41="N",(1+$V$41),1)</f>
        <v>0</v>
      </c>
      <c r="CA17" s="273">
        <f>AX17*Pricing!J$3*IF($T$41="N",(1+$V$41),1)</f>
        <v>1738.1072821777777</v>
      </c>
      <c r="CB17" s="273">
        <f>AY17*Pricing!K$3*IF($T$41="N",(1+$V$41),1)</f>
        <v>0</v>
      </c>
      <c r="CC17" s="273">
        <f>AZ17*Pricing!L$3*IF($T$41="N",(1+$V$41),1)</f>
        <v>0</v>
      </c>
      <c r="CD17" s="273">
        <f>BA17*Pricing!M$3*IF($T$41="N",(1+$V$41),1)</f>
        <v>0</v>
      </c>
      <c r="CE17" s="273">
        <f>BB17*Pricing!N$3*IF($T$41="N",(1+$V$41),1)</f>
        <v>0</v>
      </c>
      <c r="CF17" s="855">
        <f>BC17*Pricing!O$3*IF($T$41="N",(1+$V$41),1)</f>
        <v>0</v>
      </c>
      <c r="CG17" s="273">
        <f t="shared" si="47"/>
        <v>916.9335066853746</v>
      </c>
      <c r="CH17" s="854">
        <f t="shared" si="48"/>
        <v>600</v>
      </c>
      <c r="CI17" s="273">
        <f t="shared" si="49"/>
        <v>0</v>
      </c>
      <c r="CJ17" s="273">
        <f t="shared" si="50"/>
        <v>317.64440185405584</v>
      </c>
      <c r="CK17" s="273">
        <f t="shared" si="51"/>
        <v>0</v>
      </c>
      <c r="CL17" s="856">
        <f t="shared" si="52"/>
        <v>0</v>
      </c>
      <c r="CM17" s="857">
        <f t="shared" si="53"/>
        <v>425.29417816774503</v>
      </c>
      <c r="CN17" s="855">
        <f t="shared" si="54"/>
        <v>466.98113207547169</v>
      </c>
      <c r="CO17" s="857">
        <f t="shared" si="55"/>
        <v>273.13443396226415</v>
      </c>
      <c r="CP17" s="273">
        <f t="shared" si="56"/>
        <v>701.66125973333351</v>
      </c>
      <c r="CQ17" s="54">
        <f t="shared" si="57"/>
        <v>0</v>
      </c>
      <c r="CR17" s="858">
        <f t="shared" si="58"/>
        <v>7211.8723096941058</v>
      </c>
    </row>
    <row r="18" spans="1:96" ht="19.5" customHeight="1">
      <c r="A18" s="18" t="s">
        <v>1257</v>
      </c>
      <c r="B18" s="833"/>
      <c r="C18" s="541"/>
      <c r="D18" s="834">
        <v>5</v>
      </c>
      <c r="E18" s="835">
        <v>12</v>
      </c>
      <c r="F18" s="836">
        <v>42</v>
      </c>
      <c r="G18" s="836">
        <v>16</v>
      </c>
      <c r="H18" s="836">
        <v>4</v>
      </c>
      <c r="I18" s="837"/>
      <c r="J18" s="838">
        <f t="shared" si="1"/>
        <v>20</v>
      </c>
      <c r="K18" s="77">
        <v>12</v>
      </c>
      <c r="L18" s="839">
        <v>8</v>
      </c>
      <c r="M18" s="77">
        <v>3</v>
      </c>
      <c r="N18" s="839">
        <v>10</v>
      </c>
      <c r="O18" s="840">
        <v>4</v>
      </c>
      <c r="P18" s="77">
        <v>6</v>
      </c>
      <c r="Q18" s="837">
        <v>8</v>
      </c>
      <c r="R18" s="841">
        <f t="shared" si="2"/>
        <v>10307.438792808176</v>
      </c>
      <c r="S18" s="841">
        <f t="shared" si="3"/>
        <v>90.641071111111117</v>
      </c>
      <c r="T18" s="842">
        <f>(IF(E18="",0,IF(J$54="",SUM(BN18:CP18)/E18,(SUM(BW18:CP18)+BM18)/E18)))*(1+M$42+Summary!P$57)</f>
        <v>3817.6448505929707</v>
      </c>
      <c r="U18" s="843">
        <f t="shared" si="4"/>
        <v>149.01601918050787</v>
      </c>
      <c r="V18" s="844">
        <f t="shared" si="5"/>
        <v>63.445153353587962</v>
      </c>
      <c r="W18" s="845">
        <f t="shared" si="6"/>
        <v>86.640718995659711</v>
      </c>
      <c r="X18" s="846">
        <f t="shared" si="7"/>
        <v>12</v>
      </c>
      <c r="Y18" s="847">
        <f t="shared" si="8"/>
        <v>10307.438792808176</v>
      </c>
      <c r="Z18" s="847">
        <f t="shared" si="9"/>
        <v>90.641071111111117</v>
      </c>
      <c r="AA18" s="848">
        <f t="shared" si="10"/>
        <v>12</v>
      </c>
      <c r="AB18" s="849">
        <f t="shared" si="11"/>
        <v>45811.738207115646</v>
      </c>
      <c r="AG18">
        <f t="shared" si="12"/>
        <v>240</v>
      </c>
      <c r="AH18">
        <f t="shared" si="13"/>
        <v>5.5947511574074071E-2</v>
      </c>
      <c r="AI18">
        <f t="shared" si="14"/>
        <v>0.37812800925925927</v>
      </c>
      <c r="AJ18">
        <f t="shared" si="15"/>
        <v>42.947661636700737</v>
      </c>
      <c r="AK18">
        <f t="shared" si="16"/>
        <v>0.31330606481481477</v>
      </c>
      <c r="AL18">
        <f t="shared" si="17"/>
        <v>9.3872930982349523</v>
      </c>
      <c r="AM18">
        <f t="shared" si="18"/>
        <v>0</v>
      </c>
      <c r="AN18">
        <f t="shared" si="19"/>
        <v>60</v>
      </c>
      <c r="AO18">
        <f t="shared" si="20"/>
        <v>30</v>
      </c>
      <c r="AP18">
        <v>3</v>
      </c>
      <c r="AQ18">
        <f t="shared" si="21"/>
        <v>25.768596982020441</v>
      </c>
      <c r="AR18">
        <f t="shared" si="22"/>
        <v>63.445153353587962</v>
      </c>
      <c r="AS18">
        <f t="shared" si="23"/>
        <v>1.9662656481481482</v>
      </c>
      <c r="AT18">
        <f t="shared" si="24"/>
        <v>0</v>
      </c>
      <c r="AU18">
        <f t="shared" si="25"/>
        <v>0</v>
      </c>
      <c r="AV18">
        <f t="shared" si="26"/>
        <v>0</v>
      </c>
      <c r="AW18">
        <f t="shared" si="27"/>
        <v>0</v>
      </c>
      <c r="AX18" s="847">
        <f t="shared" si="28"/>
        <v>90.641071111111117</v>
      </c>
      <c r="AY18">
        <f t="shared" si="29"/>
        <v>0</v>
      </c>
      <c r="AZ18">
        <f t="shared" si="30"/>
        <v>0</v>
      </c>
      <c r="BA18">
        <f t="shared" si="31"/>
        <v>0</v>
      </c>
      <c r="BB18">
        <f t="shared" si="32"/>
        <v>0</v>
      </c>
      <c r="BC18">
        <f t="shared" si="33"/>
        <v>0</v>
      </c>
      <c r="BD18">
        <f t="shared" si="34"/>
        <v>0</v>
      </c>
      <c r="BE18">
        <f t="shared" si="35"/>
        <v>0</v>
      </c>
      <c r="BF18">
        <f t="shared" si="35"/>
        <v>0</v>
      </c>
      <c r="BG18">
        <f t="shared" si="35"/>
        <v>0</v>
      </c>
      <c r="BH18">
        <f t="shared" si="35"/>
        <v>0</v>
      </c>
      <c r="BI18">
        <f t="shared" si="35"/>
        <v>240</v>
      </c>
      <c r="BJ18">
        <f t="shared" si="35"/>
        <v>0</v>
      </c>
      <c r="BK18">
        <f t="shared" si="35"/>
        <v>0</v>
      </c>
      <c r="BL18" t="str">
        <f t="shared" si="36"/>
        <v/>
      </c>
      <c r="BM18" s="850">
        <f t="shared" si="37"/>
        <v>0</v>
      </c>
      <c r="BN18" s="854">
        <f t="shared" si="38"/>
        <v>0</v>
      </c>
      <c r="BO18" s="273">
        <f t="shared" si="39"/>
        <v>0</v>
      </c>
      <c r="BP18" s="273">
        <f t="shared" si="40"/>
        <v>0</v>
      </c>
      <c r="BQ18" s="273">
        <f t="shared" si="41"/>
        <v>0</v>
      </c>
      <c r="BR18" s="273">
        <f t="shared" si="42"/>
        <v>0</v>
      </c>
      <c r="BS18" s="273">
        <f t="shared" si="43"/>
        <v>7200</v>
      </c>
      <c r="BT18" s="273">
        <f t="shared" si="44"/>
        <v>0</v>
      </c>
      <c r="BU18" s="273">
        <f t="shared" si="45"/>
        <v>0</v>
      </c>
      <c r="BV18" s="855" t="str">
        <f t="shared" si="46"/>
        <v/>
      </c>
      <c r="BW18" s="854">
        <f>AT18*Pricing!F$3*IF($T$41="N",(1+$V$41),1)</f>
        <v>0</v>
      </c>
      <c r="BX18" s="273">
        <f>AU18*Pricing!G$3*IF($T$41="N",(1+$V$41),1)</f>
        <v>0</v>
      </c>
      <c r="BY18" s="273">
        <f>AV18*Pricing!H$3*IF($T$41="N",(1+$V$41),1)</f>
        <v>0</v>
      </c>
      <c r="BZ18" s="273">
        <f>AW18*Pricing!I$3*IF($T$41="N",(1+$V$41),1)</f>
        <v>0</v>
      </c>
      <c r="CA18" s="273">
        <f>AX18*Pricing!J$3*IF($T$41="N",(1+$V$41),1)</f>
        <v>15208.438719055555</v>
      </c>
      <c r="CB18" s="273">
        <f>AY18*Pricing!K$3*IF($T$41="N",(1+$V$41),1)</f>
        <v>0</v>
      </c>
      <c r="CC18" s="273">
        <f>AZ18*Pricing!L$3*IF($T$41="N",(1+$V$41),1)</f>
        <v>0</v>
      </c>
      <c r="CD18" s="273">
        <f>BA18*Pricing!M$3*IF($T$41="N",(1+$V$41),1)</f>
        <v>0</v>
      </c>
      <c r="CE18" s="273">
        <f>BB18*Pricing!N$3*IF($T$41="N",(1+$V$41),1)</f>
        <v>0</v>
      </c>
      <c r="CF18" s="855">
        <f>BC18*Pricing!O$3*IF($T$41="N",(1+$V$41),1)</f>
        <v>0</v>
      </c>
      <c r="CG18" s="273">
        <f t="shared" si="47"/>
        <v>6694.6814959289095</v>
      </c>
      <c r="CH18" s="854">
        <f t="shared" si="48"/>
        <v>1800</v>
      </c>
      <c r="CI18" s="273">
        <f t="shared" si="49"/>
        <v>0</v>
      </c>
      <c r="CJ18" s="273">
        <f t="shared" si="50"/>
        <v>2319.1737283818397</v>
      </c>
      <c r="CK18" s="273">
        <f t="shared" si="51"/>
        <v>0</v>
      </c>
      <c r="CL18" s="856">
        <f t="shared" si="52"/>
        <v>0</v>
      </c>
      <c r="CM18" s="857">
        <f t="shared" si="53"/>
        <v>1275.8825345032351</v>
      </c>
      <c r="CN18" s="855">
        <f t="shared" si="54"/>
        <v>1400.9433962264152</v>
      </c>
      <c r="CO18" s="857">
        <f t="shared" si="55"/>
        <v>819.40330188679241</v>
      </c>
      <c r="CP18" s="273">
        <f t="shared" si="56"/>
        <v>2104.9837792000008</v>
      </c>
      <c r="CQ18" s="54">
        <f t="shared" si="57"/>
        <v>0</v>
      </c>
      <c r="CR18" s="858">
        <f t="shared" si="58"/>
        <v>45811.738207115646</v>
      </c>
    </row>
    <row r="19" spans="1:96" ht="19.5" customHeight="1">
      <c r="A19" s="18" t="s">
        <v>1257</v>
      </c>
      <c r="B19" s="833"/>
      <c r="C19" s="541"/>
      <c r="D19" s="834"/>
      <c r="E19" s="835"/>
      <c r="F19" s="836"/>
      <c r="G19" s="836"/>
      <c r="H19" s="836"/>
      <c r="I19" s="837"/>
      <c r="J19" s="838">
        <f t="shared" si="1"/>
        <v>0</v>
      </c>
      <c r="K19" s="859"/>
      <c r="L19" s="839"/>
      <c r="M19" s="77"/>
      <c r="N19" s="839"/>
      <c r="O19" s="840"/>
      <c r="P19" s="77"/>
      <c r="Q19" s="837"/>
      <c r="R19" s="841">
        <f t="shared" si="2"/>
        <v>0</v>
      </c>
      <c r="S19" s="841">
        <f t="shared" si="3"/>
        <v>0</v>
      </c>
      <c r="T19" s="842">
        <f>(IF(E19="",0,IF(J$54="",SUM(BN19:CP19)/E19,(SUM(BW19:CP19)+BM19)/E19)))*(1+M$42+Summary!P$57)</f>
        <v>0</v>
      </c>
      <c r="U19" s="843">
        <f t="shared" si="4"/>
        <v>0</v>
      </c>
      <c r="V19" s="844">
        <f t="shared" si="5"/>
        <v>0</v>
      </c>
      <c r="W19" s="845">
        <f t="shared" si="6"/>
        <v>0</v>
      </c>
      <c r="X19" s="846">
        <f t="shared" si="7"/>
        <v>0</v>
      </c>
      <c r="Y19" s="847">
        <f t="shared" si="8"/>
        <v>0</v>
      </c>
      <c r="Z19" s="847">
        <f t="shared" si="9"/>
        <v>0</v>
      </c>
      <c r="AA19" s="848">
        <f t="shared" si="10"/>
        <v>0</v>
      </c>
      <c r="AB19" s="849">
        <f t="shared" si="11"/>
        <v>0</v>
      </c>
      <c r="AG19" t="str">
        <f t="shared" si="12"/>
        <v/>
      </c>
      <c r="AH19">
        <f t="shared" si="13"/>
        <v>0</v>
      </c>
      <c r="AI19">
        <f t="shared" si="14"/>
        <v>0</v>
      </c>
      <c r="AJ19" t="str">
        <f t="shared" si="15"/>
        <v/>
      </c>
      <c r="AK19">
        <f t="shared" si="16"/>
        <v>0</v>
      </c>
      <c r="AL19">
        <f t="shared" si="17"/>
        <v>0</v>
      </c>
      <c r="AM19">
        <f t="shared" si="18"/>
        <v>0</v>
      </c>
      <c r="AN19">
        <f t="shared" si="19"/>
        <v>0</v>
      </c>
      <c r="AO19" t="str">
        <f t="shared" si="20"/>
        <v/>
      </c>
      <c r="AP19">
        <v>3</v>
      </c>
      <c r="AQ19" t="str">
        <f t="shared" si="21"/>
        <v/>
      </c>
      <c r="AR19">
        <f t="shared" si="22"/>
        <v>0</v>
      </c>
      <c r="AS19">
        <f t="shared" si="23"/>
        <v>0</v>
      </c>
      <c r="AT19">
        <f t="shared" si="24"/>
        <v>0</v>
      </c>
      <c r="AU19">
        <f t="shared" si="25"/>
        <v>0</v>
      </c>
      <c r="AV19">
        <f t="shared" si="26"/>
        <v>0</v>
      </c>
      <c r="AW19">
        <f t="shared" si="27"/>
        <v>0</v>
      </c>
      <c r="AX19">
        <f t="shared" si="28"/>
        <v>0</v>
      </c>
      <c r="AY19">
        <f t="shared" si="29"/>
        <v>0</v>
      </c>
      <c r="AZ19">
        <f t="shared" si="30"/>
        <v>0</v>
      </c>
      <c r="BA19">
        <f t="shared" si="31"/>
        <v>0</v>
      </c>
      <c r="BB19">
        <f t="shared" si="32"/>
        <v>0</v>
      </c>
      <c r="BC19">
        <f t="shared" si="33"/>
        <v>0</v>
      </c>
      <c r="BD19">
        <f t="shared" si="34"/>
        <v>0</v>
      </c>
      <c r="BE19">
        <f t="shared" si="35"/>
        <v>0</v>
      </c>
      <c r="BF19">
        <f t="shared" si="35"/>
        <v>0</v>
      </c>
      <c r="BG19">
        <f t="shared" si="35"/>
        <v>0</v>
      </c>
      <c r="BH19">
        <f t="shared" si="35"/>
        <v>0</v>
      </c>
      <c r="BI19">
        <f t="shared" si="35"/>
        <v>0</v>
      </c>
      <c r="BJ19">
        <f t="shared" si="35"/>
        <v>0</v>
      </c>
      <c r="BK19">
        <f t="shared" si="35"/>
        <v>0</v>
      </c>
      <c r="BL19" t="str">
        <f t="shared" si="36"/>
        <v/>
      </c>
      <c r="BM19" s="850">
        <f t="shared" si="37"/>
        <v>0</v>
      </c>
      <c r="BN19" s="854">
        <f t="shared" si="38"/>
        <v>0</v>
      </c>
      <c r="BO19" s="273">
        <f t="shared" si="39"/>
        <v>0</v>
      </c>
      <c r="BP19" s="273">
        <f t="shared" si="40"/>
        <v>0</v>
      </c>
      <c r="BQ19" s="273">
        <f t="shared" si="41"/>
        <v>0</v>
      </c>
      <c r="BR19" s="273">
        <f t="shared" si="42"/>
        <v>0</v>
      </c>
      <c r="BS19" s="273">
        <f t="shared" si="43"/>
        <v>0</v>
      </c>
      <c r="BT19" s="273">
        <f t="shared" si="44"/>
        <v>0</v>
      </c>
      <c r="BU19" s="273">
        <f t="shared" si="45"/>
        <v>0</v>
      </c>
      <c r="BV19" s="855" t="str">
        <f t="shared" si="46"/>
        <v/>
      </c>
      <c r="BW19" s="854">
        <f>AT19*Pricing!F$3*IF($T$41="N",(1+$V$41),1)</f>
        <v>0</v>
      </c>
      <c r="BX19" s="273">
        <f>AU19*Pricing!G$3*IF($T$41="N",(1+$V$41),1)</f>
        <v>0</v>
      </c>
      <c r="BY19" s="273">
        <f>AV19*Pricing!H$3*IF($T$41="N",(1+$V$41),1)</f>
        <v>0</v>
      </c>
      <c r="BZ19" s="273">
        <f>AW19*Pricing!I$3*IF($T$41="N",(1+$V$41),1)</f>
        <v>0</v>
      </c>
      <c r="CA19" s="273">
        <f>AX19*Pricing!J$3*IF($T$41="N",(1+$V$41),1)</f>
        <v>0</v>
      </c>
      <c r="CB19" s="273">
        <f>AY19*Pricing!K$3*IF($T$41="N",(1+$V$41),1)</f>
        <v>0</v>
      </c>
      <c r="CC19" s="273">
        <f>AZ19*Pricing!L$3*IF($T$41="N",(1+$V$41),1)</f>
        <v>0</v>
      </c>
      <c r="CD19" s="273">
        <f>BA19*Pricing!M$3*IF($T$41="N",(1+$V$41),1)</f>
        <v>0</v>
      </c>
      <c r="CE19" s="273">
        <f>BB19*Pricing!N$3*IF($T$41="N",(1+$V$41),1)</f>
        <v>0</v>
      </c>
      <c r="CF19" s="855">
        <f>BC19*Pricing!O$3*IF($T$41="N",(1+$V$41),1)</f>
        <v>0</v>
      </c>
      <c r="CG19" s="273">
        <f t="shared" si="47"/>
        <v>0</v>
      </c>
      <c r="CH19" s="854">
        <f t="shared" si="48"/>
        <v>0</v>
      </c>
      <c r="CI19" s="273">
        <f t="shared" si="49"/>
        <v>0</v>
      </c>
      <c r="CJ19" s="273" t="str">
        <f t="shared" si="50"/>
        <v/>
      </c>
      <c r="CK19" s="273">
        <f t="shared" si="51"/>
        <v>0</v>
      </c>
      <c r="CL19" s="856">
        <f t="shared" si="52"/>
        <v>0</v>
      </c>
      <c r="CM19" s="857">
        <f t="shared" si="53"/>
        <v>0</v>
      </c>
      <c r="CN19" s="855">
        <f t="shared" si="54"/>
        <v>0</v>
      </c>
      <c r="CO19" s="857">
        <f t="shared" si="55"/>
        <v>0</v>
      </c>
      <c r="CP19" s="273">
        <f t="shared" si="56"/>
        <v>0</v>
      </c>
      <c r="CQ19" s="54">
        <f t="shared" si="57"/>
        <v>0</v>
      </c>
      <c r="CR19" s="858">
        <f t="shared" si="58"/>
        <v>0</v>
      </c>
    </row>
    <row r="20" spans="1:96" ht="19.5" customHeight="1">
      <c r="B20" s="833"/>
      <c r="C20" s="541"/>
      <c r="D20" s="834"/>
      <c r="E20" s="835"/>
      <c r="F20" s="836"/>
      <c r="G20" s="836"/>
      <c r="H20" s="77"/>
      <c r="I20" s="837"/>
      <c r="J20" s="838">
        <f t="shared" si="1"/>
        <v>0</v>
      </c>
      <c r="K20" s="859"/>
      <c r="L20" s="839"/>
      <c r="M20" s="77"/>
      <c r="N20" s="839"/>
      <c r="O20" s="840"/>
      <c r="P20" s="77"/>
      <c r="Q20" s="837"/>
      <c r="R20" s="841">
        <f t="shared" si="2"/>
        <v>0</v>
      </c>
      <c r="S20" s="841">
        <f t="shared" si="3"/>
        <v>0</v>
      </c>
      <c r="T20" s="842">
        <f>(IF(E20="",0,IF(J$54="",SUM(BN20:CP20)/E20,(SUM(BW20:CP20)+BM20)/E20)))*(1+M$42+Summary!P$57)</f>
        <v>0</v>
      </c>
      <c r="U20" s="843">
        <f t="shared" si="4"/>
        <v>0</v>
      </c>
      <c r="V20" s="844">
        <f t="shared" si="5"/>
        <v>0</v>
      </c>
      <c r="W20" s="845">
        <f t="shared" si="6"/>
        <v>0</v>
      </c>
      <c r="X20" s="846">
        <f t="shared" si="7"/>
        <v>0</v>
      </c>
      <c r="Y20" s="847">
        <f t="shared" si="8"/>
        <v>0</v>
      </c>
      <c r="Z20" s="847">
        <f t="shared" si="9"/>
        <v>0</v>
      </c>
      <c r="AA20" s="848">
        <f t="shared" si="10"/>
        <v>0</v>
      </c>
      <c r="AB20" s="849">
        <f t="shared" si="11"/>
        <v>0</v>
      </c>
      <c r="AG20" t="str">
        <f t="shared" si="12"/>
        <v/>
      </c>
      <c r="AH20">
        <f t="shared" si="13"/>
        <v>0</v>
      </c>
      <c r="AI20">
        <f t="shared" si="14"/>
        <v>0</v>
      </c>
      <c r="AJ20" t="str">
        <f t="shared" si="15"/>
        <v/>
      </c>
      <c r="AK20">
        <f t="shared" si="16"/>
        <v>0</v>
      </c>
      <c r="AL20">
        <f t="shared" si="17"/>
        <v>0</v>
      </c>
      <c r="AM20">
        <f t="shared" si="18"/>
        <v>0</v>
      </c>
      <c r="AN20">
        <f t="shared" si="19"/>
        <v>0</v>
      </c>
      <c r="AO20" t="str">
        <f t="shared" si="20"/>
        <v/>
      </c>
      <c r="AP20">
        <v>3</v>
      </c>
      <c r="AQ20" t="str">
        <f t="shared" si="21"/>
        <v/>
      </c>
      <c r="AR20">
        <f t="shared" si="22"/>
        <v>0</v>
      </c>
      <c r="AS20">
        <f t="shared" si="23"/>
        <v>0</v>
      </c>
      <c r="AT20">
        <f t="shared" si="24"/>
        <v>0</v>
      </c>
      <c r="AU20">
        <f t="shared" si="25"/>
        <v>0</v>
      </c>
      <c r="AV20">
        <f t="shared" si="26"/>
        <v>0</v>
      </c>
      <c r="AW20">
        <f t="shared" si="27"/>
        <v>0</v>
      </c>
      <c r="AX20">
        <f t="shared" si="28"/>
        <v>0</v>
      </c>
      <c r="AY20">
        <f t="shared" si="29"/>
        <v>0</v>
      </c>
      <c r="AZ20">
        <f t="shared" si="30"/>
        <v>0</v>
      </c>
      <c r="BA20">
        <f t="shared" si="31"/>
        <v>0</v>
      </c>
      <c r="BB20">
        <f t="shared" si="32"/>
        <v>0</v>
      </c>
      <c r="BC20">
        <f t="shared" si="33"/>
        <v>0</v>
      </c>
      <c r="BD20">
        <f t="shared" si="34"/>
        <v>0</v>
      </c>
      <c r="BE20">
        <f t="shared" si="35"/>
        <v>0</v>
      </c>
      <c r="BF20">
        <f t="shared" si="35"/>
        <v>0</v>
      </c>
      <c r="BG20">
        <f t="shared" si="35"/>
        <v>0</v>
      </c>
      <c r="BH20">
        <f t="shared" si="35"/>
        <v>0</v>
      </c>
      <c r="BI20">
        <f t="shared" si="35"/>
        <v>0</v>
      </c>
      <c r="BJ20">
        <f t="shared" si="35"/>
        <v>0</v>
      </c>
      <c r="BK20">
        <f t="shared" si="35"/>
        <v>0</v>
      </c>
      <c r="BL20" t="str">
        <f t="shared" si="36"/>
        <v/>
      </c>
      <c r="BM20" s="850">
        <f t="shared" si="37"/>
        <v>0</v>
      </c>
      <c r="BN20" s="854">
        <f t="shared" si="38"/>
        <v>0</v>
      </c>
      <c r="BO20" s="273">
        <f t="shared" si="39"/>
        <v>0</v>
      </c>
      <c r="BP20" s="273">
        <f t="shared" si="40"/>
        <v>0</v>
      </c>
      <c r="BQ20" s="273">
        <f t="shared" si="41"/>
        <v>0</v>
      </c>
      <c r="BR20" s="273">
        <f t="shared" si="42"/>
        <v>0</v>
      </c>
      <c r="BS20" s="273">
        <f t="shared" si="43"/>
        <v>0</v>
      </c>
      <c r="BT20" s="273">
        <f t="shared" si="44"/>
        <v>0</v>
      </c>
      <c r="BU20" s="273">
        <f t="shared" si="45"/>
        <v>0</v>
      </c>
      <c r="BV20" s="855" t="str">
        <f t="shared" si="46"/>
        <v/>
      </c>
      <c r="BW20" s="854">
        <f>AT20*Pricing!F$3*IF($T$41="N",(1+$V$41),1)</f>
        <v>0</v>
      </c>
      <c r="BX20" s="273">
        <f>AU20*Pricing!G$3*IF($T$41="N",(1+$V$41),1)</f>
        <v>0</v>
      </c>
      <c r="BY20" s="273">
        <f>AV20*Pricing!H$3*IF($T$41="N",(1+$V$41),1)</f>
        <v>0</v>
      </c>
      <c r="BZ20" s="273">
        <f>AW20*Pricing!I$3*IF($T$41="N",(1+$V$41),1)</f>
        <v>0</v>
      </c>
      <c r="CA20" s="273">
        <f>AX20*Pricing!J$3*IF($T$41="N",(1+$V$41),1)</f>
        <v>0</v>
      </c>
      <c r="CB20" s="273">
        <f>AY20*Pricing!K$3*IF($T$41="N",(1+$V$41),1)</f>
        <v>0</v>
      </c>
      <c r="CC20" s="273">
        <f>AZ20*Pricing!L$3*IF($T$41="N",(1+$V$41),1)</f>
        <v>0</v>
      </c>
      <c r="CD20" s="273">
        <f>BA20*Pricing!M$3*IF($T$41="N",(1+$V$41),1)</f>
        <v>0</v>
      </c>
      <c r="CE20" s="273">
        <f>BB20*Pricing!N$3*IF($T$41="N",(1+$V$41),1)</f>
        <v>0</v>
      </c>
      <c r="CF20" s="855">
        <f>BC20*Pricing!O$3*IF($T$41="N",(1+$V$41),1)</f>
        <v>0</v>
      </c>
      <c r="CG20" s="273">
        <f t="shared" si="47"/>
        <v>0</v>
      </c>
      <c r="CH20" s="854">
        <f t="shared" si="48"/>
        <v>0</v>
      </c>
      <c r="CI20" s="273">
        <f t="shared" si="49"/>
        <v>0</v>
      </c>
      <c r="CJ20" s="273" t="str">
        <f t="shared" si="50"/>
        <v/>
      </c>
      <c r="CK20" s="273">
        <f t="shared" si="51"/>
        <v>0</v>
      </c>
      <c r="CL20" s="856">
        <f t="shared" si="52"/>
        <v>0</v>
      </c>
      <c r="CM20" s="857">
        <f t="shared" si="53"/>
        <v>0</v>
      </c>
      <c r="CN20" s="855">
        <f t="shared" si="54"/>
        <v>0</v>
      </c>
      <c r="CO20" s="857">
        <f t="shared" si="55"/>
        <v>0</v>
      </c>
      <c r="CP20" s="273">
        <f t="shared" si="56"/>
        <v>0</v>
      </c>
      <c r="CQ20" s="54">
        <f t="shared" si="57"/>
        <v>0</v>
      </c>
      <c r="CR20" s="858">
        <f t="shared" si="58"/>
        <v>0</v>
      </c>
    </row>
    <row r="21" spans="1:96" ht="19.5" customHeight="1">
      <c r="B21" s="833"/>
      <c r="C21" s="541"/>
      <c r="D21" s="834"/>
      <c r="E21" s="835"/>
      <c r="F21" s="836"/>
      <c r="G21" s="836"/>
      <c r="H21" s="836"/>
      <c r="I21" s="837"/>
      <c r="J21" s="838">
        <f t="shared" si="1"/>
        <v>0</v>
      </c>
      <c r="K21" s="859"/>
      <c r="L21" s="839"/>
      <c r="M21" s="77"/>
      <c r="N21" s="839"/>
      <c r="O21" s="840"/>
      <c r="P21" s="77"/>
      <c r="Q21" s="837"/>
      <c r="R21" s="841">
        <f t="shared" si="2"/>
        <v>0</v>
      </c>
      <c r="S21" s="841">
        <f t="shared" si="3"/>
        <v>0</v>
      </c>
      <c r="T21" s="842">
        <f>(IF(E21="",0,IF(J$54="",SUM(BN21:CP21)/E21,(SUM(BW21:CP21)+BM21)/E21)))*(1+M$42+Summary!P$57)</f>
        <v>0</v>
      </c>
      <c r="U21" s="843">
        <f t="shared" si="4"/>
        <v>0</v>
      </c>
      <c r="V21" s="844">
        <f t="shared" si="5"/>
        <v>0</v>
      </c>
      <c r="W21" s="845">
        <f t="shared" si="6"/>
        <v>0</v>
      </c>
      <c r="X21" s="846">
        <f t="shared" si="7"/>
        <v>0</v>
      </c>
      <c r="Y21" s="847">
        <f t="shared" si="8"/>
        <v>0</v>
      </c>
      <c r="Z21" s="847">
        <f t="shared" si="9"/>
        <v>0</v>
      </c>
      <c r="AA21" s="848">
        <f t="shared" si="10"/>
        <v>0</v>
      </c>
      <c r="AB21" s="849">
        <f t="shared" si="11"/>
        <v>0</v>
      </c>
      <c r="AG21" t="str">
        <f t="shared" si="12"/>
        <v/>
      </c>
      <c r="AH21">
        <f t="shared" si="13"/>
        <v>0</v>
      </c>
      <c r="AI21">
        <f t="shared" si="14"/>
        <v>0</v>
      </c>
      <c r="AJ21" t="str">
        <f t="shared" si="15"/>
        <v/>
      </c>
      <c r="AK21">
        <f t="shared" si="16"/>
        <v>0</v>
      </c>
      <c r="AL21">
        <f t="shared" si="17"/>
        <v>0</v>
      </c>
      <c r="AM21">
        <f t="shared" si="18"/>
        <v>0</v>
      </c>
      <c r="AN21">
        <f t="shared" si="19"/>
        <v>0</v>
      </c>
      <c r="AO21" t="str">
        <f t="shared" si="20"/>
        <v/>
      </c>
      <c r="AP21">
        <v>3</v>
      </c>
      <c r="AQ21" t="str">
        <f t="shared" si="21"/>
        <v/>
      </c>
      <c r="AR21">
        <f t="shared" si="22"/>
        <v>0</v>
      </c>
      <c r="AS21">
        <f t="shared" si="23"/>
        <v>0</v>
      </c>
      <c r="AT21">
        <f t="shared" si="24"/>
        <v>0</v>
      </c>
      <c r="AU21">
        <f t="shared" si="25"/>
        <v>0</v>
      </c>
      <c r="AV21">
        <f t="shared" si="26"/>
        <v>0</v>
      </c>
      <c r="AW21">
        <f t="shared" si="27"/>
        <v>0</v>
      </c>
      <c r="AX21">
        <f t="shared" si="28"/>
        <v>0</v>
      </c>
      <c r="AY21">
        <f t="shared" si="29"/>
        <v>0</v>
      </c>
      <c r="AZ21">
        <f t="shared" si="30"/>
        <v>0</v>
      </c>
      <c r="BA21">
        <f t="shared" si="31"/>
        <v>0</v>
      </c>
      <c r="BB21">
        <f t="shared" si="32"/>
        <v>0</v>
      </c>
      <c r="BC21">
        <f t="shared" si="33"/>
        <v>0</v>
      </c>
      <c r="BD21">
        <f t="shared" si="34"/>
        <v>0</v>
      </c>
      <c r="BE21">
        <f t="shared" ref="BE21:BK30" si="59">IF($F21&gt;BD$10,IF($F21&lt;=BE$10,$E21*$J21,0),0)</f>
        <v>0</v>
      </c>
      <c r="BF21">
        <f t="shared" si="59"/>
        <v>0</v>
      </c>
      <c r="BG21">
        <f t="shared" si="59"/>
        <v>0</v>
      </c>
      <c r="BH21">
        <f t="shared" si="59"/>
        <v>0</v>
      </c>
      <c r="BI21">
        <f t="shared" si="59"/>
        <v>0</v>
      </c>
      <c r="BJ21">
        <f t="shared" si="59"/>
        <v>0</v>
      </c>
      <c r="BK21">
        <f t="shared" si="59"/>
        <v>0</v>
      </c>
      <c r="BL21" t="str">
        <f t="shared" si="36"/>
        <v/>
      </c>
      <c r="BM21" s="850">
        <f t="shared" si="37"/>
        <v>0</v>
      </c>
      <c r="BN21" s="854">
        <f t="shared" si="38"/>
        <v>0</v>
      </c>
      <c r="BO21" s="273">
        <f t="shared" si="39"/>
        <v>0</v>
      </c>
      <c r="BP21" s="273">
        <f t="shared" si="40"/>
        <v>0</v>
      </c>
      <c r="BQ21" s="273">
        <f t="shared" si="41"/>
        <v>0</v>
      </c>
      <c r="BR21" s="273">
        <f t="shared" si="42"/>
        <v>0</v>
      </c>
      <c r="BS21" s="273">
        <f t="shared" si="43"/>
        <v>0</v>
      </c>
      <c r="BT21" s="273">
        <f t="shared" si="44"/>
        <v>0</v>
      </c>
      <c r="BU21" s="273">
        <f t="shared" si="45"/>
        <v>0</v>
      </c>
      <c r="BV21" s="855" t="str">
        <f t="shared" si="46"/>
        <v/>
      </c>
      <c r="BW21" s="854">
        <f>AT21*Pricing!F$3*IF($T$41="N",(1+$V$41),1)</f>
        <v>0</v>
      </c>
      <c r="BX21" s="273">
        <f>AU21*Pricing!G$3*IF($T$41="N",(1+$V$41),1)</f>
        <v>0</v>
      </c>
      <c r="BY21" s="273">
        <f>AV21*Pricing!H$3*IF($T$41="N",(1+$V$41),1)</f>
        <v>0</v>
      </c>
      <c r="BZ21" s="273">
        <f>AW21*Pricing!I$3*IF($T$41="N",(1+$V$41),1)</f>
        <v>0</v>
      </c>
      <c r="CA21" s="273">
        <f>AX21*Pricing!J$3*IF($T$41="N",(1+$V$41),1)</f>
        <v>0</v>
      </c>
      <c r="CB21" s="273">
        <f>AY21*Pricing!K$3*IF($T$41="N",(1+$V$41),1)</f>
        <v>0</v>
      </c>
      <c r="CC21" s="273">
        <f>AZ21*Pricing!L$3*IF($T$41="N",(1+$V$41),1)</f>
        <v>0</v>
      </c>
      <c r="CD21" s="273">
        <f>BA21*Pricing!M$3*IF($T$41="N",(1+$V$41),1)</f>
        <v>0</v>
      </c>
      <c r="CE21" s="273">
        <f>BB21*Pricing!N$3*IF($T$41="N",(1+$V$41),1)</f>
        <v>0</v>
      </c>
      <c r="CF21" s="855">
        <f>BC21*Pricing!O$3*IF($T$41="N",(1+$V$41),1)</f>
        <v>0</v>
      </c>
      <c r="CG21" s="273">
        <f t="shared" si="47"/>
        <v>0</v>
      </c>
      <c r="CH21" s="854">
        <f t="shared" si="48"/>
        <v>0</v>
      </c>
      <c r="CI21" s="273">
        <f t="shared" si="49"/>
        <v>0</v>
      </c>
      <c r="CJ21" s="273" t="str">
        <f t="shared" si="50"/>
        <v/>
      </c>
      <c r="CK21" s="273">
        <f t="shared" si="51"/>
        <v>0</v>
      </c>
      <c r="CL21" s="856">
        <f t="shared" si="52"/>
        <v>0</v>
      </c>
      <c r="CM21" s="857">
        <f t="shared" si="53"/>
        <v>0</v>
      </c>
      <c r="CN21" s="855">
        <f t="shared" si="54"/>
        <v>0</v>
      </c>
      <c r="CO21" s="857">
        <f t="shared" si="55"/>
        <v>0</v>
      </c>
      <c r="CP21" s="273">
        <f t="shared" si="56"/>
        <v>0</v>
      </c>
      <c r="CQ21" s="54">
        <f t="shared" si="57"/>
        <v>0</v>
      </c>
      <c r="CR21" s="858">
        <f t="shared" si="58"/>
        <v>0</v>
      </c>
    </row>
    <row r="22" spans="1:96" ht="19.5" customHeight="1">
      <c r="B22" s="833"/>
      <c r="C22" s="541"/>
      <c r="D22" s="834"/>
      <c r="E22" s="835"/>
      <c r="F22" s="836"/>
      <c r="G22" s="836"/>
      <c r="H22" s="836"/>
      <c r="I22" s="837"/>
      <c r="J22" s="838">
        <f t="shared" si="1"/>
        <v>0</v>
      </c>
      <c r="K22" s="859"/>
      <c r="L22" s="839"/>
      <c r="M22" s="77"/>
      <c r="N22" s="839"/>
      <c r="O22" s="840"/>
      <c r="P22" s="77"/>
      <c r="Q22" s="837"/>
      <c r="R22" s="841">
        <f t="shared" si="2"/>
        <v>0</v>
      </c>
      <c r="S22" s="841">
        <f t="shared" si="3"/>
        <v>0</v>
      </c>
      <c r="T22" s="842">
        <f>(IF(E22="",0,IF(J$54="",SUM(BN22:CP22)/E22,(SUM(BW22:CP22)+BM22)/E22)))*(1+M$42+Summary!P$57)</f>
        <v>0</v>
      </c>
      <c r="U22" s="843">
        <f t="shared" si="4"/>
        <v>0</v>
      </c>
      <c r="V22" s="844">
        <f t="shared" si="5"/>
        <v>0</v>
      </c>
      <c r="W22" s="845">
        <f t="shared" si="6"/>
        <v>0</v>
      </c>
      <c r="X22" s="846">
        <f t="shared" si="7"/>
        <v>0</v>
      </c>
      <c r="Y22" s="847">
        <f t="shared" si="8"/>
        <v>0</v>
      </c>
      <c r="Z22" s="847">
        <f t="shared" si="9"/>
        <v>0</v>
      </c>
      <c r="AA22" s="848">
        <f t="shared" si="10"/>
        <v>0</v>
      </c>
      <c r="AB22" s="849">
        <f t="shared" si="11"/>
        <v>0</v>
      </c>
      <c r="AG22" t="str">
        <f t="shared" si="12"/>
        <v/>
      </c>
      <c r="AH22">
        <f t="shared" si="13"/>
        <v>0</v>
      </c>
      <c r="AI22">
        <f t="shared" si="14"/>
        <v>0</v>
      </c>
      <c r="AJ22" t="str">
        <f t="shared" si="15"/>
        <v/>
      </c>
      <c r="AK22">
        <f t="shared" si="16"/>
        <v>0</v>
      </c>
      <c r="AL22">
        <f t="shared" si="17"/>
        <v>0</v>
      </c>
      <c r="AM22">
        <f t="shared" si="18"/>
        <v>0</v>
      </c>
      <c r="AN22">
        <f t="shared" si="19"/>
        <v>0</v>
      </c>
      <c r="AO22" t="str">
        <f t="shared" si="20"/>
        <v/>
      </c>
      <c r="AP22">
        <v>3</v>
      </c>
      <c r="AQ22" t="str">
        <f t="shared" si="21"/>
        <v/>
      </c>
      <c r="AR22">
        <f t="shared" si="22"/>
        <v>0</v>
      </c>
      <c r="AS22">
        <f t="shared" si="23"/>
        <v>0</v>
      </c>
      <c r="AT22">
        <f t="shared" si="24"/>
        <v>0</v>
      </c>
      <c r="AU22">
        <f t="shared" si="25"/>
        <v>0</v>
      </c>
      <c r="AV22">
        <f t="shared" si="26"/>
        <v>0</v>
      </c>
      <c r="AW22">
        <f t="shared" si="27"/>
        <v>0</v>
      </c>
      <c r="AX22">
        <f t="shared" si="28"/>
        <v>0</v>
      </c>
      <c r="AY22">
        <f t="shared" si="29"/>
        <v>0</v>
      </c>
      <c r="AZ22">
        <f t="shared" si="30"/>
        <v>0</v>
      </c>
      <c r="BA22">
        <f t="shared" si="31"/>
        <v>0</v>
      </c>
      <c r="BB22">
        <f t="shared" si="32"/>
        <v>0</v>
      </c>
      <c r="BC22">
        <f t="shared" si="33"/>
        <v>0</v>
      </c>
      <c r="BD22">
        <f t="shared" si="34"/>
        <v>0</v>
      </c>
      <c r="BE22">
        <f t="shared" si="59"/>
        <v>0</v>
      </c>
      <c r="BF22">
        <f t="shared" si="59"/>
        <v>0</v>
      </c>
      <c r="BG22">
        <f t="shared" si="59"/>
        <v>0</v>
      </c>
      <c r="BH22">
        <f t="shared" si="59"/>
        <v>0</v>
      </c>
      <c r="BI22">
        <f t="shared" si="59"/>
        <v>0</v>
      </c>
      <c r="BJ22">
        <f t="shared" si="59"/>
        <v>0</v>
      </c>
      <c r="BK22">
        <f t="shared" si="59"/>
        <v>0</v>
      </c>
      <c r="BL22" t="str">
        <f t="shared" si="36"/>
        <v/>
      </c>
      <c r="BM22" s="850">
        <f t="shared" si="37"/>
        <v>0</v>
      </c>
      <c r="BN22" s="854">
        <f t="shared" si="38"/>
        <v>0</v>
      </c>
      <c r="BO22" s="273">
        <f t="shared" si="39"/>
        <v>0</v>
      </c>
      <c r="BP22" s="273">
        <f t="shared" si="40"/>
        <v>0</v>
      </c>
      <c r="BQ22" s="273">
        <f t="shared" si="41"/>
        <v>0</v>
      </c>
      <c r="BR22" s="273">
        <f t="shared" si="42"/>
        <v>0</v>
      </c>
      <c r="BS22" s="273">
        <f t="shared" si="43"/>
        <v>0</v>
      </c>
      <c r="BT22" s="273">
        <f t="shared" si="44"/>
        <v>0</v>
      </c>
      <c r="BU22" s="273">
        <f t="shared" si="45"/>
        <v>0</v>
      </c>
      <c r="BV22" s="855" t="str">
        <f t="shared" si="46"/>
        <v/>
      </c>
      <c r="BW22" s="854">
        <f>AT22*Pricing!F$3*IF($T$41="N",(1+$V$41),1)</f>
        <v>0</v>
      </c>
      <c r="BX22" s="273">
        <f>AU22*Pricing!G$3*IF($T$41="N",(1+$V$41),1)</f>
        <v>0</v>
      </c>
      <c r="BY22" s="273">
        <f>AV22*Pricing!H$3*IF($T$41="N",(1+$V$41),1)</f>
        <v>0</v>
      </c>
      <c r="BZ22" s="273">
        <f>AW22*Pricing!I$3*IF($T$41="N",(1+$V$41),1)</f>
        <v>0</v>
      </c>
      <c r="CA22" s="273">
        <f>AX22*Pricing!J$3*IF($T$41="N",(1+$V$41),1)</f>
        <v>0</v>
      </c>
      <c r="CB22" s="273">
        <f>AY22*Pricing!K$3*IF($T$41="N",(1+$V$41),1)</f>
        <v>0</v>
      </c>
      <c r="CC22" s="273">
        <f>AZ22*Pricing!L$3*IF($T$41="N",(1+$V$41),1)</f>
        <v>0</v>
      </c>
      <c r="CD22" s="273">
        <f>BA22*Pricing!M$3*IF($T$41="N",(1+$V$41),1)</f>
        <v>0</v>
      </c>
      <c r="CE22" s="273">
        <f>BB22*Pricing!N$3*IF($T$41="N",(1+$V$41),1)</f>
        <v>0</v>
      </c>
      <c r="CF22" s="855">
        <f>BC22*Pricing!O$3*IF($T$41="N",(1+$V$41),1)</f>
        <v>0</v>
      </c>
      <c r="CG22" s="273">
        <f t="shared" si="47"/>
        <v>0</v>
      </c>
      <c r="CH22" s="854">
        <f t="shared" si="48"/>
        <v>0</v>
      </c>
      <c r="CI22" s="273">
        <f t="shared" si="49"/>
        <v>0</v>
      </c>
      <c r="CJ22" s="273" t="str">
        <f t="shared" si="50"/>
        <v/>
      </c>
      <c r="CK22" s="273">
        <f t="shared" si="51"/>
        <v>0</v>
      </c>
      <c r="CL22" s="856">
        <f t="shared" si="52"/>
        <v>0</v>
      </c>
      <c r="CM22" s="857">
        <f t="shared" si="53"/>
        <v>0</v>
      </c>
      <c r="CN22" s="855">
        <f t="shared" si="54"/>
        <v>0</v>
      </c>
      <c r="CO22" s="857">
        <f t="shared" si="55"/>
        <v>0</v>
      </c>
      <c r="CP22" s="273">
        <f t="shared" si="56"/>
        <v>0</v>
      </c>
      <c r="CQ22" s="54">
        <f t="shared" si="57"/>
        <v>0</v>
      </c>
      <c r="CR22" s="858">
        <f t="shared" si="58"/>
        <v>0</v>
      </c>
    </row>
    <row r="23" spans="1:96" ht="19.5" customHeight="1">
      <c r="B23" s="833"/>
      <c r="C23" s="541"/>
      <c r="D23" s="834"/>
      <c r="E23" s="835"/>
      <c r="F23" s="836"/>
      <c r="G23" s="836"/>
      <c r="H23" s="836"/>
      <c r="I23" s="837"/>
      <c r="J23" s="838">
        <f t="shared" si="1"/>
        <v>0</v>
      </c>
      <c r="K23" s="859"/>
      <c r="L23" s="839"/>
      <c r="M23" s="77"/>
      <c r="N23" s="839"/>
      <c r="O23" s="840"/>
      <c r="P23" s="77"/>
      <c r="Q23" s="837"/>
      <c r="R23" s="841">
        <f t="shared" si="2"/>
        <v>0</v>
      </c>
      <c r="S23" s="841">
        <f t="shared" si="3"/>
        <v>0</v>
      </c>
      <c r="T23" s="842">
        <f>(IF(E23="",0,IF(J$54="",SUM(BN23:CP23)/E23,(SUM(BW23:CP23)+BM23)/E23)))*(1+M$42+Summary!P$57)</f>
        <v>0</v>
      </c>
      <c r="U23" s="843">
        <f t="shared" si="4"/>
        <v>0</v>
      </c>
      <c r="V23" s="844">
        <f t="shared" si="5"/>
        <v>0</v>
      </c>
      <c r="W23" s="845">
        <f t="shared" si="6"/>
        <v>0</v>
      </c>
      <c r="X23" s="846">
        <f t="shared" si="7"/>
        <v>0</v>
      </c>
      <c r="Y23" s="847">
        <f t="shared" si="8"/>
        <v>0</v>
      </c>
      <c r="Z23" s="847">
        <f t="shared" si="9"/>
        <v>0</v>
      </c>
      <c r="AA23" s="848">
        <f t="shared" si="10"/>
        <v>0</v>
      </c>
      <c r="AB23" s="849">
        <f t="shared" si="11"/>
        <v>0</v>
      </c>
      <c r="AG23" t="str">
        <f t="shared" si="12"/>
        <v/>
      </c>
      <c r="AH23">
        <f t="shared" si="13"/>
        <v>0</v>
      </c>
      <c r="AI23">
        <f t="shared" si="14"/>
        <v>0</v>
      </c>
      <c r="AJ23" t="str">
        <f t="shared" si="15"/>
        <v/>
      </c>
      <c r="AK23">
        <f t="shared" si="16"/>
        <v>0</v>
      </c>
      <c r="AL23">
        <f t="shared" si="17"/>
        <v>0</v>
      </c>
      <c r="AM23">
        <f t="shared" si="18"/>
        <v>0</v>
      </c>
      <c r="AN23">
        <f t="shared" si="19"/>
        <v>0</v>
      </c>
      <c r="AO23" t="str">
        <f t="shared" si="20"/>
        <v/>
      </c>
      <c r="AP23">
        <v>3</v>
      </c>
      <c r="AQ23" t="str">
        <f t="shared" si="21"/>
        <v/>
      </c>
      <c r="AR23">
        <f t="shared" si="22"/>
        <v>0</v>
      </c>
      <c r="AS23">
        <f t="shared" si="23"/>
        <v>0</v>
      </c>
      <c r="AT23">
        <f t="shared" si="24"/>
        <v>0</v>
      </c>
      <c r="AU23">
        <f t="shared" si="25"/>
        <v>0</v>
      </c>
      <c r="AV23">
        <f t="shared" si="26"/>
        <v>0</v>
      </c>
      <c r="AW23">
        <f t="shared" si="27"/>
        <v>0</v>
      </c>
      <c r="AX23">
        <f t="shared" si="28"/>
        <v>0</v>
      </c>
      <c r="AY23">
        <f t="shared" si="29"/>
        <v>0</v>
      </c>
      <c r="AZ23">
        <f t="shared" si="30"/>
        <v>0</v>
      </c>
      <c r="BA23">
        <f t="shared" si="31"/>
        <v>0</v>
      </c>
      <c r="BB23">
        <f t="shared" si="32"/>
        <v>0</v>
      </c>
      <c r="BC23">
        <f t="shared" si="33"/>
        <v>0</v>
      </c>
      <c r="BD23">
        <f t="shared" si="34"/>
        <v>0</v>
      </c>
      <c r="BE23">
        <f t="shared" si="59"/>
        <v>0</v>
      </c>
      <c r="BF23">
        <f t="shared" si="59"/>
        <v>0</v>
      </c>
      <c r="BG23">
        <f t="shared" si="59"/>
        <v>0</v>
      </c>
      <c r="BH23">
        <f t="shared" si="59"/>
        <v>0</v>
      </c>
      <c r="BI23">
        <f t="shared" si="59"/>
        <v>0</v>
      </c>
      <c r="BJ23">
        <f t="shared" si="59"/>
        <v>0</v>
      </c>
      <c r="BK23">
        <f t="shared" si="59"/>
        <v>0</v>
      </c>
      <c r="BL23" t="str">
        <f t="shared" si="36"/>
        <v/>
      </c>
      <c r="BM23" s="850">
        <f t="shared" si="37"/>
        <v>0</v>
      </c>
      <c r="BN23" s="854">
        <f t="shared" si="38"/>
        <v>0</v>
      </c>
      <c r="BO23" s="273">
        <f t="shared" si="39"/>
        <v>0</v>
      </c>
      <c r="BP23" s="273">
        <f t="shared" si="40"/>
        <v>0</v>
      </c>
      <c r="BQ23" s="273">
        <f t="shared" si="41"/>
        <v>0</v>
      </c>
      <c r="BR23" s="273">
        <f t="shared" si="42"/>
        <v>0</v>
      </c>
      <c r="BS23" s="273">
        <f t="shared" si="43"/>
        <v>0</v>
      </c>
      <c r="BT23" s="273">
        <f t="shared" si="44"/>
        <v>0</v>
      </c>
      <c r="BU23" s="273">
        <f t="shared" si="45"/>
        <v>0</v>
      </c>
      <c r="BV23" s="855" t="str">
        <f t="shared" si="46"/>
        <v/>
      </c>
      <c r="BW23" s="854">
        <f>AT23*Pricing!F$3*IF($T$41="N",(1+$V$41),1)</f>
        <v>0</v>
      </c>
      <c r="BX23" s="273">
        <f>AU23*Pricing!G$3*IF($T$41="N",(1+$V$41),1)</f>
        <v>0</v>
      </c>
      <c r="BY23" s="273">
        <f>AV23*Pricing!H$3*IF($T$41="N",(1+$V$41),1)</f>
        <v>0</v>
      </c>
      <c r="BZ23" s="273">
        <f>AW23*Pricing!I$3*IF($T$41="N",(1+$V$41),1)</f>
        <v>0</v>
      </c>
      <c r="CA23" s="273">
        <f>AX23*Pricing!J$3*IF($T$41="N",(1+$V$41),1)</f>
        <v>0</v>
      </c>
      <c r="CB23" s="273">
        <f>AY23*Pricing!K$3*IF($T$41="N",(1+$V$41),1)</f>
        <v>0</v>
      </c>
      <c r="CC23" s="273">
        <f>AZ23*Pricing!L$3*IF($T$41="N",(1+$V$41),1)</f>
        <v>0</v>
      </c>
      <c r="CD23" s="273">
        <f>BA23*Pricing!M$3*IF($T$41="N",(1+$V$41),1)</f>
        <v>0</v>
      </c>
      <c r="CE23" s="273">
        <f>BB23*Pricing!N$3*IF($T$41="N",(1+$V$41),1)</f>
        <v>0</v>
      </c>
      <c r="CF23" s="855">
        <f>BC23*Pricing!O$3*IF($T$41="N",(1+$V$41),1)</f>
        <v>0</v>
      </c>
      <c r="CG23" s="273">
        <f t="shared" si="47"/>
        <v>0</v>
      </c>
      <c r="CH23" s="854">
        <f t="shared" si="48"/>
        <v>0</v>
      </c>
      <c r="CI23" s="273">
        <f t="shared" si="49"/>
        <v>0</v>
      </c>
      <c r="CJ23" s="273" t="str">
        <f t="shared" si="50"/>
        <v/>
      </c>
      <c r="CK23" s="273">
        <f t="shared" si="51"/>
        <v>0</v>
      </c>
      <c r="CL23" s="856">
        <f t="shared" si="52"/>
        <v>0</v>
      </c>
      <c r="CM23" s="857">
        <f t="shared" si="53"/>
        <v>0</v>
      </c>
      <c r="CN23" s="855">
        <f t="shared" si="54"/>
        <v>0</v>
      </c>
      <c r="CO23" s="857">
        <f t="shared" si="55"/>
        <v>0</v>
      </c>
      <c r="CP23" s="273">
        <f t="shared" si="56"/>
        <v>0</v>
      </c>
      <c r="CQ23" s="54">
        <f t="shared" si="57"/>
        <v>0</v>
      </c>
      <c r="CR23" s="858">
        <f t="shared" si="58"/>
        <v>0</v>
      </c>
    </row>
    <row r="24" spans="1:96" ht="19.5" customHeight="1">
      <c r="B24" s="833"/>
      <c r="C24" s="541"/>
      <c r="D24" s="834"/>
      <c r="E24" s="835"/>
      <c r="F24" s="836"/>
      <c r="G24" s="836"/>
      <c r="H24" s="836"/>
      <c r="I24" s="837"/>
      <c r="J24" s="838">
        <f t="shared" si="1"/>
        <v>0</v>
      </c>
      <c r="K24" s="859"/>
      <c r="L24" s="839"/>
      <c r="M24" s="77"/>
      <c r="N24" s="839"/>
      <c r="O24" s="840"/>
      <c r="P24" s="77"/>
      <c r="Q24" s="837"/>
      <c r="R24" s="841">
        <f t="shared" si="2"/>
        <v>0</v>
      </c>
      <c r="S24" s="841">
        <f t="shared" si="3"/>
        <v>0</v>
      </c>
      <c r="T24" s="842">
        <f>(IF(E24="",0,IF(J$54="",SUM(BN24:CP24)/E24,(SUM(BW24:CP24)+BM24)/E24)))*(1+M$42+Summary!P$57)</f>
        <v>0</v>
      </c>
      <c r="U24" s="843">
        <f t="shared" si="4"/>
        <v>0</v>
      </c>
      <c r="V24" s="844">
        <f t="shared" si="5"/>
        <v>0</v>
      </c>
      <c r="W24" s="845">
        <f t="shared" si="6"/>
        <v>0</v>
      </c>
      <c r="X24" s="846">
        <f t="shared" si="7"/>
        <v>0</v>
      </c>
      <c r="Y24" s="847">
        <f t="shared" si="8"/>
        <v>0</v>
      </c>
      <c r="Z24" s="847">
        <f t="shared" si="9"/>
        <v>0</v>
      </c>
      <c r="AA24" s="848">
        <f t="shared" si="10"/>
        <v>0</v>
      </c>
      <c r="AB24" s="849">
        <f t="shared" si="11"/>
        <v>0</v>
      </c>
      <c r="AG24" t="str">
        <f t="shared" si="12"/>
        <v/>
      </c>
      <c r="AH24">
        <f t="shared" si="13"/>
        <v>0</v>
      </c>
      <c r="AI24">
        <f t="shared" si="14"/>
        <v>0</v>
      </c>
      <c r="AJ24" t="str">
        <f t="shared" si="15"/>
        <v/>
      </c>
      <c r="AK24">
        <f t="shared" si="16"/>
        <v>0</v>
      </c>
      <c r="AL24">
        <f t="shared" si="17"/>
        <v>0</v>
      </c>
      <c r="AM24">
        <f t="shared" si="18"/>
        <v>0</v>
      </c>
      <c r="AN24">
        <f t="shared" si="19"/>
        <v>0</v>
      </c>
      <c r="AO24" t="str">
        <f t="shared" si="20"/>
        <v/>
      </c>
      <c r="AP24">
        <v>3</v>
      </c>
      <c r="AQ24" t="str">
        <f t="shared" si="21"/>
        <v/>
      </c>
      <c r="AR24">
        <f t="shared" si="22"/>
        <v>0</v>
      </c>
      <c r="AS24">
        <f t="shared" si="23"/>
        <v>0</v>
      </c>
      <c r="AT24">
        <f t="shared" si="24"/>
        <v>0</v>
      </c>
      <c r="AU24">
        <f t="shared" si="25"/>
        <v>0</v>
      </c>
      <c r="AV24">
        <f t="shared" si="26"/>
        <v>0</v>
      </c>
      <c r="AW24">
        <f t="shared" si="27"/>
        <v>0</v>
      </c>
      <c r="AX24">
        <f t="shared" si="28"/>
        <v>0</v>
      </c>
      <c r="AY24">
        <f t="shared" si="29"/>
        <v>0</v>
      </c>
      <c r="AZ24">
        <f t="shared" si="30"/>
        <v>0</v>
      </c>
      <c r="BA24">
        <f t="shared" si="31"/>
        <v>0</v>
      </c>
      <c r="BB24">
        <f t="shared" si="32"/>
        <v>0</v>
      </c>
      <c r="BC24">
        <f t="shared" si="33"/>
        <v>0</v>
      </c>
      <c r="BD24">
        <f t="shared" si="34"/>
        <v>0</v>
      </c>
      <c r="BE24">
        <f t="shared" si="59"/>
        <v>0</v>
      </c>
      <c r="BF24">
        <f t="shared" si="59"/>
        <v>0</v>
      </c>
      <c r="BG24">
        <f t="shared" si="59"/>
        <v>0</v>
      </c>
      <c r="BH24">
        <f t="shared" si="59"/>
        <v>0</v>
      </c>
      <c r="BI24">
        <f t="shared" si="59"/>
        <v>0</v>
      </c>
      <c r="BJ24">
        <f t="shared" si="59"/>
        <v>0</v>
      </c>
      <c r="BK24">
        <f t="shared" si="59"/>
        <v>0</v>
      </c>
      <c r="BL24" t="str">
        <f t="shared" si="36"/>
        <v/>
      </c>
      <c r="BM24" s="850">
        <f t="shared" si="37"/>
        <v>0</v>
      </c>
      <c r="BN24" s="854">
        <f t="shared" si="38"/>
        <v>0</v>
      </c>
      <c r="BO24" s="273">
        <f t="shared" si="39"/>
        <v>0</v>
      </c>
      <c r="BP24" s="273">
        <f t="shared" si="40"/>
        <v>0</v>
      </c>
      <c r="BQ24" s="273">
        <f t="shared" si="41"/>
        <v>0</v>
      </c>
      <c r="BR24" s="273">
        <f t="shared" si="42"/>
        <v>0</v>
      </c>
      <c r="BS24" s="273">
        <f t="shared" si="43"/>
        <v>0</v>
      </c>
      <c r="BT24" s="273">
        <f t="shared" si="44"/>
        <v>0</v>
      </c>
      <c r="BU24" s="273">
        <f t="shared" si="45"/>
        <v>0</v>
      </c>
      <c r="BV24" s="855" t="str">
        <f t="shared" si="46"/>
        <v/>
      </c>
      <c r="BW24" s="854">
        <f>AT24*Pricing!F$3*IF($T$41="N",(1+$V$41),1)</f>
        <v>0</v>
      </c>
      <c r="BX24" s="273">
        <f>AU24*Pricing!G$3*IF($T$41="N",(1+$V$41),1)</f>
        <v>0</v>
      </c>
      <c r="BY24" s="273">
        <f>AV24*Pricing!H$3*IF($T$41="N",(1+$V$41),1)</f>
        <v>0</v>
      </c>
      <c r="BZ24" s="273">
        <f>AW24*Pricing!I$3*IF($T$41="N",(1+$V$41),1)</f>
        <v>0</v>
      </c>
      <c r="CA24" s="273">
        <f>AX24*Pricing!J$3*IF($T$41="N",(1+$V$41),1)</f>
        <v>0</v>
      </c>
      <c r="CB24" s="273">
        <f>AY24*Pricing!K$3*IF($T$41="N",(1+$V$41),1)</f>
        <v>0</v>
      </c>
      <c r="CC24" s="273">
        <f>AZ24*Pricing!L$3*IF($T$41="N",(1+$V$41),1)</f>
        <v>0</v>
      </c>
      <c r="CD24" s="273">
        <f>BA24*Pricing!M$3*IF($T$41="N",(1+$V$41),1)</f>
        <v>0</v>
      </c>
      <c r="CE24" s="273">
        <f>BB24*Pricing!N$3*IF($T$41="N",(1+$V$41),1)</f>
        <v>0</v>
      </c>
      <c r="CF24" s="855">
        <f>BC24*Pricing!O$3*IF($T$41="N",(1+$V$41),1)</f>
        <v>0</v>
      </c>
      <c r="CG24" s="273">
        <f t="shared" si="47"/>
        <v>0</v>
      </c>
      <c r="CH24" s="854">
        <f t="shared" si="48"/>
        <v>0</v>
      </c>
      <c r="CI24" s="273">
        <f t="shared" si="49"/>
        <v>0</v>
      </c>
      <c r="CJ24" s="273" t="str">
        <f t="shared" si="50"/>
        <v/>
      </c>
      <c r="CK24" s="273">
        <f t="shared" si="51"/>
        <v>0</v>
      </c>
      <c r="CL24" s="856">
        <f t="shared" si="52"/>
        <v>0</v>
      </c>
      <c r="CM24" s="857">
        <f t="shared" si="53"/>
        <v>0</v>
      </c>
      <c r="CN24" s="855">
        <f t="shared" si="54"/>
        <v>0</v>
      </c>
      <c r="CO24" s="857">
        <f t="shared" si="55"/>
        <v>0</v>
      </c>
      <c r="CP24" s="273">
        <f t="shared" si="56"/>
        <v>0</v>
      </c>
      <c r="CQ24" s="54">
        <f t="shared" si="57"/>
        <v>0</v>
      </c>
      <c r="CR24" s="858">
        <f t="shared" si="58"/>
        <v>0</v>
      </c>
    </row>
    <row r="25" spans="1:96" ht="19.5" customHeight="1">
      <c r="B25" s="833"/>
      <c r="C25" s="541"/>
      <c r="D25" s="834"/>
      <c r="E25" s="835"/>
      <c r="F25" s="836"/>
      <c r="G25" s="836"/>
      <c r="H25" s="836"/>
      <c r="I25" s="837"/>
      <c r="J25" s="838">
        <f t="shared" si="1"/>
        <v>0</v>
      </c>
      <c r="K25" s="859"/>
      <c r="L25" s="839"/>
      <c r="M25" s="77"/>
      <c r="N25" s="839"/>
      <c r="O25" s="840"/>
      <c r="P25" s="77"/>
      <c r="Q25" s="837"/>
      <c r="R25" s="841">
        <f t="shared" si="2"/>
        <v>0</v>
      </c>
      <c r="S25" s="841">
        <f t="shared" si="3"/>
        <v>0</v>
      </c>
      <c r="T25" s="842">
        <f>(IF(E25="",0,IF(J$54="",SUM(BN25:CP25)/E25,(SUM(BW25:CP25)+BM25)/E25)))*(1+M$42+Summary!P$57)</f>
        <v>0</v>
      </c>
      <c r="U25" s="843">
        <f t="shared" si="4"/>
        <v>0</v>
      </c>
      <c r="V25" s="844">
        <f t="shared" si="5"/>
        <v>0</v>
      </c>
      <c r="W25" s="845">
        <f t="shared" si="6"/>
        <v>0</v>
      </c>
      <c r="X25" s="846">
        <f t="shared" si="7"/>
        <v>0</v>
      </c>
      <c r="Y25" s="847">
        <f t="shared" si="8"/>
        <v>0</v>
      </c>
      <c r="Z25" s="847">
        <f t="shared" si="9"/>
        <v>0</v>
      </c>
      <c r="AA25" s="848">
        <f t="shared" si="10"/>
        <v>0</v>
      </c>
      <c r="AB25" s="849">
        <f t="shared" si="11"/>
        <v>0</v>
      </c>
      <c r="AG25" t="str">
        <f t="shared" si="12"/>
        <v/>
      </c>
      <c r="AH25">
        <f t="shared" si="13"/>
        <v>0</v>
      </c>
      <c r="AI25">
        <f t="shared" si="14"/>
        <v>0</v>
      </c>
      <c r="AJ25" t="str">
        <f t="shared" si="15"/>
        <v/>
      </c>
      <c r="AK25">
        <f t="shared" si="16"/>
        <v>0</v>
      </c>
      <c r="AL25">
        <f t="shared" si="17"/>
        <v>0</v>
      </c>
      <c r="AM25">
        <f t="shared" si="18"/>
        <v>0</v>
      </c>
      <c r="AN25">
        <f t="shared" si="19"/>
        <v>0</v>
      </c>
      <c r="AO25" t="str">
        <f t="shared" si="20"/>
        <v/>
      </c>
      <c r="AP25">
        <v>3</v>
      </c>
      <c r="AQ25" t="str">
        <f t="shared" si="21"/>
        <v/>
      </c>
      <c r="AR25">
        <f t="shared" si="22"/>
        <v>0</v>
      </c>
      <c r="AS25">
        <f t="shared" si="23"/>
        <v>0</v>
      </c>
      <c r="AT25">
        <f t="shared" si="24"/>
        <v>0</v>
      </c>
      <c r="AU25">
        <f t="shared" si="25"/>
        <v>0</v>
      </c>
      <c r="AV25">
        <f t="shared" si="26"/>
        <v>0</v>
      </c>
      <c r="AW25">
        <f t="shared" si="27"/>
        <v>0</v>
      </c>
      <c r="AX25">
        <f t="shared" si="28"/>
        <v>0</v>
      </c>
      <c r="AY25">
        <f t="shared" si="29"/>
        <v>0</v>
      </c>
      <c r="AZ25">
        <f t="shared" si="30"/>
        <v>0</v>
      </c>
      <c r="BA25">
        <f t="shared" si="31"/>
        <v>0</v>
      </c>
      <c r="BB25">
        <f t="shared" si="32"/>
        <v>0</v>
      </c>
      <c r="BC25">
        <f t="shared" si="33"/>
        <v>0</v>
      </c>
      <c r="BD25">
        <f t="shared" si="34"/>
        <v>0</v>
      </c>
      <c r="BE25">
        <f t="shared" si="59"/>
        <v>0</v>
      </c>
      <c r="BF25">
        <f t="shared" si="59"/>
        <v>0</v>
      </c>
      <c r="BG25">
        <f t="shared" si="59"/>
        <v>0</v>
      </c>
      <c r="BH25">
        <f t="shared" si="59"/>
        <v>0</v>
      </c>
      <c r="BI25">
        <f t="shared" si="59"/>
        <v>0</v>
      </c>
      <c r="BJ25">
        <f t="shared" si="59"/>
        <v>0</v>
      </c>
      <c r="BK25">
        <f t="shared" si="59"/>
        <v>0</v>
      </c>
      <c r="BL25" t="str">
        <f t="shared" si="36"/>
        <v/>
      </c>
      <c r="BM25" s="850">
        <f t="shared" si="37"/>
        <v>0</v>
      </c>
      <c r="BN25" s="854">
        <f t="shared" si="38"/>
        <v>0</v>
      </c>
      <c r="BO25" s="273">
        <f t="shared" si="39"/>
        <v>0</v>
      </c>
      <c r="BP25" s="273">
        <f t="shared" si="40"/>
        <v>0</v>
      </c>
      <c r="BQ25" s="273">
        <f t="shared" si="41"/>
        <v>0</v>
      </c>
      <c r="BR25" s="273">
        <f t="shared" si="42"/>
        <v>0</v>
      </c>
      <c r="BS25" s="273">
        <f t="shared" si="43"/>
        <v>0</v>
      </c>
      <c r="BT25" s="273">
        <f t="shared" si="44"/>
        <v>0</v>
      </c>
      <c r="BU25" s="273">
        <f t="shared" si="45"/>
        <v>0</v>
      </c>
      <c r="BV25" s="855" t="str">
        <f t="shared" si="46"/>
        <v/>
      </c>
      <c r="BW25" s="854">
        <f>AT25*Pricing!F$3*IF($T$41="N",(1+$V$41),1)</f>
        <v>0</v>
      </c>
      <c r="BX25" s="273">
        <f>AU25*Pricing!G$3*IF($T$41="N",(1+$V$41),1)</f>
        <v>0</v>
      </c>
      <c r="BY25" s="273">
        <f>AV25*Pricing!H$3*IF($T$41="N",(1+$V$41),1)</f>
        <v>0</v>
      </c>
      <c r="BZ25" s="273">
        <f>AW25*Pricing!I$3*IF($T$41="N",(1+$V$41),1)</f>
        <v>0</v>
      </c>
      <c r="CA25" s="273">
        <f>AX25*Pricing!J$3*IF($T$41="N",(1+$V$41),1)</f>
        <v>0</v>
      </c>
      <c r="CB25" s="273">
        <f>AY25*Pricing!K$3*IF($T$41="N",(1+$V$41),1)</f>
        <v>0</v>
      </c>
      <c r="CC25" s="273">
        <f>AZ25*Pricing!L$3*IF($T$41="N",(1+$V$41),1)</f>
        <v>0</v>
      </c>
      <c r="CD25" s="273">
        <f>BA25*Pricing!M$3*IF($T$41="N",(1+$V$41),1)</f>
        <v>0</v>
      </c>
      <c r="CE25" s="273">
        <f>BB25*Pricing!N$3*IF($T$41="N",(1+$V$41),1)</f>
        <v>0</v>
      </c>
      <c r="CF25" s="855">
        <f>BC25*Pricing!O$3*IF($T$41="N",(1+$V$41),1)</f>
        <v>0</v>
      </c>
      <c r="CG25" s="273">
        <f t="shared" si="47"/>
        <v>0</v>
      </c>
      <c r="CH25" s="854">
        <f t="shared" si="48"/>
        <v>0</v>
      </c>
      <c r="CI25" s="273">
        <f t="shared" si="49"/>
        <v>0</v>
      </c>
      <c r="CJ25" s="273" t="str">
        <f t="shared" si="50"/>
        <v/>
      </c>
      <c r="CK25" s="273">
        <f t="shared" si="51"/>
        <v>0</v>
      </c>
      <c r="CL25" s="856">
        <f t="shared" si="52"/>
        <v>0</v>
      </c>
      <c r="CM25" s="857">
        <f t="shared" si="53"/>
        <v>0</v>
      </c>
      <c r="CN25" s="855">
        <f t="shared" si="54"/>
        <v>0</v>
      </c>
      <c r="CO25" s="857">
        <f t="shared" si="55"/>
        <v>0</v>
      </c>
      <c r="CP25" s="273">
        <f t="shared" si="56"/>
        <v>0</v>
      </c>
      <c r="CQ25" s="54">
        <f t="shared" si="57"/>
        <v>0</v>
      </c>
      <c r="CR25" s="858">
        <f t="shared" si="58"/>
        <v>0</v>
      </c>
    </row>
    <row r="26" spans="1:96" ht="19.5" customHeight="1">
      <c r="B26" s="833"/>
      <c r="C26" s="541"/>
      <c r="D26" s="834"/>
      <c r="E26" s="835"/>
      <c r="F26" s="836"/>
      <c r="G26" s="836"/>
      <c r="H26" s="836"/>
      <c r="I26" s="837"/>
      <c r="J26" s="838">
        <f t="shared" si="1"/>
        <v>0</v>
      </c>
      <c r="K26" s="859"/>
      <c r="L26" s="839"/>
      <c r="M26" s="77"/>
      <c r="N26" s="839"/>
      <c r="O26" s="840"/>
      <c r="P26" s="77"/>
      <c r="Q26" s="837"/>
      <c r="R26" s="841">
        <f t="shared" si="2"/>
        <v>0</v>
      </c>
      <c r="S26" s="841">
        <f t="shared" si="3"/>
        <v>0</v>
      </c>
      <c r="T26" s="842">
        <f>(IF(E26="",0,IF(J$54="",SUM(BN26:CP26)/E26,(SUM(BW26:CP26)+BM26)/E26)))*(1+M$42+Summary!P$57)</f>
        <v>0</v>
      </c>
      <c r="U26" s="843">
        <f t="shared" si="4"/>
        <v>0</v>
      </c>
      <c r="V26" s="844">
        <f t="shared" si="5"/>
        <v>0</v>
      </c>
      <c r="W26" s="845">
        <f t="shared" si="6"/>
        <v>0</v>
      </c>
      <c r="X26" s="846">
        <f t="shared" si="7"/>
        <v>0</v>
      </c>
      <c r="Y26" s="847">
        <f t="shared" si="8"/>
        <v>0</v>
      </c>
      <c r="Z26" s="847">
        <f t="shared" si="9"/>
        <v>0</v>
      </c>
      <c r="AA26" s="848">
        <f t="shared" si="10"/>
        <v>0</v>
      </c>
      <c r="AB26" s="849">
        <f t="shared" si="11"/>
        <v>0</v>
      </c>
      <c r="AG26" t="str">
        <f t="shared" si="12"/>
        <v/>
      </c>
      <c r="AH26">
        <f t="shared" si="13"/>
        <v>0</v>
      </c>
      <c r="AI26">
        <f t="shared" si="14"/>
        <v>0</v>
      </c>
      <c r="AJ26" t="str">
        <f t="shared" si="15"/>
        <v/>
      </c>
      <c r="AK26">
        <f t="shared" si="16"/>
        <v>0</v>
      </c>
      <c r="AL26">
        <f t="shared" si="17"/>
        <v>0</v>
      </c>
      <c r="AM26">
        <f t="shared" si="18"/>
        <v>0</v>
      </c>
      <c r="AN26">
        <f t="shared" si="19"/>
        <v>0</v>
      </c>
      <c r="AO26" t="str">
        <f t="shared" si="20"/>
        <v/>
      </c>
      <c r="AP26">
        <v>3</v>
      </c>
      <c r="AQ26" t="str">
        <f t="shared" si="21"/>
        <v/>
      </c>
      <c r="AR26">
        <f t="shared" si="22"/>
        <v>0</v>
      </c>
      <c r="AS26">
        <f t="shared" si="23"/>
        <v>0</v>
      </c>
      <c r="AT26">
        <f t="shared" si="24"/>
        <v>0</v>
      </c>
      <c r="AU26">
        <f t="shared" si="25"/>
        <v>0</v>
      </c>
      <c r="AV26">
        <f t="shared" si="26"/>
        <v>0</v>
      </c>
      <c r="AW26">
        <f t="shared" si="27"/>
        <v>0</v>
      </c>
      <c r="AX26">
        <f t="shared" si="28"/>
        <v>0</v>
      </c>
      <c r="AY26">
        <f t="shared" si="29"/>
        <v>0</v>
      </c>
      <c r="AZ26">
        <f t="shared" si="30"/>
        <v>0</v>
      </c>
      <c r="BA26">
        <f t="shared" si="31"/>
        <v>0</v>
      </c>
      <c r="BB26">
        <f t="shared" si="32"/>
        <v>0</v>
      </c>
      <c r="BC26">
        <f t="shared" si="33"/>
        <v>0</v>
      </c>
      <c r="BD26">
        <f t="shared" si="34"/>
        <v>0</v>
      </c>
      <c r="BE26">
        <f t="shared" si="59"/>
        <v>0</v>
      </c>
      <c r="BF26">
        <f t="shared" si="59"/>
        <v>0</v>
      </c>
      <c r="BG26">
        <f t="shared" si="59"/>
        <v>0</v>
      </c>
      <c r="BH26">
        <f t="shared" si="59"/>
        <v>0</v>
      </c>
      <c r="BI26">
        <f t="shared" si="59"/>
        <v>0</v>
      </c>
      <c r="BJ26">
        <f t="shared" si="59"/>
        <v>0</v>
      </c>
      <c r="BK26">
        <f t="shared" si="59"/>
        <v>0</v>
      </c>
      <c r="BL26" t="str">
        <f t="shared" si="36"/>
        <v/>
      </c>
      <c r="BM26" s="850">
        <f t="shared" si="37"/>
        <v>0</v>
      </c>
      <c r="BN26" s="854">
        <f t="shared" si="38"/>
        <v>0</v>
      </c>
      <c r="BO26" s="273">
        <f t="shared" si="39"/>
        <v>0</v>
      </c>
      <c r="BP26" s="273">
        <f t="shared" si="40"/>
        <v>0</v>
      </c>
      <c r="BQ26" s="273">
        <f t="shared" si="41"/>
        <v>0</v>
      </c>
      <c r="BR26" s="273">
        <f t="shared" si="42"/>
        <v>0</v>
      </c>
      <c r="BS26" s="273">
        <f t="shared" si="43"/>
        <v>0</v>
      </c>
      <c r="BT26" s="273">
        <f t="shared" si="44"/>
        <v>0</v>
      </c>
      <c r="BU26" s="273">
        <f t="shared" si="45"/>
        <v>0</v>
      </c>
      <c r="BV26" s="855" t="str">
        <f t="shared" si="46"/>
        <v/>
      </c>
      <c r="BW26" s="854">
        <f>AT26*Pricing!F$3*IF($T$41="N",(1+$V$41),1)</f>
        <v>0</v>
      </c>
      <c r="BX26" s="273">
        <f>AU26*Pricing!G$3*IF($T$41="N",(1+$V$41),1)</f>
        <v>0</v>
      </c>
      <c r="BY26" s="273">
        <f>AV26*Pricing!H$3*IF($T$41="N",(1+$V$41),1)</f>
        <v>0</v>
      </c>
      <c r="BZ26" s="273">
        <f>AW26*Pricing!I$3*IF($T$41="N",(1+$V$41),1)</f>
        <v>0</v>
      </c>
      <c r="CA26" s="273">
        <f>AX26*Pricing!J$3*IF($T$41="N",(1+$V$41),1)</f>
        <v>0</v>
      </c>
      <c r="CB26" s="273">
        <f>AY26*Pricing!K$3*IF($T$41="N",(1+$V$41),1)</f>
        <v>0</v>
      </c>
      <c r="CC26" s="273">
        <f>AZ26*Pricing!L$3*IF($T$41="N",(1+$V$41),1)</f>
        <v>0</v>
      </c>
      <c r="CD26" s="273">
        <f>BA26*Pricing!M$3*IF($T$41="N",(1+$V$41),1)</f>
        <v>0</v>
      </c>
      <c r="CE26" s="273">
        <f>BB26*Pricing!N$3*IF($T$41="N",(1+$V$41),1)</f>
        <v>0</v>
      </c>
      <c r="CF26" s="855">
        <f>BC26*Pricing!O$3*IF($T$41="N",(1+$V$41),1)</f>
        <v>0</v>
      </c>
      <c r="CG26" s="273">
        <f t="shared" si="47"/>
        <v>0</v>
      </c>
      <c r="CH26" s="854">
        <f t="shared" si="48"/>
        <v>0</v>
      </c>
      <c r="CI26" s="273">
        <f t="shared" si="49"/>
        <v>0</v>
      </c>
      <c r="CJ26" s="273" t="str">
        <f t="shared" si="50"/>
        <v/>
      </c>
      <c r="CK26" s="273">
        <f t="shared" si="51"/>
        <v>0</v>
      </c>
      <c r="CL26" s="856">
        <f t="shared" si="52"/>
        <v>0</v>
      </c>
      <c r="CM26" s="857">
        <f t="shared" si="53"/>
        <v>0</v>
      </c>
      <c r="CN26" s="855">
        <f t="shared" si="54"/>
        <v>0</v>
      </c>
      <c r="CO26" s="857">
        <f t="shared" si="55"/>
        <v>0</v>
      </c>
      <c r="CP26" s="273">
        <f t="shared" si="56"/>
        <v>0</v>
      </c>
      <c r="CQ26" s="54">
        <f t="shared" si="57"/>
        <v>0</v>
      </c>
      <c r="CR26" s="858">
        <f t="shared" si="58"/>
        <v>0</v>
      </c>
    </row>
    <row r="27" spans="1:96" ht="19.5" customHeight="1">
      <c r="B27" s="833"/>
      <c r="C27" s="541"/>
      <c r="D27" s="834"/>
      <c r="E27" s="835"/>
      <c r="F27" s="836"/>
      <c r="G27" s="836"/>
      <c r="H27" s="836"/>
      <c r="I27" s="837"/>
      <c r="J27" s="838">
        <f t="shared" si="1"/>
        <v>0</v>
      </c>
      <c r="K27" s="859"/>
      <c r="L27" s="839"/>
      <c r="M27" s="77"/>
      <c r="N27" s="839"/>
      <c r="O27" s="840"/>
      <c r="P27" s="77"/>
      <c r="Q27" s="837"/>
      <c r="R27" s="841">
        <f t="shared" si="2"/>
        <v>0</v>
      </c>
      <c r="S27" s="841">
        <f t="shared" si="3"/>
        <v>0</v>
      </c>
      <c r="T27" s="842">
        <f>(IF(E27="",0,IF(J$54="",SUM(BN27:CP27)/E27,(SUM(BW27:CP27)+BM27)/E27)))*(1+M$42+Summary!P$57)</f>
        <v>0</v>
      </c>
      <c r="U27" s="843">
        <f t="shared" si="4"/>
        <v>0</v>
      </c>
      <c r="V27" s="844">
        <f t="shared" si="5"/>
        <v>0</v>
      </c>
      <c r="W27" s="845">
        <f t="shared" si="6"/>
        <v>0</v>
      </c>
      <c r="X27" s="846">
        <f t="shared" si="7"/>
        <v>0</v>
      </c>
      <c r="Y27" s="847">
        <f t="shared" si="8"/>
        <v>0</v>
      </c>
      <c r="Z27" s="847">
        <f t="shared" si="9"/>
        <v>0</v>
      </c>
      <c r="AA27" s="848">
        <f t="shared" si="10"/>
        <v>0</v>
      </c>
      <c r="AB27" s="849">
        <f t="shared" si="11"/>
        <v>0</v>
      </c>
      <c r="AG27" t="str">
        <f t="shared" si="12"/>
        <v/>
      </c>
      <c r="AH27">
        <f t="shared" si="13"/>
        <v>0</v>
      </c>
      <c r="AI27">
        <f t="shared" si="14"/>
        <v>0</v>
      </c>
      <c r="AJ27" t="str">
        <f t="shared" si="15"/>
        <v/>
      </c>
      <c r="AK27">
        <f t="shared" si="16"/>
        <v>0</v>
      </c>
      <c r="AL27">
        <f t="shared" si="17"/>
        <v>0</v>
      </c>
      <c r="AM27">
        <f t="shared" si="18"/>
        <v>0</v>
      </c>
      <c r="AN27">
        <f t="shared" si="19"/>
        <v>0</v>
      </c>
      <c r="AO27" t="str">
        <f t="shared" si="20"/>
        <v/>
      </c>
      <c r="AP27">
        <v>3</v>
      </c>
      <c r="AQ27" t="str">
        <f t="shared" si="21"/>
        <v/>
      </c>
      <c r="AR27">
        <f t="shared" si="22"/>
        <v>0</v>
      </c>
      <c r="AS27">
        <f t="shared" si="23"/>
        <v>0</v>
      </c>
      <c r="AT27">
        <f t="shared" si="24"/>
        <v>0</v>
      </c>
      <c r="AU27">
        <f t="shared" si="25"/>
        <v>0</v>
      </c>
      <c r="AV27">
        <f t="shared" si="26"/>
        <v>0</v>
      </c>
      <c r="AW27">
        <f t="shared" si="27"/>
        <v>0</v>
      </c>
      <c r="AX27">
        <f t="shared" si="28"/>
        <v>0</v>
      </c>
      <c r="AY27">
        <f t="shared" si="29"/>
        <v>0</v>
      </c>
      <c r="AZ27">
        <f t="shared" si="30"/>
        <v>0</v>
      </c>
      <c r="BA27">
        <f t="shared" si="31"/>
        <v>0</v>
      </c>
      <c r="BB27">
        <f t="shared" si="32"/>
        <v>0</v>
      </c>
      <c r="BC27">
        <f t="shared" si="33"/>
        <v>0</v>
      </c>
      <c r="BD27">
        <f t="shared" si="34"/>
        <v>0</v>
      </c>
      <c r="BE27">
        <f t="shared" si="59"/>
        <v>0</v>
      </c>
      <c r="BF27">
        <f t="shared" si="59"/>
        <v>0</v>
      </c>
      <c r="BG27">
        <f t="shared" si="59"/>
        <v>0</v>
      </c>
      <c r="BH27">
        <f t="shared" si="59"/>
        <v>0</v>
      </c>
      <c r="BI27">
        <f t="shared" si="59"/>
        <v>0</v>
      </c>
      <c r="BJ27">
        <f t="shared" si="59"/>
        <v>0</v>
      </c>
      <c r="BK27">
        <f t="shared" si="59"/>
        <v>0</v>
      </c>
      <c r="BL27" t="str">
        <f t="shared" si="36"/>
        <v/>
      </c>
      <c r="BM27" s="850">
        <f t="shared" si="37"/>
        <v>0</v>
      </c>
      <c r="BN27" s="854">
        <f t="shared" si="38"/>
        <v>0</v>
      </c>
      <c r="BO27" s="273">
        <f t="shared" si="39"/>
        <v>0</v>
      </c>
      <c r="BP27" s="273">
        <f t="shared" si="40"/>
        <v>0</v>
      </c>
      <c r="BQ27" s="273">
        <f t="shared" si="41"/>
        <v>0</v>
      </c>
      <c r="BR27" s="273">
        <f t="shared" si="42"/>
        <v>0</v>
      </c>
      <c r="BS27" s="273">
        <f t="shared" si="43"/>
        <v>0</v>
      </c>
      <c r="BT27" s="273">
        <f t="shared" si="44"/>
        <v>0</v>
      </c>
      <c r="BU27" s="273">
        <f t="shared" si="45"/>
        <v>0</v>
      </c>
      <c r="BV27" s="855" t="str">
        <f t="shared" si="46"/>
        <v/>
      </c>
      <c r="BW27" s="854">
        <f>AT27*Pricing!F$3*IF($T$41="N",(1+$V$41),1)</f>
        <v>0</v>
      </c>
      <c r="BX27" s="273">
        <f>AU27*Pricing!G$3*IF($T$41="N",(1+$V$41),1)</f>
        <v>0</v>
      </c>
      <c r="BY27" s="273">
        <f>AV27*Pricing!H$3*IF($T$41="N",(1+$V$41),1)</f>
        <v>0</v>
      </c>
      <c r="BZ27" s="273">
        <f>AW27*Pricing!I$3*IF($T$41="N",(1+$V$41),1)</f>
        <v>0</v>
      </c>
      <c r="CA27" s="273">
        <f>AX27*Pricing!J$3*IF($T$41="N",(1+$V$41),1)</f>
        <v>0</v>
      </c>
      <c r="CB27" s="273">
        <f>AY27*Pricing!K$3*IF($T$41="N",(1+$V$41),1)</f>
        <v>0</v>
      </c>
      <c r="CC27" s="273">
        <f>AZ27*Pricing!L$3*IF($T$41="N",(1+$V$41),1)</f>
        <v>0</v>
      </c>
      <c r="CD27" s="273">
        <f>BA27*Pricing!M$3*IF($T$41="N",(1+$V$41),1)</f>
        <v>0</v>
      </c>
      <c r="CE27" s="273">
        <f>BB27*Pricing!N$3*IF($T$41="N",(1+$V$41),1)</f>
        <v>0</v>
      </c>
      <c r="CF27" s="855">
        <f>BC27*Pricing!O$3*IF($T$41="N",(1+$V$41),1)</f>
        <v>0</v>
      </c>
      <c r="CG27" s="273">
        <f t="shared" si="47"/>
        <v>0</v>
      </c>
      <c r="CH27" s="854">
        <f t="shared" si="48"/>
        <v>0</v>
      </c>
      <c r="CI27" s="273">
        <f t="shared" si="49"/>
        <v>0</v>
      </c>
      <c r="CJ27" s="273" t="str">
        <f t="shared" si="50"/>
        <v/>
      </c>
      <c r="CK27" s="273">
        <f t="shared" si="51"/>
        <v>0</v>
      </c>
      <c r="CL27" s="856">
        <f t="shared" si="52"/>
        <v>0</v>
      </c>
      <c r="CM27" s="857">
        <f t="shared" si="53"/>
        <v>0</v>
      </c>
      <c r="CN27" s="855">
        <f t="shared" si="54"/>
        <v>0</v>
      </c>
      <c r="CO27" s="857">
        <f t="shared" si="55"/>
        <v>0</v>
      </c>
      <c r="CP27" s="273">
        <f t="shared" si="56"/>
        <v>0</v>
      </c>
      <c r="CQ27" s="54">
        <f t="shared" si="57"/>
        <v>0</v>
      </c>
      <c r="CR27" s="858">
        <f t="shared" si="58"/>
        <v>0</v>
      </c>
    </row>
    <row r="28" spans="1:96" ht="19.5" customHeight="1">
      <c r="B28" s="833"/>
      <c r="C28" s="541"/>
      <c r="D28" s="834"/>
      <c r="E28" s="835"/>
      <c r="F28" s="836"/>
      <c r="G28" s="836"/>
      <c r="H28" s="836"/>
      <c r="I28" s="837"/>
      <c r="J28" s="838">
        <f t="shared" si="1"/>
        <v>0</v>
      </c>
      <c r="K28" s="859"/>
      <c r="L28" s="839"/>
      <c r="M28" s="77"/>
      <c r="N28" s="839"/>
      <c r="O28" s="840"/>
      <c r="P28" s="77"/>
      <c r="Q28" s="837"/>
      <c r="R28" s="841">
        <f t="shared" si="2"/>
        <v>0</v>
      </c>
      <c r="S28" s="841">
        <f t="shared" si="3"/>
        <v>0</v>
      </c>
      <c r="T28" s="842">
        <f>(IF(E28="",0,IF(J$54="",SUM(BN28:CP28)/E28,(SUM(BW28:CP28)+BM28)/E28)))*(1+M$42+Summary!P$57)</f>
        <v>0</v>
      </c>
      <c r="U28" s="843">
        <f t="shared" si="4"/>
        <v>0</v>
      </c>
      <c r="V28" s="844">
        <f t="shared" si="5"/>
        <v>0</v>
      </c>
      <c r="W28" s="845">
        <f t="shared" si="6"/>
        <v>0</v>
      </c>
      <c r="X28" s="846">
        <f t="shared" si="7"/>
        <v>0</v>
      </c>
      <c r="Y28" s="847">
        <f t="shared" si="8"/>
        <v>0</v>
      </c>
      <c r="Z28" s="847">
        <f t="shared" si="9"/>
        <v>0</v>
      </c>
      <c r="AA28" s="848">
        <f t="shared" si="10"/>
        <v>0</v>
      </c>
      <c r="AB28" s="849">
        <f t="shared" si="11"/>
        <v>0</v>
      </c>
      <c r="AG28" t="str">
        <f t="shared" si="12"/>
        <v/>
      </c>
      <c r="AH28">
        <f t="shared" si="13"/>
        <v>0</v>
      </c>
      <c r="AI28">
        <f t="shared" si="14"/>
        <v>0</v>
      </c>
      <c r="AJ28" t="str">
        <f t="shared" si="15"/>
        <v/>
      </c>
      <c r="AK28">
        <f t="shared" si="16"/>
        <v>0</v>
      </c>
      <c r="AL28">
        <f t="shared" si="17"/>
        <v>0</v>
      </c>
      <c r="AM28">
        <f t="shared" si="18"/>
        <v>0</v>
      </c>
      <c r="AN28">
        <f t="shared" si="19"/>
        <v>0</v>
      </c>
      <c r="AO28" t="str">
        <f t="shared" si="20"/>
        <v/>
      </c>
      <c r="AP28">
        <v>3</v>
      </c>
      <c r="AQ28" t="str">
        <f t="shared" si="21"/>
        <v/>
      </c>
      <c r="AR28">
        <f t="shared" si="22"/>
        <v>0</v>
      </c>
      <c r="AS28">
        <f t="shared" si="23"/>
        <v>0</v>
      </c>
      <c r="AT28">
        <f t="shared" si="24"/>
        <v>0</v>
      </c>
      <c r="AU28">
        <f t="shared" si="25"/>
        <v>0</v>
      </c>
      <c r="AV28">
        <f t="shared" si="26"/>
        <v>0</v>
      </c>
      <c r="AW28">
        <f t="shared" si="27"/>
        <v>0</v>
      </c>
      <c r="AX28">
        <f t="shared" si="28"/>
        <v>0</v>
      </c>
      <c r="AY28">
        <f t="shared" si="29"/>
        <v>0</v>
      </c>
      <c r="AZ28">
        <f t="shared" si="30"/>
        <v>0</v>
      </c>
      <c r="BA28">
        <f t="shared" si="31"/>
        <v>0</v>
      </c>
      <c r="BB28">
        <f t="shared" si="32"/>
        <v>0</v>
      </c>
      <c r="BC28">
        <f t="shared" si="33"/>
        <v>0</v>
      </c>
      <c r="BD28">
        <f t="shared" si="34"/>
        <v>0</v>
      </c>
      <c r="BE28">
        <f t="shared" si="59"/>
        <v>0</v>
      </c>
      <c r="BF28">
        <f t="shared" si="59"/>
        <v>0</v>
      </c>
      <c r="BG28">
        <f t="shared" si="59"/>
        <v>0</v>
      </c>
      <c r="BH28">
        <f t="shared" si="59"/>
        <v>0</v>
      </c>
      <c r="BI28">
        <f t="shared" si="59"/>
        <v>0</v>
      </c>
      <c r="BJ28">
        <f t="shared" si="59"/>
        <v>0</v>
      </c>
      <c r="BK28">
        <f t="shared" si="59"/>
        <v>0</v>
      </c>
      <c r="BL28" t="str">
        <f t="shared" si="36"/>
        <v/>
      </c>
      <c r="BM28" s="850">
        <f t="shared" si="37"/>
        <v>0</v>
      </c>
      <c r="BN28" s="854">
        <f t="shared" si="38"/>
        <v>0</v>
      </c>
      <c r="BO28" s="273">
        <f t="shared" si="39"/>
        <v>0</v>
      </c>
      <c r="BP28" s="273">
        <f t="shared" si="40"/>
        <v>0</v>
      </c>
      <c r="BQ28" s="273">
        <f t="shared" si="41"/>
        <v>0</v>
      </c>
      <c r="BR28" s="273">
        <f t="shared" si="42"/>
        <v>0</v>
      </c>
      <c r="BS28" s="273">
        <f t="shared" si="43"/>
        <v>0</v>
      </c>
      <c r="BT28" s="273">
        <f t="shared" si="44"/>
        <v>0</v>
      </c>
      <c r="BU28" s="273">
        <f t="shared" si="45"/>
        <v>0</v>
      </c>
      <c r="BV28" s="855" t="str">
        <f t="shared" si="46"/>
        <v/>
      </c>
      <c r="BW28" s="854">
        <f>AT28*Pricing!F$3*IF($T$41="N",(1+$V$41),1)</f>
        <v>0</v>
      </c>
      <c r="BX28" s="273">
        <f>AU28*Pricing!G$3*IF($T$41="N",(1+$V$41),1)</f>
        <v>0</v>
      </c>
      <c r="BY28" s="273">
        <f>AV28*Pricing!H$3*IF($T$41="N",(1+$V$41),1)</f>
        <v>0</v>
      </c>
      <c r="BZ28" s="273">
        <f>AW28*Pricing!I$3*IF($T$41="N",(1+$V$41),1)</f>
        <v>0</v>
      </c>
      <c r="CA28" s="273">
        <f>AX28*Pricing!J$3*IF($T$41="N",(1+$V$41),1)</f>
        <v>0</v>
      </c>
      <c r="CB28" s="273">
        <f>AY28*Pricing!K$3*IF($T$41="N",(1+$V$41),1)</f>
        <v>0</v>
      </c>
      <c r="CC28" s="273">
        <f>AZ28*Pricing!L$3*IF($T$41="N",(1+$V$41),1)</f>
        <v>0</v>
      </c>
      <c r="CD28" s="273">
        <f>BA28*Pricing!M$3*IF($T$41="N",(1+$V$41),1)</f>
        <v>0</v>
      </c>
      <c r="CE28" s="273">
        <f>BB28*Pricing!N$3*IF($T$41="N",(1+$V$41),1)</f>
        <v>0</v>
      </c>
      <c r="CF28" s="855">
        <f>BC28*Pricing!O$3*IF($T$41="N",(1+$V$41),1)</f>
        <v>0</v>
      </c>
      <c r="CG28" s="273">
        <f t="shared" si="47"/>
        <v>0</v>
      </c>
      <c r="CH28" s="854">
        <f t="shared" si="48"/>
        <v>0</v>
      </c>
      <c r="CI28" s="273">
        <f t="shared" si="49"/>
        <v>0</v>
      </c>
      <c r="CJ28" s="273" t="str">
        <f t="shared" si="50"/>
        <v/>
      </c>
      <c r="CK28" s="273">
        <f t="shared" si="51"/>
        <v>0</v>
      </c>
      <c r="CL28" s="856">
        <f t="shared" si="52"/>
        <v>0</v>
      </c>
      <c r="CM28" s="857">
        <f t="shared" si="53"/>
        <v>0</v>
      </c>
      <c r="CN28" s="855">
        <f t="shared" si="54"/>
        <v>0</v>
      </c>
      <c r="CO28" s="857">
        <f t="shared" si="55"/>
        <v>0</v>
      </c>
      <c r="CP28" s="273">
        <f t="shared" si="56"/>
        <v>0</v>
      </c>
      <c r="CQ28" s="54">
        <f t="shared" si="57"/>
        <v>0</v>
      </c>
      <c r="CR28" s="858">
        <f t="shared" si="58"/>
        <v>0</v>
      </c>
    </row>
    <row r="29" spans="1:96" ht="19.5" customHeight="1">
      <c r="B29" s="833"/>
      <c r="C29" s="541"/>
      <c r="D29" s="834"/>
      <c r="E29" s="835"/>
      <c r="F29" s="836"/>
      <c r="G29" s="836"/>
      <c r="H29" s="836"/>
      <c r="I29" s="837"/>
      <c r="J29" s="838">
        <f t="shared" si="1"/>
        <v>0</v>
      </c>
      <c r="K29" s="859"/>
      <c r="L29" s="839"/>
      <c r="M29" s="77"/>
      <c r="N29" s="839"/>
      <c r="O29" s="840"/>
      <c r="P29" s="77"/>
      <c r="Q29" s="837"/>
      <c r="R29" s="841">
        <f t="shared" si="2"/>
        <v>0</v>
      </c>
      <c r="S29" s="841">
        <f t="shared" si="3"/>
        <v>0</v>
      </c>
      <c r="T29" s="842">
        <f>(IF(E29="",0,IF(J$54="",SUM(BN29:CP29)/E29,(SUM(BW29:CP29)+BM29)/E29)))*(1+M$42+Summary!P$57)</f>
        <v>0</v>
      </c>
      <c r="U29" s="843">
        <f t="shared" si="4"/>
        <v>0</v>
      </c>
      <c r="V29" s="844">
        <f t="shared" si="5"/>
        <v>0</v>
      </c>
      <c r="W29" s="845">
        <f t="shared" si="6"/>
        <v>0</v>
      </c>
      <c r="X29" s="846">
        <f t="shared" si="7"/>
        <v>0</v>
      </c>
      <c r="Y29" s="847">
        <f t="shared" si="8"/>
        <v>0</v>
      </c>
      <c r="Z29" s="847">
        <f t="shared" si="9"/>
        <v>0</v>
      </c>
      <c r="AA29" s="848">
        <f t="shared" si="10"/>
        <v>0</v>
      </c>
      <c r="AB29" s="849">
        <f t="shared" si="11"/>
        <v>0</v>
      </c>
      <c r="AG29" t="str">
        <f t="shared" si="12"/>
        <v/>
      </c>
      <c r="AH29">
        <f t="shared" si="13"/>
        <v>0</v>
      </c>
      <c r="AI29">
        <f t="shared" si="14"/>
        <v>0</v>
      </c>
      <c r="AJ29" t="str">
        <f t="shared" si="15"/>
        <v/>
      </c>
      <c r="AK29">
        <f t="shared" si="16"/>
        <v>0</v>
      </c>
      <c r="AL29">
        <f t="shared" si="17"/>
        <v>0</v>
      </c>
      <c r="AM29">
        <f t="shared" si="18"/>
        <v>0</v>
      </c>
      <c r="AN29">
        <f t="shared" si="19"/>
        <v>0</v>
      </c>
      <c r="AO29" t="str">
        <f t="shared" si="20"/>
        <v/>
      </c>
      <c r="AP29">
        <v>3</v>
      </c>
      <c r="AQ29" t="str">
        <f t="shared" si="21"/>
        <v/>
      </c>
      <c r="AR29">
        <f t="shared" si="22"/>
        <v>0</v>
      </c>
      <c r="AS29">
        <f t="shared" si="23"/>
        <v>0</v>
      </c>
      <c r="AT29">
        <f t="shared" si="24"/>
        <v>0</v>
      </c>
      <c r="AU29">
        <f t="shared" si="25"/>
        <v>0</v>
      </c>
      <c r="AV29">
        <f t="shared" si="26"/>
        <v>0</v>
      </c>
      <c r="AW29">
        <f t="shared" si="27"/>
        <v>0</v>
      </c>
      <c r="AX29">
        <f t="shared" si="28"/>
        <v>0</v>
      </c>
      <c r="AY29">
        <f t="shared" si="29"/>
        <v>0</v>
      </c>
      <c r="AZ29">
        <f t="shared" si="30"/>
        <v>0</v>
      </c>
      <c r="BA29">
        <f t="shared" si="31"/>
        <v>0</v>
      </c>
      <c r="BB29">
        <f t="shared" si="32"/>
        <v>0</v>
      </c>
      <c r="BC29">
        <f t="shared" si="33"/>
        <v>0</v>
      </c>
      <c r="BD29">
        <f t="shared" si="34"/>
        <v>0</v>
      </c>
      <c r="BE29">
        <f t="shared" si="59"/>
        <v>0</v>
      </c>
      <c r="BF29">
        <f t="shared" si="59"/>
        <v>0</v>
      </c>
      <c r="BG29">
        <f t="shared" si="59"/>
        <v>0</v>
      </c>
      <c r="BH29">
        <f t="shared" si="59"/>
        <v>0</v>
      </c>
      <c r="BI29">
        <f t="shared" si="59"/>
        <v>0</v>
      </c>
      <c r="BJ29">
        <f t="shared" si="59"/>
        <v>0</v>
      </c>
      <c r="BK29">
        <f t="shared" si="59"/>
        <v>0</v>
      </c>
      <c r="BL29" t="str">
        <f t="shared" si="36"/>
        <v/>
      </c>
      <c r="BM29" s="850">
        <f t="shared" si="37"/>
        <v>0</v>
      </c>
      <c r="BN29" s="854">
        <f t="shared" si="38"/>
        <v>0</v>
      </c>
      <c r="BO29" s="273">
        <f t="shared" si="39"/>
        <v>0</v>
      </c>
      <c r="BP29" s="273">
        <f t="shared" si="40"/>
        <v>0</v>
      </c>
      <c r="BQ29" s="273">
        <f t="shared" si="41"/>
        <v>0</v>
      </c>
      <c r="BR29" s="273">
        <f t="shared" si="42"/>
        <v>0</v>
      </c>
      <c r="BS29" s="273">
        <f t="shared" si="43"/>
        <v>0</v>
      </c>
      <c r="BT29" s="273">
        <f t="shared" si="44"/>
        <v>0</v>
      </c>
      <c r="BU29" s="273">
        <f t="shared" si="45"/>
        <v>0</v>
      </c>
      <c r="BV29" s="855" t="str">
        <f t="shared" si="46"/>
        <v/>
      </c>
      <c r="BW29" s="854">
        <f>AT29*Pricing!F$3*IF($T$41="N",(1+$V$41),1)</f>
        <v>0</v>
      </c>
      <c r="BX29" s="273">
        <f>AU29*Pricing!G$3*IF($T$41="N",(1+$V$41),1)</f>
        <v>0</v>
      </c>
      <c r="BY29" s="273">
        <f>AV29*Pricing!H$3*IF($T$41="N",(1+$V$41),1)</f>
        <v>0</v>
      </c>
      <c r="BZ29" s="273">
        <f>AW29*Pricing!I$3*IF($T$41="N",(1+$V$41),1)</f>
        <v>0</v>
      </c>
      <c r="CA29" s="273">
        <f>AX29*Pricing!J$3*IF($T$41="N",(1+$V$41),1)</f>
        <v>0</v>
      </c>
      <c r="CB29" s="273">
        <f>AY29*Pricing!K$3*IF($T$41="N",(1+$V$41),1)</f>
        <v>0</v>
      </c>
      <c r="CC29" s="273">
        <f>AZ29*Pricing!L$3*IF($T$41="N",(1+$V$41),1)</f>
        <v>0</v>
      </c>
      <c r="CD29" s="273">
        <f>BA29*Pricing!M$3*IF($T$41="N",(1+$V$41),1)</f>
        <v>0</v>
      </c>
      <c r="CE29" s="273">
        <f>BB29*Pricing!N$3*IF($T$41="N",(1+$V$41),1)</f>
        <v>0</v>
      </c>
      <c r="CF29" s="855">
        <f>BC29*Pricing!O$3*IF($T$41="N",(1+$V$41),1)</f>
        <v>0</v>
      </c>
      <c r="CG29" s="273">
        <f t="shared" si="47"/>
        <v>0</v>
      </c>
      <c r="CH29" s="854">
        <f t="shared" si="48"/>
        <v>0</v>
      </c>
      <c r="CI29" s="273">
        <f t="shared" si="49"/>
        <v>0</v>
      </c>
      <c r="CJ29" s="273" t="str">
        <f t="shared" si="50"/>
        <v/>
      </c>
      <c r="CK29" s="273">
        <f t="shared" si="51"/>
        <v>0</v>
      </c>
      <c r="CL29" s="856">
        <f t="shared" si="52"/>
        <v>0</v>
      </c>
      <c r="CM29" s="857">
        <f t="shared" si="53"/>
        <v>0</v>
      </c>
      <c r="CN29" s="855">
        <f t="shared" si="54"/>
        <v>0</v>
      </c>
      <c r="CO29" s="857">
        <f t="shared" si="55"/>
        <v>0</v>
      </c>
      <c r="CP29" s="273">
        <f t="shared" si="56"/>
        <v>0</v>
      </c>
      <c r="CQ29" s="54">
        <f t="shared" si="57"/>
        <v>0</v>
      </c>
      <c r="CR29" s="858">
        <f t="shared" si="58"/>
        <v>0</v>
      </c>
    </row>
    <row r="30" spans="1:96" ht="19.5" customHeight="1">
      <c r="B30" s="833"/>
      <c r="C30" s="541"/>
      <c r="D30" s="834"/>
      <c r="E30" s="835"/>
      <c r="F30" s="836"/>
      <c r="G30" s="836"/>
      <c r="H30" s="77"/>
      <c r="I30" s="837"/>
      <c r="J30" s="838">
        <f t="shared" si="1"/>
        <v>0</v>
      </c>
      <c r="K30" s="859"/>
      <c r="L30" s="839"/>
      <c r="M30" s="77"/>
      <c r="N30" s="839"/>
      <c r="O30" s="840"/>
      <c r="P30" s="77"/>
      <c r="Q30" s="837"/>
      <c r="R30" s="841">
        <f t="shared" si="2"/>
        <v>0</v>
      </c>
      <c r="S30" s="841">
        <f t="shared" si="3"/>
        <v>0</v>
      </c>
      <c r="T30" s="842">
        <f>(IF(E30="",0,IF(J$54="",SUM(BN30:CP30)/E30,(SUM(BW30:CP30)+BM30)/E30)))*(1+M$42+Summary!P$57)</f>
        <v>0</v>
      </c>
      <c r="U30" s="843">
        <f t="shared" si="4"/>
        <v>0</v>
      </c>
      <c r="V30" s="844">
        <f t="shared" si="5"/>
        <v>0</v>
      </c>
      <c r="W30" s="845">
        <f t="shared" si="6"/>
        <v>0</v>
      </c>
      <c r="X30" s="846">
        <f t="shared" si="7"/>
        <v>0</v>
      </c>
      <c r="Y30" s="847">
        <f t="shared" si="8"/>
        <v>0</v>
      </c>
      <c r="Z30" s="847">
        <f t="shared" si="9"/>
        <v>0</v>
      </c>
      <c r="AA30" s="848">
        <f t="shared" si="10"/>
        <v>0</v>
      </c>
      <c r="AB30" s="849">
        <f t="shared" si="11"/>
        <v>0</v>
      </c>
      <c r="AG30" t="str">
        <f t="shared" si="12"/>
        <v/>
      </c>
      <c r="AH30">
        <f t="shared" si="13"/>
        <v>0</v>
      </c>
      <c r="AI30">
        <f t="shared" si="14"/>
        <v>0</v>
      </c>
      <c r="AJ30" t="str">
        <f t="shared" si="15"/>
        <v/>
      </c>
      <c r="AK30">
        <f t="shared" si="16"/>
        <v>0</v>
      </c>
      <c r="AL30">
        <f t="shared" si="17"/>
        <v>0</v>
      </c>
      <c r="AM30">
        <f t="shared" si="18"/>
        <v>0</v>
      </c>
      <c r="AN30">
        <f t="shared" si="19"/>
        <v>0</v>
      </c>
      <c r="AO30" t="str">
        <f t="shared" si="20"/>
        <v/>
      </c>
      <c r="AP30">
        <v>3</v>
      </c>
      <c r="AQ30" t="str">
        <f t="shared" si="21"/>
        <v/>
      </c>
      <c r="AR30">
        <f t="shared" si="22"/>
        <v>0</v>
      </c>
      <c r="AS30">
        <f t="shared" si="23"/>
        <v>0</v>
      </c>
      <c r="AT30">
        <f t="shared" si="24"/>
        <v>0</v>
      </c>
      <c r="AU30">
        <f t="shared" si="25"/>
        <v>0</v>
      </c>
      <c r="AV30">
        <f t="shared" si="26"/>
        <v>0</v>
      </c>
      <c r="AW30">
        <f t="shared" si="27"/>
        <v>0</v>
      </c>
      <c r="AX30">
        <f t="shared" si="28"/>
        <v>0</v>
      </c>
      <c r="AY30">
        <f t="shared" si="29"/>
        <v>0</v>
      </c>
      <c r="AZ30">
        <f t="shared" si="30"/>
        <v>0</v>
      </c>
      <c r="BA30">
        <f t="shared" si="31"/>
        <v>0</v>
      </c>
      <c r="BB30">
        <f t="shared" si="32"/>
        <v>0</v>
      </c>
      <c r="BC30">
        <f t="shared" si="33"/>
        <v>0</v>
      </c>
      <c r="BD30">
        <f t="shared" si="34"/>
        <v>0</v>
      </c>
      <c r="BE30">
        <f t="shared" si="59"/>
        <v>0</v>
      </c>
      <c r="BF30">
        <f t="shared" si="59"/>
        <v>0</v>
      </c>
      <c r="BG30">
        <f t="shared" si="59"/>
        <v>0</v>
      </c>
      <c r="BH30">
        <f t="shared" si="59"/>
        <v>0</v>
      </c>
      <c r="BI30">
        <f t="shared" si="59"/>
        <v>0</v>
      </c>
      <c r="BJ30">
        <f t="shared" si="59"/>
        <v>0</v>
      </c>
      <c r="BK30">
        <f t="shared" si="59"/>
        <v>0</v>
      </c>
      <c r="BL30" t="str">
        <f t="shared" si="36"/>
        <v/>
      </c>
      <c r="BM30" s="850">
        <f t="shared" si="37"/>
        <v>0</v>
      </c>
      <c r="BN30" s="854">
        <f t="shared" si="38"/>
        <v>0</v>
      </c>
      <c r="BO30" s="273">
        <f t="shared" si="39"/>
        <v>0</v>
      </c>
      <c r="BP30" s="273">
        <f t="shared" si="40"/>
        <v>0</v>
      </c>
      <c r="BQ30" s="273">
        <f t="shared" si="41"/>
        <v>0</v>
      </c>
      <c r="BR30" s="273">
        <f t="shared" si="42"/>
        <v>0</v>
      </c>
      <c r="BS30" s="273">
        <f t="shared" si="43"/>
        <v>0</v>
      </c>
      <c r="BT30" s="273">
        <f t="shared" si="44"/>
        <v>0</v>
      </c>
      <c r="BU30" s="273">
        <f t="shared" si="45"/>
        <v>0</v>
      </c>
      <c r="BV30" s="855" t="str">
        <f t="shared" si="46"/>
        <v/>
      </c>
      <c r="BW30" s="854">
        <f>AT30*Pricing!F$3*IF($T$41="N",(1+$V$41),1)</f>
        <v>0</v>
      </c>
      <c r="BX30" s="273">
        <f>AU30*Pricing!G$3*IF($T$41="N",(1+$V$41),1)</f>
        <v>0</v>
      </c>
      <c r="BY30" s="273">
        <f>AV30*Pricing!H$3*IF($T$41="N",(1+$V$41),1)</f>
        <v>0</v>
      </c>
      <c r="BZ30" s="273">
        <f>AW30*Pricing!I$3*IF($T$41="N",(1+$V$41),1)</f>
        <v>0</v>
      </c>
      <c r="CA30" s="273">
        <f>AX30*Pricing!J$3*IF($T$41="N",(1+$V$41),1)</f>
        <v>0</v>
      </c>
      <c r="CB30" s="273">
        <f>AY30*Pricing!K$3*IF($T$41="N",(1+$V$41),1)</f>
        <v>0</v>
      </c>
      <c r="CC30" s="273">
        <f>AZ30*Pricing!L$3*IF($T$41="N",(1+$V$41),1)</f>
        <v>0</v>
      </c>
      <c r="CD30" s="273">
        <f>BA30*Pricing!M$3*IF($T$41="N",(1+$V$41),1)</f>
        <v>0</v>
      </c>
      <c r="CE30" s="273">
        <f>BB30*Pricing!N$3*IF($T$41="N",(1+$V$41),1)</f>
        <v>0</v>
      </c>
      <c r="CF30" s="855">
        <f>BC30*Pricing!O$3*IF($T$41="N",(1+$V$41),1)</f>
        <v>0</v>
      </c>
      <c r="CG30" s="273">
        <f t="shared" si="47"/>
        <v>0</v>
      </c>
      <c r="CH30" s="854">
        <f t="shared" si="48"/>
        <v>0</v>
      </c>
      <c r="CI30" s="273">
        <f t="shared" si="49"/>
        <v>0</v>
      </c>
      <c r="CJ30" s="273" t="str">
        <f t="shared" si="50"/>
        <v/>
      </c>
      <c r="CK30" s="273">
        <f t="shared" si="51"/>
        <v>0</v>
      </c>
      <c r="CL30" s="856">
        <f t="shared" si="52"/>
        <v>0</v>
      </c>
      <c r="CM30" s="857">
        <f t="shared" si="53"/>
        <v>0</v>
      </c>
      <c r="CN30" s="855">
        <f t="shared" si="54"/>
        <v>0</v>
      </c>
      <c r="CO30" s="857">
        <f t="shared" si="55"/>
        <v>0</v>
      </c>
      <c r="CP30" s="273">
        <f t="shared" si="56"/>
        <v>0</v>
      </c>
      <c r="CQ30" s="54">
        <f t="shared" si="57"/>
        <v>0</v>
      </c>
      <c r="CR30" s="858">
        <f t="shared" si="58"/>
        <v>0</v>
      </c>
    </row>
    <row r="31" spans="1:96" ht="19.5" customHeight="1">
      <c r="B31" s="833"/>
      <c r="C31" s="541"/>
      <c r="D31" s="834"/>
      <c r="E31" s="835"/>
      <c r="F31" s="836"/>
      <c r="G31" s="836"/>
      <c r="H31" s="77"/>
      <c r="I31" s="837"/>
      <c r="J31" s="838">
        <f t="shared" si="1"/>
        <v>0</v>
      </c>
      <c r="K31" s="859"/>
      <c r="L31" s="839"/>
      <c r="M31" s="77"/>
      <c r="N31" s="839"/>
      <c r="O31" s="840"/>
      <c r="P31" s="77"/>
      <c r="Q31" s="837"/>
      <c r="R31" s="841">
        <f t="shared" si="2"/>
        <v>0</v>
      </c>
      <c r="S31" s="841">
        <f t="shared" si="3"/>
        <v>0</v>
      </c>
      <c r="T31" s="842">
        <f>(IF(E31="",0,IF(J$54="",SUM(BN31:CP31)/E31,(SUM(BW31:CP31)+BM31)/E31)))*(1+M$42+Summary!P$57)</f>
        <v>0</v>
      </c>
      <c r="U31" s="843">
        <f t="shared" si="4"/>
        <v>0</v>
      </c>
      <c r="V31" s="844">
        <f t="shared" si="5"/>
        <v>0</v>
      </c>
      <c r="W31" s="845">
        <f t="shared" si="6"/>
        <v>0</v>
      </c>
      <c r="X31" s="846">
        <f t="shared" si="7"/>
        <v>0</v>
      </c>
      <c r="Y31" s="847">
        <f t="shared" si="8"/>
        <v>0</v>
      </c>
      <c r="Z31" s="847">
        <f t="shared" si="9"/>
        <v>0</v>
      </c>
      <c r="AA31" s="848">
        <f t="shared" si="10"/>
        <v>0</v>
      </c>
      <c r="AB31" s="849">
        <f t="shared" si="11"/>
        <v>0</v>
      </c>
      <c r="AG31" t="str">
        <f t="shared" si="12"/>
        <v/>
      </c>
      <c r="AH31">
        <f t="shared" si="13"/>
        <v>0</v>
      </c>
      <c r="AI31">
        <f t="shared" si="14"/>
        <v>0</v>
      </c>
      <c r="AJ31" t="str">
        <f t="shared" si="15"/>
        <v/>
      </c>
      <c r="AK31">
        <f t="shared" si="16"/>
        <v>0</v>
      </c>
      <c r="AL31">
        <f t="shared" si="17"/>
        <v>0</v>
      </c>
      <c r="AM31">
        <f t="shared" si="18"/>
        <v>0</v>
      </c>
      <c r="AN31">
        <f t="shared" si="19"/>
        <v>0</v>
      </c>
      <c r="AO31" t="str">
        <f t="shared" si="20"/>
        <v/>
      </c>
      <c r="AP31">
        <v>3</v>
      </c>
      <c r="AQ31" t="str">
        <f t="shared" si="21"/>
        <v/>
      </c>
      <c r="AR31">
        <f t="shared" si="22"/>
        <v>0</v>
      </c>
      <c r="AS31">
        <f t="shared" si="23"/>
        <v>0</v>
      </c>
      <c r="AT31">
        <f t="shared" si="24"/>
        <v>0</v>
      </c>
      <c r="AU31">
        <f t="shared" si="25"/>
        <v>0</v>
      </c>
      <c r="AV31">
        <f t="shared" si="26"/>
        <v>0</v>
      </c>
      <c r="AW31">
        <f t="shared" si="27"/>
        <v>0</v>
      </c>
      <c r="AX31">
        <f t="shared" si="28"/>
        <v>0</v>
      </c>
      <c r="AY31">
        <f t="shared" si="29"/>
        <v>0</v>
      </c>
      <c r="AZ31">
        <f t="shared" si="30"/>
        <v>0</v>
      </c>
      <c r="BA31">
        <f t="shared" si="31"/>
        <v>0</v>
      </c>
      <c r="BB31">
        <f t="shared" si="32"/>
        <v>0</v>
      </c>
      <c r="BC31">
        <f t="shared" si="33"/>
        <v>0</v>
      </c>
      <c r="BD31">
        <f t="shared" si="34"/>
        <v>0</v>
      </c>
      <c r="BE31">
        <f t="shared" ref="BE31:BK38" si="60">IF($F31&gt;BD$10,IF($F31&lt;=BE$10,$E31*$J31,0),0)</f>
        <v>0</v>
      </c>
      <c r="BF31">
        <f t="shared" si="60"/>
        <v>0</v>
      </c>
      <c r="BG31">
        <f t="shared" si="60"/>
        <v>0</v>
      </c>
      <c r="BH31">
        <f t="shared" si="60"/>
        <v>0</v>
      </c>
      <c r="BI31">
        <f t="shared" si="60"/>
        <v>0</v>
      </c>
      <c r="BJ31">
        <f t="shared" si="60"/>
        <v>0</v>
      </c>
      <c r="BK31">
        <f t="shared" si="60"/>
        <v>0</v>
      </c>
      <c r="BL31" t="str">
        <f t="shared" si="36"/>
        <v/>
      </c>
      <c r="BM31" s="850">
        <f t="shared" si="37"/>
        <v>0</v>
      </c>
      <c r="BN31" s="854">
        <f t="shared" si="38"/>
        <v>0</v>
      </c>
      <c r="BO31" s="273">
        <f t="shared" si="39"/>
        <v>0</v>
      </c>
      <c r="BP31" s="273">
        <f t="shared" si="40"/>
        <v>0</v>
      </c>
      <c r="BQ31" s="273">
        <f t="shared" si="41"/>
        <v>0</v>
      </c>
      <c r="BR31" s="273">
        <f t="shared" si="42"/>
        <v>0</v>
      </c>
      <c r="BS31" s="273">
        <f t="shared" si="43"/>
        <v>0</v>
      </c>
      <c r="BT31" s="273">
        <f t="shared" si="44"/>
        <v>0</v>
      </c>
      <c r="BU31" s="273">
        <f t="shared" si="45"/>
        <v>0</v>
      </c>
      <c r="BV31" s="855" t="str">
        <f t="shared" si="46"/>
        <v/>
      </c>
      <c r="BW31" s="854">
        <f>AT31*Pricing!F$3*IF($T$41="N",(1+$V$41),1)</f>
        <v>0</v>
      </c>
      <c r="BX31" s="273">
        <f>AU31*Pricing!G$3*IF($T$41="N",(1+$V$41),1)</f>
        <v>0</v>
      </c>
      <c r="BY31" s="273">
        <f>AV31*Pricing!H$3*IF($T$41="N",(1+$V$41),1)</f>
        <v>0</v>
      </c>
      <c r="BZ31" s="273">
        <f>AW31*Pricing!I$3*IF($T$41="N",(1+$V$41),1)</f>
        <v>0</v>
      </c>
      <c r="CA31" s="273">
        <f>AX31*Pricing!J$3*IF($T$41="N",(1+$V$41),1)</f>
        <v>0</v>
      </c>
      <c r="CB31" s="273">
        <f>AY31*Pricing!K$3*IF($T$41="N",(1+$V$41),1)</f>
        <v>0</v>
      </c>
      <c r="CC31" s="273">
        <f>AZ31*Pricing!L$3*IF($T$41="N",(1+$V$41),1)</f>
        <v>0</v>
      </c>
      <c r="CD31" s="273">
        <f>BA31*Pricing!M$3*IF($T$41="N",(1+$V$41),1)</f>
        <v>0</v>
      </c>
      <c r="CE31" s="273">
        <f>BB31*Pricing!N$3*IF($T$41="N",(1+$V$41),1)</f>
        <v>0</v>
      </c>
      <c r="CF31" s="855">
        <f>BC31*Pricing!O$3*IF($T$41="N",(1+$V$41),1)</f>
        <v>0</v>
      </c>
      <c r="CG31" s="273">
        <f t="shared" si="47"/>
        <v>0</v>
      </c>
      <c r="CH31" s="854">
        <f t="shared" si="48"/>
        <v>0</v>
      </c>
      <c r="CI31" s="273">
        <f t="shared" si="49"/>
        <v>0</v>
      </c>
      <c r="CJ31" s="273" t="str">
        <f t="shared" si="50"/>
        <v/>
      </c>
      <c r="CK31" s="273">
        <f t="shared" si="51"/>
        <v>0</v>
      </c>
      <c r="CL31" s="856">
        <f t="shared" si="52"/>
        <v>0</v>
      </c>
      <c r="CM31" s="857">
        <f t="shared" si="53"/>
        <v>0</v>
      </c>
      <c r="CN31" s="855">
        <f t="shared" si="54"/>
        <v>0</v>
      </c>
      <c r="CO31" s="857">
        <f t="shared" si="55"/>
        <v>0</v>
      </c>
      <c r="CP31" s="273">
        <f t="shared" si="56"/>
        <v>0</v>
      </c>
      <c r="CQ31" s="54">
        <f t="shared" si="57"/>
        <v>0</v>
      </c>
      <c r="CR31" s="858">
        <f t="shared" si="58"/>
        <v>0</v>
      </c>
    </row>
    <row r="32" spans="1:96" ht="19.5" customHeight="1">
      <c r="B32" s="833"/>
      <c r="C32" s="541"/>
      <c r="D32" s="834"/>
      <c r="E32" s="835"/>
      <c r="F32" s="836"/>
      <c r="G32" s="836"/>
      <c r="H32" s="77"/>
      <c r="I32" s="837"/>
      <c r="J32" s="838">
        <f t="shared" si="1"/>
        <v>0</v>
      </c>
      <c r="K32" s="859"/>
      <c r="L32" s="839"/>
      <c r="M32" s="77"/>
      <c r="N32" s="839"/>
      <c r="O32" s="840"/>
      <c r="P32" s="77"/>
      <c r="Q32" s="837"/>
      <c r="R32" s="841">
        <f t="shared" si="2"/>
        <v>0</v>
      </c>
      <c r="S32" s="841">
        <f t="shared" si="3"/>
        <v>0</v>
      </c>
      <c r="T32" s="842">
        <f>(IF(E32="",0,IF(J$54="",SUM(BN32:CP32)/E32,(SUM(BW32:CP32)+BM32)/E32)))*(1+M$42+Summary!P$57)</f>
        <v>0</v>
      </c>
      <c r="U32" s="843">
        <f t="shared" si="4"/>
        <v>0</v>
      </c>
      <c r="V32" s="844">
        <f t="shared" si="5"/>
        <v>0</v>
      </c>
      <c r="W32" s="845">
        <f t="shared" si="6"/>
        <v>0</v>
      </c>
      <c r="X32" s="846">
        <f t="shared" si="7"/>
        <v>0</v>
      </c>
      <c r="Y32" s="847">
        <f t="shared" si="8"/>
        <v>0</v>
      </c>
      <c r="Z32" s="847">
        <f t="shared" si="9"/>
        <v>0</v>
      </c>
      <c r="AA32" s="848">
        <f t="shared" si="10"/>
        <v>0</v>
      </c>
      <c r="AB32" s="849">
        <f t="shared" si="11"/>
        <v>0</v>
      </c>
      <c r="AG32" t="str">
        <f t="shared" si="12"/>
        <v/>
      </c>
      <c r="AH32">
        <f t="shared" si="13"/>
        <v>0</v>
      </c>
      <c r="AI32">
        <f t="shared" si="14"/>
        <v>0</v>
      </c>
      <c r="AJ32" t="str">
        <f t="shared" si="15"/>
        <v/>
      </c>
      <c r="AK32">
        <f t="shared" si="16"/>
        <v>0</v>
      </c>
      <c r="AL32">
        <f t="shared" si="17"/>
        <v>0</v>
      </c>
      <c r="AM32">
        <f t="shared" si="18"/>
        <v>0</v>
      </c>
      <c r="AN32">
        <f t="shared" si="19"/>
        <v>0</v>
      </c>
      <c r="AO32" t="str">
        <f t="shared" si="20"/>
        <v/>
      </c>
      <c r="AP32">
        <v>3</v>
      </c>
      <c r="AQ32" t="str">
        <f t="shared" si="21"/>
        <v/>
      </c>
      <c r="AR32">
        <f t="shared" si="22"/>
        <v>0</v>
      </c>
      <c r="AS32">
        <f t="shared" si="23"/>
        <v>0</v>
      </c>
      <c r="AT32">
        <f t="shared" si="24"/>
        <v>0</v>
      </c>
      <c r="AU32">
        <f t="shared" si="25"/>
        <v>0</v>
      </c>
      <c r="AV32">
        <f t="shared" si="26"/>
        <v>0</v>
      </c>
      <c r="AW32">
        <f t="shared" si="27"/>
        <v>0</v>
      </c>
      <c r="AX32">
        <f t="shared" si="28"/>
        <v>0</v>
      </c>
      <c r="AY32">
        <f t="shared" si="29"/>
        <v>0</v>
      </c>
      <c r="AZ32">
        <f t="shared" si="30"/>
        <v>0</v>
      </c>
      <c r="BA32">
        <f t="shared" si="31"/>
        <v>0</v>
      </c>
      <c r="BB32">
        <f t="shared" si="32"/>
        <v>0</v>
      </c>
      <c r="BC32">
        <f t="shared" si="33"/>
        <v>0</v>
      </c>
      <c r="BD32">
        <f t="shared" si="34"/>
        <v>0</v>
      </c>
      <c r="BE32">
        <f t="shared" si="60"/>
        <v>0</v>
      </c>
      <c r="BF32">
        <f t="shared" si="60"/>
        <v>0</v>
      </c>
      <c r="BG32">
        <f t="shared" si="60"/>
        <v>0</v>
      </c>
      <c r="BH32">
        <f t="shared" si="60"/>
        <v>0</v>
      </c>
      <c r="BI32">
        <f t="shared" si="60"/>
        <v>0</v>
      </c>
      <c r="BJ32">
        <f t="shared" si="60"/>
        <v>0</v>
      </c>
      <c r="BK32">
        <f t="shared" si="60"/>
        <v>0</v>
      </c>
      <c r="BL32" t="str">
        <f t="shared" si="36"/>
        <v/>
      </c>
      <c r="BM32" s="850">
        <f t="shared" si="37"/>
        <v>0</v>
      </c>
      <c r="BN32" s="854">
        <f t="shared" si="38"/>
        <v>0</v>
      </c>
      <c r="BO32" s="273">
        <f t="shared" si="39"/>
        <v>0</v>
      </c>
      <c r="BP32" s="273">
        <f t="shared" si="40"/>
        <v>0</v>
      </c>
      <c r="BQ32" s="273">
        <f t="shared" si="41"/>
        <v>0</v>
      </c>
      <c r="BR32" s="273">
        <f t="shared" si="42"/>
        <v>0</v>
      </c>
      <c r="BS32" s="273">
        <f t="shared" si="43"/>
        <v>0</v>
      </c>
      <c r="BT32" s="273">
        <f t="shared" si="44"/>
        <v>0</v>
      </c>
      <c r="BU32" s="273">
        <f t="shared" si="45"/>
        <v>0</v>
      </c>
      <c r="BV32" s="855" t="str">
        <f t="shared" si="46"/>
        <v/>
      </c>
      <c r="BW32" s="854">
        <f>AT32*Pricing!F$3*IF($T$41="N",(1+$V$41),1)</f>
        <v>0</v>
      </c>
      <c r="BX32" s="273">
        <f>AU32*Pricing!G$3*IF($T$41="N",(1+$V$41),1)</f>
        <v>0</v>
      </c>
      <c r="BY32" s="273">
        <f>AV32*Pricing!H$3*IF($T$41="N",(1+$V$41),1)</f>
        <v>0</v>
      </c>
      <c r="BZ32" s="273">
        <f>AW32*Pricing!I$3*IF($T$41="N",(1+$V$41),1)</f>
        <v>0</v>
      </c>
      <c r="CA32" s="273">
        <f>AX32*Pricing!J$3*IF($T$41="N",(1+$V$41),1)</f>
        <v>0</v>
      </c>
      <c r="CB32" s="273">
        <f>AY32*Pricing!K$3*IF($T$41="N",(1+$V$41),1)</f>
        <v>0</v>
      </c>
      <c r="CC32" s="273">
        <f>AZ32*Pricing!L$3*IF($T$41="N",(1+$V$41),1)</f>
        <v>0</v>
      </c>
      <c r="CD32" s="273">
        <f>BA32*Pricing!M$3*IF($T$41="N",(1+$V$41),1)</f>
        <v>0</v>
      </c>
      <c r="CE32" s="273">
        <f>BB32*Pricing!N$3*IF($T$41="N",(1+$V$41),1)</f>
        <v>0</v>
      </c>
      <c r="CF32" s="855">
        <f>BC32*Pricing!O$3*IF($T$41="N",(1+$V$41),1)</f>
        <v>0</v>
      </c>
      <c r="CG32" s="273">
        <f t="shared" si="47"/>
        <v>0</v>
      </c>
      <c r="CH32" s="854">
        <f t="shared" si="48"/>
        <v>0</v>
      </c>
      <c r="CI32" s="273">
        <f t="shared" si="49"/>
        <v>0</v>
      </c>
      <c r="CJ32" s="273" t="str">
        <f t="shared" si="50"/>
        <v/>
      </c>
      <c r="CK32" s="273">
        <f t="shared" si="51"/>
        <v>0</v>
      </c>
      <c r="CL32" s="856">
        <f t="shared" si="52"/>
        <v>0</v>
      </c>
      <c r="CM32" s="857">
        <f t="shared" si="53"/>
        <v>0</v>
      </c>
      <c r="CN32" s="855">
        <f t="shared" si="54"/>
        <v>0</v>
      </c>
      <c r="CO32" s="857">
        <f t="shared" si="55"/>
        <v>0</v>
      </c>
      <c r="CP32" s="273">
        <f t="shared" si="56"/>
        <v>0</v>
      </c>
      <c r="CQ32" s="54">
        <f t="shared" si="57"/>
        <v>0</v>
      </c>
      <c r="CR32" s="858">
        <f t="shared" si="58"/>
        <v>0</v>
      </c>
    </row>
    <row r="33" spans="2:96" ht="19.5" customHeight="1">
      <c r="B33" s="833"/>
      <c r="C33" s="541"/>
      <c r="D33" s="834"/>
      <c r="E33" s="835"/>
      <c r="F33" s="836"/>
      <c r="G33" s="836"/>
      <c r="H33" s="77"/>
      <c r="I33" s="837"/>
      <c r="J33" s="838">
        <f t="shared" si="1"/>
        <v>0</v>
      </c>
      <c r="K33" s="859"/>
      <c r="L33" s="839"/>
      <c r="M33" s="77"/>
      <c r="N33" s="839"/>
      <c r="O33" s="840"/>
      <c r="P33" s="77"/>
      <c r="Q33" s="837"/>
      <c r="R33" s="841">
        <f t="shared" si="2"/>
        <v>0</v>
      </c>
      <c r="S33" s="841">
        <f t="shared" si="3"/>
        <v>0</v>
      </c>
      <c r="T33" s="842">
        <f>(IF(E33="",0,IF(J$54="",SUM(BN33:CP33)/E33,(SUM(BW33:CP33)+BM33)/E33)))*(1+M$42+Summary!P$57)</f>
        <v>0</v>
      </c>
      <c r="U33" s="843">
        <f t="shared" si="4"/>
        <v>0</v>
      </c>
      <c r="V33" s="844">
        <f t="shared" si="5"/>
        <v>0</v>
      </c>
      <c r="W33" s="845">
        <f t="shared" si="6"/>
        <v>0</v>
      </c>
      <c r="X33" s="846">
        <f t="shared" si="7"/>
        <v>0</v>
      </c>
      <c r="Y33" s="847">
        <f t="shared" si="8"/>
        <v>0</v>
      </c>
      <c r="Z33" s="847">
        <f t="shared" si="9"/>
        <v>0</v>
      </c>
      <c r="AA33" s="848">
        <f t="shared" si="10"/>
        <v>0</v>
      </c>
      <c r="AB33" s="849">
        <f t="shared" si="11"/>
        <v>0</v>
      </c>
      <c r="AG33" t="str">
        <f t="shared" si="12"/>
        <v/>
      </c>
      <c r="AH33">
        <f t="shared" si="13"/>
        <v>0</v>
      </c>
      <c r="AI33">
        <f t="shared" si="14"/>
        <v>0</v>
      </c>
      <c r="AJ33" t="str">
        <f t="shared" si="15"/>
        <v/>
      </c>
      <c r="AK33">
        <f t="shared" si="16"/>
        <v>0</v>
      </c>
      <c r="AL33">
        <f t="shared" si="17"/>
        <v>0</v>
      </c>
      <c r="AM33">
        <f t="shared" si="18"/>
        <v>0</v>
      </c>
      <c r="AN33">
        <f t="shared" si="19"/>
        <v>0</v>
      </c>
      <c r="AO33" t="str">
        <f t="shared" si="20"/>
        <v/>
      </c>
      <c r="AP33">
        <v>3</v>
      </c>
      <c r="AQ33" t="str">
        <f t="shared" si="21"/>
        <v/>
      </c>
      <c r="AR33">
        <f t="shared" si="22"/>
        <v>0</v>
      </c>
      <c r="AS33">
        <f t="shared" si="23"/>
        <v>0</v>
      </c>
      <c r="AT33">
        <f t="shared" si="24"/>
        <v>0</v>
      </c>
      <c r="AU33">
        <f t="shared" si="25"/>
        <v>0</v>
      </c>
      <c r="AV33">
        <f t="shared" si="26"/>
        <v>0</v>
      </c>
      <c r="AW33">
        <f t="shared" si="27"/>
        <v>0</v>
      </c>
      <c r="AX33">
        <f t="shared" si="28"/>
        <v>0</v>
      </c>
      <c r="AY33">
        <f t="shared" si="29"/>
        <v>0</v>
      </c>
      <c r="AZ33">
        <f t="shared" si="30"/>
        <v>0</v>
      </c>
      <c r="BA33">
        <f t="shared" si="31"/>
        <v>0</v>
      </c>
      <c r="BB33">
        <f t="shared" si="32"/>
        <v>0</v>
      </c>
      <c r="BC33">
        <f t="shared" si="33"/>
        <v>0</v>
      </c>
      <c r="BD33">
        <f t="shared" si="34"/>
        <v>0</v>
      </c>
      <c r="BE33">
        <f t="shared" si="60"/>
        <v>0</v>
      </c>
      <c r="BF33">
        <f t="shared" si="60"/>
        <v>0</v>
      </c>
      <c r="BG33">
        <f t="shared" si="60"/>
        <v>0</v>
      </c>
      <c r="BH33">
        <f t="shared" si="60"/>
        <v>0</v>
      </c>
      <c r="BI33">
        <f t="shared" si="60"/>
        <v>0</v>
      </c>
      <c r="BJ33">
        <f t="shared" si="60"/>
        <v>0</v>
      </c>
      <c r="BK33">
        <f t="shared" si="60"/>
        <v>0</v>
      </c>
      <c r="BL33" t="str">
        <f t="shared" si="36"/>
        <v/>
      </c>
      <c r="BM33" s="850">
        <f t="shared" si="37"/>
        <v>0</v>
      </c>
      <c r="BN33" s="854">
        <f t="shared" si="38"/>
        <v>0</v>
      </c>
      <c r="BO33" s="273">
        <f t="shared" si="39"/>
        <v>0</v>
      </c>
      <c r="BP33" s="273">
        <f t="shared" si="40"/>
        <v>0</v>
      </c>
      <c r="BQ33" s="273">
        <f t="shared" si="41"/>
        <v>0</v>
      </c>
      <c r="BR33" s="273">
        <f t="shared" si="42"/>
        <v>0</v>
      </c>
      <c r="BS33" s="273">
        <f t="shared" si="43"/>
        <v>0</v>
      </c>
      <c r="BT33" s="273">
        <f t="shared" si="44"/>
        <v>0</v>
      </c>
      <c r="BU33" s="273">
        <f t="shared" si="45"/>
        <v>0</v>
      </c>
      <c r="BV33" s="855" t="str">
        <f t="shared" si="46"/>
        <v/>
      </c>
      <c r="BW33" s="854">
        <f>AT33*Pricing!F$3*IF($T$41="N",(1+$V$41),1)</f>
        <v>0</v>
      </c>
      <c r="BX33" s="273">
        <f>AU33*Pricing!G$3*IF($T$41="N",(1+$V$41),1)</f>
        <v>0</v>
      </c>
      <c r="BY33" s="273">
        <f>AV33*Pricing!H$3*IF($T$41="N",(1+$V$41),1)</f>
        <v>0</v>
      </c>
      <c r="BZ33" s="273">
        <f>AW33*Pricing!I$3*IF($T$41="N",(1+$V$41),1)</f>
        <v>0</v>
      </c>
      <c r="CA33" s="273">
        <f>AX33*Pricing!J$3*IF($T$41="N",(1+$V$41),1)</f>
        <v>0</v>
      </c>
      <c r="CB33" s="273">
        <f>AY33*Pricing!K$3*IF($T$41="N",(1+$V$41),1)</f>
        <v>0</v>
      </c>
      <c r="CC33" s="273">
        <f>AZ33*Pricing!L$3*IF($T$41="N",(1+$V$41),1)</f>
        <v>0</v>
      </c>
      <c r="CD33" s="273">
        <f>BA33*Pricing!M$3*IF($T$41="N",(1+$V$41),1)</f>
        <v>0</v>
      </c>
      <c r="CE33" s="273">
        <f>BB33*Pricing!N$3*IF($T$41="N",(1+$V$41),1)</f>
        <v>0</v>
      </c>
      <c r="CF33" s="855">
        <f>BC33*Pricing!O$3*IF($T$41="N",(1+$V$41),1)</f>
        <v>0</v>
      </c>
      <c r="CG33" s="273">
        <f t="shared" si="47"/>
        <v>0</v>
      </c>
      <c r="CH33" s="854">
        <f t="shared" si="48"/>
        <v>0</v>
      </c>
      <c r="CI33" s="273">
        <f t="shared" si="49"/>
        <v>0</v>
      </c>
      <c r="CJ33" s="273" t="str">
        <f t="shared" si="50"/>
        <v/>
      </c>
      <c r="CK33" s="273">
        <f t="shared" si="51"/>
        <v>0</v>
      </c>
      <c r="CL33" s="856">
        <f t="shared" si="52"/>
        <v>0</v>
      </c>
      <c r="CM33" s="857">
        <f t="shared" si="53"/>
        <v>0</v>
      </c>
      <c r="CN33" s="855">
        <f t="shared" si="54"/>
        <v>0</v>
      </c>
      <c r="CO33" s="857">
        <f t="shared" si="55"/>
        <v>0</v>
      </c>
      <c r="CP33" s="273">
        <f t="shared" si="56"/>
        <v>0</v>
      </c>
      <c r="CQ33" s="54">
        <f t="shared" si="57"/>
        <v>0</v>
      </c>
      <c r="CR33" s="858">
        <f t="shared" si="58"/>
        <v>0</v>
      </c>
    </row>
    <row r="34" spans="2:96" ht="19.5" customHeight="1">
      <c r="B34" s="833"/>
      <c r="C34" s="541"/>
      <c r="D34" s="834"/>
      <c r="E34" s="835"/>
      <c r="F34" s="836"/>
      <c r="G34" s="836"/>
      <c r="H34" s="77"/>
      <c r="I34" s="837"/>
      <c r="J34" s="838">
        <f t="shared" si="1"/>
        <v>0</v>
      </c>
      <c r="K34" s="859"/>
      <c r="L34" s="839"/>
      <c r="M34" s="77"/>
      <c r="N34" s="839"/>
      <c r="O34" s="840"/>
      <c r="P34" s="77"/>
      <c r="Q34" s="837"/>
      <c r="R34" s="841">
        <f t="shared" si="2"/>
        <v>0</v>
      </c>
      <c r="S34" s="841">
        <f t="shared" si="3"/>
        <v>0</v>
      </c>
      <c r="T34" s="842">
        <f>(IF(E34="",0,IF(J$54="",SUM(BN34:CP34)/E34,(SUM(BW34:CP34)+BM34)/E34)))*(1+M$42+Summary!P$57)</f>
        <v>0</v>
      </c>
      <c r="U34" s="843">
        <f t="shared" si="4"/>
        <v>0</v>
      </c>
      <c r="V34" s="844">
        <f t="shared" si="5"/>
        <v>0</v>
      </c>
      <c r="W34" s="845">
        <f t="shared" si="6"/>
        <v>0</v>
      </c>
      <c r="X34" s="846">
        <f t="shared" si="7"/>
        <v>0</v>
      </c>
      <c r="Y34" s="847">
        <f t="shared" si="8"/>
        <v>0</v>
      </c>
      <c r="Z34" s="847">
        <f t="shared" si="9"/>
        <v>0</v>
      </c>
      <c r="AA34" s="848">
        <f t="shared" si="10"/>
        <v>0</v>
      </c>
      <c r="AB34" s="849">
        <f t="shared" si="11"/>
        <v>0</v>
      </c>
      <c r="AG34" t="str">
        <f t="shared" si="12"/>
        <v/>
      </c>
      <c r="AH34">
        <f t="shared" si="13"/>
        <v>0</v>
      </c>
      <c r="AI34">
        <f t="shared" si="14"/>
        <v>0</v>
      </c>
      <c r="AJ34" t="str">
        <f t="shared" si="15"/>
        <v/>
      </c>
      <c r="AK34">
        <f t="shared" si="16"/>
        <v>0</v>
      </c>
      <c r="AL34">
        <f t="shared" si="17"/>
        <v>0</v>
      </c>
      <c r="AM34">
        <f t="shared" si="18"/>
        <v>0</v>
      </c>
      <c r="AN34">
        <f t="shared" si="19"/>
        <v>0</v>
      </c>
      <c r="AO34" t="str">
        <f t="shared" si="20"/>
        <v/>
      </c>
      <c r="AP34">
        <v>3</v>
      </c>
      <c r="AQ34" t="str">
        <f t="shared" si="21"/>
        <v/>
      </c>
      <c r="AR34">
        <f t="shared" si="22"/>
        <v>0</v>
      </c>
      <c r="AS34">
        <f t="shared" si="23"/>
        <v>0</v>
      </c>
      <c r="AT34">
        <f t="shared" si="24"/>
        <v>0</v>
      </c>
      <c r="AU34">
        <f t="shared" si="25"/>
        <v>0</v>
      </c>
      <c r="AV34">
        <f t="shared" si="26"/>
        <v>0</v>
      </c>
      <c r="AW34">
        <f t="shared" si="27"/>
        <v>0</v>
      </c>
      <c r="AX34">
        <f t="shared" si="28"/>
        <v>0</v>
      </c>
      <c r="AY34">
        <f t="shared" si="29"/>
        <v>0</v>
      </c>
      <c r="AZ34">
        <f t="shared" si="30"/>
        <v>0</v>
      </c>
      <c r="BA34">
        <f t="shared" si="31"/>
        <v>0</v>
      </c>
      <c r="BB34">
        <f t="shared" si="32"/>
        <v>0</v>
      </c>
      <c r="BC34">
        <f t="shared" si="33"/>
        <v>0</v>
      </c>
      <c r="BD34">
        <f t="shared" si="34"/>
        <v>0</v>
      </c>
      <c r="BE34">
        <f t="shared" si="60"/>
        <v>0</v>
      </c>
      <c r="BF34">
        <f t="shared" si="60"/>
        <v>0</v>
      </c>
      <c r="BG34">
        <f t="shared" si="60"/>
        <v>0</v>
      </c>
      <c r="BH34">
        <f t="shared" si="60"/>
        <v>0</v>
      </c>
      <c r="BI34">
        <f t="shared" si="60"/>
        <v>0</v>
      </c>
      <c r="BJ34">
        <f t="shared" si="60"/>
        <v>0</v>
      </c>
      <c r="BK34">
        <f t="shared" si="60"/>
        <v>0</v>
      </c>
      <c r="BL34" t="str">
        <f t="shared" si="36"/>
        <v/>
      </c>
      <c r="BM34" s="850">
        <f t="shared" si="37"/>
        <v>0</v>
      </c>
      <c r="BN34" s="854">
        <f t="shared" si="38"/>
        <v>0</v>
      </c>
      <c r="BO34" s="273">
        <f t="shared" si="39"/>
        <v>0</v>
      </c>
      <c r="BP34" s="273">
        <f t="shared" si="40"/>
        <v>0</v>
      </c>
      <c r="BQ34" s="273">
        <f t="shared" si="41"/>
        <v>0</v>
      </c>
      <c r="BR34" s="273">
        <f t="shared" si="42"/>
        <v>0</v>
      </c>
      <c r="BS34" s="273">
        <f t="shared" si="43"/>
        <v>0</v>
      </c>
      <c r="BT34" s="273">
        <f t="shared" si="44"/>
        <v>0</v>
      </c>
      <c r="BU34" s="273">
        <f t="shared" si="45"/>
        <v>0</v>
      </c>
      <c r="BV34" s="855" t="str">
        <f t="shared" si="46"/>
        <v/>
      </c>
      <c r="BW34" s="854">
        <f>AT34*Pricing!F$3*IF($T$41="N",(1+$V$41),1)</f>
        <v>0</v>
      </c>
      <c r="BX34" s="273">
        <f>AU34*Pricing!G$3*IF($T$41="N",(1+$V$41),1)</f>
        <v>0</v>
      </c>
      <c r="BY34" s="273">
        <f>AV34*Pricing!H$3*IF($T$41="N",(1+$V$41),1)</f>
        <v>0</v>
      </c>
      <c r="BZ34" s="273">
        <f>AW34*Pricing!I$3*IF($T$41="N",(1+$V$41),1)</f>
        <v>0</v>
      </c>
      <c r="CA34" s="273">
        <f>AX34*Pricing!J$3*IF($T$41="N",(1+$V$41),1)</f>
        <v>0</v>
      </c>
      <c r="CB34" s="273">
        <f>AY34*Pricing!K$3*IF($T$41="N",(1+$V$41),1)</f>
        <v>0</v>
      </c>
      <c r="CC34" s="273">
        <f>AZ34*Pricing!L$3*IF($T$41="N",(1+$V$41),1)</f>
        <v>0</v>
      </c>
      <c r="CD34" s="273">
        <f>BA34*Pricing!M$3*IF($T$41="N",(1+$V$41),1)</f>
        <v>0</v>
      </c>
      <c r="CE34" s="273">
        <f>BB34*Pricing!N$3*IF($T$41="N",(1+$V$41),1)</f>
        <v>0</v>
      </c>
      <c r="CF34" s="855">
        <f>BC34*Pricing!O$3*IF($T$41="N",(1+$V$41),1)</f>
        <v>0</v>
      </c>
      <c r="CG34" s="273">
        <f t="shared" si="47"/>
        <v>0</v>
      </c>
      <c r="CH34" s="854">
        <f t="shared" si="48"/>
        <v>0</v>
      </c>
      <c r="CI34" s="273">
        <f t="shared" si="49"/>
        <v>0</v>
      </c>
      <c r="CJ34" s="273" t="str">
        <f t="shared" si="50"/>
        <v/>
      </c>
      <c r="CK34" s="273">
        <f t="shared" si="51"/>
        <v>0</v>
      </c>
      <c r="CL34" s="856">
        <f t="shared" si="52"/>
        <v>0</v>
      </c>
      <c r="CM34" s="857">
        <f t="shared" si="53"/>
        <v>0</v>
      </c>
      <c r="CN34" s="855">
        <f t="shared" si="54"/>
        <v>0</v>
      </c>
      <c r="CO34" s="857">
        <f t="shared" si="55"/>
        <v>0</v>
      </c>
      <c r="CP34" s="273">
        <f t="shared" si="56"/>
        <v>0</v>
      </c>
      <c r="CQ34" s="54">
        <f t="shared" si="57"/>
        <v>0</v>
      </c>
      <c r="CR34" s="858">
        <f t="shared" si="58"/>
        <v>0</v>
      </c>
    </row>
    <row r="35" spans="2:96" ht="19.5" customHeight="1">
      <c r="B35" s="833"/>
      <c r="C35" s="541"/>
      <c r="D35" s="834"/>
      <c r="E35" s="835"/>
      <c r="F35" s="836"/>
      <c r="G35" s="836"/>
      <c r="H35" s="77"/>
      <c r="I35" s="837"/>
      <c r="J35" s="838">
        <f t="shared" si="1"/>
        <v>0</v>
      </c>
      <c r="K35" s="859"/>
      <c r="L35" s="839"/>
      <c r="M35" s="77"/>
      <c r="N35" s="839"/>
      <c r="O35" s="840"/>
      <c r="P35" s="77"/>
      <c r="Q35" s="837"/>
      <c r="R35" s="841">
        <f t="shared" si="2"/>
        <v>0</v>
      </c>
      <c r="S35" s="841">
        <f t="shared" si="3"/>
        <v>0</v>
      </c>
      <c r="T35" s="842">
        <f>(IF(E35="",0,IF(J$54="",SUM(BN35:CP35)/E35,(SUM(BW35:CP35)+BM35)/E35)))*(1+M$42+Summary!P$57)</f>
        <v>0</v>
      </c>
      <c r="U35" s="843">
        <f t="shared" si="4"/>
        <v>0</v>
      </c>
      <c r="V35" s="844">
        <f t="shared" si="5"/>
        <v>0</v>
      </c>
      <c r="W35" s="845">
        <f t="shared" si="6"/>
        <v>0</v>
      </c>
      <c r="X35" s="846">
        <f t="shared" si="7"/>
        <v>0</v>
      </c>
      <c r="Y35" s="847">
        <f t="shared" si="8"/>
        <v>0</v>
      </c>
      <c r="Z35" s="847">
        <f t="shared" si="9"/>
        <v>0</v>
      </c>
      <c r="AA35" s="848">
        <f t="shared" si="10"/>
        <v>0</v>
      </c>
      <c r="AB35" s="849">
        <f t="shared" si="11"/>
        <v>0</v>
      </c>
      <c r="AG35" t="str">
        <f t="shared" si="12"/>
        <v/>
      </c>
      <c r="AH35">
        <f t="shared" si="13"/>
        <v>0</v>
      </c>
      <c r="AI35">
        <f t="shared" si="14"/>
        <v>0</v>
      </c>
      <c r="AJ35" t="str">
        <f t="shared" si="15"/>
        <v/>
      </c>
      <c r="AK35">
        <f t="shared" si="16"/>
        <v>0</v>
      </c>
      <c r="AL35">
        <f t="shared" si="17"/>
        <v>0</v>
      </c>
      <c r="AM35">
        <f t="shared" si="18"/>
        <v>0</v>
      </c>
      <c r="AN35">
        <f t="shared" si="19"/>
        <v>0</v>
      </c>
      <c r="AO35" t="str">
        <f t="shared" si="20"/>
        <v/>
      </c>
      <c r="AP35">
        <v>3</v>
      </c>
      <c r="AQ35" t="str">
        <f t="shared" si="21"/>
        <v/>
      </c>
      <c r="AR35">
        <f t="shared" si="22"/>
        <v>0</v>
      </c>
      <c r="AS35">
        <f t="shared" si="23"/>
        <v>0</v>
      </c>
      <c r="AT35">
        <f t="shared" si="24"/>
        <v>0</v>
      </c>
      <c r="AU35">
        <f t="shared" si="25"/>
        <v>0</v>
      </c>
      <c r="AV35">
        <f t="shared" si="26"/>
        <v>0</v>
      </c>
      <c r="AW35">
        <f t="shared" si="27"/>
        <v>0</v>
      </c>
      <c r="AX35">
        <f t="shared" si="28"/>
        <v>0</v>
      </c>
      <c r="AY35">
        <f t="shared" si="29"/>
        <v>0</v>
      </c>
      <c r="AZ35">
        <f t="shared" si="30"/>
        <v>0</v>
      </c>
      <c r="BA35">
        <f t="shared" si="31"/>
        <v>0</v>
      </c>
      <c r="BB35">
        <f t="shared" si="32"/>
        <v>0</v>
      </c>
      <c r="BC35">
        <f t="shared" si="33"/>
        <v>0</v>
      </c>
      <c r="BD35">
        <f t="shared" si="34"/>
        <v>0</v>
      </c>
      <c r="BE35">
        <f t="shared" si="60"/>
        <v>0</v>
      </c>
      <c r="BF35">
        <f t="shared" si="60"/>
        <v>0</v>
      </c>
      <c r="BG35">
        <f t="shared" si="60"/>
        <v>0</v>
      </c>
      <c r="BH35">
        <f t="shared" si="60"/>
        <v>0</v>
      </c>
      <c r="BI35">
        <f t="shared" si="60"/>
        <v>0</v>
      </c>
      <c r="BJ35">
        <f t="shared" si="60"/>
        <v>0</v>
      </c>
      <c r="BK35">
        <f t="shared" si="60"/>
        <v>0</v>
      </c>
      <c r="BL35" t="str">
        <f t="shared" si="36"/>
        <v/>
      </c>
      <c r="BM35" s="850">
        <f t="shared" si="37"/>
        <v>0</v>
      </c>
      <c r="BN35" s="854">
        <f t="shared" si="38"/>
        <v>0</v>
      </c>
      <c r="BO35" s="273">
        <f t="shared" si="39"/>
        <v>0</v>
      </c>
      <c r="BP35" s="273">
        <f t="shared" si="40"/>
        <v>0</v>
      </c>
      <c r="BQ35" s="273">
        <f t="shared" si="41"/>
        <v>0</v>
      </c>
      <c r="BR35" s="273">
        <f t="shared" si="42"/>
        <v>0</v>
      </c>
      <c r="BS35" s="273">
        <f t="shared" si="43"/>
        <v>0</v>
      </c>
      <c r="BT35" s="273">
        <f t="shared" si="44"/>
        <v>0</v>
      </c>
      <c r="BU35" s="273">
        <f t="shared" si="45"/>
        <v>0</v>
      </c>
      <c r="BV35" s="855" t="str">
        <f t="shared" si="46"/>
        <v/>
      </c>
      <c r="BW35" s="854">
        <f>AT35*Pricing!F$3*IF($T$41="N",(1+$V$41),1)</f>
        <v>0</v>
      </c>
      <c r="BX35" s="273">
        <f>AU35*Pricing!G$3*IF($T$41="N",(1+$V$41),1)</f>
        <v>0</v>
      </c>
      <c r="BY35" s="273">
        <f>AV35*Pricing!H$3*IF($T$41="N",(1+$V$41),1)</f>
        <v>0</v>
      </c>
      <c r="BZ35" s="273">
        <f>AW35*Pricing!I$3*IF($T$41="N",(1+$V$41),1)</f>
        <v>0</v>
      </c>
      <c r="CA35" s="273">
        <f>AX35*Pricing!J$3*IF($T$41="N",(1+$V$41),1)</f>
        <v>0</v>
      </c>
      <c r="CB35" s="273">
        <f>AY35*Pricing!K$3*IF($T$41="N",(1+$V$41),1)</f>
        <v>0</v>
      </c>
      <c r="CC35" s="273">
        <f>AZ35*Pricing!L$3*IF($T$41="N",(1+$V$41),1)</f>
        <v>0</v>
      </c>
      <c r="CD35" s="273">
        <f>BA35*Pricing!M$3*IF($T$41="N",(1+$V$41),1)</f>
        <v>0</v>
      </c>
      <c r="CE35" s="273">
        <f>BB35*Pricing!N$3*IF($T$41="N",(1+$V$41),1)</f>
        <v>0</v>
      </c>
      <c r="CF35" s="855">
        <f>BC35*Pricing!O$3*IF($T$41="N",(1+$V$41),1)</f>
        <v>0</v>
      </c>
      <c r="CG35" s="273">
        <f t="shared" si="47"/>
        <v>0</v>
      </c>
      <c r="CH35" s="854">
        <f t="shared" si="48"/>
        <v>0</v>
      </c>
      <c r="CI35" s="273">
        <f t="shared" si="49"/>
        <v>0</v>
      </c>
      <c r="CJ35" s="273" t="str">
        <f t="shared" si="50"/>
        <v/>
      </c>
      <c r="CK35" s="273">
        <f t="shared" si="51"/>
        <v>0</v>
      </c>
      <c r="CL35" s="856">
        <f t="shared" si="52"/>
        <v>0</v>
      </c>
      <c r="CM35" s="857">
        <f t="shared" si="53"/>
        <v>0</v>
      </c>
      <c r="CN35" s="855">
        <f t="shared" si="54"/>
        <v>0</v>
      </c>
      <c r="CO35" s="857">
        <f t="shared" si="55"/>
        <v>0</v>
      </c>
      <c r="CP35" s="273">
        <f t="shared" si="56"/>
        <v>0</v>
      </c>
      <c r="CQ35" s="54">
        <f t="shared" si="57"/>
        <v>0</v>
      </c>
      <c r="CR35" s="858">
        <f t="shared" si="58"/>
        <v>0</v>
      </c>
    </row>
    <row r="36" spans="2:96" ht="19.5" customHeight="1">
      <c r="B36" s="833"/>
      <c r="C36" s="541"/>
      <c r="D36" s="834"/>
      <c r="E36" s="835"/>
      <c r="F36" s="836"/>
      <c r="G36" s="836"/>
      <c r="H36" s="77"/>
      <c r="I36" s="837"/>
      <c r="J36" s="838">
        <f t="shared" si="1"/>
        <v>0</v>
      </c>
      <c r="K36" s="859"/>
      <c r="L36" s="839"/>
      <c r="M36" s="77"/>
      <c r="N36" s="839"/>
      <c r="O36" s="840"/>
      <c r="P36" s="77"/>
      <c r="Q36" s="837"/>
      <c r="R36" s="841">
        <f t="shared" si="2"/>
        <v>0</v>
      </c>
      <c r="S36" s="841">
        <f t="shared" si="3"/>
        <v>0</v>
      </c>
      <c r="T36" s="842">
        <f>(IF(E36="",0,IF(J$54="",SUM(BN36:CP36)/E36,(SUM(BW36:CP36)+BM36)/E36)))*(1+M$42+Summary!P$57)</f>
        <v>0</v>
      </c>
      <c r="U36" s="843">
        <f t="shared" si="4"/>
        <v>0</v>
      </c>
      <c r="V36" s="844">
        <f t="shared" si="5"/>
        <v>0</v>
      </c>
      <c r="W36" s="845">
        <f t="shared" si="6"/>
        <v>0</v>
      </c>
      <c r="X36" s="846">
        <f t="shared" si="7"/>
        <v>0</v>
      </c>
      <c r="Y36" s="847">
        <f t="shared" si="8"/>
        <v>0</v>
      </c>
      <c r="Z36" s="847">
        <f t="shared" si="9"/>
        <v>0</v>
      </c>
      <c r="AA36" s="848">
        <f t="shared" si="10"/>
        <v>0</v>
      </c>
      <c r="AB36" s="849">
        <f t="shared" si="11"/>
        <v>0</v>
      </c>
      <c r="AG36" t="str">
        <f t="shared" si="12"/>
        <v/>
      </c>
      <c r="AH36">
        <f t="shared" si="13"/>
        <v>0</v>
      </c>
      <c r="AI36">
        <f t="shared" si="14"/>
        <v>0</v>
      </c>
      <c r="AJ36" t="str">
        <f t="shared" si="15"/>
        <v/>
      </c>
      <c r="AK36">
        <f t="shared" si="16"/>
        <v>0</v>
      </c>
      <c r="AL36">
        <f t="shared" si="17"/>
        <v>0</v>
      </c>
      <c r="AM36">
        <f t="shared" si="18"/>
        <v>0</v>
      </c>
      <c r="AN36">
        <f t="shared" si="19"/>
        <v>0</v>
      </c>
      <c r="AO36" t="str">
        <f t="shared" si="20"/>
        <v/>
      </c>
      <c r="AP36">
        <v>3</v>
      </c>
      <c r="AQ36" t="str">
        <f t="shared" si="21"/>
        <v/>
      </c>
      <c r="AR36">
        <f t="shared" si="22"/>
        <v>0</v>
      </c>
      <c r="AS36">
        <f t="shared" si="23"/>
        <v>0</v>
      </c>
      <c r="AT36">
        <f t="shared" si="24"/>
        <v>0</v>
      </c>
      <c r="AU36">
        <f t="shared" si="25"/>
        <v>0</v>
      </c>
      <c r="AV36">
        <f t="shared" si="26"/>
        <v>0</v>
      </c>
      <c r="AW36">
        <f t="shared" si="27"/>
        <v>0</v>
      </c>
      <c r="AX36">
        <f t="shared" si="28"/>
        <v>0</v>
      </c>
      <c r="AY36">
        <f t="shared" si="29"/>
        <v>0</v>
      </c>
      <c r="AZ36">
        <f t="shared" si="30"/>
        <v>0</v>
      </c>
      <c r="BA36">
        <f t="shared" si="31"/>
        <v>0</v>
      </c>
      <c r="BB36">
        <f t="shared" si="32"/>
        <v>0</v>
      </c>
      <c r="BC36">
        <f t="shared" si="33"/>
        <v>0</v>
      </c>
      <c r="BD36">
        <f t="shared" si="34"/>
        <v>0</v>
      </c>
      <c r="BE36">
        <f t="shared" si="60"/>
        <v>0</v>
      </c>
      <c r="BF36">
        <f t="shared" si="60"/>
        <v>0</v>
      </c>
      <c r="BG36">
        <f t="shared" si="60"/>
        <v>0</v>
      </c>
      <c r="BH36">
        <f t="shared" si="60"/>
        <v>0</v>
      </c>
      <c r="BI36">
        <f t="shared" si="60"/>
        <v>0</v>
      </c>
      <c r="BJ36">
        <f t="shared" si="60"/>
        <v>0</v>
      </c>
      <c r="BK36">
        <f t="shared" si="60"/>
        <v>0</v>
      </c>
      <c r="BL36" t="str">
        <f t="shared" si="36"/>
        <v/>
      </c>
      <c r="BM36" s="850">
        <f t="shared" si="37"/>
        <v>0</v>
      </c>
      <c r="BN36" s="854">
        <f t="shared" si="38"/>
        <v>0</v>
      </c>
      <c r="BO36" s="273">
        <f t="shared" si="39"/>
        <v>0</v>
      </c>
      <c r="BP36" s="273">
        <f t="shared" si="40"/>
        <v>0</v>
      </c>
      <c r="BQ36" s="273">
        <f t="shared" si="41"/>
        <v>0</v>
      </c>
      <c r="BR36" s="273">
        <f t="shared" si="42"/>
        <v>0</v>
      </c>
      <c r="BS36" s="273">
        <f t="shared" si="43"/>
        <v>0</v>
      </c>
      <c r="BT36" s="273">
        <f t="shared" si="44"/>
        <v>0</v>
      </c>
      <c r="BU36" s="273">
        <f t="shared" si="45"/>
        <v>0</v>
      </c>
      <c r="BV36" s="855" t="str">
        <f t="shared" si="46"/>
        <v/>
      </c>
      <c r="BW36" s="854">
        <f>AT36*Pricing!F$3*IF($T$41="N",(1+$V$41),1)</f>
        <v>0</v>
      </c>
      <c r="BX36" s="273">
        <f>AU36*Pricing!G$3*IF($T$41="N",(1+$V$41),1)</f>
        <v>0</v>
      </c>
      <c r="BY36" s="273">
        <f>AV36*Pricing!H$3*IF($T$41="N",(1+$V$41),1)</f>
        <v>0</v>
      </c>
      <c r="BZ36" s="273">
        <f>AW36*Pricing!I$3*IF($T$41="N",(1+$V$41),1)</f>
        <v>0</v>
      </c>
      <c r="CA36" s="273">
        <f>AX36*Pricing!J$3*IF($T$41="N",(1+$V$41),1)</f>
        <v>0</v>
      </c>
      <c r="CB36" s="273">
        <f>AY36*Pricing!K$3*IF($T$41="N",(1+$V$41),1)</f>
        <v>0</v>
      </c>
      <c r="CC36" s="273">
        <f>AZ36*Pricing!L$3*IF($T$41="N",(1+$V$41),1)</f>
        <v>0</v>
      </c>
      <c r="CD36" s="273">
        <f>BA36*Pricing!M$3*IF($T$41="N",(1+$V$41),1)</f>
        <v>0</v>
      </c>
      <c r="CE36" s="273">
        <f>BB36*Pricing!N$3*IF($T$41="N",(1+$V$41),1)</f>
        <v>0</v>
      </c>
      <c r="CF36" s="855">
        <f>BC36*Pricing!O$3*IF($T$41="N",(1+$V$41),1)</f>
        <v>0</v>
      </c>
      <c r="CG36" s="273">
        <f t="shared" si="47"/>
        <v>0</v>
      </c>
      <c r="CH36" s="854">
        <f t="shared" si="48"/>
        <v>0</v>
      </c>
      <c r="CI36" s="273">
        <f t="shared" si="49"/>
        <v>0</v>
      </c>
      <c r="CJ36" s="273" t="str">
        <f t="shared" si="50"/>
        <v/>
      </c>
      <c r="CK36" s="273">
        <f t="shared" si="51"/>
        <v>0</v>
      </c>
      <c r="CL36" s="856">
        <f t="shared" si="52"/>
        <v>0</v>
      </c>
      <c r="CM36" s="857">
        <f t="shared" si="53"/>
        <v>0</v>
      </c>
      <c r="CN36" s="855">
        <f t="shared" si="54"/>
        <v>0</v>
      </c>
      <c r="CO36" s="857">
        <f t="shared" si="55"/>
        <v>0</v>
      </c>
      <c r="CP36" s="273">
        <f t="shared" si="56"/>
        <v>0</v>
      </c>
      <c r="CQ36" s="54">
        <f t="shared" si="57"/>
        <v>0</v>
      </c>
      <c r="CR36" s="858">
        <f t="shared" si="58"/>
        <v>0</v>
      </c>
    </row>
    <row r="37" spans="2:96" ht="19.5" customHeight="1">
      <c r="B37" s="833"/>
      <c r="C37" s="541"/>
      <c r="D37" s="834"/>
      <c r="E37" s="835"/>
      <c r="F37" s="836"/>
      <c r="G37" s="836"/>
      <c r="H37" s="77"/>
      <c r="I37" s="837"/>
      <c r="J37" s="838">
        <f t="shared" si="1"/>
        <v>0</v>
      </c>
      <c r="K37" s="859"/>
      <c r="L37" s="839"/>
      <c r="M37" s="77"/>
      <c r="N37" s="839"/>
      <c r="O37" s="840"/>
      <c r="P37" s="77"/>
      <c r="Q37" s="837"/>
      <c r="R37" s="841">
        <f t="shared" si="2"/>
        <v>0</v>
      </c>
      <c r="S37" s="841">
        <f t="shared" si="3"/>
        <v>0</v>
      </c>
      <c r="T37" s="842">
        <f>(IF(E37="",0,IF(J$54="",SUM(BN37:CP37)/E37,(SUM(BW37:CP37)+BM37)/E37)))*(1+M$42+Summary!P$57)</f>
        <v>0</v>
      </c>
      <c r="U37" s="843">
        <f t="shared" si="4"/>
        <v>0</v>
      </c>
      <c r="V37" s="844">
        <f t="shared" si="5"/>
        <v>0</v>
      </c>
      <c r="W37" s="845">
        <f t="shared" si="6"/>
        <v>0</v>
      </c>
      <c r="X37" s="846">
        <f t="shared" si="7"/>
        <v>0</v>
      </c>
      <c r="Y37" s="847">
        <f t="shared" si="8"/>
        <v>0</v>
      </c>
      <c r="Z37" s="847">
        <f t="shared" si="9"/>
        <v>0</v>
      </c>
      <c r="AA37" s="848">
        <f t="shared" si="10"/>
        <v>0</v>
      </c>
      <c r="AB37" s="849">
        <f t="shared" si="11"/>
        <v>0</v>
      </c>
      <c r="AG37" t="str">
        <f t="shared" si="12"/>
        <v/>
      </c>
      <c r="AH37">
        <f t="shared" si="13"/>
        <v>0</v>
      </c>
      <c r="AI37">
        <f t="shared" si="14"/>
        <v>0</v>
      </c>
      <c r="AJ37" t="str">
        <f t="shared" si="15"/>
        <v/>
      </c>
      <c r="AK37">
        <f t="shared" si="16"/>
        <v>0</v>
      </c>
      <c r="AL37">
        <f t="shared" si="17"/>
        <v>0</v>
      </c>
      <c r="AM37">
        <f t="shared" si="18"/>
        <v>0</v>
      </c>
      <c r="AN37">
        <f t="shared" si="19"/>
        <v>0</v>
      </c>
      <c r="AO37" t="str">
        <f t="shared" si="20"/>
        <v/>
      </c>
      <c r="AP37">
        <v>3</v>
      </c>
      <c r="AQ37" t="str">
        <f t="shared" si="21"/>
        <v/>
      </c>
      <c r="AR37">
        <f t="shared" si="22"/>
        <v>0</v>
      </c>
      <c r="AS37">
        <f t="shared" si="23"/>
        <v>0</v>
      </c>
      <c r="AT37">
        <f t="shared" si="24"/>
        <v>0</v>
      </c>
      <c r="AU37">
        <f t="shared" si="25"/>
        <v>0</v>
      </c>
      <c r="AV37">
        <f t="shared" si="26"/>
        <v>0</v>
      </c>
      <c r="AW37">
        <f t="shared" si="27"/>
        <v>0</v>
      </c>
      <c r="AX37">
        <f t="shared" si="28"/>
        <v>0</v>
      </c>
      <c r="AY37">
        <f t="shared" si="29"/>
        <v>0</v>
      </c>
      <c r="AZ37">
        <f t="shared" si="30"/>
        <v>0</v>
      </c>
      <c r="BA37">
        <f t="shared" si="31"/>
        <v>0</v>
      </c>
      <c r="BB37">
        <f t="shared" si="32"/>
        <v>0</v>
      </c>
      <c r="BC37">
        <f t="shared" si="33"/>
        <v>0</v>
      </c>
      <c r="BD37">
        <f t="shared" si="34"/>
        <v>0</v>
      </c>
      <c r="BE37">
        <f t="shared" si="60"/>
        <v>0</v>
      </c>
      <c r="BF37">
        <f t="shared" si="60"/>
        <v>0</v>
      </c>
      <c r="BG37">
        <f t="shared" si="60"/>
        <v>0</v>
      </c>
      <c r="BH37">
        <f t="shared" si="60"/>
        <v>0</v>
      </c>
      <c r="BI37">
        <f t="shared" si="60"/>
        <v>0</v>
      </c>
      <c r="BJ37">
        <f t="shared" si="60"/>
        <v>0</v>
      </c>
      <c r="BK37">
        <f t="shared" si="60"/>
        <v>0</v>
      </c>
      <c r="BL37" t="str">
        <f t="shared" si="36"/>
        <v/>
      </c>
      <c r="BM37" s="850">
        <f t="shared" si="37"/>
        <v>0</v>
      </c>
      <c r="BN37" s="854">
        <f t="shared" si="38"/>
        <v>0</v>
      </c>
      <c r="BO37" s="273">
        <f t="shared" si="39"/>
        <v>0</v>
      </c>
      <c r="BP37" s="273">
        <f t="shared" si="40"/>
        <v>0</v>
      </c>
      <c r="BQ37" s="273">
        <f t="shared" si="41"/>
        <v>0</v>
      </c>
      <c r="BR37" s="273">
        <f t="shared" si="42"/>
        <v>0</v>
      </c>
      <c r="BS37" s="273">
        <f t="shared" si="43"/>
        <v>0</v>
      </c>
      <c r="BT37" s="273">
        <f t="shared" si="44"/>
        <v>0</v>
      </c>
      <c r="BU37" s="273">
        <f t="shared" si="45"/>
        <v>0</v>
      </c>
      <c r="BV37" s="855" t="str">
        <f t="shared" si="46"/>
        <v/>
      </c>
      <c r="BW37" s="854">
        <f>AT37*Pricing!F$3*IF($T$41="N",(1+$V$41),1)</f>
        <v>0</v>
      </c>
      <c r="BX37" s="273">
        <f>AU37*Pricing!G$3*IF($T$41="N",(1+$V$41),1)</f>
        <v>0</v>
      </c>
      <c r="BY37" s="273">
        <f>AV37*Pricing!H$3*IF($T$41="N",(1+$V$41),1)</f>
        <v>0</v>
      </c>
      <c r="BZ37" s="273">
        <f>AW37*Pricing!I$3*IF($T$41="N",(1+$V$41),1)</f>
        <v>0</v>
      </c>
      <c r="CA37" s="273">
        <f>AX37*Pricing!J$3*IF($T$41="N",(1+$V$41),1)</f>
        <v>0</v>
      </c>
      <c r="CB37" s="273">
        <f>AY37*Pricing!K$3*IF($T$41="N",(1+$V$41),1)</f>
        <v>0</v>
      </c>
      <c r="CC37" s="273">
        <f>AZ37*Pricing!L$3*IF($T$41="N",(1+$V$41),1)</f>
        <v>0</v>
      </c>
      <c r="CD37" s="273">
        <f>BA37*Pricing!M$3*IF($T$41="N",(1+$V$41),1)</f>
        <v>0</v>
      </c>
      <c r="CE37" s="273">
        <f>BB37*Pricing!N$3*IF($T$41="N",(1+$V$41),1)</f>
        <v>0</v>
      </c>
      <c r="CF37" s="855">
        <f>BC37*Pricing!O$3*IF($T$41="N",(1+$V$41),1)</f>
        <v>0</v>
      </c>
      <c r="CG37" s="273">
        <f t="shared" si="47"/>
        <v>0</v>
      </c>
      <c r="CH37" s="854">
        <f t="shared" si="48"/>
        <v>0</v>
      </c>
      <c r="CI37" s="273">
        <f t="shared" si="49"/>
        <v>0</v>
      </c>
      <c r="CJ37" s="273" t="str">
        <f t="shared" si="50"/>
        <v/>
      </c>
      <c r="CK37" s="273">
        <f t="shared" si="51"/>
        <v>0</v>
      </c>
      <c r="CL37" s="856">
        <f t="shared" si="52"/>
        <v>0</v>
      </c>
      <c r="CM37" s="857">
        <f t="shared" si="53"/>
        <v>0</v>
      </c>
      <c r="CN37" s="855">
        <f t="shared" si="54"/>
        <v>0</v>
      </c>
      <c r="CO37" s="857">
        <f t="shared" si="55"/>
        <v>0</v>
      </c>
      <c r="CP37" s="273">
        <f t="shared" si="56"/>
        <v>0</v>
      </c>
      <c r="CQ37" s="54">
        <f t="shared" si="57"/>
        <v>0</v>
      </c>
      <c r="CR37" s="858">
        <f t="shared" si="58"/>
        <v>0</v>
      </c>
    </row>
    <row r="38" spans="2:96" ht="19.5" customHeight="1">
      <c r="B38" s="833"/>
      <c r="C38" s="541"/>
      <c r="D38" s="834"/>
      <c r="E38" s="835"/>
      <c r="F38" s="836"/>
      <c r="G38" s="836"/>
      <c r="H38" s="77"/>
      <c r="I38" s="837"/>
      <c r="J38" s="838">
        <f t="shared" si="1"/>
        <v>0</v>
      </c>
      <c r="K38" s="859"/>
      <c r="L38" s="839"/>
      <c r="M38" s="77"/>
      <c r="N38" s="839"/>
      <c r="O38" s="840"/>
      <c r="P38" s="77"/>
      <c r="Q38" s="837"/>
      <c r="R38" s="841">
        <f t="shared" si="2"/>
        <v>0</v>
      </c>
      <c r="S38" s="841">
        <f t="shared" si="3"/>
        <v>0</v>
      </c>
      <c r="T38" s="860">
        <f>(IF(E38="",0,IF(J$54="",SUM(BN38:CP38)/E38,(SUM(BW38:CP38)+BM38)/E38)))*(1+M$42+Summary!P$57)</f>
        <v>0</v>
      </c>
      <c r="U38" s="861">
        <f t="shared" si="4"/>
        <v>0</v>
      </c>
      <c r="V38" s="844">
        <f t="shared" si="5"/>
        <v>0</v>
      </c>
      <c r="W38" s="845">
        <f t="shared" si="6"/>
        <v>0</v>
      </c>
      <c r="X38" s="862">
        <f t="shared" si="7"/>
        <v>0</v>
      </c>
      <c r="Y38" s="863">
        <f t="shared" si="8"/>
        <v>0</v>
      </c>
      <c r="Z38" s="863">
        <f t="shared" si="9"/>
        <v>0</v>
      </c>
      <c r="AA38" s="864">
        <f t="shared" si="10"/>
        <v>0</v>
      </c>
      <c r="AB38" s="849">
        <f t="shared" si="11"/>
        <v>0</v>
      </c>
      <c r="AG38" t="str">
        <f t="shared" si="12"/>
        <v/>
      </c>
      <c r="AH38">
        <f t="shared" si="13"/>
        <v>0</v>
      </c>
      <c r="AI38">
        <f t="shared" si="14"/>
        <v>0</v>
      </c>
      <c r="AJ38" t="str">
        <f t="shared" si="15"/>
        <v/>
      </c>
      <c r="AK38">
        <f t="shared" si="16"/>
        <v>0</v>
      </c>
      <c r="AL38">
        <f t="shared" si="17"/>
        <v>0</v>
      </c>
      <c r="AM38">
        <f t="shared" si="18"/>
        <v>0</v>
      </c>
      <c r="AN38">
        <f t="shared" si="19"/>
        <v>0</v>
      </c>
      <c r="AO38" t="str">
        <f t="shared" si="20"/>
        <v/>
      </c>
      <c r="AP38">
        <v>3</v>
      </c>
      <c r="AQ38" t="str">
        <f t="shared" si="21"/>
        <v/>
      </c>
      <c r="AR38">
        <f t="shared" si="22"/>
        <v>0</v>
      </c>
      <c r="AS38">
        <f t="shared" si="23"/>
        <v>0</v>
      </c>
      <c r="AT38">
        <f t="shared" si="24"/>
        <v>0</v>
      </c>
      <c r="AU38">
        <f t="shared" si="25"/>
        <v>0</v>
      </c>
      <c r="AV38">
        <f t="shared" si="26"/>
        <v>0</v>
      </c>
      <c r="AW38">
        <f t="shared" si="27"/>
        <v>0</v>
      </c>
      <c r="AX38">
        <f t="shared" si="28"/>
        <v>0</v>
      </c>
      <c r="AY38">
        <f t="shared" si="29"/>
        <v>0</v>
      </c>
      <c r="AZ38">
        <f t="shared" si="30"/>
        <v>0</v>
      </c>
      <c r="BA38">
        <f t="shared" si="31"/>
        <v>0</v>
      </c>
      <c r="BB38">
        <f t="shared" si="32"/>
        <v>0</v>
      </c>
      <c r="BC38">
        <f t="shared" si="33"/>
        <v>0</v>
      </c>
      <c r="BD38">
        <f t="shared" si="34"/>
        <v>0</v>
      </c>
      <c r="BE38">
        <f t="shared" si="60"/>
        <v>0</v>
      </c>
      <c r="BF38">
        <f t="shared" si="60"/>
        <v>0</v>
      </c>
      <c r="BG38">
        <f t="shared" si="60"/>
        <v>0</v>
      </c>
      <c r="BH38">
        <f t="shared" si="60"/>
        <v>0</v>
      </c>
      <c r="BI38">
        <f t="shared" si="60"/>
        <v>0</v>
      </c>
      <c r="BJ38">
        <f t="shared" si="60"/>
        <v>0</v>
      </c>
      <c r="BK38">
        <f t="shared" si="60"/>
        <v>0</v>
      </c>
      <c r="BL38" t="str">
        <f t="shared" si="36"/>
        <v/>
      </c>
      <c r="BM38" s="865">
        <f t="shared" si="37"/>
        <v>0</v>
      </c>
      <c r="BN38" s="866">
        <f t="shared" si="38"/>
        <v>0</v>
      </c>
      <c r="BO38" s="867">
        <f t="shared" si="39"/>
        <v>0</v>
      </c>
      <c r="BP38" s="867">
        <f t="shared" si="40"/>
        <v>0</v>
      </c>
      <c r="BQ38" s="867">
        <f t="shared" si="41"/>
        <v>0</v>
      </c>
      <c r="BR38" s="867">
        <f t="shared" si="42"/>
        <v>0</v>
      </c>
      <c r="BS38" s="867">
        <f t="shared" si="43"/>
        <v>0</v>
      </c>
      <c r="BT38" s="867">
        <f t="shared" si="44"/>
        <v>0</v>
      </c>
      <c r="BU38" s="867">
        <f t="shared" si="45"/>
        <v>0</v>
      </c>
      <c r="BV38" s="868" t="str">
        <f t="shared" si="46"/>
        <v/>
      </c>
      <c r="BW38" s="866">
        <f>AT38*Pricing!F$3*IF($T$41="N",(1+$V$41),1)</f>
        <v>0</v>
      </c>
      <c r="BX38" s="867">
        <f>AU38*Pricing!G$3*IF($T$41="N",(1+$V$41),1)</f>
        <v>0</v>
      </c>
      <c r="BY38" s="867">
        <f>AV38*Pricing!H$3*IF($T$41="N",(1+$V$41),1)</f>
        <v>0</v>
      </c>
      <c r="BZ38" s="867">
        <f>AW38*Pricing!I$3*IF($T$41="N",(1+$V$41),1)</f>
        <v>0</v>
      </c>
      <c r="CA38" s="867">
        <f>AX38*Pricing!J$3*IF($T$41="N",(1+$V$41),1)</f>
        <v>0</v>
      </c>
      <c r="CB38" s="867">
        <f>AY38*Pricing!K$3*IF($T$41="N",(1+$V$41),1)</f>
        <v>0</v>
      </c>
      <c r="CC38" s="867">
        <f>AZ38*Pricing!L$3*IF($T$41="N",(1+$V$41),1)</f>
        <v>0</v>
      </c>
      <c r="CD38" s="867">
        <f>BA38*Pricing!M$3*IF($T$41="N",(1+$V$41),1)</f>
        <v>0</v>
      </c>
      <c r="CE38" s="867">
        <f>BB38*Pricing!N$3*IF($T$41="N",(1+$V$41),1)</f>
        <v>0</v>
      </c>
      <c r="CF38" s="868">
        <f>BC38*Pricing!O$3*IF($T$41="N",(1+$V$41),1)</f>
        <v>0</v>
      </c>
      <c r="CG38" s="273">
        <f t="shared" si="47"/>
        <v>0</v>
      </c>
      <c r="CH38" s="854">
        <f t="shared" si="48"/>
        <v>0</v>
      </c>
      <c r="CI38" s="273">
        <f t="shared" si="49"/>
        <v>0</v>
      </c>
      <c r="CJ38" s="273" t="str">
        <f t="shared" si="50"/>
        <v/>
      </c>
      <c r="CK38" s="273">
        <f t="shared" si="51"/>
        <v>0</v>
      </c>
      <c r="CL38" s="856">
        <f t="shared" si="52"/>
        <v>0</v>
      </c>
      <c r="CM38" s="857">
        <f t="shared" si="53"/>
        <v>0</v>
      </c>
      <c r="CN38" s="855">
        <f t="shared" si="54"/>
        <v>0</v>
      </c>
      <c r="CO38" s="857">
        <f t="shared" si="55"/>
        <v>0</v>
      </c>
      <c r="CP38" s="273">
        <f t="shared" si="56"/>
        <v>0</v>
      </c>
      <c r="CQ38" s="54">
        <f t="shared" si="57"/>
        <v>0</v>
      </c>
      <c r="CR38" s="858">
        <f t="shared" si="58"/>
        <v>0</v>
      </c>
    </row>
    <row r="39" spans="2:96" ht="24.75" customHeight="1">
      <c r="B39" s="869" t="s">
        <v>1258</v>
      </c>
      <c r="C39" s="567"/>
      <c r="D39" s="870"/>
      <c r="E39" s="871">
        <f>SUM(E11:E38)</f>
        <v>106</v>
      </c>
      <c r="F39" s="872" t="s">
        <v>544</v>
      </c>
      <c r="G39" s="873"/>
      <c r="H39" s="873"/>
      <c r="I39" s="874"/>
      <c r="J39" s="875">
        <f>AG39</f>
        <v>2348</v>
      </c>
      <c r="K39" s="568" t="s">
        <v>1259</v>
      </c>
      <c r="L39" s="876"/>
      <c r="M39" s="870"/>
      <c r="N39" s="876"/>
      <c r="O39" s="877"/>
      <c r="P39" s="568" t="s">
        <v>1260</v>
      </c>
      <c r="Q39" s="569"/>
      <c r="R39" s="878">
        <f>SUM(R11:R38)</f>
        <v>71736.479590893185</v>
      </c>
      <c r="S39" s="879">
        <f>SUM(S11:S38)</f>
        <v>632.69934059259276</v>
      </c>
      <c r="T39" s="880"/>
      <c r="U39" s="881"/>
      <c r="V39" s="882"/>
      <c r="W39" s="883">
        <v>0.2</v>
      </c>
      <c r="AB39" s="849">
        <f>SUM(AB11:AB38)</f>
        <v>344916.32886722719</v>
      </c>
      <c r="AG39">
        <f>SUM(AG11:AG38)</f>
        <v>2348</v>
      </c>
      <c r="AT39">
        <f t="shared" ref="AT39:BC39" si="61">SUM(AT11:AT38)</f>
        <v>0</v>
      </c>
      <c r="AU39">
        <f t="shared" si="61"/>
        <v>0</v>
      </c>
      <c r="AV39">
        <f t="shared" si="61"/>
        <v>0</v>
      </c>
      <c r="AW39">
        <f t="shared" si="61"/>
        <v>0</v>
      </c>
      <c r="AX39">
        <f t="shared" si="61"/>
        <v>632.69934059259276</v>
      </c>
      <c r="AY39">
        <f t="shared" si="61"/>
        <v>0</v>
      </c>
      <c r="AZ39">
        <f t="shared" si="61"/>
        <v>0</v>
      </c>
      <c r="BA39">
        <f t="shared" si="61"/>
        <v>0</v>
      </c>
      <c r="BB39">
        <f t="shared" si="61"/>
        <v>0</v>
      </c>
      <c r="BC39">
        <f t="shared" si="61"/>
        <v>0</v>
      </c>
      <c r="BM39" s="884">
        <f t="shared" ref="BM39:CR39" si="62">SUM(BM11:BM38)</f>
        <v>0</v>
      </c>
      <c r="BN39" s="866">
        <f t="shared" si="62"/>
        <v>0</v>
      </c>
      <c r="BO39" s="867">
        <f t="shared" si="62"/>
        <v>0</v>
      </c>
      <c r="BP39" s="867">
        <f t="shared" si="62"/>
        <v>4512</v>
      </c>
      <c r="BQ39" s="867">
        <f t="shared" si="62"/>
        <v>0</v>
      </c>
      <c r="BR39" s="867">
        <f t="shared" si="62"/>
        <v>33120</v>
      </c>
      <c r="BS39" s="867">
        <f t="shared" si="62"/>
        <v>20400</v>
      </c>
      <c r="BT39" s="867">
        <f t="shared" si="62"/>
        <v>0</v>
      </c>
      <c r="BU39" s="867">
        <f t="shared" si="62"/>
        <v>0</v>
      </c>
      <c r="BV39" s="868">
        <f t="shared" si="62"/>
        <v>0</v>
      </c>
      <c r="BW39" s="866">
        <f t="shared" si="62"/>
        <v>0</v>
      </c>
      <c r="BX39" s="867">
        <f t="shared" si="62"/>
        <v>0</v>
      </c>
      <c r="BY39" s="867">
        <f t="shared" si="62"/>
        <v>0</v>
      </c>
      <c r="BZ39" s="867">
        <f t="shared" si="62"/>
        <v>0</v>
      </c>
      <c r="CA39" s="867">
        <f t="shared" si="62"/>
        <v>106159.04060967964</v>
      </c>
      <c r="CB39" s="867">
        <f t="shared" si="62"/>
        <v>0</v>
      </c>
      <c r="CC39" s="867">
        <f t="shared" si="62"/>
        <v>0</v>
      </c>
      <c r="CD39" s="867">
        <f t="shared" si="62"/>
        <v>0</v>
      </c>
      <c r="CE39" s="867">
        <f t="shared" si="62"/>
        <v>0</v>
      </c>
      <c r="CF39" s="868">
        <f t="shared" si="62"/>
        <v>0</v>
      </c>
      <c r="CG39" s="885">
        <f t="shared" si="62"/>
        <v>46592.843494285131</v>
      </c>
      <c r="CH39" s="866">
        <f t="shared" si="62"/>
        <v>15900</v>
      </c>
      <c r="CI39" s="867">
        <f t="shared" si="62"/>
        <v>0</v>
      </c>
      <c r="CJ39" s="867">
        <f t="shared" si="62"/>
        <v>16140.707907950969</v>
      </c>
      <c r="CK39" s="867">
        <f t="shared" si="62"/>
        <v>0</v>
      </c>
      <c r="CL39" s="868">
        <f t="shared" si="62"/>
        <v>0</v>
      </c>
      <c r="CM39" s="886">
        <f t="shared" si="62"/>
        <v>11270.295721445244</v>
      </c>
      <c r="CN39" s="868">
        <f t="shared" si="62"/>
        <v>12375.000000000002</v>
      </c>
      <c r="CO39" s="886">
        <f t="shared" si="62"/>
        <v>7238.0624999999991</v>
      </c>
      <c r="CP39" s="885">
        <f t="shared" si="62"/>
        <v>18594.023382933337</v>
      </c>
      <c r="CQ39" s="885">
        <f t="shared" si="62"/>
        <v>0</v>
      </c>
      <c r="CR39" s="887">
        <f t="shared" si="62"/>
        <v>344916.32886722719</v>
      </c>
    </row>
    <row r="40" spans="2:96" ht="16.5" customHeight="1">
      <c r="B40" s="888"/>
      <c r="C40" s="889"/>
      <c r="D40" s="890" t="s">
        <v>1261</v>
      </c>
      <c r="E40" s="2784">
        <v>0</v>
      </c>
      <c r="F40" s="2784"/>
      <c r="G40" s="889"/>
      <c r="H40" s="2939">
        <f>959820-H42</f>
        <v>907205.64474906703</v>
      </c>
      <c r="I40" s="2939"/>
      <c r="J40" s="889"/>
      <c r="K40" s="889"/>
      <c r="L40" s="891"/>
      <c r="M40" s="892"/>
      <c r="N40" s="892"/>
      <c r="O40" s="892"/>
      <c r="P40" s="889"/>
      <c r="Q40" s="889"/>
      <c r="R40" s="889"/>
      <c r="S40" s="889"/>
      <c r="T40" s="893">
        <f>IF(J54=0,SUM(BN39:CQ39),SUM(BW39:CQ39)+O54)</f>
        <v>292301.97361629433</v>
      </c>
      <c r="U40" s="889"/>
      <c r="V40" s="889"/>
      <c r="W40" s="894"/>
      <c r="AB40" s="849">
        <f>AB39-E42</f>
        <v>0</v>
      </c>
      <c r="BM40" s="850">
        <f>SUM(BN40:CR40)</f>
        <v>637218.30248352163</v>
      </c>
      <c r="BR40" s="351">
        <f>SUM(BN39:BV39)</f>
        <v>58032</v>
      </c>
      <c r="BY40" s="351">
        <f>SUM(BW39:CF39)</f>
        <v>106159.04060967964</v>
      </c>
      <c r="CG40" s="351">
        <f>O53</f>
        <v>46592.843494285116</v>
      </c>
      <c r="CH40" s="352">
        <f>SUM(O57:P59)</f>
        <v>15900</v>
      </c>
      <c r="CI40" s="351">
        <f>O60</f>
        <v>0</v>
      </c>
      <c r="CJ40" s="351">
        <f>O61</f>
        <v>16140.707907950966</v>
      </c>
      <c r="CK40" s="351">
        <f>O62</f>
        <v>0</v>
      </c>
      <c r="CL40" s="351">
        <f>O63</f>
        <v>0</v>
      </c>
      <c r="CM40" s="351">
        <f>W85</f>
        <v>11270.295721445244</v>
      </c>
      <c r="CN40" s="351">
        <f>M67+O69</f>
        <v>12375</v>
      </c>
      <c r="CO40" s="351">
        <f>M73</f>
        <v>7238.0625</v>
      </c>
      <c r="CP40" s="351">
        <f>SUM(O78:P83)</f>
        <v>18594.023382933337</v>
      </c>
      <c r="CQ40" s="351">
        <f>O84</f>
        <v>0</v>
      </c>
      <c r="CR40" s="351">
        <f>E42</f>
        <v>344916.3288672273</v>
      </c>
    </row>
    <row r="41" spans="2:96" ht="16.5" customHeight="1">
      <c r="B41" s="2786" t="s">
        <v>1262</v>
      </c>
      <c r="C41" s="2786"/>
      <c r="D41" s="2786"/>
      <c r="E41" s="2786" t="s">
        <v>982</v>
      </c>
      <c r="F41" s="2786"/>
      <c r="G41" s="2786" t="s">
        <v>1263</v>
      </c>
      <c r="H41" s="2786"/>
      <c r="I41" s="2786"/>
      <c r="J41" s="2788" t="s">
        <v>1264</v>
      </c>
      <c r="K41" s="2788"/>
      <c r="L41" s="2788"/>
      <c r="M41" s="2940" t="s">
        <v>1265</v>
      </c>
      <c r="N41" s="2940"/>
      <c r="O41" s="2940"/>
      <c r="P41" s="895"/>
      <c r="Q41" s="574" t="s">
        <v>1266</v>
      </c>
      <c r="S41" s="18" t="s">
        <v>1267</v>
      </c>
      <c r="T41" s="896" t="str">
        <f>Summary!P62</f>
        <v>N</v>
      </c>
      <c r="U41" s="793" t="s">
        <v>1268</v>
      </c>
      <c r="V41" s="897">
        <f>Summary!R62</f>
        <v>8.2500000000000004E-2</v>
      </c>
      <c r="W41" s="898"/>
      <c r="BM41" s="351">
        <f>T42</f>
        <v>292301.97361629433</v>
      </c>
      <c r="BY41" s="351"/>
      <c r="BZ41" s="351"/>
      <c r="CA41" s="351"/>
      <c r="CB41" s="351"/>
      <c r="CC41" s="351"/>
      <c r="CD41" s="351"/>
      <c r="CE41" s="351"/>
      <c r="CF41" s="351"/>
      <c r="CG41" s="351"/>
      <c r="CH41" s="351">
        <f t="shared" ref="CH41:CR41" si="63">CH39-CH40</f>
        <v>0</v>
      </c>
      <c r="CI41" s="351">
        <f t="shared" si="63"/>
        <v>0</v>
      </c>
      <c r="CJ41" s="351">
        <f t="shared" si="63"/>
        <v>0</v>
      </c>
      <c r="CK41" s="351">
        <f t="shared" si="63"/>
        <v>0</v>
      </c>
      <c r="CL41" s="351">
        <f t="shared" si="63"/>
        <v>0</v>
      </c>
      <c r="CM41" s="351">
        <f t="shared" si="63"/>
        <v>0</v>
      </c>
      <c r="CN41" s="351">
        <f t="shared" si="63"/>
        <v>0</v>
      </c>
      <c r="CO41" s="351">
        <f t="shared" si="63"/>
        <v>0</v>
      </c>
      <c r="CP41" s="351">
        <f t="shared" si="63"/>
        <v>0</v>
      </c>
      <c r="CQ41" s="351">
        <f t="shared" si="63"/>
        <v>0</v>
      </c>
      <c r="CR41" s="351">
        <f t="shared" si="63"/>
        <v>0</v>
      </c>
    </row>
    <row r="42" spans="2:96" ht="16.5" customHeight="1">
      <c r="B42" s="899" t="s">
        <v>1269</v>
      </c>
      <c r="C42" s="2865">
        <f>IF(J39=0,0,E42/J39)</f>
        <v>146.89792541193668</v>
      </c>
      <c r="D42" s="2865"/>
      <c r="E42" s="2866">
        <f>(T42-O84)*((1+M42))</f>
        <v>344916.3288672273</v>
      </c>
      <c r="F42" s="2866"/>
      <c r="G42" s="901">
        <f>IF(H42=0,0,H42/E42)</f>
        <v>0.15254237288135591</v>
      </c>
      <c r="H42" s="2867">
        <f>(E42-T42)</f>
        <v>52614.355250932975</v>
      </c>
      <c r="I42" s="2867"/>
      <c r="J42" s="2866">
        <f>IF(C42=0,0,T42/E39)</f>
        <v>2757.5657888329652</v>
      </c>
      <c r="K42" s="2866"/>
      <c r="L42" s="2866"/>
      <c r="M42" s="2941">
        <f>Summary!P59</f>
        <v>0.18</v>
      </c>
      <c r="N42" s="2941"/>
      <c r="O42" s="2941"/>
      <c r="P42" s="895"/>
      <c r="Q42" s="902" t="s">
        <v>980</v>
      </c>
      <c r="T42" s="2942">
        <f>SUM(O49:P55)+SUM(O57:P63)+SUM(O66:P68)+SUM(O71:P76)+SUM(O78:P84)+W85+SUM(L57:M63)+O69</f>
        <v>292301.97361629433</v>
      </c>
      <c r="U42" s="2942"/>
      <c r="W42" s="898"/>
    </row>
    <row r="43" spans="2:96" ht="16.5" customHeight="1">
      <c r="B43" s="904"/>
      <c r="C43" s="905"/>
      <c r="D43" s="906" t="str">
        <f>IF(ROUND(E43,0)=0,"BINGO!!",IF(ROUND(E43,0)&lt;0,"To Low","T0 High"))</f>
        <v>T0 High</v>
      </c>
      <c r="E43" s="2943">
        <f>E42-E40</f>
        <v>344916.3288672273</v>
      </c>
      <c r="F43" s="2943"/>
      <c r="G43" s="905"/>
      <c r="H43" s="905"/>
      <c r="I43" s="907" t="s">
        <v>1270</v>
      </c>
      <c r="J43" s="908"/>
      <c r="K43" s="2944"/>
      <c r="L43" s="2944"/>
      <c r="M43" s="909"/>
      <c r="N43" s="2945">
        <f>IF(K43&gt;0,(K43-E42)/(1+M42),0)</f>
        <v>0</v>
      </c>
      <c r="O43" s="2945"/>
      <c r="P43" s="911"/>
      <c r="Q43" s="912"/>
      <c r="R43" s="905"/>
      <c r="S43" s="905"/>
      <c r="T43" s="2946">
        <f>E93</f>
        <v>292301.97361629433</v>
      </c>
      <c r="U43" s="2946"/>
      <c r="V43" s="905"/>
      <c r="W43" s="913"/>
    </row>
    <row r="44" spans="2:96" ht="16.5" customHeight="1">
      <c r="B44" s="791" t="s">
        <v>1271</v>
      </c>
      <c r="C44" s="914" t="s">
        <v>826</v>
      </c>
      <c r="D44" s="2947"/>
      <c r="E44" s="2947"/>
      <c r="F44" s="2948"/>
      <c r="G44" s="2948"/>
      <c r="H44" s="915"/>
      <c r="I44" s="915"/>
      <c r="J44" s="2949"/>
      <c r="K44" s="2949"/>
      <c r="L44" s="915"/>
      <c r="M44" s="915"/>
      <c r="N44" s="2803" t="s">
        <v>721</v>
      </c>
      <c r="O44" s="2803"/>
      <c r="P44" s="916" t="s">
        <v>1272</v>
      </c>
      <c r="Q44" s="917"/>
      <c r="R44" s="626"/>
      <c r="S44" s="626"/>
      <c r="T44" s="626"/>
      <c r="U44" s="918">
        <f>T42-T43</f>
        <v>0</v>
      </c>
      <c r="V44" s="626"/>
      <c r="W44" s="626"/>
    </row>
    <row r="45" spans="2:96" ht="16.5" customHeight="1">
      <c r="B45" s="626"/>
      <c r="C45" s="919" t="s">
        <v>1273</v>
      </c>
      <c r="D45" s="2950"/>
      <c r="E45" s="2950"/>
      <c r="F45" s="920"/>
      <c r="G45" s="921"/>
      <c r="H45" s="920"/>
      <c r="I45" s="920"/>
      <c r="J45" s="2951"/>
      <c r="K45" s="2951"/>
      <c r="L45" s="923"/>
      <c r="M45" s="920"/>
      <c r="N45" s="924" t="s">
        <v>1274</v>
      </c>
      <c r="O45" s="925"/>
      <c r="P45" s="926"/>
      <c r="Q45" s="927"/>
      <c r="R45" s="928" t="s">
        <v>1275</v>
      </c>
      <c r="S45" s="929">
        <f>IF(L53=0,0,L53/(S39*13231.64))</f>
        <v>8.568977492183617E-3</v>
      </c>
      <c r="T45" s="626"/>
      <c r="U45" s="626"/>
      <c r="V45" s="626"/>
      <c r="W45" s="626"/>
      <c r="AN45" t="s">
        <v>545</v>
      </c>
      <c r="AR45" s="930">
        <f>Pricing!E10</f>
        <v>4.5</v>
      </c>
      <c r="AS45">
        <f>SUM(BN39:BV39)</f>
        <v>58032</v>
      </c>
    </row>
    <row r="46" spans="2:96" ht="16.5" customHeight="1">
      <c r="B46" s="626"/>
      <c r="C46" s="919"/>
      <c r="D46" s="2952"/>
      <c r="E46" s="2952"/>
      <c r="F46" s="931"/>
      <c r="G46" s="921"/>
      <c r="H46" s="920"/>
      <c r="I46" s="920"/>
      <c r="J46" s="920"/>
      <c r="K46" s="920"/>
      <c r="L46" s="920"/>
      <c r="M46" s="920"/>
      <c r="N46" s="932" t="s">
        <v>1276</v>
      </c>
      <c r="O46" s="933">
        <f>L53</f>
        <v>71736.479590893185</v>
      </c>
      <c r="P46" s="934">
        <f>O53</f>
        <v>46592.843494285116</v>
      </c>
      <c r="Q46" s="927"/>
      <c r="R46" s="626"/>
      <c r="S46" s="935" t="str">
        <f>IF(S45&gt;0.92,"GOOD","BAD")</f>
        <v>BAD</v>
      </c>
      <c r="T46" s="626"/>
      <c r="U46" s="626"/>
      <c r="V46" s="626"/>
      <c r="W46" s="626"/>
      <c r="AN46" t="s">
        <v>1277</v>
      </c>
      <c r="AR46">
        <f>SUM(BL11:BL38)</f>
        <v>0</v>
      </c>
    </row>
    <row r="47" spans="2:96" ht="16.5" customHeight="1">
      <c r="B47" s="626"/>
      <c r="C47" s="919"/>
      <c r="D47" s="931"/>
      <c r="E47" s="936"/>
      <c r="F47" s="931"/>
      <c r="G47" s="931"/>
      <c r="H47" s="931"/>
      <c r="I47" s="922"/>
      <c r="J47" s="931"/>
      <c r="K47" s="922"/>
      <c r="L47" s="937"/>
      <c r="M47" s="922"/>
      <c r="N47" s="931"/>
      <c r="O47" s="922"/>
      <c r="P47" s="938"/>
      <c r="Q47" s="939"/>
      <c r="R47" s="939" t="s">
        <v>1278</v>
      </c>
      <c r="S47" s="940">
        <f>IF(E42=0,0,(W85-W75-W74-W73)/E42)</f>
        <v>1.17456970824338E-2</v>
      </c>
      <c r="T47" s="626"/>
      <c r="U47" s="626">
        <f>IF(E42=0,"",1)</f>
        <v>1</v>
      </c>
      <c r="V47" s="628"/>
      <c r="W47" s="626"/>
      <c r="AN47" t="s">
        <v>1279</v>
      </c>
      <c r="AR47">
        <f>AR45*AR46</f>
        <v>0</v>
      </c>
    </row>
    <row r="48" spans="2:96" ht="34.5" customHeight="1">
      <c r="B48" s="941" t="s">
        <v>1280</v>
      </c>
      <c r="C48" s="942" t="s">
        <v>1281</v>
      </c>
      <c r="D48" s="943"/>
      <c r="E48" s="943"/>
      <c r="F48" s="943"/>
      <c r="G48" s="943"/>
      <c r="H48" s="943"/>
      <c r="I48" s="943"/>
      <c r="J48" s="943"/>
      <c r="K48" s="943" t="s">
        <v>1282</v>
      </c>
      <c r="L48" s="944" t="str">
        <f>IF(SUM(L49:L52)=S39,"Good","Missing Concrete!!!")</f>
        <v>Good</v>
      </c>
      <c r="M48" s="943"/>
      <c r="N48" s="943"/>
      <c r="O48" s="943"/>
      <c r="P48" s="945"/>
      <c r="Q48" s="2806" t="s">
        <v>1283</v>
      </c>
      <c r="R48" s="2806"/>
      <c r="S48" s="818" t="s">
        <v>835</v>
      </c>
      <c r="T48" s="947"/>
      <c r="U48" s="948" t="s">
        <v>518</v>
      </c>
      <c r="V48" s="947"/>
      <c r="W48" s="949"/>
      <c r="X48" s="950" t="s">
        <v>1284</v>
      </c>
    </row>
    <row r="49" spans="2:46" ht="18.75" customHeight="1">
      <c r="B49" s="951">
        <v>1</v>
      </c>
      <c r="C49" s="952" t="str">
        <f>IF(B49=1,Pricing!F$2,IF(B49=2,Pricing!G$2,IF(B49=3,Pricing!H$2,IF(B49=4,Pricing!I$2,IF(B49=5,Pricing!J$2,IF(B49=6,Pricing!K$2,IF(B49=7,Pricing!L$2,IF(B49=8,Pricing!M$2,IF(B49=9,Pricing!N$2,IF(B49=10,Pricing!O$2,0))))))))))</f>
        <v>3,000 PSI 5sk /Ash and Air</v>
      </c>
      <c r="G49" s="953">
        <f>IF(B49=1,Pricing!F$3,IF(B49=2,Pricing!G$3,IF(B49=3,Pricing!H$3,IF(B49=4,Pricing!I$3,IF(B49=5,Pricing!J$3,IF(B49=6,Pricing!K$3,IF(B49=7,Pricing!L$3,IF(B49=8,Pricing!M$3,IF(B49=9,Pricing!N$3,IF(B49=10,Pricing!O$3,0))))))))))</f>
        <v>134</v>
      </c>
      <c r="H49" s="18" t="s">
        <v>1285</v>
      </c>
      <c r="I49" s="2807"/>
      <c r="J49" s="2807"/>
      <c r="K49" s="2808">
        <v>0.06</v>
      </c>
      <c r="L49" s="956">
        <f>IF(B49=1,AT$39,IF(B49=2,AU$39,IF(B49=3,AV$39,IF(B49=4,AW$39,IF(B49=5,AX$39,IF(B49=6,AY$39,IF(B49=7,AZ$39,IF(B49=8,BA$39,IF(B49=9,BB$39,IF(B49=10,BC$39))))))))))</f>
        <v>0</v>
      </c>
      <c r="M49" s="957"/>
      <c r="N49" s="958" t="s">
        <v>1286</v>
      </c>
      <c r="O49" s="2953">
        <f>L49*G49*(IF(T$41="N",1+V$41,1))</f>
        <v>0</v>
      </c>
      <c r="P49" s="2953"/>
      <c r="Q49" s="2954" t="s">
        <v>526</v>
      </c>
      <c r="R49" s="2954"/>
      <c r="S49" s="959">
        <f>E39*8</f>
        <v>848</v>
      </c>
      <c r="T49" s="18" t="s">
        <v>1259</v>
      </c>
      <c r="U49" s="861">
        <f>Pricing!Q4</f>
        <v>0.859375</v>
      </c>
      <c r="V49" s="77" t="s">
        <v>527</v>
      </c>
      <c r="W49" s="960">
        <f>IF(T$41="Y",S49*U49,S49*U49*(1+V$41))</f>
        <v>788.87187500000005</v>
      </c>
      <c r="X49" s="961" t="s">
        <v>1069</v>
      </c>
      <c r="AM49" t="str">
        <f>Pricing!A11</f>
        <v>DIA. PIERS IN INCHES</v>
      </c>
    </row>
    <row r="50" spans="2:46" ht="18.75" customHeight="1">
      <c r="B50" s="962">
        <v>2</v>
      </c>
      <c r="C50" s="574" t="str">
        <f>IF(B50=1,Pricing!F$2,IF(B50=2,Pricing!G$2,IF(B50=3,Pricing!H$2,IF(B50=4,Pricing!I$2,IF(B50=5,Pricing!J$2,IF(B50=6,Pricing!K$2,IF(B50=7,Pricing!L$2,IF(B50=8,Pricing!M$2,IF(B50=9,Pricing!N$2,IF(B50=10,Pricing!O$2,0))))))))))</f>
        <v>3,000 PSI / Ash no Air</v>
      </c>
      <c r="G50" s="953">
        <f>IF(B50=1,Pricing!F$3,IF(B50=2,Pricing!G$3,IF(B50=3,Pricing!H$3,IF(B50=4,Pricing!I$3,IF(B50=5,Pricing!J$3,IF(B50=6,Pricing!K$3,IF(B50=7,Pricing!L$3,IF(B50=8,Pricing!M$3,IF(B50=9,Pricing!N$3,IF(B50=10,Pricing!O$3,0))))))))))</f>
        <v>145</v>
      </c>
      <c r="H50" s="18" t="s">
        <v>1285</v>
      </c>
      <c r="I50" s="2807"/>
      <c r="J50" s="2807"/>
      <c r="K50" s="2808"/>
      <c r="L50" s="956">
        <f>IF(B50=1,AT$39,IF(B50=2,AU$39,IF(B50=3,AV$39,IF(B50=4,AW$39,IF(B50=5,AX$39,IF(B50=6,AY$39,IF(B50=7,AZ$39,IF(B50=8,BA$39,IF(B50=9,BB$39,IF(B50=10,BC$39))))))))))</f>
        <v>0</v>
      </c>
      <c r="M50" s="957"/>
      <c r="N50" s="17" t="s">
        <v>1286</v>
      </c>
      <c r="O50" s="2953">
        <f>L50*G50*(IF(T$41="N",1+V$41,1))</f>
        <v>0</v>
      </c>
      <c r="P50" s="2953"/>
      <c r="Q50" s="2955" t="s">
        <v>534</v>
      </c>
      <c r="R50" s="2955"/>
      <c r="S50" s="959">
        <f>S49</f>
        <v>848</v>
      </c>
      <c r="T50" s="18" t="s">
        <v>1259</v>
      </c>
      <c r="U50" s="861">
        <f>Pricing!Q5</f>
        <v>1.4453125</v>
      </c>
      <c r="V50" s="77" t="s">
        <v>527</v>
      </c>
      <c r="W50" s="960">
        <f>IF(T$41="Y",S50*U50,S50*U50*(1+V$41))</f>
        <v>1326.7390625</v>
      </c>
      <c r="X50" s="961" t="s">
        <v>1069</v>
      </c>
      <c r="AM50">
        <f>Pricing!A12</f>
        <v>16</v>
      </c>
      <c r="AN50">
        <f>Pricing!B12</f>
        <v>18</v>
      </c>
      <c r="AO50">
        <f>Pricing!C12</f>
        <v>24</v>
      </c>
      <c r="AP50">
        <f>Pricing!D12</f>
        <v>30</v>
      </c>
      <c r="AQ50">
        <f>Pricing!E12</f>
        <v>36</v>
      </c>
      <c r="AR50">
        <f>Pricing!F12</f>
        <v>42</v>
      </c>
      <c r="AS50">
        <f>Pricing!G12</f>
        <v>48</v>
      </c>
      <c r="AT50">
        <f>Pricing!H12</f>
        <v>54</v>
      </c>
    </row>
    <row r="51" spans="2:46" ht="18.75" customHeight="1">
      <c r="B51" s="962">
        <v>5</v>
      </c>
      <c r="C51" s="574" t="str">
        <f>IF(B51=1,Pricing!F$2,IF(B51=2,Pricing!G$2,IF(B51=3,Pricing!H$2,IF(B51=4,Pricing!I$2,IF(B51=5,Pricing!J$2,IF(B51=6,Pricing!K$2,IF(B51=7,Pricing!L$2,IF(B51=8,Pricing!M$2,IF(B51=9,Pricing!N$2,IF(B51=10,Pricing!O$2,0))))))))))</f>
        <v>4,000 PSI /Ash and Air</v>
      </c>
      <c r="G51" s="953">
        <f>IF(B51=1,Pricing!F$3,IF(B51=2,Pricing!G$3,IF(B51=3,Pricing!H$3,IF(B51=4,Pricing!I$3,IF(B51=5,Pricing!J$3,IF(B51=6,Pricing!K$3,IF(B51=7,Pricing!L$3,IF(B51=8,Pricing!M$3,IF(B51=9,Pricing!N$3,IF(B51=10,Pricing!O$3,0))))))))))</f>
        <v>155</v>
      </c>
      <c r="H51" s="18" t="s">
        <v>1285</v>
      </c>
      <c r="I51" s="2807"/>
      <c r="J51" s="2807"/>
      <c r="K51" s="2808"/>
      <c r="L51" s="956">
        <f>IF(B51=1,AT$39,IF(B51=2,AU$39,IF(B51=3,AV$39,IF(B51=4,AW$39,IF(B51=5,AX$39,IF(B51=6,AY$39,IF(B51=7,AZ$39,IF(B51=8,BA$39,IF(B51=9,BB$39,IF(B51=10,BC$39))))))))))</f>
        <v>632.69934059259276</v>
      </c>
      <c r="M51" s="964"/>
      <c r="N51" s="17" t="s">
        <v>1286</v>
      </c>
      <c r="O51" s="2953">
        <f>L51*G51*(IF(T$41="N",1+V$41,1))</f>
        <v>106159.04060967967</v>
      </c>
      <c r="P51" s="2953"/>
      <c r="Q51" s="963"/>
      <c r="R51" s="17"/>
      <c r="S51" s="959"/>
      <c r="U51" s="861"/>
      <c r="V51" s="77"/>
      <c r="W51" s="960"/>
      <c r="X51" s="961"/>
    </row>
    <row r="52" spans="2:46" ht="18.75" customHeight="1">
      <c r="B52" s="965">
        <v>6</v>
      </c>
      <c r="C52" s="966" t="str">
        <f>IF(B52=1,Pricing!F$2,IF(B52=2,Pricing!G$2,IF(B52=3,Pricing!H$2,IF(B52=4,Pricing!I$2,IF(B52=5,Pricing!J$2,IF(B52=6,Pricing!K$2,IF(B52=7,Pricing!L$2,IF(B52=8,Pricing!M$2,IF(B52=9,Pricing!N$2,IF(B52=10,Pricing!O$2,0))))))))))</f>
        <v>4,000 PSI /Ash no Air</v>
      </c>
      <c r="D52" s="373"/>
      <c r="E52" s="373"/>
      <c r="F52" s="373"/>
      <c r="G52" s="953">
        <f>IF(B52=1,Pricing!F$3,IF(B52=2,Pricing!G$3,IF(B52=3,Pricing!H$3,IF(B52=4,Pricing!I$3,IF(B52=5,Pricing!J$3,IF(B52=6,Pricing!K$3,IF(B52=7,Pricing!L$3,IF(B52=8,Pricing!M$3,IF(B52=9,Pricing!N$3,IF(B52=10,Pricing!O$3,0))))))))))</f>
        <v>155</v>
      </c>
      <c r="H52" s="373" t="s">
        <v>1285</v>
      </c>
      <c r="I52" s="2807"/>
      <c r="J52" s="2807"/>
      <c r="K52" s="2808"/>
      <c r="L52" s="956">
        <f>IF(B52=1,AT$39,IF(B52=2,AU$39,IF(B52=3,AV$39,IF(B52=4,AW$39,IF(B52=5,AX$39,IF(B52=6,AY$39,IF(B52=7,AZ$39,IF(B52=8,BA$39,IF(B52=9,BB$39,IF(B52=10,BC$39))))))))))</f>
        <v>0</v>
      </c>
      <c r="M52" s="957"/>
      <c r="N52" s="967" t="s">
        <v>1286</v>
      </c>
      <c r="O52" s="2953">
        <f>L52*G52*(IF(T$41="N",1+V$41,1))</f>
        <v>0</v>
      </c>
      <c r="P52" s="2953"/>
      <c r="Q52" s="2955" t="s">
        <v>536</v>
      </c>
      <c r="R52" s="2955"/>
      <c r="S52" s="959">
        <f>CB75+AQ68</f>
        <v>0</v>
      </c>
      <c r="T52" s="18" t="s">
        <v>1259</v>
      </c>
      <c r="U52" s="861">
        <f>Pricing!Q6</f>
        <v>1.171875</v>
      </c>
      <c r="V52" s="77" t="s">
        <v>527</v>
      </c>
      <c r="W52" s="960">
        <f t="shared" ref="W52:W81" si="64">IF(T$41="Y",S52*U52,S52*U52*(1+V$41))</f>
        <v>0</v>
      </c>
      <c r="X52" s="961" t="s">
        <v>1069</v>
      </c>
      <c r="AM52">
        <f>Pricing!A13</f>
        <v>10</v>
      </c>
      <c r="AN52">
        <f>Pricing!B13</f>
        <v>8</v>
      </c>
      <c r="AO52">
        <f>Pricing!C13</f>
        <v>8</v>
      </c>
      <c r="AP52">
        <f>Pricing!D13</f>
        <v>24</v>
      </c>
      <c r="AQ52">
        <f>Pricing!E13</f>
        <v>30</v>
      </c>
      <c r="AR52">
        <f>Pricing!F13</f>
        <v>30</v>
      </c>
      <c r="AS52">
        <f>Pricing!G13</f>
        <v>35</v>
      </c>
      <c r="AT52">
        <f>Pricing!H13</f>
        <v>36</v>
      </c>
    </row>
    <row r="53" spans="2:46" ht="18.75" customHeight="1">
      <c r="B53" s="968" t="str">
        <f>Summary!V60</f>
        <v>Import</v>
      </c>
      <c r="C53" s="17" t="s">
        <v>1287</v>
      </c>
      <c r="G53" s="969">
        <f>Pricing!D22</f>
        <v>0.6</v>
      </c>
      <c r="H53" s="18" t="s">
        <v>555</v>
      </c>
      <c r="I53" s="2956"/>
      <c r="J53" s="2956"/>
      <c r="K53" s="970">
        <v>0.1</v>
      </c>
      <c r="L53" s="2957">
        <f>R39</f>
        <v>71736.479590893185</v>
      </c>
      <c r="M53" s="2957"/>
      <c r="N53" s="18" t="s">
        <v>1288</v>
      </c>
      <c r="O53" s="2958">
        <f>G53*L53*(IF(T$41="N",1+V$41,1))</f>
        <v>46592.843494285116</v>
      </c>
      <c r="P53" s="2958"/>
      <c r="Q53" s="574" t="s">
        <v>538</v>
      </c>
      <c r="S53" s="959">
        <v>0</v>
      </c>
      <c r="T53" s="18" t="s">
        <v>1259</v>
      </c>
      <c r="U53" s="861">
        <f>Pricing!Q7</f>
        <v>1.09375</v>
      </c>
      <c r="V53" s="77" t="s">
        <v>527</v>
      </c>
      <c r="W53" s="960">
        <f t="shared" si="64"/>
        <v>0</v>
      </c>
      <c r="X53" s="961" t="s">
        <v>1069</v>
      </c>
      <c r="AM53" t="str">
        <f>Pricing!A14</f>
        <v>CASING</v>
      </c>
    </row>
    <row r="54" spans="2:46" ht="18.75" customHeight="1">
      <c r="B54" s="968"/>
      <c r="C54" s="966" t="s">
        <v>1289</v>
      </c>
      <c r="D54" s="373"/>
      <c r="E54" s="373" t="s">
        <v>1290</v>
      </c>
      <c r="F54" s="2959"/>
      <c r="G54" s="2959"/>
      <c r="H54" s="2959"/>
      <c r="I54" s="373" t="s">
        <v>1291</v>
      </c>
      <c r="J54" s="2960"/>
      <c r="K54" s="2960"/>
      <c r="L54" s="2961"/>
      <c r="M54" s="2961"/>
      <c r="N54" s="373"/>
      <c r="O54" s="2835">
        <f>IF(J54="",AS45,J54)</f>
        <v>58032</v>
      </c>
      <c r="P54" s="2835"/>
      <c r="Q54" s="574" t="s">
        <v>1292</v>
      </c>
      <c r="S54" s="959">
        <v>0</v>
      </c>
      <c r="T54" s="18" t="s">
        <v>1293</v>
      </c>
      <c r="U54" s="861">
        <f>Pricing!Q9</f>
        <v>20</v>
      </c>
      <c r="V54" s="18" t="s">
        <v>541</v>
      </c>
      <c r="W54" s="960">
        <f t="shared" si="64"/>
        <v>0</v>
      </c>
      <c r="X54" s="961" t="s">
        <v>1069</v>
      </c>
      <c r="AM54">
        <f>Pricing!A15</f>
        <v>6</v>
      </c>
      <c r="AN54">
        <f>Pricing!B15</f>
        <v>24</v>
      </c>
      <c r="AO54">
        <f>Pricing!C15</f>
        <v>30</v>
      </c>
      <c r="AP54">
        <f>Pricing!D15</f>
        <v>35</v>
      </c>
      <c r="AQ54">
        <f>Pricing!E15</f>
        <v>45</v>
      </c>
      <c r="AR54">
        <f>Pricing!F15</f>
        <v>60</v>
      </c>
      <c r="AS54">
        <f>Pricing!G15</f>
        <v>80</v>
      </c>
      <c r="AT54">
        <f>Pricing!H15</f>
        <v>100</v>
      </c>
    </row>
    <row r="55" spans="2:46" ht="18.75" customHeight="1">
      <c r="B55" s="975"/>
      <c r="C55" s="976" t="s">
        <v>1294</v>
      </c>
      <c r="D55" s="976"/>
      <c r="E55" s="976"/>
      <c r="F55" s="976"/>
      <c r="G55" s="977">
        <v>25</v>
      </c>
      <c r="H55" s="976" t="s">
        <v>1285</v>
      </c>
      <c r="I55" s="976"/>
      <c r="J55" s="976"/>
      <c r="K55" s="978">
        <v>0</v>
      </c>
      <c r="L55" s="2962"/>
      <c r="M55" s="2962"/>
      <c r="N55" s="976" t="s">
        <v>998</v>
      </c>
      <c r="O55" s="2867">
        <f>G55*L55*(IF(T$41="N",1+V$41,1))</f>
        <v>0</v>
      </c>
      <c r="P55" s="2867"/>
      <c r="Q55" s="574" t="s">
        <v>540</v>
      </c>
      <c r="S55" s="959">
        <f>CU56*0.35</f>
        <v>0</v>
      </c>
      <c r="T55" s="18" t="s">
        <v>1293</v>
      </c>
      <c r="U55" s="861">
        <f>Pricing!Q8</f>
        <v>74.75</v>
      </c>
      <c r="V55" s="18" t="s">
        <v>541</v>
      </c>
      <c r="W55" s="960">
        <f t="shared" si="64"/>
        <v>0</v>
      </c>
      <c r="X55" s="961" t="s">
        <v>1069</v>
      </c>
      <c r="AM55" t="str">
        <f>Pricing!A16</f>
        <v>DEDUCT</v>
      </c>
    </row>
    <row r="56" spans="2:46" ht="18.75" customHeight="1">
      <c r="B56" s="979" t="s">
        <v>1295</v>
      </c>
      <c r="C56" s="980"/>
      <c r="D56" s="981" t="s">
        <v>1296</v>
      </c>
      <c r="E56" s="980"/>
      <c r="F56" s="980"/>
      <c r="G56" s="980"/>
      <c r="H56" s="980"/>
      <c r="I56" s="980"/>
      <c r="J56" s="980"/>
      <c r="K56" s="980"/>
      <c r="L56" s="2963" t="s">
        <v>973</v>
      </c>
      <c r="M56" s="2963"/>
      <c r="N56" s="2963" t="s">
        <v>1297</v>
      </c>
      <c r="O56" s="2963"/>
      <c r="P56" s="2963"/>
      <c r="Q56" s="574" t="s">
        <v>1298</v>
      </c>
      <c r="S56" s="959">
        <f>ROUNDUP(E39/12.5,0)</f>
        <v>9</v>
      </c>
      <c r="T56" s="18" t="s">
        <v>1299</v>
      </c>
      <c r="U56" s="861">
        <f>Pricing!Q15</f>
        <v>24</v>
      </c>
      <c r="V56" s="18" t="s">
        <v>1300</v>
      </c>
      <c r="W56" s="960">
        <f t="shared" si="64"/>
        <v>233.82</v>
      </c>
      <c r="X56" s="961" t="s">
        <v>1069</v>
      </c>
      <c r="AM56">
        <f>Pricing!A17</f>
        <v>0</v>
      </c>
      <c r="AN56">
        <f>Pricing!B17</f>
        <v>0</v>
      </c>
      <c r="AO56">
        <f>Pricing!C17</f>
        <v>0</v>
      </c>
      <c r="AP56">
        <f>Pricing!D17</f>
        <v>0</v>
      </c>
      <c r="AQ56">
        <f>Pricing!E17</f>
        <v>0</v>
      </c>
      <c r="AR56">
        <f>Pricing!F17</f>
        <v>0</v>
      </c>
      <c r="AS56">
        <f>Pricing!G17</f>
        <v>0</v>
      </c>
      <c r="AT56">
        <f>Pricing!H17</f>
        <v>0</v>
      </c>
    </row>
    <row r="57" spans="2:46" ht="18.75" customHeight="1">
      <c r="B57" s="795" t="s">
        <v>1301</v>
      </c>
      <c r="C57" s="663"/>
      <c r="D57" s="982" t="s">
        <v>1302</v>
      </c>
      <c r="E57" s="2825">
        <v>50</v>
      </c>
      <c r="F57" s="2825"/>
      <c r="G57" s="983" t="s">
        <v>595</v>
      </c>
      <c r="H57" s="2826">
        <f>SUM(E57:F59)</f>
        <v>150</v>
      </c>
      <c r="I57" s="2827">
        <f>E39</f>
        <v>106</v>
      </c>
      <c r="J57" s="2827"/>
      <c r="K57" s="2964" t="s">
        <v>544</v>
      </c>
      <c r="L57" s="2965">
        <f t="shared" ref="L57:L62" si="65">IF(D57="N",E57*I57,0)</f>
        <v>0</v>
      </c>
      <c r="M57" s="2965"/>
      <c r="N57" s="168"/>
      <c r="O57" s="2966">
        <f>IF(D57="y",I$57*E57,0)</f>
        <v>5300</v>
      </c>
      <c r="P57" s="2966"/>
      <c r="Q57" s="574" t="s">
        <v>561</v>
      </c>
      <c r="S57" s="959">
        <f>ROUNDUP(R39/15000,0)</f>
        <v>5</v>
      </c>
      <c r="T57" s="18" t="s">
        <v>1303</v>
      </c>
      <c r="U57" s="861">
        <f>Pricing!Q16</f>
        <v>68.2</v>
      </c>
      <c r="V57" s="18" t="s">
        <v>562</v>
      </c>
      <c r="W57" s="960">
        <f t="shared" si="64"/>
        <v>369.13249999999999</v>
      </c>
      <c r="X57" s="961" t="s">
        <v>1069</v>
      </c>
    </row>
    <row r="58" spans="2:46" ht="18.75" customHeight="1">
      <c r="B58" s="963" t="s">
        <v>1304</v>
      </c>
      <c r="C58" s="380"/>
      <c r="D58" s="984" t="s">
        <v>1302</v>
      </c>
      <c r="E58" s="2830">
        <v>50</v>
      </c>
      <c r="F58" s="2830"/>
      <c r="G58" s="18" t="s">
        <v>595</v>
      </c>
      <c r="H58" s="2826"/>
      <c r="I58" s="2827"/>
      <c r="J58" s="2827"/>
      <c r="K58" s="2964"/>
      <c r="L58" s="2967">
        <f t="shared" si="65"/>
        <v>0</v>
      </c>
      <c r="M58" s="2967"/>
      <c r="O58" s="2968">
        <f>IF(D58="y",I$57*E58,0)</f>
        <v>5300</v>
      </c>
      <c r="P58" s="2968"/>
      <c r="Q58" s="574" t="s">
        <v>563</v>
      </c>
      <c r="S58" s="959">
        <f>ROUNDUP(E39/1600,0)</f>
        <v>1</v>
      </c>
      <c r="T58" s="18" t="s">
        <v>1303</v>
      </c>
      <c r="U58" s="861">
        <f>Pricing!Q17</f>
        <v>68.2</v>
      </c>
      <c r="V58" s="18" t="s">
        <v>562</v>
      </c>
      <c r="W58" s="960">
        <f t="shared" si="64"/>
        <v>73.82650000000001</v>
      </c>
      <c r="X58" s="961" t="s">
        <v>1069</v>
      </c>
    </row>
    <row r="59" spans="2:46" ht="18.75" customHeight="1">
      <c r="B59" s="963" t="s">
        <v>1305</v>
      </c>
      <c r="C59" s="380"/>
      <c r="D59" s="984" t="s">
        <v>1302</v>
      </c>
      <c r="E59" s="2830">
        <v>50</v>
      </c>
      <c r="F59" s="2830"/>
      <c r="G59" s="18" t="s">
        <v>595</v>
      </c>
      <c r="H59" s="2826"/>
      <c r="I59" s="2827"/>
      <c r="J59" s="2827"/>
      <c r="K59" s="2964"/>
      <c r="L59" s="2967">
        <f t="shared" si="65"/>
        <v>0</v>
      </c>
      <c r="M59" s="2967"/>
      <c r="O59" s="2968">
        <f>IF(D59="y",I$57*E59,0)</f>
        <v>5300</v>
      </c>
      <c r="P59" s="2968"/>
      <c r="Q59" s="574" t="s">
        <v>564</v>
      </c>
      <c r="S59" s="959">
        <f>S58</f>
        <v>1</v>
      </c>
      <c r="T59" s="18" t="s">
        <v>1303</v>
      </c>
      <c r="U59" s="861">
        <f>Pricing!Q18</f>
        <v>68.2</v>
      </c>
      <c r="V59" s="18" t="s">
        <v>562</v>
      </c>
      <c r="W59" s="960">
        <f t="shared" si="64"/>
        <v>73.82650000000001</v>
      </c>
      <c r="X59" s="961" t="s">
        <v>1069</v>
      </c>
    </row>
    <row r="60" spans="2:46" ht="18.75" customHeight="1">
      <c r="B60" s="963" t="s">
        <v>1224</v>
      </c>
      <c r="C60" s="380"/>
      <c r="D60" s="984" t="s">
        <v>1306</v>
      </c>
      <c r="E60" s="2830">
        <v>0</v>
      </c>
      <c r="F60" s="2830"/>
      <c r="G60" s="18" t="s">
        <v>1285</v>
      </c>
      <c r="H60" s="985"/>
      <c r="I60" s="2969">
        <f>SUM(L49:M52)</f>
        <v>632.69934059259276</v>
      </c>
      <c r="J60" s="2969"/>
      <c r="K60" s="986" t="s">
        <v>998</v>
      </c>
      <c r="L60" s="2967">
        <f t="shared" si="65"/>
        <v>0</v>
      </c>
      <c r="M60" s="2967"/>
      <c r="O60" s="2968">
        <f>IF(D60="y",I$60*E60,0)</f>
        <v>0</v>
      </c>
      <c r="P60" s="2968"/>
      <c r="Q60" s="574"/>
      <c r="S60" s="959"/>
      <c r="U60" s="861"/>
      <c r="W60" s="960">
        <f t="shared" si="64"/>
        <v>0</v>
      </c>
      <c r="X60" s="961" t="s">
        <v>1069</v>
      </c>
    </row>
    <row r="61" spans="2:46" ht="18.75" customHeight="1">
      <c r="B61" s="963" t="s">
        <v>1307</v>
      </c>
      <c r="C61" s="380"/>
      <c r="D61" s="984" t="s">
        <v>1302</v>
      </c>
      <c r="E61" s="2830">
        <v>450</v>
      </c>
      <c r="F61" s="2830"/>
      <c r="G61" s="18" t="s">
        <v>1308</v>
      </c>
      <c r="I61" s="2832">
        <f>R39/2000</f>
        <v>35.868239795446591</v>
      </c>
      <c r="J61" s="2832"/>
      <c r="K61" s="18" t="s">
        <v>1309</v>
      </c>
      <c r="L61" s="2967">
        <f t="shared" si="65"/>
        <v>0</v>
      </c>
      <c r="M61" s="2967"/>
      <c r="O61" s="2968">
        <f>IF(D61="y",I61*E61,0)</f>
        <v>16140.707907950966</v>
      </c>
      <c r="P61" s="2968"/>
      <c r="Q61" s="574" t="s">
        <v>1310</v>
      </c>
      <c r="S61" s="959">
        <v>0</v>
      </c>
      <c r="T61" s="18" t="s">
        <v>1303</v>
      </c>
      <c r="U61" s="861">
        <f>Pricing!Q34</f>
        <v>45.239999999999995</v>
      </c>
      <c r="V61" s="18" t="s">
        <v>562</v>
      </c>
      <c r="W61" s="960">
        <f t="shared" si="64"/>
        <v>0</v>
      </c>
      <c r="X61" s="961" t="s">
        <v>1069</v>
      </c>
    </row>
    <row r="62" spans="2:46" ht="18.75" customHeight="1">
      <c r="B62" s="963" t="s">
        <v>1311</v>
      </c>
      <c r="C62" s="380"/>
      <c r="D62" s="984" t="s">
        <v>1302</v>
      </c>
      <c r="E62" s="2830">
        <v>60</v>
      </c>
      <c r="F62" s="2830"/>
      <c r="G62" s="18" t="s">
        <v>1312</v>
      </c>
      <c r="I62" s="2832"/>
      <c r="J62" s="2832"/>
      <c r="K62" s="18" t="s">
        <v>1312</v>
      </c>
      <c r="L62" s="2967">
        <f t="shared" si="65"/>
        <v>0</v>
      </c>
      <c r="M62" s="2967"/>
      <c r="O62" s="2968">
        <f>IF(D62="y",I62*E62,0)</f>
        <v>0</v>
      </c>
      <c r="P62" s="2968"/>
      <c r="Q62" s="574" t="s">
        <v>571</v>
      </c>
      <c r="S62" s="959">
        <f>CA81+AP84</f>
        <v>0</v>
      </c>
      <c r="T62" s="18" t="s">
        <v>1259</v>
      </c>
      <c r="U62" s="861">
        <f>Pricing!Q19</f>
        <v>0.95</v>
      </c>
      <c r="V62" s="77" t="s">
        <v>527</v>
      </c>
      <c r="W62" s="960">
        <f t="shared" si="64"/>
        <v>0</v>
      </c>
      <c r="X62" s="961" t="s">
        <v>1069</v>
      </c>
    </row>
    <row r="63" spans="2:46" ht="18.75" customHeight="1">
      <c r="B63" s="987" t="s">
        <v>1313</v>
      </c>
      <c r="C63" s="988"/>
      <c r="D63" s="989" t="s">
        <v>1302</v>
      </c>
      <c r="E63" s="2833">
        <v>0</v>
      </c>
      <c r="F63" s="2833"/>
      <c r="G63" s="373"/>
      <c r="H63" s="373"/>
      <c r="I63" s="2961"/>
      <c r="J63" s="2961"/>
      <c r="K63" s="373"/>
      <c r="L63" s="2970"/>
      <c r="M63" s="2970"/>
      <c r="N63" s="248"/>
      <c r="O63" s="2971">
        <f>IF(D63="y",E63,0)</f>
        <v>0</v>
      </c>
      <c r="P63" s="2971"/>
      <c r="Q63" s="574"/>
      <c r="S63" s="959"/>
      <c r="U63" s="861"/>
      <c r="V63" s="77"/>
      <c r="W63" s="960">
        <f t="shared" si="64"/>
        <v>0</v>
      </c>
      <c r="X63" s="961" t="s">
        <v>1069</v>
      </c>
    </row>
    <row r="64" spans="2:46" ht="18.75" customHeight="1">
      <c r="B64" s="990" t="s">
        <v>1314</v>
      </c>
      <c r="C64" s="991"/>
      <c r="D64" s="992"/>
      <c r="E64" s="2836">
        <f>IF(I57=0,0,(O64-O63)/I57)</f>
        <v>302.27082932029214</v>
      </c>
      <c r="F64" s="2836"/>
      <c r="G64" s="802"/>
      <c r="H64" s="976"/>
      <c r="I64" s="2837" t="s">
        <v>980</v>
      </c>
      <c r="J64" s="2837"/>
      <c r="K64" s="2837"/>
      <c r="L64" s="2972">
        <f>SUM(L57:M62)</f>
        <v>0</v>
      </c>
      <c r="M64" s="2972"/>
      <c r="N64" s="229"/>
      <c r="O64" s="2973">
        <f>SUM(O57:P63)</f>
        <v>32040.707907950964</v>
      </c>
      <c r="P64" s="2973"/>
      <c r="Q64" s="574" t="s">
        <v>576</v>
      </c>
      <c r="S64" s="959">
        <v>0</v>
      </c>
      <c r="T64" s="18" t="s">
        <v>1259</v>
      </c>
      <c r="U64" s="861">
        <f>Pricing!Q20</f>
        <v>0.25</v>
      </c>
      <c r="V64" s="77" t="s">
        <v>527</v>
      </c>
      <c r="W64" s="960">
        <f t="shared" si="64"/>
        <v>0</v>
      </c>
      <c r="X64" s="961" t="s">
        <v>1069</v>
      </c>
    </row>
    <row r="65" spans="2:24" ht="18.75" customHeight="1">
      <c r="B65" s="994" t="s">
        <v>1315</v>
      </c>
      <c r="C65" s="995"/>
      <c r="D65" s="995"/>
      <c r="E65" s="995"/>
      <c r="F65" s="995"/>
      <c r="G65" s="995"/>
      <c r="H65" s="995"/>
      <c r="I65" s="995"/>
      <c r="J65" s="995"/>
      <c r="K65" s="995"/>
      <c r="L65" s="995"/>
      <c r="M65" s="995"/>
      <c r="N65" s="995"/>
      <c r="O65" s="995"/>
      <c r="P65" s="996"/>
      <c r="Q65" s="574" t="s">
        <v>551</v>
      </c>
      <c r="S65" s="959">
        <v>0</v>
      </c>
      <c r="T65" s="18" t="s">
        <v>1259</v>
      </c>
      <c r="U65" s="861">
        <f>Pricing!Q12</f>
        <v>1.0631249999999999</v>
      </c>
      <c r="V65" s="18" t="s">
        <v>562</v>
      </c>
      <c r="W65" s="960">
        <f t="shared" si="64"/>
        <v>0</v>
      </c>
      <c r="X65" s="961" t="s">
        <v>1069</v>
      </c>
    </row>
    <row r="66" spans="2:24" ht="18.75" customHeight="1">
      <c r="B66" s="997" t="s">
        <v>1316</v>
      </c>
      <c r="C66" s="983"/>
      <c r="D66" s="998"/>
      <c r="E66" s="999">
        <v>15</v>
      </c>
      <c r="F66" s="983" t="s">
        <v>1317</v>
      </c>
      <c r="G66" s="1000">
        <v>425</v>
      </c>
      <c r="H66" s="1001" t="s">
        <v>620</v>
      </c>
      <c r="I66" s="983"/>
      <c r="J66" s="983"/>
      <c r="K66" s="983"/>
      <c r="L66" s="983"/>
      <c r="M66" s="2974">
        <f>IF(E42=0,0,M67/E42)</f>
        <v>3.0079758862311706E-2</v>
      </c>
      <c r="N66" s="2974"/>
      <c r="O66" s="2829">
        <f>E66*G66</f>
        <v>6375</v>
      </c>
      <c r="P66" s="2829"/>
      <c r="Q66" s="574" t="s">
        <v>552</v>
      </c>
      <c r="S66" s="959">
        <v>0</v>
      </c>
      <c r="T66" s="18" t="s">
        <v>1259</v>
      </c>
      <c r="U66" s="861">
        <f>Pricing!Q13</f>
        <v>1.494375</v>
      </c>
      <c r="V66" s="77" t="s">
        <v>527</v>
      </c>
      <c r="W66" s="960">
        <f t="shared" si="64"/>
        <v>0</v>
      </c>
      <c r="X66" s="961" t="s">
        <v>1069</v>
      </c>
    </row>
    <row r="67" spans="2:24" ht="18.75" customHeight="1">
      <c r="B67" s="963" t="s">
        <v>1318</v>
      </c>
      <c r="E67" s="1002">
        <v>10</v>
      </c>
      <c r="F67" s="1003" t="s">
        <v>1317</v>
      </c>
      <c r="G67" s="1004">
        <v>250</v>
      </c>
      <c r="H67" s="746" t="s">
        <v>620</v>
      </c>
      <c r="M67" s="2975">
        <f>SUM(O66:P68)</f>
        <v>10375</v>
      </c>
      <c r="N67" s="2975"/>
      <c r="O67" s="2792">
        <f>E67*G67</f>
        <v>2500</v>
      </c>
      <c r="P67" s="2792"/>
      <c r="Q67" s="574" t="s">
        <v>1319</v>
      </c>
      <c r="S67" s="959">
        <v>0</v>
      </c>
      <c r="T67" s="18" t="s">
        <v>1259</v>
      </c>
      <c r="U67" s="861">
        <f>Pricing!Q10</f>
        <v>0.70874999999999999</v>
      </c>
      <c r="V67" s="77" t="s">
        <v>527</v>
      </c>
      <c r="W67" s="960">
        <f t="shared" si="64"/>
        <v>0</v>
      </c>
      <c r="X67" s="961" t="s">
        <v>1069</v>
      </c>
    </row>
    <row r="68" spans="2:24" ht="18.75" customHeight="1">
      <c r="B68" s="963" t="s">
        <v>1320</v>
      </c>
      <c r="E68" s="1002">
        <v>15</v>
      </c>
      <c r="F68" s="18" t="s">
        <v>1317</v>
      </c>
      <c r="G68" s="1004">
        <v>100</v>
      </c>
      <c r="H68" s="18" t="s">
        <v>620</v>
      </c>
      <c r="O68" s="2792">
        <f>E68*G68</f>
        <v>1500</v>
      </c>
      <c r="P68" s="2792"/>
      <c r="Q68" s="966"/>
      <c r="R68" s="373"/>
      <c r="S68" s="1005"/>
      <c r="T68" s="373"/>
      <c r="U68" s="1006"/>
      <c r="V68" s="373"/>
      <c r="W68" s="974">
        <f t="shared" si="64"/>
        <v>0</v>
      </c>
      <c r="X68" s="961" t="s">
        <v>1069</v>
      </c>
    </row>
    <row r="69" spans="2:24" ht="18.75" customHeight="1">
      <c r="B69" s="1007" t="s">
        <v>1321</v>
      </c>
      <c r="C69" s="976"/>
      <c r="D69" s="976"/>
      <c r="E69" s="1008">
        <f>E67</f>
        <v>10</v>
      </c>
      <c r="F69" s="1009" t="s">
        <v>1317</v>
      </c>
      <c r="G69" s="1010">
        <v>200</v>
      </c>
      <c r="H69" s="976"/>
      <c r="I69" s="976"/>
      <c r="J69" s="976"/>
      <c r="K69" s="976"/>
      <c r="L69" s="976"/>
      <c r="M69" s="2976">
        <f>IF(E42=0,0,O69/E42)</f>
        <v>5.798507732493823E-3</v>
      </c>
      <c r="N69" s="2976"/>
      <c r="O69" s="2792">
        <f>E69*G69</f>
        <v>2000</v>
      </c>
      <c r="P69" s="2792"/>
      <c r="Q69" s="574" t="s">
        <v>1322</v>
      </c>
      <c r="S69" s="959">
        <f>SUM(L49:L52)/300</f>
        <v>2.1089978019753093</v>
      </c>
      <c r="T69" s="18" t="s">
        <v>1323</v>
      </c>
      <c r="U69" s="861">
        <v>250</v>
      </c>
      <c r="V69" s="18" t="s">
        <v>1324</v>
      </c>
      <c r="W69" s="960">
        <f t="shared" si="64"/>
        <v>570.7475301595681</v>
      </c>
      <c r="X69" s="961"/>
    </row>
    <row r="70" spans="2:24" ht="18.75" customHeight="1">
      <c r="B70" s="994" t="s">
        <v>1325</v>
      </c>
      <c r="C70" s="995"/>
      <c r="D70" s="995"/>
      <c r="E70" s="995"/>
      <c r="F70" s="995"/>
      <c r="G70" s="995"/>
      <c r="H70" s="995"/>
      <c r="I70" s="995"/>
      <c r="J70" s="995"/>
      <c r="K70" s="995"/>
      <c r="L70" s="995"/>
      <c r="M70" s="995"/>
      <c r="N70" s="995"/>
      <c r="O70" s="995"/>
      <c r="P70" s="996"/>
      <c r="Q70" s="574" t="s">
        <v>1105</v>
      </c>
      <c r="S70" s="959"/>
      <c r="U70" s="861"/>
      <c r="W70" s="960">
        <f t="shared" si="64"/>
        <v>0</v>
      </c>
      <c r="X70" s="961" t="s">
        <v>1078</v>
      </c>
    </row>
    <row r="71" spans="2:24" ht="18.75" customHeight="1">
      <c r="B71" s="795" t="s">
        <v>1326</v>
      </c>
      <c r="C71" s="983"/>
      <c r="D71" s="1011"/>
      <c r="E71" s="1012"/>
      <c r="F71" s="983" t="s">
        <v>1327</v>
      </c>
      <c r="G71" s="1000">
        <f>Pricing!D32</f>
        <v>425</v>
      </c>
      <c r="H71" s="983" t="s">
        <v>620</v>
      </c>
      <c r="I71" s="983"/>
      <c r="J71" s="983"/>
      <c r="K71" s="983"/>
      <c r="L71" s="983"/>
      <c r="M71" s="983"/>
      <c r="N71" s="983"/>
      <c r="O71" s="2829">
        <f>(IF(AND(E71&gt;0,E71&lt;4),E71*G71,0)+IF(AND(E71&gt;3,E71&lt;8),G71*3,0)+IF(AND(E71&gt;7,E71&lt;21),E71/7*G71*3,0)+IF(AND(E71&gt;20,E71&lt;30),G71*9,0)+IF(E71&gt;29,E71/30*G71*9,0))*(1+V$41+J$73)</f>
        <v>0</v>
      </c>
      <c r="P71" s="2829"/>
      <c r="Q71" s="574" t="s">
        <v>1105</v>
      </c>
      <c r="S71" s="959"/>
      <c r="U71" s="861"/>
      <c r="W71" s="960">
        <f t="shared" si="64"/>
        <v>0</v>
      </c>
      <c r="X71" s="961" t="s">
        <v>1328</v>
      </c>
    </row>
    <row r="72" spans="2:24" ht="18.75" customHeight="1">
      <c r="B72" s="574" t="s">
        <v>622</v>
      </c>
      <c r="D72" s="1013"/>
      <c r="E72" s="1012"/>
      <c r="F72" s="18" t="s">
        <v>1327</v>
      </c>
      <c r="G72" s="1014">
        <f>Pricing!D33</f>
        <v>475</v>
      </c>
      <c r="H72" s="18" t="s">
        <v>620</v>
      </c>
      <c r="J72" s="2977" t="s">
        <v>1329</v>
      </c>
      <c r="K72" s="2977"/>
      <c r="M72" s="2841">
        <f>IF(E42=0,0,M73/E42)</f>
        <v>2.0984980687261786E-2</v>
      </c>
      <c r="N72" s="2841"/>
      <c r="O72" s="2792">
        <f>(IF(AND(E72&gt;0,E72&lt;4),E72*G72,0)+IF(AND(E72&gt;3,E72&lt;8),G72*3,0)+IF(AND(E72&gt;7,E72&lt;21),E72/7*G72*3,0)+IF(AND(E72&gt;20,E72&lt;30),G72*9,0)+IF(E72&gt;29,E72/30*G72*9,0))*(1+V$41+J$73)</f>
        <v>0</v>
      </c>
      <c r="P72" s="2792"/>
      <c r="Q72" s="1015" t="s">
        <v>1108</v>
      </c>
      <c r="R72" s="248"/>
      <c r="S72" s="248"/>
      <c r="T72" s="248"/>
      <c r="U72" s="248"/>
      <c r="V72" s="248"/>
      <c r="W72" s="1016">
        <f t="shared" si="64"/>
        <v>0</v>
      </c>
      <c r="X72" s="961" t="s">
        <v>1330</v>
      </c>
    </row>
    <row r="73" spans="2:24" ht="18.75" customHeight="1">
      <c r="B73" s="574" t="s">
        <v>626</v>
      </c>
      <c r="D73" s="1013"/>
      <c r="E73" s="1012">
        <f>IF(E$66&gt;0,IF(E$66&lt;=3,E$66,7),0)+IF(E$66&gt;5,IF(E$66&lt;=10,7,0),0)+IF(E$66&gt;10,IF(E$66&lt;=15,14,0),0)+IF(E$66&gt;15,IF(E$66&lt;=20,23,0),0)+IF(E$66&gt;20,IF(E$66&lt;=40,53,0),0)+IF(E$66&gt;40,IF(E$66&lt;=60,83,0),0)+IF(E$66&gt;60,IF(E$66&lt;=80,113,0),0)+IF(E$66&gt;80,IF(E$66&lt;=100,143,0),0)+IF(E$66&gt;100,IF(E$66&lt;=120,163,0),0)+IF(E$66&gt;120,IF(E$66&lt;=140,193,0),0)+IF(E$66&gt;140,IF(E$66&lt;=160,223,0),0)</f>
        <v>21</v>
      </c>
      <c r="F73" s="77" t="s">
        <v>1327</v>
      </c>
      <c r="G73" s="1004">
        <f>Pricing!D35</f>
        <v>325</v>
      </c>
      <c r="H73" s="18" t="s">
        <v>620</v>
      </c>
      <c r="J73" s="2850">
        <v>0.5</v>
      </c>
      <c r="K73" s="2850"/>
      <c r="M73" s="2975">
        <f>SUM(O71:P76)</f>
        <v>7238.0625</v>
      </c>
      <c r="N73" s="2975"/>
      <c r="O73" s="2792">
        <f>(IF(AND(E73&gt;0,E73&lt;4),E73*G73,0)+IF(AND(E73&gt;3,E73&lt;8),G73*3,0)+IF(AND(E73&gt;7,E73&lt;21),E73/7*G73*3,0)+IF(AND(E73&gt;20,E73&lt;30),G73*9,0)+IF(E73&gt;29,E73/30*G73*9,0))*(1+V$41+J$73)</f>
        <v>4628.8125</v>
      </c>
      <c r="P73" s="2792"/>
      <c r="Q73" s="574" t="s">
        <v>613</v>
      </c>
      <c r="S73" s="959">
        <f>J39/8*3</f>
        <v>880.5</v>
      </c>
      <c r="T73" s="18" t="s">
        <v>1312</v>
      </c>
      <c r="U73" s="861">
        <v>2.75</v>
      </c>
      <c r="V73" s="18" t="s">
        <v>595</v>
      </c>
      <c r="W73" s="1017">
        <f t="shared" si="64"/>
        <v>2621.1384375000002</v>
      </c>
      <c r="X73" s="961" t="s">
        <v>1331</v>
      </c>
    </row>
    <row r="74" spans="2:24" ht="18.75" customHeight="1">
      <c r="B74" s="574" t="s">
        <v>1332</v>
      </c>
      <c r="D74" s="1013"/>
      <c r="E74" s="1012">
        <f>E73</f>
        <v>21</v>
      </c>
      <c r="F74" s="18" t="s">
        <v>1327</v>
      </c>
      <c r="G74" s="1004">
        <f>Pricing!D39</f>
        <v>100</v>
      </c>
      <c r="H74" s="18" t="s">
        <v>620</v>
      </c>
      <c r="J74" s="2850"/>
      <c r="K74" s="2850"/>
      <c r="O74" s="2792">
        <f>(IF(AND(E74&gt;0,E74&lt;4),E74*G74,0)+IF(AND(E74&gt;3,E74&lt;8),G74*3,0)+IF(AND(E74&gt;7,E74&lt;21),E74/7*G74*3,0)+IF(AND(E74&gt;20,E74&lt;30),G74*9,0)+IF(E74&gt;29,E74/30*G74*9,0))*(1+V$41+J$73)</f>
        <v>1424.25</v>
      </c>
      <c r="P74" s="2792"/>
      <c r="Q74" s="574" t="s">
        <v>615</v>
      </c>
      <c r="S74" s="959">
        <f>E39*4</f>
        <v>424</v>
      </c>
      <c r="T74" s="18" t="s">
        <v>1312</v>
      </c>
      <c r="U74" s="861">
        <v>3.25</v>
      </c>
      <c r="V74" s="18" t="s">
        <v>595</v>
      </c>
      <c r="W74" s="1017">
        <f t="shared" si="64"/>
        <v>1491.6849999999999</v>
      </c>
      <c r="X74" s="961" t="s">
        <v>1331</v>
      </c>
    </row>
    <row r="75" spans="2:24" ht="18.75" customHeight="1">
      <c r="B75" s="574" t="s">
        <v>1333</v>
      </c>
      <c r="D75" s="1013"/>
      <c r="E75" s="1012">
        <f>E74</f>
        <v>21</v>
      </c>
      <c r="F75" s="18" t="s">
        <v>1327</v>
      </c>
      <c r="G75" s="1004">
        <v>50</v>
      </c>
      <c r="H75" s="18" t="s">
        <v>620</v>
      </c>
      <c r="O75" s="2792">
        <f>(IF(AND(E75&gt;0,E75&lt;4),E75*G75,0)+IF(AND(E75&gt;3,E75&lt;8),G75*3,0)+IF(AND(E75&gt;7,E75&lt;21),E75/7*G75*3,0)+IF(AND(E75&gt;20,E75&lt;30),G75*9,0)+IF(E75&gt;29,E75/30*G75*9,0))</f>
        <v>450</v>
      </c>
      <c r="P75" s="2792"/>
      <c r="Q75" s="966" t="s">
        <v>554</v>
      </c>
      <c r="R75" s="373"/>
      <c r="S75" s="1005">
        <f>L53</f>
        <v>71736.479590893185</v>
      </c>
      <c r="T75" s="373" t="s">
        <v>1288</v>
      </c>
      <c r="U75" s="1006">
        <f>Pricing!Q14</f>
        <v>0.04</v>
      </c>
      <c r="V75" s="373" t="s">
        <v>555</v>
      </c>
      <c r="W75" s="1018">
        <f t="shared" si="64"/>
        <v>3106.189566285675</v>
      </c>
      <c r="X75" s="961" t="s">
        <v>1331</v>
      </c>
    </row>
    <row r="76" spans="2:24" ht="18.75" customHeight="1">
      <c r="B76" s="577" t="s">
        <v>1067</v>
      </c>
      <c r="C76" s="976"/>
      <c r="D76" s="1019"/>
      <c r="E76" s="1008">
        <f>E75</f>
        <v>21</v>
      </c>
      <c r="F76" s="976" t="s">
        <v>1327</v>
      </c>
      <c r="G76" s="1020">
        <v>35</v>
      </c>
      <c r="H76" s="976" t="s">
        <v>620</v>
      </c>
      <c r="I76" s="976"/>
      <c r="J76" s="976"/>
      <c r="K76" s="976"/>
      <c r="L76" s="976"/>
      <c r="M76" s="1021"/>
      <c r="N76" s="976"/>
      <c r="O76" s="2867">
        <f>E76*G76</f>
        <v>735</v>
      </c>
      <c r="P76" s="2867"/>
      <c r="Q76" s="574" t="s">
        <v>1334</v>
      </c>
      <c r="S76" s="959"/>
      <c r="T76" s="18" t="s">
        <v>1312</v>
      </c>
      <c r="U76" s="861"/>
      <c r="V76" s="18" t="s">
        <v>595</v>
      </c>
      <c r="W76" s="1017">
        <f t="shared" si="64"/>
        <v>0</v>
      </c>
      <c r="X76" s="961" t="s">
        <v>1335</v>
      </c>
    </row>
    <row r="77" spans="2:24" ht="18.75" customHeight="1">
      <c r="B77" s="1022" t="s">
        <v>1336</v>
      </c>
      <c r="C77" s="1023"/>
      <c r="D77" s="1023"/>
      <c r="E77" s="1023"/>
      <c r="F77" s="1023"/>
      <c r="G77" s="1023"/>
      <c r="H77" s="1023"/>
      <c r="I77" s="1023"/>
      <c r="J77" s="1023"/>
      <c r="K77" s="1023"/>
      <c r="L77" s="1023"/>
      <c r="M77" s="1023"/>
      <c r="N77" s="1023"/>
      <c r="O77" s="1023"/>
      <c r="P77" s="1024"/>
      <c r="Q77" s="574" t="s">
        <v>1337</v>
      </c>
      <c r="S77" s="959"/>
      <c r="T77" s="18" t="s">
        <v>1312</v>
      </c>
      <c r="U77" s="861"/>
      <c r="V77" s="18" t="s">
        <v>1338</v>
      </c>
      <c r="W77" s="1017">
        <f t="shared" si="64"/>
        <v>0</v>
      </c>
      <c r="X77" s="961" t="s">
        <v>1335</v>
      </c>
    </row>
    <row r="78" spans="2:24" ht="18.75" customHeight="1">
      <c r="B78" s="2978" t="s">
        <v>1339</v>
      </c>
      <c r="C78" s="2978"/>
      <c r="D78" s="1025" t="s">
        <v>1306</v>
      </c>
      <c r="E78" s="1026">
        <v>25</v>
      </c>
      <c r="F78" s="1027" t="s">
        <v>1312</v>
      </c>
      <c r="G78" s="2979">
        <f>IF(D78="Y",E39,0)</f>
        <v>106</v>
      </c>
      <c r="H78" s="2979"/>
      <c r="I78" s="983" t="s">
        <v>595</v>
      </c>
      <c r="J78" s="983"/>
      <c r="K78" s="983"/>
      <c r="L78" s="983"/>
      <c r="M78" s="983"/>
      <c r="N78" s="1028"/>
      <c r="O78" s="2829">
        <f t="shared" ref="O78:O83" si="66">E78*G78</f>
        <v>2650</v>
      </c>
      <c r="P78" s="2829"/>
      <c r="Q78" s="966" t="s">
        <v>1334</v>
      </c>
      <c r="R78" s="373"/>
      <c r="S78" s="1005"/>
      <c r="T78" s="373" t="s">
        <v>1312</v>
      </c>
      <c r="U78" s="1006"/>
      <c r="V78" s="373" t="s">
        <v>595</v>
      </c>
      <c r="W78" s="1017">
        <f t="shared" si="64"/>
        <v>0</v>
      </c>
      <c r="X78" s="961" t="s">
        <v>1335</v>
      </c>
    </row>
    <row r="79" spans="2:24" ht="18.75" customHeight="1">
      <c r="B79" s="2955" t="s">
        <v>1340</v>
      </c>
      <c r="C79" s="2955"/>
      <c r="D79" s="1013"/>
      <c r="E79" s="1029"/>
      <c r="F79" s="18" t="s">
        <v>1341</v>
      </c>
      <c r="G79" s="2980"/>
      <c r="H79" s="2980"/>
      <c r="I79" s="18" t="s">
        <v>1259</v>
      </c>
      <c r="J79" s="18" t="s">
        <v>788</v>
      </c>
      <c r="N79" s="1031"/>
      <c r="O79" s="2792">
        <f t="shared" si="66"/>
        <v>0</v>
      </c>
      <c r="P79" s="2792"/>
      <c r="Q79" s="574"/>
      <c r="S79" s="959"/>
      <c r="U79" s="861"/>
      <c r="W79" s="1032">
        <f t="shared" si="64"/>
        <v>0</v>
      </c>
      <c r="X79" s="961" t="s">
        <v>1342</v>
      </c>
    </row>
    <row r="80" spans="2:24" ht="18.75" customHeight="1">
      <c r="B80" s="2955" t="s">
        <v>1343</v>
      </c>
      <c r="C80" s="2955"/>
      <c r="D80" s="1033" t="s">
        <v>1306</v>
      </c>
      <c r="E80" s="1034">
        <v>20</v>
      </c>
      <c r="F80" s="1035" t="s">
        <v>1285</v>
      </c>
      <c r="G80" s="2980">
        <f>IF(D80="Y",SUM(L49:L52),0)</f>
        <v>632.69934059259276</v>
      </c>
      <c r="H80" s="2980"/>
      <c r="I80" s="18" t="s">
        <v>998</v>
      </c>
      <c r="N80" s="1031"/>
      <c r="O80" s="2792">
        <f t="shared" si="66"/>
        <v>12653.986811851855</v>
      </c>
      <c r="P80" s="2792"/>
      <c r="Q80" s="574" t="s">
        <v>646</v>
      </c>
      <c r="S80" s="959">
        <f>ROUNDUP(I57/300/55,0)</f>
        <v>1</v>
      </c>
      <c r="T80" s="18" t="s">
        <v>1344</v>
      </c>
      <c r="U80" s="861">
        <f>Pricing!Q44</f>
        <v>567.5</v>
      </c>
      <c r="V80" s="18" t="s">
        <v>647</v>
      </c>
      <c r="W80" s="974">
        <f t="shared" si="64"/>
        <v>614.31875000000002</v>
      </c>
      <c r="X80" s="961" t="s">
        <v>1342</v>
      </c>
    </row>
    <row r="81" spans="2:24" ht="18.75" customHeight="1">
      <c r="B81" s="2955" t="s">
        <v>1345</v>
      </c>
      <c r="C81" s="2955"/>
      <c r="D81" s="1033" t="s">
        <v>1306</v>
      </c>
      <c r="E81" s="1034">
        <v>4</v>
      </c>
      <c r="F81" s="861" t="s">
        <v>1285</v>
      </c>
      <c r="G81" s="2981">
        <f>IF(D81="Y",IF(S39=0,0,S39*1.3),0)</f>
        <v>822.50914277037066</v>
      </c>
      <c r="H81" s="2981"/>
      <c r="I81" s="18" t="s">
        <v>998</v>
      </c>
      <c r="N81" s="1031"/>
      <c r="O81" s="2792">
        <f t="shared" si="66"/>
        <v>3290.0365710814826</v>
      </c>
      <c r="P81" s="2792"/>
      <c r="Q81" s="966" t="s">
        <v>649</v>
      </c>
      <c r="R81" s="373"/>
      <c r="S81" s="1005">
        <f>CB94</f>
        <v>0</v>
      </c>
      <c r="T81" s="373" t="s">
        <v>1344</v>
      </c>
      <c r="U81" s="1006">
        <f>Pricing!Q45</f>
        <v>542</v>
      </c>
      <c r="V81" s="373" t="s">
        <v>647</v>
      </c>
      <c r="W81" s="974">
        <f t="shared" si="64"/>
        <v>0</v>
      </c>
      <c r="X81" s="961" t="s">
        <v>1342</v>
      </c>
    </row>
    <row r="82" spans="2:24" ht="18.75" customHeight="1">
      <c r="B82" s="2955" t="s">
        <v>1346</v>
      </c>
      <c r="C82" s="2955"/>
      <c r="E82" s="1036"/>
      <c r="F82" s="861" t="s">
        <v>1347</v>
      </c>
      <c r="G82" s="2982">
        <v>250</v>
      </c>
      <c r="H82" s="2982"/>
      <c r="I82" s="18" t="s">
        <v>620</v>
      </c>
      <c r="N82" s="774"/>
      <c r="O82" s="2792">
        <f t="shared" si="66"/>
        <v>0</v>
      </c>
      <c r="P82" s="2792"/>
      <c r="Q82" s="574"/>
      <c r="W82" s="1037"/>
      <c r="X82" s="1038"/>
    </row>
    <row r="83" spans="2:24" ht="18.75" customHeight="1">
      <c r="B83" s="2983" t="s">
        <v>1067</v>
      </c>
      <c r="C83" s="2983"/>
      <c r="D83" s="967"/>
      <c r="E83" s="1039"/>
      <c r="F83" s="373"/>
      <c r="G83" s="2984">
        <v>1000</v>
      </c>
      <c r="H83" s="2984"/>
      <c r="I83" s="373" t="s">
        <v>1348</v>
      </c>
      <c r="J83" s="373"/>
      <c r="K83" s="373"/>
      <c r="L83" s="373"/>
      <c r="M83" s="373"/>
      <c r="N83" s="1040"/>
      <c r="O83" s="2835">
        <f t="shared" si="66"/>
        <v>0</v>
      </c>
      <c r="P83" s="2835"/>
      <c r="Q83" s="2864" t="s">
        <v>1349</v>
      </c>
      <c r="R83" s="2864"/>
      <c r="S83" s="919">
        <v>18</v>
      </c>
      <c r="T83" s="18" t="s">
        <v>1350</v>
      </c>
      <c r="W83" s="1042"/>
      <c r="X83" s="1038"/>
    </row>
    <row r="84" spans="2:24" ht="18.75" customHeight="1">
      <c r="B84" s="1043" t="s">
        <v>1351</v>
      </c>
      <c r="C84" s="1044"/>
      <c r="D84" s="1045"/>
      <c r="E84" s="1046">
        <f>Summary!P60</f>
        <v>0</v>
      </c>
      <c r="F84" s="1047" t="s">
        <v>1352</v>
      </c>
      <c r="G84" s="2985">
        <f>(SUM(O78:P83)+SUM(O71:P76)+SUM(O66:P68)+SUM(O57:P63)+SUM(O49:P55)+W85+SUM(L57:M63))*E84</f>
        <v>0</v>
      </c>
      <c r="H84" s="2985"/>
      <c r="I84" s="1048" t="s">
        <v>1255</v>
      </c>
      <c r="J84" s="1048"/>
      <c r="K84" s="1048"/>
      <c r="L84" s="1048"/>
      <c r="M84" s="1048"/>
      <c r="N84" s="1049"/>
      <c r="O84" s="2986">
        <f>G84</f>
        <v>0</v>
      </c>
      <c r="P84" s="2986"/>
      <c r="Q84" s="577" t="s">
        <v>1353</v>
      </c>
      <c r="R84" s="976"/>
      <c r="S84" s="976">
        <f>ROUNDUP((S62+S66+S66)*12/S83,0)</f>
        <v>0</v>
      </c>
      <c r="T84" s="976" t="s">
        <v>1354</v>
      </c>
      <c r="U84" s="2871">
        <f>Pricing!D30</f>
        <v>1</v>
      </c>
      <c r="V84" s="2871"/>
      <c r="W84" s="703">
        <f>U84*S84</f>
        <v>0</v>
      </c>
      <c r="X84" s="961" t="s">
        <v>1072</v>
      </c>
    </row>
    <row r="85" spans="2:24" ht="18.75" customHeight="1">
      <c r="B85" s="396"/>
      <c r="C85" s="626"/>
      <c r="D85" s="626"/>
      <c r="E85" s="1051">
        <f>IF(G84=0,0,G84/T42)</f>
        <v>0</v>
      </c>
      <c r="F85" s="626"/>
      <c r="G85" s="626"/>
      <c r="H85" s="626"/>
      <c r="I85" s="626"/>
      <c r="J85" s="626"/>
      <c r="K85" s="626"/>
      <c r="L85" s="626"/>
      <c r="M85" s="626"/>
      <c r="N85" s="626"/>
      <c r="O85" s="626"/>
      <c r="P85" s="626"/>
      <c r="Q85" s="626"/>
      <c r="R85" s="626"/>
      <c r="S85" s="626"/>
      <c r="T85" s="626"/>
      <c r="U85" s="626"/>
      <c r="V85" s="626"/>
      <c r="W85" s="1052">
        <f>SUM(W49:W84)</f>
        <v>11270.295721445244</v>
      </c>
    </row>
    <row r="86" spans="2:24">
      <c r="B86" s="888"/>
      <c r="C86" s="889"/>
      <c r="D86" s="889"/>
      <c r="E86" s="889"/>
      <c r="F86" s="889"/>
      <c r="G86" s="889"/>
      <c r="H86" s="889"/>
      <c r="I86" s="889"/>
      <c r="J86" s="889"/>
      <c r="K86" s="889"/>
      <c r="L86" s="891"/>
      <c r="M86" s="889"/>
      <c r="N86" s="889"/>
      <c r="O86" s="889"/>
      <c r="P86" s="889"/>
      <c r="Q86" s="889"/>
      <c r="R86" s="889"/>
      <c r="S86" s="889"/>
      <c r="T86" s="889"/>
      <c r="U86" s="889"/>
      <c r="V86" s="889"/>
      <c r="W86" s="1053"/>
    </row>
    <row r="87" spans="2:24" ht="30.9">
      <c r="B87" s="2987" t="s">
        <v>1262</v>
      </c>
      <c r="C87" s="2987"/>
      <c r="D87" s="2987"/>
      <c r="E87" s="2987" t="s">
        <v>982</v>
      </c>
      <c r="F87" s="2987"/>
      <c r="G87" s="2987" t="s">
        <v>1263</v>
      </c>
      <c r="H87" s="2987"/>
      <c r="I87" s="2987"/>
      <c r="J87" s="1054" t="s">
        <v>1264</v>
      </c>
      <c r="K87" s="1055"/>
      <c r="L87" s="1056"/>
      <c r="M87" s="2789" t="s">
        <v>1265</v>
      </c>
      <c r="N87" s="2789"/>
      <c r="O87" s="1058"/>
      <c r="P87" s="1059"/>
      <c r="Q87" s="895"/>
      <c r="R87" s="574" t="s">
        <v>1266</v>
      </c>
      <c r="T87" s="18" t="s">
        <v>1267</v>
      </c>
      <c r="U87" s="1060" t="str">
        <f>T41</f>
        <v>N</v>
      </c>
      <c r="V87" s="793" t="s">
        <v>1268</v>
      </c>
      <c r="W87" s="1061">
        <f>V41</f>
        <v>8.2500000000000004E-2</v>
      </c>
    </row>
    <row r="88" spans="2:24" ht="15.45">
      <c r="B88" s="1062" t="s">
        <v>1269</v>
      </c>
      <c r="C88" s="2988">
        <f>C42</f>
        <v>146.89792541193668</v>
      </c>
      <c r="D88" s="2988"/>
      <c r="E88" s="2989">
        <f>E42</f>
        <v>344916.3288672273</v>
      </c>
      <c r="F88" s="2989"/>
      <c r="G88" s="901">
        <f>G42</f>
        <v>0.15254237288135591</v>
      </c>
      <c r="H88" s="2867">
        <f>H42</f>
        <v>52614.355250932975</v>
      </c>
      <c r="I88" s="2867"/>
      <c r="J88" s="2990">
        <f>J42</f>
        <v>2757.5657888329652</v>
      </c>
      <c r="K88" s="2990"/>
      <c r="L88" s="2990"/>
      <c r="M88" s="1063">
        <f>M42</f>
        <v>0.18</v>
      </c>
      <c r="N88" s="1064"/>
      <c r="O88" s="1064"/>
      <c r="P88" s="1065"/>
      <c r="Q88" s="1066"/>
      <c r="R88" s="902" t="s">
        <v>980</v>
      </c>
      <c r="U88" s="2942">
        <f>T42</f>
        <v>292301.97361629433</v>
      </c>
      <c r="V88" s="2942"/>
      <c r="W88" s="798"/>
    </row>
    <row r="89" spans="2:24">
      <c r="B89" s="904"/>
      <c r="C89" s="905"/>
      <c r="D89" s="905"/>
      <c r="E89" s="905"/>
      <c r="F89" s="905"/>
      <c r="G89" s="905"/>
      <c r="H89" s="905"/>
      <c r="I89" s="905"/>
      <c r="J89" s="905"/>
      <c r="K89" s="905"/>
      <c r="L89" s="905"/>
      <c r="M89" s="905"/>
      <c r="N89" s="905"/>
      <c r="O89" s="905"/>
      <c r="P89" s="905"/>
      <c r="Q89" s="905"/>
      <c r="R89" s="905"/>
      <c r="S89" s="905"/>
      <c r="T89" s="905"/>
      <c r="U89" s="905"/>
      <c r="V89" s="905"/>
      <c r="W89" s="913"/>
    </row>
    <row r="90" spans="2:24">
      <c r="B90" s="626"/>
      <c r="C90" s="626"/>
      <c r="D90" s="626"/>
      <c r="E90" s="626"/>
      <c r="F90" s="626"/>
      <c r="G90" s="626"/>
      <c r="H90" s="626"/>
      <c r="I90" s="626"/>
      <c r="J90" s="626"/>
      <c r="K90" s="626"/>
      <c r="L90" s="626"/>
      <c r="M90" s="626"/>
      <c r="N90" s="626"/>
      <c r="O90" s="626"/>
      <c r="P90" s="626"/>
      <c r="Q90" s="626"/>
      <c r="R90" s="626"/>
      <c r="S90" s="626"/>
      <c r="T90" s="626"/>
      <c r="U90" s="626"/>
      <c r="V90" s="626"/>
      <c r="W90" s="626"/>
    </row>
    <row r="91" spans="2:24">
      <c r="B91" s="626"/>
      <c r="C91" s="626"/>
      <c r="D91" s="626"/>
      <c r="E91" s="626"/>
      <c r="F91" s="626"/>
      <c r="G91" s="626"/>
      <c r="H91" s="626"/>
      <c r="I91" s="626"/>
      <c r="J91" s="626"/>
      <c r="K91" s="626"/>
      <c r="L91" s="626"/>
      <c r="M91" s="626"/>
      <c r="N91" s="626"/>
      <c r="O91" s="626"/>
      <c r="P91" s="626"/>
      <c r="Q91" s="626"/>
      <c r="R91" s="626"/>
      <c r="S91" s="626"/>
      <c r="T91" s="626"/>
      <c r="U91" s="626"/>
      <c r="V91" s="626"/>
      <c r="W91" s="626"/>
    </row>
    <row r="92" spans="2:24" ht="15.45">
      <c r="B92" s="677" t="s">
        <v>1055</v>
      </c>
      <c r="C92" s="983" t="s">
        <v>834</v>
      </c>
      <c r="D92" s="983"/>
      <c r="E92" s="1067">
        <f>E93-U88</f>
        <v>0</v>
      </c>
      <c r="F92" s="626"/>
      <c r="G92" s="626"/>
      <c r="H92" s="626"/>
      <c r="I92" s="626"/>
      <c r="J92" s="626"/>
      <c r="K92" s="626"/>
      <c r="L92" s="626"/>
      <c r="M92" s="626"/>
      <c r="N92" s="626"/>
      <c r="O92" s="626"/>
      <c r="P92" s="626"/>
      <c r="Q92" s="626"/>
      <c r="R92" s="626"/>
      <c r="S92" s="626"/>
      <c r="T92" s="626"/>
      <c r="U92" s="626"/>
      <c r="V92" s="626"/>
      <c r="W92" s="626"/>
    </row>
    <row r="93" spans="2:24">
      <c r="B93" s="1068" t="s">
        <v>1068</v>
      </c>
      <c r="D93" s="976"/>
      <c r="E93" s="1069">
        <f>SUM(E94:E152)-E127-E137</f>
        <v>292301.97361629433</v>
      </c>
      <c r="F93" s="626"/>
      <c r="G93" s="626"/>
      <c r="H93" s="626"/>
      <c r="I93" s="626"/>
      <c r="J93" s="626"/>
      <c r="K93" s="626"/>
      <c r="L93" s="626"/>
      <c r="M93" s="626"/>
      <c r="N93" s="626"/>
      <c r="O93" s="626"/>
      <c r="P93" s="626"/>
      <c r="Q93" s="626"/>
      <c r="R93" s="626"/>
      <c r="S93" s="626"/>
      <c r="T93" s="626"/>
      <c r="U93" s="626"/>
      <c r="V93" s="626"/>
      <c r="W93" s="626"/>
    </row>
    <row r="94" spans="2:24">
      <c r="B94" s="1070">
        <f>Summary!H74</f>
        <v>10001</v>
      </c>
      <c r="C94" s="751" t="str">
        <f>Summary!D74</f>
        <v>General Requirements</v>
      </c>
      <c r="D94" s="747"/>
      <c r="E94" s="1071"/>
    </row>
    <row r="95" spans="2:24">
      <c r="B95" s="1070">
        <f>Summary!H75</f>
        <v>10002</v>
      </c>
      <c r="C95" s="751" t="str">
        <f>Summary!D75</f>
        <v>Lumber</v>
      </c>
      <c r="D95" s="747"/>
      <c r="E95" s="1072">
        <f>SUM(W49:W67)</f>
        <v>2866.2164375000007</v>
      </c>
    </row>
    <row r="96" spans="2:24" ht="15" customHeight="1">
      <c r="B96" s="1070">
        <f>Summary!H76</f>
        <v>10003</v>
      </c>
      <c r="C96" s="751" t="str">
        <f>Summary!D76</f>
        <v>Sand Material</v>
      </c>
      <c r="D96" s="747"/>
      <c r="E96" s="1072"/>
    </row>
    <row r="97" spans="2:5" ht="15" customHeight="1">
      <c r="B97" s="1070">
        <f>Summary!H77</f>
        <v>10004</v>
      </c>
      <c r="C97" s="751" t="str">
        <f>Summary!D77</f>
        <v>Rock Material</v>
      </c>
      <c r="D97" s="747"/>
      <c r="E97" s="1072">
        <f>O55</f>
        <v>0</v>
      </c>
    </row>
    <row r="98" spans="2:5" ht="15" customHeight="1">
      <c r="B98" s="1070">
        <f>Summary!H78</f>
        <v>10005</v>
      </c>
      <c r="C98" s="751" t="str">
        <f>Summary!D78</f>
        <v>Reinforcement Material</v>
      </c>
      <c r="D98" s="747"/>
      <c r="E98" s="1072">
        <f>O53</f>
        <v>46592.843494285116</v>
      </c>
    </row>
    <row r="99" spans="2:5" ht="15" customHeight="1">
      <c r="B99" s="1070">
        <f>Summary!H79</f>
        <v>10006</v>
      </c>
      <c r="C99" s="751" t="str">
        <f>Summary!D79</f>
        <v>Reinforcement Accessories</v>
      </c>
      <c r="D99" s="747"/>
      <c r="E99" s="1072">
        <f>SUM(W73:W75)</f>
        <v>7219.0130037856752</v>
      </c>
    </row>
    <row r="100" spans="2:5" ht="15" customHeight="1">
      <c r="B100" s="1070">
        <f>Summary!H80</f>
        <v>10007</v>
      </c>
      <c r="C100" s="751" t="str">
        <f>Summary!D80</f>
        <v>PT Cables</v>
      </c>
      <c r="D100" s="747"/>
      <c r="E100" s="1072"/>
    </row>
    <row r="101" spans="2:5" ht="15" customHeight="1">
      <c r="B101" s="1070">
        <f>Summary!H81</f>
        <v>10008</v>
      </c>
      <c r="C101" s="751" t="str">
        <f>Summary!D81</f>
        <v>Concrete Material</v>
      </c>
      <c r="D101" s="747"/>
      <c r="E101" s="1072">
        <f>SUM(O49:P52)</f>
        <v>106159.04060967967</v>
      </c>
    </row>
    <row r="102" spans="2:5" ht="15" customHeight="1">
      <c r="B102" s="1070">
        <f>Summary!H82</f>
        <v>10009</v>
      </c>
      <c r="C102" s="751" t="str">
        <f>Summary!D82</f>
        <v>Carton Forms</v>
      </c>
      <c r="D102" s="747"/>
      <c r="E102" s="1072">
        <f>SUM(W76:W78)</f>
        <v>0</v>
      </c>
    </row>
    <row r="103" spans="2:5" ht="15" customHeight="1">
      <c r="B103" s="1070">
        <f>Summary!H83</f>
        <v>10010</v>
      </c>
      <c r="C103" s="751" t="str">
        <f>Summary!D83</f>
        <v>Cure/Sealers</v>
      </c>
      <c r="D103" s="747"/>
      <c r="E103" s="1072">
        <f>SUM(W79:W81)</f>
        <v>614.31875000000002</v>
      </c>
    </row>
    <row r="104" spans="2:5" ht="15" customHeight="1">
      <c r="B104" s="1070">
        <f>Summary!H84</f>
        <v>10011</v>
      </c>
      <c r="C104" s="751" t="str">
        <f>Summary!D84</f>
        <v>Patch/Grout</v>
      </c>
      <c r="D104" s="747"/>
      <c r="E104" s="1072"/>
    </row>
    <row r="105" spans="2:5" ht="15" customHeight="1">
      <c r="B105" s="1070">
        <f>Summary!H85</f>
        <v>10012</v>
      </c>
      <c r="C105" s="751" t="str">
        <f>Summary!D85</f>
        <v>Poly/Vapor Barrier</v>
      </c>
      <c r="D105" s="747"/>
      <c r="E105" s="1072"/>
    </row>
    <row r="106" spans="2:5" ht="15" customHeight="1">
      <c r="B106" s="1070">
        <f>Summary!H86</f>
        <v>10013</v>
      </c>
      <c r="C106" s="751" t="str">
        <f>Summary!D86</f>
        <v>Special Material</v>
      </c>
      <c r="D106" s="747"/>
      <c r="E106" s="1072">
        <f>W70</f>
        <v>0</v>
      </c>
    </row>
    <row r="107" spans="2:5" ht="15" customHeight="1">
      <c r="B107" s="1070">
        <f>Summary!H87</f>
        <v>10014</v>
      </c>
      <c r="C107" s="751" t="str">
        <f>Summary!D87</f>
        <v>Special Material</v>
      </c>
      <c r="D107" s="747"/>
      <c r="E107" s="1072">
        <f>W71</f>
        <v>0</v>
      </c>
    </row>
    <row r="108" spans="2:5" ht="15" customHeight="1">
      <c r="B108" s="1070">
        <f>Summary!H88</f>
        <v>10015</v>
      </c>
      <c r="C108" s="751" t="str">
        <f>Summary!D88</f>
        <v>PPE/Safety</v>
      </c>
      <c r="D108" s="747"/>
      <c r="E108" s="1072">
        <f>W72</f>
        <v>0</v>
      </c>
    </row>
    <row r="109" spans="2:5" ht="15" customHeight="1">
      <c r="B109" s="1070">
        <f>Summary!H89</f>
        <v>10020</v>
      </c>
      <c r="C109" s="751" t="str">
        <f>Summary!D89</f>
        <v>Supervision</v>
      </c>
      <c r="D109" s="747"/>
      <c r="E109" s="1072">
        <f>SUM(O66:P67)</f>
        <v>8875</v>
      </c>
    </row>
    <row r="110" spans="2:5" ht="15" customHeight="1">
      <c r="B110" s="1070">
        <f>Summary!H90</f>
        <v>10021</v>
      </c>
      <c r="C110" s="751" t="str">
        <f>Summary!D90</f>
        <v>Supervision Expense</v>
      </c>
      <c r="D110" s="747"/>
      <c r="E110" s="1072">
        <f>O68</f>
        <v>1500</v>
      </c>
    </row>
    <row r="111" spans="2:5" ht="15" customHeight="1">
      <c r="B111" s="1070">
        <f>Summary!H91</f>
        <v>10022</v>
      </c>
      <c r="C111" s="751" t="str">
        <f>Summary!D91</f>
        <v>Project Management</v>
      </c>
      <c r="D111" s="747"/>
      <c r="E111" s="1072">
        <f>O69</f>
        <v>2000</v>
      </c>
    </row>
    <row r="112" spans="2:5" ht="15" customHeight="1">
      <c r="B112" s="1070">
        <f>Summary!H92</f>
        <v>10023</v>
      </c>
      <c r="C112" s="751" t="str">
        <f>Summary!D92</f>
        <v>Labor Grade, Poly, Reinf.</v>
      </c>
      <c r="D112" s="747"/>
      <c r="E112" s="1072"/>
    </row>
    <row r="113" spans="2:5" ht="15" customHeight="1">
      <c r="B113" s="1070">
        <f>Summary!H93</f>
        <v>10024</v>
      </c>
      <c r="C113" s="751" t="str">
        <f>Summary!D93</f>
        <v>Labor Place &amp; Finish</v>
      </c>
      <c r="D113" s="747"/>
      <c r="E113" s="1072">
        <f>L58</f>
        <v>0</v>
      </c>
    </row>
    <row r="114" spans="2:5" ht="15" customHeight="1">
      <c r="B114" s="1070">
        <f>Summary!H94</f>
        <v>10025</v>
      </c>
      <c r="C114" s="751" t="str">
        <f>Summary!D94</f>
        <v>Labor Drops</v>
      </c>
      <c r="D114" s="747"/>
      <c r="E114" s="1072">
        <f>L59</f>
        <v>0</v>
      </c>
    </row>
    <row r="115" spans="2:5" ht="15" customHeight="1">
      <c r="B115" s="1070">
        <f>Summary!H95</f>
        <v>10026</v>
      </c>
      <c r="C115" s="751" t="str">
        <f>Summary!D95</f>
        <v>Labor Strip Forms</v>
      </c>
      <c r="D115" s="747"/>
      <c r="E115" s="1072">
        <f>L62</f>
        <v>0</v>
      </c>
    </row>
    <row r="116" spans="2:5" ht="15" customHeight="1">
      <c r="B116" s="1070">
        <f>Summary!H96</f>
        <v>10027</v>
      </c>
      <c r="C116" s="751" t="str">
        <f>Summary!D96</f>
        <v>Labor Burden</v>
      </c>
      <c r="D116" s="747"/>
      <c r="E116" s="1072"/>
    </row>
    <row r="117" spans="2:5" ht="15" customHeight="1">
      <c r="B117" s="1070">
        <f>Summary!H97</f>
        <v>10028</v>
      </c>
      <c r="C117" s="751" t="str">
        <f>Summary!D97</f>
        <v>Surveying</v>
      </c>
      <c r="D117" s="747"/>
      <c r="E117" s="1072">
        <f>O78</f>
        <v>2650</v>
      </c>
    </row>
    <row r="118" spans="2:5" ht="15" customHeight="1">
      <c r="B118" s="1070">
        <f>Summary!H98</f>
        <v>10030</v>
      </c>
      <c r="C118" s="751" t="str">
        <f>Summary!D98</f>
        <v>Pumping</v>
      </c>
      <c r="D118" s="747"/>
      <c r="E118" s="1072">
        <f>O80</f>
        <v>12653.986811851855</v>
      </c>
    </row>
    <row r="119" spans="2:5" ht="15" customHeight="1">
      <c r="B119" s="1070">
        <f>Summary!H99</f>
        <v>10031</v>
      </c>
      <c r="C119" s="751" t="str">
        <f>Summary!D99</f>
        <v>Earth Work/Excavation</v>
      </c>
      <c r="D119" s="747"/>
      <c r="E119" s="1072"/>
    </row>
    <row r="120" spans="2:5" ht="15" customHeight="1">
      <c r="B120" s="1070">
        <f>Summary!H100</f>
        <v>10032</v>
      </c>
      <c r="C120" s="751" t="str">
        <f>Summary!D100</f>
        <v>Drilling</v>
      </c>
      <c r="D120" s="747"/>
      <c r="E120" s="1072">
        <f>O54</f>
        <v>58032</v>
      </c>
    </row>
    <row r="121" spans="2:5" ht="15" customHeight="1">
      <c r="B121" s="1070">
        <f>Summary!H101</f>
        <v>10033</v>
      </c>
      <c r="C121" s="751" t="str">
        <f>Summary!D101</f>
        <v>Haul off</v>
      </c>
      <c r="D121" s="747"/>
      <c r="E121" s="1072">
        <f>O81+W69</f>
        <v>3860.7841012410508</v>
      </c>
    </row>
    <row r="122" spans="2:5" ht="15" customHeight="1">
      <c r="B122" s="1070">
        <f>Summary!H102</f>
        <v>10034</v>
      </c>
      <c r="C122" s="751" t="str">
        <f>Summary!D102</f>
        <v>Saw Cutting/Sealing</v>
      </c>
      <c r="D122" s="747"/>
      <c r="E122" s="1072"/>
    </row>
    <row r="123" spans="2:5" ht="15" customHeight="1">
      <c r="B123" s="1070">
        <f>Summary!H103</f>
        <v>10035</v>
      </c>
      <c r="C123" s="751" t="str">
        <f>Summary!D103</f>
        <v>Demolition</v>
      </c>
      <c r="D123" s="747"/>
      <c r="E123" s="1072">
        <f>O79</f>
        <v>0</v>
      </c>
    </row>
    <row r="124" spans="2:5" ht="15" customHeight="1">
      <c r="B124" s="1070">
        <f>Summary!H104</f>
        <v>10037</v>
      </c>
      <c r="C124" s="751" t="str">
        <f>Summary!D104</f>
        <v>Waterproofing</v>
      </c>
      <c r="D124" s="747"/>
      <c r="E124" s="1072"/>
    </row>
    <row r="125" spans="2:5" ht="15" customHeight="1">
      <c r="B125" s="1070">
        <f>Summary!H105</f>
        <v>10038</v>
      </c>
      <c r="C125" s="751" t="str">
        <f>Summary!D105</f>
        <v>Crain/Hoisting</v>
      </c>
      <c r="D125" s="747"/>
      <c r="E125" s="1072"/>
    </row>
    <row r="126" spans="2:5" ht="15" customHeight="1">
      <c r="B126" s="1073">
        <f>Summary!H106</f>
        <v>10039</v>
      </c>
      <c r="C126" s="1074" t="str">
        <f>Summary!D106</f>
        <v>Forming Systems</v>
      </c>
      <c r="D126" s="1075"/>
      <c r="E126" s="1076"/>
    </row>
    <row r="127" spans="2:5" ht="15" customHeight="1">
      <c r="B127" s="1077">
        <f>Summary!H107</f>
        <v>10040</v>
      </c>
      <c r="C127" s="1078" t="str">
        <f>Summary!D107</f>
        <v>Total Sub Labor</v>
      </c>
      <c r="D127" s="1040"/>
      <c r="E127" s="1079">
        <f>SUM(E128:E135)</f>
        <v>32040.707907950964</v>
      </c>
    </row>
    <row r="128" spans="2:5" ht="15" customHeight="1">
      <c r="B128" s="1080">
        <f>Summary!H108</f>
        <v>10041</v>
      </c>
      <c r="C128" s="746" t="str">
        <f>Summary!D108</f>
        <v>Labor Forming</v>
      </c>
      <c r="D128" s="747"/>
      <c r="E128" s="1071">
        <f>O57</f>
        <v>5300</v>
      </c>
    </row>
    <row r="129" spans="2:5" ht="15" customHeight="1">
      <c r="B129" s="1070">
        <f>Summary!H109</f>
        <v>10042</v>
      </c>
      <c r="C129" s="751" t="str">
        <f>Summary!D109</f>
        <v>Labor Grade, Poly, Reinf.</v>
      </c>
      <c r="D129" s="747"/>
      <c r="E129" s="1072">
        <f>O58</f>
        <v>5300</v>
      </c>
    </row>
    <row r="130" spans="2:5" ht="15" customHeight="1">
      <c r="B130" s="1070">
        <f>Summary!H110</f>
        <v>10043</v>
      </c>
      <c r="C130" s="751" t="str">
        <f>Summary!D110</f>
        <v>Labor Place &amp; Finish</v>
      </c>
      <c r="D130" s="747"/>
      <c r="E130" s="1072">
        <f>O59</f>
        <v>5300</v>
      </c>
    </row>
    <row r="131" spans="2:5" ht="15" customHeight="1">
      <c r="B131" s="1070">
        <f>Summary!H111</f>
        <v>10044</v>
      </c>
      <c r="C131" s="751" t="str">
        <f>Summary!D111</f>
        <v>Labor Drops</v>
      </c>
      <c r="D131" s="747"/>
      <c r="E131" s="1072">
        <f>O62</f>
        <v>0</v>
      </c>
    </row>
    <row r="132" spans="2:5" ht="15" customHeight="1">
      <c r="B132" s="1070">
        <f>Summary!H112</f>
        <v>10045</v>
      </c>
      <c r="C132" s="751" t="str">
        <f>Summary!D112</f>
        <v>Labor Strip Forms</v>
      </c>
      <c r="D132" s="747"/>
      <c r="E132" s="1072"/>
    </row>
    <row r="133" spans="2:5" ht="15" customHeight="1">
      <c r="B133" s="1070">
        <f>Summary!H113</f>
        <v>10046</v>
      </c>
      <c r="C133" s="751" t="str">
        <f>Summary!D113</f>
        <v>Labor Burden</v>
      </c>
      <c r="D133" s="747"/>
      <c r="E133" s="1072">
        <f>O61+L61+O60+L60</f>
        <v>16140.707907950966</v>
      </c>
    </row>
    <row r="134" spans="2:5" ht="15" customHeight="1">
      <c r="B134" s="1070">
        <f>Summary!H114</f>
        <v>10047</v>
      </c>
      <c r="C134" s="751" t="str">
        <f>Summary!D114</f>
        <v>Rebar</v>
      </c>
      <c r="D134" s="747"/>
      <c r="E134" s="1072"/>
    </row>
    <row r="135" spans="2:5" ht="15" customHeight="1">
      <c r="B135" s="1073">
        <f>Summary!H115</f>
        <v>10048</v>
      </c>
      <c r="C135" s="1074" t="str">
        <f>Summary!D115</f>
        <v>PT Installation</v>
      </c>
      <c r="D135" s="1075"/>
      <c r="E135" s="1076"/>
    </row>
    <row r="136" spans="2:5" ht="15" customHeight="1">
      <c r="B136" s="1073">
        <f>Summary!H116</f>
        <v>10049</v>
      </c>
      <c r="C136" s="1074" t="s">
        <v>1159</v>
      </c>
      <c r="D136" s="1075"/>
      <c r="E136" s="1076">
        <f>O63</f>
        <v>0</v>
      </c>
    </row>
    <row r="137" spans="2:5" ht="15" customHeight="1">
      <c r="B137" s="1077">
        <f>Summary!H117</f>
        <v>10060</v>
      </c>
      <c r="C137" s="1078" t="str">
        <f>Summary!D117</f>
        <v>Total Equipment Rental</v>
      </c>
      <c r="D137" s="1040"/>
      <c r="E137" s="1079">
        <f>SUM(E138:E143)</f>
        <v>7238.0625</v>
      </c>
    </row>
    <row r="138" spans="2:5" ht="15" customHeight="1">
      <c r="B138" s="1080">
        <f>Summary!H118</f>
        <v>10061</v>
      </c>
      <c r="C138" s="746" t="str">
        <f>Summary!D118</f>
        <v>SkyTrack</v>
      </c>
      <c r="D138" s="747"/>
      <c r="E138" s="1071">
        <f>O71/(1+$V$41+$J$73)</f>
        <v>0</v>
      </c>
    </row>
    <row r="139" spans="2:5" ht="15" customHeight="1">
      <c r="B139" s="1070">
        <f>Summary!H119</f>
        <v>10062</v>
      </c>
      <c r="C139" s="751" t="str">
        <f>Summary!D119</f>
        <v>Mini Excavator</v>
      </c>
      <c r="D139" s="747"/>
      <c r="E139" s="1071">
        <f>O72/(1+$V$41+$J$73)</f>
        <v>0</v>
      </c>
    </row>
    <row r="140" spans="2:5" ht="15" customHeight="1">
      <c r="B140" s="1070">
        <f>Summary!H120</f>
        <v>10063</v>
      </c>
      <c r="C140" s="751" t="str">
        <f>Summary!D120</f>
        <v>Trencher</v>
      </c>
      <c r="D140" s="747"/>
      <c r="E140" s="1071">
        <f>O73/(1+$V$41+$J$73)</f>
        <v>2925</v>
      </c>
    </row>
    <row r="141" spans="2:5" ht="15" customHeight="1">
      <c r="B141" s="1070">
        <f>Summary!H121</f>
        <v>10064</v>
      </c>
      <c r="C141" s="751" t="str">
        <f>Summary!D121</f>
        <v>Skid Steer</v>
      </c>
      <c r="D141" s="747"/>
      <c r="E141" s="1071">
        <f>O74/(1+$V$41+$J$73)</f>
        <v>900</v>
      </c>
    </row>
    <row r="142" spans="2:5" ht="15" customHeight="1">
      <c r="B142" s="1070">
        <f>Summary!H122</f>
        <v>10065</v>
      </c>
      <c r="C142" s="751" t="str">
        <f>Summary!D122</f>
        <v>General Equipment Rental</v>
      </c>
      <c r="D142" s="747"/>
      <c r="E142" s="1071">
        <f>(O75+O76)/(1+$V$41+$J$73)</f>
        <v>748.8151658767772</v>
      </c>
    </row>
    <row r="143" spans="2:5" ht="15" customHeight="1">
      <c r="B143" s="1070">
        <f>Summary!H123</f>
        <v>10066</v>
      </c>
      <c r="C143" s="751" t="str">
        <f>Summary!D123</f>
        <v>Fuel</v>
      </c>
      <c r="D143" s="747"/>
      <c r="E143" s="1072">
        <f>M73-SUM(E138:E142)</f>
        <v>2664.2473341232226</v>
      </c>
    </row>
    <row r="144" spans="2:5" ht="15" customHeight="1">
      <c r="B144" s="1070">
        <f>Summary!H124</f>
        <v>10067</v>
      </c>
      <c r="C144" s="751" t="str">
        <f>Summary!D124</f>
        <v>Purchased Tools</v>
      </c>
      <c r="D144" s="747"/>
      <c r="E144" s="1072"/>
    </row>
    <row r="145" spans="2:5" ht="15" customHeight="1">
      <c r="B145" s="1070">
        <f>Summary!H125</f>
        <v>10068</v>
      </c>
      <c r="C145" s="751" t="str">
        <f>Summary!D125</f>
        <v>Stolen/Damaged</v>
      </c>
      <c r="D145" s="747"/>
      <c r="E145" s="1072"/>
    </row>
    <row r="146" spans="2:5" ht="15" customHeight="1">
      <c r="B146" s="1070">
        <f>Summary!H126</f>
        <v>10070</v>
      </c>
      <c r="C146" s="751" t="str">
        <f>Summary!D126</f>
        <v>Out of Town Expense</v>
      </c>
      <c r="D146" s="747"/>
      <c r="E146" s="1072">
        <f>O82</f>
        <v>0</v>
      </c>
    </row>
    <row r="147" spans="2:5" ht="15" customHeight="1">
      <c r="B147" s="1070">
        <f>Summary!H127</f>
        <v>10071</v>
      </c>
      <c r="C147" s="751" t="str">
        <f>Summary!D127</f>
        <v>Miscellaneous</v>
      </c>
      <c r="D147" s="747"/>
      <c r="E147" s="1072">
        <f>O83</f>
        <v>0</v>
      </c>
    </row>
    <row r="148" spans="2:5" ht="15" customHeight="1">
      <c r="B148" s="1070">
        <f>Summary!H128</f>
        <v>10072</v>
      </c>
      <c r="C148" s="751" t="str">
        <f>Summary!D128</f>
        <v>Repairs</v>
      </c>
      <c r="D148" s="747"/>
      <c r="E148" s="1072"/>
    </row>
    <row r="149" spans="2:5" ht="15" customHeight="1">
      <c r="B149" s="1070">
        <f>Summary!H129</f>
        <v>10073</v>
      </c>
      <c r="C149" s="751" t="str">
        <f>Summary!D129</f>
        <v>Engineering</v>
      </c>
      <c r="D149" s="747"/>
      <c r="E149" s="1072"/>
    </row>
    <row r="150" spans="2:5" ht="15" customHeight="1">
      <c r="B150" s="1070">
        <f>Summary!H130</f>
        <v>10090</v>
      </c>
      <c r="C150" s="751" t="str">
        <f>Summary!D130</f>
        <v>Not Used</v>
      </c>
      <c r="D150" s="747"/>
      <c r="E150" s="1072"/>
    </row>
    <row r="151" spans="2:5" ht="15" customHeight="1">
      <c r="B151" s="1070">
        <f>Summary!H131</f>
        <v>10091</v>
      </c>
      <c r="C151" s="751" t="str">
        <f>Summary!D131</f>
        <v>Margin Contingency</v>
      </c>
      <c r="D151" s="747"/>
      <c r="E151" s="1072">
        <f>O84</f>
        <v>0</v>
      </c>
    </row>
  </sheetData>
  <mergeCells count="156">
    <mergeCell ref="U84:V84"/>
    <mergeCell ref="B87:D87"/>
    <mergeCell ref="E87:F87"/>
    <mergeCell ref="G87:I87"/>
    <mergeCell ref="M87:N87"/>
    <mergeCell ref="C88:D88"/>
    <mergeCell ref="E88:F88"/>
    <mergeCell ref="H88:I88"/>
    <mergeCell ref="J88:L88"/>
    <mergeCell ref="U88:V88"/>
    <mergeCell ref="B82:C82"/>
    <mergeCell ref="G82:H82"/>
    <mergeCell ref="O82:P82"/>
    <mergeCell ref="B83:C83"/>
    <mergeCell ref="G83:H83"/>
    <mergeCell ref="O83:P83"/>
    <mergeCell ref="Q83:R83"/>
    <mergeCell ref="G84:H84"/>
    <mergeCell ref="O84:P84"/>
    <mergeCell ref="B79:C79"/>
    <mergeCell ref="G79:H79"/>
    <mergeCell ref="O79:P79"/>
    <mergeCell ref="B80:C80"/>
    <mergeCell ref="G80:H80"/>
    <mergeCell ref="O80:P80"/>
    <mergeCell ref="B81:C81"/>
    <mergeCell ref="G81:H81"/>
    <mergeCell ref="O81:P81"/>
    <mergeCell ref="J73:K74"/>
    <mergeCell ref="M73:N73"/>
    <mergeCell ref="O73:P73"/>
    <mergeCell ref="O74:P74"/>
    <mergeCell ref="O75:P75"/>
    <mergeCell ref="O76:P76"/>
    <mergeCell ref="B78:C78"/>
    <mergeCell ref="G78:H78"/>
    <mergeCell ref="O78:P78"/>
    <mergeCell ref="M67:N67"/>
    <mergeCell ref="O67:P67"/>
    <mergeCell ref="O68:P68"/>
    <mergeCell ref="M69:N69"/>
    <mergeCell ref="O69:P69"/>
    <mergeCell ref="O71:P71"/>
    <mergeCell ref="J72:K72"/>
    <mergeCell ref="M72:N72"/>
    <mergeCell ref="O72:P72"/>
    <mergeCell ref="E63:F63"/>
    <mergeCell ref="I63:J63"/>
    <mergeCell ref="L63:M63"/>
    <mergeCell ref="O63:P63"/>
    <mergeCell ref="E64:F64"/>
    <mergeCell ref="I64:K64"/>
    <mergeCell ref="L64:M64"/>
    <mergeCell ref="O64:P64"/>
    <mergeCell ref="M66:N66"/>
    <mergeCell ref="O66:P66"/>
    <mergeCell ref="E60:F60"/>
    <mergeCell ref="I60:J60"/>
    <mergeCell ref="L60:M60"/>
    <mergeCell ref="O60:P60"/>
    <mergeCell ref="E61:F61"/>
    <mergeCell ref="I61:J61"/>
    <mergeCell ref="L61:M61"/>
    <mergeCell ref="O61:P61"/>
    <mergeCell ref="E62:F62"/>
    <mergeCell ref="I62:J62"/>
    <mergeCell ref="L62:M62"/>
    <mergeCell ref="O62:P62"/>
    <mergeCell ref="L56:M56"/>
    <mergeCell ref="N56:P56"/>
    <mergeCell ref="E57:F57"/>
    <mergeCell ref="H57:H59"/>
    <mergeCell ref="I57:J59"/>
    <mergeCell ref="K57:K59"/>
    <mergeCell ref="L57:M57"/>
    <mergeCell ref="O57:P57"/>
    <mergeCell ref="E58:F58"/>
    <mergeCell ref="L58:M58"/>
    <mergeCell ref="O58:P58"/>
    <mergeCell ref="E59:F59"/>
    <mergeCell ref="L59:M59"/>
    <mergeCell ref="O59:P59"/>
    <mergeCell ref="I53:J53"/>
    <mergeCell ref="L53:M53"/>
    <mergeCell ref="O53:P53"/>
    <mergeCell ref="F54:H54"/>
    <mergeCell ref="J54:K54"/>
    <mergeCell ref="L54:M54"/>
    <mergeCell ref="O54:P54"/>
    <mergeCell ref="L55:M55"/>
    <mergeCell ref="O55:P55"/>
    <mergeCell ref="D45:E45"/>
    <mergeCell ref="J45:K45"/>
    <mergeCell ref="D46:E46"/>
    <mergeCell ref="Q48:R48"/>
    <mergeCell ref="I49:J52"/>
    <mergeCell ref="K49:K52"/>
    <mergeCell ref="O49:P49"/>
    <mergeCell ref="Q49:R49"/>
    <mergeCell ref="O50:P50"/>
    <mergeCell ref="Q50:R50"/>
    <mergeCell ref="O51:P51"/>
    <mergeCell ref="O52:P52"/>
    <mergeCell ref="Q52:R52"/>
    <mergeCell ref="T42:U42"/>
    <mergeCell ref="E43:F43"/>
    <mergeCell ref="K43:L43"/>
    <mergeCell ref="N43:O43"/>
    <mergeCell ref="T43:U43"/>
    <mergeCell ref="D44:E44"/>
    <mergeCell ref="F44:G44"/>
    <mergeCell ref="J44:K44"/>
    <mergeCell ref="N44:O44"/>
    <mergeCell ref="B10:C10"/>
    <mergeCell ref="E40:F40"/>
    <mergeCell ref="H40:I40"/>
    <mergeCell ref="B41:D41"/>
    <mergeCell ref="E41:F41"/>
    <mergeCell ref="G41:I41"/>
    <mergeCell ref="J41:L41"/>
    <mergeCell ref="M41:O41"/>
    <mergeCell ref="C42:D42"/>
    <mergeCell ref="E42:F42"/>
    <mergeCell ref="H42:I42"/>
    <mergeCell ref="J42:L42"/>
    <mergeCell ref="M42:O42"/>
    <mergeCell ref="B9:J9"/>
    <mergeCell ref="K9:L9"/>
    <mergeCell ref="M9:N9"/>
    <mergeCell ref="O9:Q9"/>
    <mergeCell ref="R9:T9"/>
    <mergeCell ref="U9:W9"/>
    <mergeCell ref="X9:AA9"/>
    <mergeCell ref="BW9:CF9"/>
    <mergeCell ref="CH9:CL9"/>
    <mergeCell ref="J5:N5"/>
    <mergeCell ref="O5:P5"/>
    <mergeCell ref="Q5:R5"/>
    <mergeCell ref="D6:E6"/>
    <mergeCell ref="J6:N6"/>
    <mergeCell ref="O6:P6"/>
    <mergeCell ref="Q6:R6"/>
    <mergeCell ref="D7:E7"/>
    <mergeCell ref="J7:N7"/>
    <mergeCell ref="V1:W1"/>
    <mergeCell ref="B2:F2"/>
    <mergeCell ref="O2:P2"/>
    <mergeCell ref="Q2:R2"/>
    <mergeCell ref="B3:F3"/>
    <mergeCell ref="J3:N3"/>
    <mergeCell ref="O3:P3"/>
    <mergeCell ref="Q3:R3"/>
    <mergeCell ref="B4:F4"/>
    <mergeCell ref="J4:N4"/>
    <mergeCell ref="O4:P4"/>
    <mergeCell ref="Q4:R4"/>
  </mergeCells>
  <conditionalFormatting sqref="L48">
    <cfRule type="containsText" dxfId="18" priority="2" operator="containsText" text="Missing">
      <formula>NOT(ISERROR(SEARCH("Missing",L48)))</formula>
    </cfRule>
  </conditionalFormatting>
  <hyperlinks>
    <hyperlink ref="F69" r:id="rId1" xr:uid="{00000000-0004-0000-0400-000000000000}"/>
  </hyperlinks>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3" max="16383" man="1"/>
  </rowBreaks>
  <colBreaks count="1" manualBreakCount="1">
    <brk id="23"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B9CDE5"/>
    <pageSetUpPr fitToPage="1"/>
  </sheetPr>
  <dimension ref="B1:IZ158"/>
  <sheetViews>
    <sheetView zoomScale="65" zoomScaleNormal="65" workbookViewId="0">
      <selection activeCell="L34" sqref="L34"/>
    </sheetView>
  </sheetViews>
  <sheetFormatPr defaultColWidth="9.15234375" defaultRowHeight="15"/>
  <cols>
    <col min="1" max="1" width="4.15234375" style="18" customWidth="1"/>
    <col min="2" max="2" width="10.15234375" style="18" customWidth="1"/>
    <col min="3" max="3" width="10.4609375" style="18" customWidth="1"/>
    <col min="4" max="4" width="22.84375" style="18" customWidth="1"/>
    <col min="5" max="5" width="14.15234375" style="18" customWidth="1"/>
    <col min="6" max="7" width="15" style="18" customWidth="1"/>
    <col min="8" max="13" width="10.84375" style="18" customWidth="1"/>
    <col min="14" max="14" width="11.15234375" style="18" customWidth="1"/>
    <col min="15" max="15" width="14.15234375" style="18" customWidth="1"/>
    <col min="16" max="16" width="12.4609375" style="18" customWidth="1"/>
    <col min="17" max="17" width="16.84375" style="18" customWidth="1"/>
    <col min="18" max="22" width="10.84375" style="18" customWidth="1"/>
    <col min="23" max="24" width="20.84375" style="18" customWidth="1"/>
    <col min="25" max="25" width="14.4609375" style="2" customWidth="1"/>
    <col min="26" max="31" width="9.15234375" hidden="1"/>
    <col min="32" max="32" width="14.15234375" hidden="1" customWidth="1"/>
    <col min="33" max="50" width="9.15234375" hidden="1"/>
    <col min="51" max="51" width="21.15234375" hidden="1" customWidth="1"/>
    <col min="52" max="53" width="9.15234375" hidden="1"/>
    <col min="54" max="54" width="10.15234375" hidden="1" customWidth="1"/>
    <col min="55" max="57" width="9.15234375" hidden="1"/>
    <col min="58" max="58" width="11.53515625" hidden="1" customWidth="1"/>
    <col min="59" max="59" width="20.84375" hidden="1" customWidth="1"/>
    <col min="60" max="60" width="19" hidden="1" customWidth="1"/>
    <col min="61" max="61" width="20.84375" hidden="1" customWidth="1"/>
    <col min="62" max="62" width="16.84375" hidden="1" customWidth="1"/>
    <col min="63" max="63" width="9.15234375" hidden="1"/>
    <col min="64" max="64" width="26.53515625" hidden="1" customWidth="1"/>
    <col min="65" max="172" width="9.15234375" hidden="1"/>
    <col min="173" max="173" width="9.84375" customWidth="1"/>
    <col min="174" max="174" width="14" customWidth="1"/>
    <col min="176" max="176" width="11.53515625" customWidth="1"/>
    <col min="261" max="16384" width="9.15234375" style="18"/>
  </cols>
  <sheetData>
    <row r="1" spans="2:179" ht="15.75" customHeight="1">
      <c r="B1" s="677" t="s">
        <v>1355</v>
      </c>
      <c r="C1" s="983"/>
      <c r="D1" s="589"/>
      <c r="E1" s="589"/>
      <c r="F1" s="589"/>
      <c r="G1" s="589"/>
      <c r="H1" s="589"/>
      <c r="I1" s="589"/>
      <c r="J1" s="589"/>
      <c r="K1" s="589"/>
      <c r="L1" s="589"/>
      <c r="M1" s="589"/>
      <c r="N1" s="589"/>
      <c r="O1" s="589"/>
      <c r="P1" s="589"/>
      <c r="Q1" s="589"/>
      <c r="R1" s="589"/>
      <c r="S1" s="589"/>
      <c r="T1" s="589"/>
      <c r="U1" s="2991" t="s">
        <v>1193</v>
      </c>
      <c r="V1" s="2991"/>
      <c r="W1" s="2992">
        <v>37456</v>
      </c>
      <c r="X1" s="2992"/>
      <c r="Y1" s="1083"/>
    </row>
    <row r="2" spans="2:179" ht="26.25" customHeight="1">
      <c r="B2" s="2749" t="str">
        <f>Summary!C1</f>
        <v>Trammell Crow – LBJ</v>
      </c>
      <c r="C2" s="2749"/>
      <c r="D2" s="2749"/>
      <c r="E2" s="2749"/>
      <c r="F2" s="626"/>
      <c r="G2" s="626"/>
      <c r="H2" s="1084" t="s">
        <v>56</v>
      </c>
      <c r="I2" s="589"/>
      <c r="J2" s="983"/>
      <c r="K2" s="1085" t="s">
        <v>57</v>
      </c>
      <c r="L2" s="589"/>
      <c r="M2" s="589"/>
      <c r="N2" s="589"/>
      <c r="O2" s="2750" t="s">
        <v>1</v>
      </c>
      <c r="P2" s="2750"/>
      <c r="Q2" s="2993" t="s">
        <v>1194</v>
      </c>
      <c r="R2" s="2993"/>
      <c r="S2" s="626"/>
      <c r="T2" s="626"/>
      <c r="U2" s="795" t="s">
        <v>957</v>
      </c>
      <c r="V2" s="663"/>
      <c r="W2" s="796">
        <f>Information!C7</f>
        <v>0</v>
      </c>
      <c r="X2" s="797"/>
      <c r="Y2" s="1083"/>
      <c r="AA2" s="18"/>
      <c r="AB2" s="18"/>
      <c r="AC2" s="18"/>
      <c r="AD2" s="18"/>
      <c r="AE2" s="18"/>
      <c r="AF2" s="18"/>
    </row>
    <row r="3" spans="2:179" ht="18" customHeight="1">
      <c r="B3" s="2752">
        <f>Summary!C2</f>
        <v>0</v>
      </c>
      <c r="C3" s="2752"/>
      <c r="D3" s="2752"/>
      <c r="E3" s="2752"/>
      <c r="F3" s="626"/>
      <c r="G3" s="626"/>
      <c r="H3" s="1087"/>
      <c r="I3" s="1088" t="s">
        <v>955</v>
      </c>
      <c r="J3" s="2919">
        <f>Summary!K2</f>
        <v>0</v>
      </c>
      <c r="K3" s="2919"/>
      <c r="L3" s="2919"/>
      <c r="M3" s="2919"/>
      <c r="N3" s="2919"/>
      <c r="O3" s="2920">
        <f>Summary!O2</f>
        <v>0</v>
      </c>
      <c r="P3" s="2920"/>
      <c r="Q3" s="2994"/>
      <c r="R3" s="2994"/>
      <c r="S3" s="626"/>
      <c r="T3" s="626"/>
      <c r="U3" s="574"/>
      <c r="X3" s="798"/>
      <c r="Y3" s="1083"/>
    </row>
    <row r="4" spans="2:179" ht="18" customHeight="1">
      <c r="B4" s="2756" t="str">
        <f>Summary!C3</f>
        <v>Dallas, TX</v>
      </c>
      <c r="C4" s="2756"/>
      <c r="D4" s="2756"/>
      <c r="E4" s="2756"/>
      <c r="F4" s="626"/>
      <c r="G4" s="626"/>
      <c r="H4" s="396"/>
      <c r="I4" s="928" t="s">
        <v>71</v>
      </c>
      <c r="J4" s="2923">
        <f>Summary!K3</f>
        <v>0</v>
      </c>
      <c r="K4" s="2923"/>
      <c r="L4" s="2923"/>
      <c r="M4" s="2923"/>
      <c r="N4" s="2923"/>
      <c r="O4" s="2924">
        <f>Summary!O3</f>
        <v>0</v>
      </c>
      <c r="P4" s="2924"/>
      <c r="Q4" s="2995"/>
      <c r="R4" s="2995"/>
      <c r="S4" s="626"/>
      <c r="T4" s="626"/>
      <c r="U4" s="574" t="s">
        <v>958</v>
      </c>
      <c r="W4" s="799"/>
      <c r="X4" s="800"/>
      <c r="Y4" s="1083"/>
    </row>
    <row r="5" spans="2:179" ht="18" customHeight="1">
      <c r="B5" s="1068" t="s">
        <v>0</v>
      </c>
      <c r="C5" s="626"/>
      <c r="D5" s="380" t="s">
        <v>1</v>
      </c>
      <c r="F5" s="626"/>
      <c r="G5" s="626"/>
      <c r="H5" s="396"/>
      <c r="I5" s="928" t="s">
        <v>79</v>
      </c>
      <c r="J5" s="2923">
        <f>Summary!K4</f>
        <v>0</v>
      </c>
      <c r="K5" s="2923"/>
      <c r="L5" s="2923"/>
      <c r="M5" s="2923"/>
      <c r="N5" s="2923"/>
      <c r="O5" s="2924">
        <f>Summary!O4</f>
        <v>0</v>
      </c>
      <c r="P5" s="2924"/>
      <c r="Q5" s="2996"/>
      <c r="R5" s="2996"/>
      <c r="S5" s="626"/>
      <c r="T5" s="626"/>
      <c r="U5" s="574"/>
      <c r="X5" s="798"/>
      <c r="Y5" s="1083"/>
    </row>
    <row r="6" spans="2:179" ht="18" customHeight="1">
      <c r="B6" s="1089">
        <f>Summary!C5</f>
        <v>0</v>
      </c>
      <c r="C6" s="626"/>
      <c r="D6" s="2760">
        <f>Summary!E5</f>
        <v>0</v>
      </c>
      <c r="E6" s="2760"/>
      <c r="F6" s="626"/>
      <c r="G6" s="626"/>
      <c r="H6" s="653"/>
      <c r="I6" s="1090" t="s">
        <v>87</v>
      </c>
      <c r="J6" s="2926">
        <f>Summary!K5</f>
        <v>0</v>
      </c>
      <c r="K6" s="2926"/>
      <c r="L6" s="2926"/>
      <c r="M6" s="2926"/>
      <c r="N6" s="2926"/>
      <c r="O6" s="2927">
        <f>Summary!O5</f>
        <v>0</v>
      </c>
      <c r="P6" s="2927"/>
      <c r="Q6" s="2997"/>
      <c r="R6" s="2997"/>
      <c r="S6" s="626"/>
      <c r="T6" s="626"/>
      <c r="U6" s="577" t="s">
        <v>958</v>
      </c>
      <c r="V6" s="802"/>
      <c r="W6" s="802"/>
      <c r="X6" s="803"/>
      <c r="Y6" s="1083"/>
    </row>
    <row r="7" spans="2:179" ht="18" customHeight="1">
      <c r="B7" s="1091">
        <f>Summary!C6</f>
        <v>0</v>
      </c>
      <c r="C7" s="626"/>
      <c r="D7" s="2764">
        <f>Summary!E6</f>
        <v>0</v>
      </c>
      <c r="E7" s="2764"/>
      <c r="F7" s="626"/>
      <c r="G7" s="2765" t="s">
        <v>1196</v>
      </c>
      <c r="H7" s="2765"/>
      <c r="I7" s="2765"/>
      <c r="J7" s="2998" t="str">
        <f>Pricing!A3</f>
        <v>SRM</v>
      </c>
      <c r="K7" s="2998"/>
      <c r="L7" s="2998"/>
      <c r="M7" s="2998"/>
      <c r="N7" s="2998"/>
      <c r="O7" s="626"/>
      <c r="P7" s="626"/>
      <c r="Q7" s="626"/>
      <c r="R7" s="626"/>
      <c r="S7" s="626"/>
      <c r="T7" s="626"/>
      <c r="V7" s="626"/>
      <c r="W7" s="626"/>
      <c r="X7" s="1093"/>
      <c r="Y7" s="1083"/>
    </row>
    <row r="8" spans="2:179" ht="18" customHeight="1">
      <c r="B8" s="1094"/>
      <c r="C8" s="1095"/>
      <c r="D8" s="1095"/>
      <c r="E8" s="2999" t="s">
        <v>1209</v>
      </c>
      <c r="F8" s="2772" t="s">
        <v>1356</v>
      </c>
      <c r="G8" s="2772"/>
      <c r="H8" s="2772"/>
      <c r="I8" s="2772" t="s">
        <v>1357</v>
      </c>
      <c r="J8" s="2772"/>
      <c r="K8" s="2772" t="s">
        <v>1358</v>
      </c>
      <c r="L8" s="2772"/>
      <c r="M8" s="2772" t="s">
        <v>1359</v>
      </c>
      <c r="N8" s="2772"/>
      <c r="O8" s="2772" t="s">
        <v>1360</v>
      </c>
      <c r="P8" s="2772"/>
      <c r="Q8" s="2772" t="s">
        <v>1361</v>
      </c>
      <c r="R8" s="2772"/>
      <c r="S8" s="2772"/>
      <c r="T8" s="2772" t="s">
        <v>1362</v>
      </c>
      <c r="U8" s="2772"/>
      <c r="V8" s="2772"/>
      <c r="W8" s="3000" t="s">
        <v>1363</v>
      </c>
      <c r="X8" s="3001" t="s">
        <v>1219</v>
      </c>
      <c r="Y8" s="1083"/>
      <c r="AP8" t="s">
        <v>1364</v>
      </c>
      <c r="FT8" s="2936" t="s">
        <v>1021</v>
      </c>
      <c r="FU8" s="2936"/>
      <c r="FV8" s="2936"/>
      <c r="FW8" s="2936"/>
    </row>
    <row r="9" spans="2:179" ht="29.25" customHeight="1">
      <c r="B9" s="3002" t="s">
        <v>1365</v>
      </c>
      <c r="C9" s="3002"/>
      <c r="D9" s="3002"/>
      <c r="E9" s="2999"/>
      <c r="F9" s="1099" t="s">
        <v>1366</v>
      </c>
      <c r="G9" s="1100" t="s">
        <v>1367</v>
      </c>
      <c r="H9" s="1099" t="s">
        <v>1368</v>
      </c>
      <c r="I9" s="1100" t="s">
        <v>1369</v>
      </c>
      <c r="J9" s="1099" t="s">
        <v>1215</v>
      </c>
      <c r="K9" s="1100" t="s">
        <v>1369</v>
      </c>
      <c r="L9" s="1099" t="s">
        <v>1215</v>
      </c>
      <c r="M9" s="1100" t="s">
        <v>1369</v>
      </c>
      <c r="N9" s="1099" t="s">
        <v>1215</v>
      </c>
      <c r="O9" s="1100" t="s">
        <v>1215</v>
      </c>
      <c r="P9" s="1099" t="s">
        <v>1216</v>
      </c>
      <c r="Q9" s="1100" t="s">
        <v>1215</v>
      </c>
      <c r="R9" s="1101" t="s">
        <v>1216</v>
      </c>
      <c r="S9" s="1102" t="s">
        <v>1370</v>
      </c>
      <c r="T9" s="1103" t="s">
        <v>835</v>
      </c>
      <c r="U9" s="1104" t="s">
        <v>1371</v>
      </c>
      <c r="V9" s="1102" t="s">
        <v>1372</v>
      </c>
      <c r="W9" s="3000"/>
      <c r="X9" s="3001"/>
      <c r="Y9" s="1105" t="s">
        <v>1373</v>
      </c>
      <c r="AO9" t="s">
        <v>1374</v>
      </c>
      <c r="AP9" t="s">
        <v>1375</v>
      </c>
      <c r="AQ9" t="s">
        <v>1376</v>
      </c>
      <c r="AR9" t="s">
        <v>1377</v>
      </c>
      <c r="AS9" t="s">
        <v>1378</v>
      </c>
      <c r="AT9" t="s">
        <v>1379</v>
      </c>
      <c r="AU9" t="s">
        <v>1380</v>
      </c>
      <c r="AV9" t="s">
        <v>1381</v>
      </c>
      <c r="AW9" t="s">
        <v>1382</v>
      </c>
      <c r="AX9" t="s">
        <v>1383</v>
      </c>
      <c r="AY9" t="s">
        <v>1384</v>
      </c>
      <c r="AZ9" t="s">
        <v>1385</v>
      </c>
      <c r="BA9" t="s">
        <v>1386</v>
      </c>
      <c r="BB9" t="s">
        <v>1387</v>
      </c>
      <c r="BC9" t="s">
        <v>1362</v>
      </c>
      <c r="BF9" t="s">
        <v>577</v>
      </c>
      <c r="BG9" t="s">
        <v>1388</v>
      </c>
      <c r="BH9" t="s">
        <v>1389</v>
      </c>
      <c r="BI9" t="s">
        <v>1390</v>
      </c>
      <c r="BJ9" t="s">
        <v>1391</v>
      </c>
      <c r="BK9" t="s">
        <v>1392</v>
      </c>
      <c r="BL9" t="s">
        <v>1393</v>
      </c>
      <c r="FQ9" s="12" t="s">
        <v>1394</v>
      </c>
      <c r="FR9" s="12" t="s">
        <v>1395</v>
      </c>
      <c r="FT9" s="125" t="s">
        <v>1250</v>
      </c>
      <c r="FU9" s="12" t="s">
        <v>1396</v>
      </c>
      <c r="FV9" s="12" t="s">
        <v>1397</v>
      </c>
      <c r="FW9" s="126" t="s">
        <v>611</v>
      </c>
    </row>
    <row r="10" spans="2:179" ht="18" customHeight="1">
      <c r="B10" s="859"/>
      <c r="C10" s="77"/>
      <c r="D10" s="839"/>
      <c r="E10" s="1106"/>
      <c r="F10" s="1107"/>
      <c r="G10" s="1108"/>
      <c r="H10" s="1109"/>
      <c r="I10" s="1110"/>
      <c r="J10" s="1109"/>
      <c r="K10" s="1110"/>
      <c r="L10" s="1109"/>
      <c r="M10" s="1110"/>
      <c r="N10" s="1109"/>
      <c r="O10" s="1110"/>
      <c r="P10" s="1109"/>
      <c r="Q10" s="1110"/>
      <c r="R10" s="1111"/>
      <c r="S10" s="1109"/>
      <c r="T10" s="1112"/>
      <c r="U10" s="1113"/>
      <c r="V10" s="839"/>
      <c r="W10" s="1114">
        <f t="shared" ref="W10:W35" si="0">IF(P10=0,0,(F10*I10*J10/16*J10/16*10.680159)+((F10*K10*L10/16*L10/16*10.680159)+(M10*2*N10/16*N10/16*10.680159*F10)+((O10/16*O10/16)*3.145*0.2836*((((G10*2)+(H10*2))*F10*12/P10))))+(Q10/16*Q10/16*10.680159*(F10*12/IF(R10=0,1,R10))*S10))*(1+K$52)+(T10*U10*V10*H10*0.2836*0.03*(1+K$53))</f>
        <v>0</v>
      </c>
      <c r="X10" s="1114">
        <f t="shared" ref="X10:X35" si="1">((F10*G10/12*H10/324)+ROUNDUP(T10*U10*V10*H10/46656,0))*(1+K$48)</f>
        <v>0</v>
      </c>
      <c r="Y10" s="1115">
        <f t="shared" ref="Y10:Y35" si="2">IF(X10=0,0,E$40/X$36*X10)</f>
        <v>0</v>
      </c>
      <c r="AO10" s="1116">
        <f>IF($E10=1,$X10,0)</f>
        <v>0</v>
      </c>
      <c r="AP10" s="1116">
        <f t="shared" ref="AP10:AP35" si="3">IF($E10=2,X10,0)</f>
        <v>0</v>
      </c>
      <c r="AQ10" s="1116">
        <f t="shared" ref="AQ10:AQ35" si="4">IF($E10=3,X10,0)</f>
        <v>0</v>
      </c>
      <c r="AR10" s="1116">
        <f t="shared" ref="AR10:AR35" si="5">IF($E10=4,X10,0)</f>
        <v>0</v>
      </c>
      <c r="AS10" s="1116">
        <f t="shared" ref="AS10:AS35" si="6">IF($E10=5,X10,0)</f>
        <v>0</v>
      </c>
      <c r="AT10" s="1116">
        <f t="shared" ref="AT10:AT35" si="7">IF($E10=6,X10,0)</f>
        <v>0</v>
      </c>
      <c r="AU10" s="1116">
        <f t="shared" ref="AU10:AU35" si="8">IF($E10=7,X10,0)</f>
        <v>0</v>
      </c>
      <c r="AV10" s="1116">
        <f t="shared" ref="AV10:AV35" si="9">IF($E10=8,X10,0)</f>
        <v>0</v>
      </c>
      <c r="AW10" s="1116">
        <f t="shared" ref="AW10:AW35" si="10">IF($E10=9,X10,0)</f>
        <v>0</v>
      </c>
      <c r="AX10" s="1116">
        <f t="shared" ref="AX10:AX35" si="11">IF($E10=10,X10,0)</f>
        <v>0</v>
      </c>
      <c r="AY10" s="1116">
        <f t="shared" ref="AY10:AY35" si="12">SUM(AO10:AX10)</f>
        <v>0</v>
      </c>
      <c r="AZ10" s="847">
        <f t="shared" ref="AZ10:AZ35" si="13">W10</f>
        <v>0</v>
      </c>
      <c r="BA10">
        <f t="shared" ref="BA10:BA35" si="14">F10*H10/12*2</f>
        <v>0</v>
      </c>
      <c r="BB10">
        <f t="shared" ref="BB10:BB35" si="15">F10*H10/12</f>
        <v>0</v>
      </c>
      <c r="BC10">
        <f t="shared" ref="BC10:BC35" si="16">(V10+U10)*H10/144*T10</f>
        <v>0</v>
      </c>
      <c r="BF10" s="1116">
        <f t="shared" ref="BF10:BF35" si="17">W10*G$52*IF(U$39="N",(1+W$39),1)</f>
        <v>0</v>
      </c>
      <c r="BG10" s="1116">
        <f>(AO10*Pricing!F$3+'02-Gd Beams'!AP10*Pricing!G$3+'02-Gd Beams'!AQ10*Pricing!H$3+'02-Gd Beams'!AR10*Pricing!I$3+'02-Gd Beams'!AS10*Pricing!J$3+'02-Gd Beams'!AT10*Pricing!K$3)*IF(U$39="N",(1+W$39),1)</f>
        <v>0</v>
      </c>
      <c r="BH10" s="1116">
        <f t="shared" ref="BH10:BH35" si="18">BB10*H$63+E$73</f>
        <v>0</v>
      </c>
      <c r="BI10" s="1116">
        <f t="shared" ref="BI10:BI35" si="19">T10*E$62</f>
        <v>0</v>
      </c>
      <c r="BJ10" s="1116">
        <f t="shared" ref="BJ10:BJ35" si="20">W10/2000*E$67</f>
        <v>0</v>
      </c>
      <c r="BK10" s="1116">
        <f t="shared" ref="BK10:BK35" si="21">FT10+FV10</f>
        <v>0</v>
      </c>
      <c r="BL10" s="1116">
        <f>SUM(O73:P75)+SUM(O78:P83)+SUM(O85:P90)</f>
        <v>0</v>
      </c>
      <c r="FQ10" s="273" t="e">
        <f t="shared" ref="FQ10:FQ35" si="22">E$40/I$63*F10*H10/12</f>
        <v>#DIV/0!</v>
      </c>
      <c r="FR10" s="273" t="e">
        <f t="shared" ref="FR10:FR35" si="23">(Y10+FQ10)/2</f>
        <v>#DIV/0!</v>
      </c>
      <c r="FT10" s="172">
        <f t="shared" ref="FT10:FT35" si="24">ROUND(F10*H10/324*H10/12+X10,0)</f>
        <v>0</v>
      </c>
      <c r="FU10" s="847">
        <f t="shared" ref="FU10:FU35" si="25">ROUND(W10,0)</f>
        <v>0</v>
      </c>
      <c r="FV10" s="334">
        <f t="shared" ref="FV10:FV35" si="26">ROUND(F10*H10/324*H10/12,0)</f>
        <v>0</v>
      </c>
      <c r="FW10" s="247">
        <f t="shared" ref="FW10:FW35" si="27">ROUND(F10*H10/12+(U10+V10*H10/144*T10),0)</f>
        <v>0</v>
      </c>
    </row>
    <row r="11" spans="2:179" ht="18" customHeight="1">
      <c r="B11" s="859"/>
      <c r="C11" s="77"/>
      <c r="D11" s="839"/>
      <c r="E11" s="1106"/>
      <c r="F11" s="1107"/>
      <c r="G11" s="1108"/>
      <c r="H11" s="1109"/>
      <c r="I11" s="1110"/>
      <c r="J11" s="1109"/>
      <c r="K11" s="1110"/>
      <c r="L11" s="1109"/>
      <c r="M11" s="1110"/>
      <c r="N11" s="1109"/>
      <c r="O11" s="1110"/>
      <c r="P11" s="1109"/>
      <c r="Q11" s="1110"/>
      <c r="R11" s="1111"/>
      <c r="S11" s="1109"/>
      <c r="T11" s="1112"/>
      <c r="U11" s="1113"/>
      <c r="V11" s="839"/>
      <c r="W11" s="1114">
        <f t="shared" si="0"/>
        <v>0</v>
      </c>
      <c r="X11" s="1114">
        <f t="shared" si="1"/>
        <v>0</v>
      </c>
      <c r="Y11" s="1115">
        <f t="shared" si="2"/>
        <v>0</v>
      </c>
      <c r="AO11" s="1116">
        <f t="shared" ref="AO11:AO35" si="28">IF(E11=1,X11,0)</f>
        <v>0</v>
      </c>
      <c r="AP11" s="1116">
        <f t="shared" si="3"/>
        <v>0</v>
      </c>
      <c r="AQ11" s="1116">
        <f t="shared" si="4"/>
        <v>0</v>
      </c>
      <c r="AR11" s="1116">
        <f t="shared" si="5"/>
        <v>0</v>
      </c>
      <c r="AS11" s="1116">
        <f t="shared" si="6"/>
        <v>0</v>
      </c>
      <c r="AT11" s="1116">
        <f t="shared" si="7"/>
        <v>0</v>
      </c>
      <c r="AU11" s="1116">
        <f t="shared" si="8"/>
        <v>0</v>
      </c>
      <c r="AV11" s="1116">
        <f t="shared" si="9"/>
        <v>0</v>
      </c>
      <c r="AW11" s="1116">
        <f t="shared" si="10"/>
        <v>0</v>
      </c>
      <c r="AX11" s="1116">
        <f t="shared" si="11"/>
        <v>0</v>
      </c>
      <c r="AY11" s="1116">
        <f t="shared" si="12"/>
        <v>0</v>
      </c>
      <c r="AZ11" s="847">
        <f t="shared" si="13"/>
        <v>0</v>
      </c>
      <c r="BA11">
        <f t="shared" si="14"/>
        <v>0</v>
      </c>
      <c r="BB11">
        <f t="shared" si="15"/>
        <v>0</v>
      </c>
      <c r="BC11">
        <f t="shared" si="16"/>
        <v>0</v>
      </c>
      <c r="BF11" s="1116">
        <f t="shared" si="17"/>
        <v>0</v>
      </c>
      <c r="BG11" s="1116">
        <f>(AO11*Pricing!F$3+'02-Gd Beams'!AP11*Pricing!G$3+'02-Gd Beams'!AQ11*Pricing!H$3+'02-Gd Beams'!AR11*Pricing!I$3+'02-Gd Beams'!AS11*Pricing!J$3+'02-Gd Beams'!AT11*Pricing!K$3)*IF(U$39="N",(1+W$39),1)</f>
        <v>0</v>
      </c>
      <c r="BH11" s="1116">
        <f t="shared" si="18"/>
        <v>0</v>
      </c>
      <c r="BI11" s="1116">
        <f t="shared" si="19"/>
        <v>0</v>
      </c>
      <c r="BJ11" s="1116">
        <f t="shared" si="20"/>
        <v>0</v>
      </c>
      <c r="BK11" s="1116">
        <f t="shared" si="21"/>
        <v>0</v>
      </c>
      <c r="BL11" s="1116"/>
      <c r="FQ11" s="273" t="e">
        <f t="shared" si="22"/>
        <v>#DIV/0!</v>
      </c>
      <c r="FR11" s="273" t="e">
        <f t="shared" si="23"/>
        <v>#DIV/0!</v>
      </c>
      <c r="FT11" s="172">
        <f t="shared" si="24"/>
        <v>0</v>
      </c>
      <c r="FU11" s="847">
        <f t="shared" si="25"/>
        <v>0</v>
      </c>
      <c r="FV11" s="334">
        <f t="shared" si="26"/>
        <v>0</v>
      </c>
      <c r="FW11" s="247">
        <f t="shared" si="27"/>
        <v>0</v>
      </c>
    </row>
    <row r="12" spans="2:179" ht="18" customHeight="1">
      <c r="B12" s="859"/>
      <c r="C12" s="77"/>
      <c r="D12" s="839"/>
      <c r="E12" s="1106"/>
      <c r="F12" s="1107"/>
      <c r="G12" s="1108"/>
      <c r="H12" s="1109"/>
      <c r="I12" s="1110"/>
      <c r="J12" s="1109"/>
      <c r="K12" s="1110"/>
      <c r="L12" s="1109"/>
      <c r="M12" s="1110"/>
      <c r="N12" s="1109"/>
      <c r="O12" s="1110"/>
      <c r="P12" s="1109"/>
      <c r="Q12" s="1110"/>
      <c r="R12" s="1111"/>
      <c r="S12" s="1109"/>
      <c r="T12" s="1112"/>
      <c r="U12" s="1113"/>
      <c r="V12" s="839"/>
      <c r="W12" s="1114">
        <f t="shared" si="0"/>
        <v>0</v>
      </c>
      <c r="X12" s="1114">
        <f t="shared" si="1"/>
        <v>0</v>
      </c>
      <c r="Y12" s="1115">
        <f t="shared" si="2"/>
        <v>0</v>
      </c>
      <c r="AO12" s="1116">
        <f t="shared" si="28"/>
        <v>0</v>
      </c>
      <c r="AP12" s="1116">
        <f t="shared" si="3"/>
        <v>0</v>
      </c>
      <c r="AQ12" s="1116">
        <f t="shared" si="4"/>
        <v>0</v>
      </c>
      <c r="AR12" s="1116">
        <f t="shared" si="5"/>
        <v>0</v>
      </c>
      <c r="AS12" s="1116">
        <f t="shared" si="6"/>
        <v>0</v>
      </c>
      <c r="AT12" s="1116">
        <f t="shared" si="7"/>
        <v>0</v>
      </c>
      <c r="AU12" s="1116">
        <f t="shared" si="8"/>
        <v>0</v>
      </c>
      <c r="AV12" s="1116">
        <f t="shared" si="9"/>
        <v>0</v>
      </c>
      <c r="AW12" s="1116">
        <f t="shared" si="10"/>
        <v>0</v>
      </c>
      <c r="AX12" s="1116">
        <f t="shared" si="11"/>
        <v>0</v>
      </c>
      <c r="AY12" s="1116">
        <f t="shared" si="12"/>
        <v>0</v>
      </c>
      <c r="AZ12" s="847">
        <f t="shared" si="13"/>
        <v>0</v>
      </c>
      <c r="BA12">
        <f t="shared" si="14"/>
        <v>0</v>
      </c>
      <c r="BB12">
        <f t="shared" si="15"/>
        <v>0</v>
      </c>
      <c r="BC12">
        <f t="shared" si="16"/>
        <v>0</v>
      </c>
      <c r="BF12" s="1116">
        <f t="shared" si="17"/>
        <v>0</v>
      </c>
      <c r="BG12" s="1116">
        <f>(AO12*Pricing!F$3+'02-Gd Beams'!AP12*Pricing!G$3+'02-Gd Beams'!AQ12*Pricing!H$3+'02-Gd Beams'!AR12*Pricing!I$3+'02-Gd Beams'!AS12*Pricing!J$3+'02-Gd Beams'!AT12*Pricing!K$3)*IF(U$39="N",(1+W$39),1)</f>
        <v>0</v>
      </c>
      <c r="BH12" s="1116">
        <f t="shared" si="18"/>
        <v>0</v>
      </c>
      <c r="BI12" s="1116">
        <f t="shared" si="19"/>
        <v>0</v>
      </c>
      <c r="BJ12" s="1116">
        <f t="shared" si="20"/>
        <v>0</v>
      </c>
      <c r="BK12" s="1116">
        <f t="shared" si="21"/>
        <v>0</v>
      </c>
      <c r="BL12" s="1116"/>
      <c r="FQ12" s="273" t="e">
        <f t="shared" si="22"/>
        <v>#DIV/0!</v>
      </c>
      <c r="FR12" s="273" t="e">
        <f t="shared" si="23"/>
        <v>#DIV/0!</v>
      </c>
      <c r="FT12" s="172">
        <f t="shared" si="24"/>
        <v>0</v>
      </c>
      <c r="FU12" s="847">
        <f t="shared" si="25"/>
        <v>0</v>
      </c>
      <c r="FV12" s="334">
        <f t="shared" si="26"/>
        <v>0</v>
      </c>
      <c r="FW12" s="247">
        <f t="shared" si="27"/>
        <v>0</v>
      </c>
    </row>
    <row r="13" spans="2:179" ht="18" customHeight="1">
      <c r="B13" s="859"/>
      <c r="C13" s="77"/>
      <c r="D13" s="839"/>
      <c r="E13" s="1106"/>
      <c r="F13" s="1107"/>
      <c r="G13" s="1108"/>
      <c r="H13" s="1109"/>
      <c r="I13" s="1110"/>
      <c r="J13" s="1109"/>
      <c r="K13" s="1110"/>
      <c r="L13" s="1109"/>
      <c r="M13" s="1110"/>
      <c r="N13" s="1109"/>
      <c r="O13" s="1110"/>
      <c r="P13" s="1109"/>
      <c r="Q13" s="1110"/>
      <c r="R13" s="1111"/>
      <c r="S13" s="1109"/>
      <c r="T13" s="1112"/>
      <c r="U13" s="1113"/>
      <c r="V13" s="839"/>
      <c r="W13" s="1114">
        <f t="shared" si="0"/>
        <v>0</v>
      </c>
      <c r="X13" s="1114">
        <f t="shared" si="1"/>
        <v>0</v>
      </c>
      <c r="Y13" s="1115">
        <f t="shared" si="2"/>
        <v>0</v>
      </c>
      <c r="AO13" s="1116">
        <f t="shared" si="28"/>
        <v>0</v>
      </c>
      <c r="AP13" s="1116">
        <f t="shared" si="3"/>
        <v>0</v>
      </c>
      <c r="AQ13" s="1116">
        <f t="shared" si="4"/>
        <v>0</v>
      </c>
      <c r="AR13" s="1116">
        <f t="shared" si="5"/>
        <v>0</v>
      </c>
      <c r="AS13" s="1116">
        <f t="shared" si="6"/>
        <v>0</v>
      </c>
      <c r="AT13" s="1116">
        <f t="shared" si="7"/>
        <v>0</v>
      </c>
      <c r="AU13" s="1116">
        <f t="shared" si="8"/>
        <v>0</v>
      </c>
      <c r="AV13" s="1116">
        <f t="shared" si="9"/>
        <v>0</v>
      </c>
      <c r="AW13" s="1116">
        <f t="shared" si="10"/>
        <v>0</v>
      </c>
      <c r="AX13" s="1116">
        <f t="shared" si="11"/>
        <v>0</v>
      </c>
      <c r="AY13" s="1116">
        <f t="shared" si="12"/>
        <v>0</v>
      </c>
      <c r="AZ13" s="847">
        <f t="shared" si="13"/>
        <v>0</v>
      </c>
      <c r="BA13">
        <f t="shared" si="14"/>
        <v>0</v>
      </c>
      <c r="BB13">
        <f t="shared" si="15"/>
        <v>0</v>
      </c>
      <c r="BC13">
        <f t="shared" si="16"/>
        <v>0</v>
      </c>
      <c r="BF13" s="1116">
        <f t="shared" si="17"/>
        <v>0</v>
      </c>
      <c r="BG13" s="1116">
        <f>(AO13*Pricing!F$3+'02-Gd Beams'!AP13*Pricing!G$3+'02-Gd Beams'!AQ13*Pricing!H$3+'02-Gd Beams'!AR13*Pricing!I$3+'02-Gd Beams'!AS13*Pricing!J$3+'02-Gd Beams'!AT13*Pricing!K$3)*IF(U$39="N",(1+W$39),1)</f>
        <v>0</v>
      </c>
      <c r="BH13" s="1116">
        <f t="shared" si="18"/>
        <v>0</v>
      </c>
      <c r="BI13" s="1116">
        <f t="shared" si="19"/>
        <v>0</v>
      </c>
      <c r="BJ13" s="1116">
        <f t="shared" si="20"/>
        <v>0</v>
      </c>
      <c r="BK13" s="1116">
        <f t="shared" si="21"/>
        <v>0</v>
      </c>
      <c r="BL13" s="1116"/>
      <c r="FQ13" s="273" t="e">
        <f t="shared" si="22"/>
        <v>#DIV/0!</v>
      </c>
      <c r="FR13" s="273" t="e">
        <f t="shared" si="23"/>
        <v>#DIV/0!</v>
      </c>
      <c r="FT13" s="172">
        <f t="shared" si="24"/>
        <v>0</v>
      </c>
      <c r="FU13" s="847">
        <f t="shared" si="25"/>
        <v>0</v>
      </c>
      <c r="FV13" s="334">
        <f t="shared" si="26"/>
        <v>0</v>
      </c>
      <c r="FW13" s="247">
        <f t="shared" si="27"/>
        <v>0</v>
      </c>
    </row>
    <row r="14" spans="2:179" ht="18" customHeight="1">
      <c r="B14" s="859"/>
      <c r="C14" s="77"/>
      <c r="D14" s="839"/>
      <c r="E14" s="1106"/>
      <c r="F14" s="1107"/>
      <c r="G14" s="1108"/>
      <c r="H14" s="1109"/>
      <c r="I14" s="1110"/>
      <c r="J14" s="1109"/>
      <c r="K14" s="1110"/>
      <c r="L14" s="1109"/>
      <c r="M14" s="1110"/>
      <c r="N14" s="1109"/>
      <c r="O14" s="1110"/>
      <c r="P14" s="1109"/>
      <c r="Q14" s="1110"/>
      <c r="R14" s="1111"/>
      <c r="S14" s="1109"/>
      <c r="T14" s="1112"/>
      <c r="U14" s="1113"/>
      <c r="V14" s="839"/>
      <c r="W14" s="1114">
        <f t="shared" si="0"/>
        <v>0</v>
      </c>
      <c r="X14" s="1114">
        <f t="shared" si="1"/>
        <v>0</v>
      </c>
      <c r="Y14" s="1115">
        <f t="shared" si="2"/>
        <v>0</v>
      </c>
      <c r="AO14" s="1116">
        <f t="shared" si="28"/>
        <v>0</v>
      </c>
      <c r="AP14" s="1116">
        <f t="shared" si="3"/>
        <v>0</v>
      </c>
      <c r="AQ14" s="1116">
        <f t="shared" si="4"/>
        <v>0</v>
      </c>
      <c r="AR14" s="1116">
        <f t="shared" si="5"/>
        <v>0</v>
      </c>
      <c r="AS14" s="1116">
        <f t="shared" si="6"/>
        <v>0</v>
      </c>
      <c r="AT14" s="1116">
        <f t="shared" si="7"/>
        <v>0</v>
      </c>
      <c r="AU14" s="1116">
        <f t="shared" si="8"/>
        <v>0</v>
      </c>
      <c r="AV14" s="1116">
        <f t="shared" si="9"/>
        <v>0</v>
      </c>
      <c r="AW14" s="1116">
        <f t="shared" si="10"/>
        <v>0</v>
      </c>
      <c r="AX14" s="1116">
        <f t="shared" si="11"/>
        <v>0</v>
      </c>
      <c r="AY14" s="1116">
        <f t="shared" si="12"/>
        <v>0</v>
      </c>
      <c r="AZ14" s="847">
        <f t="shared" si="13"/>
        <v>0</v>
      </c>
      <c r="BA14">
        <f t="shared" si="14"/>
        <v>0</v>
      </c>
      <c r="BB14">
        <f t="shared" si="15"/>
        <v>0</v>
      </c>
      <c r="BC14">
        <f t="shared" si="16"/>
        <v>0</v>
      </c>
      <c r="BF14" s="1116">
        <f t="shared" si="17"/>
        <v>0</v>
      </c>
      <c r="BG14" s="1116">
        <f>(AO14*Pricing!F$3+'02-Gd Beams'!AP14*Pricing!G$3+'02-Gd Beams'!AQ14*Pricing!H$3+'02-Gd Beams'!AR14*Pricing!I$3+'02-Gd Beams'!AS14*Pricing!J$3+'02-Gd Beams'!AT14*Pricing!K$3)*IF(U$39="N",(1+W$39),1)</f>
        <v>0</v>
      </c>
      <c r="BH14" s="1116">
        <f t="shared" si="18"/>
        <v>0</v>
      </c>
      <c r="BI14" s="1116">
        <f t="shared" si="19"/>
        <v>0</v>
      </c>
      <c r="BJ14" s="1116">
        <f t="shared" si="20"/>
        <v>0</v>
      </c>
      <c r="BK14" s="1116">
        <f t="shared" si="21"/>
        <v>0</v>
      </c>
      <c r="BL14" s="1116"/>
      <c r="FQ14" s="273" t="e">
        <f t="shared" si="22"/>
        <v>#DIV/0!</v>
      </c>
      <c r="FR14" s="273" t="e">
        <f t="shared" si="23"/>
        <v>#DIV/0!</v>
      </c>
      <c r="FT14" s="172">
        <f t="shared" si="24"/>
        <v>0</v>
      </c>
      <c r="FU14" s="847">
        <f t="shared" si="25"/>
        <v>0</v>
      </c>
      <c r="FV14" s="334">
        <f t="shared" si="26"/>
        <v>0</v>
      </c>
      <c r="FW14" s="247">
        <f t="shared" si="27"/>
        <v>0</v>
      </c>
    </row>
    <row r="15" spans="2:179" ht="18" customHeight="1">
      <c r="B15" s="859"/>
      <c r="C15" s="77"/>
      <c r="D15" s="839"/>
      <c r="E15" s="1106"/>
      <c r="F15" s="1107"/>
      <c r="G15" s="1108"/>
      <c r="H15" s="1109"/>
      <c r="I15" s="1110"/>
      <c r="J15" s="1109"/>
      <c r="K15" s="1110"/>
      <c r="L15" s="1109"/>
      <c r="M15" s="1110"/>
      <c r="N15" s="1109"/>
      <c r="O15" s="1110"/>
      <c r="P15" s="1109"/>
      <c r="Q15" s="1110"/>
      <c r="R15" s="1111"/>
      <c r="S15" s="1109"/>
      <c r="T15" s="1112"/>
      <c r="U15" s="1113"/>
      <c r="V15" s="839"/>
      <c r="W15" s="1114">
        <f t="shared" si="0"/>
        <v>0</v>
      </c>
      <c r="X15" s="1114">
        <f t="shared" si="1"/>
        <v>0</v>
      </c>
      <c r="Y15" s="1115">
        <f t="shared" si="2"/>
        <v>0</v>
      </c>
      <c r="AO15" s="1116">
        <f t="shared" si="28"/>
        <v>0</v>
      </c>
      <c r="AP15" s="1116">
        <f t="shared" si="3"/>
        <v>0</v>
      </c>
      <c r="AQ15" s="1116">
        <f t="shared" si="4"/>
        <v>0</v>
      </c>
      <c r="AR15" s="1116">
        <f t="shared" si="5"/>
        <v>0</v>
      </c>
      <c r="AS15" s="1116">
        <f t="shared" si="6"/>
        <v>0</v>
      </c>
      <c r="AT15" s="1116">
        <f t="shared" si="7"/>
        <v>0</v>
      </c>
      <c r="AU15" s="1116">
        <f t="shared" si="8"/>
        <v>0</v>
      </c>
      <c r="AV15" s="1116">
        <f t="shared" si="9"/>
        <v>0</v>
      </c>
      <c r="AW15" s="1116">
        <f t="shared" si="10"/>
        <v>0</v>
      </c>
      <c r="AX15" s="1116">
        <f t="shared" si="11"/>
        <v>0</v>
      </c>
      <c r="AY15" s="1116">
        <f t="shared" si="12"/>
        <v>0</v>
      </c>
      <c r="AZ15" s="847">
        <f t="shared" si="13"/>
        <v>0</v>
      </c>
      <c r="BA15">
        <f t="shared" si="14"/>
        <v>0</v>
      </c>
      <c r="BB15">
        <f t="shared" si="15"/>
        <v>0</v>
      </c>
      <c r="BC15">
        <f t="shared" si="16"/>
        <v>0</v>
      </c>
      <c r="BF15" s="1116">
        <f t="shared" si="17"/>
        <v>0</v>
      </c>
      <c r="BG15" s="1116">
        <f>(AO15*Pricing!F$3+'02-Gd Beams'!AP15*Pricing!G$3+'02-Gd Beams'!AQ15*Pricing!H$3+'02-Gd Beams'!AR15*Pricing!I$3+'02-Gd Beams'!AS15*Pricing!J$3+'02-Gd Beams'!AT15*Pricing!K$3)*IF(U$39="N",(1+W$39),1)</f>
        <v>0</v>
      </c>
      <c r="BH15" s="1116">
        <f t="shared" si="18"/>
        <v>0</v>
      </c>
      <c r="BI15" s="1116">
        <f t="shared" si="19"/>
        <v>0</v>
      </c>
      <c r="BJ15" s="1116">
        <f t="shared" si="20"/>
        <v>0</v>
      </c>
      <c r="BK15" s="1116">
        <f t="shared" si="21"/>
        <v>0</v>
      </c>
      <c r="BL15" s="1116"/>
      <c r="FQ15" s="273" t="e">
        <f t="shared" si="22"/>
        <v>#DIV/0!</v>
      </c>
      <c r="FR15" s="273" t="e">
        <f t="shared" si="23"/>
        <v>#DIV/0!</v>
      </c>
      <c r="FT15" s="172">
        <f t="shared" si="24"/>
        <v>0</v>
      </c>
      <c r="FU15" s="847">
        <f t="shared" si="25"/>
        <v>0</v>
      </c>
      <c r="FV15" s="334">
        <f t="shared" si="26"/>
        <v>0</v>
      </c>
      <c r="FW15" s="247">
        <f t="shared" si="27"/>
        <v>0</v>
      </c>
    </row>
    <row r="16" spans="2:179" ht="18" customHeight="1">
      <c r="B16" s="859"/>
      <c r="C16" s="77"/>
      <c r="D16" s="839"/>
      <c r="E16" s="1106"/>
      <c r="F16" s="1107"/>
      <c r="G16" s="1108"/>
      <c r="H16" s="1109"/>
      <c r="I16" s="1110"/>
      <c r="J16" s="1109"/>
      <c r="K16" s="1110"/>
      <c r="L16" s="1109"/>
      <c r="M16" s="1110"/>
      <c r="N16" s="1109"/>
      <c r="O16" s="1110"/>
      <c r="P16" s="1109"/>
      <c r="Q16" s="1110"/>
      <c r="R16" s="1111"/>
      <c r="S16" s="1109"/>
      <c r="T16" s="1112"/>
      <c r="U16" s="1113"/>
      <c r="V16" s="839"/>
      <c r="W16" s="1114">
        <f t="shared" si="0"/>
        <v>0</v>
      </c>
      <c r="X16" s="1114">
        <f t="shared" si="1"/>
        <v>0</v>
      </c>
      <c r="Y16" s="1115">
        <f t="shared" si="2"/>
        <v>0</v>
      </c>
      <c r="AO16" s="1116">
        <f t="shared" si="28"/>
        <v>0</v>
      </c>
      <c r="AP16" s="1116">
        <f t="shared" si="3"/>
        <v>0</v>
      </c>
      <c r="AQ16" s="1116">
        <f t="shared" si="4"/>
        <v>0</v>
      </c>
      <c r="AR16" s="1116">
        <f t="shared" si="5"/>
        <v>0</v>
      </c>
      <c r="AS16" s="1116">
        <f t="shared" si="6"/>
        <v>0</v>
      </c>
      <c r="AT16" s="1116">
        <f t="shared" si="7"/>
        <v>0</v>
      </c>
      <c r="AU16" s="1116">
        <f t="shared" si="8"/>
        <v>0</v>
      </c>
      <c r="AV16" s="1116">
        <f t="shared" si="9"/>
        <v>0</v>
      </c>
      <c r="AW16" s="1116">
        <f t="shared" si="10"/>
        <v>0</v>
      </c>
      <c r="AX16" s="1116">
        <f t="shared" si="11"/>
        <v>0</v>
      </c>
      <c r="AY16" s="1116">
        <f t="shared" si="12"/>
        <v>0</v>
      </c>
      <c r="AZ16" s="847">
        <f t="shared" si="13"/>
        <v>0</v>
      </c>
      <c r="BA16">
        <f t="shared" si="14"/>
        <v>0</v>
      </c>
      <c r="BB16">
        <f t="shared" si="15"/>
        <v>0</v>
      </c>
      <c r="BC16">
        <f t="shared" si="16"/>
        <v>0</v>
      </c>
      <c r="BF16" s="1116">
        <f t="shared" si="17"/>
        <v>0</v>
      </c>
      <c r="BG16" s="1116">
        <f>(AO16*Pricing!F$3+'02-Gd Beams'!AP16*Pricing!G$3+'02-Gd Beams'!AQ16*Pricing!H$3+'02-Gd Beams'!AR16*Pricing!I$3+'02-Gd Beams'!AS16*Pricing!J$3+'02-Gd Beams'!AT16*Pricing!K$3)*IF(U$39="N",(1+W$39),1)</f>
        <v>0</v>
      </c>
      <c r="BH16" s="1116">
        <f t="shared" si="18"/>
        <v>0</v>
      </c>
      <c r="BI16" s="1116">
        <f t="shared" si="19"/>
        <v>0</v>
      </c>
      <c r="BJ16" s="1116">
        <f t="shared" si="20"/>
        <v>0</v>
      </c>
      <c r="BK16" s="1116">
        <f t="shared" si="21"/>
        <v>0</v>
      </c>
      <c r="BL16" s="1116"/>
      <c r="FQ16" s="273" t="e">
        <f t="shared" si="22"/>
        <v>#DIV/0!</v>
      </c>
      <c r="FR16" s="273" t="e">
        <f t="shared" si="23"/>
        <v>#DIV/0!</v>
      </c>
      <c r="FT16" s="172">
        <f t="shared" si="24"/>
        <v>0</v>
      </c>
      <c r="FU16" s="847">
        <f t="shared" si="25"/>
        <v>0</v>
      </c>
      <c r="FV16" s="334">
        <f t="shared" si="26"/>
        <v>0</v>
      </c>
      <c r="FW16" s="247">
        <f t="shared" si="27"/>
        <v>0</v>
      </c>
    </row>
    <row r="17" spans="2:179" ht="18" customHeight="1">
      <c r="B17" s="859"/>
      <c r="C17" s="77"/>
      <c r="D17" s="839"/>
      <c r="E17" s="1106"/>
      <c r="F17" s="1107"/>
      <c r="G17" s="1108"/>
      <c r="H17" s="1109"/>
      <c r="I17" s="1110"/>
      <c r="J17" s="1109"/>
      <c r="K17" s="1110"/>
      <c r="L17" s="1109"/>
      <c r="M17" s="1110"/>
      <c r="N17" s="1109"/>
      <c r="O17" s="1110"/>
      <c r="P17" s="1109"/>
      <c r="Q17" s="1110"/>
      <c r="R17" s="1111"/>
      <c r="S17" s="1109"/>
      <c r="T17" s="1112"/>
      <c r="U17" s="1113"/>
      <c r="V17" s="839"/>
      <c r="W17" s="1114">
        <f t="shared" si="0"/>
        <v>0</v>
      </c>
      <c r="X17" s="1114">
        <f t="shared" si="1"/>
        <v>0</v>
      </c>
      <c r="Y17" s="1115">
        <f t="shared" si="2"/>
        <v>0</v>
      </c>
      <c r="AO17" s="1116">
        <f t="shared" si="28"/>
        <v>0</v>
      </c>
      <c r="AP17" s="1116">
        <f t="shared" si="3"/>
        <v>0</v>
      </c>
      <c r="AQ17" s="1116">
        <f t="shared" si="4"/>
        <v>0</v>
      </c>
      <c r="AR17" s="1116">
        <f t="shared" si="5"/>
        <v>0</v>
      </c>
      <c r="AS17" s="1116">
        <f t="shared" si="6"/>
        <v>0</v>
      </c>
      <c r="AT17" s="1116">
        <f t="shared" si="7"/>
        <v>0</v>
      </c>
      <c r="AU17" s="1116">
        <f t="shared" si="8"/>
        <v>0</v>
      </c>
      <c r="AV17" s="1116">
        <f t="shared" si="9"/>
        <v>0</v>
      </c>
      <c r="AW17" s="1116">
        <f t="shared" si="10"/>
        <v>0</v>
      </c>
      <c r="AX17" s="1116">
        <f t="shared" si="11"/>
        <v>0</v>
      </c>
      <c r="AY17" s="1116">
        <f t="shared" si="12"/>
        <v>0</v>
      </c>
      <c r="AZ17" s="847">
        <f t="shared" si="13"/>
        <v>0</v>
      </c>
      <c r="BA17">
        <f t="shared" si="14"/>
        <v>0</v>
      </c>
      <c r="BB17">
        <f t="shared" si="15"/>
        <v>0</v>
      </c>
      <c r="BC17">
        <f t="shared" si="16"/>
        <v>0</v>
      </c>
      <c r="BF17" s="1116">
        <f t="shared" si="17"/>
        <v>0</v>
      </c>
      <c r="BG17" s="1116">
        <f>(AO17*Pricing!F$3+'02-Gd Beams'!AP17*Pricing!G$3+'02-Gd Beams'!AQ17*Pricing!H$3+'02-Gd Beams'!AR17*Pricing!I$3+'02-Gd Beams'!AS17*Pricing!J$3+'02-Gd Beams'!AT17*Pricing!K$3)*IF(U$39="N",(1+W$39),1)</f>
        <v>0</v>
      </c>
      <c r="BH17" s="1116">
        <f t="shared" si="18"/>
        <v>0</v>
      </c>
      <c r="BI17" s="1116">
        <f t="shared" si="19"/>
        <v>0</v>
      </c>
      <c r="BJ17" s="1116">
        <f t="shared" si="20"/>
        <v>0</v>
      </c>
      <c r="BK17" s="1116">
        <f t="shared" si="21"/>
        <v>0</v>
      </c>
      <c r="BL17" s="1116"/>
      <c r="FQ17" s="273" t="e">
        <f t="shared" si="22"/>
        <v>#DIV/0!</v>
      </c>
      <c r="FR17" s="273" t="e">
        <f t="shared" si="23"/>
        <v>#DIV/0!</v>
      </c>
      <c r="FT17" s="172">
        <f t="shared" si="24"/>
        <v>0</v>
      </c>
      <c r="FU17" s="847">
        <f t="shared" si="25"/>
        <v>0</v>
      </c>
      <c r="FV17" s="334">
        <f t="shared" si="26"/>
        <v>0</v>
      </c>
      <c r="FW17" s="247">
        <f t="shared" si="27"/>
        <v>0</v>
      </c>
    </row>
    <row r="18" spans="2:179" ht="18" customHeight="1">
      <c r="B18" s="859"/>
      <c r="C18" s="77"/>
      <c r="D18" s="839"/>
      <c r="E18" s="1106"/>
      <c r="F18" s="1107"/>
      <c r="G18" s="1108"/>
      <c r="H18" s="1109"/>
      <c r="I18" s="1110"/>
      <c r="J18" s="1109"/>
      <c r="K18" s="1110"/>
      <c r="L18" s="1109"/>
      <c r="M18" s="1110"/>
      <c r="N18" s="1109"/>
      <c r="O18" s="1110"/>
      <c r="P18" s="1109"/>
      <c r="Q18" s="1110"/>
      <c r="R18" s="1111"/>
      <c r="S18" s="1109"/>
      <c r="T18" s="1112"/>
      <c r="U18" s="1113"/>
      <c r="V18" s="839"/>
      <c r="W18" s="1114">
        <f t="shared" si="0"/>
        <v>0</v>
      </c>
      <c r="X18" s="1114">
        <f t="shared" si="1"/>
        <v>0</v>
      </c>
      <c r="Y18" s="1115">
        <f t="shared" si="2"/>
        <v>0</v>
      </c>
      <c r="AO18" s="1116">
        <f t="shared" si="28"/>
        <v>0</v>
      </c>
      <c r="AP18" s="1116">
        <f t="shared" si="3"/>
        <v>0</v>
      </c>
      <c r="AQ18" s="1116">
        <f t="shared" si="4"/>
        <v>0</v>
      </c>
      <c r="AR18" s="1116">
        <f t="shared" si="5"/>
        <v>0</v>
      </c>
      <c r="AS18" s="1116">
        <f t="shared" si="6"/>
        <v>0</v>
      </c>
      <c r="AT18" s="1116">
        <f t="shared" si="7"/>
        <v>0</v>
      </c>
      <c r="AU18" s="1116">
        <f t="shared" si="8"/>
        <v>0</v>
      </c>
      <c r="AV18" s="1116">
        <f t="shared" si="9"/>
        <v>0</v>
      </c>
      <c r="AW18" s="1116">
        <f t="shared" si="10"/>
        <v>0</v>
      </c>
      <c r="AX18" s="1116">
        <f t="shared" si="11"/>
        <v>0</v>
      </c>
      <c r="AY18" s="1116">
        <f t="shared" si="12"/>
        <v>0</v>
      </c>
      <c r="AZ18" s="847">
        <f t="shared" si="13"/>
        <v>0</v>
      </c>
      <c r="BA18">
        <f t="shared" si="14"/>
        <v>0</v>
      </c>
      <c r="BB18">
        <f t="shared" si="15"/>
        <v>0</v>
      </c>
      <c r="BC18">
        <f t="shared" si="16"/>
        <v>0</v>
      </c>
      <c r="BF18" s="1116">
        <f t="shared" si="17"/>
        <v>0</v>
      </c>
      <c r="BG18" s="1116">
        <f>(AO18*Pricing!F$3+'02-Gd Beams'!AP18*Pricing!G$3+'02-Gd Beams'!AQ18*Pricing!H$3+'02-Gd Beams'!AR18*Pricing!I$3+'02-Gd Beams'!AS18*Pricing!J$3+'02-Gd Beams'!AT18*Pricing!K$3)*IF(U$39="N",(1+W$39),1)</f>
        <v>0</v>
      </c>
      <c r="BH18" s="1116">
        <f t="shared" si="18"/>
        <v>0</v>
      </c>
      <c r="BI18" s="1116">
        <f t="shared" si="19"/>
        <v>0</v>
      </c>
      <c r="BJ18" s="1116">
        <f t="shared" si="20"/>
        <v>0</v>
      </c>
      <c r="BK18" s="1116">
        <f t="shared" si="21"/>
        <v>0</v>
      </c>
      <c r="BL18" s="1116"/>
      <c r="FQ18" s="273" t="e">
        <f t="shared" si="22"/>
        <v>#DIV/0!</v>
      </c>
      <c r="FR18" s="273" t="e">
        <f t="shared" si="23"/>
        <v>#DIV/0!</v>
      </c>
      <c r="FT18" s="172">
        <f t="shared" si="24"/>
        <v>0</v>
      </c>
      <c r="FU18" s="847">
        <f t="shared" si="25"/>
        <v>0</v>
      </c>
      <c r="FV18" s="334">
        <f t="shared" si="26"/>
        <v>0</v>
      </c>
      <c r="FW18" s="247">
        <f t="shared" si="27"/>
        <v>0</v>
      </c>
    </row>
    <row r="19" spans="2:179" ht="18" customHeight="1">
      <c r="B19" s="859"/>
      <c r="C19" s="77"/>
      <c r="D19" s="839"/>
      <c r="E19" s="1106"/>
      <c r="F19" s="1107"/>
      <c r="G19" s="1108"/>
      <c r="H19" s="1109"/>
      <c r="I19" s="1110"/>
      <c r="J19" s="1109"/>
      <c r="K19" s="1110"/>
      <c r="L19" s="1109"/>
      <c r="M19" s="1110"/>
      <c r="N19" s="1109"/>
      <c r="O19" s="1110"/>
      <c r="P19" s="1109"/>
      <c r="Q19" s="1110"/>
      <c r="R19" s="1111"/>
      <c r="S19" s="1109"/>
      <c r="T19" s="1112"/>
      <c r="U19" s="1113"/>
      <c r="V19" s="839"/>
      <c r="W19" s="1114">
        <f t="shared" si="0"/>
        <v>0</v>
      </c>
      <c r="X19" s="1114">
        <f t="shared" si="1"/>
        <v>0</v>
      </c>
      <c r="Y19" s="1115">
        <f t="shared" si="2"/>
        <v>0</v>
      </c>
      <c r="AO19" s="1116">
        <f t="shared" si="28"/>
        <v>0</v>
      </c>
      <c r="AP19" s="1116">
        <f t="shared" si="3"/>
        <v>0</v>
      </c>
      <c r="AQ19" s="1116">
        <f t="shared" si="4"/>
        <v>0</v>
      </c>
      <c r="AR19" s="1116">
        <f t="shared" si="5"/>
        <v>0</v>
      </c>
      <c r="AS19" s="1116">
        <f t="shared" si="6"/>
        <v>0</v>
      </c>
      <c r="AT19" s="1116">
        <f t="shared" si="7"/>
        <v>0</v>
      </c>
      <c r="AU19" s="1116">
        <f t="shared" si="8"/>
        <v>0</v>
      </c>
      <c r="AV19" s="1116">
        <f t="shared" si="9"/>
        <v>0</v>
      </c>
      <c r="AW19" s="1116">
        <f t="shared" si="10"/>
        <v>0</v>
      </c>
      <c r="AX19" s="1116">
        <f t="shared" si="11"/>
        <v>0</v>
      </c>
      <c r="AY19" s="1116">
        <f t="shared" si="12"/>
        <v>0</v>
      </c>
      <c r="AZ19" s="847">
        <f t="shared" si="13"/>
        <v>0</v>
      </c>
      <c r="BA19">
        <f t="shared" si="14"/>
        <v>0</v>
      </c>
      <c r="BB19">
        <f t="shared" si="15"/>
        <v>0</v>
      </c>
      <c r="BC19">
        <f t="shared" si="16"/>
        <v>0</v>
      </c>
      <c r="BF19" s="1116">
        <f t="shared" si="17"/>
        <v>0</v>
      </c>
      <c r="BG19" s="1116">
        <f>(AO19*Pricing!F$3+'02-Gd Beams'!AP19*Pricing!G$3+'02-Gd Beams'!AQ19*Pricing!H$3+'02-Gd Beams'!AR19*Pricing!I$3+'02-Gd Beams'!AS19*Pricing!J$3+'02-Gd Beams'!AT19*Pricing!K$3)*IF(U$39="N",(1+W$39),1)</f>
        <v>0</v>
      </c>
      <c r="BH19" s="1116">
        <f t="shared" si="18"/>
        <v>0</v>
      </c>
      <c r="BI19" s="1116">
        <f t="shared" si="19"/>
        <v>0</v>
      </c>
      <c r="BJ19" s="1116">
        <f t="shared" si="20"/>
        <v>0</v>
      </c>
      <c r="BK19" s="1116">
        <f t="shared" si="21"/>
        <v>0</v>
      </c>
      <c r="BL19" s="1116"/>
      <c r="FQ19" s="273" t="e">
        <f t="shared" si="22"/>
        <v>#DIV/0!</v>
      </c>
      <c r="FR19" s="273" t="e">
        <f t="shared" si="23"/>
        <v>#DIV/0!</v>
      </c>
      <c r="FT19" s="172">
        <f t="shared" si="24"/>
        <v>0</v>
      </c>
      <c r="FU19" s="847">
        <f t="shared" si="25"/>
        <v>0</v>
      </c>
      <c r="FV19" s="334">
        <f t="shared" si="26"/>
        <v>0</v>
      </c>
      <c r="FW19" s="247">
        <f t="shared" si="27"/>
        <v>0</v>
      </c>
    </row>
    <row r="20" spans="2:179" ht="18" customHeight="1">
      <c r="B20" s="859"/>
      <c r="C20" s="77"/>
      <c r="D20" s="839"/>
      <c r="E20" s="1106"/>
      <c r="F20" s="1107"/>
      <c r="G20" s="1108"/>
      <c r="H20" s="1109"/>
      <c r="I20" s="1110"/>
      <c r="J20" s="1109"/>
      <c r="K20" s="1110"/>
      <c r="L20" s="1109"/>
      <c r="M20" s="1110"/>
      <c r="N20" s="1109"/>
      <c r="O20" s="1110"/>
      <c r="P20" s="1109"/>
      <c r="Q20" s="1110"/>
      <c r="R20" s="1111"/>
      <c r="S20" s="1109"/>
      <c r="T20" s="1112"/>
      <c r="U20" s="1113"/>
      <c r="V20" s="839"/>
      <c r="W20" s="1114">
        <f t="shared" si="0"/>
        <v>0</v>
      </c>
      <c r="X20" s="1114">
        <f t="shared" si="1"/>
        <v>0</v>
      </c>
      <c r="Y20" s="1115">
        <f t="shared" si="2"/>
        <v>0</v>
      </c>
      <c r="AO20" s="1116">
        <f t="shared" si="28"/>
        <v>0</v>
      </c>
      <c r="AP20" s="1116">
        <f t="shared" si="3"/>
        <v>0</v>
      </c>
      <c r="AQ20" s="1116">
        <f t="shared" si="4"/>
        <v>0</v>
      </c>
      <c r="AR20" s="1116">
        <f t="shared" si="5"/>
        <v>0</v>
      </c>
      <c r="AS20" s="1116">
        <f t="shared" si="6"/>
        <v>0</v>
      </c>
      <c r="AT20" s="1116">
        <f t="shared" si="7"/>
        <v>0</v>
      </c>
      <c r="AU20" s="1116">
        <f t="shared" si="8"/>
        <v>0</v>
      </c>
      <c r="AV20" s="1116">
        <f t="shared" si="9"/>
        <v>0</v>
      </c>
      <c r="AW20" s="1116">
        <f t="shared" si="10"/>
        <v>0</v>
      </c>
      <c r="AX20" s="1116">
        <f t="shared" si="11"/>
        <v>0</v>
      </c>
      <c r="AY20" s="1116">
        <f t="shared" si="12"/>
        <v>0</v>
      </c>
      <c r="AZ20" s="847">
        <f t="shared" si="13"/>
        <v>0</v>
      </c>
      <c r="BA20">
        <f t="shared" si="14"/>
        <v>0</v>
      </c>
      <c r="BB20">
        <f t="shared" si="15"/>
        <v>0</v>
      </c>
      <c r="BC20">
        <f t="shared" si="16"/>
        <v>0</v>
      </c>
      <c r="BF20" s="1116">
        <f t="shared" si="17"/>
        <v>0</v>
      </c>
      <c r="BG20" s="1116">
        <f>(AO20*Pricing!F$3+'02-Gd Beams'!AP20*Pricing!G$3+'02-Gd Beams'!AQ20*Pricing!H$3+'02-Gd Beams'!AR20*Pricing!I$3+'02-Gd Beams'!AS20*Pricing!J$3+'02-Gd Beams'!AT20*Pricing!K$3)*IF(U$39="N",(1+W$39),1)</f>
        <v>0</v>
      </c>
      <c r="BH20" s="1116">
        <f t="shared" si="18"/>
        <v>0</v>
      </c>
      <c r="BI20" s="1116">
        <f t="shared" si="19"/>
        <v>0</v>
      </c>
      <c r="BJ20" s="1116">
        <f t="shared" si="20"/>
        <v>0</v>
      </c>
      <c r="BK20" s="1116">
        <f t="shared" si="21"/>
        <v>0</v>
      </c>
      <c r="BL20" s="1116"/>
      <c r="FQ20" s="273" t="e">
        <f t="shared" si="22"/>
        <v>#DIV/0!</v>
      </c>
      <c r="FR20" s="273" t="e">
        <f t="shared" si="23"/>
        <v>#DIV/0!</v>
      </c>
      <c r="FT20" s="172">
        <f t="shared" si="24"/>
        <v>0</v>
      </c>
      <c r="FU20" s="847">
        <f t="shared" si="25"/>
        <v>0</v>
      </c>
      <c r="FV20" s="334">
        <f t="shared" si="26"/>
        <v>0</v>
      </c>
      <c r="FW20" s="247">
        <f t="shared" si="27"/>
        <v>0</v>
      </c>
    </row>
    <row r="21" spans="2:179" ht="18" customHeight="1">
      <c r="B21" s="859"/>
      <c r="C21" s="77"/>
      <c r="D21" s="839"/>
      <c r="E21" s="1106"/>
      <c r="F21" s="1107"/>
      <c r="G21" s="1108"/>
      <c r="H21" s="1109"/>
      <c r="I21" s="1110"/>
      <c r="J21" s="1109"/>
      <c r="K21" s="1110"/>
      <c r="L21" s="1109"/>
      <c r="M21" s="1110"/>
      <c r="N21" s="1109"/>
      <c r="O21" s="1110"/>
      <c r="P21" s="1109"/>
      <c r="Q21" s="1110"/>
      <c r="R21" s="1111"/>
      <c r="S21" s="1109"/>
      <c r="T21" s="1112"/>
      <c r="U21" s="1113"/>
      <c r="V21" s="839"/>
      <c r="W21" s="1114">
        <f t="shared" si="0"/>
        <v>0</v>
      </c>
      <c r="X21" s="1114">
        <f t="shared" si="1"/>
        <v>0</v>
      </c>
      <c r="Y21" s="1115">
        <f t="shared" si="2"/>
        <v>0</v>
      </c>
      <c r="AO21" s="1116">
        <f t="shared" si="28"/>
        <v>0</v>
      </c>
      <c r="AP21" s="1116">
        <f t="shared" si="3"/>
        <v>0</v>
      </c>
      <c r="AQ21" s="1116">
        <f t="shared" si="4"/>
        <v>0</v>
      </c>
      <c r="AR21" s="1116">
        <f t="shared" si="5"/>
        <v>0</v>
      </c>
      <c r="AS21" s="1116">
        <f t="shared" si="6"/>
        <v>0</v>
      </c>
      <c r="AT21" s="1116">
        <f t="shared" si="7"/>
        <v>0</v>
      </c>
      <c r="AU21" s="1116">
        <f t="shared" si="8"/>
        <v>0</v>
      </c>
      <c r="AV21" s="1116">
        <f t="shared" si="9"/>
        <v>0</v>
      </c>
      <c r="AW21" s="1116">
        <f t="shared" si="10"/>
        <v>0</v>
      </c>
      <c r="AX21" s="1116">
        <f t="shared" si="11"/>
        <v>0</v>
      </c>
      <c r="AY21" s="1116">
        <f t="shared" si="12"/>
        <v>0</v>
      </c>
      <c r="AZ21" s="847">
        <f t="shared" si="13"/>
        <v>0</v>
      </c>
      <c r="BA21">
        <f t="shared" si="14"/>
        <v>0</v>
      </c>
      <c r="BB21">
        <f t="shared" si="15"/>
        <v>0</v>
      </c>
      <c r="BC21">
        <f t="shared" si="16"/>
        <v>0</v>
      </c>
      <c r="BF21" s="1116">
        <f t="shared" si="17"/>
        <v>0</v>
      </c>
      <c r="BG21" s="1116">
        <f>(AO21*Pricing!F$3+'02-Gd Beams'!AP21*Pricing!G$3+'02-Gd Beams'!AQ21*Pricing!H$3+'02-Gd Beams'!AR21*Pricing!I$3+'02-Gd Beams'!AS21*Pricing!J$3+'02-Gd Beams'!AT21*Pricing!K$3)*IF(U$39="N",(1+W$39),1)</f>
        <v>0</v>
      </c>
      <c r="BH21" s="1116">
        <f t="shared" si="18"/>
        <v>0</v>
      </c>
      <c r="BI21" s="1116">
        <f t="shared" si="19"/>
        <v>0</v>
      </c>
      <c r="BJ21" s="1116">
        <f t="shared" si="20"/>
        <v>0</v>
      </c>
      <c r="BK21" s="1116">
        <f t="shared" si="21"/>
        <v>0</v>
      </c>
      <c r="BL21" s="1116"/>
      <c r="FQ21" s="273" t="e">
        <f t="shared" si="22"/>
        <v>#DIV/0!</v>
      </c>
      <c r="FR21" s="273" t="e">
        <f t="shared" si="23"/>
        <v>#DIV/0!</v>
      </c>
      <c r="FT21" s="172">
        <f t="shared" si="24"/>
        <v>0</v>
      </c>
      <c r="FU21" s="847">
        <f t="shared" si="25"/>
        <v>0</v>
      </c>
      <c r="FV21" s="334">
        <f t="shared" si="26"/>
        <v>0</v>
      </c>
      <c r="FW21" s="247">
        <f t="shared" si="27"/>
        <v>0</v>
      </c>
    </row>
    <row r="22" spans="2:179" ht="18" customHeight="1">
      <c r="B22" s="859"/>
      <c r="C22" s="77"/>
      <c r="D22" s="839"/>
      <c r="E22" s="1106"/>
      <c r="F22" s="1107"/>
      <c r="G22" s="1108"/>
      <c r="H22" s="1109"/>
      <c r="I22" s="1110"/>
      <c r="J22" s="1109"/>
      <c r="K22" s="1110"/>
      <c r="L22" s="1109"/>
      <c r="M22" s="1110"/>
      <c r="N22" s="1109"/>
      <c r="O22" s="1110"/>
      <c r="P22" s="1109"/>
      <c r="Q22" s="1110"/>
      <c r="R22" s="1111"/>
      <c r="S22" s="1109"/>
      <c r="T22" s="1112"/>
      <c r="U22" s="1113"/>
      <c r="V22" s="839"/>
      <c r="W22" s="1114">
        <f t="shared" si="0"/>
        <v>0</v>
      </c>
      <c r="X22" s="1114">
        <f t="shared" si="1"/>
        <v>0</v>
      </c>
      <c r="Y22" s="1115">
        <f t="shared" si="2"/>
        <v>0</v>
      </c>
      <c r="AO22" s="1116">
        <f t="shared" si="28"/>
        <v>0</v>
      </c>
      <c r="AP22" s="1116">
        <f t="shared" si="3"/>
        <v>0</v>
      </c>
      <c r="AQ22" s="1116">
        <f t="shared" si="4"/>
        <v>0</v>
      </c>
      <c r="AR22" s="1116">
        <f t="shared" si="5"/>
        <v>0</v>
      </c>
      <c r="AS22" s="1116">
        <f t="shared" si="6"/>
        <v>0</v>
      </c>
      <c r="AT22" s="1116">
        <f t="shared" si="7"/>
        <v>0</v>
      </c>
      <c r="AU22" s="1116">
        <f t="shared" si="8"/>
        <v>0</v>
      </c>
      <c r="AV22" s="1116">
        <f t="shared" si="9"/>
        <v>0</v>
      </c>
      <c r="AW22" s="1116">
        <f t="shared" si="10"/>
        <v>0</v>
      </c>
      <c r="AX22" s="1116">
        <f t="shared" si="11"/>
        <v>0</v>
      </c>
      <c r="AY22" s="1116">
        <f t="shared" si="12"/>
        <v>0</v>
      </c>
      <c r="AZ22" s="847">
        <f t="shared" si="13"/>
        <v>0</v>
      </c>
      <c r="BA22">
        <f t="shared" si="14"/>
        <v>0</v>
      </c>
      <c r="BB22">
        <f t="shared" si="15"/>
        <v>0</v>
      </c>
      <c r="BC22">
        <f t="shared" si="16"/>
        <v>0</v>
      </c>
      <c r="BF22" s="1116">
        <f t="shared" si="17"/>
        <v>0</v>
      </c>
      <c r="BG22" s="1116">
        <f>(AO22*Pricing!F$3+'02-Gd Beams'!AP22*Pricing!G$3+'02-Gd Beams'!AQ22*Pricing!H$3+'02-Gd Beams'!AR22*Pricing!I$3+'02-Gd Beams'!AS22*Pricing!J$3+'02-Gd Beams'!AT22*Pricing!K$3)*IF(U$39="N",(1+W$39),1)</f>
        <v>0</v>
      </c>
      <c r="BH22" s="1116">
        <f t="shared" si="18"/>
        <v>0</v>
      </c>
      <c r="BI22" s="1116">
        <f t="shared" si="19"/>
        <v>0</v>
      </c>
      <c r="BJ22" s="1116">
        <f t="shared" si="20"/>
        <v>0</v>
      </c>
      <c r="BK22" s="1116">
        <f t="shared" si="21"/>
        <v>0</v>
      </c>
      <c r="BL22" s="1116"/>
      <c r="FQ22" s="273" t="e">
        <f t="shared" si="22"/>
        <v>#DIV/0!</v>
      </c>
      <c r="FR22" s="273" t="e">
        <f t="shared" si="23"/>
        <v>#DIV/0!</v>
      </c>
      <c r="FT22" s="172">
        <f t="shared" si="24"/>
        <v>0</v>
      </c>
      <c r="FU22" s="847">
        <f t="shared" si="25"/>
        <v>0</v>
      </c>
      <c r="FV22" s="334">
        <f t="shared" si="26"/>
        <v>0</v>
      </c>
      <c r="FW22" s="247">
        <f t="shared" si="27"/>
        <v>0</v>
      </c>
    </row>
    <row r="23" spans="2:179" ht="18" customHeight="1">
      <c r="B23" s="859"/>
      <c r="C23" s="77"/>
      <c r="D23" s="839"/>
      <c r="E23" s="1106"/>
      <c r="F23" s="1107"/>
      <c r="G23" s="1108"/>
      <c r="H23" s="1109"/>
      <c r="I23" s="1110"/>
      <c r="J23" s="1109"/>
      <c r="K23" s="1110"/>
      <c r="L23" s="1109"/>
      <c r="M23" s="1110"/>
      <c r="N23" s="1109"/>
      <c r="O23" s="1110"/>
      <c r="P23" s="1109"/>
      <c r="Q23" s="1110"/>
      <c r="R23" s="1111"/>
      <c r="S23" s="1109"/>
      <c r="T23" s="1112"/>
      <c r="U23" s="1113"/>
      <c r="V23" s="839"/>
      <c r="W23" s="1114">
        <f t="shared" si="0"/>
        <v>0</v>
      </c>
      <c r="X23" s="1114">
        <f t="shared" si="1"/>
        <v>0</v>
      </c>
      <c r="Y23" s="1115">
        <f t="shared" si="2"/>
        <v>0</v>
      </c>
      <c r="AO23" s="1116">
        <f t="shared" si="28"/>
        <v>0</v>
      </c>
      <c r="AP23" s="1116">
        <f t="shared" si="3"/>
        <v>0</v>
      </c>
      <c r="AQ23" s="1116">
        <f t="shared" si="4"/>
        <v>0</v>
      </c>
      <c r="AR23" s="1116">
        <f t="shared" si="5"/>
        <v>0</v>
      </c>
      <c r="AS23" s="1116">
        <f t="shared" si="6"/>
        <v>0</v>
      </c>
      <c r="AT23" s="1116">
        <f t="shared" si="7"/>
        <v>0</v>
      </c>
      <c r="AU23" s="1116">
        <f t="shared" si="8"/>
        <v>0</v>
      </c>
      <c r="AV23" s="1116">
        <f t="shared" si="9"/>
        <v>0</v>
      </c>
      <c r="AW23" s="1116">
        <f t="shared" si="10"/>
        <v>0</v>
      </c>
      <c r="AX23" s="1116">
        <f t="shared" si="11"/>
        <v>0</v>
      </c>
      <c r="AY23" s="1116">
        <f t="shared" si="12"/>
        <v>0</v>
      </c>
      <c r="AZ23" s="847">
        <f t="shared" si="13"/>
        <v>0</v>
      </c>
      <c r="BA23">
        <f t="shared" si="14"/>
        <v>0</v>
      </c>
      <c r="BB23">
        <f t="shared" si="15"/>
        <v>0</v>
      </c>
      <c r="BC23">
        <f t="shared" si="16"/>
        <v>0</v>
      </c>
      <c r="BF23" s="1116">
        <f t="shared" si="17"/>
        <v>0</v>
      </c>
      <c r="BG23" s="1116">
        <f>(AO23*Pricing!F$3+'02-Gd Beams'!AP23*Pricing!G$3+'02-Gd Beams'!AQ23*Pricing!H$3+'02-Gd Beams'!AR23*Pricing!I$3+'02-Gd Beams'!AS23*Pricing!J$3+'02-Gd Beams'!AT23*Pricing!K$3)*IF(U$39="N",(1+W$39),1)</f>
        <v>0</v>
      </c>
      <c r="BH23" s="1116">
        <f t="shared" si="18"/>
        <v>0</v>
      </c>
      <c r="BI23" s="1116">
        <f t="shared" si="19"/>
        <v>0</v>
      </c>
      <c r="BJ23" s="1116">
        <f t="shared" si="20"/>
        <v>0</v>
      </c>
      <c r="BK23" s="1116">
        <f t="shared" si="21"/>
        <v>0</v>
      </c>
      <c r="BL23" s="1116"/>
      <c r="FQ23" s="273" t="e">
        <f t="shared" si="22"/>
        <v>#DIV/0!</v>
      </c>
      <c r="FR23" s="273" t="e">
        <f t="shared" si="23"/>
        <v>#DIV/0!</v>
      </c>
      <c r="FT23" s="172">
        <f t="shared" si="24"/>
        <v>0</v>
      </c>
      <c r="FU23" s="847">
        <f t="shared" si="25"/>
        <v>0</v>
      </c>
      <c r="FV23" s="334">
        <f t="shared" si="26"/>
        <v>0</v>
      </c>
      <c r="FW23" s="247">
        <f t="shared" si="27"/>
        <v>0</v>
      </c>
    </row>
    <row r="24" spans="2:179" ht="18" customHeight="1">
      <c r="B24" s="859"/>
      <c r="C24" s="77"/>
      <c r="D24" s="839"/>
      <c r="E24" s="1106"/>
      <c r="F24" s="1107"/>
      <c r="G24" s="1108"/>
      <c r="H24" s="1109"/>
      <c r="I24" s="1110"/>
      <c r="J24" s="1109"/>
      <c r="K24" s="1110"/>
      <c r="L24" s="1109"/>
      <c r="M24" s="1110"/>
      <c r="N24" s="1109"/>
      <c r="O24" s="1110"/>
      <c r="P24" s="1109"/>
      <c r="Q24" s="1110"/>
      <c r="R24" s="1111"/>
      <c r="S24" s="1109"/>
      <c r="T24" s="1112"/>
      <c r="U24" s="1113"/>
      <c r="V24" s="839"/>
      <c r="W24" s="1114">
        <f t="shared" si="0"/>
        <v>0</v>
      </c>
      <c r="X24" s="1114">
        <f t="shared" si="1"/>
        <v>0</v>
      </c>
      <c r="Y24" s="1115">
        <f t="shared" si="2"/>
        <v>0</v>
      </c>
      <c r="AO24" s="1116">
        <f t="shared" si="28"/>
        <v>0</v>
      </c>
      <c r="AP24" s="1116">
        <f t="shared" si="3"/>
        <v>0</v>
      </c>
      <c r="AQ24" s="1116">
        <f t="shared" si="4"/>
        <v>0</v>
      </c>
      <c r="AR24" s="1116">
        <f t="shared" si="5"/>
        <v>0</v>
      </c>
      <c r="AS24" s="1116">
        <f t="shared" si="6"/>
        <v>0</v>
      </c>
      <c r="AT24" s="1116">
        <f t="shared" si="7"/>
        <v>0</v>
      </c>
      <c r="AU24" s="1116">
        <f t="shared" si="8"/>
        <v>0</v>
      </c>
      <c r="AV24" s="1116">
        <f t="shared" si="9"/>
        <v>0</v>
      </c>
      <c r="AW24" s="1116">
        <f t="shared" si="10"/>
        <v>0</v>
      </c>
      <c r="AX24" s="1116">
        <f t="shared" si="11"/>
        <v>0</v>
      </c>
      <c r="AY24" s="1116">
        <f t="shared" si="12"/>
        <v>0</v>
      </c>
      <c r="AZ24" s="847">
        <f t="shared" si="13"/>
        <v>0</v>
      </c>
      <c r="BA24">
        <f t="shared" si="14"/>
        <v>0</v>
      </c>
      <c r="BB24">
        <f t="shared" si="15"/>
        <v>0</v>
      </c>
      <c r="BC24">
        <f t="shared" si="16"/>
        <v>0</v>
      </c>
      <c r="BF24" s="1116">
        <f t="shared" si="17"/>
        <v>0</v>
      </c>
      <c r="BG24" s="1116">
        <f>(AO24*Pricing!F$3+'02-Gd Beams'!AP24*Pricing!G$3+'02-Gd Beams'!AQ24*Pricing!H$3+'02-Gd Beams'!AR24*Pricing!I$3+'02-Gd Beams'!AS24*Pricing!J$3+'02-Gd Beams'!AT24*Pricing!K$3)*IF(U$39="N",(1+W$39),1)</f>
        <v>0</v>
      </c>
      <c r="BH24" s="1116">
        <f t="shared" si="18"/>
        <v>0</v>
      </c>
      <c r="BI24" s="1116">
        <f t="shared" si="19"/>
        <v>0</v>
      </c>
      <c r="BJ24" s="1116">
        <f t="shared" si="20"/>
        <v>0</v>
      </c>
      <c r="BK24" s="1116">
        <f t="shared" si="21"/>
        <v>0</v>
      </c>
      <c r="BL24" s="1116"/>
      <c r="FQ24" s="273" t="e">
        <f t="shared" si="22"/>
        <v>#DIV/0!</v>
      </c>
      <c r="FR24" s="273" t="e">
        <f t="shared" si="23"/>
        <v>#DIV/0!</v>
      </c>
      <c r="FT24" s="172">
        <f t="shared" si="24"/>
        <v>0</v>
      </c>
      <c r="FU24" s="847">
        <f t="shared" si="25"/>
        <v>0</v>
      </c>
      <c r="FV24" s="334">
        <f t="shared" si="26"/>
        <v>0</v>
      </c>
      <c r="FW24" s="247">
        <f t="shared" si="27"/>
        <v>0</v>
      </c>
    </row>
    <row r="25" spans="2:179" ht="18" customHeight="1">
      <c r="B25" s="859"/>
      <c r="C25" s="77"/>
      <c r="D25" s="839"/>
      <c r="E25" s="1106"/>
      <c r="F25" s="1107"/>
      <c r="G25" s="1108"/>
      <c r="H25" s="1109"/>
      <c r="I25" s="1110"/>
      <c r="J25" s="1109"/>
      <c r="K25" s="1110"/>
      <c r="L25" s="1109"/>
      <c r="M25" s="1110"/>
      <c r="N25" s="1109"/>
      <c r="O25" s="1110"/>
      <c r="P25" s="1109"/>
      <c r="Q25" s="1110"/>
      <c r="R25" s="1111"/>
      <c r="S25" s="1109"/>
      <c r="T25" s="1112"/>
      <c r="U25" s="1113"/>
      <c r="V25" s="839"/>
      <c r="W25" s="1114">
        <f t="shared" si="0"/>
        <v>0</v>
      </c>
      <c r="X25" s="1114">
        <f t="shared" si="1"/>
        <v>0</v>
      </c>
      <c r="Y25" s="1115">
        <f t="shared" si="2"/>
        <v>0</v>
      </c>
      <c r="AO25" s="1116">
        <f t="shared" si="28"/>
        <v>0</v>
      </c>
      <c r="AP25" s="1116">
        <f t="shared" si="3"/>
        <v>0</v>
      </c>
      <c r="AQ25" s="1116">
        <f t="shared" si="4"/>
        <v>0</v>
      </c>
      <c r="AR25" s="1116">
        <f t="shared" si="5"/>
        <v>0</v>
      </c>
      <c r="AS25" s="1116">
        <f t="shared" si="6"/>
        <v>0</v>
      </c>
      <c r="AT25" s="1116">
        <f t="shared" si="7"/>
        <v>0</v>
      </c>
      <c r="AU25" s="1116">
        <f t="shared" si="8"/>
        <v>0</v>
      </c>
      <c r="AV25" s="1116">
        <f t="shared" si="9"/>
        <v>0</v>
      </c>
      <c r="AW25" s="1116">
        <f t="shared" si="10"/>
        <v>0</v>
      </c>
      <c r="AX25" s="1116">
        <f t="shared" si="11"/>
        <v>0</v>
      </c>
      <c r="AY25" s="1116">
        <f t="shared" si="12"/>
        <v>0</v>
      </c>
      <c r="AZ25" s="847">
        <f t="shared" si="13"/>
        <v>0</v>
      </c>
      <c r="BA25">
        <f t="shared" si="14"/>
        <v>0</v>
      </c>
      <c r="BB25">
        <f t="shared" si="15"/>
        <v>0</v>
      </c>
      <c r="BC25">
        <f t="shared" si="16"/>
        <v>0</v>
      </c>
      <c r="BF25" s="1116">
        <f t="shared" si="17"/>
        <v>0</v>
      </c>
      <c r="BG25" s="1116">
        <f>(AO25*Pricing!F$3+'02-Gd Beams'!AP25*Pricing!G$3+'02-Gd Beams'!AQ25*Pricing!H$3+'02-Gd Beams'!AR25*Pricing!I$3+'02-Gd Beams'!AS25*Pricing!J$3+'02-Gd Beams'!AT25*Pricing!K$3)*IF(U$39="N",(1+W$39),1)</f>
        <v>0</v>
      </c>
      <c r="BH25" s="1116">
        <f t="shared" si="18"/>
        <v>0</v>
      </c>
      <c r="BI25" s="1116">
        <f t="shared" si="19"/>
        <v>0</v>
      </c>
      <c r="BJ25" s="1116">
        <f t="shared" si="20"/>
        <v>0</v>
      </c>
      <c r="BK25" s="1116">
        <f t="shared" si="21"/>
        <v>0</v>
      </c>
      <c r="BL25" s="1116"/>
      <c r="FQ25" s="273" t="e">
        <f t="shared" si="22"/>
        <v>#DIV/0!</v>
      </c>
      <c r="FR25" s="273" t="e">
        <f t="shared" si="23"/>
        <v>#DIV/0!</v>
      </c>
      <c r="FT25" s="172">
        <f t="shared" si="24"/>
        <v>0</v>
      </c>
      <c r="FU25" s="847">
        <f t="shared" si="25"/>
        <v>0</v>
      </c>
      <c r="FV25" s="334">
        <f t="shared" si="26"/>
        <v>0</v>
      </c>
      <c r="FW25" s="247">
        <f t="shared" si="27"/>
        <v>0</v>
      </c>
    </row>
    <row r="26" spans="2:179" ht="18" customHeight="1">
      <c r="B26" s="859"/>
      <c r="C26" s="77"/>
      <c r="D26" s="839"/>
      <c r="E26" s="1106"/>
      <c r="F26" s="1107"/>
      <c r="G26" s="1108"/>
      <c r="H26" s="1109"/>
      <c r="I26" s="1110"/>
      <c r="J26" s="1109"/>
      <c r="K26" s="1110"/>
      <c r="L26" s="1109"/>
      <c r="M26" s="1110"/>
      <c r="N26" s="1109"/>
      <c r="O26" s="1110"/>
      <c r="P26" s="1109"/>
      <c r="Q26" s="1110"/>
      <c r="R26" s="1111"/>
      <c r="S26" s="1109"/>
      <c r="T26" s="1112"/>
      <c r="U26" s="1113"/>
      <c r="V26" s="839"/>
      <c r="W26" s="1114">
        <f t="shared" si="0"/>
        <v>0</v>
      </c>
      <c r="X26" s="1114">
        <f t="shared" si="1"/>
        <v>0</v>
      </c>
      <c r="Y26" s="1115">
        <f t="shared" si="2"/>
        <v>0</v>
      </c>
      <c r="AO26" s="1116">
        <f t="shared" si="28"/>
        <v>0</v>
      </c>
      <c r="AP26" s="1116">
        <f t="shared" si="3"/>
        <v>0</v>
      </c>
      <c r="AQ26" s="1116">
        <f t="shared" si="4"/>
        <v>0</v>
      </c>
      <c r="AR26" s="1116">
        <f t="shared" si="5"/>
        <v>0</v>
      </c>
      <c r="AS26" s="1116">
        <f t="shared" si="6"/>
        <v>0</v>
      </c>
      <c r="AT26" s="1116">
        <f t="shared" si="7"/>
        <v>0</v>
      </c>
      <c r="AU26" s="1116">
        <f t="shared" si="8"/>
        <v>0</v>
      </c>
      <c r="AV26" s="1116">
        <f t="shared" si="9"/>
        <v>0</v>
      </c>
      <c r="AW26" s="1116">
        <f t="shared" si="10"/>
        <v>0</v>
      </c>
      <c r="AX26" s="1116">
        <f t="shared" si="11"/>
        <v>0</v>
      </c>
      <c r="AY26" s="1116">
        <f t="shared" si="12"/>
        <v>0</v>
      </c>
      <c r="AZ26" s="847">
        <f t="shared" si="13"/>
        <v>0</v>
      </c>
      <c r="BA26">
        <f t="shared" si="14"/>
        <v>0</v>
      </c>
      <c r="BB26">
        <f t="shared" si="15"/>
        <v>0</v>
      </c>
      <c r="BC26">
        <f t="shared" si="16"/>
        <v>0</v>
      </c>
      <c r="BF26" s="1116">
        <f t="shared" si="17"/>
        <v>0</v>
      </c>
      <c r="BG26" s="1116">
        <f>(AO26*Pricing!F$3+'02-Gd Beams'!AP26*Pricing!G$3+'02-Gd Beams'!AQ26*Pricing!H$3+'02-Gd Beams'!AR26*Pricing!I$3+'02-Gd Beams'!AS26*Pricing!J$3+'02-Gd Beams'!AT26*Pricing!K$3)*IF(U$39="N",(1+W$39),1)</f>
        <v>0</v>
      </c>
      <c r="BH26" s="1116">
        <f t="shared" si="18"/>
        <v>0</v>
      </c>
      <c r="BI26" s="1116">
        <f t="shared" si="19"/>
        <v>0</v>
      </c>
      <c r="BJ26" s="1116">
        <f t="shared" si="20"/>
        <v>0</v>
      </c>
      <c r="BK26" s="1116">
        <f t="shared" si="21"/>
        <v>0</v>
      </c>
      <c r="BL26" s="1116"/>
      <c r="FQ26" s="273" t="e">
        <f t="shared" si="22"/>
        <v>#DIV/0!</v>
      </c>
      <c r="FR26" s="273" t="e">
        <f t="shared" si="23"/>
        <v>#DIV/0!</v>
      </c>
      <c r="FT26" s="172">
        <f t="shared" si="24"/>
        <v>0</v>
      </c>
      <c r="FU26" s="847">
        <f t="shared" si="25"/>
        <v>0</v>
      </c>
      <c r="FV26" s="334">
        <f t="shared" si="26"/>
        <v>0</v>
      </c>
      <c r="FW26" s="247">
        <f t="shared" si="27"/>
        <v>0</v>
      </c>
    </row>
    <row r="27" spans="2:179" ht="18" customHeight="1">
      <c r="B27" s="859"/>
      <c r="C27" s="77"/>
      <c r="D27" s="839"/>
      <c r="E27" s="1106"/>
      <c r="F27" s="1107"/>
      <c r="G27" s="1108"/>
      <c r="H27" s="1109"/>
      <c r="I27" s="1110"/>
      <c r="J27" s="1109"/>
      <c r="K27" s="1110"/>
      <c r="L27" s="1109"/>
      <c r="M27" s="1110"/>
      <c r="N27" s="1109"/>
      <c r="O27" s="1110"/>
      <c r="P27" s="1109"/>
      <c r="Q27" s="1110"/>
      <c r="R27" s="1111"/>
      <c r="S27" s="1109"/>
      <c r="T27" s="1112"/>
      <c r="U27" s="1113"/>
      <c r="V27" s="839"/>
      <c r="W27" s="1114">
        <f t="shared" si="0"/>
        <v>0</v>
      </c>
      <c r="X27" s="1114">
        <f t="shared" si="1"/>
        <v>0</v>
      </c>
      <c r="Y27" s="1115">
        <f t="shared" si="2"/>
        <v>0</v>
      </c>
      <c r="AO27" s="1116">
        <f t="shared" si="28"/>
        <v>0</v>
      </c>
      <c r="AP27" s="1116">
        <f t="shared" si="3"/>
        <v>0</v>
      </c>
      <c r="AQ27" s="1116">
        <f t="shared" si="4"/>
        <v>0</v>
      </c>
      <c r="AR27" s="1116">
        <f t="shared" si="5"/>
        <v>0</v>
      </c>
      <c r="AS27" s="1116">
        <f t="shared" si="6"/>
        <v>0</v>
      </c>
      <c r="AT27" s="1116">
        <f t="shared" si="7"/>
        <v>0</v>
      </c>
      <c r="AU27" s="1116">
        <f t="shared" si="8"/>
        <v>0</v>
      </c>
      <c r="AV27" s="1116">
        <f t="shared" si="9"/>
        <v>0</v>
      </c>
      <c r="AW27" s="1116">
        <f t="shared" si="10"/>
        <v>0</v>
      </c>
      <c r="AX27" s="1116">
        <f t="shared" si="11"/>
        <v>0</v>
      </c>
      <c r="AY27" s="1116">
        <f t="shared" si="12"/>
        <v>0</v>
      </c>
      <c r="AZ27" s="847">
        <f t="shared" si="13"/>
        <v>0</v>
      </c>
      <c r="BA27">
        <f t="shared" si="14"/>
        <v>0</v>
      </c>
      <c r="BB27">
        <f t="shared" si="15"/>
        <v>0</v>
      </c>
      <c r="BC27">
        <f t="shared" si="16"/>
        <v>0</v>
      </c>
      <c r="BF27" s="1116">
        <f t="shared" si="17"/>
        <v>0</v>
      </c>
      <c r="BG27" s="1116">
        <f>(AO27*Pricing!F$3+'02-Gd Beams'!AP27*Pricing!G$3+'02-Gd Beams'!AQ27*Pricing!H$3+'02-Gd Beams'!AR27*Pricing!I$3+'02-Gd Beams'!AS27*Pricing!J$3+'02-Gd Beams'!AT27*Pricing!K$3)*IF(U$39="N",(1+W$39),1)</f>
        <v>0</v>
      </c>
      <c r="BH27" s="1116">
        <f t="shared" si="18"/>
        <v>0</v>
      </c>
      <c r="BI27" s="1116">
        <f t="shared" si="19"/>
        <v>0</v>
      </c>
      <c r="BJ27" s="1116">
        <f t="shared" si="20"/>
        <v>0</v>
      </c>
      <c r="BK27" s="1116">
        <f t="shared" si="21"/>
        <v>0</v>
      </c>
      <c r="BL27" s="1116"/>
      <c r="FQ27" s="273" t="e">
        <f t="shared" si="22"/>
        <v>#DIV/0!</v>
      </c>
      <c r="FR27" s="273" t="e">
        <f t="shared" si="23"/>
        <v>#DIV/0!</v>
      </c>
      <c r="FT27" s="172">
        <f t="shared" si="24"/>
        <v>0</v>
      </c>
      <c r="FU27" s="847">
        <f t="shared" si="25"/>
        <v>0</v>
      </c>
      <c r="FV27" s="334">
        <f t="shared" si="26"/>
        <v>0</v>
      </c>
      <c r="FW27" s="247">
        <f t="shared" si="27"/>
        <v>0</v>
      </c>
    </row>
    <row r="28" spans="2:179" ht="18" customHeight="1">
      <c r="B28" s="859"/>
      <c r="C28" s="77"/>
      <c r="D28" s="839"/>
      <c r="E28" s="1106"/>
      <c r="F28" s="1107"/>
      <c r="G28" s="1108"/>
      <c r="H28" s="1109"/>
      <c r="I28" s="1110"/>
      <c r="J28" s="1109"/>
      <c r="K28" s="1110"/>
      <c r="L28" s="1109"/>
      <c r="M28" s="1110"/>
      <c r="N28" s="1109"/>
      <c r="O28" s="1110"/>
      <c r="P28" s="1109"/>
      <c r="Q28" s="1110"/>
      <c r="R28" s="1111"/>
      <c r="S28" s="1109"/>
      <c r="T28" s="1112"/>
      <c r="U28" s="1113"/>
      <c r="V28" s="839"/>
      <c r="W28" s="1114">
        <f t="shared" si="0"/>
        <v>0</v>
      </c>
      <c r="X28" s="1114">
        <f t="shared" si="1"/>
        <v>0</v>
      </c>
      <c r="Y28" s="1115">
        <f t="shared" si="2"/>
        <v>0</v>
      </c>
      <c r="AO28" s="1116">
        <f t="shared" si="28"/>
        <v>0</v>
      </c>
      <c r="AP28" s="1116">
        <f t="shared" si="3"/>
        <v>0</v>
      </c>
      <c r="AQ28" s="1116">
        <f t="shared" si="4"/>
        <v>0</v>
      </c>
      <c r="AR28" s="1116">
        <f t="shared" si="5"/>
        <v>0</v>
      </c>
      <c r="AS28" s="1116">
        <f t="shared" si="6"/>
        <v>0</v>
      </c>
      <c r="AT28" s="1116">
        <f t="shared" si="7"/>
        <v>0</v>
      </c>
      <c r="AU28" s="1116">
        <f t="shared" si="8"/>
        <v>0</v>
      </c>
      <c r="AV28" s="1116">
        <f t="shared" si="9"/>
        <v>0</v>
      </c>
      <c r="AW28" s="1116">
        <f t="shared" si="10"/>
        <v>0</v>
      </c>
      <c r="AX28" s="1116">
        <f t="shared" si="11"/>
        <v>0</v>
      </c>
      <c r="AY28" s="1116">
        <f t="shared" si="12"/>
        <v>0</v>
      </c>
      <c r="AZ28" s="847">
        <f t="shared" si="13"/>
        <v>0</v>
      </c>
      <c r="BA28">
        <f t="shared" si="14"/>
        <v>0</v>
      </c>
      <c r="BB28">
        <f t="shared" si="15"/>
        <v>0</v>
      </c>
      <c r="BC28">
        <f t="shared" si="16"/>
        <v>0</v>
      </c>
      <c r="BF28" s="1116">
        <f t="shared" si="17"/>
        <v>0</v>
      </c>
      <c r="BG28" s="1116">
        <f>(AO28*Pricing!F$3+'02-Gd Beams'!AP28*Pricing!G$3+'02-Gd Beams'!AQ28*Pricing!H$3+'02-Gd Beams'!AR28*Pricing!I$3+'02-Gd Beams'!AS28*Pricing!J$3+'02-Gd Beams'!AT28*Pricing!K$3)*IF(U$39="N",(1+W$39),1)</f>
        <v>0</v>
      </c>
      <c r="BH28" s="1116">
        <f t="shared" si="18"/>
        <v>0</v>
      </c>
      <c r="BI28" s="1116">
        <f t="shared" si="19"/>
        <v>0</v>
      </c>
      <c r="BJ28" s="1116">
        <f t="shared" si="20"/>
        <v>0</v>
      </c>
      <c r="BK28" s="1116">
        <f t="shared" si="21"/>
        <v>0</v>
      </c>
      <c r="BL28" s="1116"/>
      <c r="FQ28" s="273" t="e">
        <f t="shared" si="22"/>
        <v>#DIV/0!</v>
      </c>
      <c r="FR28" s="273" t="e">
        <f t="shared" si="23"/>
        <v>#DIV/0!</v>
      </c>
      <c r="FT28" s="172">
        <f t="shared" si="24"/>
        <v>0</v>
      </c>
      <c r="FU28" s="847">
        <f t="shared" si="25"/>
        <v>0</v>
      </c>
      <c r="FV28" s="334">
        <f t="shared" si="26"/>
        <v>0</v>
      </c>
      <c r="FW28" s="247">
        <f t="shared" si="27"/>
        <v>0</v>
      </c>
    </row>
    <row r="29" spans="2:179" ht="18" customHeight="1">
      <c r="B29" s="859"/>
      <c r="C29" s="77"/>
      <c r="D29" s="839"/>
      <c r="E29" s="1106"/>
      <c r="F29" s="1107"/>
      <c r="G29" s="1108"/>
      <c r="H29" s="1109"/>
      <c r="I29" s="1110"/>
      <c r="J29" s="1109"/>
      <c r="K29" s="1110"/>
      <c r="L29" s="1109"/>
      <c r="M29" s="1110"/>
      <c r="N29" s="1109"/>
      <c r="O29" s="1110"/>
      <c r="P29" s="1109"/>
      <c r="Q29" s="1110"/>
      <c r="R29" s="1111"/>
      <c r="S29" s="1109"/>
      <c r="T29" s="1112"/>
      <c r="U29" s="1113"/>
      <c r="V29" s="839"/>
      <c r="W29" s="1114">
        <f t="shared" si="0"/>
        <v>0</v>
      </c>
      <c r="X29" s="1114">
        <f t="shared" si="1"/>
        <v>0</v>
      </c>
      <c r="Y29" s="1115">
        <f t="shared" si="2"/>
        <v>0</v>
      </c>
      <c r="AO29" s="1116">
        <f t="shared" si="28"/>
        <v>0</v>
      </c>
      <c r="AP29" s="1116">
        <f t="shared" si="3"/>
        <v>0</v>
      </c>
      <c r="AQ29" s="1116">
        <f t="shared" si="4"/>
        <v>0</v>
      </c>
      <c r="AR29" s="1116">
        <f t="shared" si="5"/>
        <v>0</v>
      </c>
      <c r="AS29" s="1116">
        <f t="shared" si="6"/>
        <v>0</v>
      </c>
      <c r="AT29" s="1116">
        <f t="shared" si="7"/>
        <v>0</v>
      </c>
      <c r="AU29" s="1116">
        <f t="shared" si="8"/>
        <v>0</v>
      </c>
      <c r="AV29" s="1116">
        <f t="shared" si="9"/>
        <v>0</v>
      </c>
      <c r="AW29" s="1116">
        <f t="shared" si="10"/>
        <v>0</v>
      </c>
      <c r="AX29" s="1116">
        <f t="shared" si="11"/>
        <v>0</v>
      </c>
      <c r="AY29" s="1116">
        <f t="shared" si="12"/>
        <v>0</v>
      </c>
      <c r="AZ29" s="847">
        <f t="shared" si="13"/>
        <v>0</v>
      </c>
      <c r="BA29">
        <f t="shared" si="14"/>
        <v>0</v>
      </c>
      <c r="BB29">
        <f t="shared" si="15"/>
        <v>0</v>
      </c>
      <c r="BC29">
        <f t="shared" si="16"/>
        <v>0</v>
      </c>
      <c r="BF29" s="1116">
        <f t="shared" si="17"/>
        <v>0</v>
      </c>
      <c r="BG29" s="1116">
        <f>(AO29*Pricing!F$3+'02-Gd Beams'!AP29*Pricing!G$3+'02-Gd Beams'!AQ29*Pricing!H$3+'02-Gd Beams'!AR29*Pricing!I$3+'02-Gd Beams'!AS29*Pricing!J$3+'02-Gd Beams'!AT29*Pricing!K$3)*IF(U$39="N",(1+W$39),1)</f>
        <v>0</v>
      </c>
      <c r="BH29" s="1116">
        <f t="shared" si="18"/>
        <v>0</v>
      </c>
      <c r="BI29" s="1116">
        <f t="shared" si="19"/>
        <v>0</v>
      </c>
      <c r="BJ29" s="1116">
        <f t="shared" si="20"/>
        <v>0</v>
      </c>
      <c r="BK29" s="1116">
        <f t="shared" si="21"/>
        <v>0</v>
      </c>
      <c r="BL29" s="1116"/>
      <c r="FQ29" s="273" t="e">
        <f t="shared" si="22"/>
        <v>#DIV/0!</v>
      </c>
      <c r="FR29" s="273" t="e">
        <f t="shared" si="23"/>
        <v>#DIV/0!</v>
      </c>
      <c r="FT29" s="172">
        <f t="shared" si="24"/>
        <v>0</v>
      </c>
      <c r="FU29" s="847">
        <f t="shared" si="25"/>
        <v>0</v>
      </c>
      <c r="FV29" s="334">
        <f t="shared" si="26"/>
        <v>0</v>
      </c>
      <c r="FW29" s="247">
        <f t="shared" si="27"/>
        <v>0</v>
      </c>
    </row>
    <row r="30" spans="2:179" ht="18" customHeight="1">
      <c r="B30" s="859"/>
      <c r="C30" s="77"/>
      <c r="D30" s="839"/>
      <c r="E30" s="1106"/>
      <c r="F30" s="1107"/>
      <c r="G30" s="1108"/>
      <c r="H30" s="1109"/>
      <c r="I30" s="1110"/>
      <c r="J30" s="1109"/>
      <c r="K30" s="1110"/>
      <c r="L30" s="1109"/>
      <c r="M30" s="1110"/>
      <c r="N30" s="1109"/>
      <c r="O30" s="1110"/>
      <c r="P30" s="1109"/>
      <c r="Q30" s="1110"/>
      <c r="R30" s="1111"/>
      <c r="S30" s="1109"/>
      <c r="T30" s="1112"/>
      <c r="U30" s="1113"/>
      <c r="V30" s="839"/>
      <c r="W30" s="1114">
        <f t="shared" si="0"/>
        <v>0</v>
      </c>
      <c r="X30" s="1114">
        <f t="shared" si="1"/>
        <v>0</v>
      </c>
      <c r="Y30" s="1115">
        <f t="shared" si="2"/>
        <v>0</v>
      </c>
      <c r="AO30" s="1116">
        <f t="shared" si="28"/>
        <v>0</v>
      </c>
      <c r="AP30" s="1116">
        <f t="shared" si="3"/>
        <v>0</v>
      </c>
      <c r="AQ30" s="1116">
        <f t="shared" si="4"/>
        <v>0</v>
      </c>
      <c r="AR30" s="1116">
        <f t="shared" si="5"/>
        <v>0</v>
      </c>
      <c r="AS30" s="1116">
        <f t="shared" si="6"/>
        <v>0</v>
      </c>
      <c r="AT30" s="1116">
        <f t="shared" si="7"/>
        <v>0</v>
      </c>
      <c r="AU30" s="1116">
        <f t="shared" si="8"/>
        <v>0</v>
      </c>
      <c r="AV30" s="1116">
        <f t="shared" si="9"/>
        <v>0</v>
      </c>
      <c r="AW30" s="1116">
        <f t="shared" si="10"/>
        <v>0</v>
      </c>
      <c r="AX30" s="1116">
        <f t="shared" si="11"/>
        <v>0</v>
      </c>
      <c r="AY30" s="1116">
        <f t="shared" si="12"/>
        <v>0</v>
      </c>
      <c r="AZ30" s="847">
        <f t="shared" si="13"/>
        <v>0</v>
      </c>
      <c r="BA30">
        <f t="shared" si="14"/>
        <v>0</v>
      </c>
      <c r="BB30">
        <f t="shared" si="15"/>
        <v>0</v>
      </c>
      <c r="BC30">
        <f t="shared" si="16"/>
        <v>0</v>
      </c>
      <c r="BF30" s="1116">
        <f t="shared" si="17"/>
        <v>0</v>
      </c>
      <c r="BG30" s="1116">
        <f>(AO30*Pricing!F$3+'02-Gd Beams'!AP30*Pricing!G$3+'02-Gd Beams'!AQ30*Pricing!H$3+'02-Gd Beams'!AR30*Pricing!I$3+'02-Gd Beams'!AS30*Pricing!J$3+'02-Gd Beams'!AT30*Pricing!K$3)*IF(U$39="N",(1+W$39),1)</f>
        <v>0</v>
      </c>
      <c r="BH30" s="1116">
        <f t="shared" si="18"/>
        <v>0</v>
      </c>
      <c r="BI30" s="1116">
        <f t="shared" si="19"/>
        <v>0</v>
      </c>
      <c r="BJ30" s="1116">
        <f t="shared" si="20"/>
        <v>0</v>
      </c>
      <c r="BK30" s="1116">
        <f t="shared" si="21"/>
        <v>0</v>
      </c>
      <c r="BL30" s="1116"/>
      <c r="FQ30" s="273" t="e">
        <f t="shared" si="22"/>
        <v>#DIV/0!</v>
      </c>
      <c r="FR30" s="273" t="e">
        <f t="shared" si="23"/>
        <v>#DIV/0!</v>
      </c>
      <c r="FT30" s="172">
        <f t="shared" si="24"/>
        <v>0</v>
      </c>
      <c r="FU30" s="847">
        <f t="shared" si="25"/>
        <v>0</v>
      </c>
      <c r="FV30" s="334">
        <f t="shared" si="26"/>
        <v>0</v>
      </c>
      <c r="FW30" s="247">
        <f t="shared" si="27"/>
        <v>0</v>
      </c>
    </row>
    <row r="31" spans="2:179" ht="18" customHeight="1">
      <c r="B31" s="859"/>
      <c r="C31" s="77"/>
      <c r="D31" s="839"/>
      <c r="E31" s="1106"/>
      <c r="F31" s="1107"/>
      <c r="G31" s="1108"/>
      <c r="H31" s="1109"/>
      <c r="I31" s="1110"/>
      <c r="J31" s="1109"/>
      <c r="K31" s="1110"/>
      <c r="L31" s="1109"/>
      <c r="M31" s="1110"/>
      <c r="N31" s="1109"/>
      <c r="O31" s="1110"/>
      <c r="P31" s="1109"/>
      <c r="Q31" s="1110"/>
      <c r="R31" s="1108"/>
      <c r="S31" s="1109"/>
      <c r="T31" s="1112"/>
      <c r="U31" s="1113"/>
      <c r="V31" s="839"/>
      <c r="W31" s="1114">
        <f t="shared" si="0"/>
        <v>0</v>
      </c>
      <c r="X31" s="1114">
        <f t="shared" si="1"/>
        <v>0</v>
      </c>
      <c r="Y31" s="1115">
        <f t="shared" si="2"/>
        <v>0</v>
      </c>
      <c r="AO31" s="1116">
        <f t="shared" si="28"/>
        <v>0</v>
      </c>
      <c r="AP31" s="1116">
        <f t="shared" si="3"/>
        <v>0</v>
      </c>
      <c r="AQ31" s="1116">
        <f t="shared" si="4"/>
        <v>0</v>
      </c>
      <c r="AR31" s="1116">
        <f t="shared" si="5"/>
        <v>0</v>
      </c>
      <c r="AS31" s="1116">
        <f t="shared" si="6"/>
        <v>0</v>
      </c>
      <c r="AT31" s="1116">
        <f t="shared" si="7"/>
        <v>0</v>
      </c>
      <c r="AU31" s="1116">
        <f t="shared" si="8"/>
        <v>0</v>
      </c>
      <c r="AV31" s="1116">
        <f t="shared" si="9"/>
        <v>0</v>
      </c>
      <c r="AW31" s="1116">
        <f t="shared" si="10"/>
        <v>0</v>
      </c>
      <c r="AX31" s="1116">
        <f t="shared" si="11"/>
        <v>0</v>
      </c>
      <c r="AY31" s="1116">
        <f t="shared" si="12"/>
        <v>0</v>
      </c>
      <c r="AZ31" s="847">
        <f t="shared" si="13"/>
        <v>0</v>
      </c>
      <c r="BA31">
        <f t="shared" si="14"/>
        <v>0</v>
      </c>
      <c r="BB31">
        <f t="shared" si="15"/>
        <v>0</v>
      </c>
      <c r="BC31">
        <f t="shared" si="16"/>
        <v>0</v>
      </c>
      <c r="BF31" s="1116">
        <f t="shared" si="17"/>
        <v>0</v>
      </c>
      <c r="BG31" s="1116">
        <f>(AO31*Pricing!F$3+'02-Gd Beams'!AP31*Pricing!G$3+'02-Gd Beams'!AQ31*Pricing!H$3+'02-Gd Beams'!AR31*Pricing!I$3+'02-Gd Beams'!AS31*Pricing!J$3+'02-Gd Beams'!AT31*Pricing!K$3)*IF(U$39="N",(1+W$39),1)</f>
        <v>0</v>
      </c>
      <c r="BH31" s="1116">
        <f t="shared" si="18"/>
        <v>0</v>
      </c>
      <c r="BI31" s="1116">
        <f t="shared" si="19"/>
        <v>0</v>
      </c>
      <c r="BJ31" s="1116">
        <f t="shared" si="20"/>
        <v>0</v>
      </c>
      <c r="BK31" s="1116">
        <f t="shared" si="21"/>
        <v>0</v>
      </c>
      <c r="BL31" s="1116"/>
      <c r="FQ31" s="273" t="e">
        <f t="shared" si="22"/>
        <v>#DIV/0!</v>
      </c>
      <c r="FR31" s="273" t="e">
        <f t="shared" si="23"/>
        <v>#DIV/0!</v>
      </c>
      <c r="FT31" s="172">
        <f t="shared" si="24"/>
        <v>0</v>
      </c>
      <c r="FU31" s="847">
        <f t="shared" si="25"/>
        <v>0</v>
      </c>
      <c r="FV31" s="334">
        <f t="shared" si="26"/>
        <v>0</v>
      </c>
      <c r="FW31" s="247">
        <f t="shared" si="27"/>
        <v>0</v>
      </c>
    </row>
    <row r="32" spans="2:179" ht="18" customHeight="1">
      <c r="B32" s="859"/>
      <c r="C32" s="77"/>
      <c r="D32" s="839"/>
      <c r="E32" s="1106"/>
      <c r="F32" s="1107"/>
      <c r="G32" s="1108"/>
      <c r="H32" s="1109"/>
      <c r="I32" s="1110"/>
      <c r="J32" s="1109"/>
      <c r="K32" s="1110"/>
      <c r="L32" s="1109"/>
      <c r="M32" s="1110"/>
      <c r="N32" s="1109"/>
      <c r="O32" s="1110"/>
      <c r="P32" s="1109"/>
      <c r="Q32" s="1110"/>
      <c r="R32" s="1108"/>
      <c r="S32" s="1109"/>
      <c r="T32" s="1112"/>
      <c r="U32" s="1113"/>
      <c r="V32" s="839"/>
      <c r="W32" s="1114">
        <f t="shared" si="0"/>
        <v>0</v>
      </c>
      <c r="X32" s="1114">
        <f t="shared" si="1"/>
        <v>0</v>
      </c>
      <c r="Y32" s="1115">
        <f t="shared" si="2"/>
        <v>0</v>
      </c>
      <c r="AO32" s="1116">
        <f t="shared" si="28"/>
        <v>0</v>
      </c>
      <c r="AP32" s="1116">
        <f t="shared" si="3"/>
        <v>0</v>
      </c>
      <c r="AQ32" s="1116">
        <f t="shared" si="4"/>
        <v>0</v>
      </c>
      <c r="AR32" s="1116">
        <f t="shared" si="5"/>
        <v>0</v>
      </c>
      <c r="AS32" s="1116">
        <f t="shared" si="6"/>
        <v>0</v>
      </c>
      <c r="AT32" s="1116">
        <f t="shared" si="7"/>
        <v>0</v>
      </c>
      <c r="AU32" s="1116">
        <f t="shared" si="8"/>
        <v>0</v>
      </c>
      <c r="AV32" s="1116">
        <f t="shared" si="9"/>
        <v>0</v>
      </c>
      <c r="AW32" s="1116">
        <f t="shared" si="10"/>
        <v>0</v>
      </c>
      <c r="AX32" s="1116">
        <f t="shared" si="11"/>
        <v>0</v>
      </c>
      <c r="AY32" s="1116">
        <f t="shared" si="12"/>
        <v>0</v>
      </c>
      <c r="AZ32" s="847">
        <f t="shared" si="13"/>
        <v>0</v>
      </c>
      <c r="BA32">
        <f t="shared" si="14"/>
        <v>0</v>
      </c>
      <c r="BB32">
        <f t="shared" si="15"/>
        <v>0</v>
      </c>
      <c r="BC32">
        <f t="shared" si="16"/>
        <v>0</v>
      </c>
      <c r="BF32" s="1116">
        <f t="shared" si="17"/>
        <v>0</v>
      </c>
      <c r="BG32" s="1116">
        <f>(AO32*Pricing!F$3+'02-Gd Beams'!AP32*Pricing!G$3+'02-Gd Beams'!AQ32*Pricing!H$3+'02-Gd Beams'!AR32*Pricing!I$3+'02-Gd Beams'!AS32*Pricing!J$3+'02-Gd Beams'!AT32*Pricing!K$3)*IF(U$39="N",(1+W$39),1)</f>
        <v>0</v>
      </c>
      <c r="BH32" s="1116">
        <f t="shared" si="18"/>
        <v>0</v>
      </c>
      <c r="BI32" s="1116">
        <f t="shared" si="19"/>
        <v>0</v>
      </c>
      <c r="BJ32" s="1116">
        <f t="shared" si="20"/>
        <v>0</v>
      </c>
      <c r="BK32" s="1116">
        <f t="shared" si="21"/>
        <v>0</v>
      </c>
      <c r="BL32" s="1116"/>
      <c r="FQ32" s="273" t="e">
        <f t="shared" si="22"/>
        <v>#DIV/0!</v>
      </c>
      <c r="FR32" s="273" t="e">
        <f t="shared" si="23"/>
        <v>#DIV/0!</v>
      </c>
      <c r="FT32" s="172">
        <f t="shared" si="24"/>
        <v>0</v>
      </c>
      <c r="FU32" s="847">
        <f t="shared" si="25"/>
        <v>0</v>
      </c>
      <c r="FV32" s="334">
        <f t="shared" si="26"/>
        <v>0</v>
      </c>
      <c r="FW32" s="247">
        <f t="shared" si="27"/>
        <v>0</v>
      </c>
    </row>
    <row r="33" spans="2:179" ht="18" customHeight="1">
      <c r="B33" s="859"/>
      <c r="C33" s="77"/>
      <c r="D33" s="839"/>
      <c r="E33" s="1106"/>
      <c r="F33" s="1107"/>
      <c r="G33" s="1108"/>
      <c r="H33" s="1109"/>
      <c r="I33" s="1110"/>
      <c r="J33" s="1109"/>
      <c r="K33" s="1110"/>
      <c r="L33" s="1109"/>
      <c r="M33" s="1110"/>
      <c r="N33" s="1109"/>
      <c r="O33" s="1110"/>
      <c r="P33" s="1109"/>
      <c r="Q33" s="1110"/>
      <c r="R33" s="1108"/>
      <c r="S33" s="1109"/>
      <c r="T33" s="1112"/>
      <c r="U33" s="1113"/>
      <c r="V33" s="839"/>
      <c r="W33" s="1114">
        <f t="shared" si="0"/>
        <v>0</v>
      </c>
      <c r="X33" s="1114">
        <f t="shared" si="1"/>
        <v>0</v>
      </c>
      <c r="Y33" s="1115">
        <f t="shared" si="2"/>
        <v>0</v>
      </c>
      <c r="AO33" s="1116">
        <f t="shared" si="28"/>
        <v>0</v>
      </c>
      <c r="AP33" s="1116">
        <f t="shared" si="3"/>
        <v>0</v>
      </c>
      <c r="AQ33" s="1116">
        <f t="shared" si="4"/>
        <v>0</v>
      </c>
      <c r="AR33" s="1116">
        <f t="shared" si="5"/>
        <v>0</v>
      </c>
      <c r="AS33" s="1116">
        <f t="shared" si="6"/>
        <v>0</v>
      </c>
      <c r="AT33" s="1116">
        <f t="shared" si="7"/>
        <v>0</v>
      </c>
      <c r="AU33" s="1116">
        <f t="shared" si="8"/>
        <v>0</v>
      </c>
      <c r="AV33" s="1116">
        <f t="shared" si="9"/>
        <v>0</v>
      </c>
      <c r="AW33" s="1116">
        <f t="shared" si="10"/>
        <v>0</v>
      </c>
      <c r="AX33" s="1116">
        <f t="shared" si="11"/>
        <v>0</v>
      </c>
      <c r="AY33" s="1116">
        <f t="shared" si="12"/>
        <v>0</v>
      </c>
      <c r="AZ33" s="847">
        <f t="shared" si="13"/>
        <v>0</v>
      </c>
      <c r="BA33">
        <f t="shared" si="14"/>
        <v>0</v>
      </c>
      <c r="BB33">
        <f t="shared" si="15"/>
        <v>0</v>
      </c>
      <c r="BC33">
        <f t="shared" si="16"/>
        <v>0</v>
      </c>
      <c r="BF33" s="1116">
        <f t="shared" si="17"/>
        <v>0</v>
      </c>
      <c r="BG33" s="1116">
        <f>(AO33*Pricing!F$3+'02-Gd Beams'!AP33*Pricing!G$3+'02-Gd Beams'!AQ33*Pricing!H$3+'02-Gd Beams'!AR33*Pricing!I$3+'02-Gd Beams'!AS33*Pricing!J$3+'02-Gd Beams'!AT33*Pricing!K$3)*IF(U$39="N",(1+W$39),1)</f>
        <v>0</v>
      </c>
      <c r="BH33" s="1116">
        <f t="shared" si="18"/>
        <v>0</v>
      </c>
      <c r="BI33" s="1116">
        <f t="shared" si="19"/>
        <v>0</v>
      </c>
      <c r="BJ33" s="1116">
        <f t="shared" si="20"/>
        <v>0</v>
      </c>
      <c r="BK33" s="1116">
        <f t="shared" si="21"/>
        <v>0</v>
      </c>
      <c r="BL33" s="1116"/>
      <c r="FQ33" s="273" t="e">
        <f t="shared" si="22"/>
        <v>#DIV/0!</v>
      </c>
      <c r="FR33" s="273" t="e">
        <f t="shared" si="23"/>
        <v>#DIV/0!</v>
      </c>
      <c r="FT33" s="172">
        <f t="shared" si="24"/>
        <v>0</v>
      </c>
      <c r="FU33" s="847">
        <f t="shared" si="25"/>
        <v>0</v>
      </c>
      <c r="FV33" s="334">
        <f t="shared" si="26"/>
        <v>0</v>
      </c>
      <c r="FW33" s="247">
        <f t="shared" si="27"/>
        <v>0</v>
      </c>
    </row>
    <row r="34" spans="2:179" ht="18" customHeight="1">
      <c r="B34" s="859"/>
      <c r="C34" s="77"/>
      <c r="D34" s="839"/>
      <c r="E34" s="1106"/>
      <c r="F34" s="1107"/>
      <c r="G34" s="1108"/>
      <c r="H34" s="1109"/>
      <c r="I34" s="1110"/>
      <c r="J34" s="1109"/>
      <c r="K34" s="1110"/>
      <c r="L34" s="1109"/>
      <c r="M34" s="1110"/>
      <c r="N34" s="1109"/>
      <c r="O34" s="1110"/>
      <c r="P34" s="1109"/>
      <c r="Q34" s="1110"/>
      <c r="R34" s="1108"/>
      <c r="S34" s="1109"/>
      <c r="T34" s="1112"/>
      <c r="U34" s="1113"/>
      <c r="V34" s="839"/>
      <c r="W34" s="1114">
        <f t="shared" si="0"/>
        <v>0</v>
      </c>
      <c r="X34" s="1114">
        <f t="shared" si="1"/>
        <v>0</v>
      </c>
      <c r="Y34" s="1115">
        <f t="shared" si="2"/>
        <v>0</v>
      </c>
      <c r="AO34" s="1116">
        <f t="shared" si="28"/>
        <v>0</v>
      </c>
      <c r="AP34" s="1116">
        <f t="shared" si="3"/>
        <v>0</v>
      </c>
      <c r="AQ34" s="1116">
        <f t="shared" si="4"/>
        <v>0</v>
      </c>
      <c r="AR34" s="1116">
        <f t="shared" si="5"/>
        <v>0</v>
      </c>
      <c r="AS34" s="1116">
        <f t="shared" si="6"/>
        <v>0</v>
      </c>
      <c r="AT34" s="1116">
        <f t="shared" si="7"/>
        <v>0</v>
      </c>
      <c r="AU34" s="1116">
        <f t="shared" si="8"/>
        <v>0</v>
      </c>
      <c r="AV34" s="1116">
        <f t="shared" si="9"/>
        <v>0</v>
      </c>
      <c r="AW34" s="1116">
        <f t="shared" si="10"/>
        <v>0</v>
      </c>
      <c r="AX34" s="1116">
        <f t="shared" si="11"/>
        <v>0</v>
      </c>
      <c r="AY34" s="1116">
        <f t="shared" si="12"/>
        <v>0</v>
      </c>
      <c r="AZ34" s="847">
        <f t="shared" si="13"/>
        <v>0</v>
      </c>
      <c r="BA34">
        <f t="shared" si="14"/>
        <v>0</v>
      </c>
      <c r="BB34">
        <f t="shared" si="15"/>
        <v>0</v>
      </c>
      <c r="BC34">
        <f t="shared" si="16"/>
        <v>0</v>
      </c>
      <c r="BF34" s="1116">
        <f t="shared" si="17"/>
        <v>0</v>
      </c>
      <c r="BG34" s="1116">
        <f>(AO34*Pricing!F$3+'02-Gd Beams'!AP34*Pricing!G$3+'02-Gd Beams'!AQ34*Pricing!H$3+'02-Gd Beams'!AR34*Pricing!I$3+'02-Gd Beams'!AS34*Pricing!J$3+'02-Gd Beams'!AT34*Pricing!K$3)*IF(U$39="N",(1+W$39),1)</f>
        <v>0</v>
      </c>
      <c r="BH34" s="1116">
        <f t="shared" si="18"/>
        <v>0</v>
      </c>
      <c r="BI34" s="1116">
        <f t="shared" si="19"/>
        <v>0</v>
      </c>
      <c r="BJ34" s="1116">
        <f t="shared" si="20"/>
        <v>0</v>
      </c>
      <c r="BK34" s="1116">
        <f t="shared" si="21"/>
        <v>0</v>
      </c>
      <c r="BL34" s="1116"/>
      <c r="FQ34" s="273" t="e">
        <f t="shared" si="22"/>
        <v>#DIV/0!</v>
      </c>
      <c r="FR34" s="273" t="e">
        <f t="shared" si="23"/>
        <v>#DIV/0!</v>
      </c>
      <c r="FT34" s="172">
        <f t="shared" si="24"/>
        <v>0</v>
      </c>
      <c r="FU34" s="847">
        <f t="shared" si="25"/>
        <v>0</v>
      </c>
      <c r="FV34" s="334">
        <f t="shared" si="26"/>
        <v>0</v>
      </c>
      <c r="FW34" s="247">
        <f t="shared" si="27"/>
        <v>0</v>
      </c>
    </row>
    <row r="35" spans="2:179" ht="18" customHeight="1">
      <c r="B35" s="859"/>
      <c r="C35" s="77"/>
      <c r="D35" s="839"/>
      <c r="E35" s="1106"/>
      <c r="F35" s="1107"/>
      <c r="G35" s="1108"/>
      <c r="H35" s="1109"/>
      <c r="I35" s="1110"/>
      <c r="J35" s="1109"/>
      <c r="K35" s="1110"/>
      <c r="L35" s="1109"/>
      <c r="M35" s="1110"/>
      <c r="N35" s="1109"/>
      <c r="O35" s="1110"/>
      <c r="P35" s="1109"/>
      <c r="Q35" s="1110"/>
      <c r="R35" s="1108"/>
      <c r="S35" s="1109"/>
      <c r="T35" s="1112"/>
      <c r="U35" s="1113"/>
      <c r="V35" s="839"/>
      <c r="W35" s="1114">
        <f t="shared" si="0"/>
        <v>0</v>
      </c>
      <c r="X35" s="1117">
        <f t="shared" si="1"/>
        <v>0</v>
      </c>
      <c r="Y35" s="1115">
        <f t="shared" si="2"/>
        <v>0</v>
      </c>
      <c r="AA35" s="18"/>
      <c r="AB35" s="18"/>
      <c r="AC35" s="18"/>
      <c r="AD35" s="18"/>
      <c r="AE35" s="18"/>
      <c r="AF35" s="18"/>
      <c r="AO35" s="1118">
        <f t="shared" si="28"/>
        <v>0</v>
      </c>
      <c r="AP35" s="1118">
        <f t="shared" si="3"/>
        <v>0</v>
      </c>
      <c r="AQ35" s="1118">
        <f t="shared" si="4"/>
        <v>0</v>
      </c>
      <c r="AR35" s="1118">
        <f t="shared" si="5"/>
        <v>0</v>
      </c>
      <c r="AS35" s="1118">
        <f t="shared" si="6"/>
        <v>0</v>
      </c>
      <c r="AT35" s="1118">
        <f t="shared" si="7"/>
        <v>0</v>
      </c>
      <c r="AU35" s="1118">
        <f t="shared" si="8"/>
        <v>0</v>
      </c>
      <c r="AV35" s="1118">
        <f t="shared" si="9"/>
        <v>0</v>
      </c>
      <c r="AW35" s="1118">
        <f t="shared" si="10"/>
        <v>0</v>
      </c>
      <c r="AX35" s="1118">
        <f t="shared" si="11"/>
        <v>0</v>
      </c>
      <c r="AY35" s="1118">
        <f t="shared" si="12"/>
        <v>0</v>
      </c>
      <c r="AZ35" s="1119">
        <f t="shared" si="13"/>
        <v>0</v>
      </c>
      <c r="BA35" s="296">
        <f t="shared" si="14"/>
        <v>0</v>
      </c>
      <c r="BB35" s="296">
        <f t="shared" si="15"/>
        <v>0</v>
      </c>
      <c r="BC35" s="296">
        <f t="shared" si="16"/>
        <v>0</v>
      </c>
      <c r="BD35" s="296"/>
      <c r="BE35" s="296"/>
      <c r="BF35" s="1118">
        <f t="shared" si="17"/>
        <v>0</v>
      </c>
      <c r="BG35" s="1118">
        <f>(AO35*Pricing!F$3+'02-Gd Beams'!AP35*Pricing!G$3+'02-Gd Beams'!AQ35*Pricing!H$3+'02-Gd Beams'!AR35*Pricing!I$3+'02-Gd Beams'!AS35*Pricing!J$3+'02-Gd Beams'!AT35*Pricing!K$3)*IF(U$39="N",(1+W$39),1)</f>
        <v>0</v>
      </c>
      <c r="BH35" s="1118">
        <f t="shared" si="18"/>
        <v>0</v>
      </c>
      <c r="BI35" s="1118">
        <f t="shared" si="19"/>
        <v>0</v>
      </c>
      <c r="BJ35" s="1118">
        <f t="shared" si="20"/>
        <v>0</v>
      </c>
      <c r="BK35" s="1118">
        <f t="shared" si="21"/>
        <v>0</v>
      </c>
      <c r="BL35" s="1116"/>
      <c r="FQ35" s="273" t="e">
        <f t="shared" si="22"/>
        <v>#DIV/0!</v>
      </c>
      <c r="FR35" s="273" t="e">
        <f t="shared" si="23"/>
        <v>#DIV/0!</v>
      </c>
      <c r="FT35" s="172">
        <f t="shared" si="24"/>
        <v>0</v>
      </c>
      <c r="FU35" s="847">
        <f t="shared" si="25"/>
        <v>0</v>
      </c>
      <c r="FV35" s="334">
        <f t="shared" si="26"/>
        <v>0</v>
      </c>
      <c r="FW35" s="247">
        <f t="shared" si="27"/>
        <v>0</v>
      </c>
    </row>
    <row r="36" spans="2:179" ht="15" customHeight="1">
      <c r="B36" s="381" t="s">
        <v>1398</v>
      </c>
      <c r="C36" s="589"/>
      <c r="D36" s="589"/>
      <c r="E36" s="1120"/>
      <c r="F36" s="1120">
        <f>SUM(F10:F35)</f>
        <v>0</v>
      </c>
      <c r="G36" s="590"/>
      <c r="H36" s="590"/>
      <c r="I36" s="590"/>
      <c r="J36" s="589"/>
      <c r="K36" s="589"/>
      <c r="L36" s="589"/>
      <c r="M36" s="589"/>
      <c r="N36" s="589"/>
      <c r="O36" s="589"/>
      <c r="P36" s="589"/>
      <c r="Q36" s="1121"/>
      <c r="R36" s="1121"/>
      <c r="S36" s="1121" t="s">
        <v>1399</v>
      </c>
      <c r="T36" s="589"/>
      <c r="U36" s="1122"/>
      <c r="V36" s="1123"/>
      <c r="W36" s="1124">
        <f>SUM(W10:W35)</f>
        <v>0</v>
      </c>
      <c r="X36" s="1125">
        <f>SUM(X10:X35)</f>
        <v>0</v>
      </c>
      <c r="Y36" s="1126">
        <f>SUM(Y10:Y35)</f>
        <v>0</v>
      </c>
      <c r="AA36" s="18"/>
      <c r="AB36" s="18"/>
      <c r="AC36" s="18"/>
      <c r="AD36" s="18"/>
      <c r="AE36" s="18"/>
      <c r="AF36" s="18"/>
      <c r="AO36" s="1116">
        <f t="shared" ref="AO36:BK36" si="29">SUM(AO10:AO35)</f>
        <v>0</v>
      </c>
      <c r="AP36" s="1116">
        <f t="shared" si="29"/>
        <v>0</v>
      </c>
      <c r="AQ36" s="1116">
        <f t="shared" si="29"/>
        <v>0</v>
      </c>
      <c r="AR36" s="1116">
        <f t="shared" si="29"/>
        <v>0</v>
      </c>
      <c r="AS36" s="1116">
        <f t="shared" si="29"/>
        <v>0</v>
      </c>
      <c r="AT36" s="1116">
        <f t="shared" si="29"/>
        <v>0</v>
      </c>
      <c r="AU36" s="1116">
        <f t="shared" si="29"/>
        <v>0</v>
      </c>
      <c r="AV36" s="1116">
        <f t="shared" si="29"/>
        <v>0</v>
      </c>
      <c r="AW36" s="1116">
        <f t="shared" si="29"/>
        <v>0</v>
      </c>
      <c r="AX36" s="1116">
        <f t="shared" si="29"/>
        <v>0</v>
      </c>
      <c r="AY36" s="1116">
        <f t="shared" si="29"/>
        <v>0</v>
      </c>
      <c r="AZ36">
        <f t="shared" si="29"/>
        <v>0</v>
      </c>
      <c r="BA36">
        <f t="shared" si="29"/>
        <v>0</v>
      </c>
      <c r="BB36">
        <f t="shared" si="29"/>
        <v>0</v>
      </c>
      <c r="BC36">
        <f t="shared" si="29"/>
        <v>0</v>
      </c>
      <c r="BD36">
        <f t="shared" si="29"/>
        <v>0</v>
      </c>
      <c r="BE36">
        <f t="shared" si="29"/>
        <v>0</v>
      </c>
      <c r="BF36" s="1116">
        <f t="shared" si="29"/>
        <v>0</v>
      </c>
      <c r="BG36" s="1116">
        <f t="shared" si="29"/>
        <v>0</v>
      </c>
      <c r="BH36" s="1116">
        <f t="shared" si="29"/>
        <v>0</v>
      </c>
      <c r="BI36" s="1116">
        <f t="shared" si="29"/>
        <v>0</v>
      </c>
      <c r="BJ36" s="1116">
        <f t="shared" si="29"/>
        <v>0</v>
      </c>
      <c r="BK36" s="1116">
        <f t="shared" si="29"/>
        <v>0</v>
      </c>
      <c r="BL36" s="1116"/>
      <c r="FT36" s="1127"/>
      <c r="FU36" s="1127"/>
      <c r="FV36" s="1127"/>
      <c r="FW36" s="1127"/>
    </row>
    <row r="37" spans="2:179" ht="15" customHeight="1">
      <c r="B37" s="653"/>
      <c r="C37" s="693"/>
      <c r="D37" s="693"/>
      <c r="E37" s="693"/>
      <c r="F37" s="693"/>
      <c r="G37" s="693"/>
      <c r="H37" s="693"/>
      <c r="I37" s="693"/>
      <c r="J37" s="693"/>
      <c r="K37" s="693"/>
      <c r="L37" s="693"/>
      <c r="M37" s="693"/>
      <c r="N37" s="693"/>
      <c r="O37" s="693"/>
      <c r="P37" s="693"/>
      <c r="Q37" s="1128"/>
      <c r="R37" s="1128"/>
      <c r="S37" s="1128" t="s">
        <v>1400</v>
      </c>
      <c r="T37" s="693"/>
      <c r="U37" s="1129"/>
      <c r="V37" s="1130"/>
      <c r="W37" s="1131">
        <f>W36/2000</f>
        <v>0</v>
      </c>
      <c r="X37" s="1132"/>
      <c r="Y37" s="1133">
        <f>Y36-E40</f>
        <v>0</v>
      </c>
      <c r="AA37" s="18"/>
      <c r="AB37" s="18"/>
      <c r="AC37" s="18"/>
      <c r="AD37" s="18"/>
      <c r="AE37" s="18"/>
      <c r="AF37" s="18"/>
    </row>
    <row r="38" spans="2:179" ht="21" customHeight="1">
      <c r="B38" s="888"/>
      <c r="C38" s="889"/>
      <c r="D38" s="1134" t="s">
        <v>1261</v>
      </c>
      <c r="E38" s="2784">
        <v>0</v>
      </c>
      <c r="F38" s="2784"/>
      <c r="G38" s="889"/>
      <c r="H38" s="889"/>
      <c r="I38" s="889"/>
      <c r="J38" s="889"/>
      <c r="K38" s="889"/>
      <c r="L38" s="891"/>
      <c r="M38" s="889"/>
      <c r="N38" s="889"/>
      <c r="O38" s="889"/>
      <c r="P38" s="889"/>
      <c r="Q38" s="889"/>
      <c r="R38" s="889"/>
      <c r="S38" s="889"/>
      <c r="T38" s="889"/>
      <c r="U38" s="1135"/>
      <c r="V38" s="889"/>
      <c r="W38" s="889"/>
      <c r="X38" s="894"/>
      <c r="Y38" s="1083"/>
    </row>
    <row r="39" spans="2:179" ht="15" customHeight="1">
      <c r="B39" s="2786" t="s">
        <v>1262</v>
      </c>
      <c r="C39" s="2786"/>
      <c r="D39" s="2786"/>
      <c r="E39" s="2786" t="s">
        <v>982</v>
      </c>
      <c r="F39" s="2786"/>
      <c r="G39" s="2786" t="s">
        <v>1263</v>
      </c>
      <c r="H39" s="2786"/>
      <c r="I39" s="2786"/>
      <c r="J39" s="2788" t="s">
        <v>1264</v>
      </c>
      <c r="K39" s="2788"/>
      <c r="L39" s="2788"/>
      <c r="M39" s="2789" t="s">
        <v>1265</v>
      </c>
      <c r="N39" s="2789"/>
      <c r="O39" s="1058"/>
      <c r="P39" s="1059"/>
      <c r="Q39" s="895"/>
      <c r="R39" s="574" t="s">
        <v>1266</v>
      </c>
      <c r="T39" s="18">
        <v>4</v>
      </c>
      <c r="U39" s="1030">
        <v>200</v>
      </c>
      <c r="V39" s="793" t="s">
        <v>1268</v>
      </c>
      <c r="W39" s="1136">
        <f>Summary!R62</f>
        <v>8.2500000000000004E-2</v>
      </c>
      <c r="X39" s="898"/>
      <c r="Y39" s="1083"/>
    </row>
    <row r="40" spans="2:179" ht="27" customHeight="1">
      <c r="B40" s="899" t="s">
        <v>1269</v>
      </c>
      <c r="C40" s="2865">
        <f>IF(BB36=0,0,E40/BB36)</f>
        <v>0</v>
      </c>
      <c r="D40" s="2865"/>
      <c r="E40" s="3003">
        <f>(U40-O91)*(1+M40)</f>
        <v>0</v>
      </c>
      <c r="F40" s="3003"/>
      <c r="G40" s="901">
        <f>IF(E40=0,0,H40/E40)</f>
        <v>0</v>
      </c>
      <c r="H40" s="2867">
        <f>E40-U40</f>
        <v>0</v>
      </c>
      <c r="I40" s="2867"/>
      <c r="J40" s="2868">
        <f>IF(BB36+BC36=0,0,U40/BB36)</f>
        <v>0</v>
      </c>
      <c r="K40" s="2868"/>
      <c r="L40" s="2868"/>
      <c r="M40" s="2941">
        <f>Summary!P59</f>
        <v>0.18</v>
      </c>
      <c r="N40" s="2941"/>
      <c r="O40" s="2941"/>
      <c r="P40" s="2941"/>
      <c r="Q40" s="1137"/>
      <c r="R40" s="902" t="s">
        <v>980</v>
      </c>
      <c r="U40" s="2942">
        <f>SUM(O48:P59)+SUM(O62:P70)+SUM(O73:P75)+SUM(O78:P83)+SUM(O85:P91)+X90+O60+SUM(L62:M70)+O76</f>
        <v>0</v>
      </c>
      <c r="V40" s="2942"/>
      <c r="X40" s="898"/>
      <c r="Y40" s="1083"/>
      <c r="FR40" s="53" t="s">
        <v>1401</v>
      </c>
      <c r="FT40" s="53" t="s">
        <v>1402</v>
      </c>
    </row>
    <row r="41" spans="2:179" ht="18" customHeight="1">
      <c r="B41" s="904"/>
      <c r="C41" s="905"/>
      <c r="D41" s="1138" t="str">
        <f>IF(ROUND(E41,0)=0,"BINGO!!",IF(ROUND(E41,0)&lt;0,"To Low","T0 High"))</f>
        <v>BINGO!!</v>
      </c>
      <c r="E41" s="2943">
        <f>E40-E38</f>
        <v>0</v>
      </c>
      <c r="F41" s="2943"/>
      <c r="G41" s="905"/>
      <c r="H41" s="905"/>
      <c r="I41" s="907" t="s">
        <v>1270</v>
      </c>
      <c r="J41" s="908"/>
      <c r="K41" s="2944"/>
      <c r="L41" s="2944"/>
      <c r="M41" s="909"/>
      <c r="N41" s="2945">
        <f>IF(K41&gt;0,(K41-E40)/(1+M40),0)</f>
        <v>0</v>
      </c>
      <c r="O41" s="2945"/>
      <c r="P41" s="905"/>
      <c r="Q41" s="905"/>
      <c r="R41" s="905"/>
      <c r="S41" s="905"/>
      <c r="T41" s="905"/>
      <c r="U41" s="2946">
        <f>AF125</f>
        <v>0</v>
      </c>
      <c r="V41" s="2946"/>
      <c r="W41" s="905"/>
      <c r="X41" s="905"/>
      <c r="Y41" s="1139"/>
      <c r="Z41" s="168"/>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168"/>
      <c r="BE41" s="168"/>
      <c r="BF41" s="168"/>
      <c r="BG41" s="168"/>
      <c r="BH41" s="168"/>
      <c r="BI41" s="168"/>
      <c r="BJ41" s="168"/>
      <c r="BK41" s="168"/>
      <c r="BL41" s="168"/>
      <c r="BM41" s="168"/>
      <c r="BN41" s="168"/>
      <c r="BO41" s="168"/>
      <c r="BP41" s="168"/>
      <c r="BQ41" s="168"/>
      <c r="BR41" s="168"/>
      <c r="BS41" s="168"/>
      <c r="BT41" s="168"/>
      <c r="BU41" s="168"/>
      <c r="BV41" s="168"/>
      <c r="BW41" s="168"/>
      <c r="BX41" s="168"/>
      <c r="BY41" s="168"/>
      <c r="BZ41" s="168"/>
      <c r="CA41" s="168"/>
      <c r="CB41" s="168"/>
      <c r="CC41" s="168"/>
      <c r="CD41" s="168"/>
      <c r="CE41" s="168"/>
      <c r="CF41" s="168"/>
      <c r="CG41" s="168"/>
      <c r="CH41" s="168"/>
      <c r="CI41" s="168"/>
      <c r="CJ41" s="168"/>
      <c r="CK41" s="168"/>
      <c r="CL41" s="168"/>
      <c r="CM41" s="168"/>
      <c r="CN41" s="168"/>
      <c r="CO41" s="168"/>
      <c r="CP41" s="168"/>
      <c r="CQ41" s="168"/>
      <c r="CR41" s="168"/>
      <c r="CS41" s="168"/>
      <c r="CT41" s="168"/>
      <c r="CU41" s="168"/>
      <c r="CV41" s="168"/>
      <c r="CW41" s="168"/>
      <c r="CX41" s="168"/>
      <c r="CY41" s="168"/>
      <c r="CZ41" s="168"/>
      <c r="DA41" s="168"/>
      <c r="DB41" s="168"/>
      <c r="DC41" s="168"/>
      <c r="DD41" s="168"/>
      <c r="DE41" s="168"/>
      <c r="DF41" s="168"/>
      <c r="DG41" s="168"/>
      <c r="DH41" s="168"/>
      <c r="DI41" s="168"/>
      <c r="DJ41" s="168"/>
      <c r="DK41" s="168"/>
      <c r="DL41" s="168"/>
      <c r="DM41" s="168"/>
      <c r="DN41" s="168"/>
      <c r="DO41" s="168"/>
      <c r="DP41" s="168"/>
      <c r="DQ41" s="168"/>
      <c r="DR41" s="168"/>
      <c r="DS41" s="168"/>
      <c r="DT41" s="168"/>
      <c r="DU41" s="168"/>
      <c r="DV41" s="168"/>
      <c r="DW41" s="168"/>
      <c r="DX41" s="168"/>
      <c r="DY41" s="168"/>
      <c r="DZ41" s="168"/>
      <c r="EA41" s="168"/>
      <c r="EB41" s="168"/>
      <c r="EC41" s="168"/>
      <c r="ED41" s="168"/>
      <c r="EE41" s="168"/>
      <c r="EF41" s="168"/>
      <c r="EG41" s="168"/>
      <c r="EH41" s="168"/>
      <c r="EI41" s="168"/>
      <c r="EJ41" s="168"/>
      <c r="EK41" s="168"/>
      <c r="EL41" s="168"/>
      <c r="EM41" s="168"/>
      <c r="EN41" s="168"/>
      <c r="EO41" s="168"/>
      <c r="EP41" s="168"/>
      <c r="EQ41" s="168"/>
      <c r="ER41" s="168"/>
      <c r="ES41" s="168"/>
      <c r="ET41" s="168"/>
      <c r="EU41" s="168"/>
      <c r="EV41" s="168"/>
      <c r="EW41" s="168"/>
      <c r="EX41" s="168"/>
      <c r="EY41" s="168"/>
      <c r="EZ41" s="168"/>
      <c r="FA41" s="168"/>
      <c r="FB41" s="168"/>
      <c r="FC41" s="168"/>
      <c r="FD41" s="168"/>
      <c r="FE41" s="168"/>
      <c r="FF41" s="168"/>
      <c r="FG41" s="168"/>
      <c r="FH41" s="168"/>
      <c r="FI41" s="168"/>
      <c r="FJ41" s="168"/>
      <c r="FK41" s="168"/>
      <c r="FL41" s="168"/>
      <c r="FM41" s="168"/>
      <c r="FN41" s="168"/>
      <c r="FO41" s="168"/>
      <c r="FP41" s="168"/>
      <c r="FQ41" s="1140" t="s">
        <v>1403</v>
      </c>
      <c r="FR41" s="1141">
        <v>458</v>
      </c>
      <c r="FS41" s="1142"/>
    </row>
    <row r="42" spans="2:179" ht="25.5" customHeight="1">
      <c r="B42" s="18" t="s">
        <v>1404</v>
      </c>
      <c r="C42" s="1143" t="s">
        <v>1405</v>
      </c>
      <c r="D42" s="1144"/>
      <c r="E42" s="1143"/>
      <c r="F42" s="3004"/>
      <c r="G42" s="3004"/>
      <c r="H42" s="1143"/>
      <c r="I42" s="1143"/>
      <c r="J42" s="1143"/>
      <c r="K42" s="1143"/>
      <c r="L42" s="1143"/>
      <c r="M42" s="1143"/>
      <c r="N42" s="1143"/>
      <c r="O42" s="2803" t="s">
        <v>721</v>
      </c>
      <c r="P42" s="2803"/>
      <c r="Q42" s="1145" t="s">
        <v>1272</v>
      </c>
      <c r="R42" s="626"/>
      <c r="S42" s="626"/>
      <c r="T42" s="626"/>
      <c r="U42" s="2782">
        <f>E101</f>
        <v>0</v>
      </c>
      <c r="V42" s="2782"/>
      <c r="W42" s="928"/>
      <c r="X42" s="1146"/>
      <c r="Y42" s="1147"/>
      <c r="FQ42" s="928" t="s">
        <v>1406</v>
      </c>
      <c r="FR42" s="1148">
        <v>-5</v>
      </c>
      <c r="FS42" s="1149"/>
      <c r="FT42" s="1150">
        <f>FR41+FR42</f>
        <v>453</v>
      </c>
    </row>
    <row r="43" spans="2:179">
      <c r="B43" s="626"/>
      <c r="C43" s="1143" t="s">
        <v>1407</v>
      </c>
      <c r="D43" s="1151"/>
      <c r="E43" s="1143"/>
      <c r="F43" s="3005"/>
      <c r="G43" s="3005"/>
      <c r="H43" s="1143"/>
      <c r="I43" s="1143"/>
      <c r="J43" s="1143"/>
      <c r="K43" s="1143"/>
      <c r="L43" s="1143"/>
      <c r="M43" s="1143"/>
      <c r="N43" s="1143"/>
      <c r="O43" s="924" t="s">
        <v>1274</v>
      </c>
      <c r="P43" s="925"/>
      <c r="Q43" s="926"/>
      <c r="R43" s="626" t="s">
        <v>1408</v>
      </c>
      <c r="S43" s="626"/>
      <c r="T43" s="626"/>
      <c r="U43" s="626"/>
      <c r="V43" s="626"/>
      <c r="W43" s="928"/>
      <c r="X43" s="626"/>
      <c r="Y43" s="1153"/>
      <c r="FQ43" s="928" t="s">
        <v>1409</v>
      </c>
      <c r="FR43" s="1148">
        <v>460</v>
      </c>
      <c r="FS43" s="1149"/>
      <c r="FT43" s="1154">
        <f>FR43-FR41</f>
        <v>2</v>
      </c>
    </row>
    <row r="44" spans="2:179" ht="20.25" customHeight="1">
      <c r="B44" s="626"/>
      <c r="C44" s="1143"/>
      <c r="D44" s="1151"/>
      <c r="E44" s="1143"/>
      <c r="F44" s="3005"/>
      <c r="G44" s="3005"/>
      <c r="H44" s="1143"/>
      <c r="I44" s="1143"/>
      <c r="J44" s="1143"/>
      <c r="K44" s="1143"/>
      <c r="L44" s="1143"/>
      <c r="M44" s="1143"/>
      <c r="N44" s="1143"/>
      <c r="O44" s="932" t="s">
        <v>1276</v>
      </c>
      <c r="P44" s="933">
        <f>L52</f>
        <v>0</v>
      </c>
      <c r="Q44" s="1155">
        <f>O52</f>
        <v>0</v>
      </c>
      <c r="R44" s="626"/>
      <c r="S44" s="3006">
        <f>IF(I63=0,0,(SUM(X50:X68)+O60+X69+X70+X71+X72+X73-X63-X62)/I63)</f>
        <v>0</v>
      </c>
      <c r="T44" s="3006"/>
      <c r="U44" s="626"/>
      <c r="V44" s="626"/>
      <c r="W44" s="928"/>
      <c r="X44" s="626"/>
      <c r="Y44" s="1156"/>
      <c r="Z44" s="229"/>
      <c r="AA44" s="229"/>
      <c r="AB44" s="229"/>
      <c r="AC44" s="229"/>
      <c r="AD44" s="229"/>
      <c r="AE44" s="229"/>
      <c r="AF44" s="229"/>
      <c r="AG44" s="229"/>
      <c r="AH44" s="229"/>
      <c r="AI44" s="229"/>
      <c r="AJ44" s="229"/>
      <c r="AK44" s="229"/>
      <c r="AL44" s="229"/>
      <c r="AM44" s="229"/>
      <c r="AN44" s="229"/>
      <c r="AO44" s="229"/>
      <c r="AP44" s="229"/>
      <c r="AQ44" s="229"/>
      <c r="AR44" s="229"/>
      <c r="AS44" s="229"/>
      <c r="AT44" s="229"/>
      <c r="AU44" s="229"/>
      <c r="AV44" s="229"/>
      <c r="AW44" s="229"/>
      <c r="AX44" s="229"/>
      <c r="AY44" s="229"/>
      <c r="AZ44" s="229"/>
      <c r="BA44" s="229"/>
      <c r="BB44" s="229"/>
      <c r="BC44" s="229"/>
      <c r="BD44" s="229"/>
      <c r="BE44" s="229"/>
      <c r="BF44" s="229"/>
      <c r="BG44" s="229"/>
      <c r="BH44" s="229"/>
      <c r="BI44" s="229"/>
      <c r="BJ44" s="229"/>
      <c r="BK44" s="229"/>
      <c r="BL44" s="229"/>
      <c r="BM44" s="229"/>
      <c r="BN44" s="229"/>
      <c r="BO44" s="229"/>
      <c r="BP44" s="229"/>
      <c r="BQ44" s="229"/>
      <c r="BR44" s="229"/>
      <c r="BS44" s="229"/>
      <c r="BT44" s="229"/>
      <c r="BU44" s="229"/>
      <c r="BV44" s="229"/>
      <c r="BW44" s="229"/>
      <c r="BX44" s="229"/>
      <c r="BY44" s="229"/>
      <c r="BZ44" s="229"/>
      <c r="CA44" s="229"/>
      <c r="CB44" s="229"/>
      <c r="CC44" s="229"/>
      <c r="CD44" s="229"/>
      <c r="CE44" s="229"/>
      <c r="CF44" s="229"/>
      <c r="CG44" s="229"/>
      <c r="CH44" s="229"/>
      <c r="CI44" s="229"/>
      <c r="CJ44" s="229"/>
      <c r="CK44" s="229"/>
      <c r="CL44" s="229"/>
      <c r="CM44" s="229"/>
      <c r="CN44" s="229"/>
      <c r="CO44" s="229"/>
      <c r="CP44" s="229"/>
      <c r="CQ44" s="229"/>
      <c r="CR44" s="229"/>
      <c r="CS44" s="229"/>
      <c r="CT44" s="229"/>
      <c r="CU44" s="229"/>
      <c r="CV44" s="229"/>
      <c r="CW44" s="229"/>
      <c r="CX44" s="229"/>
      <c r="CY44" s="229"/>
      <c r="CZ44" s="229"/>
      <c r="DA44" s="229"/>
      <c r="DB44" s="229"/>
      <c r="DC44" s="229"/>
      <c r="DD44" s="229"/>
      <c r="DE44" s="229"/>
      <c r="DF44" s="229"/>
      <c r="DG44" s="229"/>
      <c r="DH44" s="229"/>
      <c r="DI44" s="229"/>
      <c r="DJ44" s="229"/>
      <c r="DK44" s="229"/>
      <c r="DL44" s="229"/>
      <c r="DM44" s="229"/>
      <c r="DN44" s="229"/>
      <c r="DO44" s="229"/>
      <c r="DP44" s="229"/>
      <c r="DQ44" s="229"/>
      <c r="DR44" s="229"/>
      <c r="DS44" s="229"/>
      <c r="DT44" s="229"/>
      <c r="DU44" s="229"/>
      <c r="DV44" s="229"/>
      <c r="DW44" s="229"/>
      <c r="DX44" s="229"/>
      <c r="DY44" s="229"/>
      <c r="DZ44" s="229"/>
      <c r="EA44" s="229"/>
      <c r="EB44" s="229"/>
      <c r="EC44" s="229"/>
      <c r="ED44" s="229"/>
      <c r="EE44" s="229"/>
      <c r="EF44" s="229"/>
      <c r="EG44" s="229"/>
      <c r="EH44" s="229"/>
      <c r="EI44" s="229"/>
      <c r="EJ44" s="229"/>
      <c r="EK44" s="229"/>
      <c r="EL44" s="229"/>
      <c r="EM44" s="229"/>
      <c r="EN44" s="229"/>
      <c r="EO44" s="229"/>
      <c r="EP44" s="229"/>
      <c r="EQ44" s="229"/>
      <c r="ER44" s="229"/>
      <c r="ES44" s="229"/>
      <c r="ET44" s="229"/>
      <c r="EU44" s="229"/>
      <c r="EV44" s="229"/>
      <c r="EW44" s="229"/>
      <c r="EX44" s="229"/>
      <c r="EY44" s="229"/>
      <c r="EZ44" s="229"/>
      <c r="FA44" s="229"/>
      <c r="FB44" s="229"/>
      <c r="FC44" s="229"/>
      <c r="FD44" s="229"/>
      <c r="FE44" s="229"/>
      <c r="FF44" s="229"/>
      <c r="FG44" s="229"/>
      <c r="FH44" s="229"/>
      <c r="FI44" s="229"/>
      <c r="FJ44" s="229"/>
      <c r="FK44" s="229"/>
      <c r="FL44" s="229"/>
      <c r="FM44" s="229"/>
      <c r="FN44" s="229"/>
      <c r="FO44" s="229"/>
      <c r="FP44" s="229"/>
      <c r="FQ44" s="229"/>
      <c r="FR44" s="1157"/>
      <c r="FS44" s="715"/>
      <c r="FT44" s="1157"/>
    </row>
    <row r="45" spans="2:179" s="1158" customFormat="1" ht="18.75" customHeight="1">
      <c r="B45" s="1159"/>
      <c r="C45" s="1160"/>
      <c r="D45" s="1160"/>
      <c r="E45" s="1160"/>
      <c r="F45" s="1160"/>
      <c r="G45" s="1160"/>
      <c r="H45" s="1160"/>
      <c r="I45" s="1160"/>
      <c r="J45" s="1160"/>
      <c r="K45" s="1160"/>
      <c r="L45" s="1160"/>
      <c r="M45" s="1160"/>
      <c r="N45" s="1160"/>
      <c r="O45" s="1160"/>
      <c r="P45" s="1160"/>
      <c r="Q45" s="1159"/>
      <c r="R45" s="3007" t="s">
        <v>1410</v>
      </c>
      <c r="S45" s="3007"/>
      <c r="T45" s="929">
        <f>IF(M52=0,0,M52/(X36*13231.64))</f>
        <v>0</v>
      </c>
      <c r="U45" s="1159"/>
      <c r="V45" s="1159"/>
      <c r="W45" s="1159"/>
      <c r="X45" s="1159"/>
      <c r="Y45" s="1161"/>
      <c r="Z45" s="329"/>
      <c r="AA45" s="329"/>
      <c r="AB45" s="329"/>
      <c r="AC45" s="329"/>
      <c r="AD45" s="329"/>
      <c r="AE45" s="329"/>
      <c r="AF45" s="329"/>
      <c r="AG45" s="329"/>
      <c r="AH45" s="329"/>
      <c r="AI45" s="329"/>
      <c r="AJ45" s="329"/>
      <c r="AK45" s="329"/>
      <c r="AL45" s="329"/>
      <c r="AM45" s="329"/>
      <c r="AN45" s="329"/>
      <c r="AO45" s="329"/>
      <c r="AP45" s="329"/>
      <c r="AQ45" s="329"/>
      <c r="AR45" s="329"/>
      <c r="AS45" s="329"/>
      <c r="AT45" s="329"/>
      <c r="AU45" s="329"/>
      <c r="AV45" s="329"/>
      <c r="AW45" s="329"/>
      <c r="AX45" s="329"/>
      <c r="AY45" s="329"/>
      <c r="AZ45" s="329"/>
      <c r="BA45" s="329"/>
      <c r="BB45" s="329"/>
      <c r="BC45" s="329"/>
      <c r="BD45" s="329"/>
      <c r="BE45" s="329"/>
      <c r="BF45" s="329"/>
      <c r="BG45" s="329"/>
      <c r="BH45" s="329"/>
      <c r="BI45" s="329"/>
      <c r="BJ45" s="329"/>
      <c r="BK45" s="329"/>
      <c r="BL45" s="329"/>
      <c r="BM45" s="329"/>
      <c r="BN45" s="329"/>
      <c r="BO45" s="329"/>
      <c r="BP45" s="329"/>
      <c r="BQ45" s="329"/>
      <c r="BR45" s="329"/>
      <c r="BS45" s="329"/>
      <c r="BT45" s="329"/>
      <c r="BU45" s="329"/>
      <c r="BV45" s="329"/>
      <c r="BW45" s="329"/>
      <c r="BX45" s="329"/>
      <c r="BY45" s="329"/>
      <c r="BZ45" s="329"/>
      <c r="CA45" s="329"/>
      <c r="CB45" s="329"/>
      <c r="CC45" s="329"/>
      <c r="CD45" s="329"/>
      <c r="CE45" s="329"/>
      <c r="CF45" s="329"/>
      <c r="CG45" s="329"/>
      <c r="CH45" s="329"/>
      <c r="CI45" s="329"/>
      <c r="CJ45" s="329"/>
      <c r="CK45" s="329"/>
      <c r="CL45" s="329"/>
      <c r="CM45" s="329"/>
      <c r="CN45" s="329"/>
      <c r="CO45" s="329"/>
      <c r="CP45" s="329"/>
      <c r="CQ45" s="329"/>
      <c r="CR45" s="329"/>
      <c r="CS45" s="329"/>
      <c r="CT45" s="329"/>
      <c r="CU45" s="329"/>
      <c r="CV45" s="329"/>
      <c r="CW45" s="329"/>
      <c r="CX45" s="329"/>
      <c r="CY45" s="329"/>
      <c r="CZ45" s="329"/>
      <c r="DA45" s="329"/>
      <c r="DB45" s="329"/>
      <c r="DC45" s="329"/>
      <c r="DD45" s="329"/>
      <c r="DE45" s="329"/>
      <c r="DF45" s="329"/>
      <c r="DG45" s="329"/>
      <c r="DH45" s="329"/>
      <c r="DI45" s="329"/>
      <c r="DJ45" s="329"/>
      <c r="DK45" s="329"/>
      <c r="DL45" s="329"/>
      <c r="DM45" s="329"/>
      <c r="DN45" s="329"/>
      <c r="DO45" s="329"/>
      <c r="DP45" s="329"/>
      <c r="DQ45" s="329"/>
      <c r="DR45" s="329"/>
      <c r="DS45" s="329"/>
      <c r="DT45" s="329"/>
      <c r="DU45" s="329"/>
      <c r="DV45" s="329"/>
      <c r="DW45" s="329"/>
      <c r="DX45" s="329"/>
      <c r="DY45" s="329"/>
      <c r="DZ45" s="329"/>
      <c r="EA45" s="329"/>
      <c r="EB45" s="329"/>
      <c r="EC45" s="329"/>
      <c r="ED45" s="329"/>
      <c r="EE45" s="329"/>
      <c r="EF45" s="329"/>
      <c r="EG45" s="329"/>
      <c r="EH45" s="329"/>
      <c r="EI45" s="329"/>
      <c r="EJ45" s="329"/>
      <c r="EK45" s="329"/>
      <c r="EL45" s="329"/>
      <c r="EM45" s="329"/>
      <c r="EN45" s="329"/>
      <c r="EO45" s="329"/>
      <c r="EP45" s="329"/>
      <c r="EQ45" s="329"/>
      <c r="ER45" s="329"/>
      <c r="ES45" s="329"/>
      <c r="ET45" s="329"/>
      <c r="EU45" s="329"/>
      <c r="EV45" s="329"/>
      <c r="EW45" s="329"/>
      <c r="EX45" s="329"/>
      <c r="EY45" s="329"/>
      <c r="EZ45" s="329"/>
      <c r="FA45" s="329"/>
      <c r="FB45" s="329"/>
      <c r="FC45" s="329"/>
      <c r="FD45" s="329"/>
      <c r="FE45" s="329"/>
      <c r="FF45" s="329"/>
      <c r="FG45" s="329"/>
      <c r="FH45" s="329"/>
      <c r="FI45" s="329"/>
      <c r="FJ45" s="329"/>
      <c r="FK45" s="329"/>
      <c r="FL45" s="329"/>
      <c r="FM45" s="329"/>
      <c r="FN45" s="329"/>
      <c r="FO45" s="329"/>
      <c r="FP45" s="329"/>
      <c r="FQ45" s="3008" t="s">
        <v>1411</v>
      </c>
      <c r="FR45" s="3008"/>
      <c r="FS45" s="3008"/>
      <c r="FT45" s="3008"/>
      <c r="FU45" s="329"/>
      <c r="FV45" s="329"/>
      <c r="FW45" s="329"/>
    </row>
    <row r="46" spans="2:179" ht="18.75" customHeight="1">
      <c r="B46" s="626"/>
      <c r="C46" s="1143"/>
      <c r="D46" s="1143"/>
      <c r="E46" s="1143"/>
      <c r="F46" s="1143"/>
      <c r="G46" s="1143"/>
      <c r="H46" s="1143"/>
      <c r="I46" s="1143"/>
      <c r="J46" s="1143"/>
      <c r="K46" s="1143"/>
      <c r="L46" s="1143"/>
      <c r="M46" s="1143"/>
      <c r="N46" s="1143"/>
      <c r="O46" s="1143"/>
      <c r="P46" s="1143"/>
      <c r="Q46" s="626"/>
      <c r="R46" s="626"/>
      <c r="S46" s="626"/>
      <c r="T46" s="1162" t="str">
        <f>IF(T45&gt;0.92,"GOOD","BAD")</f>
        <v>BAD</v>
      </c>
      <c r="U46" s="693"/>
      <c r="V46" s="693"/>
      <c r="W46" s="693"/>
      <c r="X46" s="626"/>
      <c r="Y46" s="1083"/>
      <c r="FQ46">
        <f>SUM(FT48:FT58)*(1+K52)</f>
        <v>23.841075059999998</v>
      </c>
      <c r="FR46" s="12" t="s">
        <v>612</v>
      </c>
      <c r="FS46" s="12" t="s">
        <v>1412</v>
      </c>
    </row>
    <row r="47" spans="2:179" ht="38.25" customHeight="1">
      <c r="B47" s="941" t="s">
        <v>1280</v>
      </c>
      <c r="C47" s="1163" t="s">
        <v>1413</v>
      </c>
      <c r="D47" s="1164"/>
      <c r="E47" s="1164"/>
      <c r="F47" s="1164"/>
      <c r="G47" s="1164"/>
      <c r="H47" s="1164"/>
      <c r="I47" s="1164"/>
      <c r="J47" s="1164"/>
      <c r="K47" s="943" t="s">
        <v>1282</v>
      </c>
      <c r="L47" s="3009" t="str">
        <f>IF(SUM(L48:L51)=X36,"Good","Missing Concrete!!!")</f>
        <v>Good</v>
      </c>
      <c r="M47" s="3009"/>
      <c r="N47" s="1164"/>
      <c r="O47" s="1164"/>
      <c r="P47" s="1165"/>
      <c r="Q47" s="1166" t="s">
        <v>1284</v>
      </c>
      <c r="R47" s="2806" t="s">
        <v>1283</v>
      </c>
      <c r="S47" s="2806"/>
      <c r="T47" s="988" t="s">
        <v>835</v>
      </c>
      <c r="U47" s="373"/>
      <c r="V47" s="1167" t="s">
        <v>518</v>
      </c>
      <c r="W47" s="373"/>
      <c r="X47" s="949"/>
      <c r="Y47" s="1083"/>
      <c r="FQ47" s="1168" t="s">
        <v>1259</v>
      </c>
      <c r="FR47" s="1169" t="s">
        <v>1215</v>
      </c>
      <c r="FS47" s="1170" t="s">
        <v>1369</v>
      </c>
      <c r="FT47" s="1171" t="s">
        <v>1414</v>
      </c>
    </row>
    <row r="48" spans="2:179" ht="18.75" customHeight="1">
      <c r="B48" s="951">
        <v>1</v>
      </c>
      <c r="C48" s="18" t="str">
        <f>IF(B48=1,Pricing!F$2,IF(B48=2,Pricing!G$2,IF(B48=3,Pricing!H$2,IF(B48=4,Pricing!I$2,IF(B48=5,Pricing!J$2,IF(B48=6,Pricing!K$2,IF(B48=7,Pricing!L$2,IF(B48=8,Pricing!M$2,IF(B48=9,Pricing!N$2,IF(B48=10,Pricing!O$2,0))))))))))</f>
        <v>3,000 PSI 5sk /Ash and Air</v>
      </c>
      <c r="G48" s="969">
        <f>IF(B48=1,Pricing!F$3,IF(B48=2,Pricing!G$3,IF(B48=3,Pricing!H$3,IF(B48=4,Pricing!I$3,IF(B48=5,Pricing!J$3,IF(B48=6,Pricing!K$3,IF(B48=7,Pricing!L$3,IF(B48=8,Pricing!M$3,IF(B48=9,Pricing!N$3,IF(B48=10,Pricing!O$3,0))))))))))</f>
        <v>134</v>
      </c>
      <c r="H48" s="18" t="s">
        <v>1285</v>
      </c>
      <c r="I48" s="2807"/>
      <c r="J48" s="2807"/>
      <c r="K48" s="2808">
        <v>0.04</v>
      </c>
      <c r="L48" s="2957">
        <f>IF(B48=1,AO$36,IF(B48=2,AP$36,IF(B48=3,AQ$36,IF(B48=4,AR$36,IF(B48=5,AS$36,IF(B48=6,AT$36,IF(B48=7,AU$36,IF(B48=8,AV$36,IF(B48=9,AW$36,IF(B48=10,AX$36))))))))))</f>
        <v>0</v>
      </c>
      <c r="M48" s="2957"/>
      <c r="N48" s="17" t="s">
        <v>1286</v>
      </c>
      <c r="O48" s="2810">
        <f>L48*G48*(IF(U$39="N",1+W$39,1))</f>
        <v>0</v>
      </c>
      <c r="P48" s="2810"/>
      <c r="Q48" s="1172" t="s">
        <v>1069</v>
      </c>
      <c r="R48" s="859" t="s">
        <v>1415</v>
      </c>
      <c r="S48" s="77"/>
      <c r="T48" s="1173">
        <v>0.5</v>
      </c>
      <c r="U48" s="77"/>
      <c r="V48" s="1174"/>
      <c r="W48" s="77"/>
      <c r="X48" s="1175"/>
      <c r="Y48" s="1083"/>
      <c r="FQ48" s="142">
        <v>6</v>
      </c>
      <c r="FR48" s="143">
        <v>6</v>
      </c>
      <c r="FS48" s="144">
        <v>2.4</v>
      </c>
      <c r="FT48" s="145">
        <f>FQ48*(FR48*FR48*0.04180884375)*FS48</f>
        <v>21.673704599999997</v>
      </c>
    </row>
    <row r="49" spans="2:176" ht="18.75" customHeight="1">
      <c r="B49" s="951">
        <v>2</v>
      </c>
      <c r="C49" s="18" t="str">
        <f>IF(B49=1,Pricing!F$2,IF(B49=2,Pricing!G$2,IF(B49=3,Pricing!H$2,IF(B49=4,Pricing!I$2,IF(B49=5,Pricing!J$2,IF(B49=6,Pricing!K$2,IF(B49=7,Pricing!L$2,IF(B49=8,Pricing!M$2,IF(B49=9,Pricing!N$2,IF(B49=10,Pricing!O$2,0))))))))))</f>
        <v>3,000 PSI / Ash no Air</v>
      </c>
      <c r="G49" s="969">
        <f>IF(B49=1,Pricing!F$3,IF(B49=2,Pricing!G$3,IF(B49=3,Pricing!H$3,IF(B49=4,Pricing!I$3,IF(B49=5,Pricing!J$3,IF(B49=6,Pricing!K$3,IF(B49=7,Pricing!L$3,IF(B49=8,Pricing!M$3,IF(B49=9,Pricing!N$3,IF(B49=10,Pricing!O$3,0))))))))))</f>
        <v>145</v>
      </c>
      <c r="I49" s="2807"/>
      <c r="J49" s="2807"/>
      <c r="K49" s="2808"/>
      <c r="L49" s="3010">
        <f>IF(B49=1,AO$36,IF(B49=2,AP$36,IF(B49=3,AQ$36,IF(B49=4,AR$36,IF(B49=5,AS$36,IF(B49=6,AT$36,IF(B49=7,AU$36,IF(B49=8,AV$36,IF(B49=9,AW$36,IF(B49=10,AX$36))))))))))</f>
        <v>0</v>
      </c>
      <c r="M49" s="3010"/>
      <c r="N49" s="17" t="s">
        <v>1286</v>
      </c>
      <c r="O49" s="2810">
        <f>L49*G49*(IF(U$39="N",1+W$39,1))</f>
        <v>0</v>
      </c>
      <c r="P49" s="2810"/>
      <c r="Q49" s="1172"/>
      <c r="R49" s="859"/>
      <c r="S49" s="77"/>
      <c r="T49" s="77"/>
      <c r="U49" s="77"/>
      <c r="V49" s="1174"/>
      <c r="W49" s="77"/>
      <c r="X49" s="1175">
        <f t="shared" ref="X49:X74" si="30">IF(U$39="Y",T49*V49,T49*V49*(1+W$39))</f>
        <v>0</v>
      </c>
      <c r="Y49" s="1083"/>
      <c r="FQ49" s="142"/>
      <c r="FR49" s="143"/>
      <c r="FS49" s="144"/>
      <c r="FT49" s="145"/>
    </row>
    <row r="50" spans="2:176" ht="18.75" customHeight="1">
      <c r="B50" s="962">
        <v>3</v>
      </c>
      <c r="C50" s="18" t="str">
        <f>IF(B50=1,Pricing!F$2,IF(B50=2,Pricing!G$2,IF(B50=3,Pricing!H$2,IF(B50=4,Pricing!I$2,IF(B50=5,Pricing!J$2,IF(B50=6,Pricing!K$2,IF(B50=7,Pricing!L$2,IF(B50=8,Pricing!M$2,IF(B50=9,Pricing!N$2,IF(B50=10,Pricing!O$2,0))))))))))</f>
        <v>3,500 PSI 5.5sk /Ash and Air</v>
      </c>
      <c r="G50" s="969">
        <f>IF(B50=1,Pricing!F$3,IF(B50=2,Pricing!G$3,IF(B50=3,Pricing!H$3,IF(B50=4,Pricing!I$3,IF(B50=5,Pricing!J$3,IF(B50=6,Pricing!K$3,IF(B50=7,Pricing!L$3,IF(B50=8,Pricing!M$3,IF(B50=9,Pricing!N$3,IF(B50=10,Pricing!O$3,0))))))))))</f>
        <v>150</v>
      </c>
      <c r="H50" s="18" t="s">
        <v>1285</v>
      </c>
      <c r="I50" s="2807"/>
      <c r="J50" s="2807"/>
      <c r="K50" s="2808"/>
      <c r="L50" s="3010">
        <f>IF(B50=1,AO$36,IF(B50=2,AP$36,IF(B50=3,AQ$36,IF(B50=4,AR$36,IF(B50=5,AS$36,IF(B50=6,AT$36,IF(B50=7,AU$36,IF(B50=8,AV$36,IF(B50=9,AW$36,IF(B50=10,AX$36))))))))))</f>
        <v>0</v>
      </c>
      <c r="M50" s="3010"/>
      <c r="N50" s="17" t="s">
        <v>1286</v>
      </c>
      <c r="O50" s="2810">
        <f>L50*G50*(IF(U$39="N",1+W$39,1))</f>
        <v>0</v>
      </c>
      <c r="P50" s="2810"/>
      <c r="Q50" s="1172" t="s">
        <v>1069</v>
      </c>
      <c r="R50" s="859" t="s">
        <v>526</v>
      </c>
      <c r="S50" s="77"/>
      <c r="T50" s="1176">
        <f>I63*T48</f>
        <v>0</v>
      </c>
      <c r="U50" s="1177" t="s">
        <v>1416</v>
      </c>
      <c r="V50" s="1174">
        <f>Pricing!Q4</f>
        <v>0.859375</v>
      </c>
      <c r="W50" s="77" t="s">
        <v>1417</v>
      </c>
      <c r="X50" s="1175">
        <f t="shared" si="30"/>
        <v>0</v>
      </c>
      <c r="Y50" s="1178"/>
      <c r="FQ50" s="142"/>
      <c r="FR50" s="143"/>
      <c r="FS50" s="144"/>
      <c r="FT50" s="145">
        <f t="shared" ref="FT50:FT58" si="31">FQ50*(FR50*FR50*0.04180884375)*FS50</f>
        <v>0</v>
      </c>
    </row>
    <row r="51" spans="2:176" ht="18.75" customHeight="1">
      <c r="B51" s="965">
        <v>4</v>
      </c>
      <c r="C51" s="966" t="str">
        <f>IF(B51=1,Pricing!F$2,IF(B51=2,Pricing!G$2,IF(B51=3,Pricing!H$2,IF(B51=4,Pricing!I$2,IF(B51=5,Pricing!J$2,IF(B51=6,Pricing!K$2,IF(B51=7,Pricing!L$2,IF(B51=8,Pricing!M$2,IF(B51=9,Pricing!N$2,IF(B51=10,Pricing!O$2,0))))))))))</f>
        <v>3,500 PSI /Ash No Air</v>
      </c>
      <c r="D51" s="373"/>
      <c r="E51" s="373"/>
      <c r="F51" s="1179"/>
      <c r="G51" s="1180">
        <f>IF(B51=1,Pricing!F$3,IF(B51=2,Pricing!G$3,IF(B51=3,Pricing!H$3,IF(B51=4,Pricing!I$3,IF(B51=5,Pricing!J$3,IF(B51=6,Pricing!K$3,IF(B51=7,Pricing!L$3,IF(B51=8,Pricing!M$3,IF(B51=9,Pricing!N$3,IF(B51=10,Pricing!O$3,0))))))))))</f>
        <v>150</v>
      </c>
      <c r="H51" s="373" t="s">
        <v>1285</v>
      </c>
      <c r="I51" s="2807"/>
      <c r="J51" s="2807"/>
      <c r="K51" s="2808"/>
      <c r="L51" s="3011">
        <f>IF(B51=1,AO$36,IF(B51=2,AP$36,IF(B51=3,AQ$36,IF(B51=4,AR$36,IF(B51=5,AS$36,IF(B51=6,AT$36,IF(B51=7,AU$36,IF(B51=8,AV$36,IF(B51=9,AW$36,IF(B51=10,AX$36))))))))))</f>
        <v>0</v>
      </c>
      <c r="M51" s="3011"/>
      <c r="N51" s="967" t="s">
        <v>1286</v>
      </c>
      <c r="O51" s="2810">
        <f>L51*G51*(IF(U$39="N",1+W$39,1))</f>
        <v>0</v>
      </c>
      <c r="P51" s="2810"/>
      <c r="Q51" s="1172" t="s">
        <v>1069</v>
      </c>
      <c r="R51" s="859" t="s">
        <v>534</v>
      </c>
      <c r="S51" s="77"/>
      <c r="T51" s="1176">
        <f>T50</f>
        <v>0</v>
      </c>
      <c r="U51" s="1177" t="s">
        <v>1416</v>
      </c>
      <c r="V51" s="1174">
        <f>Pricing!Q5</f>
        <v>1.4453125</v>
      </c>
      <c r="W51" s="77" t="s">
        <v>1417</v>
      </c>
      <c r="X51" s="1175">
        <f t="shared" si="30"/>
        <v>0</v>
      </c>
      <c r="Y51" s="1178"/>
      <c r="FQ51" s="142"/>
      <c r="FR51" s="143"/>
      <c r="FS51" s="144"/>
      <c r="FT51" s="145">
        <f t="shared" si="31"/>
        <v>0</v>
      </c>
    </row>
    <row r="52" spans="2:176" ht="18.75" customHeight="1">
      <c r="B52" s="1181" t="str">
        <f>Summary!V60</f>
        <v>Import</v>
      </c>
      <c r="C52" s="963" t="s">
        <v>1287</v>
      </c>
      <c r="G52" s="969">
        <f>Pricing!D23</f>
        <v>0.65</v>
      </c>
      <c r="H52" s="18" t="s">
        <v>555</v>
      </c>
      <c r="I52" s="2956"/>
      <c r="J52" s="2956"/>
      <c r="K52" s="970">
        <v>0.1</v>
      </c>
      <c r="L52" s="2957">
        <f>W36</f>
        <v>0</v>
      </c>
      <c r="M52" s="2957"/>
      <c r="N52" s="18" t="s">
        <v>1288</v>
      </c>
      <c r="O52" s="2813">
        <f>G52*L52*(IF(U39="N",1+W39,1))</f>
        <v>0</v>
      </c>
      <c r="P52" s="2813"/>
      <c r="Q52" s="1172" t="s">
        <v>1069</v>
      </c>
      <c r="R52" s="859" t="s">
        <v>536</v>
      </c>
      <c r="S52" s="77"/>
      <c r="T52" s="1176"/>
      <c r="U52" s="1177" t="s">
        <v>1416</v>
      </c>
      <c r="V52" s="1174">
        <f>Pricing!Q6</f>
        <v>1.171875</v>
      </c>
      <c r="W52" s="77" t="s">
        <v>1417</v>
      </c>
      <c r="X52" s="1175">
        <f t="shared" si="30"/>
        <v>0</v>
      </c>
      <c r="Y52" s="1178"/>
      <c r="FQ52" s="142"/>
      <c r="FR52" s="143"/>
      <c r="FS52" s="144"/>
      <c r="FT52" s="145">
        <f t="shared" si="31"/>
        <v>0</v>
      </c>
    </row>
    <row r="53" spans="2:176" ht="18.75" customHeight="1">
      <c r="B53" s="396"/>
      <c r="C53" s="963"/>
      <c r="G53" s="1182">
        <f>Pricing!F6</f>
        <v>0</v>
      </c>
      <c r="H53" s="18" t="s">
        <v>600</v>
      </c>
      <c r="I53" s="3012"/>
      <c r="J53" s="3012"/>
      <c r="K53" s="1184">
        <v>0.05</v>
      </c>
      <c r="L53" s="3010"/>
      <c r="M53" s="3010"/>
      <c r="N53" s="18" t="s">
        <v>1418</v>
      </c>
      <c r="O53" s="2810">
        <f>L53*G53*(IF(U39="N",1+W39,1))*(K53+1)</f>
        <v>0</v>
      </c>
      <c r="P53" s="2810"/>
      <c r="Q53" s="1172" t="s">
        <v>1069</v>
      </c>
      <c r="R53" s="859" t="s">
        <v>538</v>
      </c>
      <c r="S53" s="77"/>
      <c r="T53" s="1176">
        <f>T50*0.1</f>
        <v>0</v>
      </c>
      <c r="U53" s="1177" t="s">
        <v>1416</v>
      </c>
      <c r="V53" s="1174">
        <f>Pricing!Q7</f>
        <v>1.09375</v>
      </c>
      <c r="W53" s="77" t="s">
        <v>1417</v>
      </c>
      <c r="X53" s="1175">
        <f t="shared" si="30"/>
        <v>0</v>
      </c>
      <c r="Y53" s="1178"/>
      <c r="FQ53" s="1185"/>
      <c r="FR53" s="1186"/>
      <c r="FS53" s="1187"/>
      <c r="FT53" s="1188">
        <f t="shared" si="31"/>
        <v>0</v>
      </c>
    </row>
    <row r="54" spans="2:176" ht="18.75" customHeight="1">
      <c r="B54" s="396"/>
      <c r="C54" s="966" t="s">
        <v>1419</v>
      </c>
      <c r="D54" s="373"/>
      <c r="E54" s="373"/>
      <c r="F54" s="373"/>
      <c r="G54" s="1180">
        <v>0.35</v>
      </c>
      <c r="H54" s="373" t="s">
        <v>600</v>
      </c>
      <c r="I54" s="373" t="s">
        <v>1291</v>
      </c>
      <c r="J54" s="2960">
        <v>0</v>
      </c>
      <c r="K54" s="2960"/>
      <c r="L54" s="2961"/>
      <c r="M54" s="2961"/>
      <c r="N54" s="373" t="s">
        <v>1418</v>
      </c>
      <c r="O54" s="2815">
        <f>IF(M35="y",IF(J54=0,L54*G54,J54),0)*(IF(T$61="N",1+V$61,1))</f>
        <v>0</v>
      </c>
      <c r="P54" s="2815"/>
      <c r="Q54" s="1172" t="s">
        <v>1069</v>
      </c>
      <c r="R54" s="859" t="s">
        <v>540</v>
      </c>
      <c r="S54" s="77"/>
      <c r="T54" s="1176">
        <f>I63*2/32*T48</f>
        <v>0</v>
      </c>
      <c r="U54" s="77" t="s">
        <v>1420</v>
      </c>
      <c r="V54" s="1174">
        <f>Pricing!Q8</f>
        <v>74.75</v>
      </c>
      <c r="W54" s="77" t="s">
        <v>541</v>
      </c>
      <c r="X54" s="1175">
        <f t="shared" si="30"/>
        <v>0</v>
      </c>
      <c r="Y54" s="1178"/>
      <c r="FQ54" s="142"/>
      <c r="FR54" s="143"/>
      <c r="FS54" s="144"/>
      <c r="FT54" s="145">
        <f t="shared" si="31"/>
        <v>0</v>
      </c>
    </row>
    <row r="55" spans="2:176" ht="18.75" customHeight="1">
      <c r="B55" s="1190"/>
      <c r="C55" s="17" t="s">
        <v>1421</v>
      </c>
      <c r="G55" s="1191">
        <f>Pricing!D19</f>
        <v>25</v>
      </c>
      <c r="H55" s="18" t="s">
        <v>1285</v>
      </c>
      <c r="I55" s="2816"/>
      <c r="J55" s="2816"/>
      <c r="K55" s="2808">
        <v>0.05</v>
      </c>
      <c r="L55" s="2832">
        <f>AI28</f>
        <v>0</v>
      </c>
      <c r="M55" s="2832"/>
      <c r="N55" s="18" t="s">
        <v>1286</v>
      </c>
      <c r="O55" s="2813">
        <f>L55*G55*IF(R23="N",1+U23,1)</f>
        <v>0</v>
      </c>
      <c r="P55" s="2813"/>
      <c r="Q55" s="1172" t="s">
        <v>1069</v>
      </c>
      <c r="R55" s="859" t="s">
        <v>1422</v>
      </c>
      <c r="S55" s="77"/>
      <c r="T55" s="1176">
        <f>ROUNDUP(F36/2/25,0)</f>
        <v>0</v>
      </c>
      <c r="U55" s="77" t="s">
        <v>1423</v>
      </c>
      <c r="V55" s="1174">
        <f>Pricing!Q15</f>
        <v>24</v>
      </c>
      <c r="W55" s="77" t="s">
        <v>1300</v>
      </c>
      <c r="X55" s="1175">
        <f t="shared" si="30"/>
        <v>0</v>
      </c>
      <c r="Y55" s="1178"/>
      <c r="FQ55" s="142"/>
      <c r="FR55" s="143"/>
      <c r="FS55" s="144"/>
      <c r="FT55" s="145">
        <f t="shared" si="31"/>
        <v>0</v>
      </c>
    </row>
    <row r="56" spans="2:176" ht="18.75" customHeight="1">
      <c r="B56" s="396"/>
      <c r="C56" s="987" t="s">
        <v>1424</v>
      </c>
      <c r="D56" s="373"/>
      <c r="E56" s="1192"/>
      <c r="F56" s="373"/>
      <c r="G56" s="1193">
        <v>15</v>
      </c>
      <c r="H56" s="373" t="s">
        <v>1285</v>
      </c>
      <c r="I56" s="2816"/>
      <c r="J56" s="2816"/>
      <c r="K56" s="2808"/>
      <c r="L56" s="2961"/>
      <c r="M56" s="2961"/>
      <c r="N56" s="373" t="s">
        <v>1418</v>
      </c>
      <c r="O56" s="2819">
        <f>L56*G56</f>
        <v>0</v>
      </c>
      <c r="P56" s="2819"/>
      <c r="Q56" s="1172" t="s">
        <v>1069</v>
      </c>
      <c r="R56" s="859" t="s">
        <v>561</v>
      </c>
      <c r="S56" s="77"/>
      <c r="T56" s="1176">
        <f>ROUNDUP(I63/1800,0)</f>
        <v>0</v>
      </c>
      <c r="U56" s="77" t="s">
        <v>1425</v>
      </c>
      <c r="V56" s="1174">
        <v>45</v>
      </c>
      <c r="W56" s="77" t="s">
        <v>562</v>
      </c>
      <c r="X56" s="1175">
        <f t="shared" si="30"/>
        <v>0</v>
      </c>
      <c r="Y56" s="1178"/>
      <c r="FQ56" s="142"/>
      <c r="FR56" s="143"/>
      <c r="FS56" s="144"/>
      <c r="FT56" s="145">
        <f t="shared" si="31"/>
        <v>0</v>
      </c>
    </row>
    <row r="57" spans="2:176" ht="18.75" customHeight="1">
      <c r="B57" s="396"/>
      <c r="C57" s="963"/>
      <c r="E57" s="793"/>
      <c r="G57" s="1194">
        <v>0.17</v>
      </c>
      <c r="H57" s="18" t="s">
        <v>1426</v>
      </c>
      <c r="I57" s="2816"/>
      <c r="J57" s="2816"/>
      <c r="K57" s="3013">
        <v>0.1</v>
      </c>
      <c r="L57" s="3010"/>
      <c r="M57" s="3010"/>
      <c r="N57" s="18" t="s">
        <v>1418</v>
      </c>
      <c r="O57" s="2859">
        <f>G57*L57</f>
        <v>0</v>
      </c>
      <c r="P57" s="2859"/>
      <c r="Q57" s="1172" t="s">
        <v>1069</v>
      </c>
      <c r="R57" s="859" t="s">
        <v>563</v>
      </c>
      <c r="S57" s="77"/>
      <c r="T57" s="1176">
        <f>ROUNDUP(I63/1000,0)</f>
        <v>0</v>
      </c>
      <c r="U57" s="77" t="s">
        <v>1425</v>
      </c>
      <c r="V57" s="1174">
        <f>Pricing!Q17</f>
        <v>68.2</v>
      </c>
      <c r="W57" s="77" t="s">
        <v>562</v>
      </c>
      <c r="X57" s="1175">
        <f t="shared" si="30"/>
        <v>0</v>
      </c>
      <c r="Y57" s="1178"/>
      <c r="FQ57" s="1195"/>
      <c r="FR57" s="143"/>
      <c r="FS57" s="144"/>
      <c r="FT57" s="145">
        <f t="shared" si="31"/>
        <v>0</v>
      </c>
    </row>
    <row r="58" spans="2:176" ht="18.75" customHeight="1">
      <c r="B58" s="2955" t="s">
        <v>1427</v>
      </c>
      <c r="C58" s="2955"/>
      <c r="D58" s="2955"/>
      <c r="E58" s="793" t="s">
        <v>1428</v>
      </c>
      <c r="F58" s="1196" t="s">
        <v>1306</v>
      </c>
      <c r="G58" s="1197">
        <v>3.75</v>
      </c>
      <c r="H58" s="18" t="s">
        <v>600</v>
      </c>
      <c r="I58" s="2816"/>
      <c r="J58" s="2816"/>
      <c r="K58" s="3013"/>
      <c r="L58" s="3010">
        <f>IF(F58="Y",F36*(1+K57),0)</f>
        <v>0</v>
      </c>
      <c r="M58" s="3010"/>
      <c r="N58" s="18" t="s">
        <v>1259</v>
      </c>
      <c r="O58" s="2859">
        <f>L58*G58</f>
        <v>0</v>
      </c>
      <c r="P58" s="2859"/>
      <c r="Q58" s="1172" t="s">
        <v>1069</v>
      </c>
      <c r="R58" s="859" t="s">
        <v>564</v>
      </c>
      <c r="S58" s="77"/>
      <c r="T58" s="1176">
        <f>T57</f>
        <v>0</v>
      </c>
      <c r="U58" s="77" t="s">
        <v>1425</v>
      </c>
      <c r="V58" s="1174">
        <f>Pricing!Q18</f>
        <v>68.2</v>
      </c>
      <c r="W58" s="77" t="s">
        <v>562</v>
      </c>
      <c r="X58" s="1175">
        <f t="shared" si="30"/>
        <v>0</v>
      </c>
      <c r="Y58" s="1178"/>
      <c r="FQ58" s="1185"/>
      <c r="FR58" s="1186"/>
      <c r="FS58" s="1187"/>
      <c r="FT58" s="1188">
        <f t="shared" si="31"/>
        <v>0</v>
      </c>
    </row>
    <row r="59" spans="2:176" ht="18.75" customHeight="1">
      <c r="B59" s="2983" t="s">
        <v>1429</v>
      </c>
      <c r="C59" s="2983"/>
      <c r="D59" s="2983"/>
      <c r="E59" s="1192" t="s">
        <v>1428</v>
      </c>
      <c r="F59" s="1198" t="s">
        <v>1306</v>
      </c>
      <c r="G59" s="1199">
        <v>2.75</v>
      </c>
      <c r="H59" s="373" t="s">
        <v>1430</v>
      </c>
      <c r="I59" s="2816"/>
      <c r="J59" s="2816"/>
      <c r="K59" s="3013"/>
      <c r="L59" s="3011">
        <f>IF(F59="Y",F36*2*(1+K57),0)</f>
        <v>0</v>
      </c>
      <c r="M59" s="3011"/>
      <c r="N59" s="373" t="s">
        <v>1259</v>
      </c>
      <c r="O59" s="2815">
        <f>L59*G59</f>
        <v>0</v>
      </c>
      <c r="P59" s="2815"/>
      <c r="Q59" s="1172" t="s">
        <v>1069</v>
      </c>
      <c r="R59" s="859" t="s">
        <v>1310</v>
      </c>
      <c r="S59" s="77"/>
      <c r="T59" s="1176">
        <f>AM28*12/48/50</f>
        <v>0</v>
      </c>
      <c r="U59" s="77" t="s">
        <v>1425</v>
      </c>
      <c r="V59" s="1174">
        <f>Pricing!Q34</f>
        <v>45.239999999999995</v>
      </c>
      <c r="W59" s="77" t="s">
        <v>562</v>
      </c>
      <c r="X59" s="1175">
        <f t="shared" si="30"/>
        <v>0</v>
      </c>
      <c r="Y59" s="1178"/>
    </row>
    <row r="60" spans="2:176" ht="18.75" customHeight="1">
      <c r="B60" s="577"/>
      <c r="C60" s="577" t="s">
        <v>1431</v>
      </c>
      <c r="D60" s="976"/>
      <c r="E60" s="976"/>
      <c r="F60" s="976"/>
      <c r="G60" s="1200"/>
      <c r="H60" s="976" t="s">
        <v>1432</v>
      </c>
      <c r="I60" s="2820" t="s">
        <v>1433</v>
      </c>
      <c r="J60" s="2820"/>
      <c r="K60" s="978">
        <v>0.3</v>
      </c>
      <c r="L60" s="3014">
        <f>BA36</f>
        <v>0</v>
      </c>
      <c r="M60" s="3014"/>
      <c r="N60" s="976" t="s">
        <v>1418</v>
      </c>
      <c r="O60" s="3015">
        <f>G60*K60*L60</f>
        <v>0</v>
      </c>
      <c r="P60" s="3015"/>
      <c r="Q60" s="1172" t="s">
        <v>1069</v>
      </c>
      <c r="R60" s="859" t="s">
        <v>571</v>
      </c>
      <c r="S60" s="77"/>
      <c r="T60" s="1176">
        <f>BI51+AE119</f>
        <v>0</v>
      </c>
      <c r="U60" s="77" t="s">
        <v>1416</v>
      </c>
      <c r="V60" s="1174">
        <f>Pricing!Q19</f>
        <v>0.95</v>
      </c>
      <c r="W60" s="77" t="s">
        <v>1417</v>
      </c>
      <c r="X60" s="1175">
        <f t="shared" si="30"/>
        <v>0</v>
      </c>
      <c r="Y60" s="1178"/>
    </row>
    <row r="61" spans="2:176" ht="18.75" customHeight="1">
      <c r="B61" s="1202" t="s">
        <v>1434</v>
      </c>
      <c r="C61" s="1203"/>
      <c r="D61" s="1203" t="s">
        <v>1296</v>
      </c>
      <c r="E61" s="1203"/>
      <c r="F61" s="1203"/>
      <c r="G61" s="1203"/>
      <c r="H61" s="1203"/>
      <c r="I61" s="1203"/>
      <c r="J61" s="1203"/>
      <c r="K61" s="1203"/>
      <c r="L61" s="2823" t="s">
        <v>973</v>
      </c>
      <c r="M61" s="2823"/>
      <c r="N61" s="3016" t="s">
        <v>1297</v>
      </c>
      <c r="O61" s="3016"/>
      <c r="P61" s="3016"/>
      <c r="Q61" s="1172" t="s">
        <v>1069</v>
      </c>
      <c r="R61" s="859" t="s">
        <v>576</v>
      </c>
      <c r="S61" s="77"/>
      <c r="T61" s="1176">
        <f>F36*2</f>
        <v>0</v>
      </c>
      <c r="U61" s="77" t="s">
        <v>1416</v>
      </c>
      <c r="V61" s="1174">
        <f>Pricing!Q20</f>
        <v>0.25</v>
      </c>
      <c r="W61" s="77" t="s">
        <v>1417</v>
      </c>
      <c r="X61" s="1175">
        <f t="shared" si="30"/>
        <v>0</v>
      </c>
      <c r="Y61" s="1178"/>
    </row>
    <row r="62" spans="2:176" ht="18.75" customHeight="1">
      <c r="B62" s="1204" t="s">
        <v>1362</v>
      </c>
      <c r="C62" s="983"/>
      <c r="D62" s="1205" t="s">
        <v>1306</v>
      </c>
      <c r="E62" s="3017">
        <v>8</v>
      </c>
      <c r="F62" s="3017"/>
      <c r="G62" s="983" t="s">
        <v>1435</v>
      </c>
      <c r="H62" s="983"/>
      <c r="I62" s="3018">
        <f>BC36</f>
        <v>0</v>
      </c>
      <c r="J62" s="3018"/>
      <c r="K62" s="983" t="s">
        <v>1436</v>
      </c>
      <c r="L62" s="2965">
        <f>IF(D62="N",E62*I62,0)</f>
        <v>0</v>
      </c>
      <c r="M62" s="2965"/>
      <c r="N62" s="983"/>
      <c r="O62" s="3019">
        <f>IF(D62="y",E62*I62,0)</f>
        <v>0</v>
      </c>
      <c r="P62" s="3019"/>
      <c r="Q62" s="1172" t="s">
        <v>1069</v>
      </c>
      <c r="R62" s="859" t="s">
        <v>583</v>
      </c>
      <c r="S62" s="77"/>
      <c r="T62" s="1176">
        <f>ROUNDUP(L60*0.55/2/100,0)</f>
        <v>0</v>
      </c>
      <c r="U62" s="77" t="s">
        <v>1425</v>
      </c>
      <c r="V62" s="1174">
        <f>Pricing!Q21</f>
        <v>45</v>
      </c>
      <c r="W62" s="77" t="s">
        <v>562</v>
      </c>
      <c r="X62" s="1175">
        <f t="shared" si="30"/>
        <v>0</v>
      </c>
      <c r="Y62" s="1178"/>
    </row>
    <row r="63" spans="2:176" ht="18.75" customHeight="1">
      <c r="B63" s="574" t="s">
        <v>1437</v>
      </c>
      <c r="C63" s="380"/>
      <c r="D63" s="1206" t="s">
        <v>1306</v>
      </c>
      <c r="E63" s="2830">
        <v>4</v>
      </c>
      <c r="F63" s="2830"/>
      <c r="G63" s="18" t="s">
        <v>1438</v>
      </c>
      <c r="H63" s="3020">
        <f>SUM(E63:F65)</f>
        <v>9</v>
      </c>
      <c r="I63" s="3021">
        <f>BB36</f>
        <v>0</v>
      </c>
      <c r="J63" s="3021"/>
      <c r="K63" s="18" t="s">
        <v>1439</v>
      </c>
      <c r="L63" s="2967">
        <f>IF(D63="N",E63*I63,0)</f>
        <v>0</v>
      </c>
      <c r="M63" s="2967"/>
      <c r="O63" s="3022">
        <f>IF(D63="y",I$63*E63,0)</f>
        <v>0</v>
      </c>
      <c r="P63" s="3022"/>
      <c r="Q63" s="1172" t="s">
        <v>1069</v>
      </c>
      <c r="R63" s="859" t="s">
        <v>1440</v>
      </c>
      <c r="S63" s="77"/>
      <c r="T63" s="1176">
        <f>F36-F36</f>
        <v>0</v>
      </c>
      <c r="U63" s="77" t="s">
        <v>1441</v>
      </c>
      <c r="V63" s="1174">
        <v>2.25</v>
      </c>
      <c r="W63" s="77"/>
      <c r="X63" s="1175">
        <f t="shared" si="30"/>
        <v>0</v>
      </c>
      <c r="Y63" s="1178"/>
    </row>
    <row r="64" spans="2:176" ht="18.75" customHeight="1">
      <c r="B64" s="963" t="s">
        <v>1442</v>
      </c>
      <c r="C64" s="380"/>
      <c r="D64" s="984" t="s">
        <v>1306</v>
      </c>
      <c r="E64" s="2830">
        <v>4</v>
      </c>
      <c r="F64" s="2830"/>
      <c r="G64" s="18" t="s">
        <v>1438</v>
      </c>
      <c r="H64" s="3020"/>
      <c r="I64" s="3021"/>
      <c r="J64" s="3021"/>
      <c r="K64" s="18" t="s">
        <v>1439</v>
      </c>
      <c r="L64" s="2967">
        <f>IF(D64="N",E64*I64,0)</f>
        <v>0</v>
      </c>
      <c r="M64" s="2967"/>
      <c r="O64" s="3022">
        <f>IF(D64="y",I$63*E64,0)</f>
        <v>0</v>
      </c>
      <c r="P64" s="3022"/>
      <c r="Q64" s="1172" t="s">
        <v>1069</v>
      </c>
      <c r="R64" s="859"/>
      <c r="S64" s="77"/>
      <c r="T64" s="1176"/>
      <c r="U64" s="77"/>
      <c r="V64" s="1174">
        <v>0</v>
      </c>
      <c r="W64" s="77"/>
      <c r="X64" s="1175">
        <f t="shared" si="30"/>
        <v>0</v>
      </c>
      <c r="Y64" s="1178"/>
    </row>
    <row r="65" spans="2:25" ht="18.75" customHeight="1">
      <c r="B65" s="963" t="s">
        <v>1443</v>
      </c>
      <c r="C65" s="380"/>
      <c r="D65" s="984" t="s">
        <v>1306</v>
      </c>
      <c r="E65" s="2830">
        <v>1</v>
      </c>
      <c r="F65" s="2830"/>
      <c r="G65" s="18" t="s">
        <v>1438</v>
      </c>
      <c r="H65" s="3020"/>
      <c r="I65" s="3021"/>
      <c r="J65" s="3021"/>
      <c r="K65" s="18" t="s">
        <v>1439</v>
      </c>
      <c r="L65" s="2967">
        <f>IF(D65="N",E65*I65,0)</f>
        <v>0</v>
      </c>
      <c r="M65" s="2967"/>
      <c r="O65" s="3022">
        <f>IF(D65="y",I$63*E65,0)</f>
        <v>0</v>
      </c>
      <c r="P65" s="3022"/>
      <c r="Q65" s="1172" t="s">
        <v>1069</v>
      </c>
      <c r="R65" s="859"/>
      <c r="S65" s="77"/>
      <c r="T65" s="1176"/>
      <c r="U65" s="77"/>
      <c r="V65" s="1174">
        <v>0</v>
      </c>
      <c r="W65" s="77"/>
      <c r="X65" s="1175">
        <f t="shared" si="30"/>
        <v>0</v>
      </c>
      <c r="Y65" s="1178"/>
    </row>
    <row r="66" spans="2:25" ht="18.75" customHeight="1">
      <c r="B66" s="963" t="s">
        <v>1444</v>
      </c>
      <c r="C66" s="380"/>
      <c r="D66" s="984" t="s">
        <v>1306</v>
      </c>
      <c r="E66" s="2830">
        <v>0.25</v>
      </c>
      <c r="F66" s="2830"/>
      <c r="G66" s="18" t="s">
        <v>1438</v>
      </c>
      <c r="I66" s="3021"/>
      <c r="J66" s="3021"/>
      <c r="K66" s="18" t="s">
        <v>1439</v>
      </c>
      <c r="L66" s="2967">
        <f>IF(D66="N",E73*I66,0)</f>
        <v>0</v>
      </c>
      <c r="M66" s="2967"/>
      <c r="O66" s="3022">
        <f>IF(D66="y",I$63*E66,0)</f>
        <v>0</v>
      </c>
      <c r="P66" s="3022"/>
      <c r="Q66" s="1172" t="s">
        <v>1069</v>
      </c>
      <c r="R66" s="859"/>
      <c r="S66" s="77"/>
      <c r="T66" s="1176">
        <f>BI56+BQ56</f>
        <v>0</v>
      </c>
      <c r="U66" s="77"/>
      <c r="V66" s="1174">
        <f>BL56</f>
        <v>0</v>
      </c>
      <c r="W66" s="77"/>
      <c r="X66" s="1175">
        <f t="shared" si="30"/>
        <v>0</v>
      </c>
      <c r="Y66" s="1178"/>
    </row>
    <row r="67" spans="2:25" ht="18.75" customHeight="1">
      <c r="B67" s="963" t="s">
        <v>1307</v>
      </c>
      <c r="C67" s="380"/>
      <c r="D67" s="984" t="s">
        <v>1306</v>
      </c>
      <c r="E67" s="2830">
        <v>450</v>
      </c>
      <c r="F67" s="2830"/>
      <c r="G67" s="18" t="s">
        <v>1308</v>
      </c>
      <c r="I67" s="2832">
        <f>(L52/2000)</f>
        <v>0</v>
      </c>
      <c r="J67" s="2832"/>
      <c r="K67" s="18" t="s">
        <v>1309</v>
      </c>
      <c r="L67" s="2967">
        <f>IF(D67="N",E67*I67,0)</f>
        <v>0</v>
      </c>
      <c r="M67" s="2967"/>
      <c r="O67" s="3022">
        <f>IF(D67="y",I67*E67,0)</f>
        <v>0</v>
      </c>
      <c r="P67" s="3022"/>
      <c r="Q67" s="1172" t="s">
        <v>1069</v>
      </c>
      <c r="R67" s="859"/>
      <c r="S67" s="77"/>
      <c r="T67" s="1176">
        <f>BI58+BQ58</f>
        <v>0</v>
      </c>
      <c r="U67" s="77"/>
      <c r="V67" s="1174">
        <f>BL58</f>
        <v>0</v>
      </c>
      <c r="W67" s="77"/>
      <c r="X67" s="1175">
        <f t="shared" si="30"/>
        <v>0</v>
      </c>
      <c r="Y67" s="1178"/>
    </row>
    <row r="68" spans="2:25" ht="18.75" customHeight="1">
      <c r="B68" s="963" t="s">
        <v>1445</v>
      </c>
      <c r="C68" s="380"/>
      <c r="D68" s="1207" t="s">
        <v>1306</v>
      </c>
      <c r="E68" s="2830">
        <v>4</v>
      </c>
      <c r="F68" s="2830"/>
      <c r="G68" s="18" t="s">
        <v>1285</v>
      </c>
      <c r="I68" s="2832">
        <f>SUM(FT10:FT35)</f>
        <v>0</v>
      </c>
      <c r="J68" s="2832"/>
      <c r="K68" s="18" t="s">
        <v>998</v>
      </c>
      <c r="L68" s="2967">
        <f>IF(D68="N",E68*I68,0)</f>
        <v>0</v>
      </c>
      <c r="M68" s="2967"/>
      <c r="O68" s="3022">
        <f>IF(D68="y",I68*E68,0)</f>
        <v>0</v>
      </c>
      <c r="P68" s="3022"/>
      <c r="Q68" s="1172" t="s">
        <v>1069</v>
      </c>
      <c r="R68" s="1208"/>
      <c r="S68" s="1209"/>
      <c r="T68" s="1210"/>
      <c r="U68" s="1209"/>
      <c r="V68" s="1211"/>
      <c r="W68" s="1209"/>
      <c r="X68" s="1189">
        <f t="shared" si="30"/>
        <v>0</v>
      </c>
      <c r="Y68" s="1178"/>
    </row>
    <row r="69" spans="2:25" ht="18.75" customHeight="1">
      <c r="B69" s="71" t="s">
        <v>1446</v>
      </c>
      <c r="C69" s="380"/>
      <c r="D69" s="1207" t="s">
        <v>1302</v>
      </c>
      <c r="E69" s="2830">
        <v>8</v>
      </c>
      <c r="F69" s="2830"/>
      <c r="G69" s="18" t="s">
        <v>1285</v>
      </c>
      <c r="I69" s="2832">
        <f>SUM(FV10:FV35)</f>
        <v>0</v>
      </c>
      <c r="J69" s="2832"/>
      <c r="K69" s="18" t="s">
        <v>998</v>
      </c>
      <c r="L69" s="2967">
        <f>IF(D69="N",E69*I69,0)</f>
        <v>0</v>
      </c>
      <c r="M69" s="2967"/>
      <c r="O69" s="3022">
        <f>IF(D69="y",I69*E69,0)</f>
        <v>0</v>
      </c>
      <c r="P69" s="3022"/>
      <c r="Q69" s="1172" t="s">
        <v>1069</v>
      </c>
      <c r="R69" s="859"/>
      <c r="S69" s="77"/>
      <c r="T69" s="1176">
        <f>BI59+BQ59</f>
        <v>0</v>
      </c>
      <c r="U69" s="1212"/>
      <c r="V69" s="1174">
        <f>BL59</f>
        <v>0</v>
      </c>
      <c r="W69" s="77"/>
      <c r="X69" s="1175">
        <f t="shared" si="30"/>
        <v>0</v>
      </c>
      <c r="Y69" s="1178"/>
    </row>
    <row r="70" spans="2:25" ht="18.75" customHeight="1">
      <c r="B70" s="3023" t="s">
        <v>1313</v>
      </c>
      <c r="C70" s="3023"/>
      <c r="D70" s="988" t="s">
        <v>1302</v>
      </c>
      <c r="E70" s="2833"/>
      <c r="F70" s="2833"/>
      <c r="G70" s="373"/>
      <c r="H70" s="1213"/>
      <c r="I70" s="1213"/>
      <c r="J70" s="373"/>
      <c r="K70" s="1214"/>
      <c r="L70" s="2970">
        <f>IF(D70="N",E70,0)</f>
        <v>0</v>
      </c>
      <c r="M70" s="2970"/>
      <c r="N70" s="1006"/>
      <c r="O70" s="3024">
        <f>IF(D70="y",E70,0)</f>
        <v>0</v>
      </c>
      <c r="P70" s="3024"/>
      <c r="Q70" s="1172" t="s">
        <v>1069</v>
      </c>
      <c r="R70" s="859"/>
      <c r="S70" s="77"/>
      <c r="T70" s="1176"/>
      <c r="U70" s="1212"/>
      <c r="V70" s="1174"/>
      <c r="W70" s="77"/>
      <c r="X70" s="1175">
        <f t="shared" si="30"/>
        <v>0</v>
      </c>
      <c r="Y70" s="1178"/>
    </row>
    <row r="71" spans="2:25" ht="18.75" customHeight="1">
      <c r="B71" s="990" t="s">
        <v>1447</v>
      </c>
      <c r="C71" s="991"/>
      <c r="D71" s="992"/>
      <c r="E71" s="2836">
        <f>IF(I63=0,0,(O71-O70+L71)/I63)</f>
        <v>0</v>
      </c>
      <c r="F71" s="2836"/>
      <c r="G71" s="802"/>
      <c r="H71" s="976"/>
      <c r="I71" s="2837" t="s">
        <v>980</v>
      </c>
      <c r="J71" s="2837"/>
      <c r="K71" s="2837"/>
      <c r="L71" s="2972">
        <f>SUM(L62:M70)</f>
        <v>0</v>
      </c>
      <c r="M71" s="2972"/>
      <c r="N71" s="976"/>
      <c r="O71" s="3025">
        <f>SUM(O62:P70)</f>
        <v>0</v>
      </c>
      <c r="P71" s="3025"/>
      <c r="Q71" s="1172" t="s">
        <v>1448</v>
      </c>
      <c r="R71" s="859" t="s">
        <v>601</v>
      </c>
      <c r="S71" s="77"/>
      <c r="T71" s="1176">
        <f>I63/3*2</f>
        <v>0</v>
      </c>
      <c r="U71" s="77"/>
      <c r="V71" s="1174">
        <f>Pricing!Q4</f>
        <v>0.859375</v>
      </c>
      <c r="W71" s="77" t="s">
        <v>1312</v>
      </c>
      <c r="X71" s="1175">
        <f t="shared" si="30"/>
        <v>0</v>
      </c>
      <c r="Y71" s="1178"/>
    </row>
    <row r="72" spans="2:25" ht="18.75" customHeight="1">
      <c r="B72" s="1215" t="s">
        <v>1449</v>
      </c>
      <c r="C72" s="1215"/>
      <c r="D72" s="1215"/>
      <c r="E72" s="1215"/>
      <c r="F72" s="1215"/>
      <c r="G72" s="1215"/>
      <c r="H72" s="1215"/>
      <c r="I72" s="1215"/>
      <c r="J72" s="1215"/>
      <c r="K72" s="1215"/>
      <c r="L72" s="1215"/>
      <c r="M72" s="1215"/>
      <c r="N72" s="1215"/>
      <c r="O72" s="1215"/>
      <c r="P72" s="1215"/>
      <c r="Q72" s="1172" t="s">
        <v>1448</v>
      </c>
      <c r="R72" s="859" t="s">
        <v>604</v>
      </c>
      <c r="S72" s="77"/>
      <c r="T72" s="1176">
        <f>T71/2*T48</f>
        <v>0</v>
      </c>
      <c r="U72" s="77"/>
      <c r="V72" s="1174">
        <f>Pricing!Q5</f>
        <v>1.4453125</v>
      </c>
      <c r="W72" s="77" t="s">
        <v>1312</v>
      </c>
      <c r="X72" s="1175">
        <f t="shared" si="30"/>
        <v>0</v>
      </c>
      <c r="Y72" s="1178"/>
    </row>
    <row r="73" spans="2:25" ht="18.75" customHeight="1">
      <c r="B73" s="997" t="s">
        <v>1316</v>
      </c>
      <c r="C73" s="983"/>
      <c r="D73" s="998"/>
      <c r="E73" s="999"/>
      <c r="F73" s="983" t="s">
        <v>1317</v>
      </c>
      <c r="G73" s="1216">
        <v>425</v>
      </c>
      <c r="H73" s="1001" t="s">
        <v>1450</v>
      </c>
      <c r="I73" s="983"/>
      <c r="J73" s="983"/>
      <c r="K73" s="983"/>
      <c r="L73" s="983"/>
      <c r="M73" s="2974">
        <f>IF(E40=0,0,(SUM(O73:P75))/E40)</f>
        <v>0</v>
      </c>
      <c r="N73" s="2974"/>
      <c r="O73" s="2856">
        <f>E73*G73</f>
        <v>0</v>
      </c>
      <c r="P73" s="2856"/>
      <c r="Q73" s="1172" t="s">
        <v>1451</v>
      </c>
      <c r="R73" s="1208" t="s">
        <v>606</v>
      </c>
      <c r="S73" s="1209"/>
      <c r="T73" s="1210">
        <f>BI57+BQ57</f>
        <v>0</v>
      </c>
      <c r="U73" s="1209" t="s">
        <v>1452</v>
      </c>
      <c r="V73" s="1211">
        <f>Pricing!Q28</f>
        <v>45</v>
      </c>
      <c r="W73" s="1209" t="s">
        <v>607</v>
      </c>
      <c r="X73" s="1189">
        <f t="shared" si="30"/>
        <v>0</v>
      </c>
      <c r="Y73" s="1178"/>
    </row>
    <row r="74" spans="2:25" ht="18.75" customHeight="1">
      <c r="B74" s="963" t="s">
        <v>1318</v>
      </c>
      <c r="E74" s="1002">
        <f>E73</f>
        <v>0</v>
      </c>
      <c r="F74" s="1003" t="s">
        <v>1317</v>
      </c>
      <c r="G74" s="1217">
        <v>250</v>
      </c>
      <c r="H74" s="1035" t="s">
        <v>1450</v>
      </c>
      <c r="M74" s="2975">
        <f>SUM(O73:P75)</f>
        <v>0</v>
      </c>
      <c r="N74" s="2975"/>
      <c r="O74" s="2859">
        <f>E74*G74</f>
        <v>0</v>
      </c>
      <c r="P74" s="2859"/>
      <c r="Q74" s="1172" t="s">
        <v>1077</v>
      </c>
      <c r="R74" s="859" t="s">
        <v>1453</v>
      </c>
      <c r="S74" s="77"/>
      <c r="T74" s="77"/>
      <c r="U74" s="77" t="s">
        <v>1454</v>
      </c>
      <c r="V74" s="1174">
        <f>BL61</f>
        <v>0</v>
      </c>
      <c r="W74" s="77" t="s">
        <v>630</v>
      </c>
      <c r="X74" s="1175">
        <f t="shared" si="30"/>
        <v>0</v>
      </c>
      <c r="Y74" s="1083"/>
    </row>
    <row r="75" spans="2:25" ht="18.75" customHeight="1">
      <c r="B75" s="963" t="s">
        <v>1320</v>
      </c>
      <c r="E75" s="1002">
        <f>E73</f>
        <v>0</v>
      </c>
      <c r="F75" s="18" t="s">
        <v>1317</v>
      </c>
      <c r="G75" s="1217">
        <v>100</v>
      </c>
      <c r="H75" s="18" t="s">
        <v>1450</v>
      </c>
      <c r="O75" s="2859">
        <f>E75*G75</f>
        <v>0</v>
      </c>
      <c r="P75" s="2859"/>
      <c r="Q75" s="1172" t="s">
        <v>1076</v>
      </c>
      <c r="R75" s="859" t="s">
        <v>1455</v>
      </c>
      <c r="S75" s="77"/>
      <c r="T75" s="1176">
        <f>BI58+BQ58</f>
        <v>0</v>
      </c>
      <c r="U75" s="77"/>
      <c r="V75" s="1174">
        <f>BL58</f>
        <v>0</v>
      </c>
      <c r="W75" s="77"/>
      <c r="X75" s="1175">
        <f>IF(U$39="Y",T74*V74,T74*V74*(1+W$39))</f>
        <v>0</v>
      </c>
      <c r="Y75" s="1083"/>
    </row>
    <row r="76" spans="2:25" ht="18.75" customHeight="1">
      <c r="B76" s="806" t="s">
        <v>1321</v>
      </c>
      <c r="C76" s="976"/>
      <c r="D76" s="976"/>
      <c r="E76" s="1008">
        <f>E73</f>
        <v>0</v>
      </c>
      <c r="F76" s="976" t="s">
        <v>1317</v>
      </c>
      <c r="G76" s="1218">
        <v>200</v>
      </c>
      <c r="H76" s="976" t="s">
        <v>1450</v>
      </c>
      <c r="I76" s="976"/>
      <c r="J76" s="976"/>
      <c r="K76" s="976"/>
      <c r="L76" s="976"/>
      <c r="M76" s="2843">
        <f>IF(E40=0,0,O76/E40)</f>
        <v>0</v>
      </c>
      <c r="N76" s="2843"/>
      <c r="O76" s="2839">
        <f>E76*G76</f>
        <v>0</v>
      </c>
      <c r="P76" s="2839"/>
      <c r="Q76" s="1172"/>
      <c r="R76" s="859"/>
      <c r="S76" s="77"/>
      <c r="T76" s="1176"/>
      <c r="U76" s="77"/>
      <c r="V76" s="1174"/>
      <c r="W76" s="77"/>
      <c r="X76" s="1175">
        <f>IF(U$39="Y",T75*V75,T75*V75*(1+W$39))</f>
        <v>0</v>
      </c>
      <c r="Y76" s="1083"/>
    </row>
    <row r="77" spans="2:25" ht="18.75" customHeight="1">
      <c r="B77" s="1215" t="s">
        <v>1325</v>
      </c>
      <c r="C77" s="1215"/>
      <c r="D77" s="1215"/>
      <c r="E77" s="1215"/>
      <c r="F77" s="1215"/>
      <c r="G77" s="1215"/>
      <c r="H77" s="1215"/>
      <c r="I77" s="1215"/>
      <c r="J77" s="1215"/>
      <c r="K77" s="1215"/>
      <c r="L77" s="1215"/>
      <c r="M77" s="1215"/>
      <c r="N77" s="1215"/>
      <c r="O77" s="1215"/>
      <c r="P77" s="1215"/>
      <c r="Q77" s="1172" t="s">
        <v>1076</v>
      </c>
      <c r="R77" s="966" t="s">
        <v>1456</v>
      </c>
      <c r="S77" s="248"/>
      <c r="T77" s="1219">
        <f>SUM(L48:M51)/300</f>
        <v>0</v>
      </c>
      <c r="U77" s="373" t="s">
        <v>1323</v>
      </c>
      <c r="V77" s="1214">
        <v>250</v>
      </c>
      <c r="W77" s="373" t="s">
        <v>1324</v>
      </c>
      <c r="X77" s="1189">
        <f t="shared" ref="X77:X86" si="32">IF(U$39="Y",T77*V77,T77*V77*(1+W$39))</f>
        <v>0</v>
      </c>
      <c r="Y77" s="1083"/>
    </row>
    <row r="78" spans="2:25" ht="18.75" customHeight="1">
      <c r="B78" s="795" t="s">
        <v>1326</v>
      </c>
      <c r="C78" s="983"/>
      <c r="D78" s="1011"/>
      <c r="E78" s="999">
        <f t="shared" ref="E78:E83" si="33">IF(E$73&gt;0,IF(E$73&lt;=3,E$73,7),0)+IF(E$73&gt;5,IF(E$73&lt;=10,7,0),0)+IF(E$73&gt;10,IF(E$73&lt;=15,14,0),0)+IF(E$73&gt;15,IF(E$73&lt;=20,23,0),0)+IF(E$73&gt;20,IF(E$73&lt;=40,53,0),0)+IF(E$73&gt;40,IF(E$73&lt;=60,83,0),0)+IF(E$73&gt;60,IF(E$73&lt;=80,113,0),0)+IF(E$73&gt;80,IF(E$73&lt;=100,143,0),0)+IF(E$73&gt;100,IF(E$73&lt;=120,163,0),0)+IF(E$73&gt;120,IF(E$73&lt;=140,193,0),0)+IF(E$73&gt;140,IF(E$73&lt;=160,223,0),0)</f>
        <v>0</v>
      </c>
      <c r="F78" s="983" t="s">
        <v>1327</v>
      </c>
      <c r="G78" s="1216">
        <f>Pricing!D32</f>
        <v>425</v>
      </c>
      <c r="H78" s="983" t="s">
        <v>1450</v>
      </c>
      <c r="I78" s="983"/>
      <c r="J78" s="983"/>
      <c r="K78" s="983"/>
      <c r="L78" s="983"/>
      <c r="M78" s="1220"/>
      <c r="N78" s="1220"/>
      <c r="O78" s="2856">
        <f>(IF(AND(E78&gt;0,E78&lt;4),E78*G78,0)+IF(AND(E78&gt;3,E78&lt;8),G78*3,0)+IF(AND(E78&gt;7,E78&lt;21),E78/7*G78*3,0)+IF(AND(E78&gt;20,E78&lt;30),G78*9,0)+IF(E78&gt;29,E78/30*G78*9,0))*(1+W$39+J$80)</f>
        <v>0</v>
      </c>
      <c r="P78" s="2856"/>
      <c r="Q78" s="1172" t="s">
        <v>1073</v>
      </c>
      <c r="R78" s="859" t="s">
        <v>618</v>
      </c>
      <c r="S78" s="77"/>
      <c r="T78" s="77">
        <f>ROUNDUP(I63/12000,0)</f>
        <v>0</v>
      </c>
      <c r="U78" s="77" t="s">
        <v>1452</v>
      </c>
      <c r="V78" s="1174">
        <f>BL65</f>
        <v>0</v>
      </c>
      <c r="W78" s="77" t="s">
        <v>607</v>
      </c>
      <c r="X78" s="1175">
        <f t="shared" si="32"/>
        <v>0</v>
      </c>
      <c r="Y78" s="1083"/>
    </row>
    <row r="79" spans="2:25" ht="18.75" customHeight="1">
      <c r="B79" s="574" t="s">
        <v>622</v>
      </c>
      <c r="D79" s="1013"/>
      <c r="E79" s="1012">
        <f t="shared" si="33"/>
        <v>0</v>
      </c>
      <c r="F79" s="18" t="s">
        <v>1327</v>
      </c>
      <c r="G79" s="1216">
        <f>Pricing!D33</f>
        <v>475</v>
      </c>
      <c r="H79" s="18" t="s">
        <v>1450</v>
      </c>
      <c r="J79" s="2977" t="s">
        <v>1329</v>
      </c>
      <c r="K79" s="2977"/>
      <c r="M79" s="2841">
        <f>IF(E40=0,0,(SUM(O78:P83))/E40)</f>
        <v>0</v>
      </c>
      <c r="N79" s="2841"/>
      <c r="O79" s="2859">
        <f>(IF(AND(E79&gt;0,E79&lt;4),E79*G79,0)+IF(AND(E79&gt;3,E79&lt;8),G79*3,0)+IF(AND(E79&gt;7,E79&lt;21),E79/7*G79*3,0)+IF(AND(E79&gt;20,E79&lt;30),G79*9,0)+IF(E79&gt;29,E79/30*G79*9,0))*(1+W$39+J$80)</f>
        <v>0</v>
      </c>
      <c r="P79" s="2859"/>
      <c r="Q79" s="1172" t="s">
        <v>1073</v>
      </c>
      <c r="R79" s="859" t="s">
        <v>1457</v>
      </c>
      <c r="S79" s="77"/>
      <c r="T79" s="77"/>
      <c r="U79" s="77"/>
      <c r="V79" s="1174">
        <v>0</v>
      </c>
      <c r="W79" s="77" t="s">
        <v>1417</v>
      </c>
      <c r="X79" s="1175">
        <f t="shared" si="32"/>
        <v>0</v>
      </c>
      <c r="Y79" s="1083"/>
    </row>
    <row r="80" spans="2:25" ht="18.75" customHeight="1">
      <c r="B80" s="574" t="s">
        <v>626</v>
      </c>
      <c r="D80" s="1013"/>
      <c r="E80" s="1012">
        <f t="shared" si="33"/>
        <v>0</v>
      </c>
      <c r="F80" s="77" t="s">
        <v>1327</v>
      </c>
      <c r="G80" s="1221">
        <f>Pricing!D35</f>
        <v>325</v>
      </c>
      <c r="H80" s="18" t="s">
        <v>1450</v>
      </c>
      <c r="J80" s="2850">
        <v>0.5</v>
      </c>
      <c r="K80" s="2850"/>
      <c r="M80" s="2975">
        <f>SUM(O78:P83)</f>
        <v>0</v>
      </c>
      <c r="N80" s="2975"/>
      <c r="O80" s="2859">
        <f>(IF(AND(E80&gt;0,E80&lt;4),E80*G80,0)+IF(AND(E80&gt;3,E80&lt;8),G80*3,0)+IF(AND(E80&gt;7,E80&lt;21),E80/7*G80*3,0)+IF(AND(E80&gt;20,E80&lt;30),G80*9,0)+IF(E80&gt;29,E80/30*G80*9,0))*(1+W$39+J$80)</f>
        <v>0</v>
      </c>
      <c r="P80" s="2859"/>
      <c r="Q80" s="1172" t="s">
        <v>1073</v>
      </c>
      <c r="R80" s="1208" t="s">
        <v>554</v>
      </c>
      <c r="S80" s="1209"/>
      <c r="T80" s="1222">
        <f>L52</f>
        <v>0</v>
      </c>
      <c r="U80" s="1209" t="s">
        <v>1288</v>
      </c>
      <c r="V80" s="1211">
        <v>0.02</v>
      </c>
      <c r="W80" s="1209" t="s">
        <v>555</v>
      </c>
      <c r="X80" s="1189">
        <f t="shared" si="32"/>
        <v>0</v>
      </c>
      <c r="Y80" s="1083"/>
    </row>
    <row r="81" spans="2:25" ht="18.75" customHeight="1">
      <c r="B81" s="574" t="s">
        <v>1332</v>
      </c>
      <c r="D81" s="1013"/>
      <c r="E81" s="1012">
        <f t="shared" si="33"/>
        <v>0</v>
      </c>
      <c r="F81" s="18" t="s">
        <v>1327</v>
      </c>
      <c r="G81" s="1221">
        <f>Pricing!D39</f>
        <v>100</v>
      </c>
      <c r="H81" s="18" t="s">
        <v>1450</v>
      </c>
      <c r="J81" s="2850"/>
      <c r="K81" s="2850"/>
      <c r="O81" s="2859">
        <f>(IF(AND(E81&gt;0,E81&lt;4),E81*G81,0)+IF(AND(E81&gt;3,E81&lt;8),G81*3,0)+IF(AND(E81&gt;7,E81&lt;21),E81/7*G81*3,0)+IF(AND(E81&gt;20,E81&lt;30),G81*9,0)+IF(E81&gt;29,E81/30*G81*9,0))*(1+W$39+J$80)</f>
        <v>0</v>
      </c>
      <c r="P81" s="2859"/>
      <c r="Q81" s="1172" t="s">
        <v>1078</v>
      </c>
      <c r="R81" s="859" t="s">
        <v>1105</v>
      </c>
      <c r="S81" s="77"/>
      <c r="T81" s="77"/>
      <c r="U81" s="77"/>
      <c r="V81" s="1174">
        <v>0</v>
      </c>
      <c r="W81" s="77"/>
      <c r="X81" s="1175">
        <f t="shared" si="32"/>
        <v>0</v>
      </c>
      <c r="Y81" s="1083"/>
    </row>
    <row r="82" spans="2:25" ht="18.75" customHeight="1">
      <c r="B82" s="574" t="s">
        <v>1333</v>
      </c>
      <c r="D82" s="1013"/>
      <c r="E82" s="1012">
        <f t="shared" si="33"/>
        <v>0</v>
      </c>
      <c r="F82" s="18" t="s">
        <v>1327</v>
      </c>
      <c r="G82" s="1221">
        <v>50</v>
      </c>
      <c r="H82" s="18" t="s">
        <v>1450</v>
      </c>
      <c r="O82" s="2859">
        <f>(IF(AND(E82&gt;0,E82&lt;4),E82*G82,0)+IF(AND(E82&gt;3,E82&lt;8),G82*3,0)+IF(AND(E82&gt;7,E82&lt;21),E82/7*G82*3,0)+IF(AND(E82&gt;20,E82&lt;30),G82*9,0)+IF(E82&gt;29,E82/30*G82*9,0))*(1+W$39+J$80)</f>
        <v>0</v>
      </c>
      <c r="P82" s="2859"/>
      <c r="Q82" s="1172" t="s">
        <v>1328</v>
      </c>
      <c r="R82" s="859" t="s">
        <v>1105</v>
      </c>
      <c r="S82" s="77"/>
      <c r="T82" s="77"/>
      <c r="U82" s="77"/>
      <c r="V82" s="1174">
        <v>0</v>
      </c>
      <c r="W82" s="77"/>
      <c r="X82" s="1175">
        <f t="shared" si="32"/>
        <v>0</v>
      </c>
      <c r="Y82" s="1083"/>
    </row>
    <row r="83" spans="2:25" ht="18.75" customHeight="1">
      <c r="B83" s="1007" t="s">
        <v>1067</v>
      </c>
      <c r="C83" s="806"/>
      <c r="D83" s="1223"/>
      <c r="E83" s="1224">
        <f t="shared" si="33"/>
        <v>0</v>
      </c>
      <c r="F83" s="976" t="s">
        <v>1327</v>
      </c>
      <c r="G83" s="1225">
        <v>35</v>
      </c>
      <c r="H83" s="976" t="s">
        <v>1450</v>
      </c>
      <c r="I83" s="976"/>
      <c r="J83" s="976"/>
      <c r="K83" s="976"/>
      <c r="L83" s="976"/>
      <c r="M83" s="976"/>
      <c r="N83" s="976"/>
      <c r="O83" s="2839">
        <f>(IF(AND(E83&gt;0,E83&lt;4),E83*G83,0)+IF(AND(E83&gt;3,E83&lt;8),G83*3,0)+IF(AND(E83&gt;7,E83&lt;21),E83/7*G83*3,0)+IF(AND(E83&gt;20,E83&lt;30),G83*9,0)+IF(E83&gt;29,E83/30*G83*9,0))</f>
        <v>0</v>
      </c>
      <c r="P83" s="2839"/>
      <c r="Q83" s="1172" t="s">
        <v>1330</v>
      </c>
      <c r="R83" s="1208" t="s">
        <v>1108</v>
      </c>
      <c r="S83" s="1209"/>
      <c r="T83" s="1209"/>
      <c r="U83" s="1209"/>
      <c r="V83" s="1211">
        <v>0</v>
      </c>
      <c r="W83" s="1209"/>
      <c r="X83" s="1189">
        <f t="shared" si="32"/>
        <v>0</v>
      </c>
      <c r="Y83" s="1083"/>
    </row>
    <row r="84" spans="2:25" ht="18.75" customHeight="1">
      <c r="B84" s="1215" t="s">
        <v>1336</v>
      </c>
      <c r="C84" s="1215"/>
      <c r="D84" s="1215"/>
      <c r="E84" s="1215"/>
      <c r="F84" s="1215"/>
      <c r="G84" s="1215"/>
      <c r="H84" s="1215"/>
      <c r="I84" s="1215"/>
      <c r="J84" s="1215"/>
      <c r="K84" s="1215"/>
      <c r="L84" s="1215"/>
      <c r="M84" s="1215"/>
      <c r="N84" s="1215"/>
      <c r="O84" s="1215"/>
      <c r="P84" s="1215"/>
      <c r="Q84" s="1172" t="s">
        <v>1342</v>
      </c>
      <c r="R84" s="859"/>
      <c r="S84" s="77"/>
      <c r="T84" s="77"/>
      <c r="U84" s="77"/>
      <c r="V84" s="1174">
        <f>BF69</f>
        <v>0</v>
      </c>
      <c r="W84" s="77"/>
      <c r="X84" s="1175">
        <f t="shared" si="32"/>
        <v>0</v>
      </c>
      <c r="Y84" s="1083"/>
    </row>
    <row r="85" spans="2:25" ht="18.75" customHeight="1">
      <c r="B85" s="3026" t="s">
        <v>1458</v>
      </c>
      <c r="C85" s="3026"/>
      <c r="D85" s="3026"/>
      <c r="E85" s="1226">
        <f>SUM(L48:M51)</f>
        <v>0</v>
      </c>
      <c r="F85" s="1227" t="s">
        <v>998</v>
      </c>
      <c r="G85" s="1228">
        <v>20</v>
      </c>
      <c r="H85" s="983" t="s">
        <v>1459</v>
      </c>
      <c r="I85" s="983"/>
      <c r="J85" s="983"/>
      <c r="K85" s="983"/>
      <c r="L85" s="983"/>
      <c r="M85" s="983"/>
      <c r="N85" s="983"/>
      <c r="O85" s="2856">
        <f t="shared" ref="O85:O90" si="34">E85*G85</f>
        <v>0</v>
      </c>
      <c r="P85" s="2856"/>
      <c r="Q85" s="1172" t="s">
        <v>1342</v>
      </c>
      <c r="R85" s="859" t="s">
        <v>646</v>
      </c>
      <c r="S85" s="77"/>
      <c r="T85" s="1229">
        <f>ROUNDUP(I63/300/55,0)</f>
        <v>0</v>
      </c>
      <c r="U85" s="77" t="s">
        <v>1460</v>
      </c>
      <c r="V85" s="1174"/>
      <c r="W85" s="77" t="s">
        <v>647</v>
      </c>
      <c r="X85" s="1175">
        <f t="shared" si="32"/>
        <v>0</v>
      </c>
      <c r="Y85" s="1083"/>
    </row>
    <row r="86" spans="2:25" ht="18.75" customHeight="1">
      <c r="B86" s="3027" t="s">
        <v>1461</v>
      </c>
      <c r="C86" s="3027"/>
      <c r="D86" s="3027"/>
      <c r="E86" s="1002">
        <f>I63</f>
        <v>0</v>
      </c>
      <c r="F86" s="18" t="s">
        <v>1418</v>
      </c>
      <c r="G86" s="1197">
        <v>5.25</v>
      </c>
      <c r="H86" s="18" t="s">
        <v>600</v>
      </c>
      <c r="O86" s="2859">
        <f t="shared" si="34"/>
        <v>0</v>
      </c>
      <c r="P86" s="2859"/>
      <c r="Q86" s="1172" t="s">
        <v>1342</v>
      </c>
      <c r="R86" s="1208" t="s">
        <v>649</v>
      </c>
      <c r="S86" s="1209"/>
      <c r="T86" s="1209">
        <f>BI64</f>
        <v>0</v>
      </c>
      <c r="U86" s="1209" t="s">
        <v>1460</v>
      </c>
      <c r="V86" s="1230">
        <f>BL64</f>
        <v>0</v>
      </c>
      <c r="W86" s="1209" t="s">
        <v>647</v>
      </c>
      <c r="X86" s="1175">
        <f t="shared" si="32"/>
        <v>0</v>
      </c>
      <c r="Y86" s="1083"/>
    </row>
    <row r="87" spans="2:25" ht="18.75" customHeight="1">
      <c r="B87" s="3027" t="s">
        <v>1462</v>
      </c>
      <c r="C87" s="3027"/>
      <c r="D87" s="3027"/>
      <c r="E87" s="804"/>
      <c r="F87" s="1003" t="s">
        <v>1259</v>
      </c>
      <c r="G87" s="1197">
        <v>2.5</v>
      </c>
      <c r="H87" s="18" t="s">
        <v>1341</v>
      </c>
      <c r="O87" s="2859">
        <f t="shared" si="34"/>
        <v>0</v>
      </c>
      <c r="P87" s="2859"/>
      <c r="Q87" s="1172"/>
      <c r="R87" s="574"/>
      <c r="X87" s="1037"/>
      <c r="Y87" s="1083"/>
    </row>
    <row r="88" spans="2:25" ht="18.75" customHeight="1">
      <c r="B88" s="3027" t="s">
        <v>1067</v>
      </c>
      <c r="C88" s="3027"/>
      <c r="D88" s="3027"/>
      <c r="E88" s="1030"/>
      <c r="F88" s="1231" t="s">
        <v>1463</v>
      </c>
      <c r="G88" s="1004">
        <v>500</v>
      </c>
      <c r="H88" s="1231" t="s">
        <v>1464</v>
      </c>
      <c r="O88" s="2859">
        <f t="shared" si="34"/>
        <v>0</v>
      </c>
      <c r="P88" s="2859"/>
      <c r="Q88" s="1172"/>
      <c r="R88" s="2864" t="s">
        <v>1349</v>
      </c>
      <c r="S88" s="2864"/>
      <c r="T88" s="18">
        <v>18</v>
      </c>
      <c r="U88" s="18" t="s">
        <v>1350</v>
      </c>
      <c r="X88" s="1232"/>
      <c r="Y88" s="1083"/>
    </row>
    <row r="89" spans="2:25" ht="18.75" customHeight="1">
      <c r="B89" s="3027" t="s">
        <v>1234</v>
      </c>
      <c r="C89" s="3027"/>
      <c r="D89" s="3027"/>
      <c r="E89" s="1233">
        <f>SUM(L48:M51)</f>
        <v>0</v>
      </c>
      <c r="F89" s="861" t="s">
        <v>998</v>
      </c>
      <c r="G89" s="1234">
        <v>6</v>
      </c>
      <c r="H89" s="18" t="s">
        <v>1285</v>
      </c>
      <c r="O89" s="2859">
        <f t="shared" si="34"/>
        <v>0</v>
      </c>
      <c r="P89" s="2859"/>
      <c r="Q89" s="1172" t="s">
        <v>1072</v>
      </c>
      <c r="R89" s="577" t="s">
        <v>1353</v>
      </c>
      <c r="S89" s="976"/>
      <c r="T89" s="976">
        <f>T60*12/T88</f>
        <v>0</v>
      </c>
      <c r="U89" s="976" t="s">
        <v>1354</v>
      </c>
      <c r="V89" s="2871">
        <f>BL67</f>
        <v>0</v>
      </c>
      <c r="W89" s="2871"/>
      <c r="X89" s="697">
        <f>V89*T89</f>
        <v>0</v>
      </c>
      <c r="Y89" s="1083"/>
    </row>
    <row r="90" spans="2:25" ht="18.75" customHeight="1">
      <c r="B90" s="3028" t="s">
        <v>1346</v>
      </c>
      <c r="C90" s="3028"/>
      <c r="D90" s="3028"/>
      <c r="E90" s="1235"/>
      <c r="F90" s="1006" t="s">
        <v>1347</v>
      </c>
      <c r="G90" s="1193">
        <v>175</v>
      </c>
      <c r="H90" s="373" t="s">
        <v>620</v>
      </c>
      <c r="I90" s="373"/>
      <c r="J90" s="373"/>
      <c r="K90" s="373"/>
      <c r="L90" s="373"/>
      <c r="M90" s="373"/>
      <c r="N90" s="373"/>
      <c r="O90" s="2815">
        <f t="shared" si="34"/>
        <v>0</v>
      </c>
      <c r="P90" s="2815"/>
      <c r="X90" s="1236">
        <f>SUM(X50:X89)</f>
        <v>0</v>
      </c>
      <c r="Y90" s="1083"/>
    </row>
    <row r="91" spans="2:25" ht="18.75" customHeight="1">
      <c r="B91" s="3029" t="s">
        <v>1351</v>
      </c>
      <c r="C91" s="3029"/>
      <c r="D91" s="3029"/>
      <c r="E91" s="1237">
        <f>Summary!P60</f>
        <v>0</v>
      </c>
      <c r="F91" s="1238" t="s">
        <v>1465</v>
      </c>
      <c r="G91" s="1239">
        <f>(SUM(O48:P60)+SUM(O62:P70)+SUM(O73:P75)+SUM(O78:P83)+SUM(O85:P90)+X90+SUM(L62:M70))*E91</f>
        <v>0</v>
      </c>
      <c r="H91" s="1240" t="s">
        <v>1255</v>
      </c>
      <c r="I91" s="1240"/>
      <c r="J91" s="1240"/>
      <c r="K91" s="1240"/>
      <c r="L91" s="1240"/>
      <c r="M91" s="1240"/>
      <c r="N91" s="1240"/>
      <c r="O91" s="3030">
        <f>G91</f>
        <v>0</v>
      </c>
      <c r="P91" s="3030"/>
      <c r="Y91" s="1083"/>
    </row>
    <row r="92" spans="2:25" ht="18.75" customHeight="1">
      <c r="B92" s="888"/>
      <c r="C92" s="889"/>
      <c r="D92" s="889"/>
      <c r="E92" s="1241">
        <f>IF(G91=0,0,G91/U40)</f>
        <v>0</v>
      </c>
      <c r="F92" s="889"/>
      <c r="G92" s="889"/>
      <c r="H92" s="889"/>
      <c r="I92" s="889"/>
      <c r="J92" s="889"/>
      <c r="K92" s="889"/>
      <c r="L92" s="891"/>
      <c r="M92" s="889"/>
      <c r="N92" s="889"/>
      <c r="O92" s="889"/>
      <c r="P92" s="889"/>
      <c r="Q92" s="889"/>
      <c r="R92" s="889"/>
      <c r="S92" s="889"/>
      <c r="T92" s="889"/>
      <c r="U92" s="889"/>
      <c r="V92" s="889"/>
      <c r="W92" s="889"/>
      <c r="X92" s="894"/>
      <c r="Y92" s="1083"/>
    </row>
    <row r="93" spans="2:25" ht="15" customHeight="1">
      <c r="B93" s="2786" t="s">
        <v>1262</v>
      </c>
      <c r="C93" s="2786"/>
      <c r="D93" s="2786"/>
      <c r="E93" s="2786" t="s">
        <v>982</v>
      </c>
      <c r="F93" s="2786"/>
      <c r="G93" s="2786" t="s">
        <v>1263</v>
      </c>
      <c r="H93" s="2786"/>
      <c r="I93" s="2786"/>
      <c r="J93" s="2788" t="s">
        <v>1264</v>
      </c>
      <c r="K93" s="2788"/>
      <c r="L93" s="2788"/>
      <c r="M93" s="2789" t="s">
        <v>1265</v>
      </c>
      <c r="N93" s="2789"/>
      <c r="O93" s="1058"/>
      <c r="P93" s="1059"/>
      <c r="Q93" s="895"/>
      <c r="R93" s="574" t="s">
        <v>1266</v>
      </c>
      <c r="T93" s="18" t="s">
        <v>1267</v>
      </c>
      <c r="U93" s="1060">
        <f>U39</f>
        <v>200</v>
      </c>
      <c r="V93" s="793" t="s">
        <v>1268</v>
      </c>
      <c r="W93" s="1242">
        <f>W39</f>
        <v>8.2500000000000004E-2</v>
      </c>
      <c r="X93" s="898"/>
      <c r="Y93" s="1083"/>
    </row>
    <row r="94" spans="2:25" ht="15.45">
      <c r="B94" s="899" t="s">
        <v>1269</v>
      </c>
      <c r="C94" s="2865">
        <f>C40</f>
        <v>0</v>
      </c>
      <c r="D94" s="2865"/>
      <c r="E94" s="2866">
        <f>E40</f>
        <v>0</v>
      </c>
      <c r="F94" s="2866"/>
      <c r="G94" s="901">
        <f>G40</f>
        <v>0</v>
      </c>
      <c r="H94" s="2867">
        <f>H40</f>
        <v>0</v>
      </c>
      <c r="I94" s="2867"/>
      <c r="J94" s="2868">
        <f>J40</f>
        <v>0</v>
      </c>
      <c r="K94" s="2868"/>
      <c r="L94" s="2868"/>
      <c r="M94" s="3031">
        <f>M40</f>
        <v>0.18</v>
      </c>
      <c r="N94" s="3031"/>
      <c r="O94" s="3031"/>
      <c r="P94" s="3031"/>
      <c r="Q94" s="1137"/>
      <c r="R94" s="902" t="s">
        <v>980</v>
      </c>
      <c r="U94" s="2942">
        <f>U40</f>
        <v>0</v>
      </c>
      <c r="V94" s="2942"/>
      <c r="X94" s="898"/>
      <c r="Y94" s="1083"/>
    </row>
    <row r="95" spans="2:25">
      <c r="B95" s="904"/>
      <c r="C95" s="905"/>
      <c r="D95" s="905"/>
      <c r="E95" s="905"/>
      <c r="F95" s="905"/>
      <c r="G95" s="905"/>
      <c r="H95" s="905"/>
      <c r="I95" s="905"/>
      <c r="J95" s="905"/>
      <c r="K95" s="905"/>
      <c r="L95" s="905"/>
      <c r="M95" s="905"/>
      <c r="N95" s="905"/>
      <c r="O95" s="905"/>
      <c r="P95" s="905"/>
      <c r="Q95" s="905"/>
      <c r="R95" s="905"/>
      <c r="S95" s="905"/>
      <c r="T95" s="905"/>
      <c r="U95" s="905"/>
      <c r="V95" s="905"/>
      <c r="W95" s="905"/>
      <c r="X95" s="913"/>
      <c r="Y95" s="1083"/>
    </row>
    <row r="100" spans="2:5" ht="15.45">
      <c r="B100" s="684" t="s">
        <v>1055</v>
      </c>
      <c r="C100" s="1243" t="s">
        <v>1056</v>
      </c>
      <c r="D100" s="686"/>
      <c r="E100" s="689">
        <f>E101-U94</f>
        <v>0</v>
      </c>
    </row>
    <row r="101" spans="2:5">
      <c r="B101" s="700" t="s">
        <v>1069</v>
      </c>
      <c r="C101" s="702"/>
      <c r="D101" s="702"/>
      <c r="E101" s="703">
        <f>SUM(E102:E158)-E144-E134</f>
        <v>0</v>
      </c>
    </row>
    <row r="102" spans="2:5">
      <c r="B102" s="1244">
        <f>Summary!L74</f>
        <v>20001</v>
      </c>
      <c r="C102" s="707" t="str">
        <f>Summary!M74</f>
        <v>General Requirements</v>
      </c>
      <c r="D102" s="296"/>
      <c r="E102" s="708">
        <f>SUM(M97:N99)</f>
        <v>0</v>
      </c>
    </row>
    <row r="103" spans="2:5">
      <c r="B103" s="1244">
        <f>Summary!L75</f>
        <v>20002</v>
      </c>
      <c r="C103" s="707" t="str">
        <f>Summary!M75</f>
        <v>Lumber</v>
      </c>
      <c r="D103" s="296"/>
      <c r="E103" s="717">
        <f>SUM(X48:X73)</f>
        <v>0</v>
      </c>
    </row>
    <row r="104" spans="2:5">
      <c r="B104" s="1244">
        <f>Summary!L76</f>
        <v>20003</v>
      </c>
      <c r="C104" s="707" t="str">
        <f>Summary!M76</f>
        <v>Sand Material</v>
      </c>
      <c r="D104" s="296"/>
      <c r="E104" s="717">
        <f>O55</f>
        <v>0</v>
      </c>
    </row>
    <row r="105" spans="2:5">
      <c r="B105" s="1244">
        <f>Summary!L77</f>
        <v>20004</v>
      </c>
      <c r="C105" s="707" t="str">
        <f>Summary!M77</f>
        <v>Rock Material</v>
      </c>
      <c r="D105" s="296"/>
      <c r="E105" s="717">
        <f>O56</f>
        <v>0</v>
      </c>
    </row>
    <row r="106" spans="2:5">
      <c r="B106" s="1244">
        <f>Summary!L78</f>
        <v>20005</v>
      </c>
      <c r="C106" s="707" t="str">
        <f>Summary!M78</f>
        <v>Reinforcement Material</v>
      </c>
      <c r="D106" s="296"/>
      <c r="E106" s="717">
        <f>O52+O53</f>
        <v>0</v>
      </c>
    </row>
    <row r="107" spans="2:5">
      <c r="B107" s="1244">
        <f>Summary!L79</f>
        <v>20006</v>
      </c>
      <c r="C107" s="707" t="str">
        <f>Summary!M79</f>
        <v>Reinforcement Accessories</v>
      </c>
      <c r="D107" s="296"/>
      <c r="E107" s="717">
        <f>SUM(X78:X80)+X89</f>
        <v>0</v>
      </c>
    </row>
    <row r="108" spans="2:5">
      <c r="B108" s="1244">
        <f>Summary!L80</f>
        <v>20007</v>
      </c>
      <c r="C108" s="707" t="str">
        <f>Summary!M80</f>
        <v>PT Cables</v>
      </c>
      <c r="D108" s="296"/>
      <c r="E108" s="717">
        <f>O54</f>
        <v>0</v>
      </c>
    </row>
    <row r="109" spans="2:5">
      <c r="B109" s="1244">
        <f>Summary!L81</f>
        <v>20008</v>
      </c>
      <c r="C109" s="707" t="str">
        <f>Summary!M81</f>
        <v>Concrete Material</v>
      </c>
      <c r="D109" s="296"/>
      <c r="E109" s="717">
        <f>SUM(O48:P51)</f>
        <v>0</v>
      </c>
    </row>
    <row r="110" spans="2:5">
      <c r="B110" s="1244">
        <f>Summary!L82</f>
        <v>20009</v>
      </c>
      <c r="C110" s="707" t="str">
        <f>Summary!M82</f>
        <v>Carton Forms</v>
      </c>
      <c r="D110" s="296"/>
      <c r="E110" s="717">
        <f>SUM(O57:P59)</f>
        <v>0</v>
      </c>
    </row>
    <row r="111" spans="2:5">
      <c r="B111" s="1244">
        <f>Summary!L83</f>
        <v>20010</v>
      </c>
      <c r="C111" s="707" t="str">
        <f>Summary!M83</f>
        <v>Cure/Sealers</v>
      </c>
      <c r="D111" s="296"/>
      <c r="E111" s="717">
        <f>SUM(X84:X86)</f>
        <v>0</v>
      </c>
    </row>
    <row r="112" spans="2:5">
      <c r="B112" s="1244">
        <f>Summary!L84</f>
        <v>20011</v>
      </c>
      <c r="C112" s="707" t="str">
        <f>Summary!M84</f>
        <v>Patch/Grout</v>
      </c>
      <c r="D112" s="296"/>
      <c r="E112" s="717"/>
    </row>
    <row r="113" spans="2:5">
      <c r="B113" s="1244">
        <f>Summary!L85</f>
        <v>20012</v>
      </c>
      <c r="C113" s="707" t="str">
        <f>Summary!M85</f>
        <v>Poly/Vapor Barrier</v>
      </c>
      <c r="D113" s="296"/>
      <c r="E113" s="717">
        <f>SUM(X74:X77)</f>
        <v>0</v>
      </c>
    </row>
    <row r="114" spans="2:5">
      <c r="B114" s="1244">
        <f>Summary!L86</f>
        <v>20013</v>
      </c>
      <c r="C114" s="707" t="s">
        <v>1105</v>
      </c>
      <c r="D114" s="296"/>
      <c r="E114" s="717">
        <f>X81</f>
        <v>0</v>
      </c>
    </row>
    <row r="115" spans="2:5">
      <c r="B115" s="1244">
        <f>Summary!L87</f>
        <v>20014</v>
      </c>
      <c r="C115" s="707" t="s">
        <v>1105</v>
      </c>
      <c r="D115" s="296"/>
      <c r="E115" s="717">
        <f>X82</f>
        <v>0</v>
      </c>
    </row>
    <row r="116" spans="2:5">
      <c r="B116" s="1244">
        <f>Summary!L88</f>
        <v>20015</v>
      </c>
      <c r="C116" s="707" t="s">
        <v>1108</v>
      </c>
      <c r="D116" s="296"/>
      <c r="E116" s="717">
        <f>X83</f>
        <v>0</v>
      </c>
    </row>
    <row r="117" spans="2:5">
      <c r="B117" s="1244">
        <f>Summary!L89</f>
        <v>20020</v>
      </c>
      <c r="C117" s="707" t="str">
        <f>Summary!M89</f>
        <v>Supervision</v>
      </c>
      <c r="D117" s="296"/>
      <c r="E117" s="717">
        <f>SUM(O73:P74)</f>
        <v>0</v>
      </c>
    </row>
    <row r="118" spans="2:5">
      <c r="B118" s="1244">
        <f>Summary!L90</f>
        <v>20021</v>
      </c>
      <c r="C118" s="707" t="str">
        <f>Summary!M90</f>
        <v>Supervision Expense</v>
      </c>
      <c r="D118" s="296"/>
      <c r="E118" s="717">
        <f>O75</f>
        <v>0</v>
      </c>
    </row>
    <row r="119" spans="2:5">
      <c r="B119" s="1244">
        <f>Summary!L91</f>
        <v>20022</v>
      </c>
      <c r="C119" s="707" t="str">
        <f>Summary!M91</f>
        <v>Project Management</v>
      </c>
      <c r="D119" s="296"/>
      <c r="E119" s="717">
        <f>O76</f>
        <v>0</v>
      </c>
    </row>
    <row r="120" spans="2:5">
      <c r="B120" s="1244">
        <f>Summary!L92</f>
        <v>20023</v>
      </c>
      <c r="C120" s="707" t="str">
        <f>Summary!M92</f>
        <v>Labor Grade, Poly, Reinf.</v>
      </c>
      <c r="D120" s="296"/>
      <c r="E120" s="717">
        <f>L69</f>
        <v>0</v>
      </c>
    </row>
    <row r="121" spans="2:5">
      <c r="B121" s="1244">
        <f>Summary!L93</f>
        <v>20024</v>
      </c>
      <c r="C121" s="707" t="str">
        <f>Summary!M93</f>
        <v>Labor Place &amp; Finish</v>
      </c>
      <c r="D121" s="296"/>
      <c r="E121" s="1245">
        <f>L64</f>
        <v>0</v>
      </c>
    </row>
    <row r="122" spans="2:5">
      <c r="B122" s="1244">
        <f>Summary!L94</f>
        <v>20025</v>
      </c>
      <c r="C122" s="707" t="str">
        <f>Summary!M94</f>
        <v>Labor Drops</v>
      </c>
      <c r="D122" s="296"/>
      <c r="E122" s="717"/>
    </row>
    <row r="123" spans="2:5">
      <c r="B123" s="1244">
        <f>Summary!L95</f>
        <v>20026</v>
      </c>
      <c r="C123" s="707" t="str">
        <f>Summary!M95</f>
        <v>Labor Strip Forms</v>
      </c>
      <c r="D123" s="296"/>
      <c r="E123" s="717">
        <f>L65+L66</f>
        <v>0</v>
      </c>
    </row>
    <row r="124" spans="2:5">
      <c r="B124" s="1244">
        <f>Summary!L96</f>
        <v>20027</v>
      </c>
      <c r="C124" s="707" t="str">
        <f>Summary!M96</f>
        <v>Labor Burden</v>
      </c>
      <c r="D124" s="296"/>
      <c r="E124" s="717"/>
    </row>
    <row r="125" spans="2:5">
      <c r="B125" s="1244">
        <f>Summary!L98</f>
        <v>20030</v>
      </c>
      <c r="C125" s="707" t="str">
        <f>Summary!M98</f>
        <v>Pumping</v>
      </c>
      <c r="D125" s="296"/>
      <c r="E125" s="717">
        <f>O85</f>
        <v>0</v>
      </c>
    </row>
    <row r="126" spans="2:5">
      <c r="B126" s="1244">
        <f>Summary!L99</f>
        <v>20031</v>
      </c>
      <c r="C126" s="707" t="str">
        <f>Summary!M99</f>
        <v>Earth Work/Excavation</v>
      </c>
      <c r="D126" s="296"/>
      <c r="E126" s="717"/>
    </row>
    <row r="127" spans="2:5">
      <c r="B127" s="1244">
        <f>Summary!L100</f>
        <v>20032</v>
      </c>
      <c r="C127" s="707" t="str">
        <f>Summary!M100</f>
        <v>Drilling</v>
      </c>
      <c r="D127" s="296"/>
      <c r="E127" s="717"/>
    </row>
    <row r="128" spans="2:5">
      <c r="B128" s="1244">
        <f>Summary!L101</f>
        <v>20033</v>
      </c>
      <c r="C128" s="707" t="str">
        <f>Summary!M101</f>
        <v>Haul off</v>
      </c>
      <c r="D128" s="296"/>
      <c r="E128" s="717">
        <f>O89</f>
        <v>0</v>
      </c>
    </row>
    <row r="129" spans="2:5">
      <c r="B129" s="1244">
        <f>Summary!L102</f>
        <v>20034</v>
      </c>
      <c r="C129" s="707" t="str">
        <f>Summary!M102</f>
        <v>Saw Cutting/Sealing</v>
      </c>
      <c r="D129" s="296"/>
      <c r="E129" s="717">
        <f>O87</f>
        <v>0</v>
      </c>
    </row>
    <row r="130" spans="2:5">
      <c r="B130" s="1244">
        <f>Summary!L103</f>
        <v>20035</v>
      </c>
      <c r="C130" s="707" t="str">
        <f>Summary!M103</f>
        <v>Demolition</v>
      </c>
      <c r="D130" s="296"/>
      <c r="E130" s="717"/>
    </row>
    <row r="131" spans="2:5">
      <c r="B131" s="1244">
        <f>Summary!L104</f>
        <v>20037</v>
      </c>
      <c r="C131" s="707" t="str">
        <f>Summary!M104</f>
        <v>Waterproofing</v>
      </c>
      <c r="D131" s="296"/>
      <c r="E131" s="717">
        <f>O86</f>
        <v>0</v>
      </c>
    </row>
    <row r="132" spans="2:5">
      <c r="B132" s="1244">
        <f>Summary!L105</f>
        <v>20038</v>
      </c>
      <c r="C132" s="707" t="str">
        <f>Summary!M105</f>
        <v>Crain/Hoisting</v>
      </c>
      <c r="D132" s="296"/>
      <c r="E132" s="717"/>
    </row>
    <row r="133" spans="2:5">
      <c r="B133" s="1246">
        <f>Summary!L106</f>
        <v>20039</v>
      </c>
      <c r="C133" s="753" t="str">
        <f>Summary!M106</f>
        <v>Forming Systems</v>
      </c>
      <c r="D133" s="765"/>
      <c r="E133" s="722">
        <f>O60</f>
        <v>0</v>
      </c>
    </row>
    <row r="134" spans="2:5">
      <c r="B134" s="1247">
        <f>Summary!L107</f>
        <v>20040</v>
      </c>
      <c r="C134" s="1248" t="str">
        <f>Summary!M107</f>
        <v>Total Sub Labor</v>
      </c>
      <c r="D134" s="1249"/>
      <c r="E134" s="1250">
        <f>SUM(E135:E142)</f>
        <v>0</v>
      </c>
    </row>
    <row r="135" spans="2:5">
      <c r="B135" s="1244">
        <f>Summary!L108</f>
        <v>20041</v>
      </c>
      <c r="C135" s="707" t="str">
        <f>Summary!M108</f>
        <v>Labor Forming</v>
      </c>
      <c r="D135" s="296"/>
      <c r="E135" s="708">
        <f>O62+O63</f>
        <v>0</v>
      </c>
    </row>
    <row r="136" spans="2:5">
      <c r="B136" s="1244">
        <f>Summary!L109</f>
        <v>20042</v>
      </c>
      <c r="C136" s="707" t="str">
        <f>Summary!M109</f>
        <v>Labor Grade, Poly, Reinf.</v>
      </c>
      <c r="D136" s="715"/>
      <c r="E136" s="708"/>
    </row>
    <row r="137" spans="2:5">
      <c r="B137" s="1244">
        <f>Summary!L110</f>
        <v>20043</v>
      </c>
      <c r="C137" s="707" t="str">
        <f>Summary!M110</f>
        <v>Labor Place &amp; Finish</v>
      </c>
      <c r="D137" s="715"/>
      <c r="E137" s="708">
        <f>O64</f>
        <v>0</v>
      </c>
    </row>
    <row r="138" spans="2:5">
      <c r="B138" s="1244">
        <f>Summary!L111</f>
        <v>20044</v>
      </c>
      <c r="C138" s="707" t="str">
        <f>Summary!M111</f>
        <v>Labor Drops</v>
      </c>
      <c r="D138" s="715"/>
      <c r="E138" s="708"/>
    </row>
    <row r="139" spans="2:5">
      <c r="B139" s="1244">
        <f>Summary!L112</f>
        <v>20045</v>
      </c>
      <c r="C139" s="707" t="str">
        <f>Summary!M112</f>
        <v>Labor Strip Forms</v>
      </c>
      <c r="D139" s="715"/>
      <c r="E139" s="708">
        <f>O65</f>
        <v>0</v>
      </c>
    </row>
    <row r="140" spans="2:5">
      <c r="B140" s="1244">
        <f>Summary!L113</f>
        <v>20046</v>
      </c>
      <c r="C140" s="707" t="str">
        <f>Summary!M113</f>
        <v>Labor Burden</v>
      </c>
      <c r="D140" s="296"/>
      <c r="E140" s="717">
        <f>O66+O69+O68</f>
        <v>0</v>
      </c>
    </row>
    <row r="141" spans="2:5">
      <c r="B141" s="1244">
        <f>Summary!L114</f>
        <v>20047</v>
      </c>
      <c r="C141" s="707" t="str">
        <f>Summary!M114</f>
        <v>Rebar</v>
      </c>
      <c r="D141" s="715"/>
      <c r="E141" s="708">
        <f>O67</f>
        <v>0</v>
      </c>
    </row>
    <row r="142" spans="2:5">
      <c r="B142" s="1246">
        <f>Summary!L115</f>
        <v>20048</v>
      </c>
      <c r="C142" s="753" t="str">
        <f>Summary!M115</f>
        <v>PT Installation</v>
      </c>
      <c r="D142" s="765"/>
      <c r="E142" s="722"/>
    </row>
    <row r="143" spans="2:5">
      <c r="B143" s="1246">
        <f>Summary!L116</f>
        <v>20049</v>
      </c>
      <c r="C143" s="753" t="str">
        <f>Summary!M116</f>
        <v>Extra Hours</v>
      </c>
      <c r="D143" s="765"/>
      <c r="E143" s="722">
        <f>O70</f>
        <v>0</v>
      </c>
    </row>
    <row r="144" spans="2:5">
      <c r="B144" s="1247">
        <f>Summary!L117</f>
        <v>20060</v>
      </c>
      <c r="C144" s="1248" t="str">
        <f>Summary!M117</f>
        <v>Total Equipment Rental</v>
      </c>
      <c r="D144" s="1249"/>
      <c r="E144" s="1250">
        <f>SUM(E145:E150)</f>
        <v>0</v>
      </c>
    </row>
    <row r="145" spans="2:5">
      <c r="B145" s="1244">
        <f>Summary!L118</f>
        <v>20061</v>
      </c>
      <c r="C145" s="707" t="str">
        <f>Summary!M118</f>
        <v>SkyTrack</v>
      </c>
      <c r="D145" s="296"/>
      <c r="E145" s="708">
        <f>O78/(1+W$39+J$80)</f>
        <v>0</v>
      </c>
    </row>
    <row r="146" spans="2:5">
      <c r="B146" s="1244">
        <f>Summary!L119</f>
        <v>20062</v>
      </c>
      <c r="C146" s="707" t="str">
        <f>Summary!M119</f>
        <v>Mini Excavator</v>
      </c>
      <c r="D146" s="296"/>
      <c r="E146" s="717">
        <f>O79/(1+W$39+J$80)</f>
        <v>0</v>
      </c>
    </row>
    <row r="147" spans="2:5">
      <c r="B147" s="1244">
        <f>Summary!L120</f>
        <v>20063</v>
      </c>
      <c r="C147" s="707" t="str">
        <f>Summary!M120</f>
        <v>Trencher</v>
      </c>
      <c r="D147" s="296"/>
      <c r="E147" s="717">
        <f>O80/(1+W$39+J$80)</f>
        <v>0</v>
      </c>
    </row>
    <row r="148" spans="2:5">
      <c r="B148" s="1244">
        <f>Summary!L121</f>
        <v>20064</v>
      </c>
      <c r="C148" s="707" t="str">
        <f>Summary!M121</f>
        <v>Skid Steer</v>
      </c>
      <c r="D148" s="296"/>
      <c r="E148" s="717">
        <f>O81/(1+W$39+J$80)</f>
        <v>0</v>
      </c>
    </row>
    <row r="149" spans="2:5">
      <c r="B149" s="1244">
        <f>Summary!L122</f>
        <v>20065</v>
      </c>
      <c r="C149" s="707" t="str">
        <f>Summary!M122</f>
        <v>General Equipment Rental</v>
      </c>
      <c r="D149" s="296"/>
      <c r="E149" s="717">
        <f>(O82+O83)/(1+W$39+J$80)</f>
        <v>0</v>
      </c>
    </row>
    <row r="150" spans="2:5">
      <c r="B150" s="1244">
        <f>Summary!L123</f>
        <v>20066</v>
      </c>
      <c r="C150" s="707" t="str">
        <f>Summary!M123</f>
        <v>Fuel</v>
      </c>
      <c r="D150" s="296"/>
      <c r="E150" s="717">
        <f>M80-SUM(E145:E149)</f>
        <v>0</v>
      </c>
    </row>
    <row r="151" spans="2:5">
      <c r="B151" s="1244">
        <f>Summary!L124</f>
        <v>20067</v>
      </c>
      <c r="C151" s="707" t="str">
        <f>Summary!M124</f>
        <v>Purchased Tools</v>
      </c>
      <c r="D151" s="296"/>
      <c r="E151" s="717"/>
    </row>
    <row r="152" spans="2:5">
      <c r="B152" s="1244">
        <f>Summary!L125</f>
        <v>20068</v>
      </c>
      <c r="C152" s="707" t="str">
        <f>Summary!M125</f>
        <v>Stolen/Damaged</v>
      </c>
      <c r="D152" s="296"/>
      <c r="E152" s="717"/>
    </row>
    <row r="153" spans="2:5">
      <c r="B153" s="1244">
        <f>Summary!L126</f>
        <v>20070</v>
      </c>
      <c r="C153" s="707" t="str">
        <f>Summary!M126</f>
        <v>Out of Town Expense</v>
      </c>
      <c r="D153" s="296"/>
      <c r="E153" s="717">
        <f>O90</f>
        <v>0</v>
      </c>
    </row>
    <row r="154" spans="2:5">
      <c r="B154" s="1244">
        <f>Summary!L127</f>
        <v>20071</v>
      </c>
      <c r="C154" s="707" t="str">
        <f>Summary!M127</f>
        <v>Miscellaneous</v>
      </c>
      <c r="D154" s="296"/>
      <c r="E154" s="717">
        <f>O88</f>
        <v>0</v>
      </c>
    </row>
    <row r="155" spans="2:5">
      <c r="B155" s="1244">
        <f>Summary!L128</f>
        <v>20072</v>
      </c>
      <c r="C155" s="707" t="str">
        <f>Summary!M128</f>
        <v>Repairs</v>
      </c>
      <c r="D155" s="296"/>
      <c r="E155" s="717"/>
    </row>
    <row r="156" spans="2:5">
      <c r="B156" s="1244">
        <f>Summary!L129</f>
        <v>20073</v>
      </c>
      <c r="C156" s="707" t="str">
        <f>Summary!M129</f>
        <v>Engineering</v>
      </c>
      <c r="D156" s="296"/>
      <c r="E156" s="717"/>
    </row>
    <row r="157" spans="2:5">
      <c r="B157" s="1244">
        <f>Summary!L130</f>
        <v>20090</v>
      </c>
      <c r="C157" s="707" t="str">
        <f>Summary!M130</f>
        <v>Not Used</v>
      </c>
      <c r="D157" s="296"/>
      <c r="E157" s="717"/>
    </row>
    <row r="158" spans="2:5">
      <c r="B158" s="1244">
        <f>Summary!L131</f>
        <v>20091</v>
      </c>
      <c r="C158" s="707" t="str">
        <f>Summary!M131</f>
        <v>Margin Contingency</v>
      </c>
      <c r="D158" s="296"/>
      <c r="E158" s="717">
        <f>O91</f>
        <v>0</v>
      </c>
    </row>
  </sheetData>
  <mergeCells count="183">
    <mergeCell ref="U94:V94"/>
    <mergeCell ref="B91:D91"/>
    <mergeCell ref="O91:P91"/>
    <mergeCell ref="B93:D93"/>
    <mergeCell ref="E93:F93"/>
    <mergeCell ref="G93:I93"/>
    <mergeCell ref="J93:L93"/>
    <mergeCell ref="M93:N93"/>
    <mergeCell ref="C94:D94"/>
    <mergeCell ref="E94:F94"/>
    <mergeCell ref="H94:I94"/>
    <mergeCell ref="J94:L94"/>
    <mergeCell ref="M94:P94"/>
    <mergeCell ref="B87:D87"/>
    <mergeCell ref="O87:P87"/>
    <mergeCell ref="B88:D88"/>
    <mergeCell ref="O88:P88"/>
    <mergeCell ref="R88:S88"/>
    <mergeCell ref="B89:D89"/>
    <mergeCell ref="O89:P89"/>
    <mergeCell ref="V89:W89"/>
    <mergeCell ref="B90:D90"/>
    <mergeCell ref="O90:P90"/>
    <mergeCell ref="J80:K81"/>
    <mergeCell ref="M80:N80"/>
    <mergeCell ref="O80:P80"/>
    <mergeCell ref="O81:P81"/>
    <mergeCell ref="O82:P82"/>
    <mergeCell ref="O83:P83"/>
    <mergeCell ref="B85:D85"/>
    <mergeCell ref="O85:P85"/>
    <mergeCell ref="B86:D86"/>
    <mergeCell ref="O86:P86"/>
    <mergeCell ref="M74:N74"/>
    <mergeCell ref="O74:P74"/>
    <mergeCell ref="O75:P75"/>
    <mergeCell ref="M76:N76"/>
    <mergeCell ref="O76:P76"/>
    <mergeCell ref="O78:P78"/>
    <mergeCell ref="J79:K79"/>
    <mergeCell ref="M79:N79"/>
    <mergeCell ref="O79:P79"/>
    <mergeCell ref="B70:C70"/>
    <mergeCell ref="E70:F70"/>
    <mergeCell ref="L70:M70"/>
    <mergeCell ref="O70:P70"/>
    <mergeCell ref="E71:F71"/>
    <mergeCell ref="I71:K71"/>
    <mergeCell ref="L71:M71"/>
    <mergeCell ref="O71:P71"/>
    <mergeCell ref="M73:N73"/>
    <mergeCell ref="O73:P73"/>
    <mergeCell ref="E67:F67"/>
    <mergeCell ref="I67:J67"/>
    <mergeCell ref="L67:M67"/>
    <mergeCell ref="O67:P67"/>
    <mergeCell ref="E68:F68"/>
    <mergeCell ref="I68:J68"/>
    <mergeCell ref="L68:M68"/>
    <mergeCell ref="O68:P68"/>
    <mergeCell ref="E69:F69"/>
    <mergeCell ref="I69:J69"/>
    <mergeCell ref="L69:M69"/>
    <mergeCell ref="O69:P69"/>
    <mergeCell ref="L61:M61"/>
    <mergeCell ref="N61:P61"/>
    <mergeCell ref="E62:F62"/>
    <mergeCell ref="I62:J62"/>
    <mergeCell ref="L62:M62"/>
    <mergeCell ref="O62:P62"/>
    <mergeCell ref="E63:F63"/>
    <mergeCell ref="H63:H65"/>
    <mergeCell ref="I63:J66"/>
    <mergeCell ref="L63:M63"/>
    <mergeCell ref="O63:P63"/>
    <mergeCell ref="E64:F64"/>
    <mergeCell ref="L64:M64"/>
    <mergeCell ref="O64:P64"/>
    <mergeCell ref="E65:F65"/>
    <mergeCell ref="L65:M65"/>
    <mergeCell ref="O65:P65"/>
    <mergeCell ref="E66:F66"/>
    <mergeCell ref="L66:M66"/>
    <mergeCell ref="O66:P66"/>
    <mergeCell ref="B58:D58"/>
    <mergeCell ref="L58:M58"/>
    <mergeCell ref="O58:P58"/>
    <mergeCell ref="B59:D59"/>
    <mergeCell ref="L59:M59"/>
    <mergeCell ref="O59:P59"/>
    <mergeCell ref="I60:J60"/>
    <mergeCell ref="L60:M60"/>
    <mergeCell ref="O60:P60"/>
    <mergeCell ref="I55:J56"/>
    <mergeCell ref="K55:K56"/>
    <mergeCell ref="L55:M55"/>
    <mergeCell ref="O55:P55"/>
    <mergeCell ref="L56:M56"/>
    <mergeCell ref="O56:P56"/>
    <mergeCell ref="I57:J59"/>
    <mergeCell ref="K57:K59"/>
    <mergeCell ref="L57:M57"/>
    <mergeCell ref="O57:P57"/>
    <mergeCell ref="I52:J52"/>
    <mergeCell ref="L52:M52"/>
    <mergeCell ref="O52:P52"/>
    <mergeCell ref="I53:J53"/>
    <mergeCell ref="L53:M53"/>
    <mergeCell ref="O53:P53"/>
    <mergeCell ref="J54:K54"/>
    <mergeCell ref="L54:M54"/>
    <mergeCell ref="O54:P54"/>
    <mergeCell ref="I48:J51"/>
    <mergeCell ref="K48:K51"/>
    <mergeCell ref="L48:M48"/>
    <mergeCell ref="O48:P48"/>
    <mergeCell ref="L49:M49"/>
    <mergeCell ref="O49:P49"/>
    <mergeCell ref="L50:M50"/>
    <mergeCell ref="O50:P50"/>
    <mergeCell ref="L51:M51"/>
    <mergeCell ref="O51:P51"/>
    <mergeCell ref="F42:G42"/>
    <mergeCell ref="O42:P42"/>
    <mergeCell ref="U42:V42"/>
    <mergeCell ref="F43:G43"/>
    <mergeCell ref="F44:G44"/>
    <mergeCell ref="S44:T44"/>
    <mergeCell ref="R45:S45"/>
    <mergeCell ref="FQ45:FT45"/>
    <mergeCell ref="L47:M47"/>
    <mergeCell ref="R47:S47"/>
    <mergeCell ref="C40:D40"/>
    <mergeCell ref="E40:F40"/>
    <mergeCell ref="H40:I40"/>
    <mergeCell ref="J40:L40"/>
    <mergeCell ref="M40:P40"/>
    <mergeCell ref="U40:V40"/>
    <mergeCell ref="E41:F41"/>
    <mergeCell ref="K41:L41"/>
    <mergeCell ref="N41:O41"/>
    <mergeCell ref="U41:V41"/>
    <mergeCell ref="Q8:S8"/>
    <mergeCell ref="T8:V8"/>
    <mergeCell ref="W8:W9"/>
    <mergeCell ref="X8:X9"/>
    <mergeCell ref="FT8:FW8"/>
    <mergeCell ref="B9:D9"/>
    <mergeCell ref="E38:F38"/>
    <mergeCell ref="B39:D39"/>
    <mergeCell ref="E39:F39"/>
    <mergeCell ref="G39:I39"/>
    <mergeCell ref="J39:L39"/>
    <mergeCell ref="M39:N39"/>
    <mergeCell ref="D7:E7"/>
    <mergeCell ref="G7:I7"/>
    <mergeCell ref="J7:N7"/>
    <mergeCell ref="E8:E9"/>
    <mergeCell ref="F8:H8"/>
    <mergeCell ref="I8:J8"/>
    <mergeCell ref="K8:L8"/>
    <mergeCell ref="M8:N8"/>
    <mergeCell ref="O8:P8"/>
    <mergeCell ref="B4:E4"/>
    <mergeCell ref="J4:N4"/>
    <mergeCell ref="O4:P4"/>
    <mergeCell ref="Q4:R4"/>
    <mergeCell ref="J5:N5"/>
    <mergeCell ref="O5:P5"/>
    <mergeCell ref="Q5:R5"/>
    <mergeCell ref="D6:E6"/>
    <mergeCell ref="J6:N6"/>
    <mergeCell ref="O6:P6"/>
    <mergeCell ref="Q6:R6"/>
    <mergeCell ref="U1:V1"/>
    <mergeCell ref="W1:X1"/>
    <mergeCell ref="B2:E2"/>
    <mergeCell ref="O2:P2"/>
    <mergeCell ref="Q2:R2"/>
    <mergeCell ref="B3:E3"/>
    <mergeCell ref="J3:N3"/>
    <mergeCell ref="O3:P3"/>
    <mergeCell ref="Q3:R3"/>
  </mergeCells>
  <conditionalFormatting sqref="L47:M47">
    <cfRule type="containsText" dxfId="17" priority="2" operator="containsText" text="Missing">
      <formula>NOT(ISERROR(SEARCH("Missing",L47)))</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6"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B9CDE5"/>
    <pageSetUpPr fitToPage="1"/>
  </sheetPr>
  <dimension ref="A1:IQ177"/>
  <sheetViews>
    <sheetView topLeftCell="A86" zoomScale="55" zoomScaleNormal="55" zoomScalePageLayoutView="90" workbookViewId="0">
      <selection activeCell="G100" sqref="G100"/>
    </sheetView>
  </sheetViews>
  <sheetFormatPr defaultColWidth="9.15234375" defaultRowHeight="15"/>
  <cols>
    <col min="1" max="1" width="5.15234375" style="18" customWidth="1"/>
    <col min="2" max="2" width="44.53515625" style="18" customWidth="1"/>
    <col min="3" max="3" width="15.4609375" style="18" customWidth="1"/>
    <col min="4" max="4" width="12.15234375" style="18" customWidth="1"/>
    <col min="5" max="5" width="13" style="18" customWidth="1"/>
    <col min="6" max="6" width="11.53515625" style="18" customWidth="1"/>
    <col min="7" max="7" width="13.53515625" style="18" customWidth="1"/>
    <col min="8" max="13" width="10.84375" style="18" customWidth="1"/>
    <col min="14" max="14" width="12.15234375" style="18" customWidth="1"/>
    <col min="15" max="15" width="12.84375" style="18" customWidth="1"/>
    <col min="16" max="16" width="17.84375" style="18" customWidth="1"/>
    <col min="17" max="17" width="17.4609375" style="18" customWidth="1"/>
    <col min="18" max="18" width="14.84375" style="18" customWidth="1"/>
    <col min="19" max="19" width="20.84375" style="18" customWidth="1"/>
    <col min="20" max="20" width="13.4609375" style="18" customWidth="1"/>
    <col min="21" max="24" width="12.84375" style="18" customWidth="1"/>
    <col min="25" max="25" width="12.84375" customWidth="1"/>
    <col min="26" max="26" width="14.53515625" customWidth="1"/>
    <col min="27" max="27" width="12.84375" customWidth="1"/>
    <col min="28" max="42" width="12.84375" style="18" customWidth="1"/>
    <col min="43" max="58" width="25.84375" style="18" customWidth="1"/>
    <col min="59" max="59" width="25.84375" style="1251" customWidth="1"/>
    <col min="60" max="120" width="25.84375" style="18" customWidth="1"/>
    <col min="121" max="195" width="20.84375" style="18" customWidth="1"/>
    <col min="196" max="215" width="20.84375" customWidth="1"/>
    <col min="252" max="16384" width="9.15234375" style="18"/>
  </cols>
  <sheetData>
    <row r="1" spans="1:136" ht="15.45">
      <c r="B1" s="791" t="s">
        <v>1355</v>
      </c>
      <c r="D1" s="626"/>
      <c r="E1" s="626"/>
      <c r="F1" s="626"/>
      <c r="G1" s="626"/>
      <c r="H1" s="626"/>
      <c r="I1" s="626"/>
      <c r="J1" s="626"/>
      <c r="K1" s="626"/>
      <c r="L1" s="626"/>
      <c r="M1" s="626"/>
      <c r="N1" s="626"/>
      <c r="O1" s="626"/>
      <c r="P1" s="626"/>
      <c r="Q1" s="626"/>
      <c r="R1" s="626"/>
      <c r="S1" s="626"/>
      <c r="T1" s="626"/>
      <c r="U1" s="1252" t="s">
        <v>1193</v>
      </c>
      <c r="V1" s="1252"/>
      <c r="W1" s="1253">
        <v>37456</v>
      </c>
      <c r="X1" s="1253"/>
      <c r="Y1" s="1254"/>
      <c r="Z1" s="1254"/>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1251"/>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626"/>
      <c r="CI1" s="626"/>
      <c r="CJ1" s="626"/>
      <c r="CK1" s="626"/>
      <c r="CL1" s="626"/>
      <c r="CM1" s="626"/>
      <c r="CN1" s="626"/>
      <c r="CO1" s="626"/>
      <c r="CP1" s="626"/>
      <c r="CQ1" s="626"/>
      <c r="CR1" s="626"/>
      <c r="CS1" s="626"/>
      <c r="CT1" s="626"/>
      <c r="CU1" s="626"/>
      <c r="CV1" s="626"/>
      <c r="CW1" s="626"/>
      <c r="CX1" s="626"/>
      <c r="CY1" s="626"/>
      <c r="CZ1" s="626"/>
      <c r="DA1" s="626"/>
      <c r="DB1" s="626"/>
      <c r="DC1" s="626"/>
      <c r="DD1" s="626"/>
      <c r="DE1" s="626"/>
      <c r="DF1" s="626"/>
      <c r="DG1" s="626"/>
      <c r="DH1" s="626"/>
      <c r="DI1" s="626"/>
      <c r="DJ1" s="626"/>
      <c r="DK1" s="626"/>
      <c r="DL1" s="626"/>
      <c r="DM1" s="626"/>
      <c r="DN1" s="626"/>
      <c r="DO1" s="626"/>
      <c r="DP1" s="626"/>
    </row>
    <row r="2" spans="1:136" ht="15.45">
      <c r="B2" s="1255" t="str">
        <f>Summary!C1</f>
        <v>Trammell Crow – LBJ</v>
      </c>
      <c r="C2" s="1256"/>
      <c r="D2" s="1256"/>
      <c r="E2" s="1257"/>
      <c r="F2" s="1258" t="s">
        <v>1466</v>
      </c>
      <c r="G2" s="626"/>
      <c r="H2" s="795"/>
      <c r="I2" s="1259" t="s">
        <v>56</v>
      </c>
      <c r="J2" s="983"/>
      <c r="K2" s="1085" t="s">
        <v>57</v>
      </c>
      <c r="L2" s="983"/>
      <c r="M2" s="983"/>
      <c r="N2" s="983"/>
      <c r="O2" s="1085" t="s">
        <v>1</v>
      </c>
      <c r="P2" s="1085"/>
      <c r="Q2" s="1085" t="s">
        <v>1194</v>
      </c>
      <c r="R2" s="808"/>
      <c r="S2" s="626"/>
      <c r="T2" s="626"/>
      <c r="U2" s="795" t="s">
        <v>957</v>
      </c>
      <c r="V2" s="663"/>
      <c r="W2" s="796">
        <f>Information!C7</f>
        <v>0</v>
      </c>
      <c r="X2" s="797"/>
      <c r="Y2" s="1254"/>
      <c r="Z2" s="1254"/>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1251"/>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626"/>
      <c r="CI2" s="626"/>
      <c r="CJ2" s="626"/>
      <c r="CK2" s="626"/>
      <c r="CL2" s="626"/>
      <c r="CM2" s="626"/>
      <c r="CN2" s="626"/>
      <c r="CO2" s="626"/>
      <c r="CP2" s="626"/>
      <c r="CQ2" s="626"/>
      <c r="CR2" s="626"/>
      <c r="CS2" s="626"/>
      <c r="CT2" s="626"/>
      <c r="CU2" s="626"/>
      <c r="CV2" s="626"/>
      <c r="CW2" s="626"/>
      <c r="CX2" s="626"/>
      <c r="CY2" s="626"/>
      <c r="CZ2" s="626"/>
      <c r="DA2" s="626"/>
      <c r="DB2" s="626"/>
      <c r="DC2" s="626"/>
      <c r="DD2" s="626"/>
      <c r="DE2" s="626"/>
      <c r="DF2" s="626"/>
      <c r="DG2" s="626"/>
      <c r="DH2" s="626"/>
      <c r="DI2" s="626"/>
      <c r="DJ2" s="626"/>
      <c r="DK2" s="626"/>
      <c r="DL2" s="626"/>
      <c r="DM2" s="626"/>
      <c r="DN2" s="626"/>
      <c r="DO2" s="626"/>
      <c r="DP2" s="626"/>
    </row>
    <row r="3" spans="1:136" ht="19.5" customHeight="1">
      <c r="B3" s="1260">
        <f>Summary!C2</f>
        <v>0</v>
      </c>
      <c r="C3" s="1261"/>
      <c r="D3" s="1261"/>
      <c r="E3" s="1262"/>
      <c r="F3" s="1258" t="s">
        <v>1467</v>
      </c>
      <c r="G3" s="626"/>
      <c r="H3" s="574"/>
      <c r="I3" s="793" t="s">
        <v>955</v>
      </c>
      <c r="J3" s="1255">
        <f>Summary!K2</f>
        <v>0</v>
      </c>
      <c r="K3" s="1256"/>
      <c r="L3" s="1256"/>
      <c r="M3" s="1256"/>
      <c r="N3" s="1256"/>
      <c r="O3" s="1263">
        <f>Summary!O2</f>
        <v>0</v>
      </c>
      <c r="P3" s="1263"/>
      <c r="Q3" s="1263">
        <f>Summary!P2</f>
        <v>0</v>
      </c>
      <c r="R3" s="1264"/>
      <c r="S3" s="626"/>
      <c r="T3" s="626"/>
      <c r="U3" s="574"/>
      <c r="X3" s="798"/>
      <c r="Y3" s="1254"/>
      <c r="Z3" s="1254"/>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626"/>
      <c r="BH3" s="1251"/>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6"/>
      <c r="CS3" s="626"/>
      <c r="CT3" s="626"/>
      <c r="CU3" s="626"/>
      <c r="CV3" s="626"/>
      <c r="CW3" s="626"/>
      <c r="CX3" s="626"/>
      <c r="CY3" s="626"/>
      <c r="CZ3" s="626"/>
      <c r="DA3" s="626"/>
      <c r="DB3" s="626"/>
      <c r="DC3" s="626"/>
      <c r="DD3" s="626"/>
      <c r="DE3" s="626"/>
      <c r="DF3" s="626"/>
      <c r="DG3" s="626"/>
      <c r="DH3" s="626"/>
      <c r="DI3" s="626"/>
      <c r="DJ3" s="626"/>
      <c r="DK3" s="626"/>
      <c r="DL3" s="626"/>
      <c r="DM3" s="626"/>
      <c r="DN3" s="626"/>
      <c r="DO3" s="626"/>
      <c r="DP3" s="626"/>
    </row>
    <row r="4" spans="1:136" ht="19.5" customHeight="1">
      <c r="B4" s="1265" t="str">
        <f>Summary!C3</f>
        <v>Dallas, TX</v>
      </c>
      <c r="C4" s="1266"/>
      <c r="D4" s="1266"/>
      <c r="E4" s="1267"/>
      <c r="F4" s="1258" t="s">
        <v>1468</v>
      </c>
      <c r="G4" s="626"/>
      <c r="H4" s="396"/>
      <c r="I4" s="928" t="s">
        <v>71</v>
      </c>
      <c r="J4" s="1260">
        <f>Summary!K3</f>
        <v>0</v>
      </c>
      <c r="K4" s="1261"/>
      <c r="L4" s="1261"/>
      <c r="M4" s="1261"/>
      <c r="N4" s="1261"/>
      <c r="O4" s="1268">
        <f>Summary!O3</f>
        <v>0</v>
      </c>
      <c r="P4" s="1268"/>
      <c r="Q4" s="1268">
        <f>Summary!P3</f>
        <v>0</v>
      </c>
      <c r="R4" s="1269"/>
      <c r="S4" s="626"/>
      <c r="T4" s="626"/>
      <c r="U4" s="574" t="s">
        <v>958</v>
      </c>
      <c r="W4" s="799"/>
      <c r="X4" s="800"/>
      <c r="Y4" s="1254"/>
      <c r="Z4" s="1254"/>
      <c r="AI4" s="626"/>
      <c r="AJ4" s="626"/>
      <c r="AK4" s="626"/>
      <c r="AL4" s="626"/>
      <c r="AM4" s="626"/>
      <c r="AN4" s="626"/>
      <c r="AO4" s="626"/>
      <c r="AP4" s="626"/>
      <c r="AQ4" s="626"/>
      <c r="AR4" s="626"/>
      <c r="AS4" s="626"/>
      <c r="AT4" s="626"/>
      <c r="AU4" s="626"/>
      <c r="AV4" s="626"/>
      <c r="AW4" s="626"/>
      <c r="AX4" s="626"/>
      <c r="AY4" s="626"/>
      <c r="AZ4" s="626"/>
      <c r="BA4" s="626"/>
      <c r="BB4" s="626"/>
      <c r="BC4" s="626"/>
      <c r="BD4" s="626"/>
      <c r="BE4" s="626"/>
      <c r="BF4" s="626"/>
      <c r="BG4" s="626"/>
      <c r="BH4" s="1251"/>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626"/>
      <c r="CI4" s="626"/>
      <c r="CJ4" s="626"/>
      <c r="CK4" s="626"/>
      <c r="CL4" s="626"/>
      <c r="CM4" s="626"/>
      <c r="CN4" s="626"/>
      <c r="CO4" s="626"/>
      <c r="CP4" s="626"/>
      <c r="CQ4" s="626"/>
      <c r="CR4" s="626"/>
      <c r="CS4" s="626"/>
      <c r="CT4" s="626"/>
      <c r="CU4" s="626"/>
      <c r="CV4" s="626"/>
      <c r="CW4" s="626"/>
      <c r="CX4" s="626"/>
      <c r="CY4" s="626"/>
      <c r="CZ4" s="626"/>
      <c r="DA4" s="626"/>
      <c r="DB4" s="626"/>
      <c r="DC4" s="626"/>
      <c r="DD4" s="626"/>
      <c r="DE4" s="626"/>
      <c r="DF4" s="626"/>
      <c r="DG4" s="626"/>
      <c r="DH4" s="626"/>
      <c r="DI4" s="626"/>
      <c r="DJ4" s="626"/>
      <c r="DK4" s="626"/>
      <c r="DL4" s="626"/>
      <c r="DM4" s="626"/>
      <c r="DN4" s="626"/>
      <c r="DO4" s="626"/>
      <c r="DP4" s="626"/>
      <c r="DS4" s="18">
        <f>7200*0.42/27</f>
        <v>112</v>
      </c>
    </row>
    <row r="5" spans="1:136" ht="19.5" customHeight="1">
      <c r="B5" s="380" t="s">
        <v>0</v>
      </c>
      <c r="D5" s="796" t="s">
        <v>1</v>
      </c>
      <c r="E5" s="796"/>
      <c r="F5" s="626"/>
      <c r="G5" s="626"/>
      <c r="H5" s="396"/>
      <c r="I5" s="928" t="s">
        <v>79</v>
      </c>
      <c r="J5" s="1260">
        <f>Summary!K4</f>
        <v>0</v>
      </c>
      <c r="K5" s="1261"/>
      <c r="L5" s="1261"/>
      <c r="M5" s="1261"/>
      <c r="N5" s="1261"/>
      <c r="O5" s="1268">
        <f>Summary!O4</f>
        <v>0</v>
      </c>
      <c r="P5" s="1268"/>
      <c r="Q5" s="1268">
        <f>Summary!P4</f>
        <v>0</v>
      </c>
      <c r="R5" s="1269"/>
      <c r="S5" s="1270"/>
      <c r="T5" s="626"/>
      <c r="U5" s="574"/>
      <c r="X5" s="798"/>
      <c r="Y5" s="1254"/>
      <c r="Z5" s="1254"/>
      <c r="AI5" s="626"/>
      <c r="AJ5" s="626"/>
      <c r="AK5" s="626"/>
      <c r="AL5" s="626"/>
      <c r="AM5" s="626"/>
      <c r="AN5" s="626"/>
      <c r="AO5" s="626"/>
      <c r="AP5" s="626"/>
      <c r="AQ5" s="626"/>
      <c r="AR5" s="626"/>
      <c r="AS5" s="626"/>
      <c r="AT5" s="626"/>
      <c r="AU5" s="626"/>
      <c r="AV5" s="626"/>
      <c r="AW5" s="626"/>
      <c r="AX5" s="626"/>
      <c r="AY5" s="626"/>
      <c r="AZ5" s="626"/>
      <c r="BA5" s="626"/>
      <c r="BB5" s="626"/>
      <c r="BC5" s="626"/>
      <c r="BD5" s="626"/>
      <c r="BE5" s="626"/>
      <c r="BF5" s="626"/>
      <c r="BG5" s="626"/>
      <c r="BH5" s="1251"/>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626"/>
      <c r="CI5" s="626"/>
      <c r="CJ5" s="626"/>
      <c r="CK5" s="626"/>
      <c r="CL5" s="626"/>
      <c r="CM5" s="626"/>
      <c r="CN5" s="626"/>
      <c r="CO5" s="626"/>
      <c r="CP5" s="626"/>
      <c r="CQ5" s="626"/>
      <c r="CR5" s="626"/>
      <c r="CS5" s="626"/>
      <c r="CT5" s="626"/>
      <c r="CU5" s="626"/>
      <c r="CV5" s="626"/>
      <c r="CW5" s="626"/>
      <c r="CX5" s="626"/>
      <c r="CY5" s="626"/>
      <c r="CZ5" s="626"/>
      <c r="DA5" s="626"/>
      <c r="DB5" s="626"/>
      <c r="DC5" s="626"/>
      <c r="DD5" s="626"/>
      <c r="DE5" s="626"/>
      <c r="DF5" s="626"/>
      <c r="DG5" s="626"/>
      <c r="DH5" s="626"/>
      <c r="DI5" s="626"/>
      <c r="DJ5" s="626"/>
      <c r="DK5" s="626"/>
      <c r="DL5" s="626"/>
      <c r="DM5" s="626"/>
      <c r="DN5" s="626"/>
      <c r="DO5" s="626"/>
      <c r="DP5" s="626"/>
      <c r="DX5" s="1271">
        <f>(S45-F10)/324</f>
        <v>1.8518518518518517E-2</v>
      </c>
    </row>
    <row r="6" spans="1:136" ht="19.5" customHeight="1">
      <c r="B6" s="804">
        <v>0</v>
      </c>
      <c r="D6" s="1272">
        <v>0</v>
      </c>
      <c r="E6" s="1272"/>
      <c r="F6" s="626"/>
      <c r="G6" s="626"/>
      <c r="H6" s="653"/>
      <c r="I6" s="1090" t="s">
        <v>87</v>
      </c>
      <c r="J6" s="1265">
        <f>Summary!K5</f>
        <v>0</v>
      </c>
      <c r="K6" s="1266"/>
      <c r="L6" s="1266"/>
      <c r="M6" s="1266"/>
      <c r="N6" s="1266"/>
      <c r="O6" s="1273">
        <f>Summary!O5</f>
        <v>0</v>
      </c>
      <c r="P6" s="1273"/>
      <c r="Q6" s="1273">
        <f>Summary!P5</f>
        <v>0</v>
      </c>
      <c r="R6" s="1274"/>
      <c r="S6" s="626"/>
      <c r="T6" s="626"/>
      <c r="U6" s="577" t="s">
        <v>958</v>
      </c>
      <c r="V6" s="802"/>
      <c r="W6" s="802"/>
      <c r="X6" s="803"/>
      <c r="Y6" s="1254"/>
      <c r="Z6" s="1254"/>
      <c r="AI6" s="626"/>
      <c r="AJ6" s="1275"/>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1251"/>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c r="CZ6" s="626"/>
      <c r="DA6" s="626"/>
      <c r="DB6" s="626"/>
      <c r="DC6" s="626"/>
      <c r="DD6" s="626"/>
      <c r="DE6" s="626"/>
      <c r="DF6" s="626"/>
      <c r="DG6" s="626"/>
      <c r="DH6" s="626"/>
      <c r="DI6" s="626"/>
      <c r="DJ6" s="626"/>
      <c r="DK6" s="626"/>
      <c r="DL6" s="626"/>
      <c r="DM6" s="626"/>
      <c r="DN6" s="626"/>
      <c r="DO6" s="626"/>
      <c r="DP6" s="626"/>
    </row>
    <row r="7" spans="1:136" ht="19.5" customHeight="1">
      <c r="B7" s="1276">
        <v>0</v>
      </c>
      <c r="C7" s="1019"/>
      <c r="D7" s="1277">
        <v>0</v>
      </c>
      <c r="E7" s="1278"/>
      <c r="F7" s="693"/>
      <c r="G7" s="1090" t="s">
        <v>1196</v>
      </c>
      <c r="H7" s="928"/>
      <c r="I7" s="928"/>
      <c r="J7" s="17" t="str">
        <f>Pricing!A3</f>
        <v>SRM</v>
      </c>
      <c r="K7" s="17"/>
      <c r="L7" s="17"/>
      <c r="M7" s="17"/>
      <c r="N7" s="17"/>
      <c r="O7" s="626"/>
      <c r="P7" s="626"/>
      <c r="Q7" s="626"/>
      <c r="R7" s="626"/>
      <c r="S7" s="628">
        <f>S12+S13</f>
        <v>136725.85673020588</v>
      </c>
      <c r="T7" s="626"/>
      <c r="U7" s="626"/>
      <c r="V7" s="626"/>
      <c r="W7" s="626"/>
      <c r="X7" s="626"/>
      <c r="Y7" s="1254"/>
      <c r="Z7" s="1254"/>
      <c r="AI7" s="626"/>
      <c r="AJ7" s="626"/>
      <c r="AK7" s="626"/>
      <c r="AL7" s="381"/>
      <c r="AM7" s="589"/>
      <c r="AN7" s="589"/>
      <c r="AO7" s="589"/>
      <c r="AP7" s="589"/>
      <c r="AQ7" s="589"/>
      <c r="AR7" s="3032" t="s">
        <v>1469</v>
      </c>
      <c r="AS7" s="3032"/>
      <c r="AT7" s="3032"/>
      <c r="AU7" s="3032"/>
      <c r="AV7" s="3032"/>
      <c r="AW7" s="3032"/>
      <c r="AX7" s="3032"/>
      <c r="AY7" s="3032"/>
      <c r="AZ7" s="3032"/>
      <c r="BA7" s="3032"/>
      <c r="BB7" s="3032"/>
      <c r="BC7" s="3032" t="s">
        <v>721</v>
      </c>
      <c r="BD7" s="3032"/>
      <c r="BE7" s="3032"/>
      <c r="BF7" s="3032"/>
      <c r="BG7" s="3032"/>
      <c r="BH7" s="3032"/>
      <c r="BI7" s="3032"/>
      <c r="BJ7" s="3032"/>
      <c r="BK7" s="3032"/>
      <c r="BL7" s="3032"/>
      <c r="BM7" s="3032"/>
      <c r="BN7" s="626"/>
      <c r="BO7" s="626"/>
      <c r="BP7" s="626"/>
      <c r="BQ7" s="626"/>
      <c r="BR7" s="626"/>
      <c r="BS7" s="626"/>
      <c r="BT7" s="626"/>
      <c r="BU7" s="626"/>
      <c r="BV7" s="626"/>
      <c r="BW7" s="626"/>
      <c r="BX7" s="626"/>
      <c r="BY7" s="626"/>
      <c r="BZ7" s="626"/>
      <c r="CA7" s="626"/>
      <c r="CB7" s="626"/>
      <c r="CC7" s="626"/>
      <c r="CD7" s="626"/>
      <c r="CE7" s="628"/>
      <c r="CF7" s="626"/>
      <c r="CG7" s="626"/>
      <c r="CH7" s="626"/>
      <c r="CI7" s="626"/>
      <c r="CJ7" s="626"/>
      <c r="CK7" s="626"/>
      <c r="CL7" s="626"/>
      <c r="CM7" s="626"/>
      <c r="CN7" s="626"/>
      <c r="CO7" s="626"/>
      <c r="CP7" s="626"/>
      <c r="CQ7" s="626"/>
      <c r="CR7" s="626"/>
      <c r="CS7" s="626"/>
      <c r="CT7" s="626"/>
      <c r="CU7" s="626"/>
      <c r="CV7" s="626"/>
      <c r="CW7" s="626"/>
      <c r="CX7" s="626"/>
      <c r="CY7" s="626"/>
      <c r="CZ7" s="626"/>
      <c r="DA7" s="626"/>
      <c r="DB7" s="626"/>
      <c r="DC7" s="626"/>
      <c r="DD7" s="626"/>
      <c r="DE7" s="626"/>
      <c r="DF7" s="626"/>
      <c r="DG7" s="626"/>
      <c r="DH7" s="626"/>
      <c r="DI7" s="626"/>
      <c r="DJ7" s="626"/>
      <c r="DK7" s="626"/>
      <c r="DL7" s="626"/>
      <c r="DM7" s="626"/>
      <c r="DN7" s="626"/>
      <c r="DO7" s="626"/>
      <c r="DP7" s="626"/>
      <c r="DS7" s="18" t="s">
        <v>1470</v>
      </c>
      <c r="DZ7" s="18" t="s">
        <v>1471</v>
      </c>
    </row>
    <row r="8" spans="1:136" ht="39" customHeight="1">
      <c r="B8" s="1279" t="s">
        <v>1472</v>
      </c>
      <c r="C8" s="1280" t="s">
        <v>1473</v>
      </c>
      <c r="D8" s="1281" t="s">
        <v>1474</v>
      </c>
      <c r="E8" s="1282"/>
      <c r="F8" s="1283" t="s">
        <v>1475</v>
      </c>
      <c r="G8" s="1284" t="s">
        <v>1476</v>
      </c>
      <c r="H8" s="1285" t="s">
        <v>1477</v>
      </c>
      <c r="I8" s="1286" t="s">
        <v>1209</v>
      </c>
      <c r="J8" s="1283" t="s">
        <v>1478</v>
      </c>
      <c r="K8" s="1283" t="s">
        <v>1479</v>
      </c>
      <c r="L8" s="1287" t="s">
        <v>1480</v>
      </c>
      <c r="M8" s="1288" t="s">
        <v>1481</v>
      </c>
      <c r="N8" s="1289" t="s">
        <v>1482</v>
      </c>
      <c r="O8" s="1289" t="s">
        <v>598</v>
      </c>
      <c r="P8" s="1290" t="s">
        <v>1483</v>
      </c>
      <c r="Q8" s="1291" t="s">
        <v>1219</v>
      </c>
      <c r="R8" s="1292" t="s">
        <v>1484</v>
      </c>
      <c r="S8" s="1293" t="s">
        <v>1485</v>
      </c>
      <c r="T8" s="1294" t="s">
        <v>1486</v>
      </c>
      <c r="U8" s="1295" t="s">
        <v>1487</v>
      </c>
      <c r="V8" s="1293" t="s">
        <v>1250</v>
      </c>
      <c r="W8" s="1296" t="s">
        <v>1488</v>
      </c>
      <c r="X8" s="807"/>
      <c r="Y8" s="1297" t="s">
        <v>1489</v>
      </c>
      <c r="Z8" s="1298"/>
      <c r="AA8" s="1297" t="s">
        <v>1490</v>
      </c>
      <c r="AB8" s="1298"/>
      <c r="AC8" s="1297" t="s">
        <v>1491</v>
      </c>
      <c r="AD8" s="1299"/>
      <c r="AE8" s="1297" t="s">
        <v>1492</v>
      </c>
      <c r="AF8" s="1299"/>
      <c r="AG8" s="1297" t="s">
        <v>1493</v>
      </c>
      <c r="AH8" s="1299"/>
      <c r="AI8" s="1297" t="s">
        <v>1494</v>
      </c>
      <c r="AJ8" s="1299"/>
      <c r="AK8" s="1297" t="s">
        <v>1495</v>
      </c>
      <c r="AL8" s="1299"/>
      <c r="AM8" s="1297" t="s">
        <v>1496</v>
      </c>
      <c r="AN8" s="1299"/>
      <c r="AO8" s="1297" t="s">
        <v>1497</v>
      </c>
      <c r="AP8" s="1299"/>
      <c r="AQ8" s="626"/>
      <c r="AR8" s="1300" t="s">
        <v>1498</v>
      </c>
      <c r="AS8" s="1301" t="s">
        <v>1499</v>
      </c>
      <c r="AT8" s="1301" t="s">
        <v>1499</v>
      </c>
      <c r="AU8" s="1301" t="s">
        <v>1491</v>
      </c>
      <c r="AV8" s="1301" t="s">
        <v>1492</v>
      </c>
      <c r="AW8" s="1301" t="s">
        <v>1500</v>
      </c>
      <c r="AX8" s="1301" t="s">
        <v>1501</v>
      </c>
      <c r="AY8" s="1301" t="s">
        <v>1502</v>
      </c>
      <c r="AZ8" s="1301" t="s">
        <v>1503</v>
      </c>
      <c r="BA8" s="1301" t="s">
        <v>1504</v>
      </c>
      <c r="BB8" s="1302" t="s">
        <v>1505</v>
      </c>
      <c r="BC8" s="1303" t="s">
        <v>1498</v>
      </c>
      <c r="BD8" s="627" t="str">
        <f>Y8</f>
        <v>Vertical Stems</v>
      </c>
      <c r="BE8" s="627" t="str">
        <f>AA8</f>
        <v>Extended Beams</v>
      </c>
      <c r="BF8" s="627" t="s">
        <v>1491</v>
      </c>
      <c r="BG8" s="627" t="s">
        <v>1492</v>
      </c>
      <c r="BH8" s="627" t="s">
        <v>1500</v>
      </c>
      <c r="BI8" s="627" t="s">
        <v>1501</v>
      </c>
      <c r="BJ8" s="627" t="s">
        <v>1502</v>
      </c>
      <c r="BK8" s="627" t="s">
        <v>1503</v>
      </c>
      <c r="BL8" s="627" t="s">
        <v>1504</v>
      </c>
      <c r="BM8" s="1304" t="s">
        <v>1506</v>
      </c>
      <c r="BN8" s="627"/>
      <c r="BO8" s="627"/>
      <c r="BP8" s="627"/>
      <c r="BQ8" s="627"/>
      <c r="BR8" s="1305"/>
      <c r="BS8" s="626"/>
      <c r="BT8" s="626"/>
      <c r="BU8" s="626"/>
      <c r="BV8" s="626"/>
      <c r="BW8" s="626"/>
      <c r="BX8" s="626"/>
      <c r="BY8" s="626"/>
      <c r="BZ8" s="626"/>
      <c r="CA8" s="626"/>
      <c r="CB8" s="626"/>
      <c r="CC8" s="626"/>
      <c r="CD8" s="626"/>
      <c r="CE8" s="626"/>
      <c r="CF8" s="626"/>
      <c r="CG8" s="626"/>
      <c r="CH8" s="626"/>
      <c r="CI8" s="626"/>
      <c r="CJ8" s="626"/>
      <c r="CK8" s="626"/>
      <c r="CL8" s="626"/>
      <c r="CM8" s="3033" t="s">
        <v>1507</v>
      </c>
      <c r="CN8" s="3033"/>
      <c r="CO8" s="3033"/>
      <c r="CP8" s="3033"/>
      <c r="CQ8" s="3033"/>
      <c r="CR8" s="3033"/>
      <c r="CS8" s="3033"/>
      <c r="CT8" s="3033"/>
      <c r="CU8" s="3033"/>
      <c r="CV8" s="3033"/>
      <c r="CW8" s="3033"/>
      <c r="CX8" s="3033"/>
      <c r="CY8" s="3033"/>
      <c r="CZ8" s="3033"/>
      <c r="DA8" s="3033"/>
      <c r="DB8" s="3033"/>
      <c r="DC8" s="3033"/>
      <c r="DD8" s="3033"/>
      <c r="DE8" s="3033"/>
      <c r="DF8" s="1306"/>
      <c r="DG8" s="1306"/>
      <c r="DH8" s="1306"/>
      <c r="DI8" s="1306" t="s">
        <v>1508</v>
      </c>
      <c r="DJ8" s="1306"/>
      <c r="DK8" s="1306"/>
      <c r="DL8" s="1306"/>
      <c r="DM8" s="1306"/>
      <c r="DN8" s="1306"/>
      <c r="DO8" s="1306"/>
      <c r="DP8" s="1307"/>
      <c r="DQ8" s="1301" t="s">
        <v>1491</v>
      </c>
      <c r="DR8" s="1301" t="s">
        <v>1492</v>
      </c>
      <c r="DS8" s="1301" t="s">
        <v>1500</v>
      </c>
      <c r="DT8" s="1301" t="s">
        <v>1501</v>
      </c>
      <c r="DU8" s="1301" t="s">
        <v>1502</v>
      </c>
      <c r="DV8" s="1301" t="s">
        <v>1503</v>
      </c>
      <c r="DW8" s="1301" t="s">
        <v>1504</v>
      </c>
      <c r="DX8" s="1302" t="s">
        <v>1470</v>
      </c>
      <c r="DY8" s="1301" t="s">
        <v>1491</v>
      </c>
      <c r="DZ8" s="1301" t="s">
        <v>1492</v>
      </c>
      <c r="EA8" s="1301" t="s">
        <v>1500</v>
      </c>
      <c r="EB8" s="1301" t="s">
        <v>1501</v>
      </c>
      <c r="EC8" s="1301" t="s">
        <v>1502</v>
      </c>
      <c r="ED8" s="1301" t="s">
        <v>1503</v>
      </c>
      <c r="EE8" s="1301" t="s">
        <v>1504</v>
      </c>
      <c r="EF8" s="1302" t="s">
        <v>1509</v>
      </c>
    </row>
    <row r="9" spans="1:136" ht="19.5" customHeight="1">
      <c r="B9" s="1308"/>
      <c r="C9" s="1309" t="s">
        <v>1510</v>
      </c>
      <c r="D9" s="1310" t="s">
        <v>1511</v>
      </c>
      <c r="E9" s="1311"/>
      <c r="F9" s="1099"/>
      <c r="G9" s="1312" t="s">
        <v>1512</v>
      </c>
      <c r="H9" s="1313"/>
      <c r="I9" s="1314"/>
      <c r="J9" s="1099" t="s">
        <v>1513</v>
      </c>
      <c r="K9" s="1099"/>
      <c r="L9" s="1103" t="s">
        <v>1215</v>
      </c>
      <c r="M9" s="1315" t="s">
        <v>1514</v>
      </c>
      <c r="N9" s="1312" t="s">
        <v>1515</v>
      </c>
      <c r="O9" s="1312" t="s">
        <v>868</v>
      </c>
      <c r="P9" s="1316"/>
      <c r="Q9" s="1317"/>
      <c r="R9" s="1318"/>
      <c r="S9" s="1319"/>
      <c r="T9" s="3034" t="s">
        <v>1516</v>
      </c>
      <c r="U9" s="3034"/>
      <c r="V9" s="3034"/>
      <c r="W9" s="1104" t="s">
        <v>1517</v>
      </c>
      <c r="X9" s="1315" t="s">
        <v>1259</v>
      </c>
      <c r="Y9" s="1320" t="s">
        <v>1208</v>
      </c>
      <c r="Z9" s="1321" t="s">
        <v>1259</v>
      </c>
      <c r="AA9" s="1320" t="s">
        <v>1208</v>
      </c>
      <c r="AB9" s="1321" t="s">
        <v>1259</v>
      </c>
      <c r="AC9" s="1320" t="s">
        <v>1517</v>
      </c>
      <c r="AD9" s="1322" t="s">
        <v>1259</v>
      </c>
      <c r="AE9" s="1323" t="s">
        <v>1517</v>
      </c>
      <c r="AF9" s="1322" t="s">
        <v>1259</v>
      </c>
      <c r="AG9" s="1320" t="s">
        <v>1208</v>
      </c>
      <c r="AH9" s="1322" t="s">
        <v>1259</v>
      </c>
      <c r="AI9" s="1320" t="s">
        <v>1517</v>
      </c>
      <c r="AJ9" s="1322" t="s">
        <v>1259</v>
      </c>
      <c r="AK9" s="1323" t="s">
        <v>1517</v>
      </c>
      <c r="AL9" s="1322" t="s">
        <v>1259</v>
      </c>
      <c r="AM9" s="1320" t="s">
        <v>1208</v>
      </c>
      <c r="AN9" s="1322" t="s">
        <v>1259</v>
      </c>
      <c r="AO9" s="1320" t="s">
        <v>1208</v>
      </c>
      <c r="AP9" s="1322" t="s">
        <v>1259</v>
      </c>
      <c r="AQ9" s="626"/>
      <c r="AR9" s="1324"/>
      <c r="AS9" s="1325"/>
      <c r="AT9" s="1325"/>
      <c r="AU9" s="1325"/>
      <c r="AV9" s="1325"/>
      <c r="AW9" s="1325"/>
      <c r="AX9" s="1325"/>
      <c r="AY9" s="373"/>
      <c r="AZ9" s="1325"/>
      <c r="BA9" s="1325"/>
      <c r="BB9" s="1326"/>
      <c r="BC9" s="1327"/>
      <c r="BD9" s="1328"/>
      <c r="BE9" s="1328"/>
      <c r="BF9" s="1328"/>
      <c r="BG9" s="1328"/>
      <c r="BH9" s="1328"/>
      <c r="BI9" s="1328"/>
      <c r="BJ9" s="988"/>
      <c r="BK9" s="1328"/>
      <c r="BL9" s="1328"/>
      <c r="BM9" s="1329"/>
      <c r="BN9" s="627" t="s">
        <v>1385</v>
      </c>
      <c r="BO9" s="627" t="s">
        <v>1518</v>
      </c>
      <c r="BP9" s="627" t="s">
        <v>1519</v>
      </c>
      <c r="BQ9" s="627" t="s">
        <v>1520</v>
      </c>
      <c r="BR9" s="1305" t="s">
        <v>1521</v>
      </c>
      <c r="BS9" s="1330" t="s">
        <v>1374</v>
      </c>
      <c r="BT9" s="1331" t="s">
        <v>1375</v>
      </c>
      <c r="BU9" s="1331" t="s">
        <v>1376</v>
      </c>
      <c r="BV9" s="1331" t="s">
        <v>1377</v>
      </c>
      <c r="BW9" s="1331" t="s">
        <v>1378</v>
      </c>
      <c r="BX9" s="1331" t="s">
        <v>1522</v>
      </c>
      <c r="BY9" s="1331" t="s">
        <v>1523</v>
      </c>
      <c r="BZ9" s="1331" t="s">
        <v>1524</v>
      </c>
      <c r="CA9" s="1331" t="s">
        <v>1525</v>
      </c>
      <c r="CB9" s="1332" t="s">
        <v>1526</v>
      </c>
      <c r="CC9" s="1333" t="s">
        <v>1527</v>
      </c>
      <c r="CD9" s="1333" t="s">
        <v>1528</v>
      </c>
      <c r="CE9" s="1333" t="s">
        <v>1529</v>
      </c>
      <c r="CF9" s="1333" t="s">
        <v>1530</v>
      </c>
      <c r="CG9" s="1333" t="s">
        <v>1531</v>
      </c>
      <c r="CH9" s="1333" t="s">
        <v>1532</v>
      </c>
      <c r="CI9" s="1333" t="s">
        <v>1533</v>
      </c>
      <c r="CJ9" s="1333" t="s">
        <v>1513</v>
      </c>
      <c r="CK9" s="1333" t="s">
        <v>1534</v>
      </c>
      <c r="CL9" s="1333"/>
      <c r="CM9" s="1334" t="s">
        <v>1535</v>
      </c>
      <c r="CN9" s="1328" t="s">
        <v>1384</v>
      </c>
      <c r="CO9" s="1328" t="s">
        <v>1385</v>
      </c>
      <c r="CP9" s="1335" t="s">
        <v>1536</v>
      </c>
      <c r="CQ9" s="1336" t="s">
        <v>1537</v>
      </c>
      <c r="CR9" s="1336" t="s">
        <v>1538</v>
      </c>
      <c r="CS9" s="1336" t="s">
        <v>1539</v>
      </c>
      <c r="CT9" s="1337" t="s">
        <v>1307</v>
      </c>
      <c r="CU9" s="1338" t="s">
        <v>1159</v>
      </c>
      <c r="CV9" s="1338" t="s">
        <v>1540</v>
      </c>
      <c r="CW9" s="1328" t="s">
        <v>1541</v>
      </c>
      <c r="CX9" s="1328" t="s">
        <v>976</v>
      </c>
      <c r="CY9" s="1328" t="s">
        <v>1542</v>
      </c>
      <c r="CZ9" s="1328" t="s">
        <v>1543</v>
      </c>
      <c r="DA9" s="1328" t="s">
        <v>1544</v>
      </c>
      <c r="DB9" s="1328" t="s">
        <v>1545</v>
      </c>
      <c r="DC9" s="1328" t="s">
        <v>598</v>
      </c>
      <c r="DD9" s="1328" t="s">
        <v>1513</v>
      </c>
      <c r="DE9" s="1329" t="s">
        <v>1255</v>
      </c>
      <c r="DF9" s="749" t="s">
        <v>1486</v>
      </c>
      <c r="DG9" s="1339" t="str">
        <f>Y8</f>
        <v>Vertical Stems</v>
      </c>
      <c r="DH9" s="1339" t="str">
        <f>AA8</f>
        <v>Extended Beams</v>
      </c>
      <c r="DI9" s="1339" t="s">
        <v>1546</v>
      </c>
      <c r="DJ9" s="1339" t="s">
        <v>1547</v>
      </c>
      <c r="DK9" s="1339" t="s">
        <v>1548</v>
      </c>
      <c r="DL9" s="1339" t="s">
        <v>1549</v>
      </c>
      <c r="DM9" s="1339" t="s">
        <v>1550</v>
      </c>
      <c r="DN9" s="1339" t="s">
        <v>1551</v>
      </c>
      <c r="DO9" s="1339" t="s">
        <v>1552</v>
      </c>
      <c r="DP9" s="1340" t="s">
        <v>1418</v>
      </c>
      <c r="DQ9" s="1325"/>
      <c r="DR9" s="1325"/>
      <c r="DS9" s="1325"/>
      <c r="DT9" s="1325"/>
      <c r="DU9" s="373"/>
      <c r="DV9" s="1325"/>
      <c r="DW9" s="1325"/>
      <c r="DX9" s="1326"/>
      <c r="DY9" s="1325"/>
      <c r="DZ9" s="1325"/>
      <c r="EA9" s="1325"/>
      <c r="EB9" s="1325"/>
      <c r="EC9" s="373"/>
      <c r="ED9" s="1325"/>
      <c r="EE9" s="1325"/>
      <c r="EF9" s="1326"/>
    </row>
    <row r="10" spans="1:136" ht="19.5" customHeight="1">
      <c r="A10" s="18" t="s">
        <v>1068</v>
      </c>
      <c r="B10" s="1341" t="s">
        <v>1553</v>
      </c>
      <c r="C10" s="1342"/>
      <c r="D10" s="1343">
        <v>2942</v>
      </c>
      <c r="E10" s="1344"/>
      <c r="F10" s="1206">
        <v>4</v>
      </c>
      <c r="G10" s="1345">
        <v>1</v>
      </c>
      <c r="H10" s="1206" t="s">
        <v>1302</v>
      </c>
      <c r="I10" s="1345">
        <v>1</v>
      </c>
      <c r="J10" s="1206">
        <v>2</v>
      </c>
      <c r="K10" s="1346">
        <v>262</v>
      </c>
      <c r="L10" s="1347"/>
      <c r="M10" s="1348"/>
      <c r="N10" s="1349"/>
      <c r="O10" s="1350"/>
      <c r="P10" s="1351">
        <f t="shared" ref="P10:P41" si="0">IF(BQ10=0,0,BN10/BQ10)</f>
        <v>3482.1496557117184</v>
      </c>
      <c r="Q10" s="1352">
        <f t="shared" ref="Q10:Q41" si="1">(D10*F10/324)*(1+K$65)+BB10</f>
        <v>111.49302469135802</v>
      </c>
      <c r="R10" s="1353">
        <f t="shared" ref="R10:R41" si="2">IF(D10=0,0,S10/D10)</f>
        <v>13.531952533190839</v>
      </c>
      <c r="S10" s="1354">
        <f t="shared" ref="S10:S41" si="3">SUM(CM10-DE10)*(1+M$45)</f>
        <v>39811.004352647447</v>
      </c>
      <c r="T10" s="1355">
        <f t="shared" ref="T10:T41" si="4">CF10+CG10+CH10</f>
        <v>41</v>
      </c>
      <c r="U10" s="1356">
        <f t="shared" ref="U10:U41" si="5">IF(P10-(D10*0.35)&lt;0,0,P10-(D10*0.35))</f>
        <v>2452.4496557117182</v>
      </c>
      <c r="V10" s="1357">
        <f t="shared" ref="V10:V41" si="6">IF(D10="",0,IF(D10/-30+Q10&lt;1,0,D10/-30+Q10))</f>
        <v>13.426358024691353</v>
      </c>
      <c r="W10" s="1347">
        <v>9</v>
      </c>
      <c r="X10" s="1358">
        <v>41</v>
      </c>
      <c r="Y10" s="1359"/>
      <c r="Z10" s="1360"/>
      <c r="AA10" s="1359"/>
      <c r="AB10" s="1360"/>
      <c r="AC10" s="1361">
        <v>1</v>
      </c>
      <c r="AD10" s="1362">
        <v>262</v>
      </c>
      <c r="AE10" s="1347">
        <v>2</v>
      </c>
      <c r="AF10" s="1363">
        <v>447</v>
      </c>
      <c r="AG10" s="1364">
        <v>3</v>
      </c>
      <c r="AH10" s="1363">
        <v>52</v>
      </c>
      <c r="AI10" s="1365"/>
      <c r="AJ10" s="1366"/>
      <c r="AK10" s="1367">
        <v>5</v>
      </c>
      <c r="AL10" s="1363">
        <v>60</v>
      </c>
      <c r="AM10" s="1359"/>
      <c r="AN10" s="1368"/>
      <c r="AO10" s="1359"/>
      <c r="AP10" s="1360"/>
      <c r="AQ10" s="1275">
        <f t="shared" ref="AQ10:AQ41" si="7">D10/Q10</f>
        <v>26.387300982677875</v>
      </c>
      <c r="AR10" s="1369">
        <f t="shared" ref="AR10:AR41" si="8">IF(W10="","",LOOKUP(W10,$B$49:$B$59,$R$49:$R$59)*X10)</f>
        <v>1.6096296296296295</v>
      </c>
      <c r="AS10" s="1270" t="str">
        <f t="shared" ref="AS10:AS41" si="9">IF(Y10="","",LOOKUP(Y10,$B$49:$B$59,$R$49:$R$59)*Z10)</f>
        <v/>
      </c>
      <c r="AT10" s="1370" t="str">
        <f t="shared" ref="AT10:AT41" si="10">IF(AB10="","",LOOKUP(AA10,$B$49:$B$59,$R$49:$R$59)*AB10)</f>
        <v/>
      </c>
      <c r="AU10" s="1270">
        <f t="shared" ref="AU10:AU41" si="11">IF(AC10="","",LOOKUP(AC10,$B$49:$B$59,$R$49:$R$59)*AD10)</f>
        <v>27.429135802469137</v>
      </c>
      <c r="AV10" s="1270">
        <f t="shared" ref="AV10:AV41" si="12">IF(AE10="","",LOOKUP(AE10,$B$49:$B$59,$R$49:$R$59)*AF10)</f>
        <v>36.560185185185183</v>
      </c>
      <c r="AW10" s="1270">
        <f t="shared" ref="AW10:AW41" si="13">IF(AG10="","",LOOKUP(AG10,$B$49:$B$59,$R$49:$R$59)*AH10)</f>
        <v>4.2530864197530862</v>
      </c>
      <c r="AX10" s="1270" t="str">
        <f t="shared" ref="AX10:AX41" si="14">IF(AI10="","",LOOKUP(AI10,$B$49:$B$59,$R$49:$R$59)*AJ10)</f>
        <v/>
      </c>
      <c r="AY10" s="1270">
        <f t="shared" ref="AY10:AY41" si="15">IF(AK10="","",LOOKUP(AK10,$B$49:$B$59,$R$49:$R$59)*AL10)</f>
        <v>3.1407407407407408</v>
      </c>
      <c r="AZ10" s="1270" t="str">
        <f t="shared" ref="AZ10:AZ41" si="16">IF(AM10="","",LOOKUP(AM10,$B$49:$B$59,$R$49:$R$59)*AN10)</f>
        <v/>
      </c>
      <c r="BA10" s="1270" t="str">
        <f t="shared" ref="BA10:BA41" si="17">IF(AO10="","",LOOKUP(AO10,$B$49:$B$59,$R$49:$R$59)*AP10)</f>
        <v/>
      </c>
      <c r="BB10" s="1371">
        <f t="shared" ref="BB10:BB41" si="18">SUM(AR10:BA10)</f>
        <v>72.992777777777775</v>
      </c>
      <c r="BC10" s="1369">
        <f t="shared" ref="BC10:BC41" si="19">IF(W10="","",LOOKUP(W10,$B$49:$B$59,$P$49:$P$59)*X10)</f>
        <v>239.06499266718748</v>
      </c>
      <c r="BD10" s="1270" t="str">
        <f t="shared" ref="BD10:BD41" si="20">IF(Y10="","",LOOKUP(Y10,$B$49:$B$59,$P$49:$P$59)*Z10)</f>
        <v/>
      </c>
      <c r="BE10" s="1270" t="str">
        <f t="shared" ref="BE10:BE41" si="21">IF(AA10="","",LOOKUP(AA10,$B$49:$B$59,$P$49:$P$59)*AB10)</f>
        <v/>
      </c>
      <c r="BF10" s="1270">
        <f t="shared" ref="BF10:BF41" si="22">IF(AC10="","",LOOKUP(AC10,$B$49:$B$59,$P$49:$P$59)*AD10)</f>
        <v>998.80332682968742</v>
      </c>
      <c r="BG10" s="1270">
        <f t="shared" ref="BG10:BG41" si="23">IF(AE10="","",LOOKUP(AE10,$B$49:$B$59,$P$49:$P$59)*AF10)</f>
        <v>1642.3929924960937</v>
      </c>
      <c r="BH10" s="1270">
        <f t="shared" ref="BH10:BH41" si="24">IF(AG10="","",LOOKUP(AG10,$B$49:$B$59,$P$49:$P$59)*AH10)</f>
        <v>346.25076646874999</v>
      </c>
      <c r="BI10" s="1270" t="str">
        <f t="shared" ref="BI10:BI41" si="25">IF(AI10="","",LOOKUP(AI10,$B$49:$B$59,$P$49:$P$59)*AJ10)</f>
        <v/>
      </c>
      <c r="BJ10" s="1270">
        <f t="shared" ref="BJ10:BJ41" si="26">IF(AK10="","",LOOKUP(AK10,$B$49:$B$59,$P$49:$P$59)*AL10)</f>
        <v>255.63757724999999</v>
      </c>
      <c r="BK10" s="1270" t="str">
        <f t="shared" ref="BK10:BK41" si="27">IF(AM10="","",LOOKUP(AM10,$B$49:$B$59,$P$49:$P$59)*AN10)</f>
        <v/>
      </c>
      <c r="BL10" s="1270" t="str">
        <f t="shared" ref="BL10:BL41" si="28">IF(AO10="","",LOOKUP(AO10,$B$49:$B$59,$P$49:$P$59)*AP10)</f>
        <v/>
      </c>
      <c r="BM10" s="1371">
        <f t="shared" ref="BM10:BM41" si="29">SUM(BC10:BL10)*BQ10</f>
        <v>3482.1496557117184</v>
      </c>
      <c r="BN10" s="1372">
        <f t="shared" ref="BN10:BN41" si="30">BM10+BO10</f>
        <v>3482.1496557117184</v>
      </c>
      <c r="BO10" s="1373">
        <f t="shared" ref="BO10:BO41" si="31">IF(M10=0,0,(M10/12+M10/12)/(M10/12*M10/12)*D10*((L10/16*L10/16)*10.6870159))*(1+K$70)*BQ10</f>
        <v>0</v>
      </c>
      <c r="BP10" s="1372">
        <f t="shared" ref="BP10:BP41" si="32">IF(O10="Y",D10*(1+K$71)*BQ10,0)</f>
        <v>0</v>
      </c>
      <c r="BQ10" s="1374">
        <f t="shared" ref="BQ10:BQ41" si="33">G10</f>
        <v>1</v>
      </c>
      <c r="BR10" s="1251">
        <f t="shared" ref="BR10:BR41" si="34">IF(O10="y",D10,0)</f>
        <v>0</v>
      </c>
      <c r="BS10" s="1375">
        <f t="shared" ref="BS10:BS41" si="35">IF($I10=1,$Q10,0)*BQ10</f>
        <v>111.49302469135802</v>
      </c>
      <c r="BT10" s="1376">
        <f t="shared" ref="BT10:BT41" si="36">IF($I10=2,$Q10,0)*BQ10</f>
        <v>0</v>
      </c>
      <c r="BU10" s="1376">
        <f t="shared" ref="BU10:BU41" si="37">IF($I10=3,$Q10,0)*BQ10</f>
        <v>0</v>
      </c>
      <c r="BV10" s="1376">
        <f t="shared" ref="BV10:BV41" si="38">IF($I10=4,$Q10,0)*BQ10</f>
        <v>0</v>
      </c>
      <c r="BW10" s="1376">
        <f t="shared" ref="BW10:BW41" si="39">IF($I10=5,$Q10,0)*BQ10</f>
        <v>0</v>
      </c>
      <c r="BX10" s="1376">
        <f t="shared" ref="BX10:BX41" si="40">IF($I10=6,$Q10,0)*$BQ10</f>
        <v>0</v>
      </c>
      <c r="BY10" s="1376">
        <f t="shared" ref="BY10:BY41" si="41">IF($I10=7,$Q10,0)*$BQ10</f>
        <v>0</v>
      </c>
      <c r="BZ10" s="1376">
        <f t="shared" ref="BZ10:BZ41" si="42">IF($I10=8,$Q10,0)*$BQ10</f>
        <v>0</v>
      </c>
      <c r="CA10" s="1376">
        <f t="shared" ref="CA10:CA41" si="43">IF($I10=9,$Q10,0)*$BQ10</f>
        <v>0</v>
      </c>
      <c r="CB10" s="1377">
        <f t="shared" ref="CB10:CB41" si="44">IF($I10=10,$Q10,0)*$BQ10</f>
        <v>0</v>
      </c>
      <c r="CC10" s="1374">
        <f>SUM(BS10:BW10)</f>
        <v>111.49302469135802</v>
      </c>
      <c r="CD10" s="1374">
        <f t="shared" ref="CD10:CD41" si="45">IF(H10="N",0,D10)*BQ10</f>
        <v>2942</v>
      </c>
      <c r="CE10" s="1374">
        <f t="shared" ref="CE10:CE41" si="46">K10*BQ10</f>
        <v>262</v>
      </c>
      <c r="CF10" s="1378">
        <f t="shared" ref="CF10:CF41" si="47">ROUND(IF(W10="",0,LOOKUP(W10,B$49:B$59,D$49:D$59)*X10/12),0)</f>
        <v>41</v>
      </c>
      <c r="CG10" s="1378">
        <f t="shared" ref="CG10:CG41" si="48">ROUND(IF(Y10="",0,LOOKUP(Y10,B$49:B$59,D$49:D$59)*Z10/12),0)</f>
        <v>0</v>
      </c>
      <c r="CH10" s="1378">
        <f t="shared" ref="CH10:CH41" si="49">ROUND(IF(AA10="",0,LOOKUP(AA10,B$49:B$59,D$49:D$59)*AB10/12),0)</f>
        <v>0</v>
      </c>
      <c r="CI10" s="1374">
        <f t="shared" ref="CI10:CI41" si="50">D10*BQ10</f>
        <v>2942</v>
      </c>
      <c r="CJ10" s="1374">
        <f t="shared" ref="CJ10:CJ41" si="51">D10*J10/324*(1+K$73)*G10</f>
        <v>18.160493827160494</v>
      </c>
      <c r="CK10" s="1374" t="str">
        <f t="shared" ref="CK10:CK41" si="52">IF(N10="","",N10)</f>
        <v/>
      </c>
      <c r="CL10" s="1374">
        <f t="shared" ref="CL10:CL41" si="53">P10*BQ10</f>
        <v>3482.1496557117184</v>
      </c>
      <c r="CM10" s="1379">
        <f t="shared" ref="CM10:CM41" si="54">IF(BQ10=0,0,SUM(CN10:DE10)/BQ10)</f>
        <v>34618.264654476043</v>
      </c>
      <c r="CN10" s="628">
        <f>(BS10*Pricing!F$3+BT10*Pricing!G$3+BU10*Pricing!H$3+BV10*Pricing!I$3+BW10*Pricing!J$3+BX10*Pricing!K$3+BY10*Pricing!L$3+BZ10*Pricing!M$3+CA10*Pricing!N$3+CB10*Pricing!O$3)*IF(W$44="N",(1+Y$44),1)</f>
        <v>16172.620696604936</v>
      </c>
      <c r="CO10" s="628">
        <f t="shared" ref="CO10:CO41" si="55">BN10*G$70*IF(W$44="n",1+Y$44,1)</f>
        <v>2261.6562013847611</v>
      </c>
      <c r="CP10" s="1380">
        <f t="shared" ref="CP10:CP41" si="56">C10*D10</f>
        <v>0</v>
      </c>
      <c r="CQ10" s="628">
        <f t="shared" ref="CQ10:CQ41" si="57">IF(I$79=0,0,D10*(SUM(O$79:P$82)+O$85)/I$79*BQ10)</f>
        <v>5442.7000000000007</v>
      </c>
      <c r="CR10" s="628">
        <f t="shared" ref="CR10:CR41" si="58">IF(CF10="",0,CF10*E$83)+IF(CG10="",0,CG10*E$83)+IF(CH10="",0,CH10*E$83)</f>
        <v>328</v>
      </c>
      <c r="CS10" s="628"/>
      <c r="CT10" s="1381">
        <f t="shared" ref="CT10:CT41" si="59">(U10/2000)*E$87</f>
        <v>490.48993114234366</v>
      </c>
      <c r="CU10" s="628">
        <f t="shared" ref="CU10:CU41" si="60">IF(I$79=0,0,D10*(O$88)/I$79*BQ10)</f>
        <v>0</v>
      </c>
      <c r="CV10" s="628">
        <f t="shared" ref="CV10:CV41" si="61">IF(D$42=0,0,SUM(O$91:P$94)/D$42*D10)*BQ10</f>
        <v>933.16562499999986</v>
      </c>
      <c r="CW10" s="628">
        <f t="shared" ref="CW10:CW41" si="62">IF(D$42=0,0,SUM(Z$66:Z$97)/D$42*D10*BQ10)</f>
        <v>2356.0644027349649</v>
      </c>
      <c r="CX10" s="628">
        <f t="shared" ref="CX10:CX41" si="63">IF(D$42=0,0,SUM(O$96:P$101)/D$42*D10)*BQ10</f>
        <v>1582.9262072923807</v>
      </c>
      <c r="CY10" s="628">
        <f t="shared" ref="CY10:CY41" si="64">IF(D$42=0,0,SUM(O$103:O$109)/D$42)*D10*BQ10</f>
        <v>1654.9428394609026</v>
      </c>
      <c r="CZ10" s="628">
        <f t="shared" ref="CZ10:CZ41" si="65">IF(I$79=0,0,IF(I$79=0,0,SUM(Z$98:Z$109)/I$79*D10))</f>
        <v>197.22263665822638</v>
      </c>
      <c r="DA10" s="628">
        <f t="shared" ref="DA10:DA41" si="66">IF(J$72&gt;0,J$72/D$42*D10*G10,CD10*(G$72*IF(W$44="n",(1+Y$44),1)))</f>
        <v>2707.0077499999998</v>
      </c>
      <c r="DB10" s="628">
        <f t="shared" ref="DB10:DB41" si="67">IF(CK10="",0,CK10*E$86)</f>
        <v>0</v>
      </c>
      <c r="DC10" s="628">
        <f t="shared" ref="DC10:DC41" si="68">BP10*G$71*IF(W$44="Y",1,1+Y$44)</f>
        <v>0</v>
      </c>
      <c r="DD10" s="628">
        <f t="shared" ref="DD10:DD41" si="69">CJ10*G$73*IF(W$44="Y",1,1+Y$44)</f>
        <v>491.46836419753089</v>
      </c>
      <c r="DE10" s="1382">
        <f t="shared" ref="DE10:DE41" si="70">O$110/I$79*D10</f>
        <v>0</v>
      </c>
      <c r="DF10" s="1383">
        <f t="shared" ref="DF10:DF41" si="71">IF(W10=1,X10*$AS$49,0)+IF(W10=2,X10*$AS$50,0)+IF(W10=3,X10*$AS$51,0)+IF(W10=4,X10*$AS$52,0)+IF(W10=5,X10*$AS$53,0)+IF(W10=6,X10*$AS$54)+IF(W10=7,X10*$AS$55)+IF(W10=8,X10*$AS$56)+IF(W10=9,X10*$AS$57)+IF(W10=10,X10*$AS$58)+IF(W10=11,X10*$AS$59,0)</f>
        <v>82</v>
      </c>
      <c r="DG10" s="1383">
        <f t="shared" ref="DG10:DG41" si="72">IF(Y10=1,Z10*$AS$49,0)+IF(Y10=2,Z10*$AS$50,0)+IF(Y10=3,Z10*$AS$51,0)+IF(Y10=4,Z10*$AS$52,0)+IF(Y10=5,Z10*$AS$53,0)+IF(Y10=6,Z10*$AS$54)+IF(Y10=7,Z10*$AS$55)+IF(Y10=8,Z10*$AS$56)+IF(Y10=9,Z10*$AS$57)+IF(Y10=10,Z10*$AS$58)+IF(Y10=11,Z10*$AS$59,0)</f>
        <v>0</v>
      </c>
      <c r="DH10" s="1383">
        <f t="shared" ref="DH10:DH41" si="73">IF(AA10=1,AB10*$AS$49,0)+IF(AA10=2,AB10*$AS$50,0)+IF(AA10=3,AB10*$AS$51,0)+IF(AA10=4,AB10*$AS$52,0)+IF(AA10=5,AB10*$AS$53,0)+IF(AA10=6,AB10*$AS$54)+IF(AA10=7,AB10*$AS$55)+IF(AA10=8,AB10*$AS$56)+IF(AA10=9,AB10*$AS$57)+IF(AA10=10,AB10*$AS$58)+IF(AA10=11,AB10*$AS$59,0)</f>
        <v>0</v>
      </c>
      <c r="DI10" s="1383">
        <f t="shared" ref="DI10:DI41" si="74">IF(AC10=1,AD10*$AS$49,0)+IF(AC10=2,AD10*$AS$50,0)+IF(AC10=3,AD10*$AS$51,0)+IF(AC10=4,AD10*$AS$52,0)+IF(AC10=5,AD10*$AS$53,0)+IF(AC10=6,AD10*$AS$54)+IF(AC10=7,AD10*$AS$55)+IF(AC10=8,AD10*$AS$56)+IF(AC10=9,AD10*$AS$57)+IF(AC10=10,AD10*$AS$58)+IF(AC10=11,AD10*$AS$59,0)</f>
        <v>1397.3333333333333</v>
      </c>
      <c r="DJ10" s="1383">
        <f t="shared" ref="DJ10:DJ41" si="75">IF(AE10=1,AF10*$AS$49,0)+IF(AE10=2,AF10*$AS$50,0)+IF(AE10=3,AF10*$AS$51,0)+IF(AE10=4,AF10*$AS$52,0)+IF(AE10=5,AF10*$AS$53,0)+IF(AE10=6,AF10*$AS$54)+IF(AE10=7,AF10*$AS$55)+IF(AE10=8,AF10*$AS$56)+IF(AE10=9,AF10*$AS$57)+IF(AE10=10,AF10*$AS$58)+IF(AE10=11,AF10*$AS$59,0)</f>
        <v>2235</v>
      </c>
      <c r="DK10" s="1383">
        <f t="shared" ref="DK10:DK41" si="76">IF(AG10=1,AH10*$AS$49,0)+IF(AG10=2,AH10*$AS$50,0)+IF(AG10=3,AH10*$AS$51,0)+IF(AG10=4,AH10*$AS$52,0)+IF(AG10=5,AH10*$AS$53,0)+IF(AG10=6,AH10*$AS$54)+IF(AG10=7,AH10*$AS$55)+IF(AG10=8,AH10*$AS$56)+IF(AG10=9,AH10*$AS$57)+IF(AG10=10,AH10*$AS$58)+IF(AG10=11,AH10*$AS$59,0)</f>
        <v>260</v>
      </c>
      <c r="DL10" s="1383">
        <f t="shared" ref="DL10:DL41" si="77">IF(AI10=1,AJ10*$AS$49,0)+IF(AI10=2,AJ10*$AS$50,0)+IF(AI10=3,AJ10*$AS$51,0)+IF(AI10=4,AJ10*$AS$52,0)+IF(AI10=5,AJ10*$AS$53,0)+IF(AI10=6,AJ10*$AS$54)+IF(AI10=7,AJ10*$AS$55)+IF(AI10=8,AJ10*$AS$56)+IF(AI10=9,AJ10*$AS$57)+IF(AI10=10,AJ10*$AS$58)+IF(AI10=11,AJ10*$AS$59,0)</f>
        <v>0</v>
      </c>
      <c r="DM10" s="1383">
        <f t="shared" ref="DM10:DM41" si="78">IF(AK10=1,AL10*$AS$49,0)+IF(AK10=2,AL10*$AS$50,0)+IF(AK10=3,AL10*$AS$51,0)+IF(AK10=4,AL10*$AS$52,0)+IF(AK10=5,AL10*$AS$53,0)+IF(AK10=6,AL10*$AS$54)+IF(AK10=7,AL10*$AS$55)+IF(AK10=8,AL10*$AS$56)+IF(AK10=9,AL10*$AS$57)+IF(AK10=10,AL10*$AS$58)+IF(AK10=11,AL10*$AS$59,0)</f>
        <v>320</v>
      </c>
      <c r="DN10" s="1383">
        <f t="shared" ref="DN10:DN41" si="79">IF(AM10=1,AN10*$AS$49,0)+IF(AM10=2,AN10*$AS$50,0)+IF(AM10=3,AN10*$AS$51,0)+IF(AM10=4,AN10*$AS$52,0)+IF(AM10=5,AN10*$AS$53,0)+IF(AM10=6,AN10*$AS$54)+IF(AM10=7,AN10*$AS$55)+IF(AM10=8,AN10*$AS$56)+IF(AM10=9,AN10*$AS$57)+IF(AM10=10,AN10*$AS$58)+IF(AM10=11,AN10*$AS$59,0)</f>
        <v>0</v>
      </c>
      <c r="DO10" s="1383">
        <f t="shared" ref="DO10:DO41" si="80">IF(AO10=1,AP10*$AS$49,0)+IF(AO10=2,AP10*$AS$50,0)+IF(AO10=3,AP10*$AS$51,0)+IF(AO10=4,AP10*$AS$52,0)+IF(AO10=5,AP10*$AS$53,0)+IF(AO10=6,AP10*$AS$54)+IF(AO10=7,AP10*$AS$55)+IF(AO10=8,AP10*$AS$56)+IF(AO10=9,AP10*$AS$57)+IF(AO10=10,AP10*$AS$58)+IF(AO10=11,AP10*$AS$59,0)</f>
        <v>0</v>
      </c>
      <c r="DP10" s="1384">
        <f t="shared" ref="DP10:DP41" si="81">D10</f>
        <v>2942</v>
      </c>
      <c r="DQ10" s="1270">
        <f t="shared" ref="DQ10:DQ41" si="82">IF(AC10="","",LOOKUP(AC10,$B$49:$B$59,$S$49:$S$59)*AD10)</f>
        <v>17.790123456790123</v>
      </c>
      <c r="DR10" s="1270">
        <f t="shared" ref="DR10:DR41" si="83">IF(AE10="","",LOOKUP(AE10,$B$49:$B$59,$S$49:$S$59)*AF10)</f>
        <v>22.993827160493829</v>
      </c>
      <c r="DS10" s="1270">
        <f t="shared" ref="DS10:DS41" si="84">IF(AG10="","",LOOKUP(AG10,$B$49:$B$59,$S$49:$S$59)*AH10)</f>
        <v>2.6748971193415638</v>
      </c>
      <c r="DT10" s="1270" t="str">
        <f t="shared" ref="DT10:DT41" si="85">IF(AI10="","",LOOKUP(AI10,$B$49:$B$59,$S$49:$S$59)*AJ10)</f>
        <v/>
      </c>
      <c r="DU10" s="1270">
        <f t="shared" ref="DU10:DU41" si="86">IF(AK10="","",LOOKUP(AK10,$B$49:$B$59,$S$49:$S$59)*AL10)</f>
        <v>2.0370370370370368</v>
      </c>
      <c r="DV10" s="1270" t="str">
        <f t="shared" ref="DV10:DV41" si="87">IF(AM10="","",LOOKUP(AM10,$B$49:$B$59,$S$49:$S$59)*AN10)</f>
        <v/>
      </c>
      <c r="DW10" s="1270" t="str">
        <f t="shared" ref="DW10:DW41" si="88">IF(AO10="","",LOOKUP(AO10,$B$49:$B$59,$S$49:$S$59)*AP10)</f>
        <v/>
      </c>
      <c r="DX10" s="1371">
        <f t="shared" ref="DX10:DX41" si="89">SUM(DQ10:DW10)-(D10-EF10)*(S$45-F10)/324</f>
        <v>4.1224279835390973</v>
      </c>
      <c r="DY10" s="1270">
        <f t="shared" ref="DY10:DY41" si="90">IF(AC10="","",LOOKUP(AC10,$B$49:$B$59,$T$49:$T$59)*AD10)</f>
        <v>262</v>
      </c>
      <c r="DZ10" s="1270">
        <f t="shared" ref="DZ10:DZ41" si="91">IF(AE10="","",LOOKUP(AE10,$B$49:$B$59,$T$49:$T$59)*AF10)</f>
        <v>372.5</v>
      </c>
      <c r="EA10" s="1270">
        <f t="shared" ref="EA10:EA41" si="92">IF(AG10="","",LOOKUP(AG10,$B$49:$B$59,$T$49:$T$59)*AH10)</f>
        <v>43.333333333333336</v>
      </c>
      <c r="EB10" s="1270" t="str">
        <f t="shared" ref="EB10:EB41" si="93">IF(AI10="","",LOOKUP(AI10,$B$49:$B$59,$T$49:$T$59)*AJ10)</f>
        <v/>
      </c>
      <c r="EC10" s="1270">
        <f t="shared" ref="EC10:EC41" si="94">IF(AK10="","",LOOKUP(AK10,$B$49:$B$59,$T$49:$T$59)*AL10)</f>
        <v>30</v>
      </c>
      <c r="ED10" s="1270" t="str">
        <f t="shared" ref="ED10:ED41" si="95">IF(AM10="","",LOOKUP(AM10,$B$49:$B$59,$T$49:$T$59)*AN10)</f>
        <v/>
      </c>
      <c r="EE10" s="1270" t="str">
        <f t="shared" ref="EE10:EE41" si="96">IF(AO10="","",LOOKUP(AO10,$B$49:$B$59,$T$49:$T$59)*AP10)</f>
        <v/>
      </c>
      <c r="EF10" s="1371">
        <f t="shared" ref="EF10:EF41" si="97">SUM(DY10:EE10)</f>
        <v>707.83333333333337</v>
      </c>
    </row>
    <row r="11" spans="1:136" ht="19.5" customHeight="1">
      <c r="A11" s="18" t="s">
        <v>1069</v>
      </c>
      <c r="B11" s="1385" t="s">
        <v>1554</v>
      </c>
      <c r="C11" s="1386"/>
      <c r="D11" s="1387">
        <v>3992</v>
      </c>
      <c r="E11" s="1388"/>
      <c r="F11" s="984">
        <v>4</v>
      </c>
      <c r="G11" s="1389">
        <v>1</v>
      </c>
      <c r="H11" s="984" t="s">
        <v>1302</v>
      </c>
      <c r="I11" s="1389">
        <v>1</v>
      </c>
      <c r="J11" s="984">
        <v>2</v>
      </c>
      <c r="K11" s="1390">
        <v>296</v>
      </c>
      <c r="L11" s="1391"/>
      <c r="M11" s="1392"/>
      <c r="N11" s="1393"/>
      <c r="O11" s="1394"/>
      <c r="P11" s="1351">
        <f t="shared" si="0"/>
        <v>3793.1588203007818</v>
      </c>
      <c r="Q11" s="1352">
        <f t="shared" si="1"/>
        <v>139.0203086419753</v>
      </c>
      <c r="R11" s="1353">
        <f t="shared" si="2"/>
        <v>12.663218181720838</v>
      </c>
      <c r="S11" s="1354">
        <f t="shared" si="3"/>
        <v>50551.566981429583</v>
      </c>
      <c r="T11" s="1355">
        <f t="shared" si="4"/>
        <v>0</v>
      </c>
      <c r="U11" s="1356">
        <f t="shared" si="5"/>
        <v>2395.958820300782</v>
      </c>
      <c r="V11" s="1357">
        <f t="shared" si="6"/>
        <v>5.953641975308642</v>
      </c>
      <c r="W11" s="1395">
        <v>9</v>
      </c>
      <c r="X11" s="1396"/>
      <c r="Y11" s="1395"/>
      <c r="Z11" s="1397"/>
      <c r="AA11" s="1395"/>
      <c r="AB11" s="1397"/>
      <c r="AC11" s="1398">
        <v>1</v>
      </c>
      <c r="AD11" s="1396">
        <v>296</v>
      </c>
      <c r="AE11" s="1395">
        <v>2</v>
      </c>
      <c r="AF11" s="1399">
        <v>629</v>
      </c>
      <c r="AG11" s="1400">
        <v>3</v>
      </c>
      <c r="AH11" s="1399"/>
      <c r="AI11" s="1401"/>
      <c r="AJ11" s="1396"/>
      <c r="AK11" s="1401">
        <v>5</v>
      </c>
      <c r="AL11" s="1399">
        <v>83</v>
      </c>
      <c r="AM11" s="1395"/>
      <c r="AN11" s="1402"/>
      <c r="AO11" s="1395"/>
      <c r="AP11" s="1397"/>
      <c r="AQ11" s="1275">
        <f t="shared" si="7"/>
        <v>28.715229012192463</v>
      </c>
      <c r="AR11" s="1369">
        <f t="shared" si="8"/>
        <v>0</v>
      </c>
      <c r="AS11" s="1270" t="str">
        <f t="shared" si="9"/>
        <v/>
      </c>
      <c r="AT11" s="1270" t="str">
        <f t="shared" si="10"/>
        <v/>
      </c>
      <c r="AU11" s="1270">
        <f t="shared" si="11"/>
        <v>30.988641975308642</v>
      </c>
      <c r="AV11" s="1270">
        <f t="shared" si="12"/>
        <v>51.445987654320987</v>
      </c>
      <c r="AW11" s="1270">
        <f t="shared" si="13"/>
        <v>0</v>
      </c>
      <c r="AX11" s="1270" t="str">
        <f t="shared" si="14"/>
        <v/>
      </c>
      <c r="AY11" s="1270">
        <f t="shared" si="15"/>
        <v>4.3446913580246918</v>
      </c>
      <c r="AZ11" s="1270" t="str">
        <f t="shared" si="16"/>
        <v/>
      </c>
      <c r="BA11" s="1270" t="str">
        <f t="shared" si="17"/>
        <v/>
      </c>
      <c r="BB11" s="1371">
        <f t="shared" si="18"/>
        <v>86.779320987654316</v>
      </c>
      <c r="BC11" s="1369">
        <f t="shared" si="19"/>
        <v>0</v>
      </c>
      <c r="BD11" s="1270" t="str">
        <f t="shared" si="20"/>
        <v/>
      </c>
      <c r="BE11" s="1270" t="str">
        <f t="shared" si="21"/>
        <v/>
      </c>
      <c r="BF11" s="1270">
        <f t="shared" si="22"/>
        <v>1128.41902573125</v>
      </c>
      <c r="BG11" s="1270">
        <f t="shared" si="23"/>
        <v>2311.1078127070314</v>
      </c>
      <c r="BH11" s="1270">
        <f t="shared" si="24"/>
        <v>0</v>
      </c>
      <c r="BI11" s="1270" t="str">
        <f t="shared" si="25"/>
        <v/>
      </c>
      <c r="BJ11" s="1270">
        <f t="shared" si="26"/>
        <v>353.63198186250003</v>
      </c>
      <c r="BK11" s="1270" t="str">
        <f t="shared" si="27"/>
        <v/>
      </c>
      <c r="BL11" s="1270" t="str">
        <f t="shared" si="28"/>
        <v/>
      </c>
      <c r="BM11" s="1371">
        <f t="shared" si="29"/>
        <v>3793.1588203007818</v>
      </c>
      <c r="BN11" s="1372">
        <f t="shared" si="30"/>
        <v>3793.1588203007818</v>
      </c>
      <c r="BO11" s="1372">
        <f t="shared" si="31"/>
        <v>0</v>
      </c>
      <c r="BP11" s="1372">
        <f t="shared" si="32"/>
        <v>0</v>
      </c>
      <c r="BQ11" s="1374">
        <f t="shared" si="33"/>
        <v>1</v>
      </c>
      <c r="BR11" s="1251">
        <f t="shared" si="34"/>
        <v>0</v>
      </c>
      <c r="BS11" s="1403">
        <f t="shared" si="35"/>
        <v>139.0203086419753</v>
      </c>
      <c r="BT11" s="1372">
        <f t="shared" si="36"/>
        <v>0</v>
      </c>
      <c r="BU11" s="1372">
        <f t="shared" si="37"/>
        <v>0</v>
      </c>
      <c r="BV11" s="1372">
        <f t="shared" si="38"/>
        <v>0</v>
      </c>
      <c r="BW11" s="1372">
        <f t="shared" si="39"/>
        <v>0</v>
      </c>
      <c r="BX11" s="1372">
        <f t="shared" si="40"/>
        <v>0</v>
      </c>
      <c r="BY11" s="1372">
        <f t="shared" si="41"/>
        <v>0</v>
      </c>
      <c r="BZ11" s="1372">
        <f t="shared" si="42"/>
        <v>0</v>
      </c>
      <c r="CA11" s="1372">
        <f t="shared" si="43"/>
        <v>0</v>
      </c>
      <c r="CB11" s="1404">
        <f t="shared" si="44"/>
        <v>0</v>
      </c>
      <c r="CC11" s="1374">
        <f t="shared" ref="CC11:CC41" si="98">SUM(BS11:BX11)</f>
        <v>139.0203086419753</v>
      </c>
      <c r="CD11" s="1374">
        <f t="shared" si="45"/>
        <v>3992</v>
      </c>
      <c r="CE11" s="1374">
        <f t="shared" si="46"/>
        <v>296</v>
      </c>
      <c r="CF11" s="1378">
        <f t="shared" si="47"/>
        <v>0</v>
      </c>
      <c r="CG11" s="1378">
        <f t="shared" si="48"/>
        <v>0</v>
      </c>
      <c r="CH11" s="1378">
        <f t="shared" si="49"/>
        <v>0</v>
      </c>
      <c r="CI11" s="1374">
        <f t="shared" si="50"/>
        <v>3992</v>
      </c>
      <c r="CJ11" s="1374">
        <f t="shared" si="51"/>
        <v>24.641975308641975</v>
      </c>
      <c r="CK11" s="1374" t="str">
        <f t="shared" si="52"/>
        <v/>
      </c>
      <c r="CL11" s="1374">
        <f t="shared" si="53"/>
        <v>3793.1588203007818</v>
      </c>
      <c r="CM11" s="1379">
        <f t="shared" si="54"/>
        <v>43957.884331677902</v>
      </c>
      <c r="CN11" s="628">
        <f>(BS11*Pricing!F$3+BT11*Pricing!G$3+BU11*Pricing!H$3+BV11*Pricing!I$3+BW11*Pricing!J$3+BX11*Pricing!K$3+BY11*Pricing!L$3+BZ11*Pricing!M$3+CA11*Pricing!N$3+CB11*Pricing!O$3)*IF(W$44="N",(1+Y$44),1)</f>
        <v>20165.590870061726</v>
      </c>
      <c r="CO11" s="628">
        <f t="shared" si="55"/>
        <v>2463.6566537853578</v>
      </c>
      <c r="CP11" s="1380">
        <f t="shared" si="56"/>
        <v>0</v>
      </c>
      <c r="CQ11" s="628">
        <f t="shared" si="57"/>
        <v>7385.2000000000007</v>
      </c>
      <c r="CR11" s="628">
        <f t="shared" si="58"/>
        <v>0</v>
      </c>
      <c r="CS11" s="628"/>
      <c r="CT11" s="1381">
        <f t="shared" si="59"/>
        <v>479.19176406015646</v>
      </c>
      <c r="CU11" s="628">
        <f t="shared" si="60"/>
        <v>0</v>
      </c>
      <c r="CV11" s="628">
        <f t="shared" si="61"/>
        <v>1266.2124999999999</v>
      </c>
      <c r="CW11" s="628">
        <f t="shared" si="62"/>
        <v>3196.9439482386065</v>
      </c>
      <c r="CX11" s="628">
        <f t="shared" si="63"/>
        <v>2147.872678283883</v>
      </c>
      <c r="CY11" s="628">
        <f t="shared" si="64"/>
        <v>2245.5920513691108</v>
      </c>
      <c r="CZ11" s="628">
        <f t="shared" si="65"/>
        <v>267.61140908893259</v>
      </c>
      <c r="DA11" s="628">
        <f t="shared" si="66"/>
        <v>3673.1389999999997</v>
      </c>
      <c r="DB11" s="628">
        <f t="shared" si="67"/>
        <v>0</v>
      </c>
      <c r="DC11" s="628">
        <f t="shared" si="68"/>
        <v>0</v>
      </c>
      <c r="DD11" s="628">
        <f t="shared" si="69"/>
        <v>666.87345679012356</v>
      </c>
      <c r="DE11" s="1382">
        <f t="shared" si="70"/>
        <v>0</v>
      </c>
      <c r="DF11" s="626">
        <f t="shared" si="71"/>
        <v>0</v>
      </c>
      <c r="DG11" s="626">
        <f t="shared" si="72"/>
        <v>0</v>
      </c>
      <c r="DH11" s="626">
        <f t="shared" si="73"/>
        <v>0</v>
      </c>
      <c r="DI11" s="626">
        <f t="shared" si="74"/>
        <v>1578.6666666666665</v>
      </c>
      <c r="DJ11" s="626">
        <f t="shared" si="75"/>
        <v>3145</v>
      </c>
      <c r="DK11" s="626">
        <f t="shared" si="76"/>
        <v>0</v>
      </c>
      <c r="DL11" s="626">
        <f t="shared" si="77"/>
        <v>0</v>
      </c>
      <c r="DM11" s="626">
        <f t="shared" si="78"/>
        <v>442.66666666666663</v>
      </c>
      <c r="DN11" s="626">
        <f t="shared" si="79"/>
        <v>0</v>
      </c>
      <c r="DO11" s="626">
        <f t="shared" si="80"/>
        <v>0</v>
      </c>
      <c r="DP11" s="1405">
        <f t="shared" si="81"/>
        <v>3992</v>
      </c>
      <c r="DQ11" s="1270">
        <f t="shared" si="82"/>
        <v>20.098765432098766</v>
      </c>
      <c r="DR11" s="1270">
        <f t="shared" si="83"/>
        <v>32.355967078189302</v>
      </c>
      <c r="DS11" s="1270">
        <f t="shared" si="84"/>
        <v>0</v>
      </c>
      <c r="DT11" s="1270" t="str">
        <f t="shared" si="85"/>
        <v/>
      </c>
      <c r="DU11" s="1270">
        <f t="shared" si="86"/>
        <v>2.8179012345679011</v>
      </c>
      <c r="DV11" s="1270" t="str">
        <f t="shared" si="87"/>
        <v/>
      </c>
      <c r="DW11" s="1270" t="str">
        <f t="shared" si="88"/>
        <v/>
      </c>
      <c r="DX11" s="1371">
        <f t="shared" si="89"/>
        <v>-2.6965020576131664</v>
      </c>
      <c r="DY11" s="1270">
        <f t="shared" si="90"/>
        <v>296</v>
      </c>
      <c r="DZ11" s="1270">
        <f t="shared" si="91"/>
        <v>524.16666666666674</v>
      </c>
      <c r="EA11" s="1270">
        <f t="shared" si="92"/>
        <v>0</v>
      </c>
      <c r="EB11" s="1270" t="str">
        <f t="shared" si="93"/>
        <v/>
      </c>
      <c r="EC11" s="1270">
        <f t="shared" si="94"/>
        <v>41.5</v>
      </c>
      <c r="ED11" s="1270" t="str">
        <f t="shared" si="95"/>
        <v/>
      </c>
      <c r="EE11" s="1270" t="str">
        <f t="shared" si="96"/>
        <v/>
      </c>
      <c r="EF11" s="1371">
        <f t="shared" si="97"/>
        <v>861.66666666666674</v>
      </c>
    </row>
    <row r="12" spans="1:136" ht="19.5" customHeight="1">
      <c r="A12" s="18" t="s">
        <v>1070</v>
      </c>
      <c r="B12" s="1341" t="s">
        <v>1555</v>
      </c>
      <c r="C12" s="1386"/>
      <c r="D12" s="1343">
        <v>5805</v>
      </c>
      <c r="E12" s="1344"/>
      <c r="F12" s="984">
        <v>4</v>
      </c>
      <c r="G12" s="1389">
        <v>1</v>
      </c>
      <c r="H12" s="984" t="s">
        <v>1302</v>
      </c>
      <c r="I12" s="1389">
        <v>1</v>
      </c>
      <c r="J12" s="984">
        <v>2</v>
      </c>
      <c r="K12" s="1390">
        <v>345</v>
      </c>
      <c r="L12" s="1359"/>
      <c r="M12" s="1348"/>
      <c r="N12" s="1406"/>
      <c r="O12" s="1407"/>
      <c r="P12" s="1351">
        <f t="shared" si="0"/>
        <v>6330.0061472742182</v>
      </c>
      <c r="Q12" s="1352">
        <f t="shared" si="1"/>
        <v>207.38376543209876</v>
      </c>
      <c r="R12" s="1353">
        <f t="shared" si="2"/>
        <v>12.994789260657598</v>
      </c>
      <c r="S12" s="1354">
        <f t="shared" si="3"/>
        <v>75434.751658117355</v>
      </c>
      <c r="T12" s="1355">
        <f t="shared" si="4"/>
        <v>28</v>
      </c>
      <c r="U12" s="1356">
        <f t="shared" si="5"/>
        <v>4298.2561472742182</v>
      </c>
      <c r="V12" s="1357">
        <f t="shared" si="6"/>
        <v>13.883765432098755</v>
      </c>
      <c r="W12" s="1347">
        <v>9</v>
      </c>
      <c r="X12" s="1366">
        <v>28</v>
      </c>
      <c r="Y12" s="1347"/>
      <c r="Z12" s="1360"/>
      <c r="AA12" s="1347"/>
      <c r="AB12" s="1360"/>
      <c r="AC12" s="1361">
        <v>1</v>
      </c>
      <c r="AD12" s="1362">
        <v>345</v>
      </c>
      <c r="AE12" s="1347">
        <v>2</v>
      </c>
      <c r="AF12" s="1363">
        <v>944</v>
      </c>
      <c r="AG12" s="1364">
        <v>3</v>
      </c>
      <c r="AH12" s="1363">
        <v>129</v>
      </c>
      <c r="AI12" s="1365"/>
      <c r="AJ12" s="1366"/>
      <c r="AK12" s="1408">
        <v>5</v>
      </c>
      <c r="AL12" s="1409">
        <v>123</v>
      </c>
      <c r="AM12" s="1347"/>
      <c r="AN12" s="1368"/>
      <c r="AO12" s="1347"/>
      <c r="AP12" s="1360"/>
      <c r="AQ12" s="1275">
        <f t="shared" si="7"/>
        <v>27.991583564436066</v>
      </c>
      <c r="AR12" s="1369">
        <f t="shared" si="8"/>
        <v>1.0992592592592592</v>
      </c>
      <c r="AS12" s="1270" t="str">
        <f t="shared" si="9"/>
        <v/>
      </c>
      <c r="AT12" s="1270" t="str">
        <f t="shared" si="10"/>
        <v/>
      </c>
      <c r="AU12" s="1270">
        <f t="shared" si="11"/>
        <v>36.11851851851852</v>
      </c>
      <c r="AV12" s="1270">
        <f t="shared" si="12"/>
        <v>77.209876543209873</v>
      </c>
      <c r="AW12" s="1270">
        <f t="shared" si="13"/>
        <v>10.550925925925926</v>
      </c>
      <c r="AX12" s="1270" t="str">
        <f t="shared" si="14"/>
        <v/>
      </c>
      <c r="AY12" s="1270">
        <f t="shared" si="15"/>
        <v>6.438518518518519</v>
      </c>
      <c r="AZ12" s="1270" t="str">
        <f t="shared" si="16"/>
        <v/>
      </c>
      <c r="BA12" s="1270" t="str">
        <f t="shared" si="17"/>
        <v/>
      </c>
      <c r="BB12" s="1371">
        <f t="shared" si="18"/>
        <v>131.41709876543209</v>
      </c>
      <c r="BC12" s="1369">
        <f t="shared" si="19"/>
        <v>163.26389743125</v>
      </c>
      <c r="BD12" s="1270" t="str">
        <f t="shared" si="20"/>
        <v/>
      </c>
      <c r="BE12" s="1270" t="str">
        <f t="shared" si="21"/>
        <v/>
      </c>
      <c r="BF12" s="1270">
        <f t="shared" si="22"/>
        <v>1315.2181212070311</v>
      </c>
      <c r="BG12" s="1270">
        <f t="shared" si="23"/>
        <v>3468.4988476875001</v>
      </c>
      <c r="BH12" s="1270">
        <f t="shared" si="24"/>
        <v>858.96824758593743</v>
      </c>
      <c r="BI12" s="1270" t="str">
        <f t="shared" si="25"/>
        <v/>
      </c>
      <c r="BJ12" s="1270">
        <f t="shared" si="26"/>
        <v>524.05703336249996</v>
      </c>
      <c r="BK12" s="1270" t="str">
        <f t="shared" si="27"/>
        <v/>
      </c>
      <c r="BL12" s="1270" t="str">
        <f t="shared" si="28"/>
        <v/>
      </c>
      <c r="BM12" s="1371">
        <f t="shared" si="29"/>
        <v>6330.0061472742182</v>
      </c>
      <c r="BN12" s="1372">
        <f t="shared" si="30"/>
        <v>6330.0061472742182</v>
      </c>
      <c r="BO12" s="1372">
        <f t="shared" si="31"/>
        <v>0</v>
      </c>
      <c r="BP12" s="1372">
        <f t="shared" si="32"/>
        <v>0</v>
      </c>
      <c r="BQ12" s="1374">
        <f t="shared" si="33"/>
        <v>1</v>
      </c>
      <c r="BR12" s="1251">
        <f t="shared" si="34"/>
        <v>0</v>
      </c>
      <c r="BS12" s="1403">
        <f t="shared" si="35"/>
        <v>207.38376543209876</v>
      </c>
      <c r="BT12" s="1372">
        <f t="shared" si="36"/>
        <v>0</v>
      </c>
      <c r="BU12" s="1372">
        <f t="shared" si="37"/>
        <v>0</v>
      </c>
      <c r="BV12" s="1372">
        <f t="shared" si="38"/>
        <v>0</v>
      </c>
      <c r="BW12" s="1372">
        <f t="shared" si="39"/>
        <v>0</v>
      </c>
      <c r="BX12" s="1372">
        <f t="shared" si="40"/>
        <v>0</v>
      </c>
      <c r="BY12" s="1372">
        <f t="shared" si="41"/>
        <v>0</v>
      </c>
      <c r="BZ12" s="1372">
        <f t="shared" si="42"/>
        <v>0</v>
      </c>
      <c r="CA12" s="1372">
        <f t="shared" si="43"/>
        <v>0</v>
      </c>
      <c r="CB12" s="1404">
        <f t="shared" si="44"/>
        <v>0</v>
      </c>
      <c r="CC12" s="1374">
        <f t="shared" si="98"/>
        <v>207.38376543209876</v>
      </c>
      <c r="CD12" s="1374">
        <f t="shared" si="45"/>
        <v>5805</v>
      </c>
      <c r="CE12" s="1374">
        <f t="shared" si="46"/>
        <v>345</v>
      </c>
      <c r="CF12" s="1378">
        <f t="shared" si="47"/>
        <v>28</v>
      </c>
      <c r="CG12" s="1378">
        <f t="shared" si="48"/>
        <v>0</v>
      </c>
      <c r="CH12" s="1378">
        <f t="shared" si="49"/>
        <v>0</v>
      </c>
      <c r="CI12" s="1374">
        <f t="shared" si="50"/>
        <v>5805</v>
      </c>
      <c r="CJ12" s="1374">
        <f t="shared" si="51"/>
        <v>35.833333333333336</v>
      </c>
      <c r="CK12" s="1374" t="str">
        <f t="shared" si="52"/>
        <v/>
      </c>
      <c r="CL12" s="1374">
        <f t="shared" si="53"/>
        <v>6330.0061472742182</v>
      </c>
      <c r="CM12" s="1379">
        <f t="shared" si="54"/>
        <v>65595.436224449877</v>
      </c>
      <c r="CN12" s="628">
        <f>(BS12*Pricing!F$3+BT12*Pricing!G$3+BU12*Pricing!H$3+BV12*Pricing!I$3+BW12*Pricing!J$3+BX12*Pricing!K$3+BY12*Pricing!L$3+BZ12*Pricing!M$3+CA12*Pricing!N$3+CB12*Pricing!O$3)*IF(W$44="N",(1+Y$44),1)</f>
        <v>30082.052094753086</v>
      </c>
      <c r="CO12" s="628">
        <f t="shared" si="55"/>
        <v>4111.3389926546042</v>
      </c>
      <c r="CP12" s="1380">
        <f t="shared" si="56"/>
        <v>0</v>
      </c>
      <c r="CQ12" s="628">
        <f t="shared" si="57"/>
        <v>10739.25</v>
      </c>
      <c r="CR12" s="628">
        <f t="shared" si="58"/>
        <v>224</v>
      </c>
      <c r="CS12" s="628"/>
      <c r="CT12" s="1381">
        <f t="shared" si="59"/>
        <v>859.65122945484359</v>
      </c>
      <c r="CU12" s="628">
        <f t="shared" si="60"/>
        <v>0</v>
      </c>
      <c r="CV12" s="628">
        <f t="shared" si="61"/>
        <v>1841.2734374999998</v>
      </c>
      <c r="CW12" s="628">
        <f t="shared" si="62"/>
        <v>4648.8626301415607</v>
      </c>
      <c r="CX12" s="628">
        <f t="shared" si="63"/>
        <v>3123.3469181958772</v>
      </c>
      <c r="CY12" s="628">
        <f t="shared" si="64"/>
        <v>3265.4463572639497</v>
      </c>
      <c r="CZ12" s="628">
        <f t="shared" si="65"/>
        <v>389.14935615261868</v>
      </c>
      <c r="DA12" s="628">
        <f t="shared" si="66"/>
        <v>5341.3256249999995</v>
      </c>
      <c r="DB12" s="628">
        <f t="shared" si="67"/>
        <v>0</v>
      </c>
      <c r="DC12" s="628">
        <f t="shared" si="68"/>
        <v>0</v>
      </c>
      <c r="DD12" s="628">
        <f t="shared" si="69"/>
        <v>969.73958333333337</v>
      </c>
      <c r="DE12" s="1382">
        <f t="shared" si="70"/>
        <v>0</v>
      </c>
      <c r="DF12" s="626">
        <f t="shared" si="71"/>
        <v>56</v>
      </c>
      <c r="DG12" s="626">
        <f t="shared" si="72"/>
        <v>0</v>
      </c>
      <c r="DH12" s="626">
        <f t="shared" si="73"/>
        <v>0</v>
      </c>
      <c r="DI12" s="626">
        <f t="shared" si="74"/>
        <v>1840</v>
      </c>
      <c r="DJ12" s="626">
        <f t="shared" si="75"/>
        <v>4720</v>
      </c>
      <c r="DK12" s="626">
        <f t="shared" si="76"/>
        <v>645</v>
      </c>
      <c r="DL12" s="626">
        <f t="shared" si="77"/>
        <v>0</v>
      </c>
      <c r="DM12" s="626">
        <f t="shared" si="78"/>
        <v>656</v>
      </c>
      <c r="DN12" s="626">
        <f t="shared" si="79"/>
        <v>0</v>
      </c>
      <c r="DO12" s="626">
        <f t="shared" si="80"/>
        <v>0</v>
      </c>
      <c r="DP12" s="1405">
        <f t="shared" si="81"/>
        <v>5805</v>
      </c>
      <c r="DQ12" s="1270">
        <f t="shared" si="82"/>
        <v>23.425925925925924</v>
      </c>
      <c r="DR12" s="1270">
        <f t="shared" si="83"/>
        <v>48.559670781893004</v>
      </c>
      <c r="DS12" s="1270">
        <f t="shared" si="84"/>
        <v>6.6358024691358031</v>
      </c>
      <c r="DT12" s="1270" t="str">
        <f t="shared" si="85"/>
        <v/>
      </c>
      <c r="DU12" s="1270">
        <f t="shared" si="86"/>
        <v>4.1759259259259256</v>
      </c>
      <c r="DV12" s="1270" t="str">
        <f t="shared" si="87"/>
        <v/>
      </c>
      <c r="DW12" s="1270" t="str">
        <f t="shared" si="88"/>
        <v/>
      </c>
      <c r="DX12" s="1371">
        <f t="shared" si="89"/>
        <v>-0.6162551440329338</v>
      </c>
      <c r="DY12" s="1270">
        <f t="shared" si="90"/>
        <v>345</v>
      </c>
      <c r="DZ12" s="1270">
        <f t="shared" si="91"/>
        <v>786.66666666666674</v>
      </c>
      <c r="EA12" s="1270">
        <f t="shared" si="92"/>
        <v>107.5</v>
      </c>
      <c r="EB12" s="1270" t="str">
        <f t="shared" si="93"/>
        <v/>
      </c>
      <c r="EC12" s="1270">
        <f t="shared" si="94"/>
        <v>61.5</v>
      </c>
      <c r="ED12" s="1270" t="str">
        <f t="shared" si="95"/>
        <v/>
      </c>
      <c r="EE12" s="1270" t="str">
        <f t="shared" si="96"/>
        <v/>
      </c>
      <c r="EF12" s="1371">
        <f t="shared" si="97"/>
        <v>1300.6666666666667</v>
      </c>
    </row>
    <row r="13" spans="1:136" ht="19.5" customHeight="1">
      <c r="A13" s="18" t="s">
        <v>1071</v>
      </c>
      <c r="B13" s="1385" t="s">
        <v>1556</v>
      </c>
      <c r="C13" s="1386"/>
      <c r="D13" s="1387">
        <v>4775</v>
      </c>
      <c r="E13" s="1388"/>
      <c r="F13" s="984">
        <v>4</v>
      </c>
      <c r="G13" s="1389">
        <v>1</v>
      </c>
      <c r="H13" s="984" t="s">
        <v>1302</v>
      </c>
      <c r="I13" s="1389">
        <v>1</v>
      </c>
      <c r="J13" s="984">
        <v>2</v>
      </c>
      <c r="K13" s="1390">
        <v>343</v>
      </c>
      <c r="L13" s="1391"/>
      <c r="M13" s="1392"/>
      <c r="N13" s="1393"/>
      <c r="O13" s="1394"/>
      <c r="P13" s="1351">
        <f t="shared" si="0"/>
        <v>4866.6335457351561</v>
      </c>
      <c r="Q13" s="1352">
        <f t="shared" si="1"/>
        <v>164.72203703703704</v>
      </c>
      <c r="R13" s="1353">
        <f t="shared" si="2"/>
        <v>12.83583352295048</v>
      </c>
      <c r="S13" s="1354">
        <f t="shared" si="3"/>
        <v>61291.10507208854</v>
      </c>
      <c r="T13" s="1355">
        <f t="shared" si="4"/>
        <v>83</v>
      </c>
      <c r="U13" s="1356">
        <f t="shared" si="5"/>
        <v>3195.3835457351561</v>
      </c>
      <c r="V13" s="1357">
        <f t="shared" si="6"/>
        <v>5.5553703703703832</v>
      </c>
      <c r="W13" s="1395">
        <v>9</v>
      </c>
      <c r="X13" s="1396">
        <v>83</v>
      </c>
      <c r="Y13" s="1395"/>
      <c r="Z13" s="1397"/>
      <c r="AA13" s="1395"/>
      <c r="AB13" s="1397"/>
      <c r="AC13" s="1398">
        <v>1</v>
      </c>
      <c r="AD13" s="1396">
        <v>343</v>
      </c>
      <c r="AE13" s="1395">
        <v>2</v>
      </c>
      <c r="AF13" s="1399">
        <v>690</v>
      </c>
      <c r="AG13" s="1400">
        <v>3</v>
      </c>
      <c r="AH13" s="1399">
        <v>51</v>
      </c>
      <c r="AI13" s="1401"/>
      <c r="AJ13" s="1396"/>
      <c r="AK13" s="1401">
        <v>5</v>
      </c>
      <c r="AL13" s="1399">
        <v>47</v>
      </c>
      <c r="AM13" s="1395"/>
      <c r="AN13" s="1402"/>
      <c r="AO13" s="1395"/>
      <c r="AP13" s="1397"/>
      <c r="AQ13" s="1275">
        <f t="shared" si="7"/>
        <v>28.988228204865884</v>
      </c>
      <c r="AR13" s="1369">
        <f t="shared" si="8"/>
        <v>3.2585185185185184</v>
      </c>
      <c r="AS13" s="1270" t="str">
        <f t="shared" si="9"/>
        <v/>
      </c>
      <c r="AT13" s="1270" t="str">
        <f t="shared" si="10"/>
        <v/>
      </c>
      <c r="AU13" s="1270">
        <f t="shared" si="11"/>
        <v>35.909135802469137</v>
      </c>
      <c r="AV13" s="1270">
        <f t="shared" si="12"/>
        <v>56.435185185185183</v>
      </c>
      <c r="AW13" s="1270">
        <f t="shared" si="13"/>
        <v>4.1712962962962967</v>
      </c>
      <c r="AX13" s="1270" t="str">
        <f t="shared" si="14"/>
        <v/>
      </c>
      <c r="AY13" s="1270">
        <f t="shared" si="15"/>
        <v>2.4602469135802467</v>
      </c>
      <c r="AZ13" s="1270" t="str">
        <f t="shared" si="16"/>
        <v/>
      </c>
      <c r="BA13" s="1270" t="str">
        <f t="shared" si="17"/>
        <v/>
      </c>
      <c r="BB13" s="1371">
        <f t="shared" si="18"/>
        <v>102.23438271604938</v>
      </c>
      <c r="BC13" s="1369">
        <f t="shared" si="19"/>
        <v>483.96083881406247</v>
      </c>
      <c r="BD13" s="1270" t="str">
        <f t="shared" si="20"/>
        <v/>
      </c>
      <c r="BE13" s="1270" t="str">
        <f t="shared" si="21"/>
        <v/>
      </c>
      <c r="BF13" s="1270">
        <f t="shared" si="22"/>
        <v>1307.5936683304687</v>
      </c>
      <c r="BG13" s="1270">
        <f t="shared" si="23"/>
        <v>2535.2375051953127</v>
      </c>
      <c r="BH13" s="1270">
        <f t="shared" si="24"/>
        <v>339.59209788281248</v>
      </c>
      <c r="BI13" s="1270" t="str">
        <f t="shared" si="25"/>
        <v/>
      </c>
      <c r="BJ13" s="1270">
        <f t="shared" si="26"/>
        <v>200.24943551250001</v>
      </c>
      <c r="BK13" s="1270" t="str">
        <f t="shared" si="27"/>
        <v/>
      </c>
      <c r="BL13" s="1270" t="str">
        <f t="shared" si="28"/>
        <v/>
      </c>
      <c r="BM13" s="1371">
        <f t="shared" si="29"/>
        <v>4866.6335457351561</v>
      </c>
      <c r="BN13" s="1372">
        <f t="shared" si="30"/>
        <v>4866.6335457351561</v>
      </c>
      <c r="BO13" s="1372">
        <f t="shared" si="31"/>
        <v>0</v>
      </c>
      <c r="BP13" s="1372">
        <f t="shared" si="32"/>
        <v>0</v>
      </c>
      <c r="BQ13" s="1374">
        <f t="shared" si="33"/>
        <v>1</v>
      </c>
      <c r="BR13" s="1251">
        <f t="shared" si="34"/>
        <v>0</v>
      </c>
      <c r="BS13" s="1403">
        <f t="shared" si="35"/>
        <v>164.72203703703704</v>
      </c>
      <c r="BT13" s="1372">
        <f t="shared" si="36"/>
        <v>0</v>
      </c>
      <c r="BU13" s="1372">
        <f t="shared" si="37"/>
        <v>0</v>
      </c>
      <c r="BV13" s="1372">
        <f t="shared" si="38"/>
        <v>0</v>
      </c>
      <c r="BW13" s="1372">
        <f t="shared" si="39"/>
        <v>0</v>
      </c>
      <c r="BX13" s="1372">
        <f t="shared" si="40"/>
        <v>0</v>
      </c>
      <c r="BY13" s="1372">
        <f t="shared" si="41"/>
        <v>0</v>
      </c>
      <c r="BZ13" s="1372">
        <f t="shared" si="42"/>
        <v>0</v>
      </c>
      <c r="CA13" s="1372">
        <f t="shared" si="43"/>
        <v>0</v>
      </c>
      <c r="CB13" s="1404">
        <f t="shared" si="44"/>
        <v>0</v>
      </c>
      <c r="CC13" s="1374">
        <f t="shared" si="98"/>
        <v>164.72203703703704</v>
      </c>
      <c r="CD13" s="1374">
        <f t="shared" si="45"/>
        <v>4775</v>
      </c>
      <c r="CE13" s="1374">
        <f t="shared" si="46"/>
        <v>343</v>
      </c>
      <c r="CF13" s="1378">
        <f t="shared" si="47"/>
        <v>83</v>
      </c>
      <c r="CG13" s="1378">
        <f t="shared" si="48"/>
        <v>0</v>
      </c>
      <c r="CH13" s="1378">
        <f t="shared" si="49"/>
        <v>0</v>
      </c>
      <c r="CI13" s="1374">
        <f t="shared" si="50"/>
        <v>4775</v>
      </c>
      <c r="CJ13" s="1374">
        <f t="shared" si="51"/>
        <v>29.47530864197531</v>
      </c>
      <c r="CK13" s="1374" t="str">
        <f t="shared" si="52"/>
        <v/>
      </c>
      <c r="CL13" s="1374">
        <f t="shared" si="53"/>
        <v>4866.6335457351561</v>
      </c>
      <c r="CM13" s="1379">
        <f t="shared" si="54"/>
        <v>53296.613106163953</v>
      </c>
      <c r="CN13" s="628">
        <f>(BS13*Pricing!F$3+BT13*Pricing!G$3+BU13*Pricing!H$3+BV13*Pricing!I$3+BW13*Pricing!J$3+BX13*Pricing!K$3+BY13*Pricing!L$3+BZ13*Pricing!M$3+CA13*Pricing!N$3+CB13*Pricing!O$3)*IF(W$44="N",(1+Y$44),1)</f>
        <v>23893.75508240741</v>
      </c>
      <c r="CO13" s="628">
        <f t="shared" si="55"/>
        <v>3160.8784879549835</v>
      </c>
      <c r="CP13" s="1380">
        <f t="shared" si="56"/>
        <v>0</v>
      </c>
      <c r="CQ13" s="628">
        <f t="shared" si="57"/>
        <v>8833.75</v>
      </c>
      <c r="CR13" s="628">
        <f t="shared" si="58"/>
        <v>664</v>
      </c>
      <c r="CS13" s="628"/>
      <c r="CT13" s="1381">
        <f t="shared" si="59"/>
        <v>639.07670914703124</v>
      </c>
      <c r="CU13" s="628">
        <f t="shared" si="60"/>
        <v>0</v>
      </c>
      <c r="CV13" s="628">
        <f t="shared" si="61"/>
        <v>1514.5703124999998</v>
      </c>
      <c r="CW13" s="628">
        <f t="shared" si="62"/>
        <v>3823.9998378856076</v>
      </c>
      <c r="CX13" s="628">
        <f t="shared" si="63"/>
        <v>2569.1613323661177</v>
      </c>
      <c r="CY13" s="628">
        <f t="shared" si="64"/>
        <v>2686.0476065349458</v>
      </c>
      <c r="CZ13" s="628">
        <f t="shared" si="65"/>
        <v>320.10132224440213</v>
      </c>
      <c r="DA13" s="628">
        <f t="shared" si="66"/>
        <v>4393.5968750000002</v>
      </c>
      <c r="DB13" s="628">
        <f t="shared" si="67"/>
        <v>0</v>
      </c>
      <c r="DC13" s="628">
        <f t="shared" si="68"/>
        <v>0</v>
      </c>
      <c r="DD13" s="628">
        <f t="shared" si="69"/>
        <v>797.67554012345693</v>
      </c>
      <c r="DE13" s="1382">
        <f t="shared" si="70"/>
        <v>0</v>
      </c>
      <c r="DF13" s="626">
        <f t="shared" si="71"/>
        <v>166</v>
      </c>
      <c r="DG13" s="626">
        <f t="shared" si="72"/>
        <v>0</v>
      </c>
      <c r="DH13" s="626">
        <f t="shared" si="73"/>
        <v>0</v>
      </c>
      <c r="DI13" s="626">
        <f t="shared" si="74"/>
        <v>1829.3333333333333</v>
      </c>
      <c r="DJ13" s="626">
        <f t="shared" si="75"/>
        <v>3450</v>
      </c>
      <c r="DK13" s="626">
        <f t="shared" si="76"/>
        <v>255</v>
      </c>
      <c r="DL13" s="626">
        <f t="shared" si="77"/>
        <v>0</v>
      </c>
      <c r="DM13" s="626">
        <f t="shared" si="78"/>
        <v>250.66666666666666</v>
      </c>
      <c r="DN13" s="626">
        <f t="shared" si="79"/>
        <v>0</v>
      </c>
      <c r="DO13" s="626">
        <f t="shared" si="80"/>
        <v>0</v>
      </c>
      <c r="DP13" s="1405">
        <f t="shared" si="81"/>
        <v>4775</v>
      </c>
      <c r="DQ13" s="1270">
        <f t="shared" si="82"/>
        <v>23.290123456790123</v>
      </c>
      <c r="DR13" s="1270">
        <f t="shared" si="83"/>
        <v>35.493827160493829</v>
      </c>
      <c r="DS13" s="1270">
        <f t="shared" si="84"/>
        <v>2.6234567901234569</v>
      </c>
      <c r="DT13" s="1270" t="str">
        <f t="shared" si="85"/>
        <v/>
      </c>
      <c r="DU13" s="1270">
        <f t="shared" si="86"/>
        <v>1.595679012345679</v>
      </c>
      <c r="DV13" s="1270" t="str">
        <f t="shared" si="87"/>
        <v/>
      </c>
      <c r="DW13" s="1270" t="str">
        <f t="shared" si="88"/>
        <v/>
      </c>
      <c r="DX13" s="1371">
        <f t="shared" si="89"/>
        <v>-7.2006172839506277</v>
      </c>
      <c r="DY13" s="1270">
        <f t="shared" si="90"/>
        <v>343</v>
      </c>
      <c r="DZ13" s="1270">
        <f t="shared" si="91"/>
        <v>575</v>
      </c>
      <c r="EA13" s="1270">
        <f t="shared" si="92"/>
        <v>42.5</v>
      </c>
      <c r="EB13" s="1270" t="str">
        <f t="shared" si="93"/>
        <v/>
      </c>
      <c r="EC13" s="1270">
        <f t="shared" si="94"/>
        <v>23.5</v>
      </c>
      <c r="ED13" s="1270" t="str">
        <f t="shared" si="95"/>
        <v/>
      </c>
      <c r="EE13" s="1270" t="str">
        <f t="shared" si="96"/>
        <v/>
      </c>
      <c r="EF13" s="1371">
        <f t="shared" si="97"/>
        <v>984</v>
      </c>
    </row>
    <row r="14" spans="1:136" ht="19.5" customHeight="1">
      <c r="A14" s="18" t="s">
        <v>1072</v>
      </c>
      <c r="B14" s="1341" t="s">
        <v>1557</v>
      </c>
      <c r="C14" s="1386"/>
      <c r="D14" s="1343">
        <v>5503</v>
      </c>
      <c r="E14" s="1344"/>
      <c r="F14" s="984">
        <v>4</v>
      </c>
      <c r="G14" s="1389">
        <v>1</v>
      </c>
      <c r="H14" s="984" t="s">
        <v>1302</v>
      </c>
      <c r="I14" s="1389">
        <v>1</v>
      </c>
      <c r="J14" s="984">
        <v>2</v>
      </c>
      <c r="K14" s="1390">
        <v>357</v>
      </c>
      <c r="L14" s="1359"/>
      <c r="M14" s="1348"/>
      <c r="N14" s="1406"/>
      <c r="O14" s="1407"/>
      <c r="P14" s="1351">
        <f t="shared" si="0"/>
        <v>5207.8499564437507</v>
      </c>
      <c r="Q14" s="1352">
        <f t="shared" si="1"/>
        <v>182.18586419753086</v>
      </c>
      <c r="R14" s="1353">
        <f t="shared" si="2"/>
        <v>12.441427511483274</v>
      </c>
      <c r="S14" s="1354">
        <f t="shared" si="3"/>
        <v>68465.175595692461</v>
      </c>
      <c r="T14" s="1355">
        <f t="shared" si="4"/>
        <v>41</v>
      </c>
      <c r="U14" s="1356">
        <f t="shared" si="5"/>
        <v>3281.7999564437505</v>
      </c>
      <c r="V14" s="1357">
        <f t="shared" si="6"/>
        <v>0</v>
      </c>
      <c r="W14" s="503">
        <v>9</v>
      </c>
      <c r="X14" s="1362">
        <v>41</v>
      </c>
      <c r="Y14" s="503"/>
      <c r="Z14" s="1410"/>
      <c r="AA14" s="503"/>
      <c r="AB14" s="1410"/>
      <c r="AC14" s="1361">
        <v>1</v>
      </c>
      <c r="AD14" s="1362">
        <v>357</v>
      </c>
      <c r="AE14" s="1347">
        <v>2</v>
      </c>
      <c r="AF14" s="1363">
        <v>733</v>
      </c>
      <c r="AG14" s="1364">
        <v>3</v>
      </c>
      <c r="AH14" s="1363">
        <v>106</v>
      </c>
      <c r="AI14" s="1365"/>
      <c r="AJ14" s="1366"/>
      <c r="AK14" s="1367">
        <v>5</v>
      </c>
      <c r="AL14" s="1363">
        <v>49</v>
      </c>
      <c r="AM14" s="503"/>
      <c r="AN14" s="1411"/>
      <c r="AO14" s="503"/>
      <c r="AP14" s="1410"/>
      <c r="AQ14" s="1275">
        <f t="shared" si="7"/>
        <v>30.205417002240623</v>
      </c>
      <c r="AR14" s="1369">
        <f t="shared" si="8"/>
        <v>1.6096296296296295</v>
      </c>
      <c r="AS14" s="1270" t="str">
        <f t="shared" si="9"/>
        <v/>
      </c>
      <c r="AT14" s="1270" t="str">
        <f t="shared" si="10"/>
        <v/>
      </c>
      <c r="AU14" s="1270">
        <f t="shared" si="11"/>
        <v>37.374814814814812</v>
      </c>
      <c r="AV14" s="1270">
        <f t="shared" si="12"/>
        <v>59.952160493827165</v>
      </c>
      <c r="AW14" s="1270">
        <f t="shared" si="13"/>
        <v>8.6697530864197532</v>
      </c>
      <c r="AX14" s="1270" t="str">
        <f t="shared" si="14"/>
        <v/>
      </c>
      <c r="AY14" s="1270">
        <f t="shared" si="15"/>
        <v>2.5649382716049383</v>
      </c>
      <c r="AZ14" s="1270" t="str">
        <f t="shared" si="16"/>
        <v/>
      </c>
      <c r="BA14" s="1270" t="str">
        <f t="shared" si="17"/>
        <v/>
      </c>
      <c r="BB14" s="1371">
        <f t="shared" si="18"/>
        <v>110.1712962962963</v>
      </c>
      <c r="BC14" s="1369">
        <f t="shared" si="19"/>
        <v>239.06499266718748</v>
      </c>
      <c r="BD14" s="1270" t="str">
        <f t="shared" si="20"/>
        <v/>
      </c>
      <c r="BE14" s="1270" t="str">
        <f t="shared" si="21"/>
        <v/>
      </c>
      <c r="BF14" s="1270">
        <f t="shared" si="22"/>
        <v>1360.9648384664063</v>
      </c>
      <c r="BG14" s="1270">
        <f t="shared" si="23"/>
        <v>2693.2305671132813</v>
      </c>
      <c r="BH14" s="1270">
        <f t="shared" si="24"/>
        <v>705.81887010937498</v>
      </c>
      <c r="BI14" s="1270" t="str">
        <f t="shared" si="25"/>
        <v/>
      </c>
      <c r="BJ14" s="1270">
        <f t="shared" si="26"/>
        <v>208.77068808749999</v>
      </c>
      <c r="BK14" s="1270" t="str">
        <f t="shared" si="27"/>
        <v/>
      </c>
      <c r="BL14" s="1270" t="str">
        <f t="shared" si="28"/>
        <v/>
      </c>
      <c r="BM14" s="1371">
        <f t="shared" si="29"/>
        <v>5207.8499564437507</v>
      </c>
      <c r="BN14" s="1372">
        <f t="shared" si="30"/>
        <v>5207.8499564437507</v>
      </c>
      <c r="BO14" s="1372">
        <f t="shared" si="31"/>
        <v>0</v>
      </c>
      <c r="BP14" s="1372">
        <f t="shared" si="32"/>
        <v>0</v>
      </c>
      <c r="BQ14" s="1374">
        <f t="shared" si="33"/>
        <v>1</v>
      </c>
      <c r="BR14" s="1251">
        <f t="shared" si="34"/>
        <v>0</v>
      </c>
      <c r="BS14" s="1403">
        <f t="shared" si="35"/>
        <v>182.18586419753086</v>
      </c>
      <c r="BT14" s="1372">
        <f t="shared" si="36"/>
        <v>0</v>
      </c>
      <c r="BU14" s="1372">
        <f t="shared" si="37"/>
        <v>0</v>
      </c>
      <c r="BV14" s="1372">
        <f t="shared" si="38"/>
        <v>0</v>
      </c>
      <c r="BW14" s="1372">
        <f t="shared" si="39"/>
        <v>0</v>
      </c>
      <c r="BX14" s="1372">
        <f t="shared" si="40"/>
        <v>0</v>
      </c>
      <c r="BY14" s="1372">
        <f t="shared" si="41"/>
        <v>0</v>
      </c>
      <c r="BZ14" s="1372">
        <f t="shared" si="42"/>
        <v>0</v>
      </c>
      <c r="CA14" s="1372">
        <f t="shared" si="43"/>
        <v>0</v>
      </c>
      <c r="CB14" s="1404">
        <f t="shared" si="44"/>
        <v>0</v>
      </c>
      <c r="CC14" s="1374">
        <f t="shared" si="98"/>
        <v>182.18586419753086</v>
      </c>
      <c r="CD14" s="1374">
        <f t="shared" si="45"/>
        <v>5503</v>
      </c>
      <c r="CE14" s="1374">
        <f t="shared" si="46"/>
        <v>357</v>
      </c>
      <c r="CF14" s="1378">
        <f t="shared" si="47"/>
        <v>41</v>
      </c>
      <c r="CG14" s="1378">
        <f t="shared" si="48"/>
        <v>0</v>
      </c>
      <c r="CH14" s="1378">
        <f t="shared" si="49"/>
        <v>0</v>
      </c>
      <c r="CI14" s="1374">
        <f t="shared" si="50"/>
        <v>5503</v>
      </c>
      <c r="CJ14" s="1374">
        <f t="shared" si="51"/>
        <v>33.969135802469133</v>
      </c>
      <c r="CK14" s="1374" t="str">
        <f t="shared" si="52"/>
        <v/>
      </c>
      <c r="CL14" s="1374">
        <f t="shared" si="53"/>
        <v>5207.8499564437507</v>
      </c>
      <c r="CM14" s="1379">
        <f t="shared" si="54"/>
        <v>59534.935300602148</v>
      </c>
      <c r="CN14" s="628">
        <f>(BS14*Pricing!F$3+BT14*Pricing!G$3+BU14*Pricing!H$3+BV14*Pricing!I$3+BW14*Pricing!J$3+BX14*Pricing!K$3+BY14*Pricing!L$3+BZ14*Pricing!M$3+CA14*Pricing!N$3+CB14*Pricing!O$3)*IF(W$44="N",(1+Y$44),1)</f>
        <v>26426.970531172839</v>
      </c>
      <c r="CO14" s="628">
        <f t="shared" si="55"/>
        <v>3382.498546710216</v>
      </c>
      <c r="CP14" s="1380">
        <f t="shared" si="56"/>
        <v>0</v>
      </c>
      <c r="CQ14" s="628">
        <f t="shared" si="57"/>
        <v>10180.549999999999</v>
      </c>
      <c r="CR14" s="628">
        <f t="shared" si="58"/>
        <v>328</v>
      </c>
      <c r="CS14" s="628"/>
      <c r="CT14" s="1381">
        <f t="shared" si="59"/>
        <v>656.35999128875005</v>
      </c>
      <c r="CU14" s="628">
        <f t="shared" si="60"/>
        <v>0</v>
      </c>
      <c r="CV14" s="628">
        <f t="shared" si="61"/>
        <v>1745.4828124999997</v>
      </c>
      <c r="CW14" s="628">
        <f t="shared" si="62"/>
        <v>4407.0096561014661</v>
      </c>
      <c r="CX14" s="628">
        <f t="shared" si="63"/>
        <v>2960.8575522535593</v>
      </c>
      <c r="CY14" s="628">
        <f t="shared" si="64"/>
        <v>3095.5643934579698</v>
      </c>
      <c r="CZ14" s="628">
        <f t="shared" si="65"/>
        <v>368.90420446302511</v>
      </c>
      <c r="DA14" s="628">
        <f t="shared" si="66"/>
        <v>5063.4478749999998</v>
      </c>
      <c r="DB14" s="628">
        <f t="shared" si="67"/>
        <v>0</v>
      </c>
      <c r="DC14" s="628">
        <f t="shared" si="68"/>
        <v>0</v>
      </c>
      <c r="DD14" s="628">
        <f t="shared" si="69"/>
        <v>919.2897376543209</v>
      </c>
      <c r="DE14" s="1382">
        <f t="shared" si="70"/>
        <v>0</v>
      </c>
      <c r="DF14" s="626">
        <f t="shared" si="71"/>
        <v>82</v>
      </c>
      <c r="DG14" s="626">
        <f t="shared" si="72"/>
        <v>0</v>
      </c>
      <c r="DH14" s="626">
        <f t="shared" si="73"/>
        <v>0</v>
      </c>
      <c r="DI14" s="626">
        <f t="shared" si="74"/>
        <v>1904</v>
      </c>
      <c r="DJ14" s="626">
        <f t="shared" si="75"/>
        <v>3665</v>
      </c>
      <c r="DK14" s="626">
        <f t="shared" si="76"/>
        <v>530</v>
      </c>
      <c r="DL14" s="626">
        <f t="shared" si="77"/>
        <v>0</v>
      </c>
      <c r="DM14" s="626">
        <f t="shared" si="78"/>
        <v>261.33333333333331</v>
      </c>
      <c r="DN14" s="626">
        <f t="shared" si="79"/>
        <v>0</v>
      </c>
      <c r="DO14" s="626">
        <f t="shared" si="80"/>
        <v>0</v>
      </c>
      <c r="DP14" s="1405">
        <f t="shared" si="81"/>
        <v>5503</v>
      </c>
      <c r="DQ14" s="1270">
        <f t="shared" si="82"/>
        <v>24.24074074074074</v>
      </c>
      <c r="DR14" s="1270">
        <f t="shared" si="83"/>
        <v>37.705761316872426</v>
      </c>
      <c r="DS14" s="1270">
        <f t="shared" si="84"/>
        <v>5.4526748971193415</v>
      </c>
      <c r="DT14" s="1270" t="str">
        <f t="shared" si="85"/>
        <v/>
      </c>
      <c r="DU14" s="1270">
        <f t="shared" si="86"/>
        <v>1.6635802469135801</v>
      </c>
      <c r="DV14" s="1270" t="str">
        <f t="shared" si="87"/>
        <v/>
      </c>
      <c r="DW14" s="1270" t="str">
        <f t="shared" si="88"/>
        <v/>
      </c>
      <c r="DX14" s="1371">
        <f t="shared" si="89"/>
        <v>-12.83230452674897</v>
      </c>
      <c r="DY14" s="1270">
        <f t="shared" si="90"/>
        <v>357</v>
      </c>
      <c r="DZ14" s="1270">
        <f t="shared" si="91"/>
        <v>610.83333333333337</v>
      </c>
      <c r="EA14" s="1270">
        <f t="shared" si="92"/>
        <v>88.333333333333343</v>
      </c>
      <c r="EB14" s="1270" t="str">
        <f t="shared" si="93"/>
        <v/>
      </c>
      <c r="EC14" s="1270">
        <f t="shared" si="94"/>
        <v>24.5</v>
      </c>
      <c r="ED14" s="1270" t="str">
        <f t="shared" si="95"/>
        <v/>
      </c>
      <c r="EE14" s="1270" t="str">
        <f t="shared" si="96"/>
        <v/>
      </c>
      <c r="EF14" s="1371">
        <f t="shared" si="97"/>
        <v>1080.6666666666667</v>
      </c>
    </row>
    <row r="15" spans="1:136" ht="19.5" customHeight="1">
      <c r="A15" s="18" t="s">
        <v>1073</v>
      </c>
      <c r="B15" s="1385" t="s">
        <v>1558</v>
      </c>
      <c r="C15" s="1386"/>
      <c r="D15" s="1387">
        <v>3478</v>
      </c>
      <c r="E15" s="1388"/>
      <c r="F15" s="984">
        <v>4</v>
      </c>
      <c r="G15" s="1389">
        <v>1</v>
      </c>
      <c r="H15" s="984" t="s">
        <v>1302</v>
      </c>
      <c r="I15" s="1389">
        <v>1</v>
      </c>
      <c r="J15" s="984">
        <v>2</v>
      </c>
      <c r="K15" s="1390">
        <v>344</v>
      </c>
      <c r="L15" s="1391"/>
      <c r="M15" s="1392"/>
      <c r="N15" s="1393"/>
      <c r="O15" s="1394"/>
      <c r="P15" s="1351">
        <f t="shared" si="0"/>
        <v>4872.1986654257817</v>
      </c>
      <c r="Q15" s="1352">
        <f t="shared" si="1"/>
        <v>133.9624074074074</v>
      </c>
      <c r="R15" s="1353">
        <f t="shared" si="2"/>
        <v>14.288142293093891</v>
      </c>
      <c r="S15" s="1354">
        <f t="shared" si="3"/>
        <v>49694.158895380555</v>
      </c>
      <c r="T15" s="1355">
        <f t="shared" si="4"/>
        <v>215</v>
      </c>
      <c r="U15" s="1356">
        <f t="shared" si="5"/>
        <v>3654.8986654257815</v>
      </c>
      <c r="V15" s="1357">
        <f t="shared" si="6"/>
        <v>18.02907407407406</v>
      </c>
      <c r="W15" s="1395">
        <v>9</v>
      </c>
      <c r="X15" s="1396">
        <v>215</v>
      </c>
      <c r="Y15" s="503"/>
      <c r="Z15" s="1410"/>
      <c r="AA15" s="503"/>
      <c r="AB15" s="1410"/>
      <c r="AC15" s="1398">
        <v>1</v>
      </c>
      <c r="AD15" s="1396">
        <v>344</v>
      </c>
      <c r="AE15" s="1395">
        <v>2</v>
      </c>
      <c r="AF15" s="1399">
        <v>427</v>
      </c>
      <c r="AG15" s="1400">
        <v>3</v>
      </c>
      <c r="AH15" s="1399">
        <v>68</v>
      </c>
      <c r="AI15" s="1401"/>
      <c r="AJ15" s="1396"/>
      <c r="AK15" s="1412">
        <v>5</v>
      </c>
      <c r="AL15" s="1399">
        <v>67</v>
      </c>
      <c r="AM15" s="503"/>
      <c r="AN15" s="1411"/>
      <c r="AO15" s="503"/>
      <c r="AP15" s="1410"/>
      <c r="AQ15" s="1275">
        <f t="shared" si="7"/>
        <v>25.962507447501167</v>
      </c>
      <c r="AR15" s="1369">
        <f t="shared" si="8"/>
        <v>8.4407407407407398</v>
      </c>
      <c r="AS15" s="1270" t="str">
        <f t="shared" si="9"/>
        <v/>
      </c>
      <c r="AT15" s="1270" t="str">
        <f t="shared" si="10"/>
        <v/>
      </c>
      <c r="AU15" s="1270">
        <f t="shared" si="11"/>
        <v>36.013827160493825</v>
      </c>
      <c r="AV15" s="1270">
        <f t="shared" si="12"/>
        <v>34.924382716049386</v>
      </c>
      <c r="AW15" s="1270">
        <f t="shared" si="13"/>
        <v>5.5617283950617287</v>
      </c>
      <c r="AX15" s="1270" t="str">
        <f t="shared" si="14"/>
        <v/>
      </c>
      <c r="AY15" s="1270">
        <f t="shared" si="15"/>
        <v>3.5071604938271603</v>
      </c>
      <c r="AZ15" s="1270" t="str">
        <f t="shared" si="16"/>
        <v/>
      </c>
      <c r="BA15" s="1270" t="str">
        <f t="shared" si="17"/>
        <v/>
      </c>
      <c r="BB15" s="1371">
        <f t="shared" si="18"/>
        <v>88.447839506172841</v>
      </c>
      <c r="BC15" s="1369">
        <f t="shared" si="19"/>
        <v>1253.6334981328125</v>
      </c>
      <c r="BD15" s="1270" t="str">
        <f t="shared" si="20"/>
        <v/>
      </c>
      <c r="BE15" s="1270" t="str">
        <f t="shared" si="21"/>
        <v/>
      </c>
      <c r="BF15" s="1270">
        <f t="shared" si="22"/>
        <v>1311.4058947687499</v>
      </c>
      <c r="BG15" s="1270">
        <f t="shared" si="23"/>
        <v>1568.9078474179687</v>
      </c>
      <c r="BH15" s="1270">
        <f t="shared" si="24"/>
        <v>452.78946384375001</v>
      </c>
      <c r="BI15" s="1270" t="str">
        <f t="shared" si="25"/>
        <v/>
      </c>
      <c r="BJ15" s="1270">
        <f t="shared" si="26"/>
        <v>285.46196126249998</v>
      </c>
      <c r="BK15" s="1270" t="str">
        <f t="shared" si="27"/>
        <v/>
      </c>
      <c r="BL15" s="1270" t="str">
        <f t="shared" si="28"/>
        <v/>
      </c>
      <c r="BM15" s="1371">
        <f t="shared" si="29"/>
        <v>4872.1986654257817</v>
      </c>
      <c r="BN15" s="1372">
        <f t="shared" si="30"/>
        <v>4872.1986654257817</v>
      </c>
      <c r="BO15" s="1372">
        <f t="shared" si="31"/>
        <v>0</v>
      </c>
      <c r="BP15" s="1372">
        <f t="shared" si="32"/>
        <v>0</v>
      </c>
      <c r="BQ15" s="1374">
        <f t="shared" si="33"/>
        <v>1</v>
      </c>
      <c r="BR15" s="1251">
        <f t="shared" si="34"/>
        <v>0</v>
      </c>
      <c r="BS15" s="1403">
        <f t="shared" si="35"/>
        <v>133.9624074074074</v>
      </c>
      <c r="BT15" s="1372">
        <f t="shared" si="36"/>
        <v>0</v>
      </c>
      <c r="BU15" s="1372">
        <f t="shared" si="37"/>
        <v>0</v>
      </c>
      <c r="BV15" s="1372">
        <f t="shared" si="38"/>
        <v>0</v>
      </c>
      <c r="BW15" s="1372">
        <f t="shared" si="39"/>
        <v>0</v>
      </c>
      <c r="BX15" s="1372">
        <f t="shared" si="40"/>
        <v>0</v>
      </c>
      <c r="BY15" s="1372">
        <f t="shared" si="41"/>
        <v>0</v>
      </c>
      <c r="BZ15" s="1372">
        <f t="shared" si="42"/>
        <v>0</v>
      </c>
      <c r="CA15" s="1372">
        <f t="shared" si="43"/>
        <v>0</v>
      </c>
      <c r="CB15" s="1404">
        <f t="shared" si="44"/>
        <v>0</v>
      </c>
      <c r="CC15" s="1374">
        <f t="shared" si="98"/>
        <v>133.9624074074074</v>
      </c>
      <c r="CD15" s="1374">
        <f t="shared" si="45"/>
        <v>3478</v>
      </c>
      <c r="CE15" s="1374">
        <f t="shared" si="46"/>
        <v>344</v>
      </c>
      <c r="CF15" s="1378">
        <f t="shared" si="47"/>
        <v>215</v>
      </c>
      <c r="CG15" s="1378">
        <f t="shared" si="48"/>
        <v>0</v>
      </c>
      <c r="CH15" s="1378">
        <f t="shared" si="49"/>
        <v>0</v>
      </c>
      <c r="CI15" s="1374">
        <f t="shared" si="50"/>
        <v>3478</v>
      </c>
      <c r="CJ15" s="1374">
        <f t="shared" si="51"/>
        <v>21.469135802469136</v>
      </c>
      <c r="CK15" s="1374" t="str">
        <f t="shared" si="52"/>
        <v/>
      </c>
      <c r="CL15" s="1374">
        <f t="shared" si="53"/>
        <v>4872.1986654257817</v>
      </c>
      <c r="CM15" s="1379">
        <f t="shared" si="54"/>
        <v>43212.312082939614</v>
      </c>
      <c r="CN15" s="628">
        <f>(BS15*Pricing!F$3+BT15*Pricing!G$3+BU15*Pricing!H$3+BV15*Pricing!I$3+BW15*Pricing!J$3+BX15*Pricing!K$3+BY15*Pricing!L$3+BZ15*Pricing!M$3+CA15*Pricing!N$3+CB15*Pricing!O$3)*IF(W$44="N",(1+Y$44),1)</f>
        <v>19431.917006481479</v>
      </c>
      <c r="CO15" s="628">
        <f t="shared" si="55"/>
        <v>3164.493033194045</v>
      </c>
      <c r="CP15" s="1380">
        <f t="shared" si="56"/>
        <v>0</v>
      </c>
      <c r="CQ15" s="628">
        <f t="shared" si="57"/>
        <v>6434.3</v>
      </c>
      <c r="CR15" s="628">
        <f t="shared" si="58"/>
        <v>1720</v>
      </c>
      <c r="CS15" s="628"/>
      <c r="CT15" s="1381">
        <f t="shared" si="59"/>
        <v>730.97973308515623</v>
      </c>
      <c r="CU15" s="628">
        <f t="shared" si="60"/>
        <v>0</v>
      </c>
      <c r="CV15" s="628">
        <f t="shared" si="61"/>
        <v>1103.1781249999999</v>
      </c>
      <c r="CW15" s="628">
        <f t="shared" si="62"/>
        <v>2785.3133897730145</v>
      </c>
      <c r="CX15" s="628">
        <f t="shared" si="63"/>
        <v>1871.3179296270905</v>
      </c>
      <c r="CY15" s="628">
        <f t="shared" si="64"/>
        <v>1956.4551990635689</v>
      </c>
      <c r="CZ15" s="628">
        <f t="shared" si="65"/>
        <v>233.15442906094879</v>
      </c>
      <c r="DA15" s="628">
        <f t="shared" si="66"/>
        <v>3200.1947500000001</v>
      </c>
      <c r="DB15" s="628">
        <f t="shared" si="67"/>
        <v>0</v>
      </c>
      <c r="DC15" s="628">
        <f t="shared" si="68"/>
        <v>0</v>
      </c>
      <c r="DD15" s="628">
        <f t="shared" si="69"/>
        <v>581.00848765432102</v>
      </c>
      <c r="DE15" s="1382">
        <f t="shared" si="70"/>
        <v>0</v>
      </c>
      <c r="DF15" s="626">
        <f t="shared" si="71"/>
        <v>430</v>
      </c>
      <c r="DG15" s="626">
        <f t="shared" si="72"/>
        <v>0</v>
      </c>
      <c r="DH15" s="626">
        <f t="shared" si="73"/>
        <v>0</v>
      </c>
      <c r="DI15" s="626">
        <f t="shared" si="74"/>
        <v>1834.6666666666665</v>
      </c>
      <c r="DJ15" s="626">
        <f t="shared" si="75"/>
        <v>2135</v>
      </c>
      <c r="DK15" s="626">
        <f t="shared" si="76"/>
        <v>340</v>
      </c>
      <c r="DL15" s="626">
        <f t="shared" si="77"/>
        <v>0</v>
      </c>
      <c r="DM15" s="626">
        <f t="shared" si="78"/>
        <v>357.33333333333331</v>
      </c>
      <c r="DN15" s="626">
        <f t="shared" si="79"/>
        <v>0</v>
      </c>
      <c r="DO15" s="626">
        <f t="shared" si="80"/>
        <v>0</v>
      </c>
      <c r="DP15" s="1405">
        <f t="shared" si="81"/>
        <v>3478</v>
      </c>
      <c r="DQ15" s="1270">
        <f t="shared" si="82"/>
        <v>23.358024691358022</v>
      </c>
      <c r="DR15" s="1270">
        <f t="shared" si="83"/>
        <v>21.965020576131689</v>
      </c>
      <c r="DS15" s="1270">
        <f t="shared" si="84"/>
        <v>3.497942386831276</v>
      </c>
      <c r="DT15" s="1270" t="str">
        <f t="shared" si="85"/>
        <v/>
      </c>
      <c r="DU15" s="1270">
        <f t="shared" si="86"/>
        <v>2.274691358024691</v>
      </c>
      <c r="DV15" s="1270" t="str">
        <f t="shared" si="87"/>
        <v/>
      </c>
      <c r="DW15" s="1270" t="str">
        <f t="shared" si="88"/>
        <v/>
      </c>
      <c r="DX15" s="1371">
        <f t="shared" si="89"/>
        <v>1.3179012345678984</v>
      </c>
      <c r="DY15" s="1270">
        <f t="shared" si="90"/>
        <v>344</v>
      </c>
      <c r="DZ15" s="1270">
        <f t="shared" si="91"/>
        <v>355.83333333333337</v>
      </c>
      <c r="EA15" s="1270">
        <f t="shared" si="92"/>
        <v>56.666666666666671</v>
      </c>
      <c r="EB15" s="1270" t="str">
        <f t="shared" si="93"/>
        <v/>
      </c>
      <c r="EC15" s="1270">
        <f t="shared" si="94"/>
        <v>33.5</v>
      </c>
      <c r="ED15" s="1270" t="str">
        <f t="shared" si="95"/>
        <v/>
      </c>
      <c r="EE15" s="1270" t="str">
        <f t="shared" si="96"/>
        <v/>
      </c>
      <c r="EF15" s="1371">
        <f t="shared" si="97"/>
        <v>790</v>
      </c>
    </row>
    <row r="16" spans="1:136" ht="18" customHeight="1">
      <c r="A16" s="18" t="s">
        <v>1074</v>
      </c>
      <c r="B16" s="1341" t="s">
        <v>1559</v>
      </c>
      <c r="C16" s="1342"/>
      <c r="D16" s="1343">
        <v>3875</v>
      </c>
      <c r="E16" s="1344"/>
      <c r="F16" s="984">
        <v>4</v>
      </c>
      <c r="G16" s="1389">
        <v>1</v>
      </c>
      <c r="H16" s="984" t="s">
        <v>1302</v>
      </c>
      <c r="I16" s="1389">
        <v>1</v>
      </c>
      <c r="J16" s="984">
        <v>2</v>
      </c>
      <c r="K16" s="1346">
        <v>285</v>
      </c>
      <c r="L16" s="503"/>
      <c r="M16" s="834"/>
      <c r="N16" s="1349"/>
      <c r="O16" s="1350"/>
      <c r="P16" s="1351">
        <f t="shared" si="0"/>
        <v>4089.4484595679687</v>
      </c>
      <c r="Q16" s="1352">
        <f t="shared" si="1"/>
        <v>135.05839506172839</v>
      </c>
      <c r="R16" s="1353">
        <f t="shared" si="2"/>
        <v>12.989215455933095</v>
      </c>
      <c r="S16" s="1354">
        <f t="shared" si="3"/>
        <v>50333.209891740742</v>
      </c>
      <c r="T16" s="1355">
        <f t="shared" si="4"/>
        <v>92</v>
      </c>
      <c r="U16" s="1356">
        <f t="shared" si="5"/>
        <v>2733.1984595679687</v>
      </c>
      <c r="V16" s="1357">
        <f t="shared" si="6"/>
        <v>5.8917283950617332</v>
      </c>
      <c r="W16" s="503">
        <v>9</v>
      </c>
      <c r="X16" s="1362">
        <v>92</v>
      </c>
      <c r="Y16" s="1347"/>
      <c r="Z16" s="1360"/>
      <c r="AA16" s="1347"/>
      <c r="AB16" s="1360"/>
      <c r="AC16" s="1361">
        <v>1</v>
      </c>
      <c r="AD16" s="1362">
        <v>285</v>
      </c>
      <c r="AE16" s="1347">
        <v>2</v>
      </c>
      <c r="AF16" s="1363">
        <v>562</v>
      </c>
      <c r="AG16" s="1364">
        <v>3</v>
      </c>
      <c r="AH16" s="1363">
        <v>20</v>
      </c>
      <c r="AI16" s="1365"/>
      <c r="AJ16" s="1366"/>
      <c r="AK16" s="1367">
        <v>5</v>
      </c>
      <c r="AL16" s="1363">
        <v>63</v>
      </c>
      <c r="AM16" s="1347"/>
      <c r="AN16" s="1368"/>
      <c r="AO16" s="1347"/>
      <c r="AP16" s="1360"/>
      <c r="AQ16" s="1275">
        <f t="shared" si="7"/>
        <v>28.691293112352867</v>
      </c>
      <c r="AR16" s="1369">
        <f t="shared" si="8"/>
        <v>3.6118518518518519</v>
      </c>
      <c r="AS16" s="1270" t="str">
        <f t="shared" si="9"/>
        <v/>
      </c>
      <c r="AT16" s="1270" t="str">
        <f t="shared" si="10"/>
        <v/>
      </c>
      <c r="AU16" s="1270">
        <f t="shared" si="11"/>
        <v>29.837037037037039</v>
      </c>
      <c r="AV16" s="1270">
        <f t="shared" si="12"/>
        <v>45.966049382716051</v>
      </c>
      <c r="AW16" s="1270">
        <f t="shared" si="13"/>
        <v>1.6358024691358026</v>
      </c>
      <c r="AX16" s="1270" t="str">
        <f t="shared" si="14"/>
        <v/>
      </c>
      <c r="AY16" s="1270">
        <f t="shared" si="15"/>
        <v>3.2977777777777777</v>
      </c>
      <c r="AZ16" s="1270" t="str">
        <f t="shared" si="16"/>
        <v/>
      </c>
      <c r="BA16" s="1270" t="str">
        <f t="shared" si="17"/>
        <v/>
      </c>
      <c r="BB16" s="1371">
        <f t="shared" si="18"/>
        <v>84.348518518518517</v>
      </c>
      <c r="BC16" s="1369">
        <f t="shared" si="19"/>
        <v>536.43852013125002</v>
      </c>
      <c r="BD16" s="1270" t="str">
        <f t="shared" si="20"/>
        <v/>
      </c>
      <c r="BE16" s="1270" t="str">
        <f t="shared" si="21"/>
        <v/>
      </c>
      <c r="BF16" s="1270">
        <f t="shared" si="22"/>
        <v>1086.4845349101563</v>
      </c>
      <c r="BG16" s="1270">
        <f t="shared" si="23"/>
        <v>2064.9325766953125</v>
      </c>
      <c r="BH16" s="1270">
        <f t="shared" si="24"/>
        <v>133.17337171874999</v>
      </c>
      <c r="BI16" s="1270" t="str">
        <f t="shared" si="25"/>
        <v/>
      </c>
      <c r="BJ16" s="1270">
        <f t="shared" si="26"/>
        <v>268.41945611250003</v>
      </c>
      <c r="BK16" s="1270" t="str">
        <f t="shared" si="27"/>
        <v/>
      </c>
      <c r="BL16" s="1270" t="str">
        <f t="shared" si="28"/>
        <v/>
      </c>
      <c r="BM16" s="1371">
        <f t="shared" si="29"/>
        <v>4089.4484595679687</v>
      </c>
      <c r="BN16" s="1372">
        <f t="shared" si="30"/>
        <v>4089.4484595679687</v>
      </c>
      <c r="BO16" s="1372">
        <f t="shared" si="31"/>
        <v>0</v>
      </c>
      <c r="BP16" s="1372">
        <f t="shared" si="32"/>
        <v>0</v>
      </c>
      <c r="BQ16" s="1374">
        <f t="shared" si="33"/>
        <v>1</v>
      </c>
      <c r="BR16" s="1251">
        <f t="shared" si="34"/>
        <v>0</v>
      </c>
      <c r="BS16" s="1403">
        <f t="shared" si="35"/>
        <v>135.05839506172839</v>
      </c>
      <c r="BT16" s="1372">
        <f t="shared" si="36"/>
        <v>0</v>
      </c>
      <c r="BU16" s="1372">
        <f t="shared" si="37"/>
        <v>0</v>
      </c>
      <c r="BV16" s="1372">
        <f t="shared" si="38"/>
        <v>0</v>
      </c>
      <c r="BW16" s="1372">
        <f t="shared" si="39"/>
        <v>0</v>
      </c>
      <c r="BX16" s="1372">
        <f t="shared" si="40"/>
        <v>0</v>
      </c>
      <c r="BY16" s="1372">
        <f t="shared" si="41"/>
        <v>0</v>
      </c>
      <c r="BZ16" s="1372">
        <f t="shared" si="42"/>
        <v>0</v>
      </c>
      <c r="CA16" s="1372">
        <f t="shared" si="43"/>
        <v>0</v>
      </c>
      <c r="CB16" s="1404">
        <f t="shared" si="44"/>
        <v>0</v>
      </c>
      <c r="CC16" s="1374">
        <f t="shared" si="98"/>
        <v>135.05839506172839</v>
      </c>
      <c r="CD16" s="1374">
        <f t="shared" si="45"/>
        <v>3875</v>
      </c>
      <c r="CE16" s="1374">
        <f t="shared" si="46"/>
        <v>285</v>
      </c>
      <c r="CF16" s="1378">
        <f t="shared" si="47"/>
        <v>92</v>
      </c>
      <c r="CG16" s="1378">
        <f t="shared" si="48"/>
        <v>0</v>
      </c>
      <c r="CH16" s="1378">
        <f t="shared" si="49"/>
        <v>0</v>
      </c>
      <c r="CI16" s="1374">
        <f t="shared" si="50"/>
        <v>3875</v>
      </c>
      <c r="CJ16" s="1374">
        <f t="shared" si="51"/>
        <v>23.919753086419753</v>
      </c>
      <c r="CK16" s="1374" t="str">
        <f t="shared" si="52"/>
        <v/>
      </c>
      <c r="CL16" s="1374">
        <f t="shared" si="53"/>
        <v>4089.4484595679687</v>
      </c>
      <c r="CM16" s="1379">
        <f t="shared" si="54"/>
        <v>43768.008601513691</v>
      </c>
      <c r="CN16" s="628">
        <f>(BS16*Pricing!F$3+BT16*Pricing!G$3+BU16*Pricing!H$3+BV16*Pricing!I$3+BW16*Pricing!J$3+BX16*Pricing!K$3+BY16*Pricing!L$3+BZ16*Pricing!M$3+CA16*Pricing!N$3+CB16*Pricing!O$3)*IF(W$44="N",(1+Y$44),1)</f>
        <v>19590.895495679015</v>
      </c>
      <c r="CO16" s="628">
        <f t="shared" si="55"/>
        <v>2656.0967744893956</v>
      </c>
      <c r="CP16" s="1380">
        <f t="shared" si="56"/>
        <v>0</v>
      </c>
      <c r="CQ16" s="628">
        <f t="shared" si="57"/>
        <v>7168.75</v>
      </c>
      <c r="CR16" s="628">
        <f t="shared" si="58"/>
        <v>736</v>
      </c>
      <c r="CS16" s="628"/>
      <c r="CT16" s="1381">
        <f t="shared" si="59"/>
        <v>546.63969191359377</v>
      </c>
      <c r="CU16" s="628">
        <f t="shared" si="60"/>
        <v>0</v>
      </c>
      <c r="CV16" s="628">
        <f t="shared" si="61"/>
        <v>1229.1015624999998</v>
      </c>
      <c r="CW16" s="628">
        <f t="shared" si="62"/>
        <v>3103.2459417396294</v>
      </c>
      <c r="CX16" s="628">
        <f t="shared" si="63"/>
        <v>2084.921500087687</v>
      </c>
      <c r="CY16" s="628">
        <f t="shared" si="64"/>
        <v>2179.7768534707675</v>
      </c>
      <c r="CZ16" s="628">
        <f t="shared" si="65"/>
        <v>259.7680887323682</v>
      </c>
      <c r="DA16" s="628">
        <f t="shared" si="66"/>
        <v>3565.484375</v>
      </c>
      <c r="DB16" s="628">
        <f t="shared" si="67"/>
        <v>0</v>
      </c>
      <c r="DC16" s="628">
        <f t="shared" si="68"/>
        <v>0</v>
      </c>
      <c r="DD16" s="628">
        <f t="shared" si="69"/>
        <v>647.32831790123464</v>
      </c>
      <c r="DE16" s="1382">
        <f t="shared" si="70"/>
        <v>0</v>
      </c>
      <c r="DF16" s="626">
        <f t="shared" si="71"/>
        <v>184</v>
      </c>
      <c r="DG16" s="626">
        <f t="shared" si="72"/>
        <v>0</v>
      </c>
      <c r="DH16" s="626">
        <f t="shared" si="73"/>
        <v>0</v>
      </c>
      <c r="DI16" s="626">
        <f t="shared" si="74"/>
        <v>1520</v>
      </c>
      <c r="DJ16" s="626">
        <f t="shared" si="75"/>
        <v>2810</v>
      </c>
      <c r="DK16" s="626">
        <f t="shared" si="76"/>
        <v>100</v>
      </c>
      <c r="DL16" s="626">
        <f t="shared" si="77"/>
        <v>0</v>
      </c>
      <c r="DM16" s="626">
        <f t="shared" si="78"/>
        <v>336</v>
      </c>
      <c r="DN16" s="626">
        <f t="shared" si="79"/>
        <v>0</v>
      </c>
      <c r="DO16" s="626">
        <f t="shared" si="80"/>
        <v>0</v>
      </c>
      <c r="DP16" s="1405">
        <f t="shared" si="81"/>
        <v>3875</v>
      </c>
      <c r="DQ16" s="1270">
        <f t="shared" si="82"/>
        <v>19.351851851851851</v>
      </c>
      <c r="DR16" s="1270">
        <f t="shared" si="83"/>
        <v>28.909465020576132</v>
      </c>
      <c r="DS16" s="1270">
        <f t="shared" si="84"/>
        <v>1.0288065843621399</v>
      </c>
      <c r="DT16" s="1270" t="str">
        <f t="shared" si="85"/>
        <v/>
      </c>
      <c r="DU16" s="1270">
        <f t="shared" si="86"/>
        <v>2.1388888888888888</v>
      </c>
      <c r="DV16" s="1270" t="str">
        <f t="shared" si="87"/>
        <v/>
      </c>
      <c r="DW16" s="1270" t="str">
        <f t="shared" si="88"/>
        <v/>
      </c>
      <c r="DX16" s="1371">
        <f t="shared" si="89"/>
        <v>-5.4876543209876587</v>
      </c>
      <c r="DY16" s="1270">
        <f t="shared" si="90"/>
        <v>285</v>
      </c>
      <c r="DZ16" s="1270">
        <f t="shared" si="91"/>
        <v>468.33333333333337</v>
      </c>
      <c r="EA16" s="1270">
        <f t="shared" si="92"/>
        <v>16.666666666666668</v>
      </c>
      <c r="EB16" s="1270" t="str">
        <f t="shared" si="93"/>
        <v/>
      </c>
      <c r="EC16" s="1270">
        <f t="shared" si="94"/>
        <v>31.5</v>
      </c>
      <c r="ED16" s="1270" t="str">
        <f t="shared" si="95"/>
        <v/>
      </c>
      <c r="EE16" s="1270" t="str">
        <f t="shared" si="96"/>
        <v/>
      </c>
      <c r="EF16" s="1371">
        <f t="shared" si="97"/>
        <v>801.5</v>
      </c>
    </row>
    <row r="17" spans="1:136" ht="19.5" customHeight="1">
      <c r="A17" s="18" t="s">
        <v>1075</v>
      </c>
      <c r="B17" s="1385" t="s">
        <v>1560</v>
      </c>
      <c r="C17" s="1386"/>
      <c r="D17" s="1387">
        <v>3722</v>
      </c>
      <c r="E17" s="1388"/>
      <c r="F17" s="984">
        <v>4</v>
      </c>
      <c r="G17" s="1389">
        <v>1</v>
      </c>
      <c r="H17" s="984" t="s">
        <v>1302</v>
      </c>
      <c r="I17" s="1389">
        <v>1</v>
      </c>
      <c r="J17" s="984">
        <v>2</v>
      </c>
      <c r="K17" s="1346">
        <v>287</v>
      </c>
      <c r="L17" s="1395"/>
      <c r="M17" s="1392"/>
      <c r="N17" s="1393"/>
      <c r="O17" s="1394"/>
      <c r="P17" s="1351">
        <f t="shared" si="0"/>
        <v>3877.0346956429685</v>
      </c>
      <c r="Q17" s="1352">
        <f t="shared" si="1"/>
        <v>129.7453086419753</v>
      </c>
      <c r="R17" s="1353">
        <f t="shared" si="2"/>
        <v>12.958508326868985</v>
      </c>
      <c r="S17" s="1354">
        <f t="shared" si="3"/>
        <v>48231.56799260636</v>
      </c>
      <c r="T17" s="1355">
        <f t="shared" si="4"/>
        <v>81</v>
      </c>
      <c r="U17" s="1356">
        <f t="shared" si="5"/>
        <v>2574.3346956429687</v>
      </c>
      <c r="V17" s="1357">
        <f t="shared" si="6"/>
        <v>5.6786419753086363</v>
      </c>
      <c r="W17" s="1395">
        <v>9</v>
      </c>
      <c r="X17" s="1396">
        <v>81</v>
      </c>
      <c r="Y17" s="1395"/>
      <c r="Z17" s="1397"/>
      <c r="AA17" s="1395"/>
      <c r="AB17" s="1397"/>
      <c r="AC17" s="1398">
        <v>1</v>
      </c>
      <c r="AD17" s="1396">
        <v>287</v>
      </c>
      <c r="AE17" s="1395">
        <v>2</v>
      </c>
      <c r="AF17" s="1399">
        <v>530</v>
      </c>
      <c r="AG17" s="1400">
        <v>3</v>
      </c>
      <c r="AH17" s="1399">
        <v>36</v>
      </c>
      <c r="AI17" s="1401"/>
      <c r="AJ17" s="1396"/>
      <c r="AK17" s="1401">
        <v>5</v>
      </c>
      <c r="AL17" s="1399">
        <v>29</v>
      </c>
      <c r="AM17" s="1395"/>
      <c r="AN17" s="1402"/>
      <c r="AO17" s="1395"/>
      <c r="AP17" s="1397"/>
      <c r="AQ17" s="1275">
        <f t="shared" si="7"/>
        <v>28.686971721425738</v>
      </c>
      <c r="AR17" s="1369">
        <f t="shared" si="8"/>
        <v>3.1799999999999997</v>
      </c>
      <c r="AS17" s="1270" t="str">
        <f t="shared" si="9"/>
        <v/>
      </c>
      <c r="AT17" s="1270" t="str">
        <f t="shared" si="10"/>
        <v/>
      </c>
      <c r="AU17" s="1270">
        <f t="shared" si="11"/>
        <v>30.046419753086418</v>
      </c>
      <c r="AV17" s="1270">
        <f t="shared" si="12"/>
        <v>43.348765432098766</v>
      </c>
      <c r="AW17" s="1270">
        <f t="shared" si="13"/>
        <v>2.9444444444444446</v>
      </c>
      <c r="AX17" s="1270" t="str">
        <f t="shared" si="14"/>
        <v/>
      </c>
      <c r="AY17" s="1270">
        <f t="shared" si="15"/>
        <v>1.5180246913580246</v>
      </c>
      <c r="AZ17" s="1270" t="str">
        <f t="shared" si="16"/>
        <v/>
      </c>
      <c r="BA17" s="1270" t="str">
        <f t="shared" si="17"/>
        <v/>
      </c>
      <c r="BB17" s="1371">
        <f t="shared" si="18"/>
        <v>81.037654320987642</v>
      </c>
      <c r="BC17" s="1369">
        <f t="shared" si="19"/>
        <v>472.29913185468746</v>
      </c>
      <c r="BD17" s="1270" t="str">
        <f t="shared" si="20"/>
        <v/>
      </c>
      <c r="BE17" s="1270" t="str">
        <f t="shared" si="21"/>
        <v/>
      </c>
      <c r="BF17" s="1270">
        <f t="shared" si="22"/>
        <v>1094.1089877867187</v>
      </c>
      <c r="BG17" s="1270">
        <f t="shared" si="23"/>
        <v>1947.3563445703126</v>
      </c>
      <c r="BH17" s="1270">
        <f t="shared" si="24"/>
        <v>239.71206909374999</v>
      </c>
      <c r="BI17" s="1270" t="str">
        <f t="shared" si="25"/>
        <v/>
      </c>
      <c r="BJ17" s="1270">
        <f t="shared" si="26"/>
        <v>123.55816233750001</v>
      </c>
      <c r="BK17" s="1270" t="str">
        <f t="shared" si="27"/>
        <v/>
      </c>
      <c r="BL17" s="1270" t="str">
        <f t="shared" si="28"/>
        <v/>
      </c>
      <c r="BM17" s="1371">
        <f t="shared" si="29"/>
        <v>3877.0346956429685</v>
      </c>
      <c r="BN17" s="1372">
        <f t="shared" si="30"/>
        <v>3877.0346956429685</v>
      </c>
      <c r="BO17" s="1372">
        <f t="shared" si="31"/>
        <v>0</v>
      </c>
      <c r="BP17" s="1372">
        <f t="shared" si="32"/>
        <v>0</v>
      </c>
      <c r="BQ17" s="1374">
        <f t="shared" si="33"/>
        <v>1</v>
      </c>
      <c r="BR17" s="1251">
        <f t="shared" si="34"/>
        <v>0</v>
      </c>
      <c r="BS17" s="1403">
        <f t="shared" si="35"/>
        <v>129.7453086419753</v>
      </c>
      <c r="BT17" s="1372">
        <f t="shared" si="36"/>
        <v>0</v>
      </c>
      <c r="BU17" s="1372">
        <f t="shared" si="37"/>
        <v>0</v>
      </c>
      <c r="BV17" s="1372">
        <f t="shared" si="38"/>
        <v>0</v>
      </c>
      <c r="BW17" s="1372">
        <f t="shared" si="39"/>
        <v>0</v>
      </c>
      <c r="BX17" s="1372">
        <f t="shared" si="40"/>
        <v>0</v>
      </c>
      <c r="BY17" s="1372">
        <f t="shared" si="41"/>
        <v>0</v>
      </c>
      <c r="BZ17" s="1372">
        <f t="shared" si="42"/>
        <v>0</v>
      </c>
      <c r="CA17" s="1372">
        <f t="shared" si="43"/>
        <v>0</v>
      </c>
      <c r="CB17" s="1404">
        <f t="shared" si="44"/>
        <v>0</v>
      </c>
      <c r="CC17" s="1374">
        <f t="shared" si="98"/>
        <v>129.7453086419753</v>
      </c>
      <c r="CD17" s="1374">
        <f t="shared" si="45"/>
        <v>3722</v>
      </c>
      <c r="CE17" s="1374">
        <f t="shared" si="46"/>
        <v>287</v>
      </c>
      <c r="CF17" s="1378">
        <f t="shared" si="47"/>
        <v>81</v>
      </c>
      <c r="CG17" s="1378">
        <f t="shared" si="48"/>
        <v>0</v>
      </c>
      <c r="CH17" s="1378">
        <f t="shared" si="49"/>
        <v>0</v>
      </c>
      <c r="CI17" s="1374">
        <f t="shared" si="50"/>
        <v>3722</v>
      </c>
      <c r="CJ17" s="1374">
        <f t="shared" si="51"/>
        <v>22.97530864197531</v>
      </c>
      <c r="CK17" s="1374" t="str">
        <f t="shared" si="52"/>
        <v/>
      </c>
      <c r="CL17" s="1374">
        <f t="shared" si="53"/>
        <v>3877.0346956429685</v>
      </c>
      <c r="CM17" s="1379">
        <f t="shared" si="54"/>
        <v>41940.493906614232</v>
      </c>
      <c r="CN17" s="628">
        <f>(BS17*Pricing!F$3+BT17*Pricing!G$3+BU17*Pricing!H$3+BV17*Pricing!I$3+BW17*Pricing!J$3+BX17*Pricing!K$3+BY17*Pricing!L$3+BZ17*Pricing!M$3+CA17*Pricing!N$3+CB17*Pricing!O$3)*IF(W$44="N",(1+Y$44),1)</f>
        <v>18820.205745061729</v>
      </c>
      <c r="CO17" s="628">
        <f t="shared" si="55"/>
        <v>2518.1340348201084</v>
      </c>
      <c r="CP17" s="1380">
        <f t="shared" si="56"/>
        <v>0</v>
      </c>
      <c r="CQ17" s="628">
        <f t="shared" si="57"/>
        <v>6885.7000000000007</v>
      </c>
      <c r="CR17" s="628">
        <f t="shared" si="58"/>
        <v>648</v>
      </c>
      <c r="CS17" s="628"/>
      <c r="CT17" s="1381">
        <f t="shared" si="59"/>
        <v>514.86693912859369</v>
      </c>
      <c r="CU17" s="628">
        <f t="shared" si="60"/>
        <v>0</v>
      </c>
      <c r="CV17" s="628">
        <f t="shared" si="61"/>
        <v>1180.5718749999999</v>
      </c>
      <c r="CW17" s="628">
        <f t="shared" si="62"/>
        <v>2980.7177793948131</v>
      </c>
      <c r="CX17" s="628">
        <f t="shared" si="63"/>
        <v>2002.6007286003539</v>
      </c>
      <c r="CY17" s="628">
        <f t="shared" si="64"/>
        <v>2093.7108254498571</v>
      </c>
      <c r="CZ17" s="628">
        <f t="shared" si="65"/>
        <v>249.51143903532244</v>
      </c>
      <c r="DA17" s="628">
        <f t="shared" si="66"/>
        <v>3424.70525</v>
      </c>
      <c r="DB17" s="628">
        <f t="shared" si="67"/>
        <v>0</v>
      </c>
      <c r="DC17" s="628">
        <f t="shared" si="68"/>
        <v>0</v>
      </c>
      <c r="DD17" s="628">
        <f t="shared" si="69"/>
        <v>621.76929012345693</v>
      </c>
      <c r="DE17" s="1382">
        <f t="shared" si="70"/>
        <v>0</v>
      </c>
      <c r="DF17" s="626">
        <f t="shared" si="71"/>
        <v>162</v>
      </c>
      <c r="DG17" s="626">
        <f t="shared" si="72"/>
        <v>0</v>
      </c>
      <c r="DH17" s="626">
        <f t="shared" si="73"/>
        <v>0</v>
      </c>
      <c r="DI17" s="626">
        <f t="shared" si="74"/>
        <v>1530.6666666666665</v>
      </c>
      <c r="DJ17" s="626">
        <f t="shared" si="75"/>
        <v>2650</v>
      </c>
      <c r="DK17" s="626">
        <f t="shared" si="76"/>
        <v>180</v>
      </c>
      <c r="DL17" s="626">
        <f t="shared" si="77"/>
        <v>0</v>
      </c>
      <c r="DM17" s="626">
        <f t="shared" si="78"/>
        <v>154.66666666666666</v>
      </c>
      <c r="DN17" s="626">
        <f t="shared" si="79"/>
        <v>0</v>
      </c>
      <c r="DO17" s="626">
        <f t="shared" si="80"/>
        <v>0</v>
      </c>
      <c r="DP17" s="1405">
        <f t="shared" si="81"/>
        <v>3722</v>
      </c>
      <c r="DQ17" s="1270">
        <f t="shared" si="82"/>
        <v>19.487654320987652</v>
      </c>
      <c r="DR17" s="1270">
        <f t="shared" si="83"/>
        <v>27.26337448559671</v>
      </c>
      <c r="DS17" s="1270">
        <f t="shared" si="84"/>
        <v>1.8518518518518519</v>
      </c>
      <c r="DT17" s="1270" t="str">
        <f t="shared" si="85"/>
        <v/>
      </c>
      <c r="DU17" s="1270">
        <f t="shared" si="86"/>
        <v>0.98456790123456783</v>
      </c>
      <c r="DV17" s="1270" t="str">
        <f t="shared" si="87"/>
        <v/>
      </c>
      <c r="DW17" s="1270" t="str">
        <f t="shared" si="88"/>
        <v/>
      </c>
      <c r="DX17" s="1371">
        <f t="shared" si="89"/>
        <v>-5.0205761316872426</v>
      </c>
      <c r="DY17" s="1270">
        <f t="shared" si="90"/>
        <v>287</v>
      </c>
      <c r="DZ17" s="1270">
        <f t="shared" si="91"/>
        <v>441.66666666666669</v>
      </c>
      <c r="EA17" s="1270">
        <f t="shared" si="92"/>
        <v>30</v>
      </c>
      <c r="EB17" s="1270" t="str">
        <f t="shared" si="93"/>
        <v/>
      </c>
      <c r="EC17" s="1270">
        <f t="shared" si="94"/>
        <v>14.5</v>
      </c>
      <c r="ED17" s="1270" t="str">
        <f t="shared" si="95"/>
        <v/>
      </c>
      <c r="EE17" s="1270" t="str">
        <f t="shared" si="96"/>
        <v/>
      </c>
      <c r="EF17" s="1371">
        <f t="shared" si="97"/>
        <v>773.16666666666674</v>
      </c>
    </row>
    <row r="18" spans="1:136" ht="19.5" customHeight="1">
      <c r="A18" s="18" t="s">
        <v>1076</v>
      </c>
      <c r="B18" s="1341" t="s">
        <v>1561</v>
      </c>
      <c r="C18" s="1342"/>
      <c r="D18" s="1343">
        <v>3739</v>
      </c>
      <c r="E18" s="1344"/>
      <c r="F18" s="984">
        <v>4</v>
      </c>
      <c r="G18" s="1389">
        <v>1</v>
      </c>
      <c r="H18" s="984" t="s">
        <v>1302</v>
      </c>
      <c r="I18" s="1389">
        <v>1</v>
      </c>
      <c r="J18" s="984">
        <v>2</v>
      </c>
      <c r="K18" s="1346">
        <v>277</v>
      </c>
      <c r="L18" s="503"/>
      <c r="M18" s="834"/>
      <c r="N18" s="1349"/>
      <c r="O18" s="1350"/>
      <c r="P18" s="1351">
        <f t="shared" si="0"/>
        <v>3544.4460533367187</v>
      </c>
      <c r="Q18" s="1352">
        <f t="shared" si="1"/>
        <v>126.89901234567903</v>
      </c>
      <c r="R18" s="1353">
        <f t="shared" si="2"/>
        <v>12.513343480067775</v>
      </c>
      <c r="S18" s="1354">
        <f t="shared" si="3"/>
        <v>46787.391271973407</v>
      </c>
      <c r="T18" s="1355">
        <f t="shared" si="4"/>
        <v>0</v>
      </c>
      <c r="U18" s="1356">
        <f t="shared" si="5"/>
        <v>2235.7960533367186</v>
      </c>
      <c r="V18" s="1357">
        <f t="shared" si="6"/>
        <v>2.2656790123456858</v>
      </c>
      <c r="W18" s="503">
        <v>9</v>
      </c>
      <c r="X18" s="1362"/>
      <c r="Y18" s="503"/>
      <c r="Z18" s="1410"/>
      <c r="AA18" s="503"/>
      <c r="AB18" s="1410"/>
      <c r="AC18" s="1361">
        <v>1</v>
      </c>
      <c r="AD18" s="1362">
        <v>277</v>
      </c>
      <c r="AE18" s="1347">
        <v>2</v>
      </c>
      <c r="AF18" s="1363">
        <v>502</v>
      </c>
      <c r="AG18" s="1364">
        <v>3</v>
      </c>
      <c r="AH18" s="1363">
        <v>66</v>
      </c>
      <c r="AI18" s="1365"/>
      <c r="AJ18" s="1366"/>
      <c r="AK18" s="1367">
        <v>5</v>
      </c>
      <c r="AL18" s="1363">
        <v>48</v>
      </c>
      <c r="AM18" s="503"/>
      <c r="AN18" s="1411"/>
      <c r="AO18" s="503"/>
      <c r="AP18" s="1410"/>
      <c r="AQ18" s="1275">
        <f t="shared" si="7"/>
        <v>29.464374315339697</v>
      </c>
      <c r="AR18" s="1369">
        <f t="shared" si="8"/>
        <v>0</v>
      </c>
      <c r="AS18" s="1270" t="str">
        <f t="shared" si="9"/>
        <v/>
      </c>
      <c r="AT18" s="1270" t="str">
        <f t="shared" si="10"/>
        <v/>
      </c>
      <c r="AU18" s="1270">
        <f t="shared" si="11"/>
        <v>28.999506172839506</v>
      </c>
      <c r="AV18" s="1270">
        <f t="shared" si="12"/>
        <v>41.058641975308646</v>
      </c>
      <c r="AW18" s="1270">
        <f t="shared" si="13"/>
        <v>5.3981481481481479</v>
      </c>
      <c r="AX18" s="1270" t="str">
        <f t="shared" si="14"/>
        <v/>
      </c>
      <c r="AY18" s="1270">
        <f t="shared" si="15"/>
        <v>2.5125925925925925</v>
      </c>
      <c r="AZ18" s="1270" t="str">
        <f t="shared" si="16"/>
        <v/>
      </c>
      <c r="BA18" s="1270" t="str">
        <f t="shared" si="17"/>
        <v/>
      </c>
      <c r="BB18" s="1371">
        <f t="shared" si="18"/>
        <v>77.968888888888898</v>
      </c>
      <c r="BC18" s="1369">
        <f t="shared" si="19"/>
        <v>0</v>
      </c>
      <c r="BD18" s="1270" t="str">
        <f t="shared" si="20"/>
        <v/>
      </c>
      <c r="BE18" s="1270" t="str">
        <f t="shared" si="21"/>
        <v/>
      </c>
      <c r="BF18" s="1270">
        <f t="shared" si="22"/>
        <v>1055.9867234039061</v>
      </c>
      <c r="BG18" s="1270">
        <f t="shared" si="23"/>
        <v>1844.4771414609377</v>
      </c>
      <c r="BH18" s="1270">
        <f t="shared" si="24"/>
        <v>439.472126671875</v>
      </c>
      <c r="BI18" s="1270" t="str">
        <f t="shared" si="25"/>
        <v/>
      </c>
      <c r="BJ18" s="1270">
        <f t="shared" si="26"/>
        <v>204.51006180000002</v>
      </c>
      <c r="BK18" s="1270" t="str">
        <f t="shared" si="27"/>
        <v/>
      </c>
      <c r="BL18" s="1270" t="str">
        <f t="shared" si="28"/>
        <v/>
      </c>
      <c r="BM18" s="1371">
        <f t="shared" si="29"/>
        <v>3544.4460533367187</v>
      </c>
      <c r="BN18" s="1372">
        <f t="shared" si="30"/>
        <v>3544.4460533367187</v>
      </c>
      <c r="BO18" s="1372">
        <f t="shared" si="31"/>
        <v>0</v>
      </c>
      <c r="BP18" s="1372">
        <f t="shared" si="32"/>
        <v>0</v>
      </c>
      <c r="BQ18" s="1374">
        <f t="shared" si="33"/>
        <v>1</v>
      </c>
      <c r="BR18" s="1251">
        <f t="shared" si="34"/>
        <v>0</v>
      </c>
      <c r="BS18" s="1403">
        <f t="shared" si="35"/>
        <v>126.89901234567903</v>
      </c>
      <c r="BT18" s="1372">
        <f t="shared" si="36"/>
        <v>0</v>
      </c>
      <c r="BU18" s="1372">
        <f t="shared" si="37"/>
        <v>0</v>
      </c>
      <c r="BV18" s="1372">
        <f t="shared" si="38"/>
        <v>0</v>
      </c>
      <c r="BW18" s="1372">
        <f t="shared" si="39"/>
        <v>0</v>
      </c>
      <c r="BX18" s="1372">
        <f t="shared" si="40"/>
        <v>0</v>
      </c>
      <c r="BY18" s="1372">
        <f t="shared" si="41"/>
        <v>0</v>
      </c>
      <c r="BZ18" s="1372">
        <f t="shared" si="42"/>
        <v>0</v>
      </c>
      <c r="CA18" s="1372">
        <f t="shared" si="43"/>
        <v>0</v>
      </c>
      <c r="CB18" s="1404">
        <f t="shared" si="44"/>
        <v>0</v>
      </c>
      <c r="CC18" s="1374">
        <f t="shared" si="98"/>
        <v>126.89901234567903</v>
      </c>
      <c r="CD18" s="1374">
        <f t="shared" si="45"/>
        <v>3739</v>
      </c>
      <c r="CE18" s="1374">
        <f t="shared" si="46"/>
        <v>277</v>
      </c>
      <c r="CF18" s="1378">
        <f t="shared" si="47"/>
        <v>0</v>
      </c>
      <c r="CG18" s="1378">
        <f t="shared" si="48"/>
        <v>0</v>
      </c>
      <c r="CH18" s="1378">
        <f t="shared" si="49"/>
        <v>0</v>
      </c>
      <c r="CI18" s="1374">
        <f t="shared" si="50"/>
        <v>3739</v>
      </c>
      <c r="CJ18" s="1374">
        <f t="shared" si="51"/>
        <v>23.080246913580247</v>
      </c>
      <c r="CK18" s="1374" t="str">
        <f t="shared" si="52"/>
        <v/>
      </c>
      <c r="CL18" s="1374">
        <f t="shared" si="53"/>
        <v>3544.4460533367187</v>
      </c>
      <c r="CM18" s="1379">
        <f t="shared" si="54"/>
        <v>40684.688062585577</v>
      </c>
      <c r="CN18" s="628">
        <f>(BS18*Pricing!F$3+BT18*Pricing!G$3+BU18*Pricing!H$3+BV18*Pricing!I$3+BW18*Pricing!J$3+BX18*Pricing!K$3+BY18*Pricing!L$3+BZ18*Pricing!M$3+CA18*Pricing!N$3+CB18*Pricing!O$3)*IF(W$44="N",(1+Y$44),1)</f>
        <v>18407.336235802471</v>
      </c>
      <c r="CO18" s="628">
        <f t="shared" si="55"/>
        <v>2302.1177116421986</v>
      </c>
      <c r="CP18" s="1380">
        <f t="shared" si="56"/>
        <v>0</v>
      </c>
      <c r="CQ18" s="628">
        <f t="shared" si="57"/>
        <v>6917.15</v>
      </c>
      <c r="CR18" s="628">
        <f t="shared" si="58"/>
        <v>0</v>
      </c>
      <c r="CS18" s="628"/>
      <c r="CT18" s="1381">
        <f t="shared" si="59"/>
        <v>447.15921066734376</v>
      </c>
      <c r="CU18" s="628">
        <f t="shared" si="60"/>
        <v>0</v>
      </c>
      <c r="CV18" s="628">
        <f t="shared" si="61"/>
        <v>1185.9640624999997</v>
      </c>
      <c r="CW18" s="628">
        <f t="shared" si="62"/>
        <v>2994.3320196553482</v>
      </c>
      <c r="CX18" s="628">
        <f t="shared" si="63"/>
        <v>2011.7474809878354</v>
      </c>
      <c r="CY18" s="628">
        <f t="shared" si="64"/>
        <v>2103.2737174521803</v>
      </c>
      <c r="CZ18" s="628">
        <f t="shared" si="65"/>
        <v>250.65106677943862</v>
      </c>
      <c r="DA18" s="628">
        <f t="shared" si="66"/>
        <v>3440.3473749999998</v>
      </c>
      <c r="DB18" s="628">
        <f t="shared" si="67"/>
        <v>0</v>
      </c>
      <c r="DC18" s="628">
        <f t="shared" si="68"/>
        <v>0</v>
      </c>
      <c r="DD18" s="628">
        <f t="shared" si="69"/>
        <v>624.60918209876536</v>
      </c>
      <c r="DE18" s="1382">
        <f t="shared" si="70"/>
        <v>0</v>
      </c>
      <c r="DF18" s="626">
        <f t="shared" si="71"/>
        <v>0</v>
      </c>
      <c r="DG18" s="626">
        <f t="shared" si="72"/>
        <v>0</v>
      </c>
      <c r="DH18" s="626">
        <f t="shared" si="73"/>
        <v>0</v>
      </c>
      <c r="DI18" s="626">
        <f t="shared" si="74"/>
        <v>1477.3333333333333</v>
      </c>
      <c r="DJ18" s="626">
        <f t="shared" si="75"/>
        <v>2510</v>
      </c>
      <c r="DK18" s="626">
        <f t="shared" si="76"/>
        <v>330</v>
      </c>
      <c r="DL18" s="626">
        <f t="shared" si="77"/>
        <v>0</v>
      </c>
      <c r="DM18" s="626">
        <f t="shared" si="78"/>
        <v>256</v>
      </c>
      <c r="DN18" s="626">
        <f t="shared" si="79"/>
        <v>0</v>
      </c>
      <c r="DO18" s="626">
        <f t="shared" si="80"/>
        <v>0</v>
      </c>
      <c r="DP18" s="1405">
        <f t="shared" si="81"/>
        <v>3739</v>
      </c>
      <c r="DQ18" s="1270">
        <f t="shared" si="82"/>
        <v>18.808641975308642</v>
      </c>
      <c r="DR18" s="1270">
        <f t="shared" si="83"/>
        <v>25.823045267489714</v>
      </c>
      <c r="DS18" s="1270">
        <f t="shared" si="84"/>
        <v>3.3950617283950617</v>
      </c>
      <c r="DT18" s="1270" t="str">
        <f t="shared" si="85"/>
        <v/>
      </c>
      <c r="DU18" s="1270">
        <f t="shared" si="86"/>
        <v>1.6296296296296295</v>
      </c>
      <c r="DV18" s="1270" t="str">
        <f t="shared" si="87"/>
        <v/>
      </c>
      <c r="DW18" s="1270" t="str">
        <f t="shared" si="88"/>
        <v/>
      </c>
      <c r="DX18" s="1371">
        <f t="shared" si="89"/>
        <v>-5.2448559670781876</v>
      </c>
      <c r="DY18" s="1270">
        <f t="shared" si="90"/>
        <v>277</v>
      </c>
      <c r="DZ18" s="1270">
        <f t="shared" si="91"/>
        <v>418.33333333333337</v>
      </c>
      <c r="EA18" s="1270">
        <f t="shared" si="92"/>
        <v>55</v>
      </c>
      <c r="EB18" s="1270" t="str">
        <f t="shared" si="93"/>
        <v/>
      </c>
      <c r="EC18" s="1270">
        <f t="shared" si="94"/>
        <v>24</v>
      </c>
      <c r="ED18" s="1270" t="str">
        <f t="shared" si="95"/>
        <v/>
      </c>
      <c r="EE18" s="1270" t="str">
        <f t="shared" si="96"/>
        <v/>
      </c>
      <c r="EF18" s="1371">
        <f t="shared" si="97"/>
        <v>774.33333333333337</v>
      </c>
    </row>
    <row r="19" spans="1:136" ht="19.5" customHeight="1">
      <c r="A19" s="18" t="s">
        <v>1342</v>
      </c>
      <c r="B19" s="1385" t="s">
        <v>1562</v>
      </c>
      <c r="C19" s="1386"/>
      <c r="D19" s="1387">
        <v>4076</v>
      </c>
      <c r="E19" s="1388"/>
      <c r="F19" s="984">
        <v>4</v>
      </c>
      <c r="G19" s="1389">
        <v>1</v>
      </c>
      <c r="H19" s="984" t="s">
        <v>1302</v>
      </c>
      <c r="I19" s="1389">
        <v>1</v>
      </c>
      <c r="J19" s="984">
        <v>2</v>
      </c>
      <c r="K19" s="1390">
        <v>314</v>
      </c>
      <c r="L19" s="1395"/>
      <c r="M19" s="1392"/>
      <c r="N19" s="1393"/>
      <c r="O19" s="1394"/>
      <c r="P19" s="1351">
        <f t="shared" si="0"/>
        <v>3964.4529369328125</v>
      </c>
      <c r="Q19" s="1352">
        <f t="shared" si="1"/>
        <v>140.88185185185185</v>
      </c>
      <c r="R19" s="1353">
        <f t="shared" si="2"/>
        <v>12.641609348201793</v>
      </c>
      <c r="S19" s="1354">
        <f t="shared" si="3"/>
        <v>51527.199703270511</v>
      </c>
      <c r="T19" s="1355">
        <f t="shared" si="4"/>
        <v>0</v>
      </c>
      <c r="U19" s="1356">
        <f t="shared" si="5"/>
        <v>2537.8529369328126</v>
      </c>
      <c r="V19" s="1357">
        <f t="shared" si="6"/>
        <v>5.0151851851851745</v>
      </c>
      <c r="W19" s="1395">
        <v>9</v>
      </c>
      <c r="X19" s="1396"/>
      <c r="Y19" s="1395"/>
      <c r="Z19" s="1413"/>
      <c r="AA19" s="1395"/>
      <c r="AB19" s="1413"/>
      <c r="AC19" s="1398">
        <v>1</v>
      </c>
      <c r="AD19" s="1396">
        <v>314</v>
      </c>
      <c r="AE19" s="1395">
        <v>2</v>
      </c>
      <c r="AF19" s="1399">
        <v>564</v>
      </c>
      <c r="AG19" s="1400">
        <v>3</v>
      </c>
      <c r="AH19" s="1399">
        <v>82</v>
      </c>
      <c r="AI19" s="1401"/>
      <c r="AJ19" s="1396"/>
      <c r="AK19" s="1401">
        <v>5</v>
      </c>
      <c r="AL19" s="1399">
        <v>35</v>
      </c>
      <c r="AM19" s="1395"/>
      <c r="AN19" s="1414"/>
      <c r="AO19" s="1395"/>
      <c r="AP19" s="1413"/>
      <c r="AQ19" s="1275">
        <f t="shared" si="7"/>
        <v>28.932044450169698</v>
      </c>
      <c r="AR19" s="1369">
        <f t="shared" si="8"/>
        <v>0</v>
      </c>
      <c r="AS19" s="1270" t="str">
        <f t="shared" si="9"/>
        <v/>
      </c>
      <c r="AT19" s="1270" t="str">
        <f t="shared" si="10"/>
        <v/>
      </c>
      <c r="AU19" s="1270">
        <f t="shared" si="11"/>
        <v>32.873086419753086</v>
      </c>
      <c r="AV19" s="1270">
        <f t="shared" si="12"/>
        <v>46.129629629629633</v>
      </c>
      <c r="AW19" s="1270">
        <f t="shared" si="13"/>
        <v>6.7067901234567904</v>
      </c>
      <c r="AX19" s="1270" t="str">
        <f t="shared" si="14"/>
        <v/>
      </c>
      <c r="AY19" s="1270">
        <f t="shared" si="15"/>
        <v>1.8320987654320988</v>
      </c>
      <c r="AZ19" s="1270" t="str">
        <f t="shared" si="16"/>
        <v/>
      </c>
      <c r="BA19" s="1270" t="str">
        <f t="shared" si="17"/>
        <v/>
      </c>
      <c r="BB19" s="1371">
        <f t="shared" si="18"/>
        <v>87.54160493827159</v>
      </c>
      <c r="BC19" s="1369">
        <f t="shared" si="19"/>
        <v>0</v>
      </c>
      <c r="BD19" s="1270" t="str">
        <f t="shared" si="20"/>
        <v/>
      </c>
      <c r="BE19" s="1270" t="str">
        <f t="shared" si="21"/>
        <v/>
      </c>
      <c r="BF19" s="1270">
        <f t="shared" si="22"/>
        <v>1197.0391016203125</v>
      </c>
      <c r="BG19" s="1270">
        <f t="shared" si="23"/>
        <v>2072.281091203125</v>
      </c>
      <c r="BH19" s="1270">
        <f t="shared" si="24"/>
        <v>546.01082404687497</v>
      </c>
      <c r="BI19" s="1270" t="str">
        <f t="shared" si="25"/>
        <v/>
      </c>
      <c r="BJ19" s="1270">
        <f t="shared" si="26"/>
        <v>149.12192006250001</v>
      </c>
      <c r="BK19" s="1270" t="str">
        <f t="shared" si="27"/>
        <v/>
      </c>
      <c r="BL19" s="1270" t="str">
        <f t="shared" si="28"/>
        <v/>
      </c>
      <c r="BM19" s="1371">
        <f t="shared" si="29"/>
        <v>3964.4529369328125</v>
      </c>
      <c r="BN19" s="1372">
        <f t="shared" si="30"/>
        <v>3964.4529369328125</v>
      </c>
      <c r="BO19" s="1372">
        <f t="shared" si="31"/>
        <v>0</v>
      </c>
      <c r="BP19" s="1372">
        <f t="shared" si="32"/>
        <v>0</v>
      </c>
      <c r="BQ19" s="1374">
        <f t="shared" si="33"/>
        <v>1</v>
      </c>
      <c r="BR19" s="1251">
        <f t="shared" si="34"/>
        <v>0</v>
      </c>
      <c r="BS19" s="1403">
        <f t="shared" si="35"/>
        <v>140.88185185185185</v>
      </c>
      <c r="BT19" s="1372">
        <f t="shared" si="36"/>
        <v>0</v>
      </c>
      <c r="BU19" s="1372">
        <f t="shared" si="37"/>
        <v>0</v>
      </c>
      <c r="BV19" s="1372">
        <f t="shared" si="38"/>
        <v>0</v>
      </c>
      <c r="BW19" s="1372">
        <f t="shared" si="39"/>
        <v>0</v>
      </c>
      <c r="BX19" s="1372">
        <f t="shared" si="40"/>
        <v>0</v>
      </c>
      <c r="BY19" s="1372">
        <f t="shared" si="41"/>
        <v>0</v>
      </c>
      <c r="BZ19" s="1372">
        <f t="shared" si="42"/>
        <v>0</v>
      </c>
      <c r="CA19" s="1372">
        <f t="shared" si="43"/>
        <v>0</v>
      </c>
      <c r="CB19" s="1404">
        <f t="shared" si="44"/>
        <v>0</v>
      </c>
      <c r="CC19" s="1374">
        <f t="shared" si="98"/>
        <v>140.88185185185185</v>
      </c>
      <c r="CD19" s="1374">
        <f t="shared" si="45"/>
        <v>4076</v>
      </c>
      <c r="CE19" s="1374">
        <f t="shared" si="46"/>
        <v>314</v>
      </c>
      <c r="CF19" s="1378">
        <f t="shared" si="47"/>
        <v>0</v>
      </c>
      <c r="CG19" s="1378">
        <f t="shared" si="48"/>
        <v>0</v>
      </c>
      <c r="CH19" s="1378">
        <f t="shared" si="49"/>
        <v>0</v>
      </c>
      <c r="CI19" s="1374">
        <f t="shared" si="50"/>
        <v>4076</v>
      </c>
      <c r="CJ19" s="1374">
        <f t="shared" si="51"/>
        <v>25.160493827160494</v>
      </c>
      <c r="CK19" s="1374" t="str">
        <f t="shared" si="52"/>
        <v/>
      </c>
      <c r="CL19" s="1374">
        <f t="shared" si="53"/>
        <v>3964.4529369328125</v>
      </c>
      <c r="CM19" s="1379">
        <f t="shared" si="54"/>
        <v>44806.260611539576</v>
      </c>
      <c r="CN19" s="628">
        <f>(BS19*Pricing!F$3+BT19*Pricing!G$3+BU19*Pricing!H$3+BV19*Pricing!I$3+BW19*Pricing!J$3+BX19*Pricing!K$3+BY19*Pricing!L$3+BZ19*Pricing!M$3+CA19*Pricing!N$3+CB19*Pricing!O$3)*IF(W$44="N",(1+Y$44),1)</f>
        <v>20435.61702037037</v>
      </c>
      <c r="CO19" s="628">
        <f t="shared" si="55"/>
        <v>2574.9121825378616</v>
      </c>
      <c r="CP19" s="1380">
        <f t="shared" si="56"/>
        <v>0</v>
      </c>
      <c r="CQ19" s="628">
        <f t="shared" si="57"/>
        <v>7540.6</v>
      </c>
      <c r="CR19" s="628">
        <f t="shared" si="58"/>
        <v>0</v>
      </c>
      <c r="CS19" s="628"/>
      <c r="CT19" s="1381">
        <f t="shared" si="59"/>
        <v>507.57058738656252</v>
      </c>
      <c r="CU19" s="628">
        <f t="shared" si="60"/>
        <v>0</v>
      </c>
      <c r="CV19" s="628">
        <f t="shared" si="61"/>
        <v>1292.8562499999998</v>
      </c>
      <c r="CW19" s="628">
        <f t="shared" si="62"/>
        <v>3264.2143118788977</v>
      </c>
      <c r="CX19" s="628">
        <f t="shared" si="63"/>
        <v>2193.0683959632033</v>
      </c>
      <c r="CY19" s="628">
        <f t="shared" si="64"/>
        <v>2292.8439883217675</v>
      </c>
      <c r="CZ19" s="628">
        <f t="shared" si="65"/>
        <v>273.24251088338912</v>
      </c>
      <c r="DA19" s="628">
        <f t="shared" si="66"/>
        <v>3750.4294999999997</v>
      </c>
      <c r="DB19" s="628">
        <f t="shared" si="67"/>
        <v>0</v>
      </c>
      <c r="DC19" s="628">
        <f t="shared" si="68"/>
        <v>0</v>
      </c>
      <c r="DD19" s="628">
        <f t="shared" si="69"/>
        <v>680.90586419753083</v>
      </c>
      <c r="DE19" s="1382">
        <f t="shared" si="70"/>
        <v>0</v>
      </c>
      <c r="DF19" s="626">
        <f t="shared" si="71"/>
        <v>0</v>
      </c>
      <c r="DG19" s="626">
        <f t="shared" si="72"/>
        <v>0</v>
      </c>
      <c r="DH19" s="626">
        <f t="shared" si="73"/>
        <v>0</v>
      </c>
      <c r="DI19" s="626">
        <f t="shared" si="74"/>
        <v>1674.6666666666665</v>
      </c>
      <c r="DJ19" s="626">
        <f t="shared" si="75"/>
        <v>2820</v>
      </c>
      <c r="DK19" s="626">
        <f t="shared" si="76"/>
        <v>410</v>
      </c>
      <c r="DL19" s="626">
        <f t="shared" si="77"/>
        <v>0</v>
      </c>
      <c r="DM19" s="626">
        <f t="shared" si="78"/>
        <v>186.66666666666666</v>
      </c>
      <c r="DN19" s="626">
        <f t="shared" si="79"/>
        <v>0</v>
      </c>
      <c r="DO19" s="626">
        <f t="shared" si="80"/>
        <v>0</v>
      </c>
      <c r="DP19" s="1405">
        <f t="shared" si="81"/>
        <v>4076</v>
      </c>
      <c r="DQ19" s="1270">
        <f t="shared" si="82"/>
        <v>21.320987654320987</v>
      </c>
      <c r="DR19" s="1270">
        <f t="shared" si="83"/>
        <v>29.012345679012348</v>
      </c>
      <c r="DS19" s="1270">
        <f t="shared" si="84"/>
        <v>4.2181069958847734</v>
      </c>
      <c r="DT19" s="1270" t="str">
        <f t="shared" si="85"/>
        <v/>
      </c>
      <c r="DU19" s="1270">
        <f t="shared" si="86"/>
        <v>1.1882716049382716</v>
      </c>
      <c r="DV19" s="1270" t="str">
        <f t="shared" si="87"/>
        <v/>
      </c>
      <c r="DW19" s="1270" t="str">
        <f t="shared" si="88"/>
        <v/>
      </c>
      <c r="DX19" s="1371">
        <f t="shared" si="89"/>
        <v>-3.6337448559670733</v>
      </c>
      <c r="DY19" s="1270">
        <f t="shared" si="90"/>
        <v>314</v>
      </c>
      <c r="DZ19" s="1270">
        <f t="shared" si="91"/>
        <v>470</v>
      </c>
      <c r="EA19" s="1270">
        <f t="shared" si="92"/>
        <v>68.333333333333343</v>
      </c>
      <c r="EB19" s="1270" t="str">
        <f t="shared" si="93"/>
        <v/>
      </c>
      <c r="EC19" s="1270">
        <f t="shared" si="94"/>
        <v>17.5</v>
      </c>
      <c r="ED19" s="1270" t="str">
        <f t="shared" si="95"/>
        <v/>
      </c>
      <c r="EE19" s="1270" t="str">
        <f t="shared" si="96"/>
        <v/>
      </c>
      <c r="EF19" s="1371">
        <f t="shared" si="97"/>
        <v>869.83333333333337</v>
      </c>
    </row>
    <row r="20" spans="1:136" ht="19.5" customHeight="1">
      <c r="A20" s="18" t="s">
        <v>1451</v>
      </c>
      <c r="B20" s="1341" t="s">
        <v>1563</v>
      </c>
      <c r="C20" s="1342"/>
      <c r="D20" s="1343">
        <v>6872</v>
      </c>
      <c r="E20" s="1344"/>
      <c r="F20" s="984">
        <v>4</v>
      </c>
      <c r="G20" s="1389">
        <v>1</v>
      </c>
      <c r="H20" s="984" t="s">
        <v>1302</v>
      </c>
      <c r="I20" s="1389">
        <v>1</v>
      </c>
      <c r="J20" s="984">
        <v>2</v>
      </c>
      <c r="K20" s="1390">
        <v>421</v>
      </c>
      <c r="L20" s="503"/>
      <c r="M20" s="834"/>
      <c r="N20" s="1349"/>
      <c r="O20" s="1350"/>
      <c r="P20" s="1351">
        <f t="shared" si="0"/>
        <v>6641.5920201984381</v>
      </c>
      <c r="Q20" s="1352">
        <f t="shared" si="1"/>
        <v>231.02765432098766</v>
      </c>
      <c r="R20" s="1353">
        <f t="shared" si="2"/>
        <v>12.477941401456516</v>
      </c>
      <c r="S20" s="1354">
        <f t="shared" si="3"/>
        <v>85748.413310809177</v>
      </c>
      <c r="T20" s="1355">
        <f t="shared" si="4"/>
        <v>0</v>
      </c>
      <c r="U20" s="1356">
        <f t="shared" si="5"/>
        <v>4236.3920201984383</v>
      </c>
      <c r="V20" s="1357">
        <f t="shared" si="6"/>
        <v>1.9609876543210021</v>
      </c>
      <c r="W20" s="503">
        <v>9</v>
      </c>
      <c r="X20" s="1362"/>
      <c r="Y20" s="503"/>
      <c r="Z20" s="1415"/>
      <c r="AA20" s="503"/>
      <c r="AB20" s="1415"/>
      <c r="AC20" s="1361">
        <v>1</v>
      </c>
      <c r="AD20" s="1362">
        <v>421</v>
      </c>
      <c r="AE20" s="1347">
        <v>2</v>
      </c>
      <c r="AF20" s="1363">
        <v>959</v>
      </c>
      <c r="AG20" s="1364">
        <v>3</v>
      </c>
      <c r="AH20" s="1363">
        <v>169</v>
      </c>
      <c r="AI20" s="1365"/>
      <c r="AJ20" s="1366"/>
      <c r="AK20" s="1367">
        <v>5</v>
      </c>
      <c r="AL20" s="1363">
        <v>91</v>
      </c>
      <c r="AM20" s="503"/>
      <c r="AN20" s="1416"/>
      <c r="AO20" s="503"/>
      <c r="AP20" s="1415"/>
      <c r="AQ20" s="1275">
        <f t="shared" si="7"/>
        <v>29.74535676344663</v>
      </c>
      <c r="AR20" s="1369">
        <f t="shared" si="8"/>
        <v>0</v>
      </c>
      <c r="AS20" s="1270" t="str">
        <f t="shared" si="9"/>
        <v/>
      </c>
      <c r="AT20" s="1270" t="str">
        <f t="shared" si="10"/>
        <v/>
      </c>
      <c r="AU20" s="1270">
        <f t="shared" si="11"/>
        <v>44.075061728395063</v>
      </c>
      <c r="AV20" s="1270">
        <f t="shared" si="12"/>
        <v>78.436728395061735</v>
      </c>
      <c r="AW20" s="1270">
        <f t="shared" si="13"/>
        <v>13.822530864197532</v>
      </c>
      <c r="AX20" s="1270" t="str">
        <f t="shared" si="14"/>
        <v/>
      </c>
      <c r="AY20" s="1270">
        <f t="shared" si="15"/>
        <v>4.763456790123457</v>
      </c>
      <c r="AZ20" s="1270" t="str">
        <f t="shared" si="16"/>
        <v/>
      </c>
      <c r="BA20" s="1270" t="str">
        <f t="shared" si="17"/>
        <v/>
      </c>
      <c r="BB20" s="1371">
        <f t="shared" si="18"/>
        <v>141.09777777777779</v>
      </c>
      <c r="BC20" s="1369">
        <f t="shared" si="19"/>
        <v>0</v>
      </c>
      <c r="BD20" s="1270" t="str">
        <f t="shared" si="20"/>
        <v/>
      </c>
      <c r="BE20" s="1270" t="str">
        <f t="shared" si="21"/>
        <v/>
      </c>
      <c r="BF20" s="1270">
        <f t="shared" si="22"/>
        <v>1604.9473305164063</v>
      </c>
      <c r="BG20" s="1270">
        <f t="shared" si="23"/>
        <v>3523.6127064960938</v>
      </c>
      <c r="BH20" s="1270">
        <f t="shared" si="24"/>
        <v>1125.3149910234374</v>
      </c>
      <c r="BI20" s="1270" t="str">
        <f t="shared" si="25"/>
        <v/>
      </c>
      <c r="BJ20" s="1270">
        <f t="shared" si="26"/>
        <v>387.71699216249999</v>
      </c>
      <c r="BK20" s="1270" t="str">
        <f t="shared" si="27"/>
        <v/>
      </c>
      <c r="BL20" s="1270" t="str">
        <f t="shared" si="28"/>
        <v/>
      </c>
      <c r="BM20" s="1371">
        <f t="shared" si="29"/>
        <v>6641.5920201984381</v>
      </c>
      <c r="BN20" s="1372">
        <f t="shared" si="30"/>
        <v>6641.5920201984381</v>
      </c>
      <c r="BO20" s="1372">
        <f t="shared" si="31"/>
        <v>0</v>
      </c>
      <c r="BP20" s="1372">
        <f t="shared" si="32"/>
        <v>0</v>
      </c>
      <c r="BQ20" s="1374">
        <f t="shared" si="33"/>
        <v>1</v>
      </c>
      <c r="BR20" s="1251">
        <f t="shared" si="34"/>
        <v>0</v>
      </c>
      <c r="BS20" s="1403">
        <f t="shared" si="35"/>
        <v>231.02765432098766</v>
      </c>
      <c r="BT20" s="1372">
        <f t="shared" si="36"/>
        <v>0</v>
      </c>
      <c r="BU20" s="1372">
        <f t="shared" si="37"/>
        <v>0</v>
      </c>
      <c r="BV20" s="1372">
        <f t="shared" si="38"/>
        <v>0</v>
      </c>
      <c r="BW20" s="1372">
        <f t="shared" si="39"/>
        <v>0</v>
      </c>
      <c r="BX20" s="1372">
        <f t="shared" si="40"/>
        <v>0</v>
      </c>
      <c r="BY20" s="1372">
        <f t="shared" si="41"/>
        <v>0</v>
      </c>
      <c r="BZ20" s="1372">
        <f t="shared" si="42"/>
        <v>0</v>
      </c>
      <c r="CA20" s="1372">
        <f t="shared" si="43"/>
        <v>0</v>
      </c>
      <c r="CB20" s="1404">
        <f t="shared" si="44"/>
        <v>0</v>
      </c>
      <c r="CC20" s="1374">
        <f t="shared" si="98"/>
        <v>231.02765432098766</v>
      </c>
      <c r="CD20" s="1374">
        <f t="shared" si="45"/>
        <v>6872</v>
      </c>
      <c r="CE20" s="1374">
        <f t="shared" si="46"/>
        <v>421</v>
      </c>
      <c r="CF20" s="1378">
        <f t="shared" si="47"/>
        <v>0</v>
      </c>
      <c r="CG20" s="1378">
        <f t="shared" si="48"/>
        <v>0</v>
      </c>
      <c r="CH20" s="1378">
        <f t="shared" si="49"/>
        <v>0</v>
      </c>
      <c r="CI20" s="1374">
        <f t="shared" si="50"/>
        <v>6872</v>
      </c>
      <c r="CJ20" s="1374">
        <f t="shared" si="51"/>
        <v>42.419753086419753</v>
      </c>
      <c r="CK20" s="1374" t="str">
        <f t="shared" si="52"/>
        <v/>
      </c>
      <c r="CL20" s="1374">
        <f t="shared" si="53"/>
        <v>6641.5920201984381</v>
      </c>
      <c r="CM20" s="1379">
        <f t="shared" si="54"/>
        <v>74563.837661573198</v>
      </c>
      <c r="CN20" s="628">
        <f>(BS20*Pricing!F$3+BT20*Pricing!G$3+BU20*Pricing!H$3+BV20*Pricing!I$3+BW20*Pricing!J$3+BX20*Pricing!K$3+BY20*Pricing!L$3+BZ20*Pricing!M$3+CA20*Pricing!N$3+CB20*Pricing!O$3)*IF(W$44="N",(1+Y$44),1)</f>
        <v>33511.716397530865</v>
      </c>
      <c r="CO20" s="628">
        <f t="shared" si="55"/>
        <v>4313.7140171188857</v>
      </c>
      <c r="CP20" s="1380">
        <f t="shared" si="56"/>
        <v>0</v>
      </c>
      <c r="CQ20" s="628">
        <f t="shared" si="57"/>
        <v>12713.2</v>
      </c>
      <c r="CR20" s="628">
        <f t="shared" si="58"/>
        <v>0</v>
      </c>
      <c r="CS20" s="628"/>
      <c r="CT20" s="1381">
        <f t="shared" si="59"/>
        <v>847.27840403968764</v>
      </c>
      <c r="CU20" s="628">
        <f t="shared" si="60"/>
        <v>0</v>
      </c>
      <c r="CV20" s="628">
        <f t="shared" si="61"/>
        <v>2179.7124999999996</v>
      </c>
      <c r="CW20" s="628">
        <f t="shared" si="62"/>
        <v>5503.3564159057369</v>
      </c>
      <c r="CX20" s="628">
        <f t="shared" si="63"/>
        <v>3697.4401415748607</v>
      </c>
      <c r="CY20" s="628">
        <f t="shared" si="64"/>
        <v>3865.6584611744811</v>
      </c>
      <c r="CZ20" s="628">
        <f t="shared" si="65"/>
        <v>460.6777563274411</v>
      </c>
      <c r="DA20" s="628">
        <f t="shared" si="66"/>
        <v>6323.0990000000002</v>
      </c>
      <c r="DB20" s="628">
        <f t="shared" si="67"/>
        <v>0</v>
      </c>
      <c r="DC20" s="628">
        <f t="shared" si="68"/>
        <v>0</v>
      </c>
      <c r="DD20" s="628">
        <f t="shared" si="69"/>
        <v>1147.9845679012344</v>
      </c>
      <c r="DE20" s="1382">
        <f t="shared" si="70"/>
        <v>0</v>
      </c>
      <c r="DF20" s="626">
        <f t="shared" si="71"/>
        <v>0</v>
      </c>
      <c r="DG20" s="626">
        <f t="shared" si="72"/>
        <v>0</v>
      </c>
      <c r="DH20" s="626">
        <f t="shared" si="73"/>
        <v>0</v>
      </c>
      <c r="DI20" s="626">
        <f t="shared" si="74"/>
        <v>2245.333333333333</v>
      </c>
      <c r="DJ20" s="626">
        <f t="shared" si="75"/>
        <v>4795</v>
      </c>
      <c r="DK20" s="626">
        <f t="shared" si="76"/>
        <v>845</v>
      </c>
      <c r="DL20" s="626">
        <f t="shared" si="77"/>
        <v>0</v>
      </c>
      <c r="DM20" s="626">
        <f t="shared" si="78"/>
        <v>485.33333333333331</v>
      </c>
      <c r="DN20" s="626">
        <f t="shared" si="79"/>
        <v>0</v>
      </c>
      <c r="DO20" s="626">
        <f t="shared" si="80"/>
        <v>0</v>
      </c>
      <c r="DP20" s="1405">
        <f t="shared" si="81"/>
        <v>6872</v>
      </c>
      <c r="DQ20" s="1270">
        <f t="shared" si="82"/>
        <v>28.586419753086417</v>
      </c>
      <c r="DR20" s="1270">
        <f t="shared" si="83"/>
        <v>49.331275720164612</v>
      </c>
      <c r="DS20" s="1270">
        <f t="shared" si="84"/>
        <v>8.6934156378600829</v>
      </c>
      <c r="DT20" s="1270" t="str">
        <f t="shared" si="85"/>
        <v/>
      </c>
      <c r="DU20" s="1270">
        <f t="shared" si="86"/>
        <v>3.0895061728395059</v>
      </c>
      <c r="DV20" s="1270" t="str">
        <f t="shared" si="87"/>
        <v/>
      </c>
      <c r="DW20" s="1270" t="str">
        <f t="shared" si="88"/>
        <v/>
      </c>
      <c r="DX20" s="1371">
        <f t="shared" si="89"/>
        <v>-11.512345679012341</v>
      </c>
      <c r="DY20" s="1270">
        <f t="shared" si="90"/>
        <v>421</v>
      </c>
      <c r="DZ20" s="1270">
        <f t="shared" si="91"/>
        <v>799.16666666666674</v>
      </c>
      <c r="EA20" s="1270">
        <f t="shared" si="92"/>
        <v>140.83333333333334</v>
      </c>
      <c r="EB20" s="1270" t="str">
        <f t="shared" si="93"/>
        <v/>
      </c>
      <c r="EC20" s="1270">
        <f t="shared" si="94"/>
        <v>45.5</v>
      </c>
      <c r="ED20" s="1270" t="str">
        <f t="shared" si="95"/>
        <v/>
      </c>
      <c r="EE20" s="1270" t="str">
        <f t="shared" si="96"/>
        <v/>
      </c>
      <c r="EF20" s="1371">
        <f t="shared" si="97"/>
        <v>1406.5</v>
      </c>
    </row>
    <row r="21" spans="1:136" ht="19.5" customHeight="1">
      <c r="A21" s="18" t="s">
        <v>1077</v>
      </c>
      <c r="B21" s="1385" t="s">
        <v>1564</v>
      </c>
      <c r="C21" s="1386"/>
      <c r="D21" s="1387">
        <v>6217</v>
      </c>
      <c r="E21" s="1388"/>
      <c r="F21" s="984">
        <v>4</v>
      </c>
      <c r="G21" s="1389">
        <v>1</v>
      </c>
      <c r="H21" s="984" t="s">
        <v>1302</v>
      </c>
      <c r="I21" s="1389">
        <v>1</v>
      </c>
      <c r="J21" s="984">
        <v>2</v>
      </c>
      <c r="K21" s="1390">
        <v>446</v>
      </c>
      <c r="L21" s="1391"/>
      <c r="M21" s="1392"/>
      <c r="N21" s="1393"/>
      <c r="O21" s="1394"/>
      <c r="P21" s="1351">
        <f t="shared" si="0"/>
        <v>7386.8030198273445</v>
      </c>
      <c r="Q21" s="1352">
        <f t="shared" si="1"/>
        <v>231.45950617283955</v>
      </c>
      <c r="R21" s="1353">
        <f t="shared" si="2"/>
        <v>13.567752195461763</v>
      </c>
      <c r="S21" s="1354">
        <f t="shared" si="3"/>
        <v>84350.715399185778</v>
      </c>
      <c r="T21" s="1355">
        <f t="shared" si="4"/>
        <v>183</v>
      </c>
      <c r="U21" s="1356">
        <f t="shared" si="5"/>
        <v>5210.8530198273447</v>
      </c>
      <c r="V21" s="1357">
        <f t="shared" si="6"/>
        <v>24.226172839506233</v>
      </c>
      <c r="W21" s="1395">
        <v>9</v>
      </c>
      <c r="X21" s="1396">
        <v>183</v>
      </c>
      <c r="Y21" s="1395"/>
      <c r="Z21" s="1413"/>
      <c r="AA21" s="1395"/>
      <c r="AB21" s="1413"/>
      <c r="AC21" s="1398">
        <v>1</v>
      </c>
      <c r="AD21" s="1396">
        <v>446</v>
      </c>
      <c r="AE21" s="1395">
        <v>2</v>
      </c>
      <c r="AF21" s="1399">
        <v>1077</v>
      </c>
      <c r="AG21" s="1400">
        <v>3</v>
      </c>
      <c r="AH21" s="1399">
        <v>47</v>
      </c>
      <c r="AI21" s="1401"/>
      <c r="AJ21" s="1396"/>
      <c r="AK21" s="1401">
        <v>5</v>
      </c>
      <c r="AL21" s="1399">
        <v>82</v>
      </c>
      <c r="AM21" s="1395"/>
      <c r="AN21" s="1414"/>
      <c r="AO21" s="1395"/>
      <c r="AP21" s="1413"/>
      <c r="AQ21" s="1275">
        <f t="shared" si="7"/>
        <v>26.859989908375297</v>
      </c>
      <c r="AR21" s="1369">
        <f t="shared" si="8"/>
        <v>7.184444444444444</v>
      </c>
      <c r="AS21" s="1270" t="str">
        <f t="shared" si="9"/>
        <v/>
      </c>
      <c r="AT21" s="1270" t="str">
        <f t="shared" si="10"/>
        <v/>
      </c>
      <c r="AU21" s="1270">
        <f t="shared" si="11"/>
        <v>46.692345679012348</v>
      </c>
      <c r="AV21" s="1270">
        <f t="shared" si="12"/>
        <v>88.087962962962962</v>
      </c>
      <c r="AW21" s="1270">
        <f t="shared" si="13"/>
        <v>3.8441358024691361</v>
      </c>
      <c r="AX21" s="1270" t="str">
        <f t="shared" si="14"/>
        <v/>
      </c>
      <c r="AY21" s="1270">
        <f t="shared" si="15"/>
        <v>4.292345679012346</v>
      </c>
      <c r="AZ21" s="1270" t="str">
        <f t="shared" si="16"/>
        <v/>
      </c>
      <c r="BA21" s="1270" t="str">
        <f t="shared" si="17"/>
        <v/>
      </c>
      <c r="BB21" s="1371">
        <f t="shared" si="18"/>
        <v>150.10123456790126</v>
      </c>
      <c r="BC21" s="1369">
        <f t="shared" si="19"/>
        <v>1067.0461867828124</v>
      </c>
      <c r="BD21" s="1270" t="str">
        <f t="shared" si="20"/>
        <v/>
      </c>
      <c r="BE21" s="1270" t="str">
        <f t="shared" si="21"/>
        <v/>
      </c>
      <c r="BF21" s="1270">
        <f t="shared" si="22"/>
        <v>1700.2529914734375</v>
      </c>
      <c r="BG21" s="1270">
        <f t="shared" si="23"/>
        <v>3957.1750624570313</v>
      </c>
      <c r="BH21" s="1270">
        <f t="shared" si="24"/>
        <v>312.95742353906252</v>
      </c>
      <c r="BI21" s="1270" t="str">
        <f t="shared" si="25"/>
        <v/>
      </c>
      <c r="BJ21" s="1270">
        <f t="shared" si="26"/>
        <v>349.371355575</v>
      </c>
      <c r="BK21" s="1270" t="str">
        <f t="shared" si="27"/>
        <v/>
      </c>
      <c r="BL21" s="1270" t="str">
        <f t="shared" si="28"/>
        <v/>
      </c>
      <c r="BM21" s="1371">
        <f t="shared" si="29"/>
        <v>7386.8030198273445</v>
      </c>
      <c r="BN21" s="1372">
        <f t="shared" si="30"/>
        <v>7386.8030198273445</v>
      </c>
      <c r="BO21" s="1372">
        <f t="shared" si="31"/>
        <v>0</v>
      </c>
      <c r="BP21" s="1372">
        <f t="shared" si="32"/>
        <v>0</v>
      </c>
      <c r="BQ21" s="1374">
        <f t="shared" si="33"/>
        <v>1</v>
      </c>
      <c r="BR21" s="1251">
        <f t="shared" si="34"/>
        <v>0</v>
      </c>
      <c r="BS21" s="1403">
        <f t="shared" si="35"/>
        <v>231.45950617283955</v>
      </c>
      <c r="BT21" s="1372">
        <f t="shared" si="36"/>
        <v>0</v>
      </c>
      <c r="BU21" s="1372">
        <f t="shared" si="37"/>
        <v>0</v>
      </c>
      <c r="BV21" s="1372">
        <f t="shared" si="38"/>
        <v>0</v>
      </c>
      <c r="BW21" s="1372">
        <f t="shared" si="39"/>
        <v>0</v>
      </c>
      <c r="BX21" s="1372">
        <f t="shared" si="40"/>
        <v>0</v>
      </c>
      <c r="BY21" s="1372">
        <f t="shared" si="41"/>
        <v>0</v>
      </c>
      <c r="BZ21" s="1372">
        <f t="shared" si="42"/>
        <v>0</v>
      </c>
      <c r="CA21" s="1372">
        <f t="shared" si="43"/>
        <v>0</v>
      </c>
      <c r="CB21" s="1404">
        <f t="shared" si="44"/>
        <v>0</v>
      </c>
      <c r="CC21" s="1374">
        <f t="shared" si="98"/>
        <v>231.45950617283955</v>
      </c>
      <c r="CD21" s="1374">
        <f t="shared" si="45"/>
        <v>6217</v>
      </c>
      <c r="CE21" s="1374">
        <f t="shared" si="46"/>
        <v>446</v>
      </c>
      <c r="CF21" s="1378">
        <f t="shared" si="47"/>
        <v>183</v>
      </c>
      <c r="CG21" s="1378">
        <f t="shared" si="48"/>
        <v>0</v>
      </c>
      <c r="CH21" s="1378">
        <f t="shared" si="49"/>
        <v>0</v>
      </c>
      <c r="CI21" s="1374">
        <f t="shared" si="50"/>
        <v>6217</v>
      </c>
      <c r="CJ21" s="1374">
        <f t="shared" si="51"/>
        <v>38.376543209876544</v>
      </c>
      <c r="CK21" s="1374" t="str">
        <f t="shared" si="52"/>
        <v/>
      </c>
      <c r="CL21" s="1374">
        <f t="shared" si="53"/>
        <v>7386.8030198273445</v>
      </c>
      <c r="CM21" s="1379">
        <f t="shared" si="54"/>
        <v>73348.448173205034</v>
      </c>
      <c r="CN21" s="628">
        <f>(BS21*Pricing!F$3+BT21*Pricing!G$3+BU21*Pricing!H$3+BV21*Pricing!I$3+BW21*Pricing!J$3+BX21*Pricing!K$3+BY21*Pricing!L$3+BZ21*Pricing!M$3+CA21*Pricing!N$3+CB21*Pricing!O$3)*IF(W$44="N",(1+Y$44),1)</f>
        <v>33574.358667901244</v>
      </c>
      <c r="CO21" s="628">
        <f t="shared" si="55"/>
        <v>4797.7285613778595</v>
      </c>
      <c r="CP21" s="1380">
        <f t="shared" si="56"/>
        <v>0</v>
      </c>
      <c r="CQ21" s="628">
        <f t="shared" si="57"/>
        <v>11501.45</v>
      </c>
      <c r="CR21" s="628">
        <f t="shared" si="58"/>
        <v>1464</v>
      </c>
      <c r="CS21" s="628"/>
      <c r="CT21" s="1381">
        <f t="shared" si="59"/>
        <v>1042.1706039654689</v>
      </c>
      <c r="CU21" s="628">
        <f t="shared" si="60"/>
        <v>0</v>
      </c>
      <c r="CV21" s="628">
        <f t="shared" si="61"/>
        <v>1971.9546874999996</v>
      </c>
      <c r="CW21" s="628">
        <f t="shared" si="62"/>
        <v>4978.8077470439421</v>
      </c>
      <c r="CX21" s="628">
        <f t="shared" si="63"/>
        <v>3345.0211525277809</v>
      </c>
      <c r="CY21" s="628">
        <f t="shared" si="64"/>
        <v>3497.2058575555511</v>
      </c>
      <c r="CZ21" s="628">
        <f t="shared" si="65"/>
        <v>416.7685697159053</v>
      </c>
      <c r="DA21" s="628">
        <f t="shared" si="66"/>
        <v>5720.4171249999999</v>
      </c>
      <c r="DB21" s="628">
        <f t="shared" si="67"/>
        <v>0</v>
      </c>
      <c r="DC21" s="628">
        <f t="shared" si="68"/>
        <v>0</v>
      </c>
      <c r="DD21" s="628">
        <f t="shared" si="69"/>
        <v>1038.5652006172841</v>
      </c>
      <c r="DE21" s="1382">
        <f t="shared" si="70"/>
        <v>0</v>
      </c>
      <c r="DF21" s="626">
        <f t="shared" si="71"/>
        <v>366</v>
      </c>
      <c r="DG21" s="626">
        <f t="shared" si="72"/>
        <v>0</v>
      </c>
      <c r="DH21" s="626">
        <f t="shared" si="73"/>
        <v>0</v>
      </c>
      <c r="DI21" s="626">
        <f t="shared" si="74"/>
        <v>2378.6666666666665</v>
      </c>
      <c r="DJ21" s="626">
        <f t="shared" si="75"/>
        <v>5385</v>
      </c>
      <c r="DK21" s="626">
        <f t="shared" si="76"/>
        <v>235</v>
      </c>
      <c r="DL21" s="626">
        <f t="shared" si="77"/>
        <v>0</v>
      </c>
      <c r="DM21" s="626">
        <f t="shared" si="78"/>
        <v>437.33333333333331</v>
      </c>
      <c r="DN21" s="626">
        <f t="shared" si="79"/>
        <v>0</v>
      </c>
      <c r="DO21" s="626">
        <f t="shared" si="80"/>
        <v>0</v>
      </c>
      <c r="DP21" s="1405">
        <f t="shared" si="81"/>
        <v>6217</v>
      </c>
      <c r="DQ21" s="1270">
        <f t="shared" si="82"/>
        <v>30.283950617283949</v>
      </c>
      <c r="DR21" s="1270">
        <f t="shared" si="83"/>
        <v>55.401234567901234</v>
      </c>
      <c r="DS21" s="1270">
        <f t="shared" si="84"/>
        <v>2.4176954732510287</v>
      </c>
      <c r="DT21" s="1270" t="str">
        <f t="shared" si="85"/>
        <v/>
      </c>
      <c r="DU21" s="1270">
        <f t="shared" si="86"/>
        <v>2.7839506172839505</v>
      </c>
      <c r="DV21" s="1270" t="str">
        <f t="shared" si="87"/>
        <v/>
      </c>
      <c r="DW21" s="1270" t="str">
        <f t="shared" si="88"/>
        <v/>
      </c>
      <c r="DX21" s="1371">
        <f t="shared" si="89"/>
        <v>2.1213991769547391</v>
      </c>
      <c r="DY21" s="1270">
        <f t="shared" si="90"/>
        <v>446</v>
      </c>
      <c r="DZ21" s="1270">
        <f t="shared" si="91"/>
        <v>897.5</v>
      </c>
      <c r="EA21" s="1270">
        <f t="shared" si="92"/>
        <v>39.166666666666671</v>
      </c>
      <c r="EB21" s="1270" t="str">
        <f t="shared" si="93"/>
        <v/>
      </c>
      <c r="EC21" s="1270">
        <f t="shared" si="94"/>
        <v>41</v>
      </c>
      <c r="ED21" s="1270" t="str">
        <f t="shared" si="95"/>
        <v/>
      </c>
      <c r="EE21" s="1270" t="str">
        <f t="shared" si="96"/>
        <v/>
      </c>
      <c r="EF21" s="1371">
        <f t="shared" si="97"/>
        <v>1423.6666666666667</v>
      </c>
    </row>
    <row r="22" spans="1:136" ht="19.5" customHeight="1">
      <c r="A22" s="18" t="s">
        <v>1078</v>
      </c>
      <c r="B22" s="1341" t="s">
        <v>1565</v>
      </c>
      <c r="C22" s="1342"/>
      <c r="D22" s="1343">
        <v>2153</v>
      </c>
      <c r="E22" s="1344"/>
      <c r="F22" s="984">
        <v>4</v>
      </c>
      <c r="G22" s="1389">
        <v>1</v>
      </c>
      <c r="H22" s="984" t="s">
        <v>1302</v>
      </c>
      <c r="I22" s="1389">
        <v>1</v>
      </c>
      <c r="J22" s="984">
        <v>2</v>
      </c>
      <c r="K22" s="1390">
        <v>208</v>
      </c>
      <c r="L22" s="503"/>
      <c r="M22" s="834"/>
      <c r="N22" s="1349"/>
      <c r="O22" s="1350"/>
      <c r="P22" s="1351">
        <f t="shared" si="0"/>
        <v>2314.4799164953124</v>
      </c>
      <c r="Q22" s="1352">
        <f t="shared" si="1"/>
        <v>76.120432098765434</v>
      </c>
      <c r="R22" s="1353">
        <f t="shared" si="2"/>
        <v>13.057437131265834</v>
      </c>
      <c r="S22" s="1354">
        <f t="shared" si="3"/>
        <v>28112.66214361534</v>
      </c>
      <c r="T22" s="1355">
        <f t="shared" si="4"/>
        <v>43</v>
      </c>
      <c r="U22" s="1356">
        <f t="shared" si="5"/>
        <v>1560.9299164953125</v>
      </c>
      <c r="V22" s="1357">
        <f t="shared" si="6"/>
        <v>4.3537654320987684</v>
      </c>
      <c r="W22" s="1347">
        <v>9</v>
      </c>
      <c r="X22" s="1362">
        <v>43</v>
      </c>
      <c r="Y22" s="503"/>
      <c r="Z22" s="1410"/>
      <c r="AA22" s="503"/>
      <c r="AB22" s="1410"/>
      <c r="AC22" s="1361">
        <v>1</v>
      </c>
      <c r="AD22" s="1362">
        <v>208</v>
      </c>
      <c r="AE22" s="1347">
        <v>2</v>
      </c>
      <c r="AF22" s="1363">
        <v>242</v>
      </c>
      <c r="AG22" s="1364">
        <v>3</v>
      </c>
      <c r="AH22" s="1363">
        <v>33</v>
      </c>
      <c r="AI22" s="1365"/>
      <c r="AJ22" s="1366"/>
      <c r="AK22" s="1367">
        <v>5</v>
      </c>
      <c r="AL22" s="1363">
        <v>38</v>
      </c>
      <c r="AM22" s="503"/>
      <c r="AN22" s="1411"/>
      <c r="AO22" s="503"/>
      <c r="AP22" s="1410"/>
      <c r="AQ22" s="1275">
        <f t="shared" si="7"/>
        <v>28.284127410187399</v>
      </c>
      <c r="AR22" s="1369">
        <f t="shared" si="8"/>
        <v>1.6881481481481482</v>
      </c>
      <c r="AS22" s="1270" t="str">
        <f t="shared" si="9"/>
        <v/>
      </c>
      <c r="AT22" s="1270" t="str">
        <f t="shared" si="10"/>
        <v/>
      </c>
      <c r="AU22" s="1270">
        <f t="shared" si="11"/>
        <v>21.775802469135801</v>
      </c>
      <c r="AV22" s="1270">
        <f t="shared" si="12"/>
        <v>19.793209876543209</v>
      </c>
      <c r="AW22" s="1270">
        <f t="shared" si="13"/>
        <v>2.699074074074074</v>
      </c>
      <c r="AX22" s="1270" t="str">
        <f t="shared" si="14"/>
        <v/>
      </c>
      <c r="AY22" s="1270">
        <f t="shared" si="15"/>
        <v>1.9891358024691359</v>
      </c>
      <c r="AZ22" s="1270" t="str">
        <f t="shared" si="16"/>
        <v/>
      </c>
      <c r="BA22" s="1270" t="str">
        <f t="shared" si="17"/>
        <v/>
      </c>
      <c r="BB22" s="1371">
        <f t="shared" si="18"/>
        <v>47.94537037037037</v>
      </c>
      <c r="BC22" s="1369">
        <f t="shared" si="19"/>
        <v>250.72669962656249</v>
      </c>
      <c r="BD22" s="1270" t="str">
        <f t="shared" si="20"/>
        <v/>
      </c>
      <c r="BE22" s="1270" t="str">
        <f t="shared" si="21"/>
        <v/>
      </c>
      <c r="BF22" s="1270">
        <f t="shared" si="22"/>
        <v>792.94309916249995</v>
      </c>
      <c r="BG22" s="1270">
        <f t="shared" si="23"/>
        <v>889.17025544531248</v>
      </c>
      <c r="BH22" s="1270">
        <f t="shared" si="24"/>
        <v>219.7360633359375</v>
      </c>
      <c r="BI22" s="1270" t="str">
        <f t="shared" si="25"/>
        <v/>
      </c>
      <c r="BJ22" s="1270">
        <f t="shared" si="26"/>
        <v>161.90379892499999</v>
      </c>
      <c r="BK22" s="1270" t="str">
        <f t="shared" si="27"/>
        <v/>
      </c>
      <c r="BL22" s="1270" t="str">
        <f t="shared" si="28"/>
        <v/>
      </c>
      <c r="BM22" s="1371">
        <f t="shared" si="29"/>
        <v>2314.4799164953124</v>
      </c>
      <c r="BN22" s="1372">
        <f t="shared" si="30"/>
        <v>2314.4799164953124</v>
      </c>
      <c r="BO22" s="1372">
        <f t="shared" si="31"/>
        <v>0</v>
      </c>
      <c r="BP22" s="1372">
        <f t="shared" si="32"/>
        <v>0</v>
      </c>
      <c r="BQ22" s="1374">
        <f t="shared" si="33"/>
        <v>1</v>
      </c>
      <c r="BR22" s="1251">
        <f t="shared" si="34"/>
        <v>0</v>
      </c>
      <c r="BS22" s="1403">
        <f t="shared" si="35"/>
        <v>76.120432098765434</v>
      </c>
      <c r="BT22" s="1372">
        <f t="shared" si="36"/>
        <v>0</v>
      </c>
      <c r="BU22" s="1372">
        <f t="shared" si="37"/>
        <v>0</v>
      </c>
      <c r="BV22" s="1372">
        <f t="shared" si="38"/>
        <v>0</v>
      </c>
      <c r="BW22" s="1372">
        <f t="shared" si="39"/>
        <v>0</v>
      </c>
      <c r="BX22" s="1372">
        <f t="shared" si="40"/>
        <v>0</v>
      </c>
      <c r="BY22" s="1372">
        <f t="shared" si="41"/>
        <v>0</v>
      </c>
      <c r="BZ22" s="1372">
        <f t="shared" si="42"/>
        <v>0</v>
      </c>
      <c r="CA22" s="1372">
        <f t="shared" si="43"/>
        <v>0</v>
      </c>
      <c r="CB22" s="1404">
        <f t="shared" si="44"/>
        <v>0</v>
      </c>
      <c r="CC22" s="1374">
        <f t="shared" si="98"/>
        <v>76.120432098765434</v>
      </c>
      <c r="CD22" s="1374">
        <f t="shared" si="45"/>
        <v>2153</v>
      </c>
      <c r="CE22" s="1374">
        <f t="shared" si="46"/>
        <v>208</v>
      </c>
      <c r="CF22" s="1378">
        <f t="shared" si="47"/>
        <v>43</v>
      </c>
      <c r="CG22" s="1378">
        <f t="shared" si="48"/>
        <v>0</v>
      </c>
      <c r="CH22" s="1378">
        <f t="shared" si="49"/>
        <v>0</v>
      </c>
      <c r="CI22" s="1374">
        <f t="shared" si="50"/>
        <v>2153</v>
      </c>
      <c r="CJ22" s="1374">
        <f t="shared" si="51"/>
        <v>13.290123456790123</v>
      </c>
      <c r="CK22" s="1374" t="str">
        <f t="shared" si="52"/>
        <v/>
      </c>
      <c r="CL22" s="1374">
        <f t="shared" si="53"/>
        <v>2314.4799164953124</v>
      </c>
      <c r="CM22" s="1379">
        <f t="shared" si="54"/>
        <v>24445.793168361168</v>
      </c>
      <c r="CN22" s="628">
        <f>(BS22*Pricing!F$3+BT22*Pricing!G$3+BU22*Pricing!H$3+BV22*Pricing!I$3+BW22*Pricing!J$3+BX22*Pricing!K$3+BY22*Pricing!L$3+BZ22*Pricing!M$3+CA22*Pricing!N$3+CB22*Pricing!O$3)*IF(W$44="N",(1+Y$44),1)</f>
        <v>11041.649278086419</v>
      </c>
      <c r="CO22" s="628">
        <f t="shared" si="55"/>
        <v>1503.2547057637053</v>
      </c>
      <c r="CP22" s="1380">
        <f t="shared" si="56"/>
        <v>0</v>
      </c>
      <c r="CQ22" s="628">
        <f t="shared" si="57"/>
        <v>3983.05</v>
      </c>
      <c r="CR22" s="628">
        <f t="shared" si="58"/>
        <v>344</v>
      </c>
      <c r="CS22" s="628"/>
      <c r="CT22" s="1381">
        <f t="shared" si="59"/>
        <v>312.18598329906251</v>
      </c>
      <c r="CU22" s="628">
        <f t="shared" si="60"/>
        <v>0</v>
      </c>
      <c r="CV22" s="628">
        <f t="shared" si="61"/>
        <v>682.90468749999991</v>
      </c>
      <c r="CW22" s="628">
        <f t="shared" si="62"/>
        <v>1724.2034871136573</v>
      </c>
      <c r="CX22" s="628">
        <f t="shared" si="63"/>
        <v>1158.4092876616232</v>
      </c>
      <c r="CY22" s="628">
        <f t="shared" si="64"/>
        <v>1211.1121459413064</v>
      </c>
      <c r="CZ22" s="628">
        <f t="shared" si="65"/>
        <v>144.33050194601</v>
      </c>
      <c r="DA22" s="628">
        <f t="shared" si="66"/>
        <v>1981.029125</v>
      </c>
      <c r="DB22" s="628">
        <f t="shared" si="67"/>
        <v>0</v>
      </c>
      <c r="DC22" s="628">
        <f t="shared" si="68"/>
        <v>0</v>
      </c>
      <c r="DD22" s="628">
        <f t="shared" si="69"/>
        <v>359.66396604938268</v>
      </c>
      <c r="DE22" s="1382">
        <f t="shared" si="70"/>
        <v>0</v>
      </c>
      <c r="DF22" s="626">
        <f t="shared" si="71"/>
        <v>86</v>
      </c>
      <c r="DG22" s="626">
        <f t="shared" si="72"/>
        <v>0</v>
      </c>
      <c r="DH22" s="626">
        <f t="shared" si="73"/>
        <v>0</v>
      </c>
      <c r="DI22" s="626">
        <f t="shared" si="74"/>
        <v>1109.3333333333333</v>
      </c>
      <c r="DJ22" s="626">
        <f t="shared" si="75"/>
        <v>1210</v>
      </c>
      <c r="DK22" s="626">
        <f t="shared" si="76"/>
        <v>165</v>
      </c>
      <c r="DL22" s="626">
        <f t="shared" si="77"/>
        <v>0</v>
      </c>
      <c r="DM22" s="626">
        <f t="shared" si="78"/>
        <v>202.66666666666666</v>
      </c>
      <c r="DN22" s="626">
        <f t="shared" si="79"/>
        <v>0</v>
      </c>
      <c r="DO22" s="626">
        <f t="shared" si="80"/>
        <v>0</v>
      </c>
      <c r="DP22" s="1405">
        <f t="shared" si="81"/>
        <v>2153</v>
      </c>
      <c r="DQ22" s="1270">
        <f t="shared" si="82"/>
        <v>14.123456790123456</v>
      </c>
      <c r="DR22" s="1270">
        <f t="shared" si="83"/>
        <v>12.448559670781894</v>
      </c>
      <c r="DS22" s="1270">
        <f t="shared" si="84"/>
        <v>1.6975308641975309</v>
      </c>
      <c r="DT22" s="1270" t="str">
        <f t="shared" si="85"/>
        <v/>
      </c>
      <c r="DU22" s="1270">
        <f t="shared" si="86"/>
        <v>1.2901234567901234</v>
      </c>
      <c r="DV22" s="1270" t="str">
        <f t="shared" si="87"/>
        <v/>
      </c>
      <c r="DW22" s="1270" t="str">
        <f t="shared" si="88"/>
        <v/>
      </c>
      <c r="DX22" s="1371">
        <f t="shared" si="89"/>
        <v>-1.8631687242798343</v>
      </c>
      <c r="DY22" s="1270">
        <f t="shared" si="90"/>
        <v>208</v>
      </c>
      <c r="DZ22" s="1270">
        <f t="shared" si="91"/>
        <v>201.66666666666669</v>
      </c>
      <c r="EA22" s="1270">
        <f t="shared" si="92"/>
        <v>27.5</v>
      </c>
      <c r="EB22" s="1270" t="str">
        <f t="shared" si="93"/>
        <v/>
      </c>
      <c r="EC22" s="1270">
        <f t="shared" si="94"/>
        <v>19</v>
      </c>
      <c r="ED22" s="1270" t="str">
        <f t="shared" si="95"/>
        <v/>
      </c>
      <c r="EE22" s="1270" t="str">
        <f t="shared" si="96"/>
        <v/>
      </c>
      <c r="EF22" s="1371">
        <f t="shared" si="97"/>
        <v>456.16666666666669</v>
      </c>
    </row>
    <row r="23" spans="1:136" ht="19.5" customHeight="1">
      <c r="A23" s="18" t="s">
        <v>1328</v>
      </c>
      <c r="B23" s="1385" t="s">
        <v>1566</v>
      </c>
      <c r="C23" s="1386"/>
      <c r="D23" s="1387">
        <v>2440</v>
      </c>
      <c r="E23" s="1388"/>
      <c r="F23" s="984">
        <v>4</v>
      </c>
      <c r="G23" s="1389">
        <v>1</v>
      </c>
      <c r="H23" s="984" t="s">
        <v>1302</v>
      </c>
      <c r="I23" s="1389">
        <v>1</v>
      </c>
      <c r="J23" s="984">
        <v>2</v>
      </c>
      <c r="K23" s="1390">
        <v>228</v>
      </c>
      <c r="L23" s="1391"/>
      <c r="M23" s="1392"/>
      <c r="N23" s="1393"/>
      <c r="O23" s="1394"/>
      <c r="P23" s="1351">
        <f t="shared" si="0"/>
        <v>2355.4551088148437</v>
      </c>
      <c r="Q23" s="1352">
        <f t="shared" si="1"/>
        <v>85.45759259259259</v>
      </c>
      <c r="R23" s="1353">
        <f t="shared" si="2"/>
        <v>12.711204028734068</v>
      </c>
      <c r="S23" s="1354">
        <f t="shared" si="3"/>
        <v>31015.337830111126</v>
      </c>
      <c r="T23" s="1355">
        <f t="shared" si="4"/>
        <v>0</v>
      </c>
      <c r="U23" s="1356">
        <f t="shared" si="5"/>
        <v>1501.4551088148437</v>
      </c>
      <c r="V23" s="1357">
        <f t="shared" si="6"/>
        <v>4.1242592592592615</v>
      </c>
      <c r="W23" s="1395">
        <v>9</v>
      </c>
      <c r="X23" s="1396"/>
      <c r="Y23" s="1395"/>
      <c r="Z23" s="1397"/>
      <c r="AA23" s="1395"/>
      <c r="AB23" s="1397"/>
      <c r="AC23" s="1398">
        <v>1</v>
      </c>
      <c r="AD23" s="1396">
        <v>228</v>
      </c>
      <c r="AE23" s="1395">
        <v>2</v>
      </c>
      <c r="AF23" s="1399">
        <v>311</v>
      </c>
      <c r="AG23" s="1400">
        <v>3</v>
      </c>
      <c r="AH23" s="1399">
        <v>42</v>
      </c>
      <c r="AI23" s="1401"/>
      <c r="AJ23" s="1396"/>
      <c r="AK23" s="1401">
        <v>5</v>
      </c>
      <c r="AL23" s="1417">
        <v>15</v>
      </c>
      <c r="AM23" s="1395"/>
      <c r="AN23" s="1402"/>
      <c r="AO23" s="1395"/>
      <c r="AP23" s="1397"/>
      <c r="AQ23" s="1275">
        <f t="shared" si="7"/>
        <v>28.552173376008462</v>
      </c>
      <c r="AR23" s="1369">
        <f t="shared" si="8"/>
        <v>0</v>
      </c>
      <c r="AS23" s="1270" t="str">
        <f t="shared" si="9"/>
        <v/>
      </c>
      <c r="AT23" s="1270" t="str">
        <f t="shared" si="10"/>
        <v/>
      </c>
      <c r="AU23" s="1270">
        <f t="shared" si="11"/>
        <v>23.869629629629628</v>
      </c>
      <c r="AV23" s="1270">
        <f t="shared" si="12"/>
        <v>25.436728395061728</v>
      </c>
      <c r="AW23" s="1270">
        <f t="shared" si="13"/>
        <v>3.4351851851851851</v>
      </c>
      <c r="AX23" s="1270" t="str">
        <f t="shared" si="14"/>
        <v/>
      </c>
      <c r="AY23" s="1270">
        <f t="shared" si="15"/>
        <v>0.78518518518518521</v>
      </c>
      <c r="AZ23" s="1270" t="str">
        <f t="shared" si="16"/>
        <v/>
      </c>
      <c r="BA23" s="1270" t="str">
        <f t="shared" si="17"/>
        <v/>
      </c>
      <c r="BB23" s="1371">
        <f t="shared" si="18"/>
        <v>53.526728395061724</v>
      </c>
      <c r="BC23" s="1369">
        <f t="shared" si="19"/>
        <v>0</v>
      </c>
      <c r="BD23" s="1270" t="str">
        <f t="shared" si="20"/>
        <v/>
      </c>
      <c r="BE23" s="1270" t="str">
        <f t="shared" si="21"/>
        <v/>
      </c>
      <c r="BF23" s="1270">
        <f t="shared" si="22"/>
        <v>869.18762792812493</v>
      </c>
      <c r="BG23" s="1270">
        <f t="shared" si="23"/>
        <v>1142.6940059648439</v>
      </c>
      <c r="BH23" s="1270">
        <f t="shared" si="24"/>
        <v>279.66408060937499</v>
      </c>
      <c r="BI23" s="1270" t="str">
        <f t="shared" si="25"/>
        <v/>
      </c>
      <c r="BJ23" s="1270">
        <f t="shared" si="26"/>
        <v>63.909394312499998</v>
      </c>
      <c r="BK23" s="1270" t="str">
        <f t="shared" si="27"/>
        <v/>
      </c>
      <c r="BL23" s="1270" t="str">
        <f t="shared" si="28"/>
        <v/>
      </c>
      <c r="BM23" s="1371">
        <f t="shared" si="29"/>
        <v>2355.4551088148437</v>
      </c>
      <c r="BN23" s="1372">
        <f t="shared" si="30"/>
        <v>2355.4551088148437</v>
      </c>
      <c r="BO23" s="1372">
        <f t="shared" si="31"/>
        <v>0</v>
      </c>
      <c r="BP23" s="1372">
        <f t="shared" si="32"/>
        <v>0</v>
      </c>
      <c r="BQ23" s="1374">
        <f t="shared" si="33"/>
        <v>1</v>
      </c>
      <c r="BR23" s="1251">
        <f t="shared" si="34"/>
        <v>0</v>
      </c>
      <c r="BS23" s="1403">
        <f t="shared" si="35"/>
        <v>85.45759259259259</v>
      </c>
      <c r="BT23" s="1372">
        <f t="shared" si="36"/>
        <v>0</v>
      </c>
      <c r="BU23" s="1372">
        <f t="shared" si="37"/>
        <v>0</v>
      </c>
      <c r="BV23" s="1372">
        <f t="shared" si="38"/>
        <v>0</v>
      </c>
      <c r="BW23" s="1372">
        <f t="shared" si="39"/>
        <v>0</v>
      </c>
      <c r="BX23" s="1372">
        <f t="shared" si="40"/>
        <v>0</v>
      </c>
      <c r="BY23" s="1372">
        <f t="shared" si="41"/>
        <v>0</v>
      </c>
      <c r="BZ23" s="1372">
        <f t="shared" si="42"/>
        <v>0</v>
      </c>
      <c r="CA23" s="1372">
        <f t="shared" si="43"/>
        <v>0</v>
      </c>
      <c r="CB23" s="1404">
        <f t="shared" si="44"/>
        <v>0</v>
      </c>
      <c r="CC23" s="1374">
        <f t="shared" si="98"/>
        <v>85.45759259259259</v>
      </c>
      <c r="CD23" s="1374">
        <f t="shared" si="45"/>
        <v>2440</v>
      </c>
      <c r="CE23" s="1374">
        <f t="shared" si="46"/>
        <v>228</v>
      </c>
      <c r="CF23" s="1378">
        <f t="shared" si="47"/>
        <v>0</v>
      </c>
      <c r="CG23" s="1378">
        <f t="shared" si="48"/>
        <v>0</v>
      </c>
      <c r="CH23" s="1378">
        <f t="shared" si="49"/>
        <v>0</v>
      </c>
      <c r="CI23" s="1374">
        <f t="shared" si="50"/>
        <v>2440</v>
      </c>
      <c r="CJ23" s="1374">
        <f t="shared" si="51"/>
        <v>15.061728395061728</v>
      </c>
      <c r="CK23" s="1374" t="str">
        <f t="shared" si="52"/>
        <v/>
      </c>
      <c r="CL23" s="1374">
        <f t="shared" si="53"/>
        <v>2355.4551088148437</v>
      </c>
      <c r="CM23" s="1379">
        <f t="shared" si="54"/>
        <v>26969.858982705329</v>
      </c>
      <c r="CN23" s="628">
        <f>(BS23*Pricing!F$3+BT23*Pricing!G$3+BU23*Pricing!H$3+BV23*Pricing!I$3+BW23*Pricing!J$3+BX23*Pricing!K$3+BY23*Pricing!L$3+BZ23*Pricing!M$3+CA23*Pricing!N$3+CB23*Pricing!O$3)*IF(W$44="N",(1+Y$44),1)</f>
        <v>12396.051093518518</v>
      </c>
      <c r="CO23" s="628">
        <f t="shared" si="55"/>
        <v>1529.8680931752408</v>
      </c>
      <c r="CP23" s="1380">
        <f t="shared" si="56"/>
        <v>0</v>
      </c>
      <c r="CQ23" s="628">
        <f t="shared" si="57"/>
        <v>4514</v>
      </c>
      <c r="CR23" s="628">
        <f t="shared" si="58"/>
        <v>0</v>
      </c>
      <c r="CS23" s="628"/>
      <c r="CT23" s="1381">
        <f t="shared" si="59"/>
        <v>300.29102176296874</v>
      </c>
      <c r="CU23" s="628">
        <f t="shared" si="60"/>
        <v>0</v>
      </c>
      <c r="CV23" s="628">
        <f t="shared" si="61"/>
        <v>773.93749999999989</v>
      </c>
      <c r="CW23" s="628">
        <f t="shared" si="62"/>
        <v>1954.0438962179858</v>
      </c>
      <c r="CX23" s="628">
        <f t="shared" si="63"/>
        <v>1312.827989732634</v>
      </c>
      <c r="CY23" s="628">
        <f t="shared" si="64"/>
        <v>1372.5562638628833</v>
      </c>
      <c r="CZ23" s="628">
        <f t="shared" si="65"/>
        <v>163.57009974373636</v>
      </c>
      <c r="DA23" s="628">
        <f t="shared" si="66"/>
        <v>2245.105</v>
      </c>
      <c r="DB23" s="628">
        <f t="shared" si="67"/>
        <v>0</v>
      </c>
      <c r="DC23" s="628">
        <f t="shared" si="68"/>
        <v>0</v>
      </c>
      <c r="DD23" s="628">
        <f t="shared" si="69"/>
        <v>407.60802469135803</v>
      </c>
      <c r="DE23" s="1382">
        <f t="shared" si="70"/>
        <v>0</v>
      </c>
      <c r="DF23" s="626">
        <f t="shared" si="71"/>
        <v>0</v>
      </c>
      <c r="DG23" s="626">
        <f t="shared" si="72"/>
        <v>0</v>
      </c>
      <c r="DH23" s="626">
        <f t="shared" si="73"/>
        <v>0</v>
      </c>
      <c r="DI23" s="626">
        <f t="shared" si="74"/>
        <v>1216</v>
      </c>
      <c r="DJ23" s="626">
        <f t="shared" si="75"/>
        <v>1555</v>
      </c>
      <c r="DK23" s="626">
        <f t="shared" si="76"/>
        <v>210</v>
      </c>
      <c r="DL23" s="626">
        <f t="shared" si="77"/>
        <v>0</v>
      </c>
      <c r="DM23" s="626">
        <f t="shared" si="78"/>
        <v>80</v>
      </c>
      <c r="DN23" s="626">
        <f t="shared" si="79"/>
        <v>0</v>
      </c>
      <c r="DO23" s="626">
        <f t="shared" si="80"/>
        <v>0</v>
      </c>
      <c r="DP23" s="1405">
        <f t="shared" si="81"/>
        <v>2440</v>
      </c>
      <c r="DQ23" s="1270">
        <f t="shared" si="82"/>
        <v>15.481481481481481</v>
      </c>
      <c r="DR23" s="1270">
        <f t="shared" si="83"/>
        <v>15.997942386831276</v>
      </c>
      <c r="DS23" s="1270">
        <f t="shared" si="84"/>
        <v>2.1604938271604941</v>
      </c>
      <c r="DT23" s="1270" t="str">
        <f t="shared" si="85"/>
        <v/>
      </c>
      <c r="DU23" s="1270">
        <f t="shared" si="86"/>
        <v>0.50925925925925919</v>
      </c>
      <c r="DV23" s="1270" t="str">
        <f t="shared" si="87"/>
        <v/>
      </c>
      <c r="DW23" s="1270" t="str">
        <f t="shared" si="88"/>
        <v/>
      </c>
      <c r="DX23" s="1371">
        <f t="shared" si="89"/>
        <v>-1.2273662551440339</v>
      </c>
      <c r="DY23" s="1270">
        <f t="shared" si="90"/>
        <v>228</v>
      </c>
      <c r="DZ23" s="1270">
        <f t="shared" si="91"/>
        <v>259.16666666666669</v>
      </c>
      <c r="EA23" s="1270">
        <f t="shared" si="92"/>
        <v>35</v>
      </c>
      <c r="EB23" s="1270" t="str">
        <f t="shared" si="93"/>
        <v/>
      </c>
      <c r="EC23" s="1270">
        <f t="shared" si="94"/>
        <v>7.5</v>
      </c>
      <c r="ED23" s="1270" t="str">
        <f t="shared" si="95"/>
        <v/>
      </c>
      <c r="EE23" s="1270" t="str">
        <f t="shared" si="96"/>
        <v/>
      </c>
      <c r="EF23" s="1371">
        <f t="shared" si="97"/>
        <v>529.66666666666674</v>
      </c>
    </row>
    <row r="24" spans="1:136" ht="19.5" customHeight="1">
      <c r="A24" s="18" t="s">
        <v>1330</v>
      </c>
      <c r="B24" s="1341" t="s">
        <v>1567</v>
      </c>
      <c r="C24" s="1342"/>
      <c r="D24" s="1343">
        <v>2091</v>
      </c>
      <c r="E24" s="1344"/>
      <c r="F24" s="984">
        <v>4</v>
      </c>
      <c r="G24" s="1389">
        <v>1</v>
      </c>
      <c r="H24" s="984" t="s">
        <v>1302</v>
      </c>
      <c r="I24" s="1389">
        <v>1</v>
      </c>
      <c r="J24" s="984">
        <v>2</v>
      </c>
      <c r="K24" s="1390">
        <v>199</v>
      </c>
      <c r="L24" s="503"/>
      <c r="M24" s="834"/>
      <c r="N24" s="1349"/>
      <c r="O24" s="1350"/>
      <c r="P24" s="1351">
        <f t="shared" si="0"/>
        <v>2257.887855274219</v>
      </c>
      <c r="Q24" s="1352">
        <f t="shared" si="1"/>
        <v>76.320000000000007</v>
      </c>
      <c r="R24" s="1353">
        <f t="shared" si="2"/>
        <v>13.324376558700147</v>
      </c>
      <c r="S24" s="1354">
        <f t="shared" si="3"/>
        <v>27861.271384242005</v>
      </c>
      <c r="T24" s="1355">
        <f t="shared" si="4"/>
        <v>58</v>
      </c>
      <c r="U24" s="1356">
        <f t="shared" si="5"/>
        <v>1526.0378552742191</v>
      </c>
      <c r="V24" s="1357">
        <f t="shared" si="6"/>
        <v>6.6200000000000045</v>
      </c>
      <c r="W24" s="1347">
        <v>9</v>
      </c>
      <c r="X24" s="1362">
        <v>58</v>
      </c>
      <c r="Y24" s="503"/>
      <c r="Z24" s="1410"/>
      <c r="AA24" s="503"/>
      <c r="AB24" s="1410"/>
      <c r="AC24" s="1361">
        <v>1</v>
      </c>
      <c r="AD24" s="1362">
        <v>199</v>
      </c>
      <c r="AE24" s="1347">
        <v>2</v>
      </c>
      <c r="AF24" s="1363">
        <v>316</v>
      </c>
      <c r="AG24" s="1364">
        <v>3</v>
      </c>
      <c r="AH24" s="1363"/>
      <c r="AI24" s="1365"/>
      <c r="AJ24" s="1366"/>
      <c r="AK24" s="1367">
        <v>5</v>
      </c>
      <c r="AL24" s="1418"/>
      <c r="AM24" s="503"/>
      <c r="AN24" s="1411"/>
      <c r="AO24" s="503"/>
      <c r="AP24" s="1410"/>
      <c r="AQ24" s="1275">
        <f t="shared" si="7"/>
        <v>27.397798742138363</v>
      </c>
      <c r="AR24" s="1369">
        <f t="shared" si="8"/>
        <v>2.277037037037037</v>
      </c>
      <c r="AS24" s="1270" t="str">
        <f t="shared" si="9"/>
        <v/>
      </c>
      <c r="AT24" s="1270" t="str">
        <f t="shared" si="10"/>
        <v/>
      </c>
      <c r="AU24" s="1270">
        <f t="shared" si="11"/>
        <v>20.833580246913581</v>
      </c>
      <c r="AV24" s="1270">
        <f t="shared" si="12"/>
        <v>25.845679012345681</v>
      </c>
      <c r="AW24" s="1270">
        <f t="shared" si="13"/>
        <v>0</v>
      </c>
      <c r="AX24" s="1270" t="str">
        <f t="shared" si="14"/>
        <v/>
      </c>
      <c r="AY24" s="1270">
        <f t="shared" si="15"/>
        <v>0</v>
      </c>
      <c r="AZ24" s="1270" t="str">
        <f t="shared" si="16"/>
        <v/>
      </c>
      <c r="BA24" s="1270" t="str">
        <f t="shared" si="17"/>
        <v/>
      </c>
      <c r="BB24" s="1371">
        <f t="shared" si="18"/>
        <v>48.956296296296301</v>
      </c>
      <c r="BC24" s="1369">
        <f t="shared" si="19"/>
        <v>338.18950182187501</v>
      </c>
      <c r="BD24" s="1270" t="str">
        <f t="shared" si="20"/>
        <v/>
      </c>
      <c r="BE24" s="1270" t="str">
        <f t="shared" si="21"/>
        <v/>
      </c>
      <c r="BF24" s="1270">
        <f t="shared" si="22"/>
        <v>758.6330612179687</v>
      </c>
      <c r="BG24" s="1270">
        <f t="shared" si="23"/>
        <v>1161.065292234375</v>
      </c>
      <c r="BH24" s="1270">
        <f t="shared" si="24"/>
        <v>0</v>
      </c>
      <c r="BI24" s="1270" t="str">
        <f t="shared" si="25"/>
        <v/>
      </c>
      <c r="BJ24" s="1270">
        <f t="shared" si="26"/>
        <v>0</v>
      </c>
      <c r="BK24" s="1270" t="str">
        <f t="shared" si="27"/>
        <v/>
      </c>
      <c r="BL24" s="1270" t="str">
        <f t="shared" si="28"/>
        <v/>
      </c>
      <c r="BM24" s="1371">
        <f t="shared" si="29"/>
        <v>2257.887855274219</v>
      </c>
      <c r="BN24" s="1372">
        <f t="shared" si="30"/>
        <v>2257.887855274219</v>
      </c>
      <c r="BO24" s="1372">
        <f t="shared" si="31"/>
        <v>0</v>
      </c>
      <c r="BP24" s="1372">
        <f t="shared" si="32"/>
        <v>0</v>
      </c>
      <c r="BQ24" s="1374">
        <f t="shared" si="33"/>
        <v>1</v>
      </c>
      <c r="BR24" s="1251">
        <f t="shared" si="34"/>
        <v>0</v>
      </c>
      <c r="BS24" s="1403">
        <f t="shared" si="35"/>
        <v>76.320000000000007</v>
      </c>
      <c r="BT24" s="1372">
        <f t="shared" si="36"/>
        <v>0</v>
      </c>
      <c r="BU24" s="1372">
        <f t="shared" si="37"/>
        <v>0</v>
      </c>
      <c r="BV24" s="1372">
        <f t="shared" si="38"/>
        <v>0</v>
      </c>
      <c r="BW24" s="1372">
        <f t="shared" si="39"/>
        <v>0</v>
      </c>
      <c r="BX24" s="1372">
        <f t="shared" si="40"/>
        <v>0</v>
      </c>
      <c r="BY24" s="1372">
        <f t="shared" si="41"/>
        <v>0</v>
      </c>
      <c r="BZ24" s="1372">
        <f t="shared" si="42"/>
        <v>0</v>
      </c>
      <c r="CA24" s="1372">
        <f t="shared" si="43"/>
        <v>0</v>
      </c>
      <c r="CB24" s="1404">
        <f t="shared" si="44"/>
        <v>0</v>
      </c>
      <c r="CC24" s="1374">
        <f t="shared" si="98"/>
        <v>76.320000000000007</v>
      </c>
      <c r="CD24" s="1374">
        <f t="shared" si="45"/>
        <v>2091</v>
      </c>
      <c r="CE24" s="1374">
        <f t="shared" si="46"/>
        <v>199</v>
      </c>
      <c r="CF24" s="1378">
        <f t="shared" si="47"/>
        <v>58</v>
      </c>
      <c r="CG24" s="1378">
        <f t="shared" si="48"/>
        <v>0</v>
      </c>
      <c r="CH24" s="1378">
        <f t="shared" si="49"/>
        <v>0</v>
      </c>
      <c r="CI24" s="1374">
        <f t="shared" si="50"/>
        <v>2091</v>
      </c>
      <c r="CJ24" s="1374">
        <f t="shared" si="51"/>
        <v>12.907407407407407</v>
      </c>
      <c r="CK24" s="1374" t="str">
        <f t="shared" si="52"/>
        <v/>
      </c>
      <c r="CL24" s="1374">
        <f t="shared" si="53"/>
        <v>2257.887855274219</v>
      </c>
      <c r="CM24" s="1379">
        <f t="shared" si="54"/>
        <v>24227.192508036529</v>
      </c>
      <c r="CN24" s="628">
        <f>(BS24*Pricing!F$3+BT24*Pricing!G$3+BU24*Pricing!H$3+BV24*Pricing!I$3+BW24*Pricing!J$3+BX24*Pricing!K$3+BY24*Pricing!L$3+BZ24*Pricing!M$3+CA24*Pricing!N$3+CB24*Pricing!O$3)*IF(W$44="N",(1+Y$44),1)</f>
        <v>11070.597600000001</v>
      </c>
      <c r="CO24" s="628">
        <f t="shared" si="55"/>
        <v>1466.4981620006051</v>
      </c>
      <c r="CP24" s="1380">
        <f t="shared" si="56"/>
        <v>0</v>
      </c>
      <c r="CQ24" s="628">
        <f t="shared" si="57"/>
        <v>3868.3500000000004</v>
      </c>
      <c r="CR24" s="628">
        <f t="shared" si="58"/>
        <v>464</v>
      </c>
      <c r="CS24" s="628"/>
      <c r="CT24" s="1381">
        <f t="shared" si="59"/>
        <v>305.20757105484381</v>
      </c>
      <c r="CU24" s="628">
        <f t="shared" si="60"/>
        <v>0</v>
      </c>
      <c r="CV24" s="628">
        <f t="shared" si="61"/>
        <v>663.23906249999993</v>
      </c>
      <c r="CW24" s="628">
        <f t="shared" si="62"/>
        <v>1674.5515520458232</v>
      </c>
      <c r="CX24" s="628">
        <f t="shared" si="63"/>
        <v>1125.0505436602202</v>
      </c>
      <c r="CY24" s="628">
        <f t="shared" si="64"/>
        <v>1176.2357162857741</v>
      </c>
      <c r="CZ24" s="628">
        <f t="shared" si="65"/>
        <v>140.17421252629211</v>
      </c>
      <c r="DA24" s="628">
        <f t="shared" si="66"/>
        <v>1923.9813749999998</v>
      </c>
      <c r="DB24" s="628">
        <f t="shared" si="67"/>
        <v>0</v>
      </c>
      <c r="DC24" s="628">
        <f t="shared" si="68"/>
        <v>0</v>
      </c>
      <c r="DD24" s="628">
        <f t="shared" si="69"/>
        <v>349.30671296296293</v>
      </c>
      <c r="DE24" s="1382">
        <f t="shared" si="70"/>
        <v>0</v>
      </c>
      <c r="DF24" s="626">
        <f t="shared" si="71"/>
        <v>116</v>
      </c>
      <c r="DG24" s="626">
        <f t="shared" si="72"/>
        <v>0</v>
      </c>
      <c r="DH24" s="626">
        <f t="shared" si="73"/>
        <v>0</v>
      </c>
      <c r="DI24" s="626">
        <f t="shared" si="74"/>
        <v>1061.3333333333333</v>
      </c>
      <c r="DJ24" s="626">
        <f t="shared" si="75"/>
        <v>1580</v>
      </c>
      <c r="DK24" s="626">
        <f t="shared" si="76"/>
        <v>0</v>
      </c>
      <c r="DL24" s="626">
        <f t="shared" si="77"/>
        <v>0</v>
      </c>
      <c r="DM24" s="626">
        <f t="shared" si="78"/>
        <v>0</v>
      </c>
      <c r="DN24" s="626">
        <f t="shared" si="79"/>
        <v>0</v>
      </c>
      <c r="DO24" s="626">
        <f t="shared" si="80"/>
        <v>0</v>
      </c>
      <c r="DP24" s="1405">
        <f t="shared" si="81"/>
        <v>2091</v>
      </c>
      <c r="DQ24" s="1270">
        <f t="shared" si="82"/>
        <v>13.512345679012345</v>
      </c>
      <c r="DR24" s="1270">
        <f t="shared" si="83"/>
        <v>16.255144032921812</v>
      </c>
      <c r="DS24" s="1270">
        <f t="shared" si="84"/>
        <v>0</v>
      </c>
      <c r="DT24" s="1270" t="str">
        <f t="shared" si="85"/>
        <v/>
      </c>
      <c r="DU24" s="1270">
        <f t="shared" si="86"/>
        <v>0</v>
      </c>
      <c r="DV24" s="1270" t="str">
        <f t="shared" si="87"/>
        <v/>
      </c>
      <c r="DW24" s="1270" t="str">
        <f t="shared" si="88"/>
        <v/>
      </c>
      <c r="DX24" s="1371">
        <f t="shared" si="89"/>
        <v>-0.39300411522633638</v>
      </c>
      <c r="DY24" s="1270">
        <f t="shared" si="90"/>
        <v>199</v>
      </c>
      <c r="DZ24" s="1270">
        <f t="shared" si="91"/>
        <v>263.33333333333337</v>
      </c>
      <c r="EA24" s="1270">
        <f t="shared" si="92"/>
        <v>0</v>
      </c>
      <c r="EB24" s="1270" t="str">
        <f t="shared" si="93"/>
        <v/>
      </c>
      <c r="EC24" s="1270">
        <f t="shared" si="94"/>
        <v>0</v>
      </c>
      <c r="ED24" s="1270" t="str">
        <f t="shared" si="95"/>
        <v/>
      </c>
      <c r="EE24" s="1270" t="str">
        <f t="shared" si="96"/>
        <v/>
      </c>
      <c r="EF24" s="1371">
        <f t="shared" si="97"/>
        <v>462.33333333333337</v>
      </c>
    </row>
    <row r="25" spans="1:136" ht="19.5" customHeight="1">
      <c r="A25" s="18" t="s">
        <v>1568</v>
      </c>
      <c r="B25" s="1385" t="s">
        <v>1569</v>
      </c>
      <c r="C25" s="1386"/>
      <c r="D25" s="1387">
        <v>515</v>
      </c>
      <c r="E25" s="1388"/>
      <c r="F25" s="984">
        <v>4</v>
      </c>
      <c r="G25" s="1389">
        <v>1</v>
      </c>
      <c r="H25" s="984" t="s">
        <v>1302</v>
      </c>
      <c r="I25" s="1389">
        <v>1</v>
      </c>
      <c r="J25" s="984">
        <v>2</v>
      </c>
      <c r="K25" s="1390">
        <v>115</v>
      </c>
      <c r="L25" s="1391"/>
      <c r="M25" s="1392"/>
      <c r="N25" s="1393"/>
      <c r="O25" s="1394"/>
      <c r="P25" s="1351">
        <f t="shared" si="0"/>
        <v>787.46047952343747</v>
      </c>
      <c r="Q25" s="1352">
        <f t="shared" si="1"/>
        <v>26.54907407407407</v>
      </c>
      <c r="R25" s="1353">
        <f t="shared" si="2"/>
        <v>16.018984526760846</v>
      </c>
      <c r="S25" s="1354">
        <f t="shared" si="3"/>
        <v>8249.7770312818357</v>
      </c>
      <c r="T25" s="1355">
        <f t="shared" si="4"/>
        <v>0</v>
      </c>
      <c r="U25" s="1356">
        <f t="shared" si="5"/>
        <v>607.21047952343747</v>
      </c>
      <c r="V25" s="1357">
        <f t="shared" si="6"/>
        <v>9.3824074074074026</v>
      </c>
      <c r="W25" s="1395">
        <v>9</v>
      </c>
      <c r="X25" s="1396"/>
      <c r="Y25" s="1395"/>
      <c r="Z25" s="1397"/>
      <c r="AA25" s="1395"/>
      <c r="AB25" s="1397"/>
      <c r="AC25" s="1398">
        <v>1</v>
      </c>
      <c r="AD25" s="1396">
        <v>115</v>
      </c>
      <c r="AE25" s="1395">
        <v>2</v>
      </c>
      <c r="AF25" s="1399">
        <v>95</v>
      </c>
      <c r="AG25" s="1400">
        <v>3</v>
      </c>
      <c r="AH25" s="1399"/>
      <c r="AI25" s="1401"/>
      <c r="AJ25" s="1396"/>
      <c r="AK25" s="1401">
        <v>5</v>
      </c>
      <c r="AL25" s="1417"/>
      <c r="AM25" s="1395"/>
      <c r="AN25" s="1402"/>
      <c r="AO25" s="1395"/>
      <c r="AP25" s="1397"/>
      <c r="AQ25" s="1275">
        <f t="shared" si="7"/>
        <v>19.39803996791407</v>
      </c>
      <c r="AR25" s="1369">
        <f t="shared" si="8"/>
        <v>0</v>
      </c>
      <c r="AS25" s="1270" t="str">
        <f t="shared" si="9"/>
        <v/>
      </c>
      <c r="AT25" s="1270" t="str">
        <f t="shared" si="10"/>
        <v/>
      </c>
      <c r="AU25" s="1270">
        <f t="shared" si="11"/>
        <v>12.039506172839506</v>
      </c>
      <c r="AV25" s="1270">
        <f t="shared" si="12"/>
        <v>7.7700617283950617</v>
      </c>
      <c r="AW25" s="1270">
        <f t="shared" si="13"/>
        <v>0</v>
      </c>
      <c r="AX25" s="1270" t="str">
        <f t="shared" si="14"/>
        <v/>
      </c>
      <c r="AY25" s="1270">
        <f t="shared" si="15"/>
        <v>0</v>
      </c>
      <c r="AZ25" s="1270" t="str">
        <f t="shared" si="16"/>
        <v/>
      </c>
      <c r="BA25" s="1270" t="str">
        <f t="shared" si="17"/>
        <v/>
      </c>
      <c r="BB25" s="1371">
        <f t="shared" si="18"/>
        <v>19.809567901234566</v>
      </c>
      <c r="BC25" s="1369">
        <f t="shared" si="19"/>
        <v>0</v>
      </c>
      <c r="BD25" s="1270" t="str">
        <f t="shared" si="20"/>
        <v/>
      </c>
      <c r="BE25" s="1270" t="str">
        <f t="shared" si="21"/>
        <v/>
      </c>
      <c r="BF25" s="1270">
        <f t="shared" si="22"/>
        <v>438.40604040234371</v>
      </c>
      <c r="BG25" s="1270">
        <f t="shared" si="23"/>
        <v>349.05443912109376</v>
      </c>
      <c r="BH25" s="1270">
        <f t="shared" si="24"/>
        <v>0</v>
      </c>
      <c r="BI25" s="1270" t="str">
        <f t="shared" si="25"/>
        <v/>
      </c>
      <c r="BJ25" s="1270">
        <f t="shared" si="26"/>
        <v>0</v>
      </c>
      <c r="BK25" s="1270" t="str">
        <f t="shared" si="27"/>
        <v/>
      </c>
      <c r="BL25" s="1270" t="str">
        <f t="shared" si="28"/>
        <v/>
      </c>
      <c r="BM25" s="1371">
        <f t="shared" si="29"/>
        <v>787.46047952343747</v>
      </c>
      <c r="BN25" s="1372">
        <f t="shared" si="30"/>
        <v>787.46047952343747</v>
      </c>
      <c r="BO25" s="1372">
        <f t="shared" si="31"/>
        <v>0</v>
      </c>
      <c r="BP25" s="1372">
        <f t="shared" si="32"/>
        <v>0</v>
      </c>
      <c r="BQ25" s="1374">
        <f t="shared" si="33"/>
        <v>1</v>
      </c>
      <c r="BR25" s="1251">
        <f t="shared" si="34"/>
        <v>0</v>
      </c>
      <c r="BS25" s="1403">
        <f t="shared" si="35"/>
        <v>26.54907407407407</v>
      </c>
      <c r="BT25" s="1372">
        <f t="shared" si="36"/>
        <v>0</v>
      </c>
      <c r="BU25" s="1372">
        <f t="shared" si="37"/>
        <v>0</v>
      </c>
      <c r="BV25" s="1372">
        <f t="shared" si="38"/>
        <v>0</v>
      </c>
      <c r="BW25" s="1372">
        <f t="shared" si="39"/>
        <v>0</v>
      </c>
      <c r="BX25" s="1372">
        <f t="shared" si="40"/>
        <v>0</v>
      </c>
      <c r="BY25" s="1372">
        <f t="shared" si="41"/>
        <v>0</v>
      </c>
      <c r="BZ25" s="1372">
        <f t="shared" si="42"/>
        <v>0</v>
      </c>
      <c r="CA25" s="1372">
        <f t="shared" si="43"/>
        <v>0</v>
      </c>
      <c r="CB25" s="1404">
        <f t="shared" si="44"/>
        <v>0</v>
      </c>
      <c r="CC25" s="1374">
        <f t="shared" si="98"/>
        <v>26.54907407407407</v>
      </c>
      <c r="CD25" s="1374">
        <f t="shared" si="45"/>
        <v>515</v>
      </c>
      <c r="CE25" s="1374">
        <f t="shared" si="46"/>
        <v>115</v>
      </c>
      <c r="CF25" s="1378">
        <f t="shared" si="47"/>
        <v>0</v>
      </c>
      <c r="CG25" s="1378">
        <f t="shared" si="48"/>
        <v>0</v>
      </c>
      <c r="CH25" s="1378">
        <f t="shared" si="49"/>
        <v>0</v>
      </c>
      <c r="CI25" s="1374">
        <f t="shared" si="50"/>
        <v>515</v>
      </c>
      <c r="CJ25" s="1374">
        <f t="shared" si="51"/>
        <v>3.1790123456790123</v>
      </c>
      <c r="CK25" s="1374" t="str">
        <f t="shared" si="52"/>
        <v/>
      </c>
      <c r="CL25" s="1374">
        <f t="shared" si="53"/>
        <v>787.46047952343747</v>
      </c>
      <c r="CM25" s="1379">
        <f t="shared" si="54"/>
        <v>7173.7191576363794</v>
      </c>
      <c r="CN25" s="628">
        <f>(BS25*Pricing!F$3+BT25*Pricing!G$3+BU25*Pricing!H$3+BV25*Pricing!I$3+BW25*Pricing!J$3+BX25*Pricing!K$3+BY25*Pricing!L$3+BZ25*Pricing!M$3+CA25*Pricing!N$3+CB25*Pricing!O$3)*IF(W$44="N",(1+Y$44),1)</f>
        <v>3851.0759398148143</v>
      </c>
      <c r="CO25" s="628">
        <f t="shared" si="55"/>
        <v>511.45558145047261</v>
      </c>
      <c r="CP25" s="1380">
        <f t="shared" si="56"/>
        <v>0</v>
      </c>
      <c r="CQ25" s="628">
        <f t="shared" si="57"/>
        <v>952.75</v>
      </c>
      <c r="CR25" s="628">
        <f t="shared" si="58"/>
        <v>0</v>
      </c>
      <c r="CS25" s="628"/>
      <c r="CT25" s="1381">
        <f t="shared" si="59"/>
        <v>121.44209590468749</v>
      </c>
      <c r="CU25" s="628">
        <f t="shared" si="60"/>
        <v>0</v>
      </c>
      <c r="CV25" s="628">
        <f t="shared" si="61"/>
        <v>163.35156249999997</v>
      </c>
      <c r="CW25" s="628">
        <f t="shared" si="62"/>
        <v>412.43139612797654</v>
      </c>
      <c r="CX25" s="628">
        <f t="shared" si="63"/>
        <v>277.09279291487974</v>
      </c>
      <c r="CY25" s="628">
        <f t="shared" si="64"/>
        <v>289.69937536450198</v>
      </c>
      <c r="CZ25" s="628">
        <f t="shared" si="65"/>
        <v>34.524016954108291</v>
      </c>
      <c r="DA25" s="628">
        <f t="shared" si="66"/>
        <v>473.864375</v>
      </c>
      <c r="DB25" s="628">
        <f t="shared" si="67"/>
        <v>0</v>
      </c>
      <c r="DC25" s="628">
        <f t="shared" si="68"/>
        <v>0</v>
      </c>
      <c r="DD25" s="628">
        <f t="shared" si="69"/>
        <v>86.032021604938265</v>
      </c>
      <c r="DE25" s="1382">
        <f t="shared" si="70"/>
        <v>0</v>
      </c>
      <c r="DF25" s="626">
        <f t="shared" si="71"/>
        <v>0</v>
      </c>
      <c r="DG25" s="626">
        <f t="shared" si="72"/>
        <v>0</v>
      </c>
      <c r="DH25" s="626">
        <f t="shared" si="73"/>
        <v>0</v>
      </c>
      <c r="DI25" s="626">
        <f t="shared" si="74"/>
        <v>613.33333333333326</v>
      </c>
      <c r="DJ25" s="626">
        <f t="shared" si="75"/>
        <v>475</v>
      </c>
      <c r="DK25" s="626">
        <f t="shared" si="76"/>
        <v>0</v>
      </c>
      <c r="DL25" s="626">
        <f t="shared" si="77"/>
        <v>0</v>
      </c>
      <c r="DM25" s="626">
        <f t="shared" si="78"/>
        <v>0</v>
      </c>
      <c r="DN25" s="626">
        <f t="shared" si="79"/>
        <v>0</v>
      </c>
      <c r="DO25" s="626">
        <f t="shared" si="80"/>
        <v>0</v>
      </c>
      <c r="DP25" s="1405">
        <f t="shared" si="81"/>
        <v>515</v>
      </c>
      <c r="DQ25" s="1270">
        <f t="shared" si="82"/>
        <v>7.8086419753086416</v>
      </c>
      <c r="DR25" s="1270">
        <f t="shared" si="83"/>
        <v>4.8868312757201648</v>
      </c>
      <c r="DS25" s="1270">
        <f t="shared" si="84"/>
        <v>0</v>
      </c>
      <c r="DT25" s="1270" t="str">
        <f t="shared" si="85"/>
        <v/>
      </c>
      <c r="DU25" s="1270">
        <f t="shared" si="86"/>
        <v>0</v>
      </c>
      <c r="DV25" s="1270" t="str">
        <f t="shared" si="87"/>
        <v/>
      </c>
      <c r="DW25" s="1270" t="str">
        <f t="shared" si="88"/>
        <v/>
      </c>
      <c r="DX25" s="1371">
        <f t="shared" si="89"/>
        <v>6.754115226337448</v>
      </c>
      <c r="DY25" s="1270">
        <f t="shared" si="90"/>
        <v>115</v>
      </c>
      <c r="DZ25" s="1270">
        <f t="shared" si="91"/>
        <v>79.166666666666671</v>
      </c>
      <c r="EA25" s="1270">
        <f t="shared" si="92"/>
        <v>0</v>
      </c>
      <c r="EB25" s="1270" t="str">
        <f t="shared" si="93"/>
        <v/>
      </c>
      <c r="EC25" s="1270">
        <f t="shared" si="94"/>
        <v>0</v>
      </c>
      <c r="ED25" s="1270" t="str">
        <f t="shared" si="95"/>
        <v/>
      </c>
      <c r="EE25" s="1270" t="str">
        <f t="shared" si="96"/>
        <v/>
      </c>
      <c r="EF25" s="1371">
        <f t="shared" si="97"/>
        <v>194.16666666666669</v>
      </c>
    </row>
    <row r="26" spans="1:136" ht="19.5" customHeight="1">
      <c r="A26" s="18" t="s">
        <v>1570</v>
      </c>
      <c r="B26" s="859"/>
      <c r="C26" s="1342"/>
      <c r="D26" s="1343"/>
      <c r="E26" s="1344"/>
      <c r="F26" s="984"/>
      <c r="G26" s="1389"/>
      <c r="H26" s="984"/>
      <c r="I26" s="1389"/>
      <c r="J26" s="984"/>
      <c r="K26" s="1419"/>
      <c r="L26" s="503"/>
      <c r="M26" s="834"/>
      <c r="N26" s="1349"/>
      <c r="O26" s="1350"/>
      <c r="P26" s="1351">
        <f t="shared" si="0"/>
        <v>0</v>
      </c>
      <c r="Q26" s="1352">
        <f t="shared" si="1"/>
        <v>0</v>
      </c>
      <c r="R26" s="1353">
        <f t="shared" si="2"/>
        <v>0</v>
      </c>
      <c r="S26" s="1354">
        <f t="shared" si="3"/>
        <v>0</v>
      </c>
      <c r="T26" s="1355">
        <f t="shared" si="4"/>
        <v>0</v>
      </c>
      <c r="U26" s="1356">
        <f t="shared" si="5"/>
        <v>0</v>
      </c>
      <c r="V26" s="1357">
        <f t="shared" si="6"/>
        <v>0</v>
      </c>
      <c r="W26" s="1347"/>
      <c r="X26" s="1362"/>
      <c r="Y26" s="503"/>
      <c r="Z26" s="1410"/>
      <c r="AA26" s="503"/>
      <c r="AB26" s="1410"/>
      <c r="AC26" s="1361"/>
      <c r="AD26" s="1362"/>
      <c r="AE26" s="1347"/>
      <c r="AF26" s="1363"/>
      <c r="AG26" s="1364"/>
      <c r="AH26" s="1363"/>
      <c r="AI26" s="1365"/>
      <c r="AJ26" s="1366"/>
      <c r="AK26" s="1367"/>
      <c r="AL26" s="1418"/>
      <c r="AM26" s="503"/>
      <c r="AN26" s="1411"/>
      <c r="AO26" s="503"/>
      <c r="AP26" s="1410"/>
      <c r="AQ26" s="1275" t="e">
        <f t="shared" si="7"/>
        <v>#DIV/0!</v>
      </c>
      <c r="AR26" s="1369" t="str">
        <f t="shared" si="8"/>
        <v/>
      </c>
      <c r="AS26" s="1270" t="str">
        <f t="shared" si="9"/>
        <v/>
      </c>
      <c r="AT26" s="1270" t="str">
        <f t="shared" si="10"/>
        <v/>
      </c>
      <c r="AU26" s="1270" t="str">
        <f t="shared" si="11"/>
        <v/>
      </c>
      <c r="AV26" s="1270" t="str">
        <f t="shared" si="12"/>
        <v/>
      </c>
      <c r="AW26" s="1270" t="str">
        <f t="shared" si="13"/>
        <v/>
      </c>
      <c r="AX26" s="1270" t="str">
        <f t="shared" si="14"/>
        <v/>
      </c>
      <c r="AY26" s="1270" t="str">
        <f t="shared" si="15"/>
        <v/>
      </c>
      <c r="AZ26" s="1270" t="str">
        <f t="shared" si="16"/>
        <v/>
      </c>
      <c r="BA26" s="1270" t="str">
        <f t="shared" si="17"/>
        <v/>
      </c>
      <c r="BB26" s="1371">
        <f t="shared" si="18"/>
        <v>0</v>
      </c>
      <c r="BC26" s="1369" t="str">
        <f t="shared" si="19"/>
        <v/>
      </c>
      <c r="BD26" s="626" t="str">
        <f t="shared" si="20"/>
        <v/>
      </c>
      <c r="BE26" s="1270" t="str">
        <f t="shared" si="21"/>
        <v/>
      </c>
      <c r="BF26" s="626" t="str">
        <f t="shared" si="22"/>
        <v/>
      </c>
      <c r="BG26" s="626" t="str">
        <f t="shared" si="23"/>
        <v/>
      </c>
      <c r="BH26" s="626" t="str">
        <f t="shared" si="24"/>
        <v/>
      </c>
      <c r="BI26" s="626" t="str">
        <f t="shared" si="25"/>
        <v/>
      </c>
      <c r="BJ26" s="626" t="str">
        <f t="shared" si="26"/>
        <v/>
      </c>
      <c r="BK26" s="626" t="str">
        <f t="shared" si="27"/>
        <v/>
      </c>
      <c r="BL26" s="626" t="str">
        <f t="shared" si="28"/>
        <v/>
      </c>
      <c r="BM26" s="1420">
        <f t="shared" si="29"/>
        <v>0</v>
      </c>
      <c r="BN26" s="1372">
        <f t="shared" si="30"/>
        <v>0</v>
      </c>
      <c r="BO26" s="1372">
        <f t="shared" si="31"/>
        <v>0</v>
      </c>
      <c r="BP26" s="1372">
        <f t="shared" si="32"/>
        <v>0</v>
      </c>
      <c r="BQ26" s="1374">
        <f t="shared" si="33"/>
        <v>0</v>
      </c>
      <c r="BR26" s="1251">
        <f t="shared" si="34"/>
        <v>0</v>
      </c>
      <c r="BS26" s="1403">
        <f t="shared" si="35"/>
        <v>0</v>
      </c>
      <c r="BT26" s="1372">
        <f t="shared" si="36"/>
        <v>0</v>
      </c>
      <c r="BU26" s="1372">
        <f t="shared" si="37"/>
        <v>0</v>
      </c>
      <c r="BV26" s="1372">
        <f t="shared" si="38"/>
        <v>0</v>
      </c>
      <c r="BW26" s="1372">
        <f t="shared" si="39"/>
        <v>0</v>
      </c>
      <c r="BX26" s="1372">
        <f t="shared" si="40"/>
        <v>0</v>
      </c>
      <c r="BY26" s="1372">
        <f t="shared" si="41"/>
        <v>0</v>
      </c>
      <c r="BZ26" s="1372">
        <f t="shared" si="42"/>
        <v>0</v>
      </c>
      <c r="CA26" s="1372">
        <f t="shared" si="43"/>
        <v>0</v>
      </c>
      <c r="CB26" s="1404">
        <f t="shared" si="44"/>
        <v>0</v>
      </c>
      <c r="CC26" s="1374">
        <f t="shared" si="98"/>
        <v>0</v>
      </c>
      <c r="CD26" s="1374">
        <f t="shared" si="45"/>
        <v>0</v>
      </c>
      <c r="CE26" s="1374">
        <f t="shared" si="46"/>
        <v>0</v>
      </c>
      <c r="CF26" s="1378">
        <f t="shared" si="47"/>
        <v>0</v>
      </c>
      <c r="CG26" s="1378">
        <f t="shared" si="48"/>
        <v>0</v>
      </c>
      <c r="CH26" s="1378">
        <f t="shared" si="49"/>
        <v>0</v>
      </c>
      <c r="CI26" s="1374">
        <f t="shared" si="50"/>
        <v>0</v>
      </c>
      <c r="CJ26" s="1374">
        <f t="shared" si="51"/>
        <v>0</v>
      </c>
      <c r="CK26" s="1374" t="str">
        <f t="shared" si="52"/>
        <v/>
      </c>
      <c r="CL26" s="1374">
        <f t="shared" si="53"/>
        <v>0</v>
      </c>
      <c r="CM26" s="1379">
        <f t="shared" si="54"/>
        <v>0</v>
      </c>
      <c r="CN26" s="628">
        <f>(BS26*Pricing!F$3+BT26*Pricing!G$3+BU26*Pricing!H$3+BV26*Pricing!I$3+BW26*Pricing!J$3+BX26*Pricing!K$3+BY26*Pricing!L$3+BZ26*Pricing!M$3+CA26*Pricing!N$3+CB26*Pricing!O$3)*IF(W$44="N",(1+Y$44),1)</f>
        <v>0</v>
      </c>
      <c r="CO26" s="628">
        <f t="shared" si="55"/>
        <v>0</v>
      </c>
      <c r="CP26" s="1380">
        <f t="shared" si="56"/>
        <v>0</v>
      </c>
      <c r="CQ26" s="628">
        <f t="shared" si="57"/>
        <v>0</v>
      </c>
      <c r="CR26" s="628">
        <f t="shared" si="58"/>
        <v>0</v>
      </c>
      <c r="CS26" s="628"/>
      <c r="CT26" s="1381">
        <f t="shared" si="59"/>
        <v>0</v>
      </c>
      <c r="CU26" s="628">
        <f t="shared" si="60"/>
        <v>0</v>
      </c>
      <c r="CV26" s="628">
        <f t="shared" si="61"/>
        <v>0</v>
      </c>
      <c r="CW26" s="628">
        <f t="shared" si="62"/>
        <v>0</v>
      </c>
      <c r="CX26" s="628">
        <f t="shared" si="63"/>
        <v>0</v>
      </c>
      <c r="CY26" s="628">
        <f t="shared" si="64"/>
        <v>0</v>
      </c>
      <c r="CZ26" s="628">
        <f t="shared" si="65"/>
        <v>0</v>
      </c>
      <c r="DA26" s="628">
        <f t="shared" si="66"/>
        <v>0</v>
      </c>
      <c r="DB26" s="628">
        <f t="shared" si="67"/>
        <v>0</v>
      </c>
      <c r="DC26" s="628">
        <f t="shared" si="68"/>
        <v>0</v>
      </c>
      <c r="DD26" s="628">
        <f t="shared" si="69"/>
        <v>0</v>
      </c>
      <c r="DE26" s="1382">
        <f t="shared" si="70"/>
        <v>0</v>
      </c>
      <c r="DF26" s="626">
        <f t="shared" si="71"/>
        <v>0</v>
      </c>
      <c r="DG26" s="626">
        <f t="shared" si="72"/>
        <v>0</v>
      </c>
      <c r="DH26" s="626">
        <f t="shared" si="73"/>
        <v>0</v>
      </c>
      <c r="DI26" s="626">
        <f t="shared" si="74"/>
        <v>0</v>
      </c>
      <c r="DJ26" s="626">
        <f t="shared" si="75"/>
        <v>0</v>
      </c>
      <c r="DK26" s="626">
        <f t="shared" si="76"/>
        <v>0</v>
      </c>
      <c r="DL26" s="626">
        <f t="shared" si="77"/>
        <v>0</v>
      </c>
      <c r="DM26" s="626">
        <f t="shared" si="78"/>
        <v>0</v>
      </c>
      <c r="DN26" s="626">
        <f t="shared" si="79"/>
        <v>0</v>
      </c>
      <c r="DO26" s="626">
        <f t="shared" si="80"/>
        <v>0</v>
      </c>
      <c r="DP26" s="1405">
        <f t="shared" si="81"/>
        <v>0</v>
      </c>
      <c r="DQ26" s="1270" t="str">
        <f t="shared" si="82"/>
        <v/>
      </c>
      <c r="DR26" s="1270" t="str">
        <f t="shared" si="83"/>
        <v/>
      </c>
      <c r="DS26" s="1270" t="str">
        <f t="shared" si="84"/>
        <v/>
      </c>
      <c r="DT26" s="1270" t="str">
        <f t="shared" si="85"/>
        <v/>
      </c>
      <c r="DU26" s="1270" t="str">
        <f t="shared" si="86"/>
        <v/>
      </c>
      <c r="DV26" s="1270" t="str">
        <f t="shared" si="87"/>
        <v/>
      </c>
      <c r="DW26" s="1270" t="str">
        <f t="shared" si="88"/>
        <v/>
      </c>
      <c r="DX26" s="1371">
        <f t="shared" si="89"/>
        <v>0</v>
      </c>
      <c r="DY26" s="1270" t="str">
        <f t="shared" si="90"/>
        <v/>
      </c>
      <c r="DZ26" s="1270" t="str">
        <f t="shared" si="91"/>
        <v/>
      </c>
      <c r="EA26" s="1270" t="str">
        <f t="shared" si="92"/>
        <v/>
      </c>
      <c r="EB26" s="1270" t="str">
        <f t="shared" si="93"/>
        <v/>
      </c>
      <c r="EC26" s="1270" t="str">
        <f t="shared" si="94"/>
        <v/>
      </c>
      <c r="ED26" s="1270" t="str">
        <f t="shared" si="95"/>
        <v/>
      </c>
      <c r="EE26" s="1270" t="str">
        <f t="shared" si="96"/>
        <v/>
      </c>
      <c r="EF26" s="1371">
        <f t="shared" si="97"/>
        <v>0</v>
      </c>
    </row>
    <row r="27" spans="1:136" ht="19.5" customHeight="1">
      <c r="A27" s="18" t="s">
        <v>1571</v>
      </c>
      <c r="B27" s="1385"/>
      <c r="C27" s="1386"/>
      <c r="D27" s="1387"/>
      <c r="E27" s="1388"/>
      <c r="F27" s="984"/>
      <c r="G27" s="1389"/>
      <c r="H27" s="984"/>
      <c r="I27" s="1389"/>
      <c r="J27" s="984"/>
      <c r="K27" s="1419"/>
      <c r="L27" s="1391"/>
      <c r="M27" s="1392"/>
      <c r="N27" s="1393"/>
      <c r="O27" s="1394"/>
      <c r="P27" s="1351">
        <f t="shared" si="0"/>
        <v>0</v>
      </c>
      <c r="Q27" s="1352">
        <f t="shared" si="1"/>
        <v>0</v>
      </c>
      <c r="R27" s="1353">
        <f t="shared" si="2"/>
        <v>0</v>
      </c>
      <c r="S27" s="1354">
        <f t="shared" si="3"/>
        <v>0</v>
      </c>
      <c r="T27" s="1355">
        <f t="shared" si="4"/>
        <v>0</v>
      </c>
      <c r="U27" s="1356">
        <f t="shared" si="5"/>
        <v>0</v>
      </c>
      <c r="V27" s="1357">
        <f t="shared" si="6"/>
        <v>0</v>
      </c>
      <c r="W27" s="1395"/>
      <c r="X27" s="1396"/>
      <c r="Y27" s="1395"/>
      <c r="Z27" s="1397"/>
      <c r="AA27" s="1395"/>
      <c r="AB27" s="1397"/>
      <c r="AC27" s="1398"/>
      <c r="AD27" s="1396"/>
      <c r="AE27" s="1395"/>
      <c r="AF27" s="1399"/>
      <c r="AG27" s="1400"/>
      <c r="AH27" s="1399"/>
      <c r="AI27" s="1401"/>
      <c r="AJ27" s="1396"/>
      <c r="AK27" s="1401"/>
      <c r="AL27" s="1417"/>
      <c r="AM27" s="1395"/>
      <c r="AN27" s="1402"/>
      <c r="AO27" s="1395"/>
      <c r="AP27" s="1397"/>
      <c r="AQ27" s="1275" t="e">
        <f t="shared" si="7"/>
        <v>#DIV/0!</v>
      </c>
      <c r="AR27" s="1369" t="str">
        <f t="shared" si="8"/>
        <v/>
      </c>
      <c r="AS27" s="1270" t="str">
        <f t="shared" si="9"/>
        <v/>
      </c>
      <c r="AT27" s="1270" t="str">
        <f t="shared" si="10"/>
        <v/>
      </c>
      <c r="AU27" s="1270" t="str">
        <f t="shared" si="11"/>
        <v/>
      </c>
      <c r="AV27" s="1270" t="str">
        <f t="shared" si="12"/>
        <v/>
      </c>
      <c r="AW27" s="1270" t="str">
        <f t="shared" si="13"/>
        <v/>
      </c>
      <c r="AX27" s="1270" t="str">
        <f t="shared" si="14"/>
        <v/>
      </c>
      <c r="AY27" s="1270" t="str">
        <f t="shared" si="15"/>
        <v/>
      </c>
      <c r="AZ27" s="1270" t="str">
        <f t="shared" si="16"/>
        <v/>
      </c>
      <c r="BA27" s="1270" t="str">
        <f t="shared" si="17"/>
        <v/>
      </c>
      <c r="BB27" s="1371">
        <f t="shared" si="18"/>
        <v>0</v>
      </c>
      <c r="BC27" s="1369" t="str">
        <f t="shared" si="19"/>
        <v/>
      </c>
      <c r="BD27" s="626" t="str">
        <f t="shared" si="20"/>
        <v/>
      </c>
      <c r="BE27" s="1270" t="str">
        <f t="shared" si="21"/>
        <v/>
      </c>
      <c r="BF27" s="626" t="str">
        <f t="shared" si="22"/>
        <v/>
      </c>
      <c r="BG27" s="626" t="str">
        <f t="shared" si="23"/>
        <v/>
      </c>
      <c r="BH27" s="626" t="str">
        <f t="shared" si="24"/>
        <v/>
      </c>
      <c r="BI27" s="626" t="str">
        <f t="shared" si="25"/>
        <v/>
      </c>
      <c r="BJ27" s="626" t="str">
        <f t="shared" si="26"/>
        <v/>
      </c>
      <c r="BK27" s="626" t="str">
        <f t="shared" si="27"/>
        <v/>
      </c>
      <c r="BL27" s="626" t="str">
        <f t="shared" si="28"/>
        <v/>
      </c>
      <c r="BM27" s="1420">
        <f t="shared" si="29"/>
        <v>0</v>
      </c>
      <c r="BN27" s="1372">
        <f t="shared" si="30"/>
        <v>0</v>
      </c>
      <c r="BO27" s="1372">
        <f t="shared" si="31"/>
        <v>0</v>
      </c>
      <c r="BP27" s="1372">
        <f t="shared" si="32"/>
        <v>0</v>
      </c>
      <c r="BQ27" s="1374">
        <f t="shared" si="33"/>
        <v>0</v>
      </c>
      <c r="BR27" s="1251">
        <f t="shared" si="34"/>
        <v>0</v>
      </c>
      <c r="BS27" s="1403">
        <f t="shared" si="35"/>
        <v>0</v>
      </c>
      <c r="BT27" s="1372">
        <f t="shared" si="36"/>
        <v>0</v>
      </c>
      <c r="BU27" s="1372">
        <f t="shared" si="37"/>
        <v>0</v>
      </c>
      <c r="BV27" s="1372">
        <f t="shared" si="38"/>
        <v>0</v>
      </c>
      <c r="BW27" s="1372">
        <f t="shared" si="39"/>
        <v>0</v>
      </c>
      <c r="BX27" s="1372">
        <f t="shared" si="40"/>
        <v>0</v>
      </c>
      <c r="BY27" s="1372">
        <f t="shared" si="41"/>
        <v>0</v>
      </c>
      <c r="BZ27" s="1372">
        <f t="shared" si="42"/>
        <v>0</v>
      </c>
      <c r="CA27" s="1372">
        <f t="shared" si="43"/>
        <v>0</v>
      </c>
      <c r="CB27" s="1404">
        <f t="shared" si="44"/>
        <v>0</v>
      </c>
      <c r="CC27" s="1374">
        <f t="shared" si="98"/>
        <v>0</v>
      </c>
      <c r="CD27" s="1374">
        <f t="shared" si="45"/>
        <v>0</v>
      </c>
      <c r="CE27" s="1374">
        <f t="shared" si="46"/>
        <v>0</v>
      </c>
      <c r="CF27" s="1378">
        <f t="shared" si="47"/>
        <v>0</v>
      </c>
      <c r="CG27" s="1378">
        <f t="shared" si="48"/>
        <v>0</v>
      </c>
      <c r="CH27" s="1378">
        <f t="shared" si="49"/>
        <v>0</v>
      </c>
      <c r="CI27" s="1374">
        <f t="shared" si="50"/>
        <v>0</v>
      </c>
      <c r="CJ27" s="1374">
        <f t="shared" si="51"/>
        <v>0</v>
      </c>
      <c r="CK27" s="1374" t="str">
        <f t="shared" si="52"/>
        <v/>
      </c>
      <c r="CL27" s="1374">
        <f t="shared" si="53"/>
        <v>0</v>
      </c>
      <c r="CM27" s="1379">
        <f t="shared" si="54"/>
        <v>0</v>
      </c>
      <c r="CN27" s="628">
        <f>(BS27*Pricing!F$3+BT27*Pricing!G$3+BU27*Pricing!H$3+BV27*Pricing!I$3+BW27*Pricing!J$3+BX27*Pricing!K$3+BY27*Pricing!L$3+BZ27*Pricing!M$3+CA27*Pricing!N$3+CB27*Pricing!O$3)*IF(W$44="N",(1+Y$44),1)</f>
        <v>0</v>
      </c>
      <c r="CO27" s="628">
        <f t="shared" si="55"/>
        <v>0</v>
      </c>
      <c r="CP27" s="1380">
        <f t="shared" si="56"/>
        <v>0</v>
      </c>
      <c r="CQ27" s="628">
        <f t="shared" si="57"/>
        <v>0</v>
      </c>
      <c r="CR27" s="628">
        <f t="shared" si="58"/>
        <v>0</v>
      </c>
      <c r="CS27" s="628"/>
      <c r="CT27" s="1381">
        <f t="shared" si="59"/>
        <v>0</v>
      </c>
      <c r="CU27" s="628">
        <f t="shared" si="60"/>
        <v>0</v>
      </c>
      <c r="CV27" s="628">
        <f t="shared" si="61"/>
        <v>0</v>
      </c>
      <c r="CW27" s="628">
        <f t="shared" si="62"/>
        <v>0</v>
      </c>
      <c r="CX27" s="628">
        <f t="shared" si="63"/>
        <v>0</v>
      </c>
      <c r="CY27" s="628">
        <f t="shared" si="64"/>
        <v>0</v>
      </c>
      <c r="CZ27" s="628">
        <f t="shared" si="65"/>
        <v>0</v>
      </c>
      <c r="DA27" s="628">
        <f t="shared" si="66"/>
        <v>0</v>
      </c>
      <c r="DB27" s="628">
        <f t="shared" si="67"/>
        <v>0</v>
      </c>
      <c r="DC27" s="628">
        <f t="shared" si="68"/>
        <v>0</v>
      </c>
      <c r="DD27" s="628">
        <f t="shared" si="69"/>
        <v>0</v>
      </c>
      <c r="DE27" s="1382">
        <f t="shared" si="70"/>
        <v>0</v>
      </c>
      <c r="DF27" s="626">
        <f t="shared" si="71"/>
        <v>0</v>
      </c>
      <c r="DG27" s="626">
        <f t="shared" si="72"/>
        <v>0</v>
      </c>
      <c r="DH27" s="626">
        <f t="shared" si="73"/>
        <v>0</v>
      </c>
      <c r="DI27" s="626">
        <f t="shared" si="74"/>
        <v>0</v>
      </c>
      <c r="DJ27" s="626">
        <f t="shared" si="75"/>
        <v>0</v>
      </c>
      <c r="DK27" s="626">
        <f t="shared" si="76"/>
        <v>0</v>
      </c>
      <c r="DL27" s="626">
        <f t="shared" si="77"/>
        <v>0</v>
      </c>
      <c r="DM27" s="626">
        <f t="shared" si="78"/>
        <v>0</v>
      </c>
      <c r="DN27" s="626">
        <f t="shared" si="79"/>
        <v>0</v>
      </c>
      <c r="DO27" s="626">
        <f t="shared" si="80"/>
        <v>0</v>
      </c>
      <c r="DP27" s="1405">
        <f t="shared" si="81"/>
        <v>0</v>
      </c>
      <c r="DQ27" s="1270" t="str">
        <f t="shared" si="82"/>
        <v/>
      </c>
      <c r="DR27" s="1270" t="str">
        <f t="shared" si="83"/>
        <v/>
      </c>
      <c r="DS27" s="1270" t="str">
        <f t="shared" si="84"/>
        <v/>
      </c>
      <c r="DT27" s="1270" t="str">
        <f t="shared" si="85"/>
        <v/>
      </c>
      <c r="DU27" s="1270" t="str">
        <f t="shared" si="86"/>
        <v/>
      </c>
      <c r="DV27" s="1270" t="str">
        <f t="shared" si="87"/>
        <v/>
      </c>
      <c r="DW27" s="1270" t="str">
        <f t="shared" si="88"/>
        <v/>
      </c>
      <c r="DX27" s="1371">
        <f t="shared" si="89"/>
        <v>0</v>
      </c>
      <c r="DY27" s="1270" t="str">
        <f t="shared" si="90"/>
        <v/>
      </c>
      <c r="DZ27" s="1270" t="str">
        <f t="shared" si="91"/>
        <v/>
      </c>
      <c r="EA27" s="1270" t="str">
        <f t="shared" si="92"/>
        <v/>
      </c>
      <c r="EB27" s="1270" t="str">
        <f t="shared" si="93"/>
        <v/>
      </c>
      <c r="EC27" s="1270" t="str">
        <f t="shared" si="94"/>
        <v/>
      </c>
      <c r="ED27" s="1270" t="str">
        <f t="shared" si="95"/>
        <v/>
      </c>
      <c r="EE27" s="1270" t="str">
        <f t="shared" si="96"/>
        <v/>
      </c>
      <c r="EF27" s="1371">
        <f t="shared" si="97"/>
        <v>0</v>
      </c>
    </row>
    <row r="28" spans="1:136" ht="19.5" customHeight="1">
      <c r="A28" s="18" t="s">
        <v>1572</v>
      </c>
      <c r="B28" s="859"/>
      <c r="C28" s="1342"/>
      <c r="D28" s="1343"/>
      <c r="E28" s="1344"/>
      <c r="F28" s="984"/>
      <c r="G28" s="1389"/>
      <c r="H28" s="984"/>
      <c r="I28" s="1389"/>
      <c r="J28" s="984"/>
      <c r="K28" s="1419"/>
      <c r="L28" s="503"/>
      <c r="M28" s="834"/>
      <c r="N28" s="1349"/>
      <c r="O28" s="1350"/>
      <c r="P28" s="1351">
        <f t="shared" si="0"/>
        <v>0</v>
      </c>
      <c r="Q28" s="1352">
        <f t="shared" si="1"/>
        <v>0</v>
      </c>
      <c r="R28" s="1353">
        <f t="shared" si="2"/>
        <v>0</v>
      </c>
      <c r="S28" s="1354">
        <f t="shared" si="3"/>
        <v>0</v>
      </c>
      <c r="T28" s="1355">
        <f t="shared" si="4"/>
        <v>0</v>
      </c>
      <c r="U28" s="1356">
        <f t="shared" si="5"/>
        <v>0</v>
      </c>
      <c r="V28" s="1357">
        <f t="shared" si="6"/>
        <v>0</v>
      </c>
      <c r="W28" s="503"/>
      <c r="X28" s="1362"/>
      <c r="Y28" s="503"/>
      <c r="Z28" s="1410"/>
      <c r="AA28" s="503"/>
      <c r="AB28" s="1410"/>
      <c r="AC28" s="1421"/>
      <c r="AD28" s="1362"/>
      <c r="AE28" s="503"/>
      <c r="AF28" s="1363"/>
      <c r="AG28" s="1367"/>
      <c r="AH28" s="1363"/>
      <c r="AI28" s="1365"/>
      <c r="AJ28" s="1366"/>
      <c r="AK28" s="1367"/>
      <c r="AL28" s="1418"/>
      <c r="AM28" s="503"/>
      <c r="AN28" s="1411"/>
      <c r="AO28" s="503"/>
      <c r="AP28" s="1410"/>
      <c r="AQ28" s="1275" t="e">
        <f t="shared" si="7"/>
        <v>#DIV/0!</v>
      </c>
      <c r="AR28" s="1369" t="str">
        <f t="shared" si="8"/>
        <v/>
      </c>
      <c r="AS28" s="1270" t="str">
        <f t="shared" si="9"/>
        <v/>
      </c>
      <c r="AT28" s="1270" t="str">
        <f t="shared" si="10"/>
        <v/>
      </c>
      <c r="AU28" s="1270" t="str">
        <f t="shared" si="11"/>
        <v/>
      </c>
      <c r="AV28" s="1270" t="str">
        <f t="shared" si="12"/>
        <v/>
      </c>
      <c r="AW28" s="1270" t="str">
        <f t="shared" si="13"/>
        <v/>
      </c>
      <c r="AX28" s="1270" t="str">
        <f t="shared" si="14"/>
        <v/>
      </c>
      <c r="AY28" s="1270" t="str">
        <f t="shared" si="15"/>
        <v/>
      </c>
      <c r="AZ28" s="1270" t="str">
        <f t="shared" si="16"/>
        <v/>
      </c>
      <c r="BA28" s="1270" t="str">
        <f t="shared" si="17"/>
        <v/>
      </c>
      <c r="BB28" s="1371">
        <f t="shared" si="18"/>
        <v>0</v>
      </c>
      <c r="BC28" s="1369" t="str">
        <f t="shared" si="19"/>
        <v/>
      </c>
      <c r="BD28" s="626" t="str">
        <f t="shared" si="20"/>
        <v/>
      </c>
      <c r="BE28" s="1270" t="str">
        <f t="shared" si="21"/>
        <v/>
      </c>
      <c r="BF28" s="626" t="str">
        <f t="shared" si="22"/>
        <v/>
      </c>
      <c r="BG28" s="626" t="str">
        <f t="shared" si="23"/>
        <v/>
      </c>
      <c r="BH28" s="626" t="str">
        <f t="shared" si="24"/>
        <v/>
      </c>
      <c r="BI28" s="626" t="str">
        <f t="shared" si="25"/>
        <v/>
      </c>
      <c r="BJ28" s="626" t="str">
        <f t="shared" si="26"/>
        <v/>
      </c>
      <c r="BK28" s="626" t="str">
        <f t="shared" si="27"/>
        <v/>
      </c>
      <c r="BL28" s="626" t="str">
        <f t="shared" si="28"/>
        <v/>
      </c>
      <c r="BM28" s="1420">
        <f t="shared" si="29"/>
        <v>0</v>
      </c>
      <c r="BN28" s="1372">
        <f t="shared" si="30"/>
        <v>0</v>
      </c>
      <c r="BO28" s="1372">
        <f t="shared" si="31"/>
        <v>0</v>
      </c>
      <c r="BP28" s="1372">
        <f t="shared" si="32"/>
        <v>0</v>
      </c>
      <c r="BQ28" s="1374">
        <f t="shared" si="33"/>
        <v>0</v>
      </c>
      <c r="BR28" s="1251">
        <f t="shared" si="34"/>
        <v>0</v>
      </c>
      <c r="BS28" s="1403">
        <f t="shared" si="35"/>
        <v>0</v>
      </c>
      <c r="BT28" s="1372">
        <f t="shared" si="36"/>
        <v>0</v>
      </c>
      <c r="BU28" s="1372">
        <f t="shared" si="37"/>
        <v>0</v>
      </c>
      <c r="BV28" s="1372">
        <f t="shared" si="38"/>
        <v>0</v>
      </c>
      <c r="BW28" s="1372">
        <f t="shared" si="39"/>
        <v>0</v>
      </c>
      <c r="BX28" s="1372">
        <f t="shared" si="40"/>
        <v>0</v>
      </c>
      <c r="BY28" s="1372">
        <f t="shared" si="41"/>
        <v>0</v>
      </c>
      <c r="BZ28" s="1372">
        <f t="shared" si="42"/>
        <v>0</v>
      </c>
      <c r="CA28" s="1372">
        <f t="shared" si="43"/>
        <v>0</v>
      </c>
      <c r="CB28" s="1404">
        <f t="shared" si="44"/>
        <v>0</v>
      </c>
      <c r="CC28" s="1374">
        <f t="shared" si="98"/>
        <v>0</v>
      </c>
      <c r="CD28" s="1374">
        <f t="shared" si="45"/>
        <v>0</v>
      </c>
      <c r="CE28" s="1374">
        <f t="shared" si="46"/>
        <v>0</v>
      </c>
      <c r="CF28" s="1378">
        <f t="shared" si="47"/>
        <v>0</v>
      </c>
      <c r="CG28" s="1378">
        <f t="shared" si="48"/>
        <v>0</v>
      </c>
      <c r="CH28" s="1378">
        <f t="shared" si="49"/>
        <v>0</v>
      </c>
      <c r="CI28" s="1374">
        <f t="shared" si="50"/>
        <v>0</v>
      </c>
      <c r="CJ28" s="1374">
        <f t="shared" si="51"/>
        <v>0</v>
      </c>
      <c r="CK28" s="1374" t="str">
        <f t="shared" si="52"/>
        <v/>
      </c>
      <c r="CL28" s="1374">
        <f t="shared" si="53"/>
        <v>0</v>
      </c>
      <c r="CM28" s="1379">
        <f t="shared" si="54"/>
        <v>0</v>
      </c>
      <c r="CN28" s="628">
        <f>(BS28*Pricing!F$3+BT28*Pricing!G$3+BU28*Pricing!H$3+BV28*Pricing!I$3+BW28*Pricing!J$3+BX28*Pricing!K$3+BY28*Pricing!L$3+BZ28*Pricing!M$3+CA28*Pricing!N$3+CB28*Pricing!O$3)*IF(W$44="N",(1+Y$44),1)</f>
        <v>0</v>
      </c>
      <c r="CO28" s="628">
        <f t="shared" si="55"/>
        <v>0</v>
      </c>
      <c r="CP28" s="1380">
        <f t="shared" si="56"/>
        <v>0</v>
      </c>
      <c r="CQ28" s="628">
        <f t="shared" si="57"/>
        <v>0</v>
      </c>
      <c r="CR28" s="628">
        <f t="shared" si="58"/>
        <v>0</v>
      </c>
      <c r="CS28" s="628"/>
      <c r="CT28" s="1381">
        <f t="shared" si="59"/>
        <v>0</v>
      </c>
      <c r="CU28" s="628">
        <f t="shared" si="60"/>
        <v>0</v>
      </c>
      <c r="CV28" s="628">
        <f t="shared" si="61"/>
        <v>0</v>
      </c>
      <c r="CW28" s="628">
        <f t="shared" si="62"/>
        <v>0</v>
      </c>
      <c r="CX28" s="628">
        <f t="shared" si="63"/>
        <v>0</v>
      </c>
      <c r="CY28" s="628">
        <f t="shared" si="64"/>
        <v>0</v>
      </c>
      <c r="CZ28" s="628">
        <f t="shared" si="65"/>
        <v>0</v>
      </c>
      <c r="DA28" s="628">
        <f t="shared" si="66"/>
        <v>0</v>
      </c>
      <c r="DB28" s="628">
        <f t="shared" si="67"/>
        <v>0</v>
      </c>
      <c r="DC28" s="628">
        <f t="shared" si="68"/>
        <v>0</v>
      </c>
      <c r="DD28" s="628">
        <f t="shared" si="69"/>
        <v>0</v>
      </c>
      <c r="DE28" s="1382">
        <f t="shared" si="70"/>
        <v>0</v>
      </c>
      <c r="DF28" s="626">
        <f t="shared" si="71"/>
        <v>0</v>
      </c>
      <c r="DG28" s="626">
        <f t="shared" si="72"/>
        <v>0</v>
      </c>
      <c r="DH28" s="626">
        <f t="shared" si="73"/>
        <v>0</v>
      </c>
      <c r="DI28" s="626">
        <f t="shared" si="74"/>
        <v>0</v>
      </c>
      <c r="DJ28" s="626">
        <f t="shared" si="75"/>
        <v>0</v>
      </c>
      <c r="DK28" s="626">
        <f t="shared" si="76"/>
        <v>0</v>
      </c>
      <c r="DL28" s="626">
        <f t="shared" si="77"/>
        <v>0</v>
      </c>
      <c r="DM28" s="626">
        <f t="shared" si="78"/>
        <v>0</v>
      </c>
      <c r="DN28" s="626">
        <f t="shared" si="79"/>
        <v>0</v>
      </c>
      <c r="DO28" s="626">
        <f t="shared" si="80"/>
        <v>0</v>
      </c>
      <c r="DP28" s="1405">
        <f t="shared" si="81"/>
        <v>0</v>
      </c>
      <c r="DQ28" s="1270" t="str">
        <f t="shared" si="82"/>
        <v/>
      </c>
      <c r="DR28" s="1270" t="str">
        <f t="shared" si="83"/>
        <v/>
      </c>
      <c r="DS28" s="1270" t="str">
        <f t="shared" si="84"/>
        <v/>
      </c>
      <c r="DT28" s="1270" t="str">
        <f t="shared" si="85"/>
        <v/>
      </c>
      <c r="DU28" s="1270" t="str">
        <f t="shared" si="86"/>
        <v/>
      </c>
      <c r="DV28" s="1270" t="str">
        <f t="shared" si="87"/>
        <v/>
      </c>
      <c r="DW28" s="1270" t="str">
        <f t="shared" si="88"/>
        <v/>
      </c>
      <c r="DX28" s="1371">
        <f t="shared" si="89"/>
        <v>0</v>
      </c>
      <c r="DY28" s="1270" t="str">
        <f t="shared" si="90"/>
        <v/>
      </c>
      <c r="DZ28" s="1270" t="str">
        <f t="shared" si="91"/>
        <v/>
      </c>
      <c r="EA28" s="1270" t="str">
        <f t="shared" si="92"/>
        <v/>
      </c>
      <c r="EB28" s="1270" t="str">
        <f t="shared" si="93"/>
        <v/>
      </c>
      <c r="EC28" s="1270" t="str">
        <f t="shared" si="94"/>
        <v/>
      </c>
      <c r="ED28" s="1270" t="str">
        <f t="shared" si="95"/>
        <v/>
      </c>
      <c r="EE28" s="1270" t="str">
        <f t="shared" si="96"/>
        <v/>
      </c>
      <c r="EF28" s="1371">
        <f t="shared" si="97"/>
        <v>0</v>
      </c>
    </row>
    <row r="29" spans="1:136" ht="19.5" customHeight="1">
      <c r="A29" s="18" t="s">
        <v>1573</v>
      </c>
      <c r="B29" s="1385"/>
      <c r="C29" s="1386"/>
      <c r="D29" s="1387"/>
      <c r="E29" s="1388"/>
      <c r="F29" s="984"/>
      <c r="G29" s="1389"/>
      <c r="H29" s="984"/>
      <c r="I29" s="1389"/>
      <c r="J29" s="984"/>
      <c r="K29" s="1419"/>
      <c r="L29" s="1391"/>
      <c r="M29" s="1392"/>
      <c r="N29" s="1393"/>
      <c r="O29" s="1394"/>
      <c r="P29" s="1351">
        <f t="shared" si="0"/>
        <v>0</v>
      </c>
      <c r="Q29" s="1352">
        <f t="shared" si="1"/>
        <v>0</v>
      </c>
      <c r="R29" s="1353">
        <f t="shared" si="2"/>
        <v>0</v>
      </c>
      <c r="S29" s="1354">
        <f t="shared" si="3"/>
        <v>0</v>
      </c>
      <c r="T29" s="1355">
        <f t="shared" si="4"/>
        <v>0</v>
      </c>
      <c r="U29" s="1356">
        <f t="shared" si="5"/>
        <v>0</v>
      </c>
      <c r="V29" s="1357">
        <f t="shared" si="6"/>
        <v>0</v>
      </c>
      <c r="W29" s="1395"/>
      <c r="X29" s="1396"/>
      <c r="Y29" s="1395"/>
      <c r="Z29" s="1397"/>
      <c r="AA29" s="1395"/>
      <c r="AB29" s="1397"/>
      <c r="AC29" s="1398"/>
      <c r="AD29" s="1396"/>
      <c r="AE29" s="1395"/>
      <c r="AF29" s="1399"/>
      <c r="AG29" s="1400"/>
      <c r="AH29" s="1399"/>
      <c r="AI29" s="1401"/>
      <c r="AJ29" s="1396"/>
      <c r="AK29" s="1401"/>
      <c r="AL29" s="1417"/>
      <c r="AM29" s="1395"/>
      <c r="AN29" s="1402"/>
      <c r="AO29" s="1395"/>
      <c r="AP29" s="1397"/>
      <c r="AQ29" s="1275" t="e">
        <f t="shared" si="7"/>
        <v>#DIV/0!</v>
      </c>
      <c r="AR29" s="1369" t="str">
        <f t="shared" si="8"/>
        <v/>
      </c>
      <c r="AS29" s="1270" t="str">
        <f t="shared" si="9"/>
        <v/>
      </c>
      <c r="AT29" s="1270" t="str">
        <f t="shared" si="10"/>
        <v/>
      </c>
      <c r="AU29" s="1270" t="str">
        <f t="shared" si="11"/>
        <v/>
      </c>
      <c r="AV29" s="1270" t="str">
        <f t="shared" si="12"/>
        <v/>
      </c>
      <c r="AW29" s="1270" t="str">
        <f t="shared" si="13"/>
        <v/>
      </c>
      <c r="AX29" s="1270" t="str">
        <f t="shared" si="14"/>
        <v/>
      </c>
      <c r="AY29" s="1270" t="str">
        <f t="shared" si="15"/>
        <v/>
      </c>
      <c r="AZ29" s="1270" t="str">
        <f t="shared" si="16"/>
        <v/>
      </c>
      <c r="BA29" s="1270" t="str">
        <f t="shared" si="17"/>
        <v/>
      </c>
      <c r="BB29" s="1371">
        <f t="shared" si="18"/>
        <v>0</v>
      </c>
      <c r="BC29" s="1369" t="str">
        <f t="shared" si="19"/>
        <v/>
      </c>
      <c r="BD29" s="626" t="str">
        <f t="shared" si="20"/>
        <v/>
      </c>
      <c r="BE29" s="1270" t="str">
        <f t="shared" si="21"/>
        <v/>
      </c>
      <c r="BF29" s="626" t="str">
        <f t="shared" si="22"/>
        <v/>
      </c>
      <c r="BG29" s="626" t="str">
        <f t="shared" si="23"/>
        <v/>
      </c>
      <c r="BH29" s="626" t="str">
        <f t="shared" si="24"/>
        <v/>
      </c>
      <c r="BI29" s="626" t="str">
        <f t="shared" si="25"/>
        <v/>
      </c>
      <c r="BJ29" s="626" t="str">
        <f t="shared" si="26"/>
        <v/>
      </c>
      <c r="BK29" s="626" t="str">
        <f t="shared" si="27"/>
        <v/>
      </c>
      <c r="BL29" s="626" t="str">
        <f t="shared" si="28"/>
        <v/>
      </c>
      <c r="BM29" s="1420">
        <f t="shared" si="29"/>
        <v>0</v>
      </c>
      <c r="BN29" s="1372">
        <f t="shared" si="30"/>
        <v>0</v>
      </c>
      <c r="BO29" s="1372">
        <f t="shared" si="31"/>
        <v>0</v>
      </c>
      <c r="BP29" s="1372">
        <f t="shared" si="32"/>
        <v>0</v>
      </c>
      <c r="BQ29" s="1374">
        <f t="shared" si="33"/>
        <v>0</v>
      </c>
      <c r="BR29" s="1251">
        <f t="shared" si="34"/>
        <v>0</v>
      </c>
      <c r="BS29" s="1403">
        <f t="shared" si="35"/>
        <v>0</v>
      </c>
      <c r="BT29" s="1372">
        <f t="shared" si="36"/>
        <v>0</v>
      </c>
      <c r="BU29" s="1372">
        <f t="shared" si="37"/>
        <v>0</v>
      </c>
      <c r="BV29" s="1372">
        <f t="shared" si="38"/>
        <v>0</v>
      </c>
      <c r="BW29" s="1372">
        <f t="shared" si="39"/>
        <v>0</v>
      </c>
      <c r="BX29" s="1372">
        <f t="shared" si="40"/>
        <v>0</v>
      </c>
      <c r="BY29" s="1372">
        <f t="shared" si="41"/>
        <v>0</v>
      </c>
      <c r="BZ29" s="1372">
        <f t="shared" si="42"/>
        <v>0</v>
      </c>
      <c r="CA29" s="1372">
        <f t="shared" si="43"/>
        <v>0</v>
      </c>
      <c r="CB29" s="1404">
        <f t="shared" si="44"/>
        <v>0</v>
      </c>
      <c r="CC29" s="1374">
        <f t="shared" si="98"/>
        <v>0</v>
      </c>
      <c r="CD29" s="1374">
        <f t="shared" si="45"/>
        <v>0</v>
      </c>
      <c r="CE29" s="1374">
        <f t="shared" si="46"/>
        <v>0</v>
      </c>
      <c r="CF29" s="1378">
        <f t="shared" si="47"/>
        <v>0</v>
      </c>
      <c r="CG29" s="1378">
        <f t="shared" si="48"/>
        <v>0</v>
      </c>
      <c r="CH29" s="1378">
        <f t="shared" si="49"/>
        <v>0</v>
      </c>
      <c r="CI29" s="1374">
        <f t="shared" si="50"/>
        <v>0</v>
      </c>
      <c r="CJ29" s="1374">
        <f t="shared" si="51"/>
        <v>0</v>
      </c>
      <c r="CK29" s="1374" t="str">
        <f t="shared" si="52"/>
        <v/>
      </c>
      <c r="CL29" s="1374">
        <f t="shared" si="53"/>
        <v>0</v>
      </c>
      <c r="CM29" s="1379">
        <f t="shared" si="54"/>
        <v>0</v>
      </c>
      <c r="CN29" s="628">
        <f>(BS29*Pricing!F$3+BT29*Pricing!G$3+BU29*Pricing!H$3+BV29*Pricing!I$3+BW29*Pricing!J$3+BX29*Pricing!K$3+BY29*Pricing!L$3+BZ29*Pricing!M$3+CA29*Pricing!N$3+CB29*Pricing!O$3)*IF(W$44="N",(1+Y$44),1)</f>
        <v>0</v>
      </c>
      <c r="CO29" s="628">
        <f t="shared" si="55"/>
        <v>0</v>
      </c>
      <c r="CP29" s="1380">
        <f t="shared" si="56"/>
        <v>0</v>
      </c>
      <c r="CQ29" s="628">
        <f t="shared" si="57"/>
        <v>0</v>
      </c>
      <c r="CR29" s="628">
        <f t="shared" si="58"/>
        <v>0</v>
      </c>
      <c r="CS29" s="628"/>
      <c r="CT29" s="1381">
        <f t="shared" si="59"/>
        <v>0</v>
      </c>
      <c r="CU29" s="628">
        <f t="shared" si="60"/>
        <v>0</v>
      </c>
      <c r="CV29" s="628">
        <f t="shared" si="61"/>
        <v>0</v>
      </c>
      <c r="CW29" s="628">
        <f t="shared" si="62"/>
        <v>0</v>
      </c>
      <c r="CX29" s="628">
        <f t="shared" si="63"/>
        <v>0</v>
      </c>
      <c r="CY29" s="628">
        <f t="shared" si="64"/>
        <v>0</v>
      </c>
      <c r="CZ29" s="628">
        <f t="shared" si="65"/>
        <v>0</v>
      </c>
      <c r="DA29" s="628">
        <f t="shared" si="66"/>
        <v>0</v>
      </c>
      <c r="DB29" s="628">
        <f t="shared" si="67"/>
        <v>0</v>
      </c>
      <c r="DC29" s="628">
        <f t="shared" si="68"/>
        <v>0</v>
      </c>
      <c r="DD29" s="628">
        <f t="shared" si="69"/>
        <v>0</v>
      </c>
      <c r="DE29" s="1382">
        <f t="shared" si="70"/>
        <v>0</v>
      </c>
      <c r="DF29" s="626">
        <f t="shared" si="71"/>
        <v>0</v>
      </c>
      <c r="DG29" s="626">
        <f t="shared" si="72"/>
        <v>0</v>
      </c>
      <c r="DH29" s="626">
        <f t="shared" si="73"/>
        <v>0</v>
      </c>
      <c r="DI29" s="626">
        <f t="shared" si="74"/>
        <v>0</v>
      </c>
      <c r="DJ29" s="626">
        <f t="shared" si="75"/>
        <v>0</v>
      </c>
      <c r="DK29" s="626">
        <f t="shared" si="76"/>
        <v>0</v>
      </c>
      <c r="DL29" s="626">
        <f t="shared" si="77"/>
        <v>0</v>
      </c>
      <c r="DM29" s="626">
        <f t="shared" si="78"/>
        <v>0</v>
      </c>
      <c r="DN29" s="626">
        <f t="shared" si="79"/>
        <v>0</v>
      </c>
      <c r="DO29" s="626">
        <f t="shared" si="80"/>
        <v>0</v>
      </c>
      <c r="DP29" s="1405">
        <f t="shared" si="81"/>
        <v>0</v>
      </c>
      <c r="DQ29" s="1270" t="str">
        <f t="shared" si="82"/>
        <v/>
      </c>
      <c r="DR29" s="1270" t="str">
        <f t="shared" si="83"/>
        <v/>
      </c>
      <c r="DS29" s="1270" t="str">
        <f t="shared" si="84"/>
        <v/>
      </c>
      <c r="DT29" s="1270" t="str">
        <f t="shared" si="85"/>
        <v/>
      </c>
      <c r="DU29" s="1270" t="str">
        <f t="shared" si="86"/>
        <v/>
      </c>
      <c r="DV29" s="1270" t="str">
        <f t="shared" si="87"/>
        <v/>
      </c>
      <c r="DW29" s="1270" t="str">
        <f t="shared" si="88"/>
        <v/>
      </c>
      <c r="DX29" s="1371">
        <f t="shared" si="89"/>
        <v>0</v>
      </c>
      <c r="DY29" s="1270" t="str">
        <f t="shared" si="90"/>
        <v/>
      </c>
      <c r="DZ29" s="1270" t="str">
        <f t="shared" si="91"/>
        <v/>
      </c>
      <c r="EA29" s="1270" t="str">
        <f t="shared" si="92"/>
        <v/>
      </c>
      <c r="EB29" s="1270" t="str">
        <f t="shared" si="93"/>
        <v/>
      </c>
      <c r="EC29" s="1270" t="str">
        <f t="shared" si="94"/>
        <v/>
      </c>
      <c r="ED29" s="1270" t="str">
        <f t="shared" si="95"/>
        <v/>
      </c>
      <c r="EE29" s="1270" t="str">
        <f t="shared" si="96"/>
        <v/>
      </c>
      <c r="EF29" s="1371">
        <f t="shared" si="97"/>
        <v>0</v>
      </c>
    </row>
    <row r="30" spans="1:136" ht="19.5" customHeight="1">
      <c r="A30" s="18" t="s">
        <v>1574</v>
      </c>
      <c r="B30" s="859"/>
      <c r="C30" s="1342"/>
      <c r="D30" s="1343"/>
      <c r="E30" s="1344"/>
      <c r="F30" s="984"/>
      <c r="G30" s="1389"/>
      <c r="H30" s="984"/>
      <c r="I30" s="1389"/>
      <c r="J30" s="984"/>
      <c r="K30" s="1419"/>
      <c r="L30" s="503"/>
      <c r="M30" s="834"/>
      <c r="N30" s="1349"/>
      <c r="O30" s="1350"/>
      <c r="P30" s="1351">
        <f t="shared" si="0"/>
        <v>0</v>
      </c>
      <c r="Q30" s="1352">
        <f t="shared" si="1"/>
        <v>0</v>
      </c>
      <c r="R30" s="1353">
        <f t="shared" si="2"/>
        <v>0</v>
      </c>
      <c r="S30" s="1354">
        <f t="shared" si="3"/>
        <v>0</v>
      </c>
      <c r="T30" s="1355">
        <f t="shared" si="4"/>
        <v>0</v>
      </c>
      <c r="U30" s="1356">
        <f t="shared" si="5"/>
        <v>0</v>
      </c>
      <c r="V30" s="1357">
        <f t="shared" si="6"/>
        <v>0</v>
      </c>
      <c r="W30" s="503"/>
      <c r="X30" s="1362"/>
      <c r="Y30" s="1347"/>
      <c r="Z30" s="1360"/>
      <c r="AA30" s="1347"/>
      <c r="AB30" s="1360"/>
      <c r="AC30" s="1361"/>
      <c r="AD30" s="1362"/>
      <c r="AE30" s="1347"/>
      <c r="AF30" s="1363"/>
      <c r="AG30" s="1364"/>
      <c r="AH30" s="1363"/>
      <c r="AI30" s="1365"/>
      <c r="AJ30" s="1362"/>
      <c r="AK30" s="1408"/>
      <c r="AL30" s="1409"/>
      <c r="AM30" s="1347"/>
      <c r="AN30" s="1368"/>
      <c r="AO30" s="1347"/>
      <c r="AP30" s="1360"/>
      <c r="AQ30" s="1275" t="e">
        <f t="shared" si="7"/>
        <v>#DIV/0!</v>
      </c>
      <c r="AR30" s="1369" t="str">
        <f t="shared" si="8"/>
        <v/>
      </c>
      <c r="AS30" s="1270" t="str">
        <f t="shared" si="9"/>
        <v/>
      </c>
      <c r="AT30" s="1270" t="str">
        <f t="shared" si="10"/>
        <v/>
      </c>
      <c r="AU30" s="1270" t="str">
        <f t="shared" si="11"/>
        <v/>
      </c>
      <c r="AV30" s="1270" t="str">
        <f t="shared" si="12"/>
        <v/>
      </c>
      <c r="AW30" s="1270" t="str">
        <f t="shared" si="13"/>
        <v/>
      </c>
      <c r="AX30" s="1270" t="str">
        <f t="shared" si="14"/>
        <v/>
      </c>
      <c r="AY30" s="1270" t="str">
        <f t="shared" si="15"/>
        <v/>
      </c>
      <c r="AZ30" s="1270" t="str">
        <f t="shared" si="16"/>
        <v/>
      </c>
      <c r="BA30" s="1270" t="str">
        <f t="shared" si="17"/>
        <v/>
      </c>
      <c r="BB30" s="1371">
        <f t="shared" si="18"/>
        <v>0</v>
      </c>
      <c r="BC30" s="1369" t="str">
        <f t="shared" si="19"/>
        <v/>
      </c>
      <c r="BD30" s="626" t="str">
        <f t="shared" si="20"/>
        <v/>
      </c>
      <c r="BE30" s="1270" t="str">
        <f t="shared" si="21"/>
        <v/>
      </c>
      <c r="BF30" s="626" t="str">
        <f t="shared" si="22"/>
        <v/>
      </c>
      <c r="BG30" s="626" t="str">
        <f t="shared" si="23"/>
        <v/>
      </c>
      <c r="BH30" s="626" t="str">
        <f t="shared" si="24"/>
        <v/>
      </c>
      <c r="BI30" s="626" t="str">
        <f t="shared" si="25"/>
        <v/>
      </c>
      <c r="BJ30" s="626" t="str">
        <f t="shared" si="26"/>
        <v/>
      </c>
      <c r="BK30" s="626" t="str">
        <f t="shared" si="27"/>
        <v/>
      </c>
      <c r="BL30" s="626" t="str">
        <f t="shared" si="28"/>
        <v/>
      </c>
      <c r="BM30" s="1420">
        <f t="shared" si="29"/>
        <v>0</v>
      </c>
      <c r="BN30" s="1372">
        <f t="shared" si="30"/>
        <v>0</v>
      </c>
      <c r="BO30" s="1372">
        <f t="shared" si="31"/>
        <v>0</v>
      </c>
      <c r="BP30" s="1372">
        <f t="shared" si="32"/>
        <v>0</v>
      </c>
      <c r="BQ30" s="1374">
        <f t="shared" si="33"/>
        <v>0</v>
      </c>
      <c r="BR30" s="1251">
        <f t="shared" si="34"/>
        <v>0</v>
      </c>
      <c r="BS30" s="1403">
        <f t="shared" si="35"/>
        <v>0</v>
      </c>
      <c r="BT30" s="1372">
        <f t="shared" si="36"/>
        <v>0</v>
      </c>
      <c r="BU30" s="1372">
        <f t="shared" si="37"/>
        <v>0</v>
      </c>
      <c r="BV30" s="1372">
        <f t="shared" si="38"/>
        <v>0</v>
      </c>
      <c r="BW30" s="1372">
        <f t="shared" si="39"/>
        <v>0</v>
      </c>
      <c r="BX30" s="1372">
        <f t="shared" si="40"/>
        <v>0</v>
      </c>
      <c r="BY30" s="1372">
        <f t="shared" si="41"/>
        <v>0</v>
      </c>
      <c r="BZ30" s="1372">
        <f t="shared" si="42"/>
        <v>0</v>
      </c>
      <c r="CA30" s="1372">
        <f t="shared" si="43"/>
        <v>0</v>
      </c>
      <c r="CB30" s="1404">
        <f t="shared" si="44"/>
        <v>0</v>
      </c>
      <c r="CC30" s="1374">
        <f t="shared" si="98"/>
        <v>0</v>
      </c>
      <c r="CD30" s="1374">
        <f t="shared" si="45"/>
        <v>0</v>
      </c>
      <c r="CE30" s="1374">
        <f t="shared" si="46"/>
        <v>0</v>
      </c>
      <c r="CF30" s="1378">
        <f t="shared" si="47"/>
        <v>0</v>
      </c>
      <c r="CG30" s="1378">
        <f t="shared" si="48"/>
        <v>0</v>
      </c>
      <c r="CH30" s="1378">
        <f t="shared" si="49"/>
        <v>0</v>
      </c>
      <c r="CI30" s="1374">
        <f t="shared" si="50"/>
        <v>0</v>
      </c>
      <c r="CJ30" s="1374">
        <f t="shared" si="51"/>
        <v>0</v>
      </c>
      <c r="CK30" s="1374" t="str">
        <f t="shared" si="52"/>
        <v/>
      </c>
      <c r="CL30" s="1374">
        <f t="shared" si="53"/>
        <v>0</v>
      </c>
      <c r="CM30" s="1379">
        <f t="shared" si="54"/>
        <v>0</v>
      </c>
      <c r="CN30" s="628">
        <f>(BS30*Pricing!F$3+BT30*Pricing!G$3+BU30*Pricing!H$3+BV30*Pricing!I$3+BW30*Pricing!J$3+BX30*Pricing!K$3+BY30*Pricing!L$3+BZ30*Pricing!M$3+CA30*Pricing!N$3+CB30*Pricing!O$3)*IF(W$44="N",(1+Y$44),1)</f>
        <v>0</v>
      </c>
      <c r="CO30" s="628">
        <f t="shared" si="55"/>
        <v>0</v>
      </c>
      <c r="CP30" s="1380">
        <f t="shared" si="56"/>
        <v>0</v>
      </c>
      <c r="CQ30" s="628">
        <f t="shared" si="57"/>
        <v>0</v>
      </c>
      <c r="CR30" s="628">
        <f t="shared" si="58"/>
        <v>0</v>
      </c>
      <c r="CS30" s="628"/>
      <c r="CT30" s="1381">
        <f t="shared" si="59"/>
        <v>0</v>
      </c>
      <c r="CU30" s="628">
        <f t="shared" si="60"/>
        <v>0</v>
      </c>
      <c r="CV30" s="628">
        <f t="shared" si="61"/>
        <v>0</v>
      </c>
      <c r="CW30" s="628">
        <f t="shared" si="62"/>
        <v>0</v>
      </c>
      <c r="CX30" s="628">
        <f t="shared" si="63"/>
        <v>0</v>
      </c>
      <c r="CY30" s="628">
        <f t="shared" si="64"/>
        <v>0</v>
      </c>
      <c r="CZ30" s="628">
        <f t="shared" si="65"/>
        <v>0</v>
      </c>
      <c r="DA30" s="628">
        <f t="shared" si="66"/>
        <v>0</v>
      </c>
      <c r="DB30" s="628">
        <f t="shared" si="67"/>
        <v>0</v>
      </c>
      <c r="DC30" s="628">
        <f t="shared" si="68"/>
        <v>0</v>
      </c>
      <c r="DD30" s="628">
        <f t="shared" si="69"/>
        <v>0</v>
      </c>
      <c r="DE30" s="1382">
        <f t="shared" si="70"/>
        <v>0</v>
      </c>
      <c r="DF30" s="626">
        <f t="shared" si="71"/>
        <v>0</v>
      </c>
      <c r="DG30" s="626">
        <f t="shared" si="72"/>
        <v>0</v>
      </c>
      <c r="DH30" s="626">
        <f t="shared" si="73"/>
        <v>0</v>
      </c>
      <c r="DI30" s="626">
        <f t="shared" si="74"/>
        <v>0</v>
      </c>
      <c r="DJ30" s="626">
        <f t="shared" si="75"/>
        <v>0</v>
      </c>
      <c r="DK30" s="626">
        <f t="shared" si="76"/>
        <v>0</v>
      </c>
      <c r="DL30" s="626">
        <f t="shared" si="77"/>
        <v>0</v>
      </c>
      <c r="DM30" s="626">
        <f t="shared" si="78"/>
        <v>0</v>
      </c>
      <c r="DN30" s="626">
        <f t="shared" si="79"/>
        <v>0</v>
      </c>
      <c r="DO30" s="626">
        <f t="shared" si="80"/>
        <v>0</v>
      </c>
      <c r="DP30" s="1405">
        <f t="shared" si="81"/>
        <v>0</v>
      </c>
      <c r="DQ30" s="1270" t="str">
        <f t="shared" si="82"/>
        <v/>
      </c>
      <c r="DR30" s="1270" t="str">
        <f t="shared" si="83"/>
        <v/>
      </c>
      <c r="DS30" s="1270" t="str">
        <f t="shared" si="84"/>
        <v/>
      </c>
      <c r="DT30" s="1270" t="str">
        <f t="shared" si="85"/>
        <v/>
      </c>
      <c r="DU30" s="1270" t="str">
        <f t="shared" si="86"/>
        <v/>
      </c>
      <c r="DV30" s="1270" t="str">
        <f t="shared" si="87"/>
        <v/>
      </c>
      <c r="DW30" s="1270" t="str">
        <f t="shared" si="88"/>
        <v/>
      </c>
      <c r="DX30" s="1371">
        <f t="shared" si="89"/>
        <v>0</v>
      </c>
      <c r="DY30" s="1270" t="str">
        <f t="shared" si="90"/>
        <v/>
      </c>
      <c r="DZ30" s="1270" t="str">
        <f t="shared" si="91"/>
        <v/>
      </c>
      <c r="EA30" s="1270" t="str">
        <f t="shared" si="92"/>
        <v/>
      </c>
      <c r="EB30" s="1270" t="str">
        <f t="shared" si="93"/>
        <v/>
      </c>
      <c r="EC30" s="1270" t="str">
        <f t="shared" si="94"/>
        <v/>
      </c>
      <c r="ED30" s="1270" t="str">
        <f t="shared" si="95"/>
        <v/>
      </c>
      <c r="EE30" s="1270" t="str">
        <f t="shared" si="96"/>
        <v/>
      </c>
      <c r="EF30" s="1371">
        <f t="shared" si="97"/>
        <v>0</v>
      </c>
    </row>
    <row r="31" spans="1:136" ht="19.5" customHeight="1">
      <c r="A31" s="18" t="s">
        <v>1575</v>
      </c>
      <c r="B31" s="1385"/>
      <c r="C31" s="1386"/>
      <c r="D31" s="1387"/>
      <c r="E31" s="1388"/>
      <c r="F31" s="984"/>
      <c r="G31" s="1389"/>
      <c r="H31" s="984"/>
      <c r="I31" s="1389"/>
      <c r="J31" s="984"/>
      <c r="K31" s="1419"/>
      <c r="L31" s="1395"/>
      <c r="M31" s="1392"/>
      <c r="N31" s="1393"/>
      <c r="O31" s="1394"/>
      <c r="P31" s="1351">
        <f t="shared" si="0"/>
        <v>0</v>
      </c>
      <c r="Q31" s="1352">
        <f t="shared" si="1"/>
        <v>0</v>
      </c>
      <c r="R31" s="1353">
        <f t="shared" si="2"/>
        <v>0</v>
      </c>
      <c r="S31" s="1354">
        <f t="shared" si="3"/>
        <v>0</v>
      </c>
      <c r="T31" s="1355">
        <f t="shared" si="4"/>
        <v>0</v>
      </c>
      <c r="U31" s="1356">
        <f t="shared" si="5"/>
        <v>0</v>
      </c>
      <c r="V31" s="1357">
        <f t="shared" si="6"/>
        <v>0</v>
      </c>
      <c r="W31" s="1395"/>
      <c r="X31" s="1396"/>
      <c r="Y31" s="1395"/>
      <c r="Z31" s="1397"/>
      <c r="AA31" s="1395"/>
      <c r="AB31" s="1397"/>
      <c r="AC31" s="1398"/>
      <c r="AD31" s="1396"/>
      <c r="AE31" s="1395"/>
      <c r="AF31" s="1399"/>
      <c r="AG31" s="1400"/>
      <c r="AH31" s="1399"/>
      <c r="AI31" s="1401"/>
      <c r="AJ31" s="1396"/>
      <c r="AK31" s="1401"/>
      <c r="AL31" s="1417"/>
      <c r="AM31" s="1395"/>
      <c r="AN31" s="1402"/>
      <c r="AO31" s="1395"/>
      <c r="AP31" s="1397"/>
      <c r="AQ31" s="1275" t="e">
        <f t="shared" si="7"/>
        <v>#DIV/0!</v>
      </c>
      <c r="AR31" s="1369" t="str">
        <f t="shared" si="8"/>
        <v/>
      </c>
      <c r="AS31" s="1270" t="str">
        <f t="shared" si="9"/>
        <v/>
      </c>
      <c r="AT31" s="1270" t="str">
        <f t="shared" si="10"/>
        <v/>
      </c>
      <c r="AU31" s="1270" t="str">
        <f t="shared" si="11"/>
        <v/>
      </c>
      <c r="AV31" s="1270" t="str">
        <f t="shared" si="12"/>
        <v/>
      </c>
      <c r="AW31" s="1270" t="str">
        <f t="shared" si="13"/>
        <v/>
      </c>
      <c r="AX31" s="1270" t="str">
        <f t="shared" si="14"/>
        <v/>
      </c>
      <c r="AY31" s="1270" t="str">
        <f t="shared" si="15"/>
        <v/>
      </c>
      <c r="AZ31" s="1270" t="str">
        <f t="shared" si="16"/>
        <v/>
      </c>
      <c r="BA31" s="1270" t="str">
        <f t="shared" si="17"/>
        <v/>
      </c>
      <c r="BB31" s="1371">
        <f t="shared" si="18"/>
        <v>0</v>
      </c>
      <c r="BC31" s="1369" t="str">
        <f t="shared" si="19"/>
        <v/>
      </c>
      <c r="BD31" s="626" t="str">
        <f t="shared" si="20"/>
        <v/>
      </c>
      <c r="BE31" s="1270" t="str">
        <f t="shared" si="21"/>
        <v/>
      </c>
      <c r="BF31" s="626" t="str">
        <f t="shared" si="22"/>
        <v/>
      </c>
      <c r="BG31" s="626" t="str">
        <f t="shared" si="23"/>
        <v/>
      </c>
      <c r="BH31" s="626" t="str">
        <f t="shared" si="24"/>
        <v/>
      </c>
      <c r="BI31" s="626" t="str">
        <f t="shared" si="25"/>
        <v/>
      </c>
      <c r="BJ31" s="626" t="str">
        <f t="shared" si="26"/>
        <v/>
      </c>
      <c r="BK31" s="626" t="str">
        <f t="shared" si="27"/>
        <v/>
      </c>
      <c r="BL31" s="626" t="str">
        <f t="shared" si="28"/>
        <v/>
      </c>
      <c r="BM31" s="1420">
        <f t="shared" si="29"/>
        <v>0</v>
      </c>
      <c r="BN31" s="1372">
        <f t="shared" si="30"/>
        <v>0</v>
      </c>
      <c r="BO31" s="1372">
        <f t="shared" si="31"/>
        <v>0</v>
      </c>
      <c r="BP31" s="1372">
        <f t="shared" si="32"/>
        <v>0</v>
      </c>
      <c r="BQ31" s="1374">
        <f t="shared" si="33"/>
        <v>0</v>
      </c>
      <c r="BR31" s="1251">
        <f t="shared" si="34"/>
        <v>0</v>
      </c>
      <c r="BS31" s="1403">
        <f t="shared" si="35"/>
        <v>0</v>
      </c>
      <c r="BT31" s="1372">
        <f t="shared" si="36"/>
        <v>0</v>
      </c>
      <c r="BU31" s="1372">
        <f t="shared" si="37"/>
        <v>0</v>
      </c>
      <c r="BV31" s="1372">
        <f t="shared" si="38"/>
        <v>0</v>
      </c>
      <c r="BW31" s="1372">
        <f t="shared" si="39"/>
        <v>0</v>
      </c>
      <c r="BX31" s="1372">
        <f t="shared" si="40"/>
        <v>0</v>
      </c>
      <c r="BY31" s="1372">
        <f t="shared" si="41"/>
        <v>0</v>
      </c>
      <c r="BZ31" s="1372">
        <f t="shared" si="42"/>
        <v>0</v>
      </c>
      <c r="CA31" s="1372">
        <f t="shared" si="43"/>
        <v>0</v>
      </c>
      <c r="CB31" s="1404">
        <f t="shared" si="44"/>
        <v>0</v>
      </c>
      <c r="CC31" s="1374">
        <f t="shared" si="98"/>
        <v>0</v>
      </c>
      <c r="CD31" s="1374">
        <f t="shared" si="45"/>
        <v>0</v>
      </c>
      <c r="CE31" s="1374">
        <f t="shared" si="46"/>
        <v>0</v>
      </c>
      <c r="CF31" s="1378">
        <f t="shared" si="47"/>
        <v>0</v>
      </c>
      <c r="CG31" s="1378">
        <f t="shared" si="48"/>
        <v>0</v>
      </c>
      <c r="CH31" s="1378">
        <f t="shared" si="49"/>
        <v>0</v>
      </c>
      <c r="CI31" s="1374">
        <f t="shared" si="50"/>
        <v>0</v>
      </c>
      <c r="CJ31" s="1374">
        <f t="shared" si="51"/>
        <v>0</v>
      </c>
      <c r="CK31" s="1374" t="str">
        <f t="shared" si="52"/>
        <v/>
      </c>
      <c r="CL31" s="1374">
        <f t="shared" si="53"/>
        <v>0</v>
      </c>
      <c r="CM31" s="1379">
        <f t="shared" si="54"/>
        <v>0</v>
      </c>
      <c r="CN31" s="628">
        <f>(BS31*Pricing!F$3+BT31*Pricing!G$3+BU31*Pricing!H$3+BV31*Pricing!I$3+BW31*Pricing!J$3+BX31*Pricing!K$3+BY31*Pricing!L$3+BZ31*Pricing!M$3+CA31*Pricing!N$3+CB31*Pricing!O$3)*IF(W$44="N",(1+Y$44),1)</f>
        <v>0</v>
      </c>
      <c r="CO31" s="628">
        <f t="shared" si="55"/>
        <v>0</v>
      </c>
      <c r="CP31" s="1380">
        <f t="shared" si="56"/>
        <v>0</v>
      </c>
      <c r="CQ31" s="628">
        <f t="shared" si="57"/>
        <v>0</v>
      </c>
      <c r="CR31" s="628">
        <f t="shared" si="58"/>
        <v>0</v>
      </c>
      <c r="CS31" s="628"/>
      <c r="CT31" s="1381">
        <f t="shared" si="59"/>
        <v>0</v>
      </c>
      <c r="CU31" s="628">
        <f t="shared" si="60"/>
        <v>0</v>
      </c>
      <c r="CV31" s="628">
        <f t="shared" si="61"/>
        <v>0</v>
      </c>
      <c r="CW31" s="628">
        <f t="shared" si="62"/>
        <v>0</v>
      </c>
      <c r="CX31" s="628">
        <f t="shared" si="63"/>
        <v>0</v>
      </c>
      <c r="CY31" s="628">
        <f t="shared" si="64"/>
        <v>0</v>
      </c>
      <c r="CZ31" s="628">
        <f t="shared" si="65"/>
        <v>0</v>
      </c>
      <c r="DA31" s="628">
        <f t="shared" si="66"/>
        <v>0</v>
      </c>
      <c r="DB31" s="628">
        <f t="shared" si="67"/>
        <v>0</v>
      </c>
      <c r="DC31" s="628">
        <f t="shared" si="68"/>
        <v>0</v>
      </c>
      <c r="DD31" s="628">
        <f t="shared" si="69"/>
        <v>0</v>
      </c>
      <c r="DE31" s="1382">
        <f t="shared" si="70"/>
        <v>0</v>
      </c>
      <c r="DF31" s="626">
        <f t="shared" si="71"/>
        <v>0</v>
      </c>
      <c r="DG31" s="626">
        <f t="shared" si="72"/>
        <v>0</v>
      </c>
      <c r="DH31" s="626">
        <f t="shared" si="73"/>
        <v>0</v>
      </c>
      <c r="DI31" s="626">
        <f t="shared" si="74"/>
        <v>0</v>
      </c>
      <c r="DJ31" s="626">
        <f t="shared" si="75"/>
        <v>0</v>
      </c>
      <c r="DK31" s="626">
        <f t="shared" si="76"/>
        <v>0</v>
      </c>
      <c r="DL31" s="626">
        <f t="shared" si="77"/>
        <v>0</v>
      </c>
      <c r="DM31" s="626">
        <f t="shared" si="78"/>
        <v>0</v>
      </c>
      <c r="DN31" s="626">
        <f t="shared" si="79"/>
        <v>0</v>
      </c>
      <c r="DO31" s="626">
        <f t="shared" si="80"/>
        <v>0</v>
      </c>
      <c r="DP31" s="1405">
        <f t="shared" si="81"/>
        <v>0</v>
      </c>
      <c r="DQ31" s="1270" t="str">
        <f t="shared" si="82"/>
        <v/>
      </c>
      <c r="DR31" s="1270" t="str">
        <f t="shared" si="83"/>
        <v/>
      </c>
      <c r="DS31" s="1270" t="str">
        <f t="shared" si="84"/>
        <v/>
      </c>
      <c r="DT31" s="1270" t="str">
        <f t="shared" si="85"/>
        <v/>
      </c>
      <c r="DU31" s="1270" t="str">
        <f t="shared" si="86"/>
        <v/>
      </c>
      <c r="DV31" s="1270" t="str">
        <f t="shared" si="87"/>
        <v/>
      </c>
      <c r="DW31" s="1270" t="str">
        <f t="shared" si="88"/>
        <v/>
      </c>
      <c r="DX31" s="1371">
        <f t="shared" si="89"/>
        <v>0</v>
      </c>
      <c r="DY31" s="1270" t="str">
        <f t="shared" si="90"/>
        <v/>
      </c>
      <c r="DZ31" s="1270" t="str">
        <f t="shared" si="91"/>
        <v/>
      </c>
      <c r="EA31" s="1270" t="str">
        <f t="shared" si="92"/>
        <v/>
      </c>
      <c r="EB31" s="1270" t="str">
        <f t="shared" si="93"/>
        <v/>
      </c>
      <c r="EC31" s="1270" t="str">
        <f t="shared" si="94"/>
        <v/>
      </c>
      <c r="ED31" s="1270" t="str">
        <f t="shared" si="95"/>
        <v/>
      </c>
      <c r="EE31" s="1270" t="str">
        <f t="shared" si="96"/>
        <v/>
      </c>
      <c r="EF31" s="1371">
        <f t="shared" si="97"/>
        <v>0</v>
      </c>
    </row>
    <row r="32" spans="1:136" ht="19.5" customHeight="1">
      <c r="A32" s="18" t="s">
        <v>1576</v>
      </c>
      <c r="B32" s="859"/>
      <c r="C32" s="1342"/>
      <c r="D32" s="1422"/>
      <c r="E32" s="1423"/>
      <c r="F32" s="984"/>
      <c r="G32" s="1389"/>
      <c r="H32" s="984"/>
      <c r="I32" s="1389"/>
      <c r="J32" s="984"/>
      <c r="K32" s="1424"/>
      <c r="L32" s="503"/>
      <c r="M32" s="834"/>
      <c r="N32" s="1349"/>
      <c r="O32" s="1350"/>
      <c r="P32" s="1351">
        <f t="shared" si="0"/>
        <v>0</v>
      </c>
      <c r="Q32" s="1352">
        <f t="shared" si="1"/>
        <v>0</v>
      </c>
      <c r="R32" s="1353">
        <f t="shared" si="2"/>
        <v>0</v>
      </c>
      <c r="S32" s="1354">
        <f t="shared" si="3"/>
        <v>0</v>
      </c>
      <c r="T32" s="1355">
        <f t="shared" si="4"/>
        <v>0</v>
      </c>
      <c r="U32" s="1356">
        <f t="shared" si="5"/>
        <v>0</v>
      </c>
      <c r="V32" s="1357">
        <f t="shared" si="6"/>
        <v>0</v>
      </c>
      <c r="W32" s="503"/>
      <c r="X32" s="1362"/>
      <c r="Y32" s="1347"/>
      <c r="Z32" s="1360"/>
      <c r="AA32" s="1347"/>
      <c r="AB32" s="1360"/>
      <c r="AC32" s="1421"/>
      <c r="AD32" s="1362"/>
      <c r="AE32" s="503"/>
      <c r="AF32" s="1363"/>
      <c r="AG32" s="1367"/>
      <c r="AH32" s="1363"/>
      <c r="AI32" s="1367"/>
      <c r="AJ32" s="1425"/>
      <c r="AK32" s="1367"/>
      <c r="AL32" s="1363"/>
      <c r="AM32" s="1347"/>
      <c r="AN32" s="1368"/>
      <c r="AO32" s="1347"/>
      <c r="AP32" s="1360"/>
      <c r="AQ32" s="1275" t="e">
        <f t="shared" si="7"/>
        <v>#DIV/0!</v>
      </c>
      <c r="AR32" s="1369" t="str">
        <f t="shared" si="8"/>
        <v/>
      </c>
      <c r="AS32" s="1270" t="str">
        <f t="shared" si="9"/>
        <v/>
      </c>
      <c r="AT32" s="1270" t="str">
        <f t="shared" si="10"/>
        <v/>
      </c>
      <c r="AU32" s="1270" t="str">
        <f t="shared" si="11"/>
        <v/>
      </c>
      <c r="AV32" s="1270" t="str">
        <f t="shared" si="12"/>
        <v/>
      </c>
      <c r="AW32" s="1270" t="str">
        <f t="shared" si="13"/>
        <v/>
      </c>
      <c r="AX32" s="1270" t="str">
        <f t="shared" si="14"/>
        <v/>
      </c>
      <c r="AY32" s="1270" t="str">
        <f t="shared" si="15"/>
        <v/>
      </c>
      <c r="AZ32" s="1270" t="str">
        <f t="shared" si="16"/>
        <v/>
      </c>
      <c r="BA32" s="1270" t="str">
        <f t="shared" si="17"/>
        <v/>
      </c>
      <c r="BB32" s="1371">
        <f t="shared" si="18"/>
        <v>0</v>
      </c>
      <c r="BC32" s="1369" t="str">
        <f t="shared" si="19"/>
        <v/>
      </c>
      <c r="BD32" s="626" t="str">
        <f t="shared" si="20"/>
        <v/>
      </c>
      <c r="BE32" s="1270" t="str">
        <f t="shared" si="21"/>
        <v/>
      </c>
      <c r="BF32" s="626" t="str">
        <f t="shared" si="22"/>
        <v/>
      </c>
      <c r="BG32" s="626" t="str">
        <f t="shared" si="23"/>
        <v/>
      </c>
      <c r="BH32" s="626" t="str">
        <f t="shared" si="24"/>
        <v/>
      </c>
      <c r="BI32" s="626" t="str">
        <f t="shared" si="25"/>
        <v/>
      </c>
      <c r="BJ32" s="626" t="str">
        <f t="shared" si="26"/>
        <v/>
      </c>
      <c r="BK32" s="626" t="str">
        <f t="shared" si="27"/>
        <v/>
      </c>
      <c r="BL32" s="626" t="str">
        <f t="shared" si="28"/>
        <v/>
      </c>
      <c r="BM32" s="1420">
        <f t="shared" si="29"/>
        <v>0</v>
      </c>
      <c r="BN32" s="1372">
        <f t="shared" si="30"/>
        <v>0</v>
      </c>
      <c r="BO32" s="1372">
        <f t="shared" si="31"/>
        <v>0</v>
      </c>
      <c r="BP32" s="1372">
        <f t="shared" si="32"/>
        <v>0</v>
      </c>
      <c r="BQ32" s="1374">
        <f t="shared" si="33"/>
        <v>0</v>
      </c>
      <c r="BR32" s="1251">
        <f t="shared" si="34"/>
        <v>0</v>
      </c>
      <c r="BS32" s="1403">
        <f t="shared" si="35"/>
        <v>0</v>
      </c>
      <c r="BT32" s="1372">
        <f t="shared" si="36"/>
        <v>0</v>
      </c>
      <c r="BU32" s="1372">
        <f t="shared" si="37"/>
        <v>0</v>
      </c>
      <c r="BV32" s="1372">
        <f t="shared" si="38"/>
        <v>0</v>
      </c>
      <c r="BW32" s="1372">
        <f t="shared" si="39"/>
        <v>0</v>
      </c>
      <c r="BX32" s="1372">
        <f t="shared" si="40"/>
        <v>0</v>
      </c>
      <c r="BY32" s="1372">
        <f t="shared" si="41"/>
        <v>0</v>
      </c>
      <c r="BZ32" s="1372">
        <f t="shared" si="42"/>
        <v>0</v>
      </c>
      <c r="CA32" s="1372">
        <f t="shared" si="43"/>
        <v>0</v>
      </c>
      <c r="CB32" s="1404">
        <f t="shared" si="44"/>
        <v>0</v>
      </c>
      <c r="CC32" s="1374">
        <f t="shared" si="98"/>
        <v>0</v>
      </c>
      <c r="CD32" s="1374">
        <f t="shared" si="45"/>
        <v>0</v>
      </c>
      <c r="CE32" s="1374">
        <f t="shared" si="46"/>
        <v>0</v>
      </c>
      <c r="CF32" s="1378">
        <f t="shared" si="47"/>
        <v>0</v>
      </c>
      <c r="CG32" s="1378">
        <f t="shared" si="48"/>
        <v>0</v>
      </c>
      <c r="CH32" s="1378">
        <f t="shared" si="49"/>
        <v>0</v>
      </c>
      <c r="CI32" s="1374">
        <f t="shared" si="50"/>
        <v>0</v>
      </c>
      <c r="CJ32" s="1374">
        <f t="shared" si="51"/>
        <v>0</v>
      </c>
      <c r="CK32" s="1374" t="str">
        <f t="shared" si="52"/>
        <v/>
      </c>
      <c r="CL32" s="1374">
        <f t="shared" si="53"/>
        <v>0</v>
      </c>
      <c r="CM32" s="1379">
        <f t="shared" si="54"/>
        <v>0</v>
      </c>
      <c r="CN32" s="628">
        <f>(BS32*Pricing!F$3+BT32*Pricing!G$3+BU32*Pricing!H$3+BV32*Pricing!I$3+BW32*Pricing!J$3+BX32*Pricing!K$3+BY32*Pricing!L$3+BZ32*Pricing!M$3+CA32*Pricing!N$3+CB32*Pricing!O$3)*IF(W$44="N",(1+Y$44),1)</f>
        <v>0</v>
      </c>
      <c r="CO32" s="628">
        <f t="shared" si="55"/>
        <v>0</v>
      </c>
      <c r="CP32" s="1380">
        <f t="shared" si="56"/>
        <v>0</v>
      </c>
      <c r="CQ32" s="628">
        <f t="shared" si="57"/>
        <v>0</v>
      </c>
      <c r="CR32" s="628">
        <f t="shared" si="58"/>
        <v>0</v>
      </c>
      <c r="CS32" s="628"/>
      <c r="CT32" s="1381">
        <f t="shared" si="59"/>
        <v>0</v>
      </c>
      <c r="CU32" s="628">
        <f t="shared" si="60"/>
        <v>0</v>
      </c>
      <c r="CV32" s="628">
        <f t="shared" si="61"/>
        <v>0</v>
      </c>
      <c r="CW32" s="628">
        <f t="shared" si="62"/>
        <v>0</v>
      </c>
      <c r="CX32" s="628">
        <f t="shared" si="63"/>
        <v>0</v>
      </c>
      <c r="CY32" s="628">
        <f t="shared" si="64"/>
        <v>0</v>
      </c>
      <c r="CZ32" s="628">
        <f t="shared" si="65"/>
        <v>0</v>
      </c>
      <c r="DA32" s="628">
        <f t="shared" si="66"/>
        <v>0</v>
      </c>
      <c r="DB32" s="628">
        <f t="shared" si="67"/>
        <v>0</v>
      </c>
      <c r="DC32" s="628">
        <f t="shared" si="68"/>
        <v>0</v>
      </c>
      <c r="DD32" s="628">
        <f t="shared" si="69"/>
        <v>0</v>
      </c>
      <c r="DE32" s="1382">
        <f t="shared" si="70"/>
        <v>0</v>
      </c>
      <c r="DF32" s="626">
        <f t="shared" si="71"/>
        <v>0</v>
      </c>
      <c r="DG32" s="626">
        <f t="shared" si="72"/>
        <v>0</v>
      </c>
      <c r="DH32" s="626">
        <f t="shared" si="73"/>
        <v>0</v>
      </c>
      <c r="DI32" s="626">
        <f t="shared" si="74"/>
        <v>0</v>
      </c>
      <c r="DJ32" s="626">
        <f t="shared" si="75"/>
        <v>0</v>
      </c>
      <c r="DK32" s="626">
        <f t="shared" si="76"/>
        <v>0</v>
      </c>
      <c r="DL32" s="626">
        <f t="shared" si="77"/>
        <v>0</v>
      </c>
      <c r="DM32" s="626">
        <f t="shared" si="78"/>
        <v>0</v>
      </c>
      <c r="DN32" s="626">
        <f t="shared" si="79"/>
        <v>0</v>
      </c>
      <c r="DO32" s="626">
        <f t="shared" si="80"/>
        <v>0</v>
      </c>
      <c r="DP32" s="1405">
        <f t="shared" si="81"/>
        <v>0</v>
      </c>
      <c r="DQ32" s="1270" t="str">
        <f t="shared" si="82"/>
        <v/>
      </c>
      <c r="DR32" s="1270" t="str">
        <f t="shared" si="83"/>
        <v/>
      </c>
      <c r="DS32" s="1270" t="str">
        <f t="shared" si="84"/>
        <v/>
      </c>
      <c r="DT32" s="1270" t="str">
        <f t="shared" si="85"/>
        <v/>
      </c>
      <c r="DU32" s="1270" t="str">
        <f t="shared" si="86"/>
        <v/>
      </c>
      <c r="DV32" s="1270" t="str">
        <f t="shared" si="87"/>
        <v/>
      </c>
      <c r="DW32" s="1270" t="str">
        <f t="shared" si="88"/>
        <v/>
      </c>
      <c r="DX32" s="1371">
        <f t="shared" si="89"/>
        <v>0</v>
      </c>
      <c r="DY32" s="1270" t="str">
        <f t="shared" si="90"/>
        <v/>
      </c>
      <c r="DZ32" s="1270" t="str">
        <f t="shared" si="91"/>
        <v/>
      </c>
      <c r="EA32" s="1270" t="str">
        <f t="shared" si="92"/>
        <v/>
      </c>
      <c r="EB32" s="1270" t="str">
        <f t="shared" si="93"/>
        <v/>
      </c>
      <c r="EC32" s="1270" t="str">
        <f t="shared" si="94"/>
        <v/>
      </c>
      <c r="ED32" s="1270" t="str">
        <f t="shared" si="95"/>
        <v/>
      </c>
      <c r="EE32" s="1270" t="str">
        <f t="shared" si="96"/>
        <v/>
      </c>
      <c r="EF32" s="1371">
        <f t="shared" si="97"/>
        <v>0</v>
      </c>
    </row>
    <row r="33" spans="1:136" ht="19.5" customHeight="1">
      <c r="A33" s="18" t="s">
        <v>1577</v>
      </c>
      <c r="B33" s="1385"/>
      <c r="C33" s="1386"/>
      <c r="D33" s="1387"/>
      <c r="E33" s="1388"/>
      <c r="F33" s="984"/>
      <c r="G33" s="1389"/>
      <c r="H33" s="984"/>
      <c r="I33" s="1389"/>
      <c r="J33" s="984"/>
      <c r="K33" s="1419"/>
      <c r="L33" s="1395"/>
      <c r="M33" s="1392"/>
      <c r="N33" s="1393"/>
      <c r="O33" s="1394"/>
      <c r="P33" s="1351">
        <f t="shared" si="0"/>
        <v>0</v>
      </c>
      <c r="Q33" s="1352">
        <f t="shared" si="1"/>
        <v>0</v>
      </c>
      <c r="R33" s="1353">
        <f t="shared" si="2"/>
        <v>0</v>
      </c>
      <c r="S33" s="1354">
        <f t="shared" si="3"/>
        <v>0</v>
      </c>
      <c r="T33" s="1355">
        <f t="shared" si="4"/>
        <v>0</v>
      </c>
      <c r="U33" s="1356">
        <f t="shared" si="5"/>
        <v>0</v>
      </c>
      <c r="V33" s="1357">
        <f t="shared" si="6"/>
        <v>0</v>
      </c>
      <c r="W33" s="1395"/>
      <c r="X33" s="1396"/>
      <c r="Y33" s="1395"/>
      <c r="Z33" s="1397"/>
      <c r="AA33" s="1395"/>
      <c r="AB33" s="1397"/>
      <c r="AC33" s="1398"/>
      <c r="AD33" s="1396"/>
      <c r="AE33" s="1395"/>
      <c r="AF33" s="1399"/>
      <c r="AG33" s="1400"/>
      <c r="AH33" s="1399"/>
      <c r="AI33" s="1401"/>
      <c r="AJ33" s="1417"/>
      <c r="AK33" s="1401"/>
      <c r="AL33" s="1417"/>
      <c r="AM33" s="1395"/>
      <c r="AN33" s="1397"/>
      <c r="AO33" s="1395"/>
      <c r="AP33" s="1397"/>
      <c r="AQ33" s="1275" t="e">
        <f t="shared" si="7"/>
        <v>#DIV/0!</v>
      </c>
      <c r="AR33" s="1369" t="str">
        <f t="shared" si="8"/>
        <v/>
      </c>
      <c r="AS33" s="1270" t="str">
        <f t="shared" si="9"/>
        <v/>
      </c>
      <c r="AT33" s="1270" t="str">
        <f t="shared" si="10"/>
        <v/>
      </c>
      <c r="AU33" s="1270" t="str">
        <f t="shared" si="11"/>
        <v/>
      </c>
      <c r="AV33" s="1270" t="str">
        <f t="shared" si="12"/>
        <v/>
      </c>
      <c r="AW33" s="1270" t="str">
        <f t="shared" si="13"/>
        <v/>
      </c>
      <c r="AX33" s="1270" t="str">
        <f t="shared" si="14"/>
        <v/>
      </c>
      <c r="AY33" s="1270" t="str">
        <f t="shared" si="15"/>
        <v/>
      </c>
      <c r="AZ33" s="1270" t="str">
        <f t="shared" si="16"/>
        <v/>
      </c>
      <c r="BA33" s="1270" t="str">
        <f t="shared" si="17"/>
        <v/>
      </c>
      <c r="BB33" s="1371">
        <f t="shared" si="18"/>
        <v>0</v>
      </c>
      <c r="BC33" s="1369" t="str">
        <f t="shared" si="19"/>
        <v/>
      </c>
      <c r="BD33" s="626" t="str">
        <f t="shared" si="20"/>
        <v/>
      </c>
      <c r="BE33" s="1270" t="str">
        <f t="shared" si="21"/>
        <v/>
      </c>
      <c r="BF33" s="626" t="str">
        <f t="shared" si="22"/>
        <v/>
      </c>
      <c r="BG33" s="626" t="str">
        <f t="shared" si="23"/>
        <v/>
      </c>
      <c r="BH33" s="626" t="str">
        <f t="shared" si="24"/>
        <v/>
      </c>
      <c r="BI33" s="626" t="str">
        <f t="shared" si="25"/>
        <v/>
      </c>
      <c r="BJ33" s="626" t="str">
        <f t="shared" si="26"/>
        <v/>
      </c>
      <c r="BK33" s="626" t="str">
        <f t="shared" si="27"/>
        <v/>
      </c>
      <c r="BL33" s="626" t="str">
        <f t="shared" si="28"/>
        <v/>
      </c>
      <c r="BM33" s="1420">
        <f t="shared" si="29"/>
        <v>0</v>
      </c>
      <c r="BN33" s="1372">
        <f t="shared" si="30"/>
        <v>0</v>
      </c>
      <c r="BO33" s="1372">
        <f t="shared" si="31"/>
        <v>0</v>
      </c>
      <c r="BP33" s="1372">
        <f t="shared" si="32"/>
        <v>0</v>
      </c>
      <c r="BQ33" s="1374">
        <f t="shared" si="33"/>
        <v>0</v>
      </c>
      <c r="BR33" s="1251">
        <f t="shared" si="34"/>
        <v>0</v>
      </c>
      <c r="BS33" s="1403">
        <f t="shared" si="35"/>
        <v>0</v>
      </c>
      <c r="BT33" s="1372">
        <f t="shared" si="36"/>
        <v>0</v>
      </c>
      <c r="BU33" s="1372">
        <f t="shared" si="37"/>
        <v>0</v>
      </c>
      <c r="BV33" s="1372">
        <f t="shared" si="38"/>
        <v>0</v>
      </c>
      <c r="BW33" s="1372">
        <f t="shared" si="39"/>
        <v>0</v>
      </c>
      <c r="BX33" s="1372">
        <f t="shared" si="40"/>
        <v>0</v>
      </c>
      <c r="BY33" s="1372">
        <f t="shared" si="41"/>
        <v>0</v>
      </c>
      <c r="BZ33" s="1372">
        <f t="shared" si="42"/>
        <v>0</v>
      </c>
      <c r="CA33" s="1372">
        <f t="shared" si="43"/>
        <v>0</v>
      </c>
      <c r="CB33" s="1404">
        <f t="shared" si="44"/>
        <v>0</v>
      </c>
      <c r="CC33" s="1374">
        <f t="shared" si="98"/>
        <v>0</v>
      </c>
      <c r="CD33" s="1374">
        <f t="shared" si="45"/>
        <v>0</v>
      </c>
      <c r="CE33" s="1374">
        <f t="shared" si="46"/>
        <v>0</v>
      </c>
      <c r="CF33" s="1378">
        <f t="shared" si="47"/>
        <v>0</v>
      </c>
      <c r="CG33" s="1378">
        <f t="shared" si="48"/>
        <v>0</v>
      </c>
      <c r="CH33" s="1378">
        <f t="shared" si="49"/>
        <v>0</v>
      </c>
      <c r="CI33" s="1374">
        <f t="shared" si="50"/>
        <v>0</v>
      </c>
      <c r="CJ33" s="1374">
        <f t="shared" si="51"/>
        <v>0</v>
      </c>
      <c r="CK33" s="1374" t="str">
        <f t="shared" si="52"/>
        <v/>
      </c>
      <c r="CL33" s="1374">
        <f t="shared" si="53"/>
        <v>0</v>
      </c>
      <c r="CM33" s="1379">
        <f t="shared" si="54"/>
        <v>0</v>
      </c>
      <c r="CN33" s="628">
        <f>(BS33*Pricing!F$3+BT33*Pricing!G$3+BU33*Pricing!H$3+BV33*Pricing!I$3+BW33*Pricing!J$3+BX33*Pricing!K$3+BY33*Pricing!L$3+BZ33*Pricing!M$3+CA33*Pricing!N$3+CB33*Pricing!O$3)*IF(W$44="N",(1+Y$44),1)</f>
        <v>0</v>
      </c>
      <c r="CO33" s="628">
        <f t="shared" si="55"/>
        <v>0</v>
      </c>
      <c r="CP33" s="1380">
        <f t="shared" si="56"/>
        <v>0</v>
      </c>
      <c r="CQ33" s="628">
        <f t="shared" si="57"/>
        <v>0</v>
      </c>
      <c r="CR33" s="628">
        <f t="shared" si="58"/>
        <v>0</v>
      </c>
      <c r="CS33" s="628"/>
      <c r="CT33" s="1381">
        <f t="shared" si="59"/>
        <v>0</v>
      </c>
      <c r="CU33" s="628">
        <f t="shared" si="60"/>
        <v>0</v>
      </c>
      <c r="CV33" s="628">
        <f t="shared" si="61"/>
        <v>0</v>
      </c>
      <c r="CW33" s="628">
        <f t="shared" si="62"/>
        <v>0</v>
      </c>
      <c r="CX33" s="628">
        <f t="shared" si="63"/>
        <v>0</v>
      </c>
      <c r="CY33" s="628">
        <f t="shared" si="64"/>
        <v>0</v>
      </c>
      <c r="CZ33" s="628">
        <f t="shared" si="65"/>
        <v>0</v>
      </c>
      <c r="DA33" s="628">
        <f t="shared" si="66"/>
        <v>0</v>
      </c>
      <c r="DB33" s="628">
        <f t="shared" si="67"/>
        <v>0</v>
      </c>
      <c r="DC33" s="628">
        <f t="shared" si="68"/>
        <v>0</v>
      </c>
      <c r="DD33" s="628">
        <f t="shared" si="69"/>
        <v>0</v>
      </c>
      <c r="DE33" s="1382">
        <f t="shared" si="70"/>
        <v>0</v>
      </c>
      <c r="DF33" s="626">
        <f t="shared" si="71"/>
        <v>0</v>
      </c>
      <c r="DG33" s="626">
        <f t="shared" si="72"/>
        <v>0</v>
      </c>
      <c r="DH33" s="626">
        <f t="shared" si="73"/>
        <v>0</v>
      </c>
      <c r="DI33" s="626">
        <f t="shared" si="74"/>
        <v>0</v>
      </c>
      <c r="DJ33" s="626">
        <f t="shared" si="75"/>
        <v>0</v>
      </c>
      <c r="DK33" s="626">
        <f t="shared" si="76"/>
        <v>0</v>
      </c>
      <c r="DL33" s="626">
        <f t="shared" si="77"/>
        <v>0</v>
      </c>
      <c r="DM33" s="626">
        <f t="shared" si="78"/>
        <v>0</v>
      </c>
      <c r="DN33" s="626">
        <f t="shared" si="79"/>
        <v>0</v>
      </c>
      <c r="DO33" s="626">
        <f t="shared" si="80"/>
        <v>0</v>
      </c>
      <c r="DP33" s="1405">
        <f t="shared" si="81"/>
        <v>0</v>
      </c>
      <c r="DQ33" s="1270" t="str">
        <f t="shared" si="82"/>
        <v/>
      </c>
      <c r="DR33" s="1270" t="str">
        <f t="shared" si="83"/>
        <v/>
      </c>
      <c r="DS33" s="1270" t="str">
        <f t="shared" si="84"/>
        <v/>
      </c>
      <c r="DT33" s="1270" t="str">
        <f t="shared" si="85"/>
        <v/>
      </c>
      <c r="DU33" s="1270" t="str">
        <f t="shared" si="86"/>
        <v/>
      </c>
      <c r="DV33" s="1270" t="str">
        <f t="shared" si="87"/>
        <v/>
      </c>
      <c r="DW33" s="1270" t="str">
        <f t="shared" si="88"/>
        <v/>
      </c>
      <c r="DX33" s="1371">
        <f t="shared" si="89"/>
        <v>0</v>
      </c>
      <c r="DY33" s="1270" t="str">
        <f t="shared" si="90"/>
        <v/>
      </c>
      <c r="DZ33" s="1270" t="str">
        <f t="shared" si="91"/>
        <v/>
      </c>
      <c r="EA33" s="1270" t="str">
        <f t="shared" si="92"/>
        <v/>
      </c>
      <c r="EB33" s="1270" t="str">
        <f t="shared" si="93"/>
        <v/>
      </c>
      <c r="EC33" s="1270" t="str">
        <f t="shared" si="94"/>
        <v/>
      </c>
      <c r="ED33" s="1270" t="str">
        <f t="shared" si="95"/>
        <v/>
      </c>
      <c r="EE33" s="1270" t="str">
        <f t="shared" si="96"/>
        <v/>
      </c>
      <c r="EF33" s="1371">
        <f t="shared" si="97"/>
        <v>0</v>
      </c>
    </row>
    <row r="34" spans="1:136" ht="19.5" customHeight="1">
      <c r="A34" s="18" t="s">
        <v>1578</v>
      </c>
      <c r="B34" s="859" t="s">
        <v>1579</v>
      </c>
      <c r="C34" s="1342"/>
      <c r="D34" s="1422">
        <v>528</v>
      </c>
      <c r="E34" s="1423"/>
      <c r="F34" s="984">
        <v>4</v>
      </c>
      <c r="G34" s="1389">
        <v>1</v>
      </c>
      <c r="H34" s="984" t="s">
        <v>1302</v>
      </c>
      <c r="I34" s="1389">
        <v>1</v>
      </c>
      <c r="J34" s="984">
        <v>2</v>
      </c>
      <c r="K34" s="1426">
        <v>163</v>
      </c>
      <c r="L34" s="503">
        <v>3</v>
      </c>
      <c r="M34" s="834">
        <v>18</v>
      </c>
      <c r="N34" s="1349"/>
      <c r="O34" s="1350"/>
      <c r="P34" s="1351">
        <f t="shared" si="0"/>
        <v>290.95400787750003</v>
      </c>
      <c r="Q34" s="1352">
        <f t="shared" si="1"/>
        <v>6.90962962962963</v>
      </c>
      <c r="R34" s="1353">
        <f t="shared" si="2"/>
        <v>8.6470499115029416</v>
      </c>
      <c r="S34" s="1354">
        <f t="shared" si="3"/>
        <v>4565.6423532735535</v>
      </c>
      <c r="T34" s="1355">
        <f t="shared" si="4"/>
        <v>0</v>
      </c>
      <c r="U34" s="1356">
        <f t="shared" si="5"/>
        <v>106.15400787750005</v>
      </c>
      <c r="V34" s="1357">
        <f t="shared" si="6"/>
        <v>0</v>
      </c>
      <c r="W34" s="503"/>
      <c r="X34" s="1427"/>
      <c r="Y34" s="1347"/>
      <c r="Z34" s="1360"/>
      <c r="AA34" s="1347"/>
      <c r="AB34" s="1360"/>
      <c r="AC34" s="1361"/>
      <c r="AD34" s="1427"/>
      <c r="AE34" s="1347"/>
      <c r="AF34" s="1428"/>
      <c r="AG34" s="1429"/>
      <c r="AH34" s="1348"/>
      <c r="AI34" s="503"/>
      <c r="AJ34" s="1427"/>
      <c r="AK34" s="503"/>
      <c r="AL34" s="1428"/>
      <c r="AM34" s="1347"/>
      <c r="AN34" s="1360"/>
      <c r="AO34" s="1347"/>
      <c r="AP34" s="1360"/>
      <c r="AQ34" s="1275">
        <f t="shared" si="7"/>
        <v>76.415094339622641</v>
      </c>
      <c r="AR34" s="1369" t="str">
        <f t="shared" si="8"/>
        <v/>
      </c>
      <c r="AS34" s="1270" t="str">
        <f t="shared" si="9"/>
        <v/>
      </c>
      <c r="AT34" s="1270" t="str">
        <f t="shared" si="10"/>
        <v/>
      </c>
      <c r="AU34" s="1270" t="str">
        <f t="shared" si="11"/>
        <v/>
      </c>
      <c r="AV34" s="1270" t="str">
        <f t="shared" si="12"/>
        <v/>
      </c>
      <c r="AW34" s="1270" t="str">
        <f t="shared" si="13"/>
        <v/>
      </c>
      <c r="AX34" s="1270" t="str">
        <f t="shared" si="14"/>
        <v/>
      </c>
      <c r="AY34" s="1270" t="str">
        <f t="shared" si="15"/>
        <v/>
      </c>
      <c r="AZ34" s="1270" t="str">
        <f t="shared" si="16"/>
        <v/>
      </c>
      <c r="BA34" s="1270" t="str">
        <f t="shared" si="17"/>
        <v/>
      </c>
      <c r="BB34" s="1371">
        <f t="shared" si="18"/>
        <v>0</v>
      </c>
      <c r="BC34" s="1369" t="str">
        <f t="shared" si="19"/>
        <v/>
      </c>
      <c r="BD34" s="626" t="str">
        <f t="shared" si="20"/>
        <v/>
      </c>
      <c r="BE34" s="1270" t="str">
        <f t="shared" si="21"/>
        <v/>
      </c>
      <c r="BF34" s="626" t="str">
        <f t="shared" si="22"/>
        <v/>
      </c>
      <c r="BG34" s="626" t="str">
        <f t="shared" si="23"/>
        <v/>
      </c>
      <c r="BH34" s="626" t="str">
        <f t="shared" si="24"/>
        <v/>
      </c>
      <c r="BI34" s="626" t="str">
        <f t="shared" si="25"/>
        <v/>
      </c>
      <c r="BJ34" s="626" t="str">
        <f t="shared" si="26"/>
        <v/>
      </c>
      <c r="BK34" s="626" t="str">
        <f t="shared" si="27"/>
        <v/>
      </c>
      <c r="BL34" s="626" t="str">
        <f t="shared" si="28"/>
        <v/>
      </c>
      <c r="BM34" s="1420">
        <f t="shared" si="29"/>
        <v>0</v>
      </c>
      <c r="BN34" s="1372">
        <f t="shared" si="30"/>
        <v>290.95400787750003</v>
      </c>
      <c r="BO34" s="1372">
        <f t="shared" si="31"/>
        <v>290.95400787750003</v>
      </c>
      <c r="BP34" s="1372">
        <f t="shared" si="32"/>
        <v>0</v>
      </c>
      <c r="BQ34" s="1374">
        <f t="shared" si="33"/>
        <v>1</v>
      </c>
      <c r="BR34" s="1251">
        <f t="shared" si="34"/>
        <v>0</v>
      </c>
      <c r="BS34" s="1403">
        <f t="shared" si="35"/>
        <v>6.90962962962963</v>
      </c>
      <c r="BT34" s="1372">
        <f t="shared" si="36"/>
        <v>0</v>
      </c>
      <c r="BU34" s="1372">
        <f t="shared" si="37"/>
        <v>0</v>
      </c>
      <c r="BV34" s="1372">
        <f t="shared" si="38"/>
        <v>0</v>
      </c>
      <c r="BW34" s="1372">
        <f t="shared" si="39"/>
        <v>0</v>
      </c>
      <c r="BX34" s="1372">
        <f t="shared" si="40"/>
        <v>0</v>
      </c>
      <c r="BY34" s="1372">
        <f t="shared" si="41"/>
        <v>0</v>
      </c>
      <c r="BZ34" s="1372">
        <f t="shared" si="42"/>
        <v>0</v>
      </c>
      <c r="CA34" s="1372">
        <f t="shared" si="43"/>
        <v>0</v>
      </c>
      <c r="CB34" s="1404">
        <f t="shared" si="44"/>
        <v>0</v>
      </c>
      <c r="CC34" s="1374">
        <f t="shared" si="98"/>
        <v>6.90962962962963</v>
      </c>
      <c r="CD34" s="1374">
        <f t="shared" si="45"/>
        <v>528</v>
      </c>
      <c r="CE34" s="1374">
        <f t="shared" si="46"/>
        <v>163</v>
      </c>
      <c r="CF34" s="1378">
        <f t="shared" si="47"/>
        <v>0</v>
      </c>
      <c r="CG34" s="1378">
        <f t="shared" si="48"/>
        <v>0</v>
      </c>
      <c r="CH34" s="1378">
        <f t="shared" si="49"/>
        <v>0</v>
      </c>
      <c r="CI34" s="1374">
        <f t="shared" si="50"/>
        <v>528</v>
      </c>
      <c r="CJ34" s="1374">
        <f t="shared" si="51"/>
        <v>3.2592592592592591</v>
      </c>
      <c r="CK34" s="1374" t="str">
        <f t="shared" si="52"/>
        <v/>
      </c>
      <c r="CL34" s="1374">
        <f t="shared" si="53"/>
        <v>290.95400787750003</v>
      </c>
      <c r="CM34" s="1379">
        <f t="shared" si="54"/>
        <v>3970.1237854552642</v>
      </c>
      <c r="CN34" s="628">
        <f>(BS34*Pricing!F$3+BT34*Pricing!G$3+BU34*Pricing!H$3+BV34*Pricing!I$3+BW34*Pricing!J$3+BX34*Pricing!K$3+BY34*Pricing!L$3+BZ34*Pricing!M$3+CA34*Pricing!N$3+CB34*Pricing!O$3)*IF(W$44="N",(1+Y$44),1)</f>
        <v>1002.276325925926</v>
      </c>
      <c r="CO34" s="628">
        <f t="shared" si="55"/>
        <v>188.97462811643629</v>
      </c>
      <c r="CP34" s="1380">
        <f t="shared" si="56"/>
        <v>0</v>
      </c>
      <c r="CQ34" s="628">
        <f t="shared" si="57"/>
        <v>976.8</v>
      </c>
      <c r="CR34" s="628">
        <f t="shared" si="58"/>
        <v>0</v>
      </c>
      <c r="CS34" s="628"/>
      <c r="CT34" s="1381">
        <f t="shared" si="59"/>
        <v>21.23080157550001</v>
      </c>
      <c r="CU34" s="628">
        <f t="shared" si="60"/>
        <v>0</v>
      </c>
      <c r="CV34" s="628">
        <f t="shared" si="61"/>
        <v>167.47499999999997</v>
      </c>
      <c r="CW34" s="628">
        <f t="shared" si="62"/>
        <v>422.842285738974</v>
      </c>
      <c r="CX34" s="628">
        <f t="shared" si="63"/>
        <v>284.08736827001258</v>
      </c>
      <c r="CY34" s="628">
        <f t="shared" si="64"/>
        <v>297.01217513098459</v>
      </c>
      <c r="CZ34" s="628">
        <f t="shared" si="65"/>
        <v>35.39549699372656</v>
      </c>
      <c r="DA34" s="628">
        <f t="shared" si="66"/>
        <v>485.82599999999996</v>
      </c>
      <c r="DB34" s="628">
        <f t="shared" si="67"/>
        <v>0</v>
      </c>
      <c r="DC34" s="628">
        <f t="shared" si="68"/>
        <v>0</v>
      </c>
      <c r="DD34" s="628">
        <f t="shared" si="69"/>
        <v>88.203703703703709</v>
      </c>
      <c r="DE34" s="1382">
        <f t="shared" si="70"/>
        <v>0</v>
      </c>
      <c r="DF34" s="626">
        <f t="shared" si="71"/>
        <v>0</v>
      </c>
      <c r="DG34" s="626">
        <f t="shared" si="72"/>
        <v>0</v>
      </c>
      <c r="DH34" s="626">
        <f t="shared" si="73"/>
        <v>0</v>
      </c>
      <c r="DI34" s="626">
        <f t="shared" si="74"/>
        <v>0</v>
      </c>
      <c r="DJ34" s="626">
        <f t="shared" si="75"/>
        <v>0</v>
      </c>
      <c r="DK34" s="626">
        <f t="shared" si="76"/>
        <v>0</v>
      </c>
      <c r="DL34" s="626">
        <f t="shared" si="77"/>
        <v>0</v>
      </c>
      <c r="DM34" s="626">
        <f t="shared" si="78"/>
        <v>0</v>
      </c>
      <c r="DN34" s="626">
        <f t="shared" si="79"/>
        <v>0</v>
      </c>
      <c r="DO34" s="626">
        <f t="shared" si="80"/>
        <v>0</v>
      </c>
      <c r="DP34" s="1405">
        <f t="shared" si="81"/>
        <v>528</v>
      </c>
      <c r="DQ34" s="1270" t="str">
        <f t="shared" si="82"/>
        <v/>
      </c>
      <c r="DR34" s="1270" t="str">
        <f t="shared" si="83"/>
        <v/>
      </c>
      <c r="DS34" s="1270" t="str">
        <f t="shared" si="84"/>
        <v/>
      </c>
      <c r="DT34" s="1270" t="str">
        <f t="shared" si="85"/>
        <v/>
      </c>
      <c r="DU34" s="1270" t="str">
        <f t="shared" si="86"/>
        <v/>
      </c>
      <c r="DV34" s="1270" t="str">
        <f t="shared" si="87"/>
        <v/>
      </c>
      <c r="DW34" s="1270" t="str">
        <f t="shared" si="88"/>
        <v/>
      </c>
      <c r="DX34" s="1371">
        <f t="shared" si="89"/>
        <v>-9.7777777777777786</v>
      </c>
      <c r="DY34" s="1270" t="str">
        <f t="shared" si="90"/>
        <v/>
      </c>
      <c r="DZ34" s="1270" t="str">
        <f t="shared" si="91"/>
        <v/>
      </c>
      <c r="EA34" s="1270" t="str">
        <f t="shared" si="92"/>
        <v/>
      </c>
      <c r="EB34" s="1270" t="str">
        <f t="shared" si="93"/>
        <v/>
      </c>
      <c r="EC34" s="1270" t="str">
        <f t="shared" si="94"/>
        <v/>
      </c>
      <c r="ED34" s="1270" t="str">
        <f t="shared" si="95"/>
        <v/>
      </c>
      <c r="EE34" s="1270" t="str">
        <f t="shared" si="96"/>
        <v/>
      </c>
      <c r="EF34" s="1371">
        <f t="shared" si="97"/>
        <v>0</v>
      </c>
    </row>
    <row r="35" spans="1:136" ht="19.5" customHeight="1">
      <c r="A35" s="18" t="s">
        <v>1580</v>
      </c>
      <c r="B35" s="1385"/>
      <c r="C35" s="1386"/>
      <c r="D35" s="1387"/>
      <c r="E35" s="1388"/>
      <c r="F35" s="984"/>
      <c r="G35" s="1389"/>
      <c r="H35" s="984"/>
      <c r="I35" s="1389"/>
      <c r="J35" s="984"/>
      <c r="K35" s="1419"/>
      <c r="L35" s="1395"/>
      <c r="M35" s="1392"/>
      <c r="N35" s="1393"/>
      <c r="O35" s="1394"/>
      <c r="P35" s="1351">
        <f t="shared" si="0"/>
        <v>0</v>
      </c>
      <c r="Q35" s="1352">
        <f t="shared" si="1"/>
        <v>0</v>
      </c>
      <c r="R35" s="1353">
        <f t="shared" si="2"/>
        <v>0</v>
      </c>
      <c r="S35" s="1354">
        <f t="shared" si="3"/>
        <v>0</v>
      </c>
      <c r="T35" s="1355">
        <f t="shared" si="4"/>
        <v>0</v>
      </c>
      <c r="U35" s="1356">
        <f t="shared" si="5"/>
        <v>0</v>
      </c>
      <c r="V35" s="1357">
        <f t="shared" si="6"/>
        <v>0</v>
      </c>
      <c r="W35" s="1395"/>
      <c r="X35" s="1430"/>
      <c r="Y35" s="1395"/>
      <c r="Z35" s="1397"/>
      <c r="AA35" s="1395"/>
      <c r="AB35" s="1397"/>
      <c r="AC35" s="1398"/>
      <c r="AD35" s="1430"/>
      <c r="AE35" s="1395"/>
      <c r="AF35" s="1392"/>
      <c r="AG35" s="1431"/>
      <c r="AH35" s="1392"/>
      <c r="AI35" s="1395"/>
      <c r="AJ35" s="1392"/>
      <c r="AK35" s="1395"/>
      <c r="AL35" s="1392"/>
      <c r="AM35" s="1395"/>
      <c r="AN35" s="1397"/>
      <c r="AO35" s="1395"/>
      <c r="AP35" s="1397"/>
      <c r="AQ35" s="1275" t="e">
        <f t="shared" si="7"/>
        <v>#DIV/0!</v>
      </c>
      <c r="AR35" s="1369" t="str">
        <f t="shared" si="8"/>
        <v/>
      </c>
      <c r="AS35" s="1270" t="str">
        <f t="shared" si="9"/>
        <v/>
      </c>
      <c r="AT35" s="1270" t="str">
        <f t="shared" si="10"/>
        <v/>
      </c>
      <c r="AU35" s="1270" t="str">
        <f t="shared" si="11"/>
        <v/>
      </c>
      <c r="AV35" s="1270" t="str">
        <f t="shared" si="12"/>
        <v/>
      </c>
      <c r="AW35" s="1270" t="str">
        <f t="shared" si="13"/>
        <v/>
      </c>
      <c r="AX35" s="1270" t="str">
        <f t="shared" si="14"/>
        <v/>
      </c>
      <c r="AY35" s="1270" t="str">
        <f t="shared" si="15"/>
        <v/>
      </c>
      <c r="AZ35" s="1270" t="str">
        <f t="shared" si="16"/>
        <v/>
      </c>
      <c r="BA35" s="1270" t="str">
        <f t="shared" si="17"/>
        <v/>
      </c>
      <c r="BB35" s="1371">
        <f t="shared" si="18"/>
        <v>0</v>
      </c>
      <c r="BC35" s="1369" t="str">
        <f t="shared" si="19"/>
        <v/>
      </c>
      <c r="BD35" s="626" t="str">
        <f t="shared" si="20"/>
        <v/>
      </c>
      <c r="BE35" s="1270" t="str">
        <f t="shared" si="21"/>
        <v/>
      </c>
      <c r="BF35" s="626" t="str">
        <f t="shared" si="22"/>
        <v/>
      </c>
      <c r="BG35" s="626" t="str">
        <f t="shared" si="23"/>
        <v/>
      </c>
      <c r="BH35" s="626" t="str">
        <f t="shared" si="24"/>
        <v/>
      </c>
      <c r="BI35" s="626" t="str">
        <f t="shared" si="25"/>
        <v/>
      </c>
      <c r="BJ35" s="626" t="str">
        <f t="shared" si="26"/>
        <v/>
      </c>
      <c r="BK35" s="626" t="str">
        <f t="shared" si="27"/>
        <v/>
      </c>
      <c r="BL35" s="626" t="str">
        <f t="shared" si="28"/>
        <v/>
      </c>
      <c r="BM35" s="1420">
        <f t="shared" si="29"/>
        <v>0</v>
      </c>
      <c r="BN35" s="1372">
        <f t="shared" si="30"/>
        <v>0</v>
      </c>
      <c r="BO35" s="1372">
        <f t="shared" si="31"/>
        <v>0</v>
      </c>
      <c r="BP35" s="1372">
        <f t="shared" si="32"/>
        <v>0</v>
      </c>
      <c r="BQ35" s="1374">
        <f t="shared" si="33"/>
        <v>0</v>
      </c>
      <c r="BR35" s="1251">
        <f t="shared" si="34"/>
        <v>0</v>
      </c>
      <c r="BS35" s="1403">
        <f t="shared" si="35"/>
        <v>0</v>
      </c>
      <c r="BT35" s="1372">
        <f t="shared" si="36"/>
        <v>0</v>
      </c>
      <c r="BU35" s="1372">
        <f t="shared" si="37"/>
        <v>0</v>
      </c>
      <c r="BV35" s="1372">
        <f t="shared" si="38"/>
        <v>0</v>
      </c>
      <c r="BW35" s="1372">
        <f t="shared" si="39"/>
        <v>0</v>
      </c>
      <c r="BX35" s="1372">
        <f t="shared" si="40"/>
        <v>0</v>
      </c>
      <c r="BY35" s="1372">
        <f t="shared" si="41"/>
        <v>0</v>
      </c>
      <c r="BZ35" s="1372">
        <f t="shared" si="42"/>
        <v>0</v>
      </c>
      <c r="CA35" s="1372">
        <f t="shared" si="43"/>
        <v>0</v>
      </c>
      <c r="CB35" s="1404">
        <f t="shared" si="44"/>
        <v>0</v>
      </c>
      <c r="CC35" s="1374">
        <f t="shared" si="98"/>
        <v>0</v>
      </c>
      <c r="CD35" s="1374">
        <f t="shared" si="45"/>
        <v>0</v>
      </c>
      <c r="CE35" s="1374">
        <f t="shared" si="46"/>
        <v>0</v>
      </c>
      <c r="CF35" s="1378">
        <f t="shared" si="47"/>
        <v>0</v>
      </c>
      <c r="CG35" s="1378">
        <f t="shared" si="48"/>
        <v>0</v>
      </c>
      <c r="CH35" s="1378">
        <f t="shared" si="49"/>
        <v>0</v>
      </c>
      <c r="CI35" s="1374">
        <f t="shared" si="50"/>
        <v>0</v>
      </c>
      <c r="CJ35" s="1374">
        <f t="shared" si="51"/>
        <v>0</v>
      </c>
      <c r="CK35" s="1374" t="str">
        <f t="shared" si="52"/>
        <v/>
      </c>
      <c r="CL35" s="1374">
        <f t="shared" si="53"/>
        <v>0</v>
      </c>
      <c r="CM35" s="1379">
        <f t="shared" si="54"/>
        <v>0</v>
      </c>
      <c r="CN35" s="628">
        <f>(BS35*Pricing!F$3+BT35*Pricing!G$3+BU35*Pricing!H$3+BV35*Pricing!I$3+BW35*Pricing!J$3+BX35*Pricing!K$3+BY35*Pricing!L$3+BZ35*Pricing!M$3+CA35*Pricing!N$3+CB35*Pricing!O$3)*IF(W$44="N",(1+Y$44),1)</f>
        <v>0</v>
      </c>
      <c r="CO35" s="628">
        <f t="shared" si="55"/>
        <v>0</v>
      </c>
      <c r="CP35" s="1380">
        <f t="shared" si="56"/>
        <v>0</v>
      </c>
      <c r="CQ35" s="628">
        <f t="shared" si="57"/>
        <v>0</v>
      </c>
      <c r="CR35" s="628">
        <f t="shared" si="58"/>
        <v>0</v>
      </c>
      <c r="CS35" s="628"/>
      <c r="CT35" s="1381">
        <f t="shared" si="59"/>
        <v>0</v>
      </c>
      <c r="CU35" s="628">
        <f t="shared" si="60"/>
        <v>0</v>
      </c>
      <c r="CV35" s="628">
        <f t="shared" si="61"/>
        <v>0</v>
      </c>
      <c r="CW35" s="628">
        <f t="shared" si="62"/>
        <v>0</v>
      </c>
      <c r="CX35" s="628">
        <f t="shared" si="63"/>
        <v>0</v>
      </c>
      <c r="CY35" s="628">
        <f t="shared" si="64"/>
        <v>0</v>
      </c>
      <c r="CZ35" s="628">
        <f t="shared" si="65"/>
        <v>0</v>
      </c>
      <c r="DA35" s="628">
        <f t="shared" si="66"/>
        <v>0</v>
      </c>
      <c r="DB35" s="628">
        <f t="shared" si="67"/>
        <v>0</v>
      </c>
      <c r="DC35" s="628">
        <f t="shared" si="68"/>
        <v>0</v>
      </c>
      <c r="DD35" s="628">
        <f t="shared" si="69"/>
        <v>0</v>
      </c>
      <c r="DE35" s="1382">
        <f t="shared" si="70"/>
        <v>0</v>
      </c>
      <c r="DF35" s="626">
        <f t="shared" si="71"/>
        <v>0</v>
      </c>
      <c r="DG35" s="626">
        <f t="shared" si="72"/>
        <v>0</v>
      </c>
      <c r="DH35" s="626">
        <f t="shared" si="73"/>
        <v>0</v>
      </c>
      <c r="DI35" s="626">
        <f t="shared" si="74"/>
        <v>0</v>
      </c>
      <c r="DJ35" s="626">
        <f t="shared" si="75"/>
        <v>0</v>
      </c>
      <c r="DK35" s="626">
        <f t="shared" si="76"/>
        <v>0</v>
      </c>
      <c r="DL35" s="626">
        <f t="shared" si="77"/>
        <v>0</v>
      </c>
      <c r="DM35" s="626">
        <f t="shared" si="78"/>
        <v>0</v>
      </c>
      <c r="DN35" s="626">
        <f t="shared" si="79"/>
        <v>0</v>
      </c>
      <c r="DO35" s="626">
        <f t="shared" si="80"/>
        <v>0</v>
      </c>
      <c r="DP35" s="1405">
        <f t="shared" si="81"/>
        <v>0</v>
      </c>
      <c r="DQ35" s="1270" t="str">
        <f t="shared" si="82"/>
        <v/>
      </c>
      <c r="DR35" s="1270" t="str">
        <f t="shared" si="83"/>
        <v/>
      </c>
      <c r="DS35" s="1270" t="str">
        <f t="shared" si="84"/>
        <v/>
      </c>
      <c r="DT35" s="1270" t="str">
        <f t="shared" si="85"/>
        <v/>
      </c>
      <c r="DU35" s="1270" t="str">
        <f t="shared" si="86"/>
        <v/>
      </c>
      <c r="DV35" s="1270" t="str">
        <f t="shared" si="87"/>
        <v/>
      </c>
      <c r="DW35" s="1270" t="str">
        <f t="shared" si="88"/>
        <v/>
      </c>
      <c r="DX35" s="1371">
        <f t="shared" si="89"/>
        <v>0</v>
      </c>
      <c r="DY35" s="1270" t="str">
        <f t="shared" si="90"/>
        <v/>
      </c>
      <c r="DZ35" s="1270" t="str">
        <f t="shared" si="91"/>
        <v/>
      </c>
      <c r="EA35" s="1270" t="str">
        <f t="shared" si="92"/>
        <v/>
      </c>
      <c r="EB35" s="1270" t="str">
        <f t="shared" si="93"/>
        <v/>
      </c>
      <c r="EC35" s="1270" t="str">
        <f t="shared" si="94"/>
        <v/>
      </c>
      <c r="ED35" s="1270" t="str">
        <f t="shared" si="95"/>
        <v/>
      </c>
      <c r="EE35" s="1270" t="str">
        <f t="shared" si="96"/>
        <v/>
      </c>
      <c r="EF35" s="1371">
        <f t="shared" si="97"/>
        <v>0</v>
      </c>
    </row>
    <row r="36" spans="1:136" ht="19.5" customHeight="1">
      <c r="A36" s="18" t="s">
        <v>1581</v>
      </c>
      <c r="B36" s="859"/>
      <c r="C36" s="1342"/>
      <c r="D36" s="1343"/>
      <c r="E36" s="1344"/>
      <c r="F36" s="984"/>
      <c r="G36" s="1389"/>
      <c r="H36" s="984"/>
      <c r="I36" s="1389"/>
      <c r="J36" s="984"/>
      <c r="K36" s="1390"/>
      <c r="L36" s="503"/>
      <c r="M36" s="834"/>
      <c r="N36" s="1349"/>
      <c r="O36" s="1350"/>
      <c r="P36" s="1351">
        <f t="shared" si="0"/>
        <v>0</v>
      </c>
      <c r="Q36" s="1352">
        <f t="shared" si="1"/>
        <v>0</v>
      </c>
      <c r="R36" s="1353">
        <f t="shared" si="2"/>
        <v>0</v>
      </c>
      <c r="S36" s="1354">
        <f t="shared" si="3"/>
        <v>0</v>
      </c>
      <c r="T36" s="1355">
        <f t="shared" si="4"/>
        <v>0</v>
      </c>
      <c r="U36" s="1356">
        <f t="shared" si="5"/>
        <v>0</v>
      </c>
      <c r="V36" s="1357">
        <f t="shared" si="6"/>
        <v>0</v>
      </c>
      <c r="W36" s="1347"/>
      <c r="X36" s="1427"/>
      <c r="Y36" s="1347"/>
      <c r="Z36" s="1360"/>
      <c r="AA36" s="1347"/>
      <c r="AB36" s="1360"/>
      <c r="AC36" s="1421"/>
      <c r="AD36" s="1427"/>
      <c r="AE36" s="503"/>
      <c r="AF36" s="1428"/>
      <c r="AG36" s="503"/>
      <c r="AH36" s="1348"/>
      <c r="AI36" s="1347"/>
      <c r="AJ36" s="1348"/>
      <c r="AK36" s="1347"/>
      <c r="AL36" s="1348"/>
      <c r="AM36" s="1347"/>
      <c r="AN36" s="1360"/>
      <c r="AO36" s="1347"/>
      <c r="AP36" s="1360"/>
      <c r="AQ36" s="1275" t="e">
        <f t="shared" si="7"/>
        <v>#DIV/0!</v>
      </c>
      <c r="AR36" s="1369" t="str">
        <f t="shared" si="8"/>
        <v/>
      </c>
      <c r="AS36" s="1270" t="str">
        <f t="shared" si="9"/>
        <v/>
      </c>
      <c r="AT36" s="1270" t="str">
        <f t="shared" si="10"/>
        <v/>
      </c>
      <c r="AU36" s="1270" t="str">
        <f t="shared" si="11"/>
        <v/>
      </c>
      <c r="AV36" s="1270" t="str">
        <f t="shared" si="12"/>
        <v/>
      </c>
      <c r="AW36" s="1270" t="str">
        <f t="shared" si="13"/>
        <v/>
      </c>
      <c r="AX36" s="1270" t="str">
        <f t="shared" si="14"/>
        <v/>
      </c>
      <c r="AY36" s="1270" t="str">
        <f t="shared" si="15"/>
        <v/>
      </c>
      <c r="AZ36" s="1270" t="str">
        <f t="shared" si="16"/>
        <v/>
      </c>
      <c r="BA36" s="1270" t="str">
        <f t="shared" si="17"/>
        <v/>
      </c>
      <c r="BB36" s="1371">
        <f t="shared" si="18"/>
        <v>0</v>
      </c>
      <c r="BC36" s="1369" t="str">
        <f t="shared" si="19"/>
        <v/>
      </c>
      <c r="BD36" s="626" t="str">
        <f t="shared" si="20"/>
        <v/>
      </c>
      <c r="BE36" s="1270" t="str">
        <f t="shared" si="21"/>
        <v/>
      </c>
      <c r="BF36" s="626" t="str">
        <f t="shared" si="22"/>
        <v/>
      </c>
      <c r="BG36" s="626" t="str">
        <f t="shared" si="23"/>
        <v/>
      </c>
      <c r="BH36" s="626" t="str">
        <f t="shared" si="24"/>
        <v/>
      </c>
      <c r="BI36" s="626" t="str">
        <f t="shared" si="25"/>
        <v/>
      </c>
      <c r="BJ36" s="626" t="str">
        <f t="shared" si="26"/>
        <v/>
      </c>
      <c r="BK36" s="626" t="str">
        <f t="shared" si="27"/>
        <v/>
      </c>
      <c r="BL36" s="626" t="str">
        <f t="shared" si="28"/>
        <v/>
      </c>
      <c r="BM36" s="1420">
        <f t="shared" si="29"/>
        <v>0</v>
      </c>
      <c r="BN36" s="1372">
        <f t="shared" si="30"/>
        <v>0</v>
      </c>
      <c r="BO36" s="1372">
        <f t="shared" si="31"/>
        <v>0</v>
      </c>
      <c r="BP36" s="1372">
        <f t="shared" si="32"/>
        <v>0</v>
      </c>
      <c r="BQ36" s="1374">
        <f t="shared" si="33"/>
        <v>0</v>
      </c>
      <c r="BR36" s="1251">
        <f t="shared" si="34"/>
        <v>0</v>
      </c>
      <c r="BS36" s="1403">
        <f t="shared" si="35"/>
        <v>0</v>
      </c>
      <c r="BT36" s="1372">
        <f t="shared" si="36"/>
        <v>0</v>
      </c>
      <c r="BU36" s="1372">
        <f t="shared" si="37"/>
        <v>0</v>
      </c>
      <c r="BV36" s="1372">
        <f t="shared" si="38"/>
        <v>0</v>
      </c>
      <c r="BW36" s="1372">
        <f t="shared" si="39"/>
        <v>0</v>
      </c>
      <c r="BX36" s="1372">
        <f t="shared" si="40"/>
        <v>0</v>
      </c>
      <c r="BY36" s="1372">
        <f t="shared" si="41"/>
        <v>0</v>
      </c>
      <c r="BZ36" s="1372">
        <f t="shared" si="42"/>
        <v>0</v>
      </c>
      <c r="CA36" s="1372">
        <f t="shared" si="43"/>
        <v>0</v>
      </c>
      <c r="CB36" s="1404">
        <f t="shared" si="44"/>
        <v>0</v>
      </c>
      <c r="CC36" s="1374">
        <f t="shared" si="98"/>
        <v>0</v>
      </c>
      <c r="CD36" s="1374">
        <f t="shared" si="45"/>
        <v>0</v>
      </c>
      <c r="CE36" s="1374">
        <f t="shared" si="46"/>
        <v>0</v>
      </c>
      <c r="CF36" s="1378">
        <f t="shared" si="47"/>
        <v>0</v>
      </c>
      <c r="CG36" s="1378">
        <f t="shared" si="48"/>
        <v>0</v>
      </c>
      <c r="CH36" s="1378">
        <f t="shared" si="49"/>
        <v>0</v>
      </c>
      <c r="CI36" s="1374">
        <f t="shared" si="50"/>
        <v>0</v>
      </c>
      <c r="CJ36" s="1374">
        <f t="shared" si="51"/>
        <v>0</v>
      </c>
      <c r="CK36" s="1374" t="str">
        <f t="shared" si="52"/>
        <v/>
      </c>
      <c r="CL36" s="1374">
        <f t="shared" si="53"/>
        <v>0</v>
      </c>
      <c r="CM36" s="1379">
        <f t="shared" si="54"/>
        <v>0</v>
      </c>
      <c r="CN36" s="628">
        <f>(BS36*Pricing!F$3+BT36*Pricing!G$3+BU36*Pricing!H$3+BV36*Pricing!I$3+BW36*Pricing!J$3+BX36*Pricing!K$3+BY36*Pricing!L$3+BZ36*Pricing!M$3+CA36*Pricing!N$3+CB36*Pricing!O$3)*IF(W$44="N",(1+Y$44),1)</f>
        <v>0</v>
      </c>
      <c r="CO36" s="628">
        <f t="shared" si="55"/>
        <v>0</v>
      </c>
      <c r="CP36" s="1380">
        <f t="shared" si="56"/>
        <v>0</v>
      </c>
      <c r="CQ36" s="628">
        <f t="shared" si="57"/>
        <v>0</v>
      </c>
      <c r="CR36" s="628">
        <f t="shared" si="58"/>
        <v>0</v>
      </c>
      <c r="CS36" s="628"/>
      <c r="CT36" s="1381">
        <f t="shared" si="59"/>
        <v>0</v>
      </c>
      <c r="CU36" s="628">
        <f t="shared" si="60"/>
        <v>0</v>
      </c>
      <c r="CV36" s="628">
        <f t="shared" si="61"/>
        <v>0</v>
      </c>
      <c r="CW36" s="628">
        <f t="shared" si="62"/>
        <v>0</v>
      </c>
      <c r="CX36" s="628">
        <f t="shared" si="63"/>
        <v>0</v>
      </c>
      <c r="CY36" s="628">
        <f t="shared" si="64"/>
        <v>0</v>
      </c>
      <c r="CZ36" s="628">
        <f t="shared" si="65"/>
        <v>0</v>
      </c>
      <c r="DA36" s="628">
        <f t="shared" si="66"/>
        <v>0</v>
      </c>
      <c r="DB36" s="628">
        <f t="shared" si="67"/>
        <v>0</v>
      </c>
      <c r="DC36" s="628">
        <f t="shared" si="68"/>
        <v>0</v>
      </c>
      <c r="DD36" s="628">
        <f t="shared" si="69"/>
        <v>0</v>
      </c>
      <c r="DE36" s="1382">
        <f t="shared" si="70"/>
        <v>0</v>
      </c>
      <c r="DF36" s="626">
        <f t="shared" si="71"/>
        <v>0</v>
      </c>
      <c r="DG36" s="626">
        <f t="shared" si="72"/>
        <v>0</v>
      </c>
      <c r="DH36" s="626">
        <f t="shared" si="73"/>
        <v>0</v>
      </c>
      <c r="DI36" s="626">
        <f t="shared" si="74"/>
        <v>0</v>
      </c>
      <c r="DJ36" s="626">
        <f t="shared" si="75"/>
        <v>0</v>
      </c>
      <c r="DK36" s="626">
        <f t="shared" si="76"/>
        <v>0</v>
      </c>
      <c r="DL36" s="626">
        <f t="shared" si="77"/>
        <v>0</v>
      </c>
      <c r="DM36" s="626">
        <f t="shared" si="78"/>
        <v>0</v>
      </c>
      <c r="DN36" s="626">
        <f t="shared" si="79"/>
        <v>0</v>
      </c>
      <c r="DO36" s="626">
        <f t="shared" si="80"/>
        <v>0</v>
      </c>
      <c r="DP36" s="1405">
        <f t="shared" si="81"/>
        <v>0</v>
      </c>
      <c r="DQ36" s="1270" t="str">
        <f t="shared" si="82"/>
        <v/>
      </c>
      <c r="DR36" s="1270" t="str">
        <f t="shared" si="83"/>
        <v/>
      </c>
      <c r="DS36" s="1270" t="str">
        <f t="shared" si="84"/>
        <v/>
      </c>
      <c r="DT36" s="1270" t="str">
        <f t="shared" si="85"/>
        <v/>
      </c>
      <c r="DU36" s="1270" t="str">
        <f t="shared" si="86"/>
        <v/>
      </c>
      <c r="DV36" s="1270" t="str">
        <f t="shared" si="87"/>
        <v/>
      </c>
      <c r="DW36" s="1270" t="str">
        <f t="shared" si="88"/>
        <v/>
      </c>
      <c r="DX36" s="1371">
        <f t="shared" si="89"/>
        <v>0</v>
      </c>
      <c r="DY36" s="1270" t="str">
        <f t="shared" si="90"/>
        <v/>
      </c>
      <c r="DZ36" s="1270" t="str">
        <f t="shared" si="91"/>
        <v/>
      </c>
      <c r="EA36" s="1270" t="str">
        <f t="shared" si="92"/>
        <v/>
      </c>
      <c r="EB36" s="1270" t="str">
        <f t="shared" si="93"/>
        <v/>
      </c>
      <c r="EC36" s="1270" t="str">
        <f t="shared" si="94"/>
        <v/>
      </c>
      <c r="ED36" s="1270" t="str">
        <f t="shared" si="95"/>
        <v/>
      </c>
      <c r="EE36" s="1270" t="str">
        <f t="shared" si="96"/>
        <v/>
      </c>
      <c r="EF36" s="1371">
        <f t="shared" si="97"/>
        <v>0</v>
      </c>
    </row>
    <row r="37" spans="1:136" ht="19.5" customHeight="1">
      <c r="A37" s="18" t="s">
        <v>1582</v>
      </c>
      <c r="B37" s="1385"/>
      <c r="C37" s="1386"/>
      <c r="D37" s="1387"/>
      <c r="E37" s="1388"/>
      <c r="F37" s="984"/>
      <c r="G37" s="1389"/>
      <c r="H37" s="984"/>
      <c r="I37" s="1389"/>
      <c r="J37" s="984"/>
      <c r="K37" s="1419"/>
      <c r="L37" s="1395"/>
      <c r="M37" s="1392"/>
      <c r="N37" s="1393"/>
      <c r="O37" s="1394"/>
      <c r="P37" s="1351">
        <f t="shared" si="0"/>
        <v>0</v>
      </c>
      <c r="Q37" s="1352">
        <f t="shared" si="1"/>
        <v>0</v>
      </c>
      <c r="R37" s="1353">
        <f t="shared" si="2"/>
        <v>0</v>
      </c>
      <c r="S37" s="1354">
        <f t="shared" si="3"/>
        <v>0</v>
      </c>
      <c r="T37" s="1355">
        <f t="shared" si="4"/>
        <v>0</v>
      </c>
      <c r="U37" s="1356">
        <f t="shared" si="5"/>
        <v>0</v>
      </c>
      <c r="V37" s="1357">
        <f t="shared" si="6"/>
        <v>0</v>
      </c>
      <c r="W37" s="1395"/>
      <c r="X37" s="1430"/>
      <c r="Y37" s="1395"/>
      <c r="Z37" s="1397"/>
      <c r="AA37" s="1395"/>
      <c r="AB37" s="1397"/>
      <c r="AC37" s="1398"/>
      <c r="AD37" s="1430"/>
      <c r="AE37" s="1395"/>
      <c r="AF37" s="1392"/>
      <c r="AG37" s="1431"/>
      <c r="AH37" s="1392"/>
      <c r="AI37" s="1395"/>
      <c r="AJ37" s="1392"/>
      <c r="AK37" s="1395"/>
      <c r="AL37" s="1392"/>
      <c r="AM37" s="1395"/>
      <c r="AN37" s="1397"/>
      <c r="AO37" s="1395"/>
      <c r="AP37" s="1397"/>
      <c r="AQ37" s="1275" t="e">
        <f t="shared" si="7"/>
        <v>#DIV/0!</v>
      </c>
      <c r="AR37" s="1369" t="str">
        <f t="shared" si="8"/>
        <v/>
      </c>
      <c r="AS37" s="1270" t="str">
        <f t="shared" si="9"/>
        <v/>
      </c>
      <c r="AT37" s="1270" t="str">
        <f t="shared" si="10"/>
        <v/>
      </c>
      <c r="AU37" s="1270" t="str">
        <f t="shared" si="11"/>
        <v/>
      </c>
      <c r="AV37" s="1270" t="str">
        <f t="shared" si="12"/>
        <v/>
      </c>
      <c r="AW37" s="1270" t="str">
        <f t="shared" si="13"/>
        <v/>
      </c>
      <c r="AX37" s="1270" t="str">
        <f t="shared" si="14"/>
        <v/>
      </c>
      <c r="AY37" s="1270" t="str">
        <f t="shared" si="15"/>
        <v/>
      </c>
      <c r="AZ37" s="1270" t="str">
        <f t="shared" si="16"/>
        <v/>
      </c>
      <c r="BA37" s="1270" t="str">
        <f t="shared" si="17"/>
        <v/>
      </c>
      <c r="BB37" s="1371">
        <f t="shared" si="18"/>
        <v>0</v>
      </c>
      <c r="BC37" s="1369" t="str">
        <f t="shared" si="19"/>
        <v/>
      </c>
      <c r="BD37" s="626" t="str">
        <f t="shared" si="20"/>
        <v/>
      </c>
      <c r="BE37" s="1270" t="str">
        <f t="shared" si="21"/>
        <v/>
      </c>
      <c r="BF37" s="626" t="str">
        <f t="shared" si="22"/>
        <v/>
      </c>
      <c r="BG37" s="626" t="str">
        <f t="shared" si="23"/>
        <v/>
      </c>
      <c r="BH37" s="626" t="str">
        <f t="shared" si="24"/>
        <v/>
      </c>
      <c r="BI37" s="626" t="str">
        <f t="shared" si="25"/>
        <v/>
      </c>
      <c r="BJ37" s="626" t="str">
        <f t="shared" si="26"/>
        <v/>
      </c>
      <c r="BK37" s="626" t="str">
        <f t="shared" si="27"/>
        <v/>
      </c>
      <c r="BL37" s="626" t="str">
        <f t="shared" si="28"/>
        <v/>
      </c>
      <c r="BM37" s="1420">
        <f t="shared" si="29"/>
        <v>0</v>
      </c>
      <c r="BN37" s="1372">
        <f t="shared" si="30"/>
        <v>0</v>
      </c>
      <c r="BO37" s="1372">
        <f t="shared" si="31"/>
        <v>0</v>
      </c>
      <c r="BP37" s="1372">
        <f t="shared" si="32"/>
        <v>0</v>
      </c>
      <c r="BQ37" s="1374">
        <f t="shared" si="33"/>
        <v>0</v>
      </c>
      <c r="BR37" s="1251">
        <f t="shared" si="34"/>
        <v>0</v>
      </c>
      <c r="BS37" s="1403">
        <f t="shared" si="35"/>
        <v>0</v>
      </c>
      <c r="BT37" s="1372">
        <f t="shared" si="36"/>
        <v>0</v>
      </c>
      <c r="BU37" s="1372">
        <f t="shared" si="37"/>
        <v>0</v>
      </c>
      <c r="BV37" s="1372">
        <f t="shared" si="38"/>
        <v>0</v>
      </c>
      <c r="BW37" s="1372">
        <f t="shared" si="39"/>
        <v>0</v>
      </c>
      <c r="BX37" s="1372">
        <f t="shared" si="40"/>
        <v>0</v>
      </c>
      <c r="BY37" s="1372">
        <f t="shared" si="41"/>
        <v>0</v>
      </c>
      <c r="BZ37" s="1372">
        <f t="shared" si="42"/>
        <v>0</v>
      </c>
      <c r="CA37" s="1372">
        <f t="shared" si="43"/>
        <v>0</v>
      </c>
      <c r="CB37" s="1404">
        <f t="shared" si="44"/>
        <v>0</v>
      </c>
      <c r="CC37" s="1374">
        <f t="shared" si="98"/>
        <v>0</v>
      </c>
      <c r="CD37" s="1374">
        <f t="shared" si="45"/>
        <v>0</v>
      </c>
      <c r="CE37" s="1374">
        <f t="shared" si="46"/>
        <v>0</v>
      </c>
      <c r="CF37" s="1378">
        <f t="shared" si="47"/>
        <v>0</v>
      </c>
      <c r="CG37" s="1378">
        <f t="shared" si="48"/>
        <v>0</v>
      </c>
      <c r="CH37" s="1378">
        <f t="shared" si="49"/>
        <v>0</v>
      </c>
      <c r="CI37" s="1374">
        <f t="shared" si="50"/>
        <v>0</v>
      </c>
      <c r="CJ37" s="1374">
        <f t="shared" si="51"/>
        <v>0</v>
      </c>
      <c r="CK37" s="1374" t="str">
        <f t="shared" si="52"/>
        <v/>
      </c>
      <c r="CL37" s="1374">
        <f t="shared" si="53"/>
        <v>0</v>
      </c>
      <c r="CM37" s="1379">
        <f t="shared" si="54"/>
        <v>0</v>
      </c>
      <c r="CN37" s="628">
        <f>(BS37*Pricing!F$3+BT37*Pricing!G$3+BU37*Pricing!H$3+BV37*Pricing!I$3+BW37*Pricing!J$3+BX37*Pricing!K$3+BY37*Pricing!L$3+BZ37*Pricing!M$3+CA37*Pricing!N$3+CB37*Pricing!O$3)*IF(W$44="N",(1+Y$44),1)</f>
        <v>0</v>
      </c>
      <c r="CO37" s="628">
        <f t="shared" si="55"/>
        <v>0</v>
      </c>
      <c r="CP37" s="1380">
        <f t="shared" si="56"/>
        <v>0</v>
      </c>
      <c r="CQ37" s="628">
        <f t="shared" si="57"/>
        <v>0</v>
      </c>
      <c r="CR37" s="628">
        <f t="shared" si="58"/>
        <v>0</v>
      </c>
      <c r="CS37" s="628"/>
      <c r="CT37" s="1381">
        <f t="shared" si="59"/>
        <v>0</v>
      </c>
      <c r="CU37" s="628">
        <f t="shared" si="60"/>
        <v>0</v>
      </c>
      <c r="CV37" s="628">
        <f t="shared" si="61"/>
        <v>0</v>
      </c>
      <c r="CW37" s="628">
        <f t="shared" si="62"/>
        <v>0</v>
      </c>
      <c r="CX37" s="628">
        <f t="shared" si="63"/>
        <v>0</v>
      </c>
      <c r="CY37" s="628">
        <f t="shared" si="64"/>
        <v>0</v>
      </c>
      <c r="CZ37" s="628">
        <f t="shared" si="65"/>
        <v>0</v>
      </c>
      <c r="DA37" s="628">
        <f t="shared" si="66"/>
        <v>0</v>
      </c>
      <c r="DB37" s="628">
        <f t="shared" si="67"/>
        <v>0</v>
      </c>
      <c r="DC37" s="628">
        <f t="shared" si="68"/>
        <v>0</v>
      </c>
      <c r="DD37" s="628">
        <f t="shared" si="69"/>
        <v>0</v>
      </c>
      <c r="DE37" s="1382">
        <f t="shared" si="70"/>
        <v>0</v>
      </c>
      <c r="DF37" s="626">
        <f t="shared" si="71"/>
        <v>0</v>
      </c>
      <c r="DG37" s="626">
        <f t="shared" si="72"/>
        <v>0</v>
      </c>
      <c r="DH37" s="626">
        <f t="shared" si="73"/>
        <v>0</v>
      </c>
      <c r="DI37" s="626">
        <f t="shared" si="74"/>
        <v>0</v>
      </c>
      <c r="DJ37" s="626">
        <f t="shared" si="75"/>
        <v>0</v>
      </c>
      <c r="DK37" s="626">
        <f t="shared" si="76"/>
        <v>0</v>
      </c>
      <c r="DL37" s="626">
        <f t="shared" si="77"/>
        <v>0</v>
      </c>
      <c r="DM37" s="626">
        <f t="shared" si="78"/>
        <v>0</v>
      </c>
      <c r="DN37" s="626">
        <f t="shared" si="79"/>
        <v>0</v>
      </c>
      <c r="DO37" s="626">
        <f t="shared" si="80"/>
        <v>0</v>
      </c>
      <c r="DP37" s="1405">
        <f t="shared" si="81"/>
        <v>0</v>
      </c>
      <c r="DQ37" s="1270" t="str">
        <f t="shared" si="82"/>
        <v/>
      </c>
      <c r="DR37" s="1270" t="str">
        <f t="shared" si="83"/>
        <v/>
      </c>
      <c r="DS37" s="1270" t="str">
        <f t="shared" si="84"/>
        <v/>
      </c>
      <c r="DT37" s="1270" t="str">
        <f t="shared" si="85"/>
        <v/>
      </c>
      <c r="DU37" s="1270" t="str">
        <f t="shared" si="86"/>
        <v/>
      </c>
      <c r="DV37" s="1270" t="str">
        <f t="shared" si="87"/>
        <v/>
      </c>
      <c r="DW37" s="1270" t="str">
        <f t="shared" si="88"/>
        <v/>
      </c>
      <c r="DX37" s="1371">
        <f t="shared" si="89"/>
        <v>0</v>
      </c>
      <c r="DY37" s="1270" t="str">
        <f t="shared" si="90"/>
        <v/>
      </c>
      <c r="DZ37" s="1270" t="str">
        <f t="shared" si="91"/>
        <v/>
      </c>
      <c r="EA37" s="1270" t="str">
        <f t="shared" si="92"/>
        <v/>
      </c>
      <c r="EB37" s="1270" t="str">
        <f t="shared" si="93"/>
        <v/>
      </c>
      <c r="EC37" s="1270" t="str">
        <f t="shared" si="94"/>
        <v/>
      </c>
      <c r="ED37" s="1270" t="str">
        <f t="shared" si="95"/>
        <v/>
      </c>
      <c r="EE37" s="1270" t="str">
        <f t="shared" si="96"/>
        <v/>
      </c>
      <c r="EF37" s="1371">
        <f t="shared" si="97"/>
        <v>0</v>
      </c>
    </row>
    <row r="38" spans="1:136" ht="19.5" customHeight="1">
      <c r="A38" s="18" t="s">
        <v>1583</v>
      </c>
      <c r="B38" s="859"/>
      <c r="C38" s="1386"/>
      <c r="D38" s="1343"/>
      <c r="E38" s="1344"/>
      <c r="F38" s="984"/>
      <c r="G38" s="1389"/>
      <c r="H38" s="984"/>
      <c r="I38" s="1389"/>
      <c r="J38" s="984"/>
      <c r="K38" s="1419"/>
      <c r="L38" s="1347"/>
      <c r="M38" s="1348"/>
      <c r="N38" s="1349"/>
      <c r="O38" s="1350"/>
      <c r="P38" s="1351">
        <f t="shared" si="0"/>
        <v>0</v>
      </c>
      <c r="Q38" s="1352">
        <f t="shared" si="1"/>
        <v>0</v>
      </c>
      <c r="R38" s="1353">
        <f t="shared" si="2"/>
        <v>0</v>
      </c>
      <c r="S38" s="1354">
        <f t="shared" si="3"/>
        <v>0</v>
      </c>
      <c r="T38" s="1355">
        <f t="shared" si="4"/>
        <v>0</v>
      </c>
      <c r="U38" s="1356">
        <f t="shared" si="5"/>
        <v>0</v>
      </c>
      <c r="V38" s="1357">
        <f t="shared" si="6"/>
        <v>0</v>
      </c>
      <c r="W38" s="1347"/>
      <c r="X38" s="1432"/>
      <c r="Y38" s="1347"/>
      <c r="Z38" s="1360"/>
      <c r="AA38" s="1347"/>
      <c r="AB38" s="1360"/>
      <c r="AC38" s="1361"/>
      <c r="AD38" s="1432"/>
      <c r="AE38" s="1347"/>
      <c r="AF38" s="1348"/>
      <c r="AG38" s="1429"/>
      <c r="AH38" s="1348"/>
      <c r="AI38" s="1347"/>
      <c r="AJ38" s="1348"/>
      <c r="AK38" s="1347"/>
      <c r="AL38" s="1348"/>
      <c r="AM38" s="1347"/>
      <c r="AN38" s="1360"/>
      <c r="AO38" s="1347"/>
      <c r="AP38" s="1360"/>
      <c r="AQ38" s="1275" t="e">
        <f t="shared" si="7"/>
        <v>#DIV/0!</v>
      </c>
      <c r="AR38" s="1369" t="str">
        <f t="shared" si="8"/>
        <v/>
      </c>
      <c r="AS38" s="1270" t="str">
        <f t="shared" si="9"/>
        <v/>
      </c>
      <c r="AT38" s="1270" t="str">
        <f t="shared" si="10"/>
        <v/>
      </c>
      <c r="AU38" s="1270" t="str">
        <f t="shared" si="11"/>
        <v/>
      </c>
      <c r="AV38" s="1270" t="str">
        <f t="shared" si="12"/>
        <v/>
      </c>
      <c r="AW38" s="1270" t="str">
        <f t="shared" si="13"/>
        <v/>
      </c>
      <c r="AX38" s="1270" t="str">
        <f t="shared" si="14"/>
        <v/>
      </c>
      <c r="AY38" s="1270" t="str">
        <f t="shared" si="15"/>
        <v/>
      </c>
      <c r="AZ38" s="1270" t="str">
        <f t="shared" si="16"/>
        <v/>
      </c>
      <c r="BA38" s="1270" t="str">
        <f t="shared" si="17"/>
        <v/>
      </c>
      <c r="BB38" s="1371">
        <f t="shared" si="18"/>
        <v>0</v>
      </c>
      <c r="BC38" s="1369" t="str">
        <f t="shared" si="19"/>
        <v/>
      </c>
      <c r="BD38" s="626" t="str">
        <f t="shared" si="20"/>
        <v/>
      </c>
      <c r="BE38" s="1270" t="str">
        <f t="shared" si="21"/>
        <v/>
      </c>
      <c r="BF38" s="626" t="str">
        <f t="shared" si="22"/>
        <v/>
      </c>
      <c r="BG38" s="626" t="str">
        <f t="shared" si="23"/>
        <v/>
      </c>
      <c r="BH38" s="626" t="str">
        <f t="shared" si="24"/>
        <v/>
      </c>
      <c r="BI38" s="626" t="str">
        <f t="shared" si="25"/>
        <v/>
      </c>
      <c r="BJ38" s="626" t="str">
        <f t="shared" si="26"/>
        <v/>
      </c>
      <c r="BK38" s="626" t="str">
        <f t="shared" si="27"/>
        <v/>
      </c>
      <c r="BL38" s="626" t="str">
        <f t="shared" si="28"/>
        <v/>
      </c>
      <c r="BM38" s="1420">
        <f t="shared" si="29"/>
        <v>0</v>
      </c>
      <c r="BN38" s="1372">
        <f t="shared" si="30"/>
        <v>0</v>
      </c>
      <c r="BO38" s="1372">
        <f t="shared" si="31"/>
        <v>0</v>
      </c>
      <c r="BP38" s="1372">
        <f t="shared" si="32"/>
        <v>0</v>
      </c>
      <c r="BQ38" s="1374">
        <f t="shared" si="33"/>
        <v>0</v>
      </c>
      <c r="BR38" s="1251">
        <f t="shared" si="34"/>
        <v>0</v>
      </c>
      <c r="BS38" s="1403">
        <f t="shared" si="35"/>
        <v>0</v>
      </c>
      <c r="BT38" s="1372">
        <f t="shared" si="36"/>
        <v>0</v>
      </c>
      <c r="BU38" s="1372">
        <f t="shared" si="37"/>
        <v>0</v>
      </c>
      <c r="BV38" s="1372">
        <f t="shared" si="38"/>
        <v>0</v>
      </c>
      <c r="BW38" s="1372">
        <f t="shared" si="39"/>
        <v>0</v>
      </c>
      <c r="BX38" s="1372">
        <f t="shared" si="40"/>
        <v>0</v>
      </c>
      <c r="BY38" s="1372">
        <f t="shared" si="41"/>
        <v>0</v>
      </c>
      <c r="BZ38" s="1372">
        <f t="shared" si="42"/>
        <v>0</v>
      </c>
      <c r="CA38" s="1372">
        <f t="shared" si="43"/>
        <v>0</v>
      </c>
      <c r="CB38" s="1404">
        <f t="shared" si="44"/>
        <v>0</v>
      </c>
      <c r="CC38" s="1374">
        <f t="shared" si="98"/>
        <v>0</v>
      </c>
      <c r="CD38" s="1374">
        <f t="shared" si="45"/>
        <v>0</v>
      </c>
      <c r="CE38" s="1374">
        <f t="shared" si="46"/>
        <v>0</v>
      </c>
      <c r="CF38" s="1378">
        <f t="shared" si="47"/>
        <v>0</v>
      </c>
      <c r="CG38" s="1378">
        <f t="shared" si="48"/>
        <v>0</v>
      </c>
      <c r="CH38" s="1378">
        <f t="shared" si="49"/>
        <v>0</v>
      </c>
      <c r="CI38" s="1374">
        <f t="shared" si="50"/>
        <v>0</v>
      </c>
      <c r="CJ38" s="1374">
        <f t="shared" si="51"/>
        <v>0</v>
      </c>
      <c r="CK38" s="1374" t="str">
        <f t="shared" si="52"/>
        <v/>
      </c>
      <c r="CL38" s="1374">
        <f t="shared" si="53"/>
        <v>0</v>
      </c>
      <c r="CM38" s="1379">
        <f t="shared" si="54"/>
        <v>0</v>
      </c>
      <c r="CN38" s="628">
        <f>(BS38*Pricing!F$3+BT38*Pricing!G$3+BU38*Pricing!H$3+BV38*Pricing!I$3+BW38*Pricing!J$3+BX38*Pricing!K$3+BY38*Pricing!L$3+BZ38*Pricing!M$3+CA38*Pricing!N$3+CB38*Pricing!O$3)*IF(W$44="N",(1+Y$44),1)</f>
        <v>0</v>
      </c>
      <c r="CO38" s="628">
        <f t="shared" si="55"/>
        <v>0</v>
      </c>
      <c r="CP38" s="1380">
        <f t="shared" si="56"/>
        <v>0</v>
      </c>
      <c r="CQ38" s="628">
        <f t="shared" si="57"/>
        <v>0</v>
      </c>
      <c r="CR38" s="628">
        <f t="shared" si="58"/>
        <v>0</v>
      </c>
      <c r="CS38" s="628"/>
      <c r="CT38" s="1381">
        <f t="shared" si="59"/>
        <v>0</v>
      </c>
      <c r="CU38" s="628">
        <f t="shared" si="60"/>
        <v>0</v>
      </c>
      <c r="CV38" s="628">
        <f t="shared" si="61"/>
        <v>0</v>
      </c>
      <c r="CW38" s="628">
        <f t="shared" si="62"/>
        <v>0</v>
      </c>
      <c r="CX38" s="628">
        <f t="shared" si="63"/>
        <v>0</v>
      </c>
      <c r="CY38" s="628">
        <f t="shared" si="64"/>
        <v>0</v>
      </c>
      <c r="CZ38" s="628">
        <f t="shared" si="65"/>
        <v>0</v>
      </c>
      <c r="DA38" s="628">
        <f t="shared" si="66"/>
        <v>0</v>
      </c>
      <c r="DB38" s="628">
        <f t="shared" si="67"/>
        <v>0</v>
      </c>
      <c r="DC38" s="628">
        <f t="shared" si="68"/>
        <v>0</v>
      </c>
      <c r="DD38" s="628">
        <f t="shared" si="69"/>
        <v>0</v>
      </c>
      <c r="DE38" s="1382">
        <f t="shared" si="70"/>
        <v>0</v>
      </c>
      <c r="DF38" s="626">
        <f t="shared" si="71"/>
        <v>0</v>
      </c>
      <c r="DG38" s="626">
        <f t="shared" si="72"/>
        <v>0</v>
      </c>
      <c r="DH38" s="626">
        <f t="shared" si="73"/>
        <v>0</v>
      </c>
      <c r="DI38" s="626">
        <f t="shared" si="74"/>
        <v>0</v>
      </c>
      <c r="DJ38" s="626">
        <f t="shared" si="75"/>
        <v>0</v>
      </c>
      <c r="DK38" s="626">
        <f t="shared" si="76"/>
        <v>0</v>
      </c>
      <c r="DL38" s="626">
        <f t="shared" si="77"/>
        <v>0</v>
      </c>
      <c r="DM38" s="626">
        <f t="shared" si="78"/>
        <v>0</v>
      </c>
      <c r="DN38" s="626">
        <f t="shared" si="79"/>
        <v>0</v>
      </c>
      <c r="DO38" s="626">
        <f t="shared" si="80"/>
        <v>0</v>
      </c>
      <c r="DP38" s="1405">
        <f t="shared" si="81"/>
        <v>0</v>
      </c>
      <c r="DQ38" s="1270" t="str">
        <f t="shared" si="82"/>
        <v/>
      </c>
      <c r="DR38" s="1270" t="str">
        <f t="shared" si="83"/>
        <v/>
      </c>
      <c r="DS38" s="1270" t="str">
        <f t="shared" si="84"/>
        <v/>
      </c>
      <c r="DT38" s="1270" t="str">
        <f t="shared" si="85"/>
        <v/>
      </c>
      <c r="DU38" s="1270" t="str">
        <f t="shared" si="86"/>
        <v/>
      </c>
      <c r="DV38" s="1270" t="str">
        <f t="shared" si="87"/>
        <v/>
      </c>
      <c r="DW38" s="1270" t="str">
        <f t="shared" si="88"/>
        <v/>
      </c>
      <c r="DX38" s="1371">
        <f t="shared" si="89"/>
        <v>0</v>
      </c>
      <c r="DY38" s="1270" t="str">
        <f t="shared" si="90"/>
        <v/>
      </c>
      <c r="DZ38" s="1270" t="str">
        <f t="shared" si="91"/>
        <v/>
      </c>
      <c r="EA38" s="1270" t="str">
        <f t="shared" si="92"/>
        <v/>
      </c>
      <c r="EB38" s="1270" t="str">
        <f t="shared" si="93"/>
        <v/>
      </c>
      <c r="EC38" s="1270" t="str">
        <f t="shared" si="94"/>
        <v/>
      </c>
      <c r="ED38" s="1270" t="str">
        <f t="shared" si="95"/>
        <v/>
      </c>
      <c r="EE38" s="1270" t="str">
        <f t="shared" si="96"/>
        <v/>
      </c>
      <c r="EF38" s="1371">
        <f t="shared" si="97"/>
        <v>0</v>
      </c>
    </row>
    <row r="39" spans="1:136" ht="19.5" customHeight="1">
      <c r="A39" s="18" t="s">
        <v>1584</v>
      </c>
      <c r="B39" s="1385"/>
      <c r="C39" s="1386"/>
      <c r="D39" s="1387"/>
      <c r="E39" s="1388"/>
      <c r="F39" s="984"/>
      <c r="G39" s="1389"/>
      <c r="H39" s="984"/>
      <c r="I39" s="1389"/>
      <c r="J39" s="1433"/>
      <c r="K39" s="1419"/>
      <c r="L39" s="1395"/>
      <c r="M39" s="1392"/>
      <c r="N39" s="1393"/>
      <c r="O39" s="1394"/>
      <c r="P39" s="1351">
        <f t="shared" si="0"/>
        <v>0</v>
      </c>
      <c r="Q39" s="1352">
        <f t="shared" si="1"/>
        <v>0</v>
      </c>
      <c r="R39" s="1353">
        <f t="shared" si="2"/>
        <v>0</v>
      </c>
      <c r="S39" s="1354">
        <f t="shared" si="3"/>
        <v>0</v>
      </c>
      <c r="T39" s="1355">
        <f t="shared" si="4"/>
        <v>0</v>
      </c>
      <c r="U39" s="1356">
        <f t="shared" si="5"/>
        <v>0</v>
      </c>
      <c r="V39" s="1357">
        <f t="shared" si="6"/>
        <v>0</v>
      </c>
      <c r="W39" s="1395"/>
      <c r="X39" s="1430"/>
      <c r="Y39" s="1395"/>
      <c r="Z39" s="1397"/>
      <c r="AA39" s="1395"/>
      <c r="AB39" s="1397"/>
      <c r="AC39" s="1431"/>
      <c r="AD39" s="1430"/>
      <c r="AE39" s="1395"/>
      <c r="AF39" s="1392"/>
      <c r="AG39" s="1431"/>
      <c r="AH39" s="1392"/>
      <c r="AI39" s="1395"/>
      <c r="AJ39" s="1392"/>
      <c r="AK39" s="1395"/>
      <c r="AL39" s="1392"/>
      <c r="AM39" s="1395"/>
      <c r="AN39" s="1397"/>
      <c r="AO39" s="1395"/>
      <c r="AP39" s="1397"/>
      <c r="AQ39" s="1275" t="e">
        <f t="shared" si="7"/>
        <v>#DIV/0!</v>
      </c>
      <c r="AR39" s="1369" t="str">
        <f t="shared" si="8"/>
        <v/>
      </c>
      <c r="AS39" s="1270" t="str">
        <f t="shared" si="9"/>
        <v/>
      </c>
      <c r="AT39" s="1270" t="str">
        <f t="shared" si="10"/>
        <v/>
      </c>
      <c r="AU39" s="1270" t="str">
        <f t="shared" si="11"/>
        <v/>
      </c>
      <c r="AV39" s="1270" t="str">
        <f t="shared" si="12"/>
        <v/>
      </c>
      <c r="AW39" s="1270" t="str">
        <f t="shared" si="13"/>
        <v/>
      </c>
      <c r="AX39" s="1270" t="str">
        <f t="shared" si="14"/>
        <v/>
      </c>
      <c r="AY39" s="1270" t="str">
        <f t="shared" si="15"/>
        <v/>
      </c>
      <c r="AZ39" s="1270" t="str">
        <f t="shared" si="16"/>
        <v/>
      </c>
      <c r="BA39" s="1270" t="str">
        <f t="shared" si="17"/>
        <v/>
      </c>
      <c r="BB39" s="1371">
        <f t="shared" si="18"/>
        <v>0</v>
      </c>
      <c r="BC39" s="1369" t="str">
        <f t="shared" si="19"/>
        <v/>
      </c>
      <c r="BD39" s="626" t="str">
        <f t="shared" si="20"/>
        <v/>
      </c>
      <c r="BE39" s="1270" t="str">
        <f t="shared" si="21"/>
        <v/>
      </c>
      <c r="BF39" s="626" t="str">
        <f t="shared" si="22"/>
        <v/>
      </c>
      <c r="BG39" s="626" t="str">
        <f t="shared" si="23"/>
        <v/>
      </c>
      <c r="BH39" s="626" t="str">
        <f t="shared" si="24"/>
        <v/>
      </c>
      <c r="BI39" s="626" t="str">
        <f t="shared" si="25"/>
        <v/>
      </c>
      <c r="BJ39" s="626" t="str">
        <f t="shared" si="26"/>
        <v/>
      </c>
      <c r="BK39" s="626" t="str">
        <f t="shared" si="27"/>
        <v/>
      </c>
      <c r="BL39" s="626" t="str">
        <f t="shared" si="28"/>
        <v/>
      </c>
      <c r="BM39" s="1420">
        <f t="shared" si="29"/>
        <v>0</v>
      </c>
      <c r="BN39" s="1372">
        <f t="shared" si="30"/>
        <v>0</v>
      </c>
      <c r="BO39" s="1372">
        <f t="shared" si="31"/>
        <v>0</v>
      </c>
      <c r="BP39" s="1372">
        <f t="shared" si="32"/>
        <v>0</v>
      </c>
      <c r="BQ39" s="1374">
        <f t="shared" si="33"/>
        <v>0</v>
      </c>
      <c r="BR39" s="1251">
        <f t="shared" si="34"/>
        <v>0</v>
      </c>
      <c r="BS39" s="1403">
        <f t="shared" si="35"/>
        <v>0</v>
      </c>
      <c r="BT39" s="1372">
        <f t="shared" si="36"/>
        <v>0</v>
      </c>
      <c r="BU39" s="1372">
        <f t="shared" si="37"/>
        <v>0</v>
      </c>
      <c r="BV39" s="1372">
        <f t="shared" si="38"/>
        <v>0</v>
      </c>
      <c r="BW39" s="1372">
        <f t="shared" si="39"/>
        <v>0</v>
      </c>
      <c r="BX39" s="1372">
        <f t="shared" si="40"/>
        <v>0</v>
      </c>
      <c r="BY39" s="1372">
        <f t="shared" si="41"/>
        <v>0</v>
      </c>
      <c r="BZ39" s="1372">
        <f t="shared" si="42"/>
        <v>0</v>
      </c>
      <c r="CA39" s="1372">
        <f t="shared" si="43"/>
        <v>0</v>
      </c>
      <c r="CB39" s="1404">
        <f t="shared" si="44"/>
        <v>0</v>
      </c>
      <c r="CC39" s="1374">
        <f t="shared" si="98"/>
        <v>0</v>
      </c>
      <c r="CD39" s="1374">
        <f t="shared" si="45"/>
        <v>0</v>
      </c>
      <c r="CE39" s="1374">
        <f t="shared" si="46"/>
        <v>0</v>
      </c>
      <c r="CF39" s="1378">
        <f t="shared" si="47"/>
        <v>0</v>
      </c>
      <c r="CG39" s="1378">
        <f t="shared" si="48"/>
        <v>0</v>
      </c>
      <c r="CH39" s="1378">
        <f t="shared" si="49"/>
        <v>0</v>
      </c>
      <c r="CI39" s="1374">
        <f t="shared" si="50"/>
        <v>0</v>
      </c>
      <c r="CJ39" s="1374">
        <f t="shared" si="51"/>
        <v>0</v>
      </c>
      <c r="CK39" s="1374" t="str">
        <f t="shared" si="52"/>
        <v/>
      </c>
      <c r="CL39" s="1374">
        <f t="shared" si="53"/>
        <v>0</v>
      </c>
      <c r="CM39" s="1379">
        <f t="shared" si="54"/>
        <v>0</v>
      </c>
      <c r="CN39" s="628">
        <f>(BS39*Pricing!F$3+BT39*Pricing!G$3+BU39*Pricing!H$3+BV39*Pricing!I$3+BW39*Pricing!J$3+BX39*Pricing!K$3+BY39*Pricing!L$3+BZ39*Pricing!M$3+CA39*Pricing!N$3+CB39*Pricing!O$3)*IF(W$44="N",(1+Y$44),1)</f>
        <v>0</v>
      </c>
      <c r="CO39" s="628">
        <f t="shared" si="55"/>
        <v>0</v>
      </c>
      <c r="CP39" s="1380">
        <f t="shared" si="56"/>
        <v>0</v>
      </c>
      <c r="CQ39" s="628">
        <f t="shared" si="57"/>
        <v>0</v>
      </c>
      <c r="CR39" s="628">
        <f t="shared" si="58"/>
        <v>0</v>
      </c>
      <c r="CS39" s="628"/>
      <c r="CT39" s="1381">
        <f t="shared" si="59"/>
        <v>0</v>
      </c>
      <c r="CU39" s="628">
        <f t="shared" si="60"/>
        <v>0</v>
      </c>
      <c r="CV39" s="628">
        <f t="shared" si="61"/>
        <v>0</v>
      </c>
      <c r="CW39" s="628">
        <f t="shared" si="62"/>
        <v>0</v>
      </c>
      <c r="CX39" s="628">
        <f t="shared" si="63"/>
        <v>0</v>
      </c>
      <c r="CY39" s="628">
        <f t="shared" si="64"/>
        <v>0</v>
      </c>
      <c r="CZ39" s="628">
        <f t="shared" si="65"/>
        <v>0</v>
      </c>
      <c r="DA39" s="628">
        <f t="shared" si="66"/>
        <v>0</v>
      </c>
      <c r="DB39" s="628">
        <f t="shared" si="67"/>
        <v>0</v>
      </c>
      <c r="DC39" s="628">
        <f t="shared" si="68"/>
        <v>0</v>
      </c>
      <c r="DD39" s="628">
        <f t="shared" si="69"/>
        <v>0</v>
      </c>
      <c r="DE39" s="1382">
        <f t="shared" si="70"/>
        <v>0</v>
      </c>
      <c r="DF39" s="626">
        <f t="shared" si="71"/>
        <v>0</v>
      </c>
      <c r="DG39" s="626">
        <f t="shared" si="72"/>
        <v>0</v>
      </c>
      <c r="DH39" s="626">
        <f t="shared" si="73"/>
        <v>0</v>
      </c>
      <c r="DI39" s="626">
        <f t="shared" si="74"/>
        <v>0</v>
      </c>
      <c r="DJ39" s="626">
        <f t="shared" si="75"/>
        <v>0</v>
      </c>
      <c r="DK39" s="626">
        <f t="shared" si="76"/>
        <v>0</v>
      </c>
      <c r="DL39" s="626">
        <f t="shared" si="77"/>
        <v>0</v>
      </c>
      <c r="DM39" s="626">
        <f t="shared" si="78"/>
        <v>0</v>
      </c>
      <c r="DN39" s="626">
        <f t="shared" si="79"/>
        <v>0</v>
      </c>
      <c r="DO39" s="626">
        <f t="shared" si="80"/>
        <v>0</v>
      </c>
      <c r="DP39" s="1405">
        <f t="shared" si="81"/>
        <v>0</v>
      </c>
      <c r="DQ39" s="1270" t="str">
        <f t="shared" si="82"/>
        <v/>
      </c>
      <c r="DR39" s="1270" t="str">
        <f t="shared" si="83"/>
        <v/>
      </c>
      <c r="DS39" s="1270" t="str">
        <f t="shared" si="84"/>
        <v/>
      </c>
      <c r="DT39" s="1270" t="str">
        <f t="shared" si="85"/>
        <v/>
      </c>
      <c r="DU39" s="1270" t="str">
        <f t="shared" si="86"/>
        <v/>
      </c>
      <c r="DV39" s="1270" t="str">
        <f t="shared" si="87"/>
        <v/>
      </c>
      <c r="DW39" s="1270" t="str">
        <f t="shared" si="88"/>
        <v/>
      </c>
      <c r="DX39" s="1371">
        <f t="shared" si="89"/>
        <v>0</v>
      </c>
      <c r="DY39" s="1270" t="str">
        <f t="shared" si="90"/>
        <v/>
      </c>
      <c r="DZ39" s="1270" t="str">
        <f t="shared" si="91"/>
        <v/>
      </c>
      <c r="EA39" s="1270" t="str">
        <f t="shared" si="92"/>
        <v/>
      </c>
      <c r="EB39" s="1270" t="str">
        <f t="shared" si="93"/>
        <v/>
      </c>
      <c r="EC39" s="1270" t="str">
        <f t="shared" si="94"/>
        <v/>
      </c>
      <c r="ED39" s="1270" t="str">
        <f t="shared" si="95"/>
        <v/>
      </c>
      <c r="EE39" s="1270" t="str">
        <f t="shared" si="96"/>
        <v/>
      </c>
      <c r="EF39" s="1371">
        <f t="shared" si="97"/>
        <v>0</v>
      </c>
    </row>
    <row r="40" spans="1:136" ht="19.5" customHeight="1">
      <c r="A40" s="18" t="s">
        <v>1585</v>
      </c>
      <c r="B40" s="1434"/>
      <c r="C40" s="1386"/>
      <c r="D40" s="1422"/>
      <c r="E40" s="1423"/>
      <c r="F40" s="984"/>
      <c r="G40" s="1389"/>
      <c r="H40" s="984"/>
      <c r="I40" s="1389"/>
      <c r="J40" s="1433"/>
      <c r="K40" s="1419"/>
      <c r="L40" s="503"/>
      <c r="M40" s="834"/>
      <c r="N40" s="1349"/>
      <c r="O40" s="1350"/>
      <c r="P40" s="1351">
        <f t="shared" si="0"/>
        <v>0</v>
      </c>
      <c r="Q40" s="1352">
        <f t="shared" si="1"/>
        <v>0</v>
      </c>
      <c r="R40" s="1353">
        <f t="shared" si="2"/>
        <v>0</v>
      </c>
      <c r="S40" s="1354">
        <f t="shared" si="3"/>
        <v>0</v>
      </c>
      <c r="T40" s="1355">
        <f t="shared" si="4"/>
        <v>0</v>
      </c>
      <c r="U40" s="1356">
        <f t="shared" si="5"/>
        <v>0</v>
      </c>
      <c r="V40" s="1357">
        <f t="shared" si="6"/>
        <v>0</v>
      </c>
      <c r="W40" s="503"/>
      <c r="X40" s="834"/>
      <c r="Y40" s="503"/>
      <c r="Z40" s="1410"/>
      <c r="AA40" s="503"/>
      <c r="AB40" s="1410"/>
      <c r="AC40" s="1429"/>
      <c r="AD40" s="1427"/>
      <c r="AE40" s="503"/>
      <c r="AF40" s="834"/>
      <c r="AG40" s="1429"/>
      <c r="AH40" s="834"/>
      <c r="AI40" s="503"/>
      <c r="AJ40" s="834"/>
      <c r="AK40" s="503"/>
      <c r="AL40" s="834"/>
      <c r="AM40" s="503"/>
      <c r="AN40" s="1410"/>
      <c r="AO40" s="503"/>
      <c r="AP40" s="1410"/>
      <c r="AQ40" s="1275" t="e">
        <f t="shared" si="7"/>
        <v>#DIV/0!</v>
      </c>
      <c r="AR40" s="1369" t="str">
        <f t="shared" si="8"/>
        <v/>
      </c>
      <c r="AS40" s="1270" t="str">
        <f t="shared" si="9"/>
        <v/>
      </c>
      <c r="AT40" s="1270" t="str">
        <f t="shared" si="10"/>
        <v/>
      </c>
      <c r="AU40" s="1270" t="str">
        <f t="shared" si="11"/>
        <v/>
      </c>
      <c r="AV40" s="1270" t="str">
        <f t="shared" si="12"/>
        <v/>
      </c>
      <c r="AW40" s="1270" t="str">
        <f t="shared" si="13"/>
        <v/>
      </c>
      <c r="AX40" s="1270" t="str">
        <f t="shared" si="14"/>
        <v/>
      </c>
      <c r="AY40" s="1270" t="str">
        <f t="shared" si="15"/>
        <v/>
      </c>
      <c r="AZ40" s="1270" t="str">
        <f t="shared" si="16"/>
        <v/>
      </c>
      <c r="BA40" s="1270" t="str">
        <f t="shared" si="17"/>
        <v/>
      </c>
      <c r="BB40" s="1371">
        <f t="shared" si="18"/>
        <v>0</v>
      </c>
      <c r="BC40" s="1369" t="str">
        <f t="shared" si="19"/>
        <v/>
      </c>
      <c r="BD40" s="626" t="str">
        <f t="shared" si="20"/>
        <v/>
      </c>
      <c r="BE40" s="1270" t="str">
        <f t="shared" si="21"/>
        <v/>
      </c>
      <c r="BF40" s="626" t="str">
        <f t="shared" si="22"/>
        <v/>
      </c>
      <c r="BG40" s="626" t="str">
        <f t="shared" si="23"/>
        <v/>
      </c>
      <c r="BH40" s="626" t="str">
        <f t="shared" si="24"/>
        <v/>
      </c>
      <c r="BI40" s="626" t="str">
        <f t="shared" si="25"/>
        <v/>
      </c>
      <c r="BJ40" s="626" t="str">
        <f t="shared" si="26"/>
        <v/>
      </c>
      <c r="BK40" s="626" t="str">
        <f t="shared" si="27"/>
        <v/>
      </c>
      <c r="BL40" s="626" t="str">
        <f t="shared" si="28"/>
        <v/>
      </c>
      <c r="BM40" s="1420">
        <f t="shared" si="29"/>
        <v>0</v>
      </c>
      <c r="BN40" s="1372">
        <f t="shared" si="30"/>
        <v>0</v>
      </c>
      <c r="BO40" s="1372">
        <f t="shared" si="31"/>
        <v>0</v>
      </c>
      <c r="BP40" s="1372">
        <f t="shared" si="32"/>
        <v>0</v>
      </c>
      <c r="BQ40" s="1374">
        <f t="shared" si="33"/>
        <v>0</v>
      </c>
      <c r="BR40" s="1251">
        <f t="shared" si="34"/>
        <v>0</v>
      </c>
      <c r="BS40" s="1403">
        <f t="shared" si="35"/>
        <v>0</v>
      </c>
      <c r="BT40" s="1372">
        <f t="shared" si="36"/>
        <v>0</v>
      </c>
      <c r="BU40" s="1372">
        <f t="shared" si="37"/>
        <v>0</v>
      </c>
      <c r="BV40" s="1372">
        <f t="shared" si="38"/>
        <v>0</v>
      </c>
      <c r="BW40" s="1372">
        <f t="shared" si="39"/>
        <v>0</v>
      </c>
      <c r="BX40" s="1372">
        <f t="shared" si="40"/>
        <v>0</v>
      </c>
      <c r="BY40" s="1372">
        <f t="shared" si="41"/>
        <v>0</v>
      </c>
      <c r="BZ40" s="1372">
        <f t="shared" si="42"/>
        <v>0</v>
      </c>
      <c r="CA40" s="1372">
        <f t="shared" si="43"/>
        <v>0</v>
      </c>
      <c r="CB40" s="1404">
        <f t="shared" si="44"/>
        <v>0</v>
      </c>
      <c r="CC40" s="1374">
        <f t="shared" si="98"/>
        <v>0</v>
      </c>
      <c r="CD40" s="1374">
        <f t="shared" si="45"/>
        <v>0</v>
      </c>
      <c r="CE40" s="1374">
        <f t="shared" si="46"/>
        <v>0</v>
      </c>
      <c r="CF40" s="1378">
        <f t="shared" si="47"/>
        <v>0</v>
      </c>
      <c r="CG40" s="1378">
        <f t="shared" si="48"/>
        <v>0</v>
      </c>
      <c r="CH40" s="1378">
        <f t="shared" si="49"/>
        <v>0</v>
      </c>
      <c r="CI40" s="1374">
        <f t="shared" si="50"/>
        <v>0</v>
      </c>
      <c r="CJ40" s="1374">
        <f t="shared" si="51"/>
        <v>0</v>
      </c>
      <c r="CK40" s="1374" t="str">
        <f t="shared" si="52"/>
        <v/>
      </c>
      <c r="CL40" s="1374">
        <f t="shared" si="53"/>
        <v>0</v>
      </c>
      <c r="CM40" s="1379">
        <f t="shared" si="54"/>
        <v>0</v>
      </c>
      <c r="CN40" s="628">
        <f>(BS40*Pricing!F$3+BT40*Pricing!G$3+BU40*Pricing!H$3+BV40*Pricing!I$3+BW40*Pricing!J$3+BX40*Pricing!K$3+BY40*Pricing!L$3+BZ40*Pricing!M$3+CA40*Pricing!N$3+CB40*Pricing!O$3)*IF(W$44="N",(1+Y$44),1)</f>
        <v>0</v>
      </c>
      <c r="CO40" s="628">
        <f t="shared" si="55"/>
        <v>0</v>
      </c>
      <c r="CP40" s="1380">
        <f t="shared" si="56"/>
        <v>0</v>
      </c>
      <c r="CQ40" s="628">
        <f t="shared" si="57"/>
        <v>0</v>
      </c>
      <c r="CR40" s="628">
        <f t="shared" si="58"/>
        <v>0</v>
      </c>
      <c r="CS40" s="628"/>
      <c r="CT40" s="1381">
        <f t="shared" si="59"/>
        <v>0</v>
      </c>
      <c r="CU40" s="628">
        <f t="shared" si="60"/>
        <v>0</v>
      </c>
      <c r="CV40" s="628">
        <f t="shared" si="61"/>
        <v>0</v>
      </c>
      <c r="CW40" s="628">
        <f t="shared" si="62"/>
        <v>0</v>
      </c>
      <c r="CX40" s="628">
        <f t="shared" si="63"/>
        <v>0</v>
      </c>
      <c r="CY40" s="628">
        <f t="shared" si="64"/>
        <v>0</v>
      </c>
      <c r="CZ40" s="628">
        <f t="shared" si="65"/>
        <v>0</v>
      </c>
      <c r="DA40" s="628">
        <f t="shared" si="66"/>
        <v>0</v>
      </c>
      <c r="DB40" s="628">
        <f t="shared" si="67"/>
        <v>0</v>
      </c>
      <c r="DC40" s="628">
        <f t="shared" si="68"/>
        <v>0</v>
      </c>
      <c r="DD40" s="628">
        <f t="shared" si="69"/>
        <v>0</v>
      </c>
      <c r="DE40" s="1382">
        <f t="shared" si="70"/>
        <v>0</v>
      </c>
      <c r="DF40" s="626">
        <f t="shared" si="71"/>
        <v>0</v>
      </c>
      <c r="DG40" s="626">
        <f t="shared" si="72"/>
        <v>0</v>
      </c>
      <c r="DH40" s="626">
        <f t="shared" si="73"/>
        <v>0</v>
      </c>
      <c r="DI40" s="626">
        <f t="shared" si="74"/>
        <v>0</v>
      </c>
      <c r="DJ40" s="626">
        <f t="shared" si="75"/>
        <v>0</v>
      </c>
      <c r="DK40" s="626">
        <f t="shared" si="76"/>
        <v>0</v>
      </c>
      <c r="DL40" s="626">
        <f t="shared" si="77"/>
        <v>0</v>
      </c>
      <c r="DM40" s="626">
        <f t="shared" si="78"/>
        <v>0</v>
      </c>
      <c r="DN40" s="626">
        <f t="shared" si="79"/>
        <v>0</v>
      </c>
      <c r="DO40" s="626">
        <f t="shared" si="80"/>
        <v>0</v>
      </c>
      <c r="DP40" s="1405">
        <f t="shared" si="81"/>
        <v>0</v>
      </c>
      <c r="DQ40" s="1270" t="str">
        <f t="shared" si="82"/>
        <v/>
      </c>
      <c r="DR40" s="1270" t="str">
        <f t="shared" si="83"/>
        <v/>
      </c>
      <c r="DS40" s="1270" t="str">
        <f t="shared" si="84"/>
        <v/>
      </c>
      <c r="DT40" s="1270" t="str">
        <f t="shared" si="85"/>
        <v/>
      </c>
      <c r="DU40" s="1270" t="str">
        <f t="shared" si="86"/>
        <v/>
      </c>
      <c r="DV40" s="1270" t="str">
        <f t="shared" si="87"/>
        <v/>
      </c>
      <c r="DW40" s="1270" t="str">
        <f t="shared" si="88"/>
        <v/>
      </c>
      <c r="DX40" s="1371">
        <f t="shared" si="89"/>
        <v>0</v>
      </c>
      <c r="DY40" s="1270" t="str">
        <f t="shared" si="90"/>
        <v/>
      </c>
      <c r="DZ40" s="1270" t="str">
        <f t="shared" si="91"/>
        <v/>
      </c>
      <c r="EA40" s="1270" t="str">
        <f t="shared" si="92"/>
        <v/>
      </c>
      <c r="EB40" s="1270" t="str">
        <f t="shared" si="93"/>
        <v/>
      </c>
      <c r="EC40" s="1270" t="str">
        <f t="shared" si="94"/>
        <v/>
      </c>
      <c r="ED40" s="1270" t="str">
        <f t="shared" si="95"/>
        <v/>
      </c>
      <c r="EE40" s="1270" t="str">
        <f t="shared" si="96"/>
        <v/>
      </c>
      <c r="EF40" s="1371">
        <f t="shared" si="97"/>
        <v>0</v>
      </c>
    </row>
    <row r="41" spans="1:136" ht="19.5" customHeight="1">
      <c r="A41" s="18" t="s">
        <v>1586</v>
      </c>
      <c r="B41" s="1435"/>
      <c r="C41" s="1436"/>
      <c r="D41" s="1437"/>
      <c r="E41" s="1438"/>
      <c r="F41" s="1439"/>
      <c r="G41" s="1440"/>
      <c r="H41" s="1441"/>
      <c r="I41" s="1442"/>
      <c r="J41" s="1443"/>
      <c r="K41" s="1444"/>
      <c r="L41" s="1441"/>
      <c r="M41" s="1445"/>
      <c r="N41" s="1446"/>
      <c r="O41" s="1447"/>
      <c r="P41" s="1448">
        <f t="shared" si="0"/>
        <v>0</v>
      </c>
      <c r="Q41" s="1449">
        <f t="shared" si="1"/>
        <v>0</v>
      </c>
      <c r="R41" s="1450">
        <f t="shared" si="2"/>
        <v>0</v>
      </c>
      <c r="S41" s="1354">
        <f t="shared" si="3"/>
        <v>0</v>
      </c>
      <c r="T41" s="1355">
        <f t="shared" si="4"/>
        <v>0</v>
      </c>
      <c r="U41" s="1356">
        <f t="shared" si="5"/>
        <v>0</v>
      </c>
      <c r="V41" s="1357">
        <f t="shared" si="6"/>
        <v>0</v>
      </c>
      <c r="W41" s="1441"/>
      <c r="X41" s="1445"/>
      <c r="Y41" s="1441"/>
      <c r="Z41" s="1451"/>
      <c r="AA41" s="1441"/>
      <c r="AB41" s="1451"/>
      <c r="AC41" s="1441"/>
      <c r="AD41" s="1445"/>
      <c r="AE41" s="1441"/>
      <c r="AF41" s="1445"/>
      <c r="AG41" s="1441"/>
      <c r="AH41" s="1445"/>
      <c r="AI41" s="1441"/>
      <c r="AJ41" s="1445"/>
      <c r="AK41" s="1441"/>
      <c r="AL41" s="1445"/>
      <c r="AM41" s="1441"/>
      <c r="AN41" s="1451"/>
      <c r="AO41" s="1441"/>
      <c r="AP41" s="1451"/>
      <c r="AQ41" s="1275" t="e">
        <f t="shared" si="7"/>
        <v>#DIV/0!</v>
      </c>
      <c r="AR41" s="1369" t="str">
        <f t="shared" si="8"/>
        <v/>
      </c>
      <c r="AS41" s="1452" t="str">
        <f t="shared" si="9"/>
        <v/>
      </c>
      <c r="AT41" s="1452" t="str">
        <f t="shared" si="10"/>
        <v/>
      </c>
      <c r="AU41" s="1452" t="str">
        <f t="shared" si="11"/>
        <v/>
      </c>
      <c r="AV41" s="1452" t="str">
        <f t="shared" si="12"/>
        <v/>
      </c>
      <c r="AW41" s="1452" t="str">
        <f t="shared" si="13"/>
        <v/>
      </c>
      <c r="AX41" s="1452" t="str">
        <f t="shared" si="14"/>
        <v/>
      </c>
      <c r="AY41" s="1452" t="str">
        <f t="shared" si="15"/>
        <v/>
      </c>
      <c r="AZ41" s="1452" t="str">
        <f t="shared" si="16"/>
        <v/>
      </c>
      <c r="BA41" s="1452" t="str">
        <f t="shared" si="17"/>
        <v/>
      </c>
      <c r="BB41" s="1453">
        <f t="shared" si="18"/>
        <v>0</v>
      </c>
      <c r="BC41" s="1454" t="str">
        <f t="shared" si="19"/>
        <v/>
      </c>
      <c r="BD41" s="693" t="str">
        <f t="shared" si="20"/>
        <v/>
      </c>
      <c r="BE41" s="1452" t="str">
        <f t="shared" si="21"/>
        <v/>
      </c>
      <c r="BF41" s="693" t="str">
        <f t="shared" si="22"/>
        <v/>
      </c>
      <c r="BG41" s="693" t="str">
        <f t="shared" si="23"/>
        <v/>
      </c>
      <c r="BH41" s="693" t="str">
        <f t="shared" si="24"/>
        <v/>
      </c>
      <c r="BI41" s="693" t="str">
        <f t="shared" si="25"/>
        <v/>
      </c>
      <c r="BJ41" s="693" t="str">
        <f t="shared" si="26"/>
        <v/>
      </c>
      <c r="BK41" s="693" t="str">
        <f t="shared" si="27"/>
        <v/>
      </c>
      <c r="BL41" s="693" t="str">
        <f t="shared" si="28"/>
        <v/>
      </c>
      <c r="BM41" s="1455">
        <f t="shared" si="29"/>
        <v>0</v>
      </c>
      <c r="BN41" s="1372">
        <f t="shared" si="30"/>
        <v>0</v>
      </c>
      <c r="BO41" s="1372">
        <f t="shared" si="31"/>
        <v>0</v>
      </c>
      <c r="BP41" s="1372">
        <f t="shared" si="32"/>
        <v>0</v>
      </c>
      <c r="BQ41" s="1374">
        <f t="shared" si="33"/>
        <v>0</v>
      </c>
      <c r="BR41" s="1251">
        <f t="shared" si="34"/>
        <v>0</v>
      </c>
      <c r="BS41" s="1456">
        <f t="shared" si="35"/>
        <v>0</v>
      </c>
      <c r="BT41" s="1457">
        <f t="shared" si="36"/>
        <v>0</v>
      </c>
      <c r="BU41" s="1457">
        <f t="shared" si="37"/>
        <v>0</v>
      </c>
      <c r="BV41" s="1457">
        <f t="shared" si="38"/>
        <v>0</v>
      </c>
      <c r="BW41" s="1457">
        <f t="shared" si="39"/>
        <v>0</v>
      </c>
      <c r="BX41" s="1457">
        <f t="shared" si="40"/>
        <v>0</v>
      </c>
      <c r="BY41" s="1457">
        <f t="shared" si="41"/>
        <v>0</v>
      </c>
      <c r="BZ41" s="1457">
        <f t="shared" si="42"/>
        <v>0</v>
      </c>
      <c r="CA41" s="1457">
        <f t="shared" si="43"/>
        <v>0</v>
      </c>
      <c r="CB41" s="1458">
        <f t="shared" si="44"/>
        <v>0</v>
      </c>
      <c r="CC41" s="1374">
        <f t="shared" si="98"/>
        <v>0</v>
      </c>
      <c r="CD41" s="1374">
        <f t="shared" si="45"/>
        <v>0</v>
      </c>
      <c r="CE41" s="1374">
        <f t="shared" si="46"/>
        <v>0</v>
      </c>
      <c r="CF41" s="1378">
        <f t="shared" si="47"/>
        <v>0</v>
      </c>
      <c r="CG41" s="1378">
        <f t="shared" si="48"/>
        <v>0</v>
      </c>
      <c r="CH41" s="1378">
        <f t="shared" si="49"/>
        <v>0</v>
      </c>
      <c r="CI41" s="1374">
        <f t="shared" si="50"/>
        <v>0</v>
      </c>
      <c r="CJ41" s="1374">
        <f t="shared" si="51"/>
        <v>0</v>
      </c>
      <c r="CK41" s="1374" t="str">
        <f t="shared" si="52"/>
        <v/>
      </c>
      <c r="CL41" s="1374">
        <f t="shared" si="53"/>
        <v>0</v>
      </c>
      <c r="CM41" s="1379">
        <f t="shared" si="54"/>
        <v>0</v>
      </c>
      <c r="CN41" s="628">
        <f>(BS41*Pricing!F$3+BT41*Pricing!G$3+BU41*Pricing!H$3+BV41*Pricing!I$3+BW41*Pricing!J$3+BX41*Pricing!K$3+BY41*Pricing!L$3+BZ41*Pricing!M$3+CA41*Pricing!N$3+CB41*Pricing!O$3)*IF(W$44="N",(1+Y$44),1)</f>
        <v>0</v>
      </c>
      <c r="CO41" s="628">
        <f t="shared" si="55"/>
        <v>0</v>
      </c>
      <c r="CP41" s="1380">
        <f t="shared" si="56"/>
        <v>0</v>
      </c>
      <c r="CQ41" s="628">
        <f t="shared" si="57"/>
        <v>0</v>
      </c>
      <c r="CR41" s="628">
        <f t="shared" si="58"/>
        <v>0</v>
      </c>
      <c r="CS41" s="628"/>
      <c r="CT41" s="1381">
        <f t="shared" si="59"/>
        <v>0</v>
      </c>
      <c r="CU41" s="628">
        <f t="shared" si="60"/>
        <v>0</v>
      </c>
      <c r="CV41" s="628">
        <f t="shared" si="61"/>
        <v>0</v>
      </c>
      <c r="CW41" s="628">
        <f t="shared" si="62"/>
        <v>0</v>
      </c>
      <c r="CX41" s="628">
        <f t="shared" si="63"/>
        <v>0</v>
      </c>
      <c r="CY41" s="628">
        <f t="shared" si="64"/>
        <v>0</v>
      </c>
      <c r="CZ41" s="628">
        <f t="shared" si="65"/>
        <v>0</v>
      </c>
      <c r="DA41" s="628">
        <f t="shared" si="66"/>
        <v>0</v>
      </c>
      <c r="DB41" s="628">
        <f t="shared" si="67"/>
        <v>0</v>
      </c>
      <c r="DC41" s="628">
        <f t="shared" si="68"/>
        <v>0</v>
      </c>
      <c r="DD41" s="628">
        <f t="shared" si="69"/>
        <v>0</v>
      </c>
      <c r="DE41" s="1382">
        <f t="shared" si="70"/>
        <v>0</v>
      </c>
      <c r="DF41" s="626">
        <f t="shared" si="71"/>
        <v>0</v>
      </c>
      <c r="DG41" s="626">
        <f t="shared" si="72"/>
        <v>0</v>
      </c>
      <c r="DH41" s="626">
        <f t="shared" si="73"/>
        <v>0</v>
      </c>
      <c r="DI41" s="626">
        <f t="shared" si="74"/>
        <v>0</v>
      </c>
      <c r="DJ41" s="626">
        <f t="shared" si="75"/>
        <v>0</v>
      </c>
      <c r="DK41" s="626">
        <f t="shared" si="76"/>
        <v>0</v>
      </c>
      <c r="DL41" s="626">
        <f t="shared" si="77"/>
        <v>0</v>
      </c>
      <c r="DM41" s="626">
        <f t="shared" si="78"/>
        <v>0</v>
      </c>
      <c r="DN41" s="626">
        <f t="shared" si="79"/>
        <v>0</v>
      </c>
      <c r="DO41" s="626">
        <f t="shared" si="80"/>
        <v>0</v>
      </c>
      <c r="DP41" s="1405">
        <f t="shared" si="81"/>
        <v>0</v>
      </c>
      <c r="DQ41" s="1270" t="str">
        <f t="shared" si="82"/>
        <v/>
      </c>
      <c r="DR41" s="1270" t="str">
        <f t="shared" si="83"/>
        <v/>
      </c>
      <c r="DS41" s="1270" t="str">
        <f t="shared" si="84"/>
        <v/>
      </c>
      <c r="DT41" s="1270" t="str">
        <f t="shared" si="85"/>
        <v/>
      </c>
      <c r="DU41" s="1270" t="str">
        <f t="shared" si="86"/>
        <v/>
      </c>
      <c r="DV41" s="1270" t="str">
        <f t="shared" si="87"/>
        <v/>
      </c>
      <c r="DW41" s="1270" t="str">
        <f t="shared" si="88"/>
        <v/>
      </c>
      <c r="DX41" s="1371">
        <f t="shared" si="89"/>
        <v>0</v>
      </c>
      <c r="DY41" s="1270" t="str">
        <f t="shared" si="90"/>
        <v/>
      </c>
      <c r="DZ41" s="1270" t="str">
        <f t="shared" si="91"/>
        <v/>
      </c>
      <c r="EA41" s="1270" t="str">
        <f t="shared" si="92"/>
        <v/>
      </c>
      <c r="EB41" s="1270" t="str">
        <f t="shared" si="93"/>
        <v/>
      </c>
      <c r="EC41" s="1270" t="str">
        <f t="shared" si="94"/>
        <v/>
      </c>
      <c r="ED41" s="1270" t="str">
        <f t="shared" si="95"/>
        <v/>
      </c>
      <c r="EE41" s="1270" t="str">
        <f t="shared" si="96"/>
        <v/>
      </c>
      <c r="EF41" s="1371">
        <f t="shared" si="97"/>
        <v>0</v>
      </c>
    </row>
    <row r="42" spans="1:136" ht="34.5" customHeight="1">
      <c r="C42" s="7" t="s">
        <v>1587</v>
      </c>
      <c r="D42" s="3035">
        <f>CI42</f>
        <v>62723</v>
      </c>
      <c r="E42" s="3035"/>
      <c r="G42" s="380">
        <f>SUM(G10:G41)</f>
        <v>17</v>
      </c>
      <c r="H42" s="626"/>
      <c r="I42" s="626"/>
      <c r="J42" s="626"/>
      <c r="K42" s="1459">
        <f>SUM(K10:K41)</f>
        <v>4890</v>
      </c>
      <c r="L42" s="626"/>
      <c r="M42" s="626"/>
      <c r="N42" s="626"/>
      <c r="O42" s="1373">
        <f>SUM(O10:O41)</f>
        <v>0</v>
      </c>
      <c r="P42" s="626"/>
      <c r="Q42" s="1460">
        <f>SUM(Q10:Q41)</f>
        <v>2205.1958641975316</v>
      </c>
      <c r="R42" s="1461">
        <f>S42-E45</f>
        <v>0</v>
      </c>
      <c r="S42" s="628">
        <f>SUM(S10:S41)</f>
        <v>812030.95086746593</v>
      </c>
      <c r="T42" s="628"/>
      <c r="U42" s="1462">
        <f>SUM(U10:U41)</f>
        <v>44108.961344382973</v>
      </c>
      <c r="V42" s="628"/>
      <c r="W42" s="1254"/>
      <c r="X42" s="1463" t="s">
        <v>1588</v>
      </c>
      <c r="Y42" s="1464"/>
      <c r="Z42" s="1373"/>
      <c r="AA42" s="1254"/>
      <c r="AB42" s="1254"/>
      <c r="AC42" s="627"/>
      <c r="AD42" s="1465"/>
      <c r="AE42" s="229"/>
      <c r="AF42" s="229"/>
      <c r="AG42" s="976"/>
      <c r="AH42" s="976"/>
      <c r="AI42" s="976"/>
      <c r="AJ42" s="976"/>
      <c r="AK42" s="976"/>
      <c r="AL42" s="693"/>
      <c r="AM42" s="1132"/>
      <c r="AN42" s="626"/>
      <c r="AO42" s="626"/>
      <c r="AP42" s="626"/>
      <c r="AQ42" s="626"/>
      <c r="AR42" s="626"/>
      <c r="AS42" s="626"/>
      <c r="AT42" s="626"/>
      <c r="AU42" s="626"/>
      <c r="AV42" s="626"/>
      <c r="AW42" s="626"/>
      <c r="AX42" s="626"/>
      <c r="AY42" s="626"/>
      <c r="AZ42" s="626"/>
      <c r="BA42" s="626"/>
      <c r="BB42" s="1372">
        <f>SUM(BB10:BB41)</f>
        <v>1384.3763580246912</v>
      </c>
      <c r="BC42" s="626"/>
      <c r="BD42" s="626"/>
      <c r="BE42" s="626"/>
      <c r="BF42" s="626"/>
      <c r="BG42" s="626"/>
      <c r="BH42" s="626"/>
      <c r="BI42" s="626"/>
      <c r="BJ42" s="626"/>
      <c r="BK42" s="626"/>
      <c r="BL42" s="626"/>
      <c r="BM42" s="1372">
        <f>SUM(BM10:BM41)</f>
        <v>65771.057336505473</v>
      </c>
      <c r="BN42" s="1373">
        <f>SUM(BN10:BN41)</f>
        <v>66062.011344382976</v>
      </c>
      <c r="BO42" s="1372">
        <f>SUM(BO10:BO41)</f>
        <v>290.95400787750003</v>
      </c>
      <c r="BP42" s="626">
        <f>SUM(BP10:BP41)</f>
        <v>0</v>
      </c>
      <c r="BQ42" s="1374">
        <f>SUM(BQ10:BQ41)/2</f>
        <v>8.5</v>
      </c>
      <c r="BR42" s="1374">
        <f t="shared" ref="BR42:DC42" si="99">SUM(BR10:BR41)</f>
        <v>0</v>
      </c>
      <c r="BS42" s="1270">
        <f t="shared" si="99"/>
        <v>2205.1958641975316</v>
      </c>
      <c r="BT42" s="1270">
        <f t="shared" si="99"/>
        <v>0</v>
      </c>
      <c r="BU42" s="1270">
        <f t="shared" si="99"/>
        <v>0</v>
      </c>
      <c r="BV42" s="1270">
        <f t="shared" si="99"/>
        <v>0</v>
      </c>
      <c r="BW42" s="1270">
        <f t="shared" si="99"/>
        <v>0</v>
      </c>
      <c r="BX42" s="1270">
        <f t="shared" si="99"/>
        <v>0</v>
      </c>
      <c r="BY42" s="1270">
        <f t="shared" si="99"/>
        <v>0</v>
      </c>
      <c r="BZ42" s="1270">
        <f t="shared" si="99"/>
        <v>0</v>
      </c>
      <c r="CA42" s="1270">
        <f t="shared" si="99"/>
        <v>0</v>
      </c>
      <c r="CB42" s="1270">
        <f t="shared" si="99"/>
        <v>0</v>
      </c>
      <c r="CC42" s="1270">
        <f t="shared" si="99"/>
        <v>2205.1958641975316</v>
      </c>
      <c r="CD42" s="1270">
        <f t="shared" si="99"/>
        <v>62723</v>
      </c>
      <c r="CE42" s="1270">
        <f t="shared" si="99"/>
        <v>4890</v>
      </c>
      <c r="CF42" s="1270">
        <f t="shared" si="99"/>
        <v>865</v>
      </c>
      <c r="CG42" s="1270">
        <f t="shared" si="99"/>
        <v>0</v>
      </c>
      <c r="CH42" s="1373">
        <f t="shared" si="99"/>
        <v>0</v>
      </c>
      <c r="CI42" s="1373">
        <f t="shared" si="99"/>
        <v>62723</v>
      </c>
      <c r="CJ42" s="1373">
        <f t="shared" si="99"/>
        <v>387.17901234567898</v>
      </c>
      <c r="CK42" s="1373">
        <f t="shared" si="99"/>
        <v>0</v>
      </c>
      <c r="CL42" s="1373">
        <f t="shared" si="99"/>
        <v>66062.011344382976</v>
      </c>
      <c r="CM42" s="1466">
        <f t="shared" si="99"/>
        <v>706113.87031953549</v>
      </c>
      <c r="CN42" s="1467">
        <f t="shared" si="99"/>
        <v>319874.68608117284</v>
      </c>
      <c r="CO42" s="1467">
        <f t="shared" si="99"/>
        <v>42907.276368176732</v>
      </c>
      <c r="CP42" s="1468">
        <f t="shared" si="99"/>
        <v>0</v>
      </c>
      <c r="CQ42" s="1469">
        <f t="shared" si="99"/>
        <v>116037.55</v>
      </c>
      <c r="CR42" s="1469">
        <f t="shared" si="99"/>
        <v>6920</v>
      </c>
      <c r="CS42" s="1469">
        <f t="shared" si="99"/>
        <v>0</v>
      </c>
      <c r="CT42" s="1470">
        <f t="shared" si="99"/>
        <v>8821.7922688765939</v>
      </c>
      <c r="CU42" s="1470">
        <f t="shared" si="99"/>
        <v>0</v>
      </c>
      <c r="CV42" s="1467">
        <f t="shared" si="99"/>
        <v>19894.951562499995</v>
      </c>
      <c r="CW42" s="1467">
        <f t="shared" si="99"/>
        <v>50230.940697737999</v>
      </c>
      <c r="CX42" s="1467">
        <f t="shared" si="99"/>
        <v>33747.75</v>
      </c>
      <c r="CY42" s="1467">
        <f t="shared" si="99"/>
        <v>35283.133827160498</v>
      </c>
      <c r="CZ42" s="1467">
        <f t="shared" si="99"/>
        <v>4204.7571173058914</v>
      </c>
      <c r="DA42" s="1467">
        <f t="shared" si="99"/>
        <v>57713.000375000003</v>
      </c>
      <c r="DB42" s="1467">
        <f t="shared" si="99"/>
        <v>0</v>
      </c>
      <c r="DC42" s="1467">
        <f t="shared" si="99"/>
        <v>0</v>
      </c>
      <c r="DD42" s="1467">
        <f>SUM(DC10:DD41)</f>
        <v>10478.032021604939</v>
      </c>
      <c r="DE42" s="1471">
        <f>SUM(DE10:DE41)</f>
        <v>0</v>
      </c>
      <c r="DF42" s="1472">
        <f>SUM(DF10:DF41)</f>
        <v>1730</v>
      </c>
      <c r="DG42" s="1472">
        <f>SUM(DG10:DG41)</f>
        <v>0</v>
      </c>
      <c r="DH42" s="1472"/>
      <c r="DI42" s="1472">
        <f t="shared" ref="DI42:DP42" si="100">SUM(DI10:DI41)</f>
        <v>25210.666666666661</v>
      </c>
      <c r="DJ42" s="1472">
        <f t="shared" si="100"/>
        <v>45140</v>
      </c>
      <c r="DK42" s="1472">
        <f t="shared" si="100"/>
        <v>4505</v>
      </c>
      <c r="DL42" s="1472">
        <f t="shared" si="100"/>
        <v>0</v>
      </c>
      <c r="DM42" s="1472">
        <f t="shared" si="100"/>
        <v>4426.666666666667</v>
      </c>
      <c r="DN42" s="1472">
        <f t="shared" si="100"/>
        <v>0</v>
      </c>
      <c r="DO42" s="1472">
        <f t="shared" si="100"/>
        <v>0</v>
      </c>
      <c r="DP42" s="1473">
        <f t="shared" si="100"/>
        <v>62723</v>
      </c>
      <c r="DQ42" s="626"/>
      <c r="DR42" s="626"/>
      <c r="DS42" s="626"/>
      <c r="DT42" s="626"/>
      <c r="DU42" s="626"/>
      <c r="DV42" s="626"/>
      <c r="DW42" s="626"/>
      <c r="DX42" s="626"/>
      <c r="DY42" s="626"/>
    </row>
    <row r="43" spans="1:136" ht="19.5" customHeight="1">
      <c r="B43" s="888"/>
      <c r="C43" s="889"/>
      <c r="D43" s="890" t="s">
        <v>1261</v>
      </c>
      <c r="E43" s="3036"/>
      <c r="F43" s="3036"/>
      <c r="G43" s="889"/>
      <c r="H43" s="889"/>
      <c r="I43" s="889"/>
      <c r="J43" s="889"/>
      <c r="K43" s="889"/>
      <c r="L43" s="891"/>
      <c r="M43" s="889"/>
      <c r="N43" s="889"/>
      <c r="O43" s="889"/>
      <c r="P43" s="889"/>
      <c r="Q43" s="1474"/>
      <c r="R43" s="1474"/>
      <c r="S43" s="889"/>
      <c r="T43" s="889"/>
      <c r="U43" s="889"/>
      <c r="V43" s="889"/>
      <c r="W43" s="889"/>
      <c r="X43" s="889"/>
      <c r="Y43" s="889"/>
      <c r="Z43" s="1475"/>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H43" s="626"/>
      <c r="BI43" s="626"/>
      <c r="BJ43" s="626"/>
      <c r="BK43" s="626"/>
      <c r="BL43" s="626"/>
      <c r="BM43" s="626"/>
      <c r="BN43" s="626"/>
      <c r="BO43" s="626"/>
      <c r="BP43" s="626"/>
      <c r="BQ43" s="626"/>
      <c r="BR43" s="626"/>
      <c r="BS43" s="626"/>
      <c r="BT43" s="626"/>
      <c r="BU43" s="626"/>
      <c r="BV43" s="626"/>
      <c r="BW43" s="626"/>
      <c r="BX43" s="626"/>
      <c r="BY43" s="626"/>
      <c r="BZ43" s="626"/>
      <c r="CA43" s="626"/>
      <c r="CB43" s="626"/>
      <c r="CC43" s="626"/>
      <c r="CD43" s="626"/>
      <c r="CE43" s="626"/>
      <c r="CF43" s="626"/>
      <c r="CG43" s="626"/>
      <c r="CH43" s="626"/>
      <c r="CI43" s="626"/>
      <c r="CJ43" s="626"/>
      <c r="CK43" s="626"/>
      <c r="CL43" s="626"/>
      <c r="CM43" s="927">
        <f>SUM(CN43:DE43)</f>
        <v>706113.87031953549</v>
      </c>
      <c r="CN43" s="927">
        <f>O65+O66+O69</f>
        <v>319874.68608117296</v>
      </c>
      <c r="CO43" s="927">
        <f>O70</f>
        <v>42907.276368176746</v>
      </c>
      <c r="CP43" s="927">
        <f>O84</f>
        <v>0</v>
      </c>
      <c r="CQ43" s="927">
        <f>SUM(O79:P85)-O83-O84+O88</f>
        <v>116037.55</v>
      </c>
      <c r="CR43" s="927">
        <f>O83</f>
        <v>6920</v>
      </c>
      <c r="CS43" s="927"/>
      <c r="CT43" s="927">
        <f>O87</f>
        <v>8821.7922688765957</v>
      </c>
      <c r="CU43" s="927"/>
      <c r="CV43" s="927">
        <f>M92+O94</f>
        <v>19894.951562499999</v>
      </c>
      <c r="CW43" s="927">
        <f>SUM(Z66:Z97)</f>
        <v>50230.940697738006</v>
      </c>
      <c r="CX43" s="927">
        <f>SUM(O96:P101)</f>
        <v>33747.75</v>
      </c>
      <c r="CY43" s="927">
        <f>SUM(O103:P109)</f>
        <v>35283.133827160505</v>
      </c>
      <c r="CZ43" s="927">
        <f>Z98+Z99+Z100+Z105+Z109</f>
        <v>4204.7571173058914</v>
      </c>
      <c r="DA43" s="927">
        <f>O72</f>
        <v>57713.000374999996</v>
      </c>
      <c r="DB43" s="927">
        <f>O86</f>
        <v>0</v>
      </c>
      <c r="DC43" s="927">
        <f>O71</f>
        <v>0</v>
      </c>
      <c r="DD43" s="927">
        <f>O73</f>
        <v>10478.032021604939</v>
      </c>
      <c r="DE43" s="927">
        <f>O110</f>
        <v>0</v>
      </c>
      <c r="DF43" s="626">
        <f>AB69</f>
        <v>0</v>
      </c>
      <c r="DG43" s="626"/>
      <c r="DH43" s="626"/>
      <c r="DI43" s="626"/>
      <c r="DJ43" s="626"/>
      <c r="DK43" s="626"/>
      <c r="DL43" s="626"/>
      <c r="DM43" s="626"/>
      <c r="DN43" s="626"/>
      <c r="DO43" s="626"/>
    </row>
    <row r="44" spans="1:136" ht="18" customHeight="1">
      <c r="B44" s="1476" t="s">
        <v>1262</v>
      </c>
      <c r="C44" s="1477"/>
      <c r="D44" s="1477"/>
      <c r="E44" s="1476" t="s">
        <v>982</v>
      </c>
      <c r="F44" s="1478"/>
      <c r="G44" s="1477" t="s">
        <v>1263</v>
      </c>
      <c r="H44" s="1477"/>
      <c r="I44" s="1478"/>
      <c r="J44" s="1054" t="s">
        <v>1264</v>
      </c>
      <c r="K44" s="1055"/>
      <c r="L44" s="1056"/>
      <c r="M44" s="1057" t="s">
        <v>1265</v>
      </c>
      <c r="N44" s="1058"/>
      <c r="O44" s="1058"/>
      <c r="P44" s="1059"/>
      <c r="Q44" s="1479"/>
      <c r="R44" s="1480">
        <f>O107*(1+M45)</f>
        <v>0</v>
      </c>
      <c r="S44" s="1481" t="s">
        <v>1589</v>
      </c>
      <c r="T44" s="574" t="s">
        <v>1266</v>
      </c>
      <c r="V44" s="18" t="s">
        <v>1267</v>
      </c>
      <c r="W44" s="896" t="str">
        <f>Summary!P62</f>
        <v>N</v>
      </c>
      <c r="X44" s="793" t="s">
        <v>1268</v>
      </c>
      <c r="Y44" s="897">
        <f>Summary!R62</f>
        <v>8.2500000000000004E-2</v>
      </c>
      <c r="Z44" s="898"/>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H44" s="626"/>
      <c r="BI44" s="626"/>
      <c r="BJ44" s="626"/>
      <c r="BK44" s="626"/>
      <c r="BL44" s="626"/>
      <c r="BM44" s="626"/>
      <c r="BN44" s="626"/>
      <c r="BO44" s="626"/>
      <c r="BP44" s="626"/>
      <c r="BQ44" s="626"/>
      <c r="BR44" s="626"/>
      <c r="BS44" s="626"/>
      <c r="BT44" s="626"/>
      <c r="BU44" s="626"/>
      <c r="BV44" s="626"/>
      <c r="BW44" s="626"/>
      <c r="BX44" s="626"/>
      <c r="BY44" s="626"/>
      <c r="BZ44" s="626"/>
      <c r="CA44" s="626"/>
      <c r="CB44" s="626"/>
      <c r="CC44" s="626"/>
      <c r="CD44" s="626"/>
      <c r="CE44" s="626"/>
      <c r="CF44" s="626"/>
      <c r="CG44" s="626"/>
      <c r="CH44" s="626"/>
      <c r="CI44" s="626"/>
      <c r="CJ44" s="626"/>
      <c r="CK44" s="626"/>
      <c r="CL44" s="626"/>
      <c r="CM44" s="1482">
        <f t="shared" ref="CM44:CT44" si="101">CM42-CM43</f>
        <v>0</v>
      </c>
      <c r="CN44" s="1482">
        <f t="shared" si="101"/>
        <v>0</v>
      </c>
      <c r="CO44" s="1482">
        <f t="shared" si="101"/>
        <v>0</v>
      </c>
      <c r="CP44" s="1482">
        <f t="shared" si="101"/>
        <v>0</v>
      </c>
      <c r="CQ44" s="1482">
        <f t="shared" si="101"/>
        <v>0</v>
      </c>
      <c r="CR44" s="1482">
        <f t="shared" si="101"/>
        <v>0</v>
      </c>
      <c r="CS44" s="1482">
        <f t="shared" si="101"/>
        <v>0</v>
      </c>
      <c r="CT44" s="1482">
        <f t="shared" si="101"/>
        <v>0</v>
      </c>
      <c r="CU44" s="1482"/>
      <c r="CV44" s="1482">
        <f t="shared" ref="CV44:DE44" si="102">CV42-CV43</f>
        <v>0</v>
      </c>
      <c r="CW44" s="1482">
        <f t="shared" si="102"/>
        <v>0</v>
      </c>
      <c r="CX44" s="1482">
        <f t="shared" si="102"/>
        <v>0</v>
      </c>
      <c r="CY44" s="1482">
        <f t="shared" si="102"/>
        <v>0</v>
      </c>
      <c r="CZ44" s="1482">
        <f t="shared" si="102"/>
        <v>0</v>
      </c>
      <c r="DA44" s="1482">
        <f t="shared" si="102"/>
        <v>0</v>
      </c>
      <c r="DB44" s="1482">
        <f t="shared" si="102"/>
        <v>0</v>
      </c>
      <c r="DC44" s="1482">
        <f t="shared" si="102"/>
        <v>0</v>
      </c>
      <c r="DD44" s="1482">
        <f t="shared" si="102"/>
        <v>0</v>
      </c>
      <c r="DE44" s="1482">
        <f t="shared" si="102"/>
        <v>0</v>
      </c>
      <c r="DF44" s="626"/>
      <c r="DG44" s="626"/>
      <c r="DH44" s="626"/>
      <c r="DI44" s="626"/>
      <c r="DJ44" s="626"/>
      <c r="DK44" s="626"/>
      <c r="DL44" s="626"/>
      <c r="DM44" s="626"/>
      <c r="DN44" s="626"/>
      <c r="DO44" s="626"/>
    </row>
    <row r="45" spans="1:136" ht="18" customHeight="1">
      <c r="B45" s="899" t="s">
        <v>1269</v>
      </c>
      <c r="C45" s="3037">
        <f>IF(I79=0,0,E45/I79)</f>
        <v>12.946302805469536</v>
      </c>
      <c r="D45" s="3037"/>
      <c r="E45" s="2866">
        <f>(V45-O110)*(1+M45)</f>
        <v>812030.9508674657</v>
      </c>
      <c r="F45" s="2866"/>
      <c r="G45" s="1484">
        <f>IF(H45=0,0,H45/E45)</f>
        <v>0.13043478260869554</v>
      </c>
      <c r="H45" s="2867">
        <f>(E45-V45)</f>
        <v>105917.08054793021</v>
      </c>
      <c r="I45" s="2867"/>
      <c r="J45" s="1485">
        <f>IF(D42=0,0,V45/D42)</f>
        <v>11.257654613451772</v>
      </c>
      <c r="K45" s="1486"/>
      <c r="L45" s="1487"/>
      <c r="M45" s="1488">
        <v>0.15</v>
      </c>
      <c r="N45" s="1489"/>
      <c r="O45" s="1489"/>
      <c r="P45" s="1490"/>
      <c r="Q45" s="1479"/>
      <c r="R45" s="1480"/>
      <c r="S45" s="1491">
        <v>10</v>
      </c>
      <c r="T45" s="902" t="s">
        <v>980</v>
      </c>
      <c r="V45" s="3038">
        <f>SUM(O65:P77)+SUM(O79:P88)+SUM(L79:M88)+SUM(O91:P93)+SUM(O96:P101)+SUM(O103:P110)+Z110+O94</f>
        <v>706113.87031953549</v>
      </c>
      <c r="W45" s="3038"/>
      <c r="X45" s="903"/>
      <c r="Y45" s="18"/>
      <c r="Z45" s="898"/>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H45" s="626"/>
      <c r="BI45" s="626"/>
      <c r="BJ45" s="626"/>
      <c r="BK45" s="626"/>
      <c r="BL45" s="626"/>
      <c r="BM45" s="626"/>
      <c r="BN45" s="626"/>
      <c r="BO45" s="626"/>
      <c r="BP45" s="626"/>
      <c r="BQ45" s="626"/>
      <c r="BR45" s="626"/>
      <c r="BS45" s="626"/>
      <c r="BT45" s="626"/>
      <c r="BU45" s="626"/>
      <c r="BV45" s="626"/>
      <c r="BW45" s="626"/>
      <c r="BX45" s="626"/>
      <c r="BY45" s="626"/>
      <c r="BZ45" s="626"/>
      <c r="CA45" s="626"/>
      <c r="CB45" s="626"/>
      <c r="CC45" s="626"/>
      <c r="CD45" s="626"/>
      <c r="CE45" s="626"/>
      <c r="CF45" s="626"/>
      <c r="CG45" s="626"/>
      <c r="CH45" s="626"/>
      <c r="CI45" s="626"/>
      <c r="CJ45" s="626"/>
      <c r="CK45" s="626"/>
      <c r="CL45" s="626"/>
      <c r="CM45" s="927">
        <f>CM42*(1+M45)</f>
        <v>812030.9508674657</v>
      </c>
      <c r="CN45" s="626"/>
      <c r="CO45" s="626"/>
      <c r="CP45" s="626"/>
      <c r="CQ45" s="626"/>
      <c r="CR45" s="626"/>
      <c r="CS45" s="626"/>
      <c r="CT45" s="626"/>
      <c r="CU45" s="626"/>
      <c r="CV45" s="626"/>
      <c r="CW45" s="626"/>
      <c r="CX45" s="626"/>
      <c r="CY45" s="626"/>
      <c r="CZ45" s="626"/>
      <c r="DA45" s="626"/>
      <c r="DB45" s="626"/>
      <c r="DC45" s="626"/>
      <c r="DD45" s="626"/>
      <c r="DE45" s="626"/>
      <c r="DF45" s="626"/>
      <c r="DG45" s="626"/>
      <c r="DH45" s="626"/>
      <c r="DI45" s="626"/>
      <c r="DJ45" s="626"/>
      <c r="DK45" s="626"/>
      <c r="DL45" s="626"/>
      <c r="DM45" s="626"/>
      <c r="DN45" s="626"/>
      <c r="DO45" s="626"/>
    </row>
    <row r="46" spans="1:136" ht="18" customHeight="1">
      <c r="B46" s="1492"/>
      <c r="C46" s="892"/>
      <c r="D46" s="1493" t="str">
        <f>IF(ROUND(E46,0)=0,"BINGO!!",IF(ROUND(E46,0)&lt;0,"To Low","T0 High"))</f>
        <v>T0 High</v>
      </c>
      <c r="E46" s="3039">
        <f>E45-E43</f>
        <v>812030.9508674657</v>
      </c>
      <c r="F46" s="3039"/>
      <c r="G46" s="3040"/>
      <c r="H46" s="3040"/>
      <c r="I46" s="907" t="s">
        <v>1270</v>
      </c>
      <c r="J46" s="908"/>
      <c r="K46" s="3041"/>
      <c r="L46" s="3041"/>
      <c r="M46" s="909"/>
      <c r="N46" s="910">
        <f>IF(K46&gt;0,(K46-E45)/(1+M45),0)</f>
        <v>0</v>
      </c>
      <c r="O46" s="1494"/>
      <c r="P46" s="895"/>
      <c r="Q46" s="1479"/>
      <c r="R46" s="1479"/>
      <c r="S46" s="1137"/>
      <c r="T46" s="1495"/>
      <c r="U46" s="895"/>
      <c r="V46" s="3042">
        <f>D119</f>
        <v>706113.87031953549</v>
      </c>
      <c r="W46" s="3042"/>
      <c r="X46" s="1496">
        <f>V45-V46</f>
        <v>0</v>
      </c>
      <c r="Y46" s="895"/>
      <c r="Z46" s="898"/>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H46" s="626"/>
      <c r="BI46" s="626"/>
      <c r="BJ46" s="626"/>
      <c r="BK46" s="626"/>
      <c r="BL46" s="626"/>
      <c r="BM46" s="626"/>
      <c r="BN46" s="626"/>
      <c r="BO46" s="626"/>
      <c r="BP46" s="626"/>
      <c r="BQ46" s="626"/>
      <c r="BR46" s="626"/>
      <c r="BS46" s="626"/>
      <c r="BT46" s="626"/>
      <c r="BU46" s="626"/>
      <c r="BV46" s="626"/>
      <c r="BW46" s="626"/>
      <c r="BX46" s="626"/>
      <c r="BY46" s="626"/>
      <c r="BZ46" s="626"/>
      <c r="CA46" s="626"/>
      <c r="CB46" s="626"/>
      <c r="CC46" s="626"/>
      <c r="CD46" s="626"/>
      <c r="CE46" s="626"/>
      <c r="CF46" s="626"/>
      <c r="CG46" s="626"/>
      <c r="CH46" s="626"/>
      <c r="CI46" s="626"/>
      <c r="CJ46" s="626"/>
      <c r="CK46" s="626"/>
      <c r="CL46" s="626"/>
      <c r="CM46" s="626"/>
      <c r="CN46" s="626"/>
      <c r="CO46" s="626"/>
      <c r="CP46" s="626"/>
      <c r="CQ46" s="626"/>
      <c r="CR46" s="626"/>
      <c r="CS46" s="626"/>
      <c r="CT46" s="626"/>
      <c r="CU46" s="626"/>
      <c r="CV46" s="626"/>
      <c r="CW46" s="626"/>
      <c r="CX46" s="626"/>
      <c r="CY46" s="626"/>
      <c r="CZ46" s="626"/>
      <c r="DA46" s="626"/>
      <c r="DB46" s="626"/>
      <c r="DC46" s="626"/>
      <c r="DD46" s="626"/>
      <c r="DE46" s="626"/>
      <c r="DF46" s="626"/>
      <c r="DG46" s="626"/>
      <c r="DH46" s="626"/>
      <c r="DI46" s="626"/>
      <c r="DJ46" s="626"/>
      <c r="DK46" s="626"/>
      <c r="DL46" s="626"/>
      <c r="DM46" s="626"/>
      <c r="DN46" s="626"/>
      <c r="DO46" s="626"/>
    </row>
    <row r="47" spans="1:136" ht="29.25" customHeight="1">
      <c r="B47" s="1497"/>
      <c r="C47" s="983" t="s">
        <v>1356</v>
      </c>
      <c r="D47" s="983"/>
      <c r="E47" s="1498" t="s">
        <v>1357</v>
      </c>
      <c r="F47" s="1499"/>
      <c r="G47" s="1498" t="s">
        <v>1590</v>
      </c>
      <c r="H47" s="1499"/>
      <c r="I47" s="1498" t="s">
        <v>1359</v>
      </c>
      <c r="J47" s="1499"/>
      <c r="K47" s="1498" t="s">
        <v>1360</v>
      </c>
      <c r="L47" s="1499"/>
      <c r="M47" s="1498" t="s">
        <v>1361</v>
      </c>
      <c r="N47" s="1085"/>
      <c r="O47" s="808"/>
      <c r="P47" s="1291" t="s">
        <v>1591</v>
      </c>
      <c r="Q47" s="1500"/>
      <c r="R47" s="1291" t="s">
        <v>1592</v>
      </c>
      <c r="S47" s="1501"/>
      <c r="U47" s="1502">
        <f>IF(I79=0,0,I79/SUM(L65:L69))</f>
        <v>28.443278449021051</v>
      </c>
      <c r="V47" s="1503" t="s">
        <v>1593</v>
      </c>
      <c r="W47" s="1275">
        <f>SUM(Z49:Z58)*(1+K70)</f>
        <v>0</v>
      </c>
      <c r="X47" s="626" t="s">
        <v>612</v>
      </c>
      <c r="Y47" s="1254">
        <f>W47/25</f>
        <v>0</v>
      </c>
      <c r="Z47" s="1254"/>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H47" s="626"/>
      <c r="BI47" s="626"/>
      <c r="BJ47" s="626"/>
      <c r="BK47" s="626"/>
      <c r="BL47" s="626"/>
      <c r="BM47" s="626"/>
      <c r="BN47" s="626"/>
      <c r="BO47" s="626"/>
      <c r="BP47" s="626"/>
      <c r="BQ47" s="626"/>
      <c r="BR47" s="626"/>
      <c r="BS47" s="626"/>
      <c r="BT47" s="626"/>
      <c r="BU47" s="626"/>
      <c r="BV47" s="626"/>
      <c r="BW47" s="628"/>
      <c r="BX47" s="628"/>
      <c r="BY47" s="628"/>
      <c r="BZ47" s="628"/>
      <c r="CA47" s="628"/>
      <c r="CB47" s="628"/>
      <c r="CC47" s="628"/>
      <c r="CD47" s="628"/>
      <c r="CE47" s="626"/>
      <c r="CF47" s="626"/>
      <c r="CG47" s="626"/>
      <c r="CH47" s="626"/>
      <c r="CI47" s="628"/>
      <c r="CJ47" s="628"/>
      <c r="CK47" s="628"/>
      <c r="CL47" s="628"/>
      <c r="CM47" s="628"/>
      <c r="CN47" s="628"/>
      <c r="CO47" s="626"/>
      <c r="CP47" s="626"/>
      <c r="CQ47" s="626"/>
      <c r="CR47" s="628"/>
      <c r="CS47" s="626"/>
      <c r="CT47" s="1270"/>
      <c r="CU47" s="1270"/>
      <c r="CV47" s="1270"/>
      <c r="CW47" s="1270"/>
      <c r="CX47" s="1270"/>
      <c r="CY47" s="1504"/>
      <c r="CZ47" s="1306"/>
      <c r="DA47" s="1306"/>
      <c r="DB47" s="1306" t="s">
        <v>1594</v>
      </c>
      <c r="DC47" s="1505">
        <f>SUM(DF42:DP42)</f>
        <v>143735.33333333331</v>
      </c>
      <c r="DD47" s="1306" t="s">
        <v>1418</v>
      </c>
      <c r="DE47" s="1306"/>
      <c r="DF47" s="1306"/>
      <c r="DG47" s="1306"/>
      <c r="DH47" s="1307"/>
      <c r="DI47" s="626"/>
      <c r="DJ47" s="626"/>
      <c r="DK47" s="626"/>
      <c r="DL47" s="626"/>
      <c r="DM47" s="626"/>
      <c r="DN47" s="626"/>
      <c r="DO47" s="626"/>
    </row>
    <row r="48" spans="1:136" ht="42.75" customHeight="1">
      <c r="B48" s="1506" t="s">
        <v>1595</v>
      </c>
      <c r="C48" s="1100" t="s">
        <v>1367</v>
      </c>
      <c r="D48" s="1099" t="s">
        <v>1596</v>
      </c>
      <c r="E48" s="1100" t="s">
        <v>1369</v>
      </c>
      <c r="F48" s="1099" t="s">
        <v>1215</v>
      </c>
      <c r="G48" s="1100" t="s">
        <v>1369</v>
      </c>
      <c r="H48" s="1099" t="s">
        <v>1215</v>
      </c>
      <c r="I48" s="1100" t="s">
        <v>1369</v>
      </c>
      <c r="J48" s="1099" t="s">
        <v>1215</v>
      </c>
      <c r="K48" s="1100" t="s">
        <v>1215</v>
      </c>
      <c r="L48" s="1507" t="s">
        <v>1216</v>
      </c>
      <c r="M48" s="1100" t="s">
        <v>1215</v>
      </c>
      <c r="N48" s="1101" t="s">
        <v>1597</v>
      </c>
      <c r="O48" s="1508" t="s">
        <v>1598</v>
      </c>
      <c r="P48" s="1317" t="s">
        <v>1599</v>
      </c>
      <c r="Q48" s="1509"/>
      <c r="R48" s="1317" t="s">
        <v>998</v>
      </c>
      <c r="S48" s="1510" t="s">
        <v>1600</v>
      </c>
      <c r="T48" s="1511" t="s">
        <v>1601</v>
      </c>
      <c r="U48" s="3043" t="s">
        <v>1602</v>
      </c>
      <c r="V48" s="3043"/>
      <c r="W48" s="1168" t="s">
        <v>1259</v>
      </c>
      <c r="X48" s="1169" t="s">
        <v>1215</v>
      </c>
      <c r="Y48" s="1170" t="s">
        <v>1369</v>
      </c>
      <c r="Z48" s="1171" t="s">
        <v>1414</v>
      </c>
      <c r="AS48" s="18" t="s">
        <v>1603</v>
      </c>
      <c r="AT48" s="626"/>
      <c r="AU48" s="626"/>
      <c r="AV48" s="626"/>
      <c r="AW48" s="626"/>
      <c r="AX48" s="626"/>
      <c r="AY48" s="626"/>
      <c r="AZ48" s="626"/>
      <c r="BA48" s="626"/>
      <c r="BB48" s="626"/>
      <c r="BC48" s="626"/>
      <c r="BD48" s="626"/>
      <c r="BE48" s="626"/>
      <c r="BF48" s="626"/>
      <c r="BG48" s="626"/>
      <c r="BH48" s="626"/>
      <c r="BI48" s="626"/>
      <c r="BJ48" s="626"/>
      <c r="BK48" s="626"/>
      <c r="BL48" s="626"/>
      <c r="BM48" s="626"/>
      <c r="BN48" s="626"/>
      <c r="BO48" s="626"/>
      <c r="BP48" s="626"/>
      <c r="BQ48" s="626"/>
      <c r="BR48" s="626"/>
      <c r="BS48" s="1251"/>
      <c r="BT48" s="626"/>
      <c r="BU48" s="626"/>
      <c r="BV48" s="626"/>
      <c r="BW48" s="626"/>
      <c r="BX48" s="626"/>
      <c r="BY48" s="626"/>
      <c r="BZ48" s="626"/>
      <c r="CA48" s="626"/>
      <c r="CB48" s="626"/>
      <c r="CC48" s="626"/>
      <c r="CD48" s="626"/>
      <c r="CE48" s="626"/>
      <c r="CF48" s="626"/>
      <c r="CG48" s="626"/>
      <c r="CH48" s="626"/>
      <c r="CI48" s="626"/>
      <c r="CJ48" s="626"/>
      <c r="CK48" s="626"/>
      <c r="CL48" s="626"/>
      <c r="CM48" s="626"/>
      <c r="CN48" s="626"/>
      <c r="CO48" s="626"/>
      <c r="CP48" s="626"/>
      <c r="CQ48" s="1372">
        <f>CO42-CC47</f>
        <v>42907.276368176732</v>
      </c>
      <c r="CR48" s="626"/>
      <c r="CS48" s="626"/>
      <c r="CT48" s="626"/>
      <c r="CU48" s="626"/>
      <c r="CV48" s="626"/>
      <c r="CW48" s="626"/>
      <c r="CX48" s="626"/>
      <c r="CY48" s="626"/>
      <c r="CZ48" s="626"/>
      <c r="DA48" s="626"/>
      <c r="DB48" s="626"/>
      <c r="DC48" s="626"/>
      <c r="DD48" s="626"/>
      <c r="DE48" s="626"/>
      <c r="DF48" s="626"/>
      <c r="DG48" s="626"/>
      <c r="DH48" s="626"/>
      <c r="DI48" s="626"/>
      <c r="DJ48" s="626"/>
      <c r="DK48" s="626"/>
      <c r="DL48" s="626"/>
      <c r="DM48" s="626"/>
      <c r="DN48" s="626"/>
      <c r="DO48" s="626"/>
      <c r="DP48" s="626"/>
      <c r="DQ48" s="626"/>
      <c r="DR48" s="626"/>
      <c r="DS48" s="626"/>
      <c r="DT48" s="626"/>
      <c r="DU48" s="626"/>
      <c r="DV48" s="626"/>
      <c r="DW48" s="626"/>
      <c r="DX48" s="626"/>
      <c r="DY48" s="626"/>
      <c r="DZ48" s="626"/>
      <c r="EA48" s="626"/>
    </row>
    <row r="49" spans="2:45" ht="19.5" customHeight="1">
      <c r="B49" s="1512">
        <v>1</v>
      </c>
      <c r="C49" s="1513">
        <v>12</v>
      </c>
      <c r="D49" s="834">
        <v>32</v>
      </c>
      <c r="E49" s="503">
        <v>2</v>
      </c>
      <c r="F49" s="1418">
        <v>5</v>
      </c>
      <c r="G49" s="503"/>
      <c r="H49" s="834"/>
      <c r="I49" s="503"/>
      <c r="J49" s="834"/>
      <c r="K49" s="503">
        <v>3</v>
      </c>
      <c r="L49" s="834">
        <v>24</v>
      </c>
      <c r="M49" s="1513"/>
      <c r="N49" s="503"/>
      <c r="O49" s="1411"/>
      <c r="P49" s="1514">
        <f t="shared" ref="P49:P59" si="103">IF(C49=0,0,(E49*F49/16*F49/16*10.680159)+((G49*H49/16*H49/16*10.680159)+(I49*2*J49/16*J49/16*10.680159)+IF(L49=0,0,((K49/16*K49/16)*3.145*0.2836*((((C49*2))+(D49*2))*12/L49))))+(M49/16*M49/16*10.680159*(12/IF(N49=0,1,N49))*O49))*(1+K$70)</f>
        <v>3.8122264382812499</v>
      </c>
      <c r="Q49" s="1515"/>
      <c r="R49" s="1516">
        <f t="shared" ref="R49:R59" si="104">(C49/12*D49/324)*(1+K$65)</f>
        <v>0.10469135802469136</v>
      </c>
      <c r="S49" s="1517">
        <f t="shared" ref="S49:S59" si="105">(C49/12*(D49-S$45)/324)</f>
        <v>6.7901234567901231E-2</v>
      </c>
      <c r="T49" s="247">
        <f t="shared" ref="T49:T59" si="106">C49/12</f>
        <v>1</v>
      </c>
      <c r="U49" s="3044">
        <f>IF(I79=0,0,L70/I79)</f>
        <v>1.0532342417356149</v>
      </c>
      <c r="V49" s="3044"/>
      <c r="W49" s="142"/>
      <c r="X49" s="143"/>
      <c r="Y49" s="144"/>
      <c r="Z49" s="145">
        <f t="shared" ref="Z49:Z58" si="107">W49*(X49*X49*0.04180884375)*Y49</f>
        <v>0</v>
      </c>
      <c r="AA49" s="338">
        <f>SUM(Z49:Z58)*1.1</f>
        <v>0</v>
      </c>
      <c r="AS49" s="18">
        <f t="shared" ref="AS49:AS59" si="108">D49*2/12</f>
        <v>5.333333333333333</v>
      </c>
    </row>
    <row r="50" spans="2:45" ht="19.5" customHeight="1">
      <c r="B50" s="1518">
        <v>2</v>
      </c>
      <c r="C50" s="1513">
        <v>10</v>
      </c>
      <c r="D50" s="834">
        <v>30</v>
      </c>
      <c r="E50" s="503">
        <v>2</v>
      </c>
      <c r="F50" s="1418">
        <v>5</v>
      </c>
      <c r="G50" s="503"/>
      <c r="H50" s="834"/>
      <c r="I50" s="503"/>
      <c r="J50" s="834"/>
      <c r="K50" s="503">
        <v>3</v>
      </c>
      <c r="L50" s="834">
        <v>24</v>
      </c>
      <c r="M50" s="1513"/>
      <c r="N50" s="503"/>
      <c r="O50" s="1410"/>
      <c r="P50" s="1514">
        <f t="shared" si="103"/>
        <v>3.6742572539062501</v>
      </c>
      <c r="Q50" s="1515"/>
      <c r="R50" s="1519">
        <f t="shared" si="104"/>
        <v>8.1790123456790126E-2</v>
      </c>
      <c r="S50" s="1517">
        <f t="shared" si="105"/>
        <v>5.1440329218106998E-2</v>
      </c>
      <c r="T50" s="247">
        <f t="shared" si="106"/>
        <v>0.83333333333333337</v>
      </c>
      <c r="U50" s="3044"/>
      <c r="V50" s="3044"/>
      <c r="W50" s="142"/>
      <c r="X50" s="143"/>
      <c r="Y50" s="144"/>
      <c r="Z50" s="145">
        <f t="shared" si="107"/>
        <v>0</v>
      </c>
      <c r="AS50" s="18">
        <f t="shared" si="108"/>
        <v>5</v>
      </c>
    </row>
    <row r="51" spans="2:45" ht="19.5" customHeight="1">
      <c r="B51" s="1512">
        <v>3</v>
      </c>
      <c r="C51" s="1513">
        <v>10</v>
      </c>
      <c r="D51" s="834">
        <v>30</v>
      </c>
      <c r="E51" s="503">
        <v>2</v>
      </c>
      <c r="F51" s="834">
        <v>5</v>
      </c>
      <c r="G51" s="503">
        <v>2</v>
      </c>
      <c r="H51" s="834">
        <v>5</v>
      </c>
      <c r="I51" s="503"/>
      <c r="J51" s="834"/>
      <c r="K51" s="503">
        <v>3</v>
      </c>
      <c r="L51" s="834">
        <v>16</v>
      </c>
      <c r="M51" s="1513"/>
      <c r="N51" s="503"/>
      <c r="O51" s="1410"/>
      <c r="P51" s="1514">
        <f t="shared" si="103"/>
        <v>6.6586685859374999</v>
      </c>
      <c r="Q51" s="1515"/>
      <c r="R51" s="1519">
        <f t="shared" si="104"/>
        <v>8.1790123456790126E-2</v>
      </c>
      <c r="S51" s="1517">
        <f t="shared" si="105"/>
        <v>5.1440329218106998E-2</v>
      </c>
      <c r="T51" s="247">
        <f t="shared" si="106"/>
        <v>0.83333333333333337</v>
      </c>
      <c r="U51" s="3045" t="s">
        <v>1604</v>
      </c>
      <c r="V51" s="3045"/>
      <c r="W51" s="142"/>
      <c r="X51" s="143"/>
      <c r="Y51" s="144"/>
      <c r="Z51" s="145">
        <f t="shared" si="107"/>
        <v>0</v>
      </c>
      <c r="AS51" s="18">
        <f t="shared" si="108"/>
        <v>5</v>
      </c>
    </row>
    <row r="52" spans="2:45" ht="19.5" customHeight="1">
      <c r="B52" s="1512">
        <v>4</v>
      </c>
      <c r="C52" s="1513">
        <v>36</v>
      </c>
      <c r="D52" s="834">
        <v>12</v>
      </c>
      <c r="E52" s="503">
        <v>2</v>
      </c>
      <c r="F52" s="834">
        <v>5</v>
      </c>
      <c r="G52" s="503"/>
      <c r="H52" s="834"/>
      <c r="I52" s="503"/>
      <c r="J52" s="834"/>
      <c r="K52" s="503">
        <v>3</v>
      </c>
      <c r="L52" s="834">
        <v>24</v>
      </c>
      <c r="M52" s="1513"/>
      <c r="N52" s="503"/>
      <c r="O52" s="1410"/>
      <c r="P52" s="1514">
        <f t="shared" si="103"/>
        <v>3.95019562265625</v>
      </c>
      <c r="Q52" s="1515"/>
      <c r="R52" s="1519">
        <f t="shared" si="104"/>
        <v>0.11777777777777777</v>
      </c>
      <c r="S52" s="1517">
        <f t="shared" si="105"/>
        <v>1.8518518518518517E-2</v>
      </c>
      <c r="T52" s="247">
        <f t="shared" si="106"/>
        <v>3</v>
      </c>
      <c r="U52" s="3046">
        <f>Summary!M16</f>
        <v>5.099798894841971</v>
      </c>
      <c r="V52" s="3046"/>
      <c r="W52" s="142"/>
      <c r="X52" s="143"/>
      <c r="Y52" s="144"/>
      <c r="Z52" s="145">
        <f t="shared" si="107"/>
        <v>0</v>
      </c>
      <c r="AS52" s="18">
        <f t="shared" si="108"/>
        <v>2</v>
      </c>
    </row>
    <row r="53" spans="2:45" ht="19.5" customHeight="1">
      <c r="B53" s="1512">
        <v>5</v>
      </c>
      <c r="C53" s="1513">
        <v>6</v>
      </c>
      <c r="D53" s="834">
        <v>32</v>
      </c>
      <c r="E53" s="503">
        <v>2</v>
      </c>
      <c r="F53" s="834">
        <v>5</v>
      </c>
      <c r="G53" s="503"/>
      <c r="H53" s="834"/>
      <c r="I53" s="503"/>
      <c r="J53" s="834"/>
      <c r="K53" s="503">
        <v>3</v>
      </c>
      <c r="L53" s="834">
        <v>16</v>
      </c>
      <c r="M53" s="1513"/>
      <c r="N53" s="503"/>
      <c r="O53" s="1410"/>
      <c r="P53" s="1514">
        <f t="shared" si="103"/>
        <v>4.2606262875000001</v>
      </c>
      <c r="Q53" s="1515"/>
      <c r="R53" s="1519">
        <f t="shared" si="104"/>
        <v>5.2345679012345679E-2</v>
      </c>
      <c r="S53" s="1517">
        <f t="shared" si="105"/>
        <v>3.3950617283950615E-2</v>
      </c>
      <c r="T53" s="247">
        <f t="shared" si="106"/>
        <v>0.5</v>
      </c>
      <c r="U53" s="3046"/>
      <c r="V53" s="3046"/>
      <c r="W53" s="1185"/>
      <c r="X53" s="1186"/>
      <c r="Y53" s="1187"/>
      <c r="Z53" s="1188">
        <f t="shared" si="107"/>
        <v>0</v>
      </c>
      <c r="AS53" s="18">
        <f t="shared" si="108"/>
        <v>5.333333333333333</v>
      </c>
    </row>
    <row r="54" spans="2:45" ht="19.5" customHeight="1">
      <c r="B54" s="1512">
        <v>6</v>
      </c>
      <c r="C54" s="1513">
        <v>12</v>
      </c>
      <c r="D54" s="834">
        <v>30</v>
      </c>
      <c r="E54" s="503">
        <v>2</v>
      </c>
      <c r="F54" s="1418">
        <v>5</v>
      </c>
      <c r="G54" s="1513">
        <v>2</v>
      </c>
      <c r="H54" s="834">
        <v>5</v>
      </c>
      <c r="I54" s="503"/>
      <c r="J54" s="834"/>
      <c r="K54" s="503">
        <v>3</v>
      </c>
      <c r="L54" s="834">
        <v>16</v>
      </c>
      <c r="M54" s="1513"/>
      <c r="N54" s="1520"/>
      <c r="O54" s="1410"/>
      <c r="P54" s="1514">
        <f t="shared" si="103"/>
        <v>6.7621454742187499</v>
      </c>
      <c r="Q54" s="1515"/>
      <c r="R54" s="1519">
        <f t="shared" si="104"/>
        <v>9.8148148148148151E-2</v>
      </c>
      <c r="S54" s="1517">
        <f t="shared" si="105"/>
        <v>6.1728395061728392E-2</v>
      </c>
      <c r="T54" s="247">
        <f t="shared" si="106"/>
        <v>1</v>
      </c>
      <c r="W54" s="142"/>
      <c r="X54" s="143"/>
      <c r="Y54" s="144"/>
      <c r="Z54" s="145">
        <f t="shared" si="107"/>
        <v>0</v>
      </c>
      <c r="AS54" s="18">
        <f t="shared" si="108"/>
        <v>5</v>
      </c>
    </row>
    <row r="55" spans="2:45" ht="19.5" customHeight="1">
      <c r="B55" s="1512">
        <v>7</v>
      </c>
      <c r="C55" s="1513">
        <v>12</v>
      </c>
      <c r="D55" s="834">
        <v>18</v>
      </c>
      <c r="E55" s="503">
        <v>2</v>
      </c>
      <c r="F55" s="1418">
        <v>5</v>
      </c>
      <c r="G55" s="503"/>
      <c r="H55" s="834"/>
      <c r="I55" s="503"/>
      <c r="J55" s="834"/>
      <c r="K55" s="503">
        <v>3</v>
      </c>
      <c r="L55" s="834">
        <v>16</v>
      </c>
      <c r="M55" s="1513"/>
      <c r="N55" s="1520"/>
      <c r="O55" s="1410"/>
      <c r="P55" s="1514">
        <f t="shared" si="103"/>
        <v>3.8467187343749996</v>
      </c>
      <c r="Q55" s="1515"/>
      <c r="R55" s="1519">
        <f t="shared" si="104"/>
        <v>5.8888888888888886E-2</v>
      </c>
      <c r="S55" s="1517">
        <f t="shared" si="105"/>
        <v>2.4691358024691357E-2</v>
      </c>
      <c r="T55" s="247">
        <f t="shared" si="106"/>
        <v>1</v>
      </c>
      <c r="W55" s="142"/>
      <c r="X55" s="143"/>
      <c r="Y55" s="144"/>
      <c r="Z55" s="145">
        <f t="shared" si="107"/>
        <v>0</v>
      </c>
      <c r="AS55" s="18">
        <f t="shared" si="108"/>
        <v>3</v>
      </c>
    </row>
    <row r="56" spans="2:45" ht="19.5" customHeight="1">
      <c r="B56" s="1512">
        <v>8</v>
      </c>
      <c r="C56" s="1513">
        <v>12</v>
      </c>
      <c r="D56" s="834">
        <v>30</v>
      </c>
      <c r="E56" s="503">
        <v>2</v>
      </c>
      <c r="F56" s="834">
        <v>5</v>
      </c>
      <c r="G56" s="503">
        <v>2</v>
      </c>
      <c r="H56" s="834">
        <v>5</v>
      </c>
      <c r="I56" s="503"/>
      <c r="J56" s="834"/>
      <c r="K56" s="503">
        <v>3</v>
      </c>
      <c r="L56" s="834">
        <v>16</v>
      </c>
      <c r="M56" s="1513"/>
      <c r="N56" s="503"/>
      <c r="O56" s="1410"/>
      <c r="P56" s="1514">
        <f t="shared" si="103"/>
        <v>6.7621454742187499</v>
      </c>
      <c r="Q56" s="1515"/>
      <c r="R56" s="1519">
        <f t="shared" si="104"/>
        <v>9.8148148148148151E-2</v>
      </c>
      <c r="S56" s="1517">
        <f t="shared" si="105"/>
        <v>6.1728395061728392E-2</v>
      </c>
      <c r="T56" s="247">
        <f t="shared" si="106"/>
        <v>1</v>
      </c>
      <c r="U56" s="18">
        <f>1718/60</f>
        <v>28.633333333333333</v>
      </c>
      <c r="W56" s="142"/>
      <c r="X56" s="143"/>
      <c r="Y56" s="144"/>
      <c r="Z56" s="145">
        <f t="shared" si="107"/>
        <v>0</v>
      </c>
      <c r="AS56" s="18">
        <f t="shared" si="108"/>
        <v>5</v>
      </c>
    </row>
    <row r="57" spans="2:45" ht="19.5" customHeight="1">
      <c r="B57" s="1512">
        <v>9</v>
      </c>
      <c r="C57" s="1513">
        <v>12</v>
      </c>
      <c r="D57" s="834">
        <v>12</v>
      </c>
      <c r="E57" s="503">
        <v>2</v>
      </c>
      <c r="F57" s="834">
        <v>5</v>
      </c>
      <c r="G57" s="503">
        <v>2</v>
      </c>
      <c r="H57" s="834">
        <v>5</v>
      </c>
      <c r="I57" s="503"/>
      <c r="J57" s="834"/>
      <c r="K57" s="503">
        <v>3</v>
      </c>
      <c r="L57" s="834">
        <v>16</v>
      </c>
      <c r="M57" s="1513"/>
      <c r="N57" s="503"/>
      <c r="O57" s="1410"/>
      <c r="P57" s="1514">
        <f t="shared" si="103"/>
        <v>5.8308534796874998</v>
      </c>
      <c r="Q57" s="1515"/>
      <c r="R57" s="1519">
        <f t="shared" si="104"/>
        <v>3.9259259259259258E-2</v>
      </c>
      <c r="S57" s="1517">
        <f t="shared" si="105"/>
        <v>6.1728395061728392E-3</v>
      </c>
      <c r="T57" s="247">
        <f t="shared" si="106"/>
        <v>1</v>
      </c>
      <c r="W57" s="1195"/>
      <c r="X57" s="143"/>
      <c r="Y57" s="144"/>
      <c r="Z57" s="145">
        <f t="shared" si="107"/>
        <v>0</v>
      </c>
      <c r="AS57" s="18">
        <f t="shared" si="108"/>
        <v>2</v>
      </c>
    </row>
    <row r="58" spans="2:45" ht="19.5" customHeight="1">
      <c r="B58" s="1512">
        <v>10</v>
      </c>
      <c r="C58" s="1513">
        <v>12</v>
      </c>
      <c r="D58" s="834">
        <v>12</v>
      </c>
      <c r="E58" s="503">
        <v>2</v>
      </c>
      <c r="F58" s="834">
        <v>5</v>
      </c>
      <c r="G58" s="503"/>
      <c r="H58" s="834"/>
      <c r="I58" s="503"/>
      <c r="J58" s="834"/>
      <c r="K58" s="503"/>
      <c r="L58" s="834"/>
      <c r="M58" s="1513"/>
      <c r="N58" s="503"/>
      <c r="O58" s="1410"/>
      <c r="P58" s="1514">
        <f t="shared" si="103"/>
        <v>2.2945654101562498</v>
      </c>
      <c r="Q58" s="1515"/>
      <c r="R58" s="1519">
        <f t="shared" si="104"/>
        <v>3.9259259259259258E-2</v>
      </c>
      <c r="S58" s="1517">
        <f t="shared" si="105"/>
        <v>6.1728395061728392E-3</v>
      </c>
      <c r="T58" s="247">
        <f t="shared" si="106"/>
        <v>1</v>
      </c>
      <c r="W58" s="1185"/>
      <c r="X58" s="1186"/>
      <c r="Y58" s="1187"/>
      <c r="Z58" s="1188">
        <f t="shared" si="107"/>
        <v>0</v>
      </c>
      <c r="AS58" s="18">
        <f t="shared" si="108"/>
        <v>2</v>
      </c>
    </row>
    <row r="59" spans="2:45" ht="19.5" customHeight="1">
      <c r="B59" s="1521">
        <v>11</v>
      </c>
      <c r="C59" s="1391"/>
      <c r="D59" s="1392"/>
      <c r="E59" s="1395"/>
      <c r="F59" s="1392"/>
      <c r="G59" s="1395"/>
      <c r="H59" s="1392"/>
      <c r="I59" s="1395"/>
      <c r="J59" s="1392"/>
      <c r="K59" s="1395"/>
      <c r="L59" s="1392"/>
      <c r="M59" s="1391"/>
      <c r="N59" s="1395"/>
      <c r="O59" s="1397"/>
      <c r="P59" s="1522">
        <f t="shared" si="103"/>
        <v>0</v>
      </c>
      <c r="Q59" s="1523"/>
      <c r="R59" s="1524">
        <f t="shared" si="104"/>
        <v>0</v>
      </c>
      <c r="S59" s="1525">
        <f t="shared" si="105"/>
        <v>0</v>
      </c>
      <c r="T59" s="1526">
        <f t="shared" si="106"/>
        <v>0</v>
      </c>
      <c r="U59" s="3047">
        <f>SUM(CN42:DD42)</f>
        <v>706113.87031953549</v>
      </c>
      <c r="V59" s="3047"/>
      <c r="W59" s="1527"/>
      <c r="X59" s="1528">
        <f>V45-U59</f>
        <v>0</v>
      </c>
      <c r="Y59" s="1529"/>
      <c r="Z59" s="1529"/>
      <c r="AS59" s="18">
        <f t="shared" si="108"/>
        <v>0</v>
      </c>
    </row>
    <row r="60" spans="2:45" ht="21.75" customHeight="1">
      <c r="B60" s="791" t="s">
        <v>1271</v>
      </c>
      <c r="C60" s="1530"/>
      <c r="D60" s="1531"/>
      <c r="E60" s="1532"/>
      <c r="F60" s="1533"/>
      <c r="G60" s="1534"/>
      <c r="H60" s="1143"/>
      <c r="I60" s="1143"/>
      <c r="J60" s="1143"/>
      <c r="K60" s="1143"/>
      <c r="L60" s="1143"/>
      <c r="M60" s="1143"/>
      <c r="N60" s="1143"/>
      <c r="O60" s="2803" t="s">
        <v>721</v>
      </c>
      <c r="P60" s="2803"/>
      <c r="Q60" s="1145" t="s">
        <v>1272</v>
      </c>
      <c r="R60" s="351"/>
      <c r="S60" s="1517">
        <f>18+18+75+75+75+75+75+75+75+76+76+76+76+76+76+76+76+76+76+65+65+65+65+65+65+65+65+60+60+25+25</f>
        <v>2011</v>
      </c>
      <c r="AA60" s="18"/>
    </row>
    <row r="61" spans="2:45" ht="21.75" customHeight="1">
      <c r="B61" s="1535">
        <f>E89-E81</f>
        <v>1.4509732039104728</v>
      </c>
      <c r="C61" s="1536"/>
      <c r="D61" s="1537"/>
      <c r="E61" s="1538"/>
      <c r="F61" s="1539"/>
      <c r="G61" s="1533"/>
      <c r="H61" s="1143"/>
      <c r="I61" s="1143"/>
      <c r="J61" s="1143"/>
      <c r="K61" s="1143"/>
      <c r="L61" s="1143"/>
      <c r="M61" s="1540"/>
      <c r="N61" s="1143"/>
      <c r="O61" s="924" t="s">
        <v>1274</v>
      </c>
      <c r="P61" s="925"/>
      <c r="Q61" s="926"/>
      <c r="S61" s="1517">
        <f>46+46+46+46+69+67+67+69+69+69+64+64+64+64+64+64+65+65+65+59+26+26</f>
        <v>1284</v>
      </c>
      <c r="AA61" s="18"/>
    </row>
    <row r="62" spans="2:45" ht="21.75" customHeight="1">
      <c r="B62" s="396"/>
      <c r="C62" s="1536"/>
      <c r="D62" s="1537"/>
      <c r="E62" s="1541"/>
      <c r="F62" s="1542"/>
      <c r="G62" s="1537"/>
      <c r="H62" s="1143"/>
      <c r="I62" s="1143"/>
      <c r="J62" s="1143"/>
      <c r="K62" s="1143"/>
      <c r="L62" s="1543"/>
      <c r="M62" s="1143"/>
      <c r="N62" s="1143"/>
      <c r="O62" s="932" t="s">
        <v>1276</v>
      </c>
      <c r="P62" s="933">
        <f>L70+'06-Walls &amp; Footings'!V15+SUM('06-Walls &amp; Footings'!V15:V26)</f>
        <v>93384.946690489611</v>
      </c>
      <c r="Q62" s="934">
        <f>O70</f>
        <v>42907.276368176746</v>
      </c>
      <c r="S62" s="18">
        <f>54*8.5</f>
        <v>459</v>
      </c>
      <c r="T62" s="1544">
        <f>SUM(S60:S61)*0.85</f>
        <v>2800.75</v>
      </c>
      <c r="AA62" s="18"/>
    </row>
    <row r="63" spans="2:45" ht="21.75" customHeight="1">
      <c r="B63" s="396"/>
      <c r="C63" s="1545"/>
      <c r="D63" s="1537"/>
      <c r="E63" s="1537"/>
      <c r="F63" s="1534"/>
      <c r="G63" s="1537"/>
      <c r="H63" s="1143"/>
      <c r="I63" s="1143"/>
      <c r="J63" s="1143"/>
      <c r="K63" s="1143"/>
      <c r="L63" s="1143"/>
      <c r="M63" s="1143"/>
      <c r="N63" s="1143"/>
      <c r="O63" s="1143"/>
      <c r="P63" s="1546"/>
      <c r="AA63" s="18"/>
    </row>
    <row r="64" spans="2:45" ht="38.25" customHeight="1">
      <c r="B64" s="1547" t="s">
        <v>1280</v>
      </c>
      <c r="C64" s="1163" t="s">
        <v>1281</v>
      </c>
      <c r="D64" s="943"/>
      <c r="E64" s="943"/>
      <c r="F64" s="943"/>
      <c r="G64" s="943"/>
      <c r="H64" s="943"/>
      <c r="I64" s="943"/>
      <c r="J64" s="943"/>
      <c r="K64" s="943" t="s">
        <v>1282</v>
      </c>
      <c r="L64" s="2805" t="str">
        <f>IF(SUM(L65:L69)=Q42,"Good","Missing Concrete!!!")</f>
        <v>Good</v>
      </c>
      <c r="M64" s="2805"/>
      <c r="N64" s="943"/>
      <c r="O64" s="943"/>
      <c r="P64" s="945"/>
      <c r="R64" s="961" t="s">
        <v>1284</v>
      </c>
      <c r="S64" s="946" t="s">
        <v>1283</v>
      </c>
      <c r="T64" s="1098"/>
      <c r="U64" s="818" t="s">
        <v>835</v>
      </c>
      <c r="V64" s="947"/>
      <c r="W64" s="948" t="s">
        <v>518</v>
      </c>
      <c r="X64" s="947"/>
      <c r="Y64" s="949"/>
      <c r="Z64" s="1166"/>
    </row>
    <row r="65" spans="2:47" ht="21.75" customHeight="1">
      <c r="B65" s="1548">
        <v>1</v>
      </c>
      <c r="C65" s="18" t="str">
        <f>IF(B65=1,Pricing!F$2,IF(B65=2,Pricing!G$2,IF(B65=3,Pricing!H$2,IF(B65=4,Pricing!I$2,IF(B65=5,Pricing!J$2,IF(B65=6,Pricing!K$2,IF(B65=7,Pricing!L$2,IF(B65=8,Pricing!M$2,IF(B65=9,Pricing!N$2,IF(B65=10,Pricing!O$2,0))))))))))</f>
        <v>3,000 PSI 5sk /Ash and Air</v>
      </c>
      <c r="D65" s="1549"/>
      <c r="E65" s="1549"/>
      <c r="F65" s="1549"/>
      <c r="G65" s="1550">
        <f>IF(B65=1,Pricing!F$3,IF(B65=2,Pricing!G$3,IF(B65=3,Pricing!H$3,IF(B65=4,Pricing!I$3,IF(B65=5,Pricing!J$3,IF(B65=6,Pricing!K$3,IF(B65=7,Pricing!L$3,IF(B65=8,Pricing!M$3,IF(B65=9,Pricing!N$3,IF(B65=10,Pricing!O$3,0))))))))))</f>
        <v>134</v>
      </c>
      <c r="H65" s="1549" t="s">
        <v>1285</v>
      </c>
      <c r="I65" s="1551"/>
      <c r="J65" s="1552"/>
      <c r="K65" s="3013">
        <v>0.06</v>
      </c>
      <c r="L65" s="2957">
        <f>IF(B65=1,BS$42,IF(B65=2,BT$42,IF(B65=3,BU$42,IF(B65=4,BV$42,IF(B65=5,BW$42,IF(B65=6,BX$42,IF(B65=7,BY$42,IF(B65=8,BZ$42,IF(B65=9,CA$42,IF(B65=10,CB$42))))))))))</f>
        <v>2205.1958641975316</v>
      </c>
      <c r="M65" s="2957"/>
      <c r="N65" s="958" t="s">
        <v>1286</v>
      </c>
      <c r="O65" s="2958">
        <f>L65*G65*(IF(W$44="N",1+Y$44,1))</f>
        <v>319874.68608117296</v>
      </c>
      <c r="P65" s="2958"/>
      <c r="R65" s="1038"/>
      <c r="S65" s="859"/>
      <c r="T65" s="1176"/>
      <c r="U65" s="77" t="s">
        <v>1415</v>
      </c>
      <c r="W65" s="1553">
        <v>0.5</v>
      </c>
      <c r="X65" s="1174" t="s">
        <v>1605</v>
      </c>
      <c r="Y65" s="1554">
        <f>IF(I79=0,0,Z110/I79)</f>
        <v>0.86787458850890253</v>
      </c>
      <c r="Z65" s="1555"/>
      <c r="AT65" s="626"/>
      <c r="AU65" s="626"/>
    </row>
    <row r="66" spans="2:47" ht="21.75" customHeight="1">
      <c r="B66" s="1556">
        <v>2</v>
      </c>
      <c r="C66" s="18" t="str">
        <f>IF(B66=1,Pricing!F$2,IF(B66=2,Pricing!G$2,IF(B66=3,Pricing!H$2,IF(B66=4,Pricing!I$2,IF(B66=5,Pricing!J$2,IF(B66=6,Pricing!K$2,IF(B66=7,Pricing!L$2,IF(B66=8,Pricing!M$2,IF(B66=9,Pricing!N$2,IF(B66=10,Pricing!O$2,0))))))))))</f>
        <v>3,000 PSI / Ash no Air</v>
      </c>
      <c r="G66" s="1182">
        <f>IF(B66=1,Pricing!F$3,IF(B66=2,Pricing!G$3,IF(B66=3,Pricing!H$3,IF(B66=4,Pricing!I$3,IF(B66=5,Pricing!J$3,IF(B66=6,Pricing!K$3,IF(B66=7,Pricing!L$3,IF(B66=8,Pricing!M$3,IF(B66=9,Pricing!N$3,IF(B66=10,Pricing!O$3,0))))))))))</f>
        <v>145</v>
      </c>
      <c r="H66" s="18" t="s">
        <v>1285</v>
      </c>
      <c r="I66" s="1557"/>
      <c r="J66" s="1558"/>
      <c r="K66" s="3013"/>
      <c r="L66" s="3010">
        <f>IF(B66=1,BS$42,IF(B66=2,BT$42,IF(B66=3,BU$42,IF(B66=4,BV$42,IF(B66=5,BW$42,IF(B66=6,BX$42,IF(B66=7,BY$42,IF(B66=8,BZ$42,IF(B66=9,CA$42,IF(B66=10,CB$42))))))))))</f>
        <v>0</v>
      </c>
      <c r="M66" s="3010"/>
      <c r="N66" s="17" t="s">
        <v>1286</v>
      </c>
      <c r="O66" s="2953">
        <f>L66*G66*(IF(W$44="N",1+Y$44,1))</f>
        <v>0</v>
      </c>
      <c r="P66" s="2953"/>
      <c r="R66" s="961" t="s">
        <v>1069</v>
      </c>
      <c r="S66" s="859" t="s">
        <v>526</v>
      </c>
      <c r="T66" s="77"/>
      <c r="V66" s="1176">
        <f>(V69*3+I83)*W65</f>
        <v>4100</v>
      </c>
      <c r="W66" s="77" t="s">
        <v>1259</v>
      </c>
      <c r="X66" s="1174">
        <f>Pricing!Q4</f>
        <v>0.859375</v>
      </c>
      <c r="Y66" s="77" t="s">
        <v>527</v>
      </c>
      <c r="Z66" s="1559">
        <f t="shared" ref="Z66:Z106" si="109">IF(W$44="Y",V66*X66,V66*X66*(1+Y$44))</f>
        <v>3814.12109375</v>
      </c>
      <c r="AA66" s="351"/>
      <c r="AT66" s="626"/>
      <c r="AU66" s="626"/>
    </row>
    <row r="67" spans="2:47" ht="21.75" customHeight="1">
      <c r="B67" s="1560">
        <v>4</v>
      </c>
      <c r="C67" s="18" t="str">
        <f>IF(B67=1,Pricing!F$2,IF(B67=2,Pricing!G$2,IF(B67=3,Pricing!H$2,IF(B67=4,Pricing!I$2,IF(B67=5,Pricing!J$2,IF(B67=6,Pricing!K$2,IF(B67=7,Pricing!L$2,IF(B67=8,Pricing!M$2,IF(B67=9,Pricing!N$2,IF(B67=10,Pricing!O$2,0))))))))))</f>
        <v>3,500 PSI /Ash No Air</v>
      </c>
      <c r="G67" s="1182">
        <f>IF(B67=1,Pricing!F$3,IF(B67=2,Pricing!G$3,IF(B67=3,Pricing!H$3,IF(B67=4,Pricing!I$3,IF(B67=5,Pricing!J$3,IF(B67=6,Pricing!K$3,IF(B67=7,Pricing!L$3,IF(B67=8,Pricing!M$3,IF(B67=9,Pricing!N$3,IF(B67=10,Pricing!O$3,0))))))))))</f>
        <v>150</v>
      </c>
      <c r="I67" s="1557"/>
      <c r="J67" s="1558"/>
      <c r="K67" s="3013"/>
      <c r="L67" s="3010">
        <f>IF(B67=1,BS$42,IF(B67=2,BT$42,IF(B67=3,BU$42,IF(B67=4,BV$42,IF(B67=5,BW$42,IF(B67=6,BX$42,IF(B67=7,BY$42,IF(B67=8,BZ$42,IF(B67=9,CA$42,IF(B67=10,CB$42))))))))))</f>
        <v>0</v>
      </c>
      <c r="M67" s="3010"/>
      <c r="N67" s="17" t="s">
        <v>1286</v>
      </c>
      <c r="O67" s="2953">
        <f>L67*G67*(IF(W$44="N",1+Y$44,1))</f>
        <v>0</v>
      </c>
      <c r="P67" s="2953"/>
      <c r="R67" s="961"/>
      <c r="S67" s="859"/>
      <c r="T67" s="77"/>
      <c r="V67" s="1176"/>
      <c r="W67" s="77"/>
      <c r="X67" s="1174"/>
      <c r="Y67" s="77"/>
      <c r="Z67" s="1559">
        <f t="shared" si="109"/>
        <v>0</v>
      </c>
      <c r="AA67" s="351"/>
      <c r="AT67" s="626"/>
      <c r="AU67" s="626"/>
    </row>
    <row r="68" spans="2:47" ht="21.75" customHeight="1">
      <c r="B68" s="1560">
        <v>7</v>
      </c>
      <c r="C68" s="18" t="str">
        <f>IF(B68=1,Pricing!F$2,IF(B68=2,Pricing!G$2,IF(B68=3,Pricing!H$2,IF(B68=4,Pricing!I$2,IF(B68=5,Pricing!J$2,IF(B68=6,Pricing!K$2,IF(B68=7,Pricing!L$2,IF(B68=8,Pricing!M$2,IF(B68=9,Pricing!N$2,IF(B68=10,Pricing!O$2,0))))))))))</f>
        <v>4,500 PSI / Ash and Air</v>
      </c>
      <c r="G68" s="1182">
        <f>IF(B68=1,Pricing!F$3,IF(B68=2,Pricing!G$3,IF(B68=3,Pricing!H$3,IF(B68=4,Pricing!I$3,IF(B68=5,Pricing!J$3,IF(B68=6,Pricing!K$3,IF(B68=7,Pricing!L$3,IF(B68=8,Pricing!M$3,IF(B68=9,Pricing!N$3,IF(B68=10,Pricing!O$3,0))))))))))</f>
        <v>160</v>
      </c>
      <c r="I68" s="1557"/>
      <c r="J68" s="1558"/>
      <c r="K68" s="3013"/>
      <c r="L68" s="3010">
        <f>IF(B68=1,BS$42,IF(B68=2,BT$42,IF(B68=3,BU$42,IF(B68=4,BV$42,IF(B68=5,BW$42,IF(B68=6,BX$42,IF(B68=7,BY$42,IF(B68=8,BZ$42,IF(B68=9,CA$42,IF(B68=10,CB$42))))))))))</f>
        <v>0</v>
      </c>
      <c r="M68" s="3010"/>
      <c r="N68" s="17" t="s">
        <v>1286</v>
      </c>
      <c r="O68" s="2953">
        <f>L68*G68*(IF(W$44="N",1+Y$44,1))</f>
        <v>0</v>
      </c>
      <c r="P68" s="2953"/>
      <c r="R68" s="961"/>
      <c r="S68" s="859"/>
      <c r="T68" s="77"/>
      <c r="V68" s="1176"/>
      <c r="W68" s="77"/>
      <c r="X68" s="1174"/>
      <c r="Y68" s="77"/>
      <c r="Z68" s="1559">
        <f t="shared" si="109"/>
        <v>0</v>
      </c>
      <c r="AA68" s="351"/>
      <c r="AT68" s="626"/>
      <c r="AU68" s="626"/>
    </row>
    <row r="69" spans="2:47" ht="21.75" customHeight="1">
      <c r="B69" s="1561">
        <v>8</v>
      </c>
      <c r="C69" s="966" t="str">
        <f>IF(B69=1,Pricing!F$2,IF(B69=2,Pricing!G$2,IF(B69=3,Pricing!H$2,IF(B69=4,Pricing!I$2,IF(B69=5,Pricing!J$2,IF(B69=6,Pricing!K$2,IF(B69=7,Pricing!L$2,IF(B69=8,Pricing!M$2,IF(B69=9,Pricing!N$2,IF(B69=10,Pricing!O$2,0))))))))))</f>
        <v>5,000 PSI / Ash no Air</v>
      </c>
      <c r="D69" s="373"/>
      <c r="E69" s="373"/>
      <c r="F69" s="373"/>
      <c r="G69" s="1180">
        <f>IF(B69=1,Pricing!F$3,IF(B69=2,Pricing!G$3,IF(B69=3,Pricing!H$3,IF(B69=4,Pricing!I$3,IF(B69=5,Pricing!J$3,IF(B69=6,Pricing!K$3,IF(B69=7,Pricing!L$3,IF(B69=8,Pricing!M$3,IF(B69=9,Pricing!N$3,IF(B69=10,Pricing!O$3,0))))))))))</f>
        <v>175</v>
      </c>
      <c r="H69" s="373" t="s">
        <v>1285</v>
      </c>
      <c r="I69" s="1562"/>
      <c r="J69" s="954"/>
      <c r="K69" s="3013"/>
      <c r="L69" s="3010">
        <f>IF(B69=1,BS$42,IF(B69=2,BT$42,IF(B69=3,BU$42,IF(B69=4,BV$42,IF(B69=5,BW$42,IF(B69=6,BX$42,IF(B69=7,BY$42,IF(B69=8,BZ$42,IF(B69=9,CA$42,IF(B69=10,CB$42))))))))))</f>
        <v>0</v>
      </c>
      <c r="M69" s="3010"/>
      <c r="N69" s="967" t="s">
        <v>1286</v>
      </c>
      <c r="O69" s="3048">
        <f>L69*G69*(IF(W$44="N",1+Y$44,1))</f>
        <v>0</v>
      </c>
      <c r="P69" s="3048"/>
      <c r="R69" s="1038" t="s">
        <v>1069</v>
      </c>
      <c r="S69" s="859" t="s">
        <v>534</v>
      </c>
      <c r="T69" s="77"/>
      <c r="V69" s="1176">
        <f>K42*W65</f>
        <v>2445</v>
      </c>
      <c r="W69" s="77" t="s">
        <v>1259</v>
      </c>
      <c r="X69" s="1174">
        <f>Pricing!Q5</f>
        <v>1.4453125</v>
      </c>
      <c r="Y69" s="77" t="s">
        <v>527</v>
      </c>
      <c r="Z69" s="1555">
        <f t="shared" si="109"/>
        <v>3825.32666015625</v>
      </c>
      <c r="AT69" s="626"/>
      <c r="AU69" s="626"/>
    </row>
    <row r="70" spans="2:47" ht="21.75" customHeight="1">
      <c r="B70" s="1563" t="str">
        <f>Summary!V60</f>
        <v>Import</v>
      </c>
      <c r="C70" s="1177" t="s">
        <v>1287</v>
      </c>
      <c r="D70" s="1177"/>
      <c r="E70" s="1177"/>
      <c r="F70" s="1177"/>
      <c r="G70" s="969">
        <f>Pricing!D22</f>
        <v>0.6</v>
      </c>
      <c r="H70" s="18" t="s">
        <v>555</v>
      </c>
      <c r="I70" s="793"/>
      <c r="J70" s="1564"/>
      <c r="K70" s="1565">
        <v>0.1</v>
      </c>
      <c r="L70" s="2957">
        <f>SUM(BM10:BM41)+SUM(BO10:BO41)</f>
        <v>66062.011344382976</v>
      </c>
      <c r="M70" s="2957"/>
      <c r="N70" s="18" t="s">
        <v>1288</v>
      </c>
      <c r="O70" s="2958">
        <f>G70*L70*(IF(W44="N",1+Y44,1))</f>
        <v>42907.276368176746</v>
      </c>
      <c r="P70" s="2958"/>
      <c r="R70" s="1038" t="s">
        <v>1069</v>
      </c>
      <c r="S70" s="859" t="s">
        <v>1606</v>
      </c>
      <c r="T70" s="77"/>
      <c r="V70" s="1176">
        <f>SUM(W10:X41)*3</f>
        <v>3027</v>
      </c>
      <c r="W70" s="77" t="s">
        <v>1259</v>
      </c>
      <c r="X70" s="1174">
        <f>X66*0.65</f>
        <v>0.55859375</v>
      </c>
      <c r="Y70" s="77" t="s">
        <v>527</v>
      </c>
      <c r="Z70" s="1555">
        <f t="shared" si="109"/>
        <v>1830.3595019531251</v>
      </c>
      <c r="AP70" s="626"/>
      <c r="AQ70" s="626"/>
      <c r="AR70" s="626"/>
      <c r="AS70" s="626"/>
      <c r="AT70" s="626"/>
      <c r="AU70" s="626"/>
    </row>
    <row r="71" spans="2:47" ht="21.75" customHeight="1">
      <c r="B71" s="482" t="s">
        <v>598</v>
      </c>
      <c r="C71" s="1177"/>
      <c r="D71" s="1177"/>
      <c r="E71" s="1177"/>
      <c r="F71" s="1177"/>
      <c r="G71" s="1182">
        <f>Pricing!D26</f>
        <v>0.4</v>
      </c>
      <c r="H71" s="18" t="s">
        <v>600</v>
      </c>
      <c r="I71" s="793"/>
      <c r="J71" s="1564"/>
      <c r="K71" s="1184">
        <v>0.1</v>
      </c>
      <c r="L71" s="3049">
        <f>O42</f>
        <v>0</v>
      </c>
      <c r="M71" s="3049"/>
      <c r="N71" s="18" t="s">
        <v>1418</v>
      </c>
      <c r="O71" s="2953">
        <f>G71*L71*(IF(W$44="N",1+Y$44,1))</f>
        <v>0</v>
      </c>
      <c r="P71" s="2953"/>
      <c r="R71" s="1038" t="s">
        <v>1069</v>
      </c>
      <c r="S71" s="859" t="s">
        <v>538</v>
      </c>
      <c r="T71" s="77"/>
      <c r="V71" s="1176">
        <f>CE42*W65*2</f>
        <v>4890</v>
      </c>
      <c r="W71" s="77" t="s">
        <v>1259</v>
      </c>
      <c r="X71" s="1174">
        <f>Pricing!Q7</f>
        <v>1.09375</v>
      </c>
      <c r="Y71" s="77" t="s">
        <v>527</v>
      </c>
      <c r="Z71" s="1555">
        <f t="shared" si="109"/>
        <v>5789.68359375</v>
      </c>
      <c r="AP71" s="626"/>
      <c r="AQ71" s="626"/>
      <c r="AR71" s="626"/>
      <c r="AS71" s="626"/>
      <c r="AT71" s="626"/>
      <c r="AU71" s="626"/>
    </row>
    <row r="72" spans="2:47" ht="21.75" customHeight="1">
      <c r="B72" s="482" t="s">
        <v>1419</v>
      </c>
      <c r="C72" s="3050" t="s">
        <v>1607</v>
      </c>
      <c r="D72" s="3050"/>
      <c r="E72" s="3050" t="s">
        <v>1608</v>
      </c>
      <c r="F72" s="3050"/>
      <c r="G72" s="1182">
        <v>0.85</v>
      </c>
      <c r="H72" s="1035" t="s">
        <v>600</v>
      </c>
      <c r="I72" s="747" t="s">
        <v>1291</v>
      </c>
      <c r="J72" s="3051"/>
      <c r="K72" s="3051"/>
      <c r="L72" s="3052">
        <f>CD42*0.4</f>
        <v>25089.200000000001</v>
      </c>
      <c r="M72" s="3052"/>
      <c r="N72" s="18" t="s">
        <v>1288</v>
      </c>
      <c r="O72" s="2792">
        <f>IF(J72=0,CD42*G72*IF(W44="n",(1+Y44),1),J72)</f>
        <v>57713.000374999996</v>
      </c>
      <c r="P72" s="2792"/>
      <c r="R72" s="1038" t="s">
        <v>1069</v>
      </c>
      <c r="S72" s="859" t="s">
        <v>1292</v>
      </c>
      <c r="T72" s="77"/>
      <c r="V72" s="1176">
        <f>ROUNDUP(SUM(K10:K41)*0.03/16,0)</f>
        <v>10</v>
      </c>
      <c r="W72" s="77" t="s">
        <v>1609</v>
      </c>
      <c r="X72" s="1174">
        <f>Pricing!Q9</f>
        <v>20</v>
      </c>
      <c r="Y72" s="77" t="s">
        <v>1610</v>
      </c>
      <c r="Z72" s="1555">
        <f t="shared" si="109"/>
        <v>216.5</v>
      </c>
      <c r="AP72" s="626"/>
      <c r="AQ72" s="626"/>
      <c r="AR72" s="626"/>
      <c r="AS72" s="626"/>
      <c r="AT72" s="626"/>
      <c r="AU72" s="626"/>
    </row>
    <row r="73" spans="2:47" ht="21.75" customHeight="1">
      <c r="B73" s="1566" t="s">
        <v>1611</v>
      </c>
      <c r="C73" s="1567"/>
      <c r="D73" s="1567"/>
      <c r="E73" s="1567"/>
      <c r="F73" s="1567"/>
      <c r="G73" s="1180">
        <f>Pricing!D19</f>
        <v>25</v>
      </c>
      <c r="H73" s="373" t="s">
        <v>1285</v>
      </c>
      <c r="I73" s="1568"/>
      <c r="J73" s="1569"/>
      <c r="K73" s="1570"/>
      <c r="L73" s="3053">
        <f>CJ42</f>
        <v>387.17901234567898</v>
      </c>
      <c r="M73" s="3053"/>
      <c r="N73" s="373" t="s">
        <v>1286</v>
      </c>
      <c r="O73" s="3048">
        <f>G73*L73*(IF(W$44="N",1+Y$44,1))</f>
        <v>10478.032021604939</v>
      </c>
      <c r="P73" s="3048"/>
      <c r="R73" s="1038" t="s">
        <v>1069</v>
      </c>
      <c r="S73" s="859" t="s">
        <v>540</v>
      </c>
      <c r="T73" s="77"/>
      <c r="V73" s="1176">
        <f>I83/32*W65*1.1</f>
        <v>14.867187500000002</v>
      </c>
      <c r="W73" s="77" t="s">
        <v>1420</v>
      </c>
      <c r="X73" s="1174">
        <f>Pricing!Q8</f>
        <v>74.75</v>
      </c>
      <c r="Y73" s="77" t="s">
        <v>541</v>
      </c>
      <c r="Z73" s="1555">
        <f t="shared" si="109"/>
        <v>1203.0063525390628</v>
      </c>
      <c r="AP73" s="626"/>
      <c r="AQ73" s="626"/>
      <c r="AR73" s="626"/>
      <c r="AS73" s="626"/>
      <c r="AT73" s="626"/>
      <c r="AU73" s="626"/>
    </row>
    <row r="74" spans="2:47" ht="21.75" customHeight="1">
      <c r="B74" s="574" t="s">
        <v>1612</v>
      </c>
      <c r="E74" s="3054" t="s">
        <v>1613</v>
      </c>
      <c r="F74" s="1571"/>
      <c r="G74" s="1572">
        <v>1</v>
      </c>
      <c r="H74" s="18" t="s">
        <v>1259</v>
      </c>
      <c r="I74" s="793"/>
      <c r="J74" s="1564"/>
      <c r="K74" s="1573">
        <v>0.1</v>
      </c>
      <c r="L74" s="3055"/>
      <c r="M74" s="3055"/>
      <c r="N74" s="18" t="s">
        <v>1418</v>
      </c>
      <c r="O74" s="2958">
        <f>L74*G74*(IF(W$44="N",1+Y$44,1))</f>
        <v>0</v>
      </c>
      <c r="P74" s="2958"/>
      <c r="R74" s="1038" t="s">
        <v>1069</v>
      </c>
      <c r="S74" s="859" t="s">
        <v>1298</v>
      </c>
      <c r="T74" s="77"/>
      <c r="V74" s="1176">
        <f>ROUND(V71/25,0)</f>
        <v>196</v>
      </c>
      <c r="W74" s="77" t="s">
        <v>1299</v>
      </c>
      <c r="X74" s="1174">
        <f>Pricing!Q15</f>
        <v>24</v>
      </c>
      <c r="Y74" s="77" t="s">
        <v>1300</v>
      </c>
      <c r="Z74" s="1555">
        <f t="shared" si="109"/>
        <v>5092.08</v>
      </c>
      <c r="AP74" s="626"/>
      <c r="AQ74" s="626"/>
      <c r="AR74" s="626"/>
      <c r="AS74" s="626"/>
      <c r="AT74" s="626"/>
      <c r="AU74" s="626"/>
    </row>
    <row r="75" spans="2:47" ht="23.25" customHeight="1">
      <c r="B75" s="574" t="s">
        <v>1614</v>
      </c>
      <c r="E75" s="3054"/>
      <c r="F75" s="1060" t="s">
        <v>1047</v>
      </c>
      <c r="G75" s="1572">
        <v>1.35</v>
      </c>
      <c r="H75" s="18" t="s">
        <v>600</v>
      </c>
      <c r="K75" s="1574">
        <v>0.1</v>
      </c>
      <c r="L75" s="3056">
        <f>IF(F75="Y",SUM(D$42)*(1+K$75),0)</f>
        <v>0</v>
      </c>
      <c r="M75" s="3056"/>
      <c r="N75" s="18" t="s">
        <v>1418</v>
      </c>
      <c r="O75" s="2953">
        <f>L75*G75*(IF(W$44="N",1+Y$44,1))</f>
        <v>0</v>
      </c>
      <c r="P75" s="2953"/>
      <c r="R75" s="1038" t="s">
        <v>1069</v>
      </c>
      <c r="S75" s="859" t="s">
        <v>561</v>
      </c>
      <c r="T75" s="77"/>
      <c r="V75" s="1176">
        <f>ROUNDUP((SUM(K10:K41))*1.25/500,0)</f>
        <v>13</v>
      </c>
      <c r="W75" s="77" t="s">
        <v>1303</v>
      </c>
      <c r="X75" s="1174">
        <f>Pricing!Q16</f>
        <v>68.2</v>
      </c>
      <c r="Y75" s="77" t="s">
        <v>562</v>
      </c>
      <c r="Z75" s="1555">
        <f t="shared" si="109"/>
        <v>959.74450000000002</v>
      </c>
      <c r="AP75" s="626"/>
      <c r="AQ75" s="626"/>
      <c r="AR75" s="626"/>
      <c r="AS75" s="626"/>
      <c r="AT75" s="626"/>
      <c r="AU75" s="626" t="s">
        <v>860</v>
      </c>
    </row>
    <row r="76" spans="2:47" ht="21.75" customHeight="1">
      <c r="B76" s="574" t="s">
        <v>1615</v>
      </c>
      <c r="E76" s="3054"/>
      <c r="F76" s="1060" t="s">
        <v>1047</v>
      </c>
      <c r="G76" s="1197">
        <v>0.35</v>
      </c>
      <c r="H76" s="18" t="s">
        <v>600</v>
      </c>
      <c r="I76" s="380"/>
      <c r="J76" s="1183"/>
      <c r="K76" s="1574"/>
      <c r="L76" s="3056">
        <f>IF(F76="Y",SUM(D$42)*(1+K$75),0)</f>
        <v>0</v>
      </c>
      <c r="M76" s="3056"/>
      <c r="N76" s="18" t="s">
        <v>1418</v>
      </c>
      <c r="O76" s="2953">
        <f>L76*G76*(IF(W$44="N",1+Y$44,1))</f>
        <v>0</v>
      </c>
      <c r="P76" s="2953"/>
      <c r="R76" s="1038" t="s">
        <v>1069</v>
      </c>
      <c r="S76" s="859" t="s">
        <v>563</v>
      </c>
      <c r="T76" s="77"/>
      <c r="V76" s="1176">
        <f>ROUNDUP((SUM(K11:K42))*1.25/500,0)</f>
        <v>24</v>
      </c>
      <c r="W76" s="77" t="s">
        <v>1303</v>
      </c>
      <c r="X76" s="1174">
        <f>Pricing!Q17</f>
        <v>68.2</v>
      </c>
      <c r="Y76" s="77" t="s">
        <v>562</v>
      </c>
      <c r="Z76" s="1555">
        <f t="shared" si="109"/>
        <v>1771.8360000000002</v>
      </c>
      <c r="AP76" s="626"/>
      <c r="AQ76" s="626"/>
      <c r="AR76" s="626"/>
      <c r="AS76" s="626"/>
      <c r="AT76" s="626"/>
      <c r="AU76" s="626"/>
    </row>
    <row r="77" spans="2:47" ht="21.75" customHeight="1">
      <c r="B77" s="1007" t="s">
        <v>1067</v>
      </c>
      <c r="C77" s="802"/>
      <c r="D77" s="802"/>
      <c r="E77" s="802"/>
      <c r="F77" s="1575"/>
      <c r="G77" s="1218">
        <v>20</v>
      </c>
      <c r="H77" s="976" t="s">
        <v>1616</v>
      </c>
      <c r="I77" s="802"/>
      <c r="J77" s="802"/>
      <c r="K77" s="1576">
        <v>0.1</v>
      </c>
      <c r="L77" s="3057">
        <v>0</v>
      </c>
      <c r="M77" s="3057"/>
      <c r="N77" s="976" t="s">
        <v>1463</v>
      </c>
      <c r="O77" s="3058">
        <f>L77*G77*(IF(W$44="N",1+Y$44,1))</f>
        <v>0</v>
      </c>
      <c r="P77" s="3058"/>
      <c r="R77" s="1038" t="s">
        <v>1069</v>
      </c>
      <c r="S77" s="859" t="s">
        <v>1617</v>
      </c>
      <c r="T77" s="77"/>
      <c r="V77" s="1176">
        <f>ROUNDUP((SUM(K12:K47))*1.25/500,0)</f>
        <v>24</v>
      </c>
      <c r="W77" s="77" t="s">
        <v>1303</v>
      </c>
      <c r="X77" s="1174">
        <f>Pricing!Q16</f>
        <v>68.2</v>
      </c>
      <c r="Y77" s="77" t="s">
        <v>562</v>
      </c>
      <c r="Z77" s="1555">
        <f t="shared" si="109"/>
        <v>1771.8360000000002</v>
      </c>
      <c r="AP77" s="626"/>
      <c r="AQ77" s="626"/>
      <c r="AR77" s="626"/>
      <c r="AS77" s="626"/>
      <c r="AT77" s="626"/>
      <c r="AU77" s="626"/>
    </row>
    <row r="78" spans="2:47" ht="21.75" customHeight="1">
      <c r="B78" s="1578" t="s">
        <v>1434</v>
      </c>
      <c r="C78" s="1579"/>
      <c r="D78" s="1579" t="s">
        <v>1296</v>
      </c>
      <c r="E78" s="1579"/>
      <c r="F78" s="1579"/>
      <c r="G78" s="1579"/>
      <c r="H78" s="1203"/>
      <c r="I78" s="1579"/>
      <c r="J78" s="1579"/>
      <c r="K78" s="1579"/>
      <c r="L78" s="1579" t="s">
        <v>973</v>
      </c>
      <c r="M78" s="1579"/>
      <c r="N78" s="1579" t="s">
        <v>1297</v>
      </c>
      <c r="O78" s="1579"/>
      <c r="P78" s="1580"/>
      <c r="R78" s="1038" t="s">
        <v>1069</v>
      </c>
      <c r="S78" s="859" t="s">
        <v>1310</v>
      </c>
      <c r="T78" s="77"/>
      <c r="V78" s="1176">
        <f>CE42/150</f>
        <v>32.6</v>
      </c>
      <c r="W78" s="77" t="s">
        <v>1303</v>
      </c>
      <c r="X78" s="1174">
        <f>Pricing!Q34</f>
        <v>45.239999999999995</v>
      </c>
      <c r="Y78" s="77" t="s">
        <v>562</v>
      </c>
      <c r="Z78" s="1555">
        <f t="shared" si="109"/>
        <v>1596.4969799999999</v>
      </c>
      <c r="AP78" s="626"/>
      <c r="AQ78" s="626"/>
      <c r="AR78" s="626"/>
      <c r="AS78" s="626"/>
      <c r="AT78" s="626"/>
      <c r="AU78" s="626"/>
    </row>
    <row r="79" spans="2:47" ht="21.75" customHeight="1">
      <c r="B79" s="1204" t="s">
        <v>1437</v>
      </c>
      <c r="C79" s="663"/>
      <c r="D79" s="982" t="s">
        <v>1302</v>
      </c>
      <c r="E79" s="3059">
        <v>0.45</v>
      </c>
      <c r="F79" s="3059"/>
      <c r="G79" s="983" t="s">
        <v>1618</v>
      </c>
      <c r="H79" s="3060">
        <f>SUM(E79:F82)</f>
        <v>1.85</v>
      </c>
      <c r="I79" s="3061">
        <f>D42</f>
        <v>62723</v>
      </c>
      <c r="J79" s="3061"/>
      <c r="K79" s="983" t="s">
        <v>1418</v>
      </c>
      <c r="L79" s="2828">
        <f>IF(D79="N",E79*I$79,0)</f>
        <v>0</v>
      </c>
      <c r="M79" s="2828"/>
      <c r="N79" s="168"/>
      <c r="O79" s="2829">
        <f>IF(D79="y",I$79*E79,0)</f>
        <v>28225.350000000002</v>
      </c>
      <c r="P79" s="2829"/>
      <c r="R79" s="1038" t="s">
        <v>1069</v>
      </c>
      <c r="S79" s="859" t="s">
        <v>571</v>
      </c>
      <c r="T79" s="77"/>
      <c r="V79" s="1176"/>
      <c r="W79" s="77" t="s">
        <v>1259</v>
      </c>
      <c r="X79" s="1174">
        <f>Pricing!Q19</f>
        <v>0.95</v>
      </c>
      <c r="Y79" s="77" t="s">
        <v>527</v>
      </c>
      <c r="Z79" s="1555">
        <f t="shared" si="109"/>
        <v>0</v>
      </c>
      <c r="AP79" s="626"/>
      <c r="AQ79" s="626"/>
      <c r="AR79" s="626"/>
      <c r="AS79" s="626"/>
      <c r="AT79" s="626"/>
      <c r="AU79" s="628"/>
    </row>
    <row r="80" spans="2:47" ht="21.75" customHeight="1">
      <c r="B80" s="482" t="s">
        <v>1619</v>
      </c>
      <c r="C80" s="1581"/>
      <c r="D80" s="984" t="s">
        <v>1302</v>
      </c>
      <c r="E80" s="3062">
        <v>0.65</v>
      </c>
      <c r="F80" s="3062"/>
      <c r="G80" s="18" t="s">
        <v>600</v>
      </c>
      <c r="H80" s="3060"/>
      <c r="I80" s="3061"/>
      <c r="J80" s="3061"/>
      <c r="K80" s="1581" t="s">
        <v>1418</v>
      </c>
      <c r="L80" s="2831">
        <f>IF(D80="N",E80*I$79,0)</f>
        <v>0</v>
      </c>
      <c r="M80" s="2831"/>
      <c r="O80" s="2792">
        <f>IF(D80="y",I$79*E80,0)</f>
        <v>40769.950000000004</v>
      </c>
      <c r="P80" s="2792"/>
      <c r="R80" s="1038" t="s">
        <v>1069</v>
      </c>
      <c r="S80" s="859" t="s">
        <v>576</v>
      </c>
      <c r="T80" s="77"/>
      <c r="V80" s="1176">
        <v>0</v>
      </c>
      <c r="W80" s="77" t="s">
        <v>1259</v>
      </c>
      <c r="X80" s="1174">
        <f>Pricing!Q20</f>
        <v>0.25</v>
      </c>
      <c r="Y80" s="77" t="s">
        <v>527</v>
      </c>
      <c r="Z80" s="1555">
        <f t="shared" si="109"/>
        <v>0</v>
      </c>
      <c r="AP80" s="626"/>
      <c r="AQ80" s="626"/>
      <c r="AR80" s="626"/>
      <c r="AS80" s="626"/>
      <c r="AT80" s="626"/>
      <c r="AU80" s="628"/>
    </row>
    <row r="81" spans="2:26" ht="21.75" customHeight="1">
      <c r="B81" s="482" t="s">
        <v>1442</v>
      </c>
      <c r="C81" s="380"/>
      <c r="D81" s="984" t="s">
        <v>1302</v>
      </c>
      <c r="E81" s="3063">
        <v>0.65</v>
      </c>
      <c r="F81" s="3063"/>
      <c r="G81" s="18" t="s">
        <v>1618</v>
      </c>
      <c r="H81" s="3060"/>
      <c r="I81" s="3061"/>
      <c r="J81" s="3061"/>
      <c r="K81" s="18" t="s">
        <v>1418</v>
      </c>
      <c r="L81" s="2831">
        <f>IF(D81="N",E81*I$79,0)</f>
        <v>0</v>
      </c>
      <c r="M81" s="2831"/>
      <c r="O81" s="2792">
        <f>IF(D81="y",I$79*E81,0)</f>
        <v>40769.950000000004</v>
      </c>
      <c r="P81" s="2792"/>
      <c r="R81" s="1038" t="s">
        <v>1069</v>
      </c>
      <c r="S81" s="859" t="s">
        <v>551</v>
      </c>
      <c r="T81" s="77"/>
      <c r="V81" s="1176">
        <v>0</v>
      </c>
      <c r="W81" s="77" t="s">
        <v>1259</v>
      </c>
      <c r="X81" s="1174">
        <f>Pricing!Q12</f>
        <v>1.0631249999999999</v>
      </c>
      <c r="Y81" s="77" t="s">
        <v>527</v>
      </c>
      <c r="Z81" s="1555">
        <f t="shared" si="109"/>
        <v>0</v>
      </c>
    </row>
    <row r="82" spans="2:26" ht="21.75" customHeight="1">
      <c r="B82" s="482" t="s">
        <v>1443</v>
      </c>
      <c r="C82" s="380"/>
      <c r="D82" s="984" t="s">
        <v>1302</v>
      </c>
      <c r="E82" s="3064">
        <v>0.1</v>
      </c>
      <c r="F82" s="3064"/>
      <c r="G82" s="18" t="s">
        <v>1618</v>
      </c>
      <c r="H82" s="3060"/>
      <c r="I82" s="3061"/>
      <c r="J82" s="3061"/>
      <c r="K82" s="18" t="s">
        <v>1418</v>
      </c>
      <c r="L82" s="2831">
        <f>IF(D82="N",E82*I$79,0)</f>
        <v>0</v>
      </c>
      <c r="M82" s="2831"/>
      <c r="O82" s="2792">
        <f>IF(D82="y",I$79*E82,0)</f>
        <v>6272.3</v>
      </c>
      <c r="P82" s="2792"/>
      <c r="R82" s="1038" t="s">
        <v>1069</v>
      </c>
      <c r="S82" s="859" t="s">
        <v>552</v>
      </c>
      <c r="T82" s="77"/>
      <c r="V82" s="1176">
        <v>0</v>
      </c>
      <c r="W82" s="77" t="s">
        <v>1259</v>
      </c>
      <c r="X82" s="1174">
        <f>Pricing!Q13</f>
        <v>1.494375</v>
      </c>
      <c r="Y82" s="77" t="s">
        <v>527</v>
      </c>
      <c r="Z82" s="1555">
        <f t="shared" si="109"/>
        <v>0</v>
      </c>
    </row>
    <row r="83" spans="2:26" ht="21.75" customHeight="1">
      <c r="B83" s="482" t="s">
        <v>1488</v>
      </c>
      <c r="C83" s="380"/>
      <c r="D83" s="984" t="s">
        <v>1302</v>
      </c>
      <c r="E83" s="3065">
        <v>8</v>
      </c>
      <c r="F83" s="3065"/>
      <c r="G83" s="18" t="s">
        <v>1620</v>
      </c>
      <c r="I83" s="3066">
        <f>SUM(T10:T41)</f>
        <v>865</v>
      </c>
      <c r="J83" s="3066"/>
      <c r="K83" s="18" t="s">
        <v>1621</v>
      </c>
      <c r="L83" s="2831">
        <f>IF(D83="N",E83*I$83,0)</f>
        <v>0</v>
      </c>
      <c r="M83" s="2831"/>
      <c r="O83" s="2792">
        <f>IF(D83="y",I$83*E83,0)</f>
        <v>6920</v>
      </c>
      <c r="P83" s="2792"/>
      <c r="R83" s="1038" t="s">
        <v>1069</v>
      </c>
      <c r="S83" s="859" t="s">
        <v>1622</v>
      </c>
      <c r="T83" s="77"/>
      <c r="V83" s="1176">
        <v>0</v>
      </c>
      <c r="W83" s="77" t="s">
        <v>1623</v>
      </c>
      <c r="X83" s="1174">
        <v>400</v>
      </c>
      <c r="Y83" s="77" t="s">
        <v>1624</v>
      </c>
      <c r="Z83" s="1555">
        <f t="shared" si="109"/>
        <v>0</v>
      </c>
    </row>
    <row r="84" spans="2:26" ht="21.75" customHeight="1">
      <c r="B84" s="482" t="s">
        <v>1473</v>
      </c>
      <c r="C84" s="380"/>
      <c r="D84" s="984" t="s">
        <v>1302</v>
      </c>
      <c r="E84" s="1582"/>
      <c r="F84" s="1583"/>
      <c r="G84" s="1584"/>
      <c r="H84" s="1585"/>
      <c r="I84" s="1586"/>
      <c r="J84" s="1586"/>
      <c r="K84" s="1584"/>
      <c r="L84" s="1587"/>
      <c r="M84" s="1587"/>
      <c r="N84" s="1585"/>
      <c r="O84" s="2792">
        <f>SUM(CP10:CP41)</f>
        <v>0</v>
      </c>
      <c r="P84" s="2792"/>
      <c r="R84" s="1038" t="s">
        <v>1069</v>
      </c>
      <c r="S84" s="859" t="s">
        <v>1625</v>
      </c>
      <c r="T84" s="77"/>
      <c r="V84" s="1176">
        <v>0</v>
      </c>
      <c r="W84" s="77" t="s">
        <v>1623</v>
      </c>
      <c r="X84" s="1174">
        <v>6.75</v>
      </c>
      <c r="Y84" s="77"/>
      <c r="Z84" s="1555">
        <f t="shared" si="109"/>
        <v>0</v>
      </c>
    </row>
    <row r="85" spans="2:26" ht="21.75" customHeight="1">
      <c r="B85" s="482" t="s">
        <v>1626</v>
      </c>
      <c r="C85" s="380"/>
      <c r="D85" s="984" t="s">
        <v>1302</v>
      </c>
      <c r="E85" s="3065">
        <v>12</v>
      </c>
      <c r="F85" s="3065"/>
      <c r="G85" s="18" t="s">
        <v>1285</v>
      </c>
      <c r="I85" s="3066">
        <f>IF((SUM(L65:M69)-I79/27)&lt;0,0,SUM(L65:M69)-I79/30)</f>
        <v>0</v>
      </c>
      <c r="J85" s="3066"/>
      <c r="K85" s="18" t="s">
        <v>998</v>
      </c>
      <c r="L85" s="2831">
        <f>IF(D85="N",E85*I$85,0)</f>
        <v>0</v>
      </c>
      <c r="M85" s="2831"/>
      <c r="O85" s="2792">
        <f>IF(D85="y",I$85*E85,0)</f>
        <v>0</v>
      </c>
      <c r="P85" s="2792"/>
      <c r="R85" s="1038" t="s">
        <v>1069</v>
      </c>
      <c r="S85" s="859" t="s">
        <v>1627</v>
      </c>
      <c r="T85" s="77"/>
      <c r="V85" s="1176">
        <v>0</v>
      </c>
      <c r="W85" s="77" t="s">
        <v>1623</v>
      </c>
      <c r="X85" s="1174">
        <v>8.5</v>
      </c>
      <c r="Y85" s="77"/>
      <c r="Z85" s="1555">
        <f t="shared" si="109"/>
        <v>0</v>
      </c>
    </row>
    <row r="86" spans="2:26" ht="21.75" customHeight="1">
      <c r="B86" s="482" t="s">
        <v>1628</v>
      </c>
      <c r="C86" s="380"/>
      <c r="D86" s="984" t="s">
        <v>1302</v>
      </c>
      <c r="E86" s="3065">
        <v>100</v>
      </c>
      <c r="F86" s="3065"/>
      <c r="G86" s="18" t="s">
        <v>1624</v>
      </c>
      <c r="I86" s="3067">
        <f>CK42</f>
        <v>0</v>
      </c>
      <c r="J86" s="3067"/>
      <c r="K86" s="18" t="s">
        <v>1000</v>
      </c>
      <c r="L86" s="2831">
        <f>IF(D86="N",E86*I$86,0)</f>
        <v>0</v>
      </c>
      <c r="M86" s="2831"/>
      <c r="O86" s="2792">
        <f>IF(D86="y",I$86*E86,0)</f>
        <v>0</v>
      </c>
      <c r="P86" s="2792"/>
      <c r="R86" s="1038" t="s">
        <v>1069</v>
      </c>
      <c r="S86" s="1208"/>
      <c r="T86" s="1209"/>
      <c r="U86" s="248"/>
      <c r="V86" s="1210"/>
      <c r="W86" s="1209"/>
      <c r="X86" s="1211"/>
      <c r="Y86" s="1209"/>
      <c r="Z86" s="1588">
        <f t="shared" si="109"/>
        <v>0</v>
      </c>
    </row>
    <row r="87" spans="2:26" ht="21.75" customHeight="1">
      <c r="B87" s="482" t="s">
        <v>1307</v>
      </c>
      <c r="C87" s="380"/>
      <c r="D87" s="984" t="s">
        <v>1302</v>
      </c>
      <c r="E87" s="3068">
        <v>400</v>
      </c>
      <c r="F87" s="3068"/>
      <c r="G87" s="18" t="s">
        <v>1308</v>
      </c>
      <c r="I87" s="3067">
        <f>U42/2000</f>
        <v>22.054480672191488</v>
      </c>
      <c r="J87" s="3067"/>
      <c r="K87" s="18" t="s">
        <v>1309</v>
      </c>
      <c r="L87" s="2831">
        <f>IF(D87="N",E87*I$87,0)</f>
        <v>0</v>
      </c>
      <c r="M87" s="2831"/>
      <c r="O87" s="2792">
        <f>IF(D87="y",I87*E87,0)</f>
        <v>8821.7922688765957</v>
      </c>
      <c r="P87" s="2792"/>
      <c r="R87" s="961" t="s">
        <v>1077</v>
      </c>
      <c r="S87" s="859" t="s">
        <v>1629</v>
      </c>
      <c r="T87" s="77" t="s">
        <v>1630</v>
      </c>
      <c r="U87" s="53" t="s">
        <v>1047</v>
      </c>
      <c r="V87" s="1176">
        <f>IF(U87="Y",DC47/1900,0)</f>
        <v>0</v>
      </c>
      <c r="W87" s="77" t="s">
        <v>1454</v>
      </c>
      <c r="X87" s="1174">
        <f>82+25</f>
        <v>107</v>
      </c>
      <c r="Y87" s="77" t="s">
        <v>1631</v>
      </c>
      <c r="Z87" s="1555">
        <f t="shared" si="109"/>
        <v>0</v>
      </c>
    </row>
    <row r="88" spans="2:26" ht="21.75" customHeight="1">
      <c r="B88" s="1566" t="s">
        <v>1313</v>
      </c>
      <c r="C88" s="988"/>
      <c r="D88" s="989" t="s">
        <v>1302</v>
      </c>
      <c r="E88" s="3069"/>
      <c r="F88" s="3069"/>
      <c r="G88" s="373"/>
      <c r="H88" s="373"/>
      <c r="I88" s="1589"/>
      <c r="J88" s="1589"/>
      <c r="K88" s="373"/>
      <c r="L88" s="2834">
        <f>IF(D88="N",E88,0)</f>
        <v>0</v>
      </c>
      <c r="M88" s="2834"/>
      <c r="N88" s="248"/>
      <c r="O88" s="2835">
        <f>IF(D88="y",E88,0)</f>
        <v>0</v>
      </c>
      <c r="P88" s="2835"/>
      <c r="R88" s="961" t="s">
        <v>1077</v>
      </c>
      <c r="S88" s="859" t="s">
        <v>1632</v>
      </c>
      <c r="T88" s="77" t="s">
        <v>1633</v>
      </c>
      <c r="U88" s="53" t="s">
        <v>1306</v>
      </c>
      <c r="V88" s="1176">
        <f>IF(U88="Y",DC$47/2940,0)</f>
        <v>48.889569160997723</v>
      </c>
      <c r="W88" s="77" t="s">
        <v>1454</v>
      </c>
      <c r="X88" s="1174">
        <f>Pricing!Q58+30</f>
        <v>340</v>
      </c>
      <c r="Y88" s="77" t="s">
        <v>1631</v>
      </c>
      <c r="Z88" s="1555">
        <f t="shared" si="109"/>
        <v>17993.805929705213</v>
      </c>
    </row>
    <row r="89" spans="2:26" ht="21.75" customHeight="1">
      <c r="B89" s="990" t="s">
        <v>1447</v>
      </c>
      <c r="C89" s="991"/>
      <c r="D89" s="992"/>
      <c r="E89" s="993">
        <f>IF(I79=0,0,(O89-E88+L89)/I79)</f>
        <v>2.1009732039104727</v>
      </c>
      <c r="F89" s="1590"/>
      <c r="G89" s="802"/>
      <c r="H89" s="976"/>
      <c r="I89" s="991" t="s">
        <v>980</v>
      </c>
      <c r="J89" s="991"/>
      <c r="K89" s="991"/>
      <c r="L89" s="2838">
        <f>SUM(L79:M88)</f>
        <v>0</v>
      </c>
      <c r="M89" s="2838"/>
      <c r="N89" s="229"/>
      <c r="O89" s="2867">
        <f>SUM(O79:P88)</f>
        <v>131779.34226887659</v>
      </c>
      <c r="P89" s="2867"/>
      <c r="R89" s="961" t="s">
        <v>1077</v>
      </c>
      <c r="S89" s="859" t="s">
        <v>1634</v>
      </c>
      <c r="T89" s="77" t="s">
        <v>1635</v>
      </c>
      <c r="U89" s="53" t="s">
        <v>1047</v>
      </c>
      <c r="V89" s="1176">
        <f>IF(U89="Y",DC$47/1760,0)</f>
        <v>0</v>
      </c>
      <c r="W89" s="77" t="s">
        <v>1454</v>
      </c>
      <c r="X89" s="1174">
        <f>Pricing!U56+45</f>
        <v>415</v>
      </c>
      <c r="Y89" s="77" t="s">
        <v>1631</v>
      </c>
      <c r="Z89" s="1555">
        <f t="shared" si="109"/>
        <v>0</v>
      </c>
    </row>
    <row r="90" spans="2:26" ht="21.75" customHeight="1">
      <c r="B90" s="1202" t="s">
        <v>1449</v>
      </c>
      <c r="C90" s="1591"/>
      <c r="D90" s="1591"/>
      <c r="E90" s="1591"/>
      <c r="F90" s="1591"/>
      <c r="G90" s="1591"/>
      <c r="H90" s="1591"/>
      <c r="I90" s="1591"/>
      <c r="J90" s="1591"/>
      <c r="K90" s="1591"/>
      <c r="L90" s="1591"/>
      <c r="M90" s="1591"/>
      <c r="N90" s="1591"/>
      <c r="O90" s="1591"/>
      <c r="P90" s="1592"/>
      <c r="R90" s="961" t="s">
        <v>1077</v>
      </c>
      <c r="S90" s="1208" t="s">
        <v>1636</v>
      </c>
      <c r="T90" s="1209" t="s">
        <v>1637</v>
      </c>
      <c r="U90" s="470" t="s">
        <v>1047</v>
      </c>
      <c r="V90" s="1210">
        <f>IF(U90="y",DC47/2360,0)</f>
        <v>0</v>
      </c>
      <c r="W90" s="1209" t="s">
        <v>1454</v>
      </c>
      <c r="X90" s="1211"/>
      <c r="Y90" s="1209" t="s">
        <v>1631</v>
      </c>
      <c r="Z90" s="1588">
        <f t="shared" si="109"/>
        <v>0</v>
      </c>
    </row>
    <row r="91" spans="2:26" ht="21.75" customHeight="1">
      <c r="B91" s="1593" t="s">
        <v>1316</v>
      </c>
      <c r="C91" s="983"/>
      <c r="D91" s="998">
        <f>I79/16000</f>
        <v>3.9201874999999999</v>
      </c>
      <c r="E91" s="999">
        <f>D91*7</f>
        <v>27.441312499999999</v>
      </c>
      <c r="F91" s="983" t="s">
        <v>1317</v>
      </c>
      <c r="G91" s="1000">
        <v>425</v>
      </c>
      <c r="H91" s="1001" t="s">
        <v>620</v>
      </c>
      <c r="I91" s="983"/>
      <c r="J91" s="983"/>
      <c r="K91" s="983"/>
      <c r="L91" s="983"/>
      <c r="M91" s="3070">
        <f>IF(E45=0,0,(SUM(O91:P93))/E45)</f>
        <v>1.7741551657741387E-2</v>
      </c>
      <c r="N91" s="3070"/>
      <c r="O91" s="2829">
        <f>E91*G91</f>
        <v>11662.557812499999</v>
      </c>
      <c r="P91" s="2829"/>
      <c r="R91" s="1038"/>
      <c r="S91" s="859" t="s">
        <v>1638</v>
      </c>
      <c r="T91" s="77" t="s">
        <v>1627</v>
      </c>
      <c r="U91" s="1594">
        <f>19*19/144</f>
        <v>2.5069444444444446</v>
      </c>
      <c r="V91" s="1176"/>
      <c r="W91" s="1212"/>
      <c r="X91" s="1113">
        <f>U91*V85/27</f>
        <v>0</v>
      </c>
      <c r="Y91" s="77" t="s">
        <v>1639</v>
      </c>
      <c r="Z91" s="1555">
        <f t="shared" si="109"/>
        <v>0</v>
      </c>
    </row>
    <row r="92" spans="2:26" ht="21.75" customHeight="1">
      <c r="B92" s="482" t="s">
        <v>1640</v>
      </c>
      <c r="E92" s="1002"/>
      <c r="F92" s="1003" t="s">
        <v>1317</v>
      </c>
      <c r="G92" s="1004">
        <v>250</v>
      </c>
      <c r="H92" s="1035" t="s">
        <v>620</v>
      </c>
      <c r="M92" s="3071">
        <f>SUM(O91:P93)</f>
        <v>14406.6890625</v>
      </c>
      <c r="N92" s="3071"/>
      <c r="O92" s="2792">
        <f>E92*G92</f>
        <v>0</v>
      </c>
      <c r="P92" s="2792"/>
      <c r="R92" s="1038"/>
      <c r="S92" s="859"/>
      <c r="T92" s="77" t="s">
        <v>1625</v>
      </c>
      <c r="U92" s="1594">
        <f>19*19/144*8.5/12</f>
        <v>1.7757523148148149</v>
      </c>
      <c r="V92" s="1176"/>
      <c r="W92" s="1212"/>
      <c r="X92" s="1113">
        <f>U92*V84/27</f>
        <v>0</v>
      </c>
      <c r="Y92" s="77" t="s">
        <v>1639</v>
      </c>
      <c r="Z92" s="1555">
        <f t="shared" si="109"/>
        <v>0</v>
      </c>
    </row>
    <row r="93" spans="2:26" ht="21.75" customHeight="1">
      <c r="B93" s="482" t="s">
        <v>1320</v>
      </c>
      <c r="E93" s="1002">
        <f>E91</f>
        <v>27.441312499999999</v>
      </c>
      <c r="F93" s="18" t="s">
        <v>1317</v>
      </c>
      <c r="G93" s="1004">
        <v>100</v>
      </c>
      <c r="H93" s="18" t="s">
        <v>620</v>
      </c>
      <c r="O93" s="2792">
        <f>E93*G93</f>
        <v>2744.1312499999999</v>
      </c>
      <c r="P93" s="2792"/>
      <c r="R93" s="1172"/>
      <c r="S93" s="859"/>
      <c r="T93" s="77"/>
      <c r="V93" s="1176"/>
      <c r="W93" s="77"/>
      <c r="X93" s="1174"/>
      <c r="Y93" s="77"/>
      <c r="Z93" s="1555">
        <f t="shared" si="109"/>
        <v>0</v>
      </c>
    </row>
    <row r="94" spans="2:26" ht="21.75" customHeight="1">
      <c r="B94" s="1595" t="s">
        <v>1321</v>
      </c>
      <c r="C94" s="976"/>
      <c r="D94" s="976"/>
      <c r="E94" s="1008">
        <f>E91</f>
        <v>27.441312499999999</v>
      </c>
      <c r="F94" s="976"/>
      <c r="G94" s="1020">
        <v>200</v>
      </c>
      <c r="H94" s="976"/>
      <c r="I94" s="976"/>
      <c r="J94" s="976"/>
      <c r="K94" s="976"/>
      <c r="L94" s="976"/>
      <c r="M94" s="2843">
        <f>IF(E45=0,0,O94/E45)</f>
        <v>6.758686345806242E-3</v>
      </c>
      <c r="N94" s="2843"/>
      <c r="O94" s="2792">
        <f>E94*G94</f>
        <v>5488.2624999999998</v>
      </c>
      <c r="P94" s="2792"/>
      <c r="R94" s="1172"/>
      <c r="S94" s="859"/>
      <c r="T94" s="77"/>
      <c r="V94" s="1176"/>
      <c r="W94" s="77"/>
      <c r="X94" s="1174"/>
      <c r="Y94" s="77"/>
      <c r="Z94" s="1555">
        <f t="shared" si="109"/>
        <v>0</v>
      </c>
    </row>
    <row r="95" spans="2:26" ht="21.75" customHeight="1">
      <c r="B95" s="1202" t="s">
        <v>1325</v>
      </c>
      <c r="C95" s="1591"/>
      <c r="D95" s="1591"/>
      <c r="E95" s="1591"/>
      <c r="F95" s="1591"/>
      <c r="G95" s="1591"/>
      <c r="H95" s="1591"/>
      <c r="I95" s="1591"/>
      <c r="J95" s="1591"/>
      <c r="K95" s="1591"/>
      <c r="L95" s="1591"/>
      <c r="M95" s="1591"/>
      <c r="N95" s="1591"/>
      <c r="O95" s="1591"/>
      <c r="P95" s="1592"/>
      <c r="R95" s="961" t="s">
        <v>1451</v>
      </c>
      <c r="S95" s="859" t="s">
        <v>1641</v>
      </c>
      <c r="T95" s="77"/>
      <c r="V95" s="1176">
        <f>V88*2.5</f>
        <v>122.22392290249431</v>
      </c>
      <c r="W95" s="77" t="s">
        <v>1454</v>
      </c>
      <c r="X95" s="1174">
        <v>33</v>
      </c>
      <c r="Y95" s="77" t="s">
        <v>1642</v>
      </c>
      <c r="Z95" s="1555">
        <f t="shared" si="109"/>
        <v>4366.1440858843534</v>
      </c>
    </row>
    <row r="96" spans="2:26" ht="21.75" customHeight="1">
      <c r="B96" s="1593" t="s">
        <v>1326</v>
      </c>
      <c r="C96" s="1596"/>
      <c r="D96" s="1597"/>
      <c r="E96" s="1012"/>
      <c r="F96" s="983" t="s">
        <v>1327</v>
      </c>
      <c r="G96" s="1000">
        <f>Pricing!D32</f>
        <v>425</v>
      </c>
      <c r="H96" s="983" t="s">
        <v>620</v>
      </c>
      <c r="I96" s="983"/>
      <c r="J96" s="983"/>
      <c r="K96" s="983"/>
      <c r="L96" s="983"/>
      <c r="M96" s="983"/>
      <c r="N96" s="983"/>
      <c r="O96" s="2829">
        <f>((IF(AND(E96&gt;0,E96&lt;4),E96*G96,0)+IF(AND(E96&gt;3,E96&lt;8),G96*3,0)+IF(AND(E96&gt;7,E96&lt;21),E96/7*G96*3,0)+IF(AND(E96&gt;20,E96&lt;30),G96*9,0)+IF(E96&gt;29,E96/30*G96*9,0)))*(1+$Y$44+J$98)</f>
        <v>0</v>
      </c>
      <c r="P96" s="2829"/>
      <c r="R96" s="1038"/>
      <c r="S96" s="859"/>
      <c r="T96" s="77"/>
      <c r="V96" s="1176"/>
      <c r="W96" s="77"/>
      <c r="X96" s="1174"/>
      <c r="Y96" s="77"/>
      <c r="Z96" s="1555">
        <f t="shared" si="109"/>
        <v>0</v>
      </c>
    </row>
    <row r="97" spans="2:26" ht="21.75" customHeight="1">
      <c r="B97" s="482" t="s">
        <v>622</v>
      </c>
      <c r="C97" s="1177"/>
      <c r="D97" s="1598"/>
      <c r="E97" s="1012">
        <f>IF(E$91&gt;0,IF(E$91&lt;=3,E$91,7),0)+IF(E$91&gt;5,IF(E$91&lt;=10,7,0),0)+IF(E$91&gt;10,IF(E$91&lt;=15,14,0),0)+IF(E$91&gt;15,IF(E$91&lt;=20,23,0),0)+IF(E$91&gt;20,IF(E$91&lt;=40,53,0),0)+IF(E$91&gt;40,IF(E$91&lt;=60,83,0),0)+IF(E$91&gt;60,IF(E$91&lt;=80,113,0),0)+IF(E$91&gt;80,IF(E$91&lt;=100,143,0),0)+IF(E$91&gt;100,IF(E$91&lt;=120,163,0),0)+IF(E$91&gt;120,IF(E$91&lt;=140,193,0),0)+IF(E$91&gt;140,IF(E$91&lt;=160,223,0),0)</f>
        <v>60</v>
      </c>
      <c r="F97" s="18" t="s">
        <v>1327</v>
      </c>
      <c r="G97" s="1004">
        <f>Pricing!D33</f>
        <v>475</v>
      </c>
      <c r="H97" s="18" t="s">
        <v>620</v>
      </c>
      <c r="J97" s="2977" t="s">
        <v>1329</v>
      </c>
      <c r="K97" s="2977"/>
      <c r="M97" s="2841">
        <f>IF(E45=0,0,(SUM(O96:P101))/E45)</f>
        <v>4.1559684349406142E-2</v>
      </c>
      <c r="N97" s="2841"/>
      <c r="O97" s="3072">
        <f>((IF(AND(E97&gt;0,E97&lt;4),E97*G97,0)+IF(AND(E97&gt;3,E97&lt;8),G97*3,0)+IF(AND(E97&gt;7,E97&lt;21),E97/7*G97*3,0)+IF(AND(E97&gt;20,E97&lt;30),G97*9,0)+IF(E97&gt;29,E97/30*G97*9,0)))*(1+$Y$44+J$98)</f>
        <v>13530.375</v>
      </c>
      <c r="P97" s="3072"/>
      <c r="R97" s="1038"/>
      <c r="S97" s="1208" t="s">
        <v>1643</v>
      </c>
      <c r="T97" s="1209"/>
      <c r="U97" s="373"/>
      <c r="V97" s="1210"/>
      <c r="W97" s="1209" t="s">
        <v>1323</v>
      </c>
      <c r="X97" s="1211">
        <v>250</v>
      </c>
      <c r="Y97" s="1209" t="s">
        <v>1324</v>
      </c>
      <c r="Z97" s="1588">
        <f t="shared" si="109"/>
        <v>0</v>
      </c>
    </row>
    <row r="98" spans="2:26" ht="21.75" customHeight="1">
      <c r="B98" s="482" t="s">
        <v>624</v>
      </c>
      <c r="C98" s="1177"/>
      <c r="D98" s="1598"/>
      <c r="E98" s="1012">
        <f>E97</f>
        <v>60</v>
      </c>
      <c r="F98" s="77" t="s">
        <v>1327</v>
      </c>
      <c r="G98" s="1004">
        <f>Pricing!D34</f>
        <v>325</v>
      </c>
      <c r="H98" s="18" t="s">
        <v>620</v>
      </c>
      <c r="J98" s="3073">
        <v>0.5</v>
      </c>
      <c r="K98" s="3073"/>
      <c r="M98" s="2975">
        <f>SUM(O96:P101)</f>
        <v>33747.75</v>
      </c>
      <c r="N98" s="2975"/>
      <c r="O98" s="3072">
        <f>((IF(AND(E98&gt;0,E98&lt;4),E98*G98,0)+IF(AND(E98&gt;3,E98&lt;8),G98*3,0)+IF(AND(E98&gt;7,E98&lt;21),E98/7*G98*3,0)+IF(AND(E98&gt;20,E98&lt;30),G98*9,0)+IF(E98&gt;29,E98/30*G98*9,0)))*(1+$Y$44+J$98)</f>
        <v>9257.625</v>
      </c>
      <c r="P98" s="3072"/>
      <c r="R98" s="961" t="s">
        <v>1073</v>
      </c>
      <c r="S98" s="859" t="s">
        <v>618</v>
      </c>
      <c r="T98" s="77"/>
      <c r="V98" s="1176">
        <f>ROUNDUP(D42/15000,0)</f>
        <v>5</v>
      </c>
      <c r="W98" s="18" t="s">
        <v>1452</v>
      </c>
      <c r="X98" s="1174">
        <f>Pricing!Q31</f>
        <v>27</v>
      </c>
      <c r="Y98" s="18" t="s">
        <v>607</v>
      </c>
      <c r="Z98" s="1555">
        <f t="shared" si="109"/>
        <v>146.13749999999999</v>
      </c>
    </row>
    <row r="99" spans="2:26" ht="21.75" customHeight="1">
      <c r="B99" s="482" t="s">
        <v>626</v>
      </c>
      <c r="C99" s="1177"/>
      <c r="D99" s="1598"/>
      <c r="E99" s="1012">
        <f>IF(E$91&gt;0,IF(E$91&lt;=3,E$91,7),0)+IF(E$91&gt;5,IF(E$91&lt;=10,7,0),0)+IF(E$91&gt;10,IF(E$91&lt;=15,14,0),0)+IF(E$91&gt;15,IF(E$91&lt;=20,23,0),0)+IF(E$91&gt;20,IF(E$91&lt;=40,53,0),0)+IF(E$91&gt;40,IF(E$91&lt;=60,83,0),0)+IF(E$91&gt;60,IF(E$91&lt;=80,113,0),0)+IF(E$91&gt;80,IF(E$91&lt;=100,143,0),0)+IF(E$91&gt;100,IF(E$91&lt;=120,163,0),0)+IF(E$91&gt;120,IF(E$91&lt;=140,193,0),0)+IF(E$91&gt;140,IF(E$91&lt;=160,223,0),0)</f>
        <v>60</v>
      </c>
      <c r="F99" s="18" t="s">
        <v>1327</v>
      </c>
      <c r="G99" s="1004">
        <f>Pricing!D35</f>
        <v>325</v>
      </c>
      <c r="H99" s="18" t="s">
        <v>620</v>
      </c>
      <c r="J99" s="3073"/>
      <c r="K99" s="3073"/>
      <c r="O99" s="2792">
        <f>((IF(AND(E99&gt;0,E99&lt;4),E99*G99,0)+IF(AND(E99&gt;3,E99&lt;8),G99*3,0)+IF(AND(E99&gt;7,E99&lt;21),E99/7*G99*3,0)+IF(AND(E99&gt;20,E99&lt;30),G99*9,0)+IF(E99&gt;29,E99/30*G99*9,0)))*(1+$Y$44+J$98)</f>
        <v>9257.625</v>
      </c>
      <c r="P99" s="2792"/>
      <c r="R99" s="961" t="s">
        <v>1073</v>
      </c>
      <c r="S99" s="859" t="s">
        <v>629</v>
      </c>
      <c r="T99" s="77"/>
      <c r="V99" s="1176">
        <f>I79/15000</f>
        <v>4.1815333333333333</v>
      </c>
      <c r="W99" s="18" t="s">
        <v>1644</v>
      </c>
      <c r="X99" s="1174">
        <f>Pricing!Q36</f>
        <v>37.799999999999997</v>
      </c>
      <c r="Y99" s="18" t="s">
        <v>630</v>
      </c>
      <c r="Z99" s="1555">
        <f t="shared" si="109"/>
        <v>171.10207170000001</v>
      </c>
    </row>
    <row r="100" spans="2:26" ht="21.75" customHeight="1">
      <c r="B100" s="482" t="s">
        <v>1333</v>
      </c>
      <c r="C100" s="1177"/>
      <c r="D100" s="1598"/>
      <c r="E100" s="1012">
        <f>IF(E$91&gt;0,IF(E$91&lt;=3,E$91,7),0)+IF(E$91&gt;5,IF(E$91&lt;=10,7,0),0)+IF(E$91&gt;10,IF(E$91&lt;=15,14,0),0)+IF(E$91&gt;15,IF(E$91&lt;=20,23,0),0)+IF(E$91&gt;20,IF(E$91&lt;=40,53,0),0)+IF(E$91&gt;40,IF(E$91&lt;=60,83,0),0)+IF(E$91&gt;60,IF(E$91&lt;=80,113,0),0)+IF(E$91&gt;80,IF(E$91&lt;=100,143,0),0)+IF(E$91&gt;100,IF(E$91&lt;=120,163,0),0)+IF(E$91&gt;120,IF(E$91&lt;=140,193,0),0)+IF(E$91&gt;140,IF(E$91&lt;=160,223,0),0)</f>
        <v>60</v>
      </c>
      <c r="F100" s="18" t="s">
        <v>1327</v>
      </c>
      <c r="G100" s="1004">
        <v>25</v>
      </c>
      <c r="H100" s="18" t="s">
        <v>620</v>
      </c>
      <c r="O100" s="2792">
        <f>((IF(AND(E100&gt;0,E100&lt;4),E100*G100,0)+IF(AND(E100&gt;3,E100&lt;8),G100*3,0)+IF(AND(E100&gt;7,E100&lt;21),E100/7*G100*3,0)+IF(AND(E100&gt;20,E100&lt;30),G100*9,0)+IF(E100&gt;29,E100/30*G100*9,0)))*(1+$Y$44+J$98)</f>
        <v>712.125</v>
      </c>
      <c r="P100" s="2792"/>
      <c r="R100" s="961" t="s">
        <v>1073</v>
      </c>
      <c r="S100" s="1208" t="s">
        <v>554</v>
      </c>
      <c r="T100" s="1209"/>
      <c r="U100" s="248"/>
      <c r="V100" s="1210">
        <f>L70+(L71*0.75)</f>
        <v>66062.011344382976</v>
      </c>
      <c r="W100" s="373" t="s">
        <v>1288</v>
      </c>
      <c r="X100" s="1211">
        <v>0.02</v>
      </c>
      <c r="Y100" s="373" t="s">
        <v>555</v>
      </c>
      <c r="Z100" s="1588">
        <f t="shared" si="109"/>
        <v>1430.2425456058913</v>
      </c>
    </row>
    <row r="101" spans="2:26" ht="21.75" customHeight="1">
      <c r="B101" s="1595" t="s">
        <v>1067</v>
      </c>
      <c r="C101" s="1599"/>
      <c r="D101" s="1600"/>
      <c r="E101" s="1012">
        <f>IF(E$91&gt;0,IF(E$91&lt;=3,E$91,7),0)+IF(E$91&gt;5,IF(E$91&lt;=10,7,0),0)+IF(E$91&gt;10,IF(E$91&lt;=15,14,0),0)+IF(E$91&gt;15,IF(E$91&lt;=20,23,0),0)+IF(E$91&gt;20,IF(E$91&lt;=40,53,0),0)+IF(E$91&gt;40,IF(E$91&lt;=60,83,0),0)+IF(E$91&gt;60,IF(E$91&lt;=80,113,0),0)+IF(E$91&gt;80,IF(E$91&lt;=100,143,0),0)+IF(E$91&gt;100,IF(E$91&lt;=120,163,0),0)+IF(E$91&gt;120,IF(E$91&lt;=140,193,0),0)+IF(E$91&gt;140,IF(E$91&lt;=160,223,0),0)</f>
        <v>60</v>
      </c>
      <c r="F101" s="976" t="s">
        <v>1645</v>
      </c>
      <c r="G101" s="1020">
        <v>55</v>
      </c>
      <c r="H101" s="976" t="s">
        <v>620</v>
      </c>
      <c r="I101" s="976"/>
      <c r="J101" s="976"/>
      <c r="K101" s="976"/>
      <c r="L101" s="976"/>
      <c r="M101" s="1021"/>
      <c r="N101" s="976"/>
      <c r="O101" s="2867">
        <f>((IF(AND(E101&gt;0,E101&lt;4),E101*G101,0)+IF(AND(E101&gt;3,E101&lt;8),G101*3,0)+IF(AND(E101&gt;7,E101&lt;21),E101/7*G101*3,0)+IF(AND(E101&gt;20,E101&lt;30),G101*9,0)+IF(E101&gt;29,E101/30*G101*9,0)))</f>
        <v>990</v>
      </c>
      <c r="P101" s="2867"/>
      <c r="R101" s="961" t="s">
        <v>1078</v>
      </c>
      <c r="S101" s="859" t="s">
        <v>1105</v>
      </c>
      <c r="T101" s="77"/>
      <c r="V101" s="77"/>
      <c r="X101" s="1174"/>
      <c r="Y101" s="18"/>
      <c r="Z101" s="1555">
        <f t="shared" si="109"/>
        <v>0</v>
      </c>
    </row>
    <row r="102" spans="2:26" ht="21.75" customHeight="1">
      <c r="B102" s="1202" t="s">
        <v>1336</v>
      </c>
      <c r="C102" s="1591"/>
      <c r="D102" s="1591"/>
      <c r="E102" s="1591"/>
      <c r="F102" s="1591"/>
      <c r="G102" s="1591"/>
      <c r="H102" s="1591"/>
      <c r="I102" s="1591"/>
      <c r="J102" s="1591"/>
      <c r="K102" s="1591"/>
      <c r="L102" s="1591"/>
      <c r="M102" s="1591"/>
      <c r="N102" s="1591"/>
      <c r="O102" s="1591"/>
      <c r="P102" s="1592"/>
      <c r="R102" s="961" t="s">
        <v>1328</v>
      </c>
      <c r="S102" s="859" t="s">
        <v>1105</v>
      </c>
      <c r="T102" s="77"/>
      <c r="V102" s="77"/>
      <c r="X102" s="1174"/>
      <c r="Y102" s="18"/>
      <c r="Z102" s="1555">
        <f t="shared" si="109"/>
        <v>0</v>
      </c>
    </row>
    <row r="103" spans="2:26" ht="21.75" customHeight="1">
      <c r="B103" s="1593" t="s">
        <v>1646</v>
      </c>
      <c r="C103" s="1596"/>
      <c r="D103" s="1597"/>
      <c r="E103" s="1226"/>
      <c r="F103" s="1027" t="s">
        <v>1510</v>
      </c>
      <c r="G103" s="1601">
        <v>0.2</v>
      </c>
      <c r="H103" s="1602"/>
      <c r="I103" s="983" t="s">
        <v>600</v>
      </c>
      <c r="J103" s="983"/>
      <c r="K103" s="983"/>
      <c r="L103" s="983"/>
      <c r="M103" s="983"/>
      <c r="N103" s="983"/>
      <c r="O103" s="2829">
        <f>E103*G103</f>
        <v>0</v>
      </c>
      <c r="P103" s="2829"/>
      <c r="R103" s="961" t="s">
        <v>1330</v>
      </c>
      <c r="S103" s="1208" t="s">
        <v>1108</v>
      </c>
      <c r="T103" s="1209"/>
      <c r="U103" s="248"/>
      <c r="V103" s="1209"/>
      <c r="W103" s="373"/>
      <c r="X103" s="1211"/>
      <c r="Y103" s="373"/>
      <c r="Z103" s="1588">
        <f t="shared" si="109"/>
        <v>0</v>
      </c>
    </row>
    <row r="104" spans="2:26" ht="21.75" customHeight="1">
      <c r="B104" s="482" t="s">
        <v>1647</v>
      </c>
      <c r="C104" s="1177"/>
      <c r="D104" s="1603" t="s">
        <v>1029</v>
      </c>
      <c r="E104" s="1604">
        <f>IF(D104="Y",(I79*2/L104),0)</f>
        <v>0</v>
      </c>
      <c r="F104" s="18" t="s">
        <v>1618</v>
      </c>
      <c r="G104" s="1605">
        <v>0.65</v>
      </c>
      <c r="H104" s="1606"/>
      <c r="I104" s="18" t="s">
        <v>600</v>
      </c>
      <c r="J104" s="1607" t="s">
        <v>1648</v>
      </c>
      <c r="K104" s="1608"/>
      <c r="L104" s="1609">
        <v>20</v>
      </c>
      <c r="N104" s="500"/>
      <c r="O104" s="2792">
        <f>IF(E104=0,0,E104*G104)</f>
        <v>0</v>
      </c>
      <c r="P104" s="2792"/>
      <c r="R104" s="1038"/>
      <c r="S104" s="859"/>
      <c r="T104" s="77"/>
      <c r="V104" s="77"/>
      <c r="X104" s="1174"/>
      <c r="Y104" s="18"/>
      <c r="Z104" s="1555">
        <f t="shared" si="109"/>
        <v>0</v>
      </c>
    </row>
    <row r="105" spans="2:26" ht="21.75" customHeight="1">
      <c r="B105" s="482" t="s">
        <v>1462</v>
      </c>
      <c r="C105" s="1177"/>
      <c r="D105" s="1603" t="s">
        <v>1029</v>
      </c>
      <c r="E105" s="1610">
        <f>E104</f>
        <v>0</v>
      </c>
      <c r="F105" s="18" t="s">
        <v>1341</v>
      </c>
      <c r="G105" s="1605">
        <v>0.35</v>
      </c>
      <c r="H105" s="1611"/>
      <c r="I105" s="18" t="s">
        <v>1341</v>
      </c>
      <c r="J105" s="1612"/>
      <c r="K105" s="1608"/>
      <c r="L105" s="1609">
        <v>20</v>
      </c>
      <c r="O105" s="2792">
        <f>E105*G105</f>
        <v>0</v>
      </c>
      <c r="P105" s="2792"/>
      <c r="R105" s="961" t="s">
        <v>1342</v>
      </c>
      <c r="S105" s="859" t="s">
        <v>646</v>
      </c>
      <c r="T105" s="77"/>
      <c r="V105" s="1176">
        <f>ROUNDUP(I79/300/55,0)</f>
        <v>4</v>
      </c>
      <c r="W105" s="18" t="s">
        <v>1649</v>
      </c>
      <c r="X105" s="1174">
        <f>Pricing!Q44</f>
        <v>567.5</v>
      </c>
      <c r="Y105" s="18" t="s">
        <v>647</v>
      </c>
      <c r="Z105" s="1555">
        <f t="shared" si="109"/>
        <v>2457.2750000000001</v>
      </c>
    </row>
    <row r="106" spans="2:26" ht="21.75" customHeight="1">
      <c r="B106" s="482" t="s">
        <v>1343</v>
      </c>
      <c r="C106" s="1177"/>
      <c r="D106" s="1598"/>
      <c r="E106" s="1233">
        <f>Q42</f>
        <v>2205.1958641975316</v>
      </c>
      <c r="F106" s="1035" t="s">
        <v>998</v>
      </c>
      <c r="G106" s="1605">
        <v>16</v>
      </c>
      <c r="H106" s="1611"/>
      <c r="I106" s="18" t="s">
        <v>1285</v>
      </c>
      <c r="O106" s="2792">
        <f>E106*G106</f>
        <v>35283.133827160505</v>
      </c>
      <c r="P106" s="2792"/>
      <c r="R106" s="961" t="s">
        <v>1342</v>
      </c>
      <c r="S106" s="1208" t="s">
        <v>649</v>
      </c>
      <c r="T106" s="1209"/>
      <c r="U106" s="248"/>
      <c r="V106" s="1210">
        <v>0</v>
      </c>
      <c r="W106" s="373" t="s">
        <v>1649</v>
      </c>
      <c r="X106" s="1211">
        <f>Pricing!Q45</f>
        <v>542</v>
      </c>
      <c r="Y106" s="373" t="s">
        <v>647</v>
      </c>
      <c r="Z106" s="1588">
        <f t="shared" si="109"/>
        <v>0</v>
      </c>
    </row>
    <row r="107" spans="2:26" ht="21.75" customHeight="1">
      <c r="B107" s="482" t="s">
        <v>1234</v>
      </c>
      <c r="C107" s="1177"/>
      <c r="D107" s="1598"/>
      <c r="E107" s="1610">
        <f>IF(SUM(DX10:DX41)&lt;0,0,SUM(DX10:DX41)*1.35)</f>
        <v>0</v>
      </c>
      <c r="F107" s="1035" t="s">
        <v>998</v>
      </c>
      <c r="G107" s="1613"/>
      <c r="H107" s="1614"/>
      <c r="I107" s="18" t="s">
        <v>1285</v>
      </c>
      <c r="O107" s="2792">
        <f>IF(E107&lt;0,0,E107*G107)</f>
        <v>0</v>
      </c>
      <c r="P107" s="2792"/>
      <c r="R107" s="1038"/>
      <c r="S107" s="859"/>
      <c r="T107" s="77"/>
      <c r="U107" s="77"/>
      <c r="W107" s="77"/>
      <c r="Z107" s="1615"/>
    </row>
    <row r="108" spans="2:26" ht="21.75" customHeight="1">
      <c r="B108" s="482" t="s">
        <v>1346</v>
      </c>
      <c r="C108" s="1177"/>
      <c r="D108" s="1598"/>
      <c r="E108" s="1036"/>
      <c r="F108" s="861" t="s">
        <v>1347</v>
      </c>
      <c r="G108" s="1605">
        <v>200</v>
      </c>
      <c r="H108" s="1616"/>
      <c r="I108" s="18" t="s">
        <v>620</v>
      </c>
      <c r="O108" s="2792">
        <f>E108*G108</f>
        <v>0</v>
      </c>
      <c r="P108" s="2792"/>
      <c r="R108" s="1038"/>
      <c r="S108" s="1617" t="s">
        <v>1349</v>
      </c>
      <c r="T108" s="1618"/>
      <c r="U108" s="1143">
        <v>18</v>
      </c>
      <c r="V108" s="18" t="s">
        <v>1350</v>
      </c>
      <c r="W108" s="77"/>
      <c r="Z108" s="1615"/>
    </row>
    <row r="109" spans="2:26" ht="21.75" customHeight="1">
      <c r="B109" s="1595" t="s">
        <v>1067</v>
      </c>
      <c r="C109" s="1599"/>
      <c r="D109" s="1599"/>
      <c r="E109" s="1008"/>
      <c r="F109" s="976"/>
      <c r="G109" s="1619">
        <v>1000</v>
      </c>
      <c r="H109" s="1620"/>
      <c r="I109" s="976" t="s">
        <v>1348</v>
      </c>
      <c r="J109" s="976"/>
      <c r="K109" s="976"/>
      <c r="L109" s="976"/>
      <c r="M109" s="976"/>
      <c r="N109" s="976"/>
      <c r="O109" s="2867">
        <f>E109*G109</f>
        <v>0</v>
      </c>
      <c r="P109" s="2867"/>
      <c r="R109" s="961" t="s">
        <v>1072</v>
      </c>
      <c r="S109" s="1435" t="s">
        <v>1650</v>
      </c>
      <c r="T109" s="1621"/>
      <c r="U109" s="1621">
        <f>ROUNDUP((V79+V81+V82)*12/U108,0)</f>
        <v>0</v>
      </c>
      <c r="V109" s="976" t="s">
        <v>1354</v>
      </c>
      <c r="W109" s="1622">
        <v>1.65</v>
      </c>
      <c r="X109" s="1622"/>
      <c r="Y109" s="229"/>
      <c r="Z109" s="1555">
        <f>IF(W$44="Y",U109*W109,U109*W109*(1+Y$44))</f>
        <v>0</v>
      </c>
    </row>
    <row r="110" spans="2:26" ht="21.75" customHeight="1">
      <c r="B110" s="3029" t="s">
        <v>1191</v>
      </c>
      <c r="C110" s="3029"/>
      <c r="D110" s="3029"/>
      <c r="E110" s="1237">
        <f>Summary!P60</f>
        <v>0</v>
      </c>
      <c r="F110" s="1238" t="s">
        <v>1465</v>
      </c>
      <c r="G110" s="3074">
        <f>(SUM(O65:P77)+SUM(L79:M88)+SUM(O79:P88)+SUM(O91:P93)+SUM(O96:P101)+SUM(O103:P109))*E110</f>
        <v>0</v>
      </c>
      <c r="H110" s="3074"/>
      <c r="I110" s="1240" t="s">
        <v>1039</v>
      </c>
      <c r="J110" s="1240"/>
      <c r="K110" s="1240"/>
      <c r="L110" s="1240"/>
      <c r="M110" s="1240"/>
      <c r="N110" s="1240"/>
      <c r="O110" s="3030">
        <f>G110</f>
        <v>0</v>
      </c>
      <c r="P110" s="3030"/>
      <c r="Y110" s="18"/>
      <c r="Z110" s="1236">
        <f>SUM(Z66:Z109)</f>
        <v>54435.697815043895</v>
      </c>
    </row>
    <row r="111" spans="2:26" ht="21.75" customHeight="1">
      <c r="B111" s="396"/>
      <c r="C111" s="626"/>
      <c r="D111" s="626"/>
      <c r="E111" s="626"/>
      <c r="F111" s="626"/>
      <c r="G111" s="626"/>
      <c r="H111" s="626"/>
      <c r="I111" s="626"/>
      <c r="J111" s="626"/>
      <c r="K111" s="626"/>
      <c r="L111" s="626"/>
      <c r="M111" s="626"/>
      <c r="N111" s="626"/>
      <c r="O111" s="626"/>
      <c r="P111" s="626"/>
      <c r="Q111" s="1621"/>
      <c r="R111" s="1621"/>
      <c r="S111" s="1621"/>
      <c r="T111" s="1621"/>
      <c r="U111" s="976"/>
      <c r="V111" s="1622"/>
      <c r="W111" s="1622"/>
      <c r="X111" s="229"/>
      <c r="Y111" s="229"/>
      <c r="Z111" s="229"/>
    </row>
    <row r="112" spans="2:26" ht="24" customHeight="1">
      <c r="B112" s="888"/>
      <c r="C112" s="889"/>
      <c r="D112" s="889"/>
      <c r="E112" s="889"/>
      <c r="F112" s="889"/>
      <c r="G112" s="889"/>
      <c r="H112" s="889"/>
      <c r="I112" s="889"/>
      <c r="J112" s="889"/>
      <c r="K112" s="889"/>
      <c r="L112" s="891"/>
      <c r="M112" s="889"/>
      <c r="N112" s="889"/>
      <c r="O112" s="889"/>
      <c r="P112" s="889"/>
      <c r="Q112" s="1474"/>
      <c r="R112" s="1474"/>
      <c r="S112" s="889"/>
      <c r="T112" s="889"/>
      <c r="U112" s="889"/>
      <c r="V112" s="889"/>
      <c r="W112" s="889"/>
      <c r="X112" s="889"/>
      <c r="Y112" s="889"/>
      <c r="Z112" s="894"/>
    </row>
    <row r="113" spans="2:31" ht="30.9">
      <c r="B113" s="1476" t="s">
        <v>1262</v>
      </c>
      <c r="C113" s="1477"/>
      <c r="D113" s="1478"/>
      <c r="E113" s="1476" t="s">
        <v>982</v>
      </c>
      <c r="F113" s="1478"/>
      <c r="G113" s="1476" t="s">
        <v>1263</v>
      </c>
      <c r="H113" s="1477"/>
      <c r="I113" s="1478"/>
      <c r="J113" s="1054" t="s">
        <v>1264</v>
      </c>
      <c r="K113" s="1055"/>
      <c r="L113" s="1056"/>
      <c r="M113" s="1057" t="s">
        <v>1265</v>
      </c>
      <c r="N113" s="1058"/>
      <c r="O113" s="1058"/>
      <c r="P113" s="1059"/>
      <c r="Q113" s="1479"/>
      <c r="R113" s="1479"/>
      <c r="S113" s="895"/>
      <c r="T113" s="574" t="s">
        <v>1266</v>
      </c>
      <c r="V113" s="18" t="s">
        <v>1267</v>
      </c>
      <c r="W113" s="1060" t="str">
        <f>W44</f>
        <v>N</v>
      </c>
      <c r="X113" s="793" t="s">
        <v>1268</v>
      </c>
      <c r="Y113" s="1242">
        <f>Y44</f>
        <v>8.2500000000000004E-2</v>
      </c>
      <c r="Z113" s="898"/>
    </row>
    <row r="114" spans="2:31" ht="15.45">
      <c r="B114" s="899" t="s">
        <v>1269</v>
      </c>
      <c r="C114" s="1483">
        <f>C45</f>
        <v>12.946302805469536</v>
      </c>
      <c r="D114" s="900"/>
      <c r="E114" s="2866">
        <f>E45</f>
        <v>812030.9508674657</v>
      </c>
      <c r="F114" s="2866"/>
      <c r="G114" s="901">
        <f>G45</f>
        <v>0.13043478260869554</v>
      </c>
      <c r="H114" s="2867">
        <f>H45</f>
        <v>105917.08054793021</v>
      </c>
      <c r="I114" s="2867"/>
      <c r="J114" s="1485">
        <f>J45</f>
        <v>11.257654613451772</v>
      </c>
      <c r="K114" s="1486"/>
      <c r="L114" s="1487"/>
      <c r="M114" s="1623">
        <f>M45</f>
        <v>0.15</v>
      </c>
      <c r="N114" s="1489"/>
      <c r="O114" s="1489"/>
      <c r="P114" s="1490"/>
      <c r="Q114" s="1479"/>
      <c r="R114" s="1479"/>
      <c r="S114" s="1137"/>
      <c r="T114" s="902" t="s">
        <v>980</v>
      </c>
      <c r="V114" s="2942">
        <f>V45</f>
        <v>706113.87031953549</v>
      </c>
      <c r="W114" s="2942"/>
      <c r="X114" s="903"/>
      <c r="Y114" s="18"/>
      <c r="Z114" s="898"/>
    </row>
    <row r="115" spans="2:31" ht="21.75" customHeight="1">
      <c r="B115" s="1492"/>
      <c r="C115" s="895"/>
      <c r="D115" s="895"/>
      <c r="E115" s="895"/>
      <c r="F115" s="895"/>
      <c r="G115" s="895"/>
      <c r="H115" s="895"/>
      <c r="I115" s="895"/>
      <c r="J115" s="895"/>
      <c r="K115" s="895"/>
      <c r="L115" s="895"/>
      <c r="M115" s="895"/>
      <c r="N115" s="895"/>
      <c r="O115" s="895"/>
      <c r="P115" s="895"/>
      <c r="Q115" s="1479"/>
      <c r="R115" s="1479"/>
      <c r="S115" s="895"/>
      <c r="T115" s="895"/>
      <c r="U115" s="895"/>
      <c r="V115" s="895"/>
      <c r="W115" s="895"/>
      <c r="X115" s="895"/>
      <c r="Y115" s="895"/>
      <c r="Z115" s="898"/>
    </row>
    <row r="116" spans="2:31" customFormat="1" ht="15" customHeight="1"/>
    <row r="117" spans="2:31" customFormat="1" ht="15" customHeight="1">
      <c r="G117" s="1624"/>
      <c r="H117" s="1625" t="s">
        <v>1651</v>
      </c>
      <c r="I117" s="1626">
        <f>SUM(I120:I222)</f>
        <v>42907.276368176732</v>
      </c>
      <c r="J117" s="1627" t="s">
        <v>1093</v>
      </c>
      <c r="K117" s="1626">
        <f>SUM(K120:K222)</f>
        <v>57713.000375000003</v>
      </c>
      <c r="L117" s="1628" t="s">
        <v>1652</v>
      </c>
      <c r="M117" s="1626">
        <f>SUM(M120:M222)</f>
        <v>319874.68608117284</v>
      </c>
      <c r="N117" s="1627" t="s">
        <v>1653</v>
      </c>
      <c r="O117" s="1626">
        <f>SUM(O120:O222)</f>
        <v>131779.34226887659</v>
      </c>
    </row>
    <row r="118" spans="2:31" ht="15" customHeight="1">
      <c r="B118" s="684" t="s">
        <v>1654</v>
      </c>
      <c r="C118" s="1243" t="s">
        <v>1655</v>
      </c>
      <c r="D118" s="686"/>
      <c r="E118" s="689">
        <f>D119-V114</f>
        <v>0</v>
      </c>
      <c r="G118" s="1629"/>
      <c r="H118" s="1465"/>
      <c r="I118" s="699">
        <f>I117-E124</f>
        <v>0</v>
      </c>
      <c r="J118" s="1465"/>
      <c r="K118" s="699">
        <f>K117-E126</f>
        <v>0</v>
      </c>
      <c r="L118" s="1465"/>
      <c r="M118" s="699">
        <f>M117-E127</f>
        <v>0</v>
      </c>
      <c r="N118" s="1465"/>
      <c r="O118" s="699">
        <f>O117-E153</f>
        <v>0</v>
      </c>
      <c r="Z118" s="18"/>
      <c r="AA118" s="18"/>
      <c r="AE118" s="18">
        <f>90000*1.3</f>
        <v>117000</v>
      </c>
    </row>
    <row r="119" spans="2:31" ht="15" customHeight="1">
      <c r="B119" s="700" t="str">
        <f>Summary!T73</f>
        <v>04</v>
      </c>
      <c r="C119" s="702"/>
      <c r="D119" s="2867">
        <f>SUM(E120:E177)-E153-E163</f>
        <v>706113.87031953549</v>
      </c>
      <c r="E119" s="2867"/>
      <c r="G119" s="1630"/>
      <c r="H119" s="1631" t="s">
        <v>1055</v>
      </c>
      <c r="I119" s="1632" t="s">
        <v>721</v>
      </c>
      <c r="J119" s="1633"/>
      <c r="K119" s="1632" t="s">
        <v>1093</v>
      </c>
      <c r="L119" s="1631" t="s">
        <v>1055</v>
      </c>
      <c r="M119" s="1632" t="s">
        <v>738</v>
      </c>
      <c r="N119" s="1631" t="s">
        <v>1055</v>
      </c>
      <c r="O119" s="1632" t="s">
        <v>1146</v>
      </c>
      <c r="AA119" s="18"/>
    </row>
    <row r="120" spans="2:31" ht="15" customHeight="1">
      <c r="B120" s="1244">
        <f>Summary!T74</f>
        <v>40001</v>
      </c>
      <c r="C120" s="707" t="str">
        <f>Summary!U74</f>
        <v>General Requirements</v>
      </c>
      <c r="D120" s="296"/>
      <c r="E120" s="708"/>
      <c r="G120" s="1634">
        <v>1</v>
      </c>
      <c r="H120" s="1635">
        <f t="shared" ref="H120:H151" si="110">40000+(100*G120)+5</f>
        <v>40105</v>
      </c>
      <c r="I120" s="1636">
        <f t="shared" ref="I120:I151" si="111">CO10</f>
        <v>2261.6562013847611</v>
      </c>
      <c r="J120" s="1637">
        <f t="shared" ref="J120:J151" si="112">40000+(100*G120)+7</f>
        <v>40107</v>
      </c>
      <c r="K120" s="1636">
        <f t="shared" ref="K120:K151" si="113">DA10</f>
        <v>2707.0077499999998</v>
      </c>
      <c r="L120" s="1637">
        <f t="shared" ref="L120:L151" si="114">40000+(100*G120)+8</f>
        <v>40108</v>
      </c>
      <c r="M120" s="1636">
        <f t="shared" ref="M120:M151" si="115">CN10</f>
        <v>16172.620696604936</v>
      </c>
      <c r="N120" s="1637">
        <f t="shared" ref="N120:N151" si="116">40000+(100*G120)+40</f>
        <v>40140</v>
      </c>
      <c r="O120" s="1636">
        <f t="shared" ref="O120:O151" si="117">SUM(CP10:CT10)+DB10</f>
        <v>6261.189931142344</v>
      </c>
      <c r="S120" s="1638"/>
    </row>
    <row r="121" spans="2:31" ht="15" customHeight="1">
      <c r="B121" s="1244">
        <f>Summary!T75</f>
        <v>40002</v>
      </c>
      <c r="C121" s="707" t="str">
        <f>Summary!U75</f>
        <v>Lumber</v>
      </c>
      <c r="D121" s="296"/>
      <c r="E121" s="717">
        <f>SUM(Z66:Z86)+Z109</f>
        <v>27870.990682148436</v>
      </c>
      <c r="G121" s="1634">
        <v>2</v>
      </c>
      <c r="H121" s="1635">
        <f t="shared" si="110"/>
        <v>40205</v>
      </c>
      <c r="I121" s="1639">
        <f t="shared" si="111"/>
        <v>2463.6566537853578</v>
      </c>
      <c r="J121" s="1637">
        <f t="shared" si="112"/>
        <v>40207</v>
      </c>
      <c r="K121" s="1639">
        <f t="shared" si="113"/>
        <v>3673.1389999999997</v>
      </c>
      <c r="L121" s="1637">
        <f t="shared" si="114"/>
        <v>40208</v>
      </c>
      <c r="M121" s="1639">
        <f t="shared" si="115"/>
        <v>20165.590870061726</v>
      </c>
      <c r="N121" s="1637">
        <f t="shared" si="116"/>
        <v>40240</v>
      </c>
      <c r="O121" s="1636">
        <f t="shared" si="117"/>
        <v>7864.3917640601576</v>
      </c>
    </row>
    <row r="122" spans="2:31" ht="15" customHeight="1">
      <c r="B122" s="1244">
        <f>Summary!T76</f>
        <v>40003</v>
      </c>
      <c r="C122" s="707" t="str">
        <f>Summary!U76</f>
        <v>Sand Material</v>
      </c>
      <c r="D122" s="296"/>
      <c r="E122" s="717">
        <f>O73</f>
        <v>10478.032021604939</v>
      </c>
      <c r="G122" s="1634">
        <v>3</v>
      </c>
      <c r="H122" s="1635">
        <f t="shared" si="110"/>
        <v>40305</v>
      </c>
      <c r="I122" s="1639">
        <f t="shared" si="111"/>
        <v>4111.3389926546042</v>
      </c>
      <c r="J122" s="1637">
        <f t="shared" si="112"/>
        <v>40307</v>
      </c>
      <c r="K122" s="1639">
        <f t="shared" si="113"/>
        <v>5341.3256249999995</v>
      </c>
      <c r="L122" s="1637">
        <f t="shared" si="114"/>
        <v>40308</v>
      </c>
      <c r="M122" s="1639">
        <f t="shared" si="115"/>
        <v>30082.052094753086</v>
      </c>
      <c r="N122" s="1637">
        <f t="shared" si="116"/>
        <v>40340</v>
      </c>
      <c r="O122" s="1636">
        <f t="shared" si="117"/>
        <v>11822.901229454843</v>
      </c>
    </row>
    <row r="123" spans="2:31" ht="15" customHeight="1">
      <c r="B123" s="1244">
        <f>Summary!T77</f>
        <v>40004</v>
      </c>
      <c r="C123" s="707" t="str">
        <f>Summary!U77</f>
        <v>Rock Material</v>
      </c>
      <c r="D123" s="296"/>
      <c r="E123" s="717"/>
      <c r="G123" s="1634">
        <v>4</v>
      </c>
      <c r="H123" s="1635">
        <f t="shared" si="110"/>
        <v>40405</v>
      </c>
      <c r="I123" s="1639">
        <f t="shared" si="111"/>
        <v>3160.8784879549835</v>
      </c>
      <c r="J123" s="1637">
        <f t="shared" si="112"/>
        <v>40407</v>
      </c>
      <c r="K123" s="1639">
        <f t="shared" si="113"/>
        <v>4393.5968750000002</v>
      </c>
      <c r="L123" s="1637">
        <f t="shared" si="114"/>
        <v>40408</v>
      </c>
      <c r="M123" s="1639">
        <f t="shared" si="115"/>
        <v>23893.75508240741</v>
      </c>
      <c r="N123" s="1637">
        <f t="shared" si="116"/>
        <v>40440</v>
      </c>
      <c r="O123" s="1636">
        <f t="shared" si="117"/>
        <v>10136.826709147032</v>
      </c>
    </row>
    <row r="124" spans="2:31" ht="15" customHeight="1">
      <c r="B124" s="1244">
        <f>Summary!T78</f>
        <v>40005</v>
      </c>
      <c r="C124" s="707" t="str">
        <f>Summary!U78</f>
        <v>Reinforcement Material</v>
      </c>
      <c r="D124" s="296"/>
      <c r="E124" s="717">
        <f>I117+O71</f>
        <v>42907.276368176732</v>
      </c>
      <c r="G124" s="1634">
        <v>5</v>
      </c>
      <c r="H124" s="1635">
        <f t="shared" si="110"/>
        <v>40505</v>
      </c>
      <c r="I124" s="1639">
        <f t="shared" si="111"/>
        <v>3382.498546710216</v>
      </c>
      <c r="J124" s="1637">
        <f t="shared" si="112"/>
        <v>40507</v>
      </c>
      <c r="K124" s="1639">
        <f t="shared" si="113"/>
        <v>5063.4478749999998</v>
      </c>
      <c r="L124" s="1637">
        <f t="shared" si="114"/>
        <v>40508</v>
      </c>
      <c r="M124" s="1639">
        <f t="shared" si="115"/>
        <v>26426.970531172839</v>
      </c>
      <c r="N124" s="1637">
        <f t="shared" si="116"/>
        <v>40540</v>
      </c>
      <c r="O124" s="1636">
        <f t="shared" si="117"/>
        <v>11164.909991288749</v>
      </c>
    </row>
    <row r="125" spans="2:31" ht="15" customHeight="1">
      <c r="B125" s="1244">
        <f>Summary!T79</f>
        <v>40006</v>
      </c>
      <c r="C125" s="707" t="str">
        <f>Summary!U79</f>
        <v>Reinforcement Accessories</v>
      </c>
      <c r="D125" s="296"/>
      <c r="E125" s="717">
        <f>SUM(Z98:Z100)</f>
        <v>1747.4821173058913</v>
      </c>
      <c r="G125" s="1634">
        <v>6</v>
      </c>
      <c r="H125" s="1635">
        <f t="shared" si="110"/>
        <v>40605</v>
      </c>
      <c r="I125" s="1639">
        <f t="shared" si="111"/>
        <v>3164.493033194045</v>
      </c>
      <c r="J125" s="1637">
        <f t="shared" si="112"/>
        <v>40607</v>
      </c>
      <c r="K125" s="1639">
        <f t="shared" si="113"/>
        <v>3200.1947500000001</v>
      </c>
      <c r="L125" s="1637">
        <f t="shared" si="114"/>
        <v>40608</v>
      </c>
      <c r="M125" s="1639">
        <f t="shared" si="115"/>
        <v>19431.917006481479</v>
      </c>
      <c r="N125" s="1637">
        <f t="shared" si="116"/>
        <v>40640</v>
      </c>
      <c r="O125" s="1636">
        <f t="shared" si="117"/>
        <v>8885.2797330851572</v>
      </c>
    </row>
    <row r="126" spans="2:31" ht="15" customHeight="1">
      <c r="B126" s="1244">
        <f>Summary!T80</f>
        <v>40007</v>
      </c>
      <c r="C126" s="707" t="str">
        <f>Summary!U80</f>
        <v>PT Cables</v>
      </c>
      <c r="D126" s="296"/>
      <c r="E126" s="717">
        <f>K117</f>
        <v>57713.000375000003</v>
      </c>
      <c r="G126" s="1634">
        <v>7</v>
      </c>
      <c r="H126" s="1635">
        <f t="shared" si="110"/>
        <v>40705</v>
      </c>
      <c r="I126" s="1639">
        <f t="shared" si="111"/>
        <v>2656.0967744893956</v>
      </c>
      <c r="J126" s="1637">
        <f t="shared" si="112"/>
        <v>40707</v>
      </c>
      <c r="K126" s="1639">
        <f t="shared" si="113"/>
        <v>3565.484375</v>
      </c>
      <c r="L126" s="1637">
        <f t="shared" si="114"/>
        <v>40708</v>
      </c>
      <c r="M126" s="1639">
        <f t="shared" si="115"/>
        <v>19590.895495679015</v>
      </c>
      <c r="N126" s="1637">
        <f t="shared" si="116"/>
        <v>40740</v>
      </c>
      <c r="O126" s="1636">
        <f t="shared" si="117"/>
        <v>8451.3896919135932</v>
      </c>
    </row>
    <row r="127" spans="2:31" ht="15" customHeight="1">
      <c r="B127" s="1244">
        <f>Summary!T81</f>
        <v>40008</v>
      </c>
      <c r="C127" s="707" t="str">
        <f>Summary!U81</f>
        <v>Concrete Material</v>
      </c>
      <c r="D127" s="296"/>
      <c r="E127" s="717">
        <f>SUM(O65:P69)</f>
        <v>319874.68608117296</v>
      </c>
      <c r="G127" s="1634">
        <v>8</v>
      </c>
      <c r="H127" s="1635">
        <f t="shared" si="110"/>
        <v>40805</v>
      </c>
      <c r="I127" s="1639">
        <f t="shared" si="111"/>
        <v>2518.1340348201084</v>
      </c>
      <c r="J127" s="1637">
        <f t="shared" si="112"/>
        <v>40807</v>
      </c>
      <c r="K127" s="1639">
        <f t="shared" si="113"/>
        <v>3424.70525</v>
      </c>
      <c r="L127" s="1637">
        <f t="shared" si="114"/>
        <v>40808</v>
      </c>
      <c r="M127" s="1639">
        <f t="shared" si="115"/>
        <v>18820.205745061729</v>
      </c>
      <c r="N127" s="1637">
        <f t="shared" si="116"/>
        <v>40840</v>
      </c>
      <c r="O127" s="1636">
        <f t="shared" si="117"/>
        <v>8048.5669391285946</v>
      </c>
    </row>
    <row r="128" spans="2:31" ht="15" customHeight="1">
      <c r="B128" s="1244">
        <f>Summary!T82</f>
        <v>40009</v>
      </c>
      <c r="C128" s="707" t="str">
        <f>Summary!U82</f>
        <v>Carton Forms</v>
      </c>
      <c r="D128" s="296"/>
      <c r="E128" s="717">
        <f>SUM(O74:P76)</f>
        <v>0</v>
      </c>
      <c r="G128" s="1634">
        <v>9</v>
      </c>
      <c r="H128" s="1635">
        <f t="shared" si="110"/>
        <v>40905</v>
      </c>
      <c r="I128" s="1639">
        <f t="shared" si="111"/>
        <v>2302.1177116421986</v>
      </c>
      <c r="J128" s="1637">
        <f t="shared" si="112"/>
        <v>40907</v>
      </c>
      <c r="K128" s="1639">
        <f t="shared" si="113"/>
        <v>3440.3473749999998</v>
      </c>
      <c r="L128" s="1637">
        <f t="shared" si="114"/>
        <v>40908</v>
      </c>
      <c r="M128" s="1639">
        <f t="shared" si="115"/>
        <v>18407.336235802471</v>
      </c>
      <c r="N128" s="1637">
        <f t="shared" si="116"/>
        <v>40940</v>
      </c>
      <c r="O128" s="1636">
        <f t="shared" si="117"/>
        <v>7364.309210667343</v>
      </c>
    </row>
    <row r="129" spans="2:15" ht="15" customHeight="1">
      <c r="B129" s="1244">
        <f>Summary!T83</f>
        <v>40010</v>
      </c>
      <c r="C129" s="707" t="str">
        <f>Summary!U83</f>
        <v>Cure/Sealers</v>
      </c>
      <c r="D129" s="296"/>
      <c r="E129" s="717">
        <f>SUM(Z104:Z106)</f>
        <v>2457.2750000000001</v>
      </c>
      <c r="G129" s="1634">
        <v>10</v>
      </c>
      <c r="H129" s="1635">
        <f t="shared" si="110"/>
        <v>41005</v>
      </c>
      <c r="I129" s="1639">
        <f t="shared" si="111"/>
        <v>2574.9121825378616</v>
      </c>
      <c r="J129" s="1637">
        <f t="shared" si="112"/>
        <v>41007</v>
      </c>
      <c r="K129" s="1639">
        <f t="shared" si="113"/>
        <v>3750.4294999999997</v>
      </c>
      <c r="L129" s="1637">
        <f t="shared" si="114"/>
        <v>41008</v>
      </c>
      <c r="M129" s="1639">
        <f t="shared" si="115"/>
        <v>20435.61702037037</v>
      </c>
      <c r="N129" s="1637">
        <f t="shared" si="116"/>
        <v>41040</v>
      </c>
      <c r="O129" s="1636">
        <f t="shared" si="117"/>
        <v>8048.1705873865631</v>
      </c>
    </row>
    <row r="130" spans="2:15" ht="15" customHeight="1">
      <c r="B130" s="1244">
        <f>Summary!T84</f>
        <v>40011</v>
      </c>
      <c r="C130" s="707" t="str">
        <f>Summary!U84</f>
        <v>Patch/Grout</v>
      </c>
      <c r="D130" s="296"/>
      <c r="E130" s="717">
        <f>SUM(Z92:Z97)</f>
        <v>4366.1440858843534</v>
      </c>
      <c r="G130" s="1634">
        <v>11</v>
      </c>
      <c r="H130" s="1635">
        <f t="shared" si="110"/>
        <v>41105</v>
      </c>
      <c r="I130" s="1639">
        <f t="shared" si="111"/>
        <v>4313.7140171188857</v>
      </c>
      <c r="J130" s="1637">
        <f t="shared" si="112"/>
        <v>41107</v>
      </c>
      <c r="K130" s="1639">
        <f t="shared" si="113"/>
        <v>6323.0990000000002</v>
      </c>
      <c r="L130" s="1637">
        <f t="shared" si="114"/>
        <v>41108</v>
      </c>
      <c r="M130" s="1639">
        <f t="shared" si="115"/>
        <v>33511.716397530865</v>
      </c>
      <c r="N130" s="1637">
        <f t="shared" si="116"/>
        <v>41140</v>
      </c>
      <c r="O130" s="1636">
        <f t="shared" si="117"/>
        <v>13560.478404039688</v>
      </c>
    </row>
    <row r="131" spans="2:15" ht="15" customHeight="1">
      <c r="B131" s="1244">
        <f>Summary!T85</f>
        <v>40012</v>
      </c>
      <c r="C131" s="707" t="str">
        <f>Summary!U85</f>
        <v>Poly/Vapor Barrier</v>
      </c>
      <c r="D131" s="296"/>
      <c r="E131" s="717">
        <f>SUM(Z87:Z90)</f>
        <v>17993.805929705213</v>
      </c>
      <c r="G131" s="1634">
        <v>12</v>
      </c>
      <c r="H131" s="1635">
        <f t="shared" si="110"/>
        <v>41205</v>
      </c>
      <c r="I131" s="1639">
        <f t="shared" si="111"/>
        <v>4797.7285613778595</v>
      </c>
      <c r="J131" s="1637">
        <f t="shared" si="112"/>
        <v>41207</v>
      </c>
      <c r="K131" s="1639">
        <f t="shared" si="113"/>
        <v>5720.4171249999999</v>
      </c>
      <c r="L131" s="1637">
        <f t="shared" si="114"/>
        <v>41208</v>
      </c>
      <c r="M131" s="1639">
        <f t="shared" si="115"/>
        <v>33574.358667901244</v>
      </c>
      <c r="N131" s="1637">
        <f t="shared" si="116"/>
        <v>41240</v>
      </c>
      <c r="O131" s="1636">
        <f t="shared" si="117"/>
        <v>14007.62060396547</v>
      </c>
    </row>
    <row r="132" spans="2:15" ht="15" customHeight="1">
      <c r="B132" s="1244">
        <f>Summary!T86</f>
        <v>40013</v>
      </c>
      <c r="C132" s="707" t="str">
        <f>Summary!U86</f>
        <v>Special Material</v>
      </c>
      <c r="D132" s="296"/>
      <c r="E132" s="717">
        <f>Z101</f>
        <v>0</v>
      </c>
      <c r="G132" s="1634">
        <v>13</v>
      </c>
      <c r="H132" s="1635">
        <f t="shared" si="110"/>
        <v>41305</v>
      </c>
      <c r="I132" s="1639">
        <f t="shared" si="111"/>
        <v>1503.2547057637053</v>
      </c>
      <c r="J132" s="1637">
        <f t="shared" si="112"/>
        <v>41307</v>
      </c>
      <c r="K132" s="1639">
        <f t="shared" si="113"/>
        <v>1981.029125</v>
      </c>
      <c r="L132" s="1637">
        <f t="shared" si="114"/>
        <v>41308</v>
      </c>
      <c r="M132" s="1639">
        <f t="shared" si="115"/>
        <v>11041.649278086419</v>
      </c>
      <c r="N132" s="1637">
        <f t="shared" si="116"/>
        <v>41340</v>
      </c>
      <c r="O132" s="1636">
        <f t="shared" si="117"/>
        <v>4639.2359832990624</v>
      </c>
    </row>
    <row r="133" spans="2:15" ht="15" customHeight="1">
      <c r="B133" s="1244">
        <f>Summary!T87</f>
        <v>40014</v>
      </c>
      <c r="C133" s="707" t="str">
        <f>Summary!U87</f>
        <v>Special Material</v>
      </c>
      <c r="D133" s="296"/>
      <c r="E133" s="717">
        <f>Z102</f>
        <v>0</v>
      </c>
      <c r="G133" s="1634">
        <v>14</v>
      </c>
      <c r="H133" s="1635">
        <f t="shared" si="110"/>
        <v>41405</v>
      </c>
      <c r="I133" s="1639">
        <f t="shared" si="111"/>
        <v>1529.8680931752408</v>
      </c>
      <c r="J133" s="1637">
        <f t="shared" si="112"/>
        <v>41407</v>
      </c>
      <c r="K133" s="1639">
        <f t="shared" si="113"/>
        <v>2245.105</v>
      </c>
      <c r="L133" s="1637">
        <f t="shared" si="114"/>
        <v>41408</v>
      </c>
      <c r="M133" s="1639">
        <f t="shared" si="115"/>
        <v>12396.051093518518</v>
      </c>
      <c r="N133" s="1637">
        <f t="shared" si="116"/>
        <v>41440</v>
      </c>
      <c r="O133" s="1636">
        <f t="shared" si="117"/>
        <v>4814.2910217629687</v>
      </c>
    </row>
    <row r="134" spans="2:15" ht="15" customHeight="1">
      <c r="B134" s="1244">
        <f>Summary!T88</f>
        <v>40015</v>
      </c>
      <c r="C134" s="707" t="str">
        <f>Summary!U88</f>
        <v>PPE/Safety</v>
      </c>
      <c r="D134" s="296"/>
      <c r="E134" s="717">
        <f>Z103</f>
        <v>0</v>
      </c>
      <c r="G134" s="1634">
        <v>15</v>
      </c>
      <c r="H134" s="1635">
        <f t="shared" si="110"/>
        <v>41505</v>
      </c>
      <c r="I134" s="1639">
        <f t="shared" si="111"/>
        <v>1466.4981620006051</v>
      </c>
      <c r="J134" s="1637">
        <f t="shared" si="112"/>
        <v>41507</v>
      </c>
      <c r="K134" s="1639">
        <f t="shared" si="113"/>
        <v>1923.9813749999998</v>
      </c>
      <c r="L134" s="1637">
        <f t="shared" si="114"/>
        <v>41508</v>
      </c>
      <c r="M134" s="1639">
        <f t="shared" si="115"/>
        <v>11070.597600000001</v>
      </c>
      <c r="N134" s="1637">
        <f t="shared" si="116"/>
        <v>41540</v>
      </c>
      <c r="O134" s="1636">
        <f t="shared" si="117"/>
        <v>4637.5575710548437</v>
      </c>
    </row>
    <row r="135" spans="2:15" ht="15" customHeight="1">
      <c r="B135" s="1244">
        <f>Summary!T89</f>
        <v>40020</v>
      </c>
      <c r="C135" s="707" t="str">
        <f>Summary!U89</f>
        <v>Supervision</v>
      </c>
      <c r="D135" s="296"/>
      <c r="E135" s="717">
        <f>SUM(O91:P92)</f>
        <v>11662.557812499999</v>
      </c>
      <c r="G135" s="1634">
        <v>16</v>
      </c>
      <c r="H135" s="1635">
        <f t="shared" si="110"/>
        <v>41605</v>
      </c>
      <c r="I135" s="1639">
        <f t="shared" si="111"/>
        <v>511.45558145047261</v>
      </c>
      <c r="J135" s="1637">
        <f t="shared" si="112"/>
        <v>41607</v>
      </c>
      <c r="K135" s="1639">
        <f t="shared" si="113"/>
        <v>473.864375</v>
      </c>
      <c r="L135" s="1637">
        <f t="shared" si="114"/>
        <v>41608</v>
      </c>
      <c r="M135" s="1639">
        <f t="shared" si="115"/>
        <v>3851.0759398148143</v>
      </c>
      <c r="N135" s="1637">
        <f t="shared" si="116"/>
        <v>41640</v>
      </c>
      <c r="O135" s="1636">
        <f t="shared" si="117"/>
        <v>1074.1920959046874</v>
      </c>
    </row>
    <row r="136" spans="2:15" ht="15" customHeight="1">
      <c r="B136" s="1244">
        <f>Summary!T90</f>
        <v>40021</v>
      </c>
      <c r="C136" s="707" t="str">
        <f>Summary!U90</f>
        <v>Supervision Expense</v>
      </c>
      <c r="D136" s="296"/>
      <c r="E136" s="717">
        <f>O93</f>
        <v>2744.1312499999999</v>
      </c>
      <c r="G136" s="1634">
        <v>17</v>
      </c>
      <c r="H136" s="1635">
        <f t="shared" si="110"/>
        <v>41705</v>
      </c>
      <c r="I136" s="1639">
        <f t="shared" si="111"/>
        <v>0</v>
      </c>
      <c r="J136" s="1637">
        <f t="shared" si="112"/>
        <v>41707</v>
      </c>
      <c r="K136" s="1639">
        <f t="shared" si="113"/>
        <v>0</v>
      </c>
      <c r="L136" s="1637">
        <f t="shared" si="114"/>
        <v>41708</v>
      </c>
      <c r="M136" s="1639">
        <f t="shared" si="115"/>
        <v>0</v>
      </c>
      <c r="N136" s="1637">
        <f t="shared" si="116"/>
        <v>41740</v>
      </c>
      <c r="O136" s="1636">
        <f t="shared" si="117"/>
        <v>0</v>
      </c>
    </row>
    <row r="137" spans="2:15" ht="15" customHeight="1">
      <c r="B137" s="1244">
        <f>Summary!T91</f>
        <v>40022</v>
      </c>
      <c r="C137" s="707" t="str">
        <f>Summary!U91</f>
        <v>Project Management</v>
      </c>
      <c r="D137" s="296"/>
      <c r="E137" s="717">
        <f>O94</f>
        <v>5488.2624999999998</v>
      </c>
      <c r="G137" s="1634">
        <v>18</v>
      </c>
      <c r="H137" s="1635">
        <f t="shared" si="110"/>
        <v>41805</v>
      </c>
      <c r="I137" s="1639">
        <f t="shared" si="111"/>
        <v>0</v>
      </c>
      <c r="J137" s="1637">
        <f t="shared" si="112"/>
        <v>41807</v>
      </c>
      <c r="K137" s="1639">
        <f t="shared" si="113"/>
        <v>0</v>
      </c>
      <c r="L137" s="1637">
        <f t="shared" si="114"/>
        <v>41808</v>
      </c>
      <c r="M137" s="1639">
        <f t="shared" si="115"/>
        <v>0</v>
      </c>
      <c r="N137" s="1637">
        <f t="shared" si="116"/>
        <v>41840</v>
      </c>
      <c r="O137" s="1636">
        <f t="shared" si="117"/>
        <v>0</v>
      </c>
    </row>
    <row r="138" spans="2:15" ht="15" customHeight="1">
      <c r="B138" s="1244">
        <f>Summary!T92</f>
        <v>40023</v>
      </c>
      <c r="C138" s="707" t="str">
        <f>Summary!U92</f>
        <v>Labor Grade, Poly, Reinf.</v>
      </c>
      <c r="D138" s="296"/>
      <c r="E138" s="717">
        <f>L80</f>
        <v>0</v>
      </c>
      <c r="G138" s="1634">
        <v>19</v>
      </c>
      <c r="H138" s="1635">
        <f t="shared" si="110"/>
        <v>41905</v>
      </c>
      <c r="I138" s="1639">
        <f t="shared" si="111"/>
        <v>0</v>
      </c>
      <c r="J138" s="1637">
        <f t="shared" si="112"/>
        <v>41907</v>
      </c>
      <c r="K138" s="1639">
        <f t="shared" si="113"/>
        <v>0</v>
      </c>
      <c r="L138" s="1637">
        <f t="shared" si="114"/>
        <v>41908</v>
      </c>
      <c r="M138" s="1639">
        <f t="shared" si="115"/>
        <v>0</v>
      </c>
      <c r="N138" s="1637">
        <f t="shared" si="116"/>
        <v>41940</v>
      </c>
      <c r="O138" s="1636">
        <f t="shared" si="117"/>
        <v>0</v>
      </c>
    </row>
    <row r="139" spans="2:15">
      <c r="B139" s="1244">
        <f>Summary!T93</f>
        <v>40024</v>
      </c>
      <c r="C139" s="707" t="str">
        <f>Summary!U93</f>
        <v>Labor Place &amp; Finish</v>
      </c>
      <c r="D139" s="296"/>
      <c r="E139" s="717">
        <f>L81</f>
        <v>0</v>
      </c>
      <c r="G139" s="1634">
        <v>20</v>
      </c>
      <c r="H139" s="1635">
        <f t="shared" si="110"/>
        <v>42005</v>
      </c>
      <c r="I139" s="1639">
        <f t="shared" si="111"/>
        <v>0</v>
      </c>
      <c r="J139" s="1637">
        <f t="shared" si="112"/>
        <v>42007</v>
      </c>
      <c r="K139" s="1639">
        <f t="shared" si="113"/>
        <v>0</v>
      </c>
      <c r="L139" s="1637">
        <f t="shared" si="114"/>
        <v>42008</v>
      </c>
      <c r="M139" s="1639">
        <f t="shared" si="115"/>
        <v>0</v>
      </c>
      <c r="N139" s="1637">
        <f t="shared" si="116"/>
        <v>42040</v>
      </c>
      <c r="O139" s="1636">
        <f t="shared" si="117"/>
        <v>0</v>
      </c>
    </row>
    <row r="140" spans="2:15">
      <c r="B140" s="1244">
        <f>Summary!T94</f>
        <v>40025</v>
      </c>
      <c r="C140" s="707" t="str">
        <f>Summary!U94</f>
        <v>Labor Drops</v>
      </c>
      <c r="D140" s="296"/>
      <c r="E140" s="717">
        <f>L83</f>
        <v>0</v>
      </c>
      <c r="G140" s="1634">
        <v>21</v>
      </c>
      <c r="H140" s="1635">
        <f t="shared" si="110"/>
        <v>42105</v>
      </c>
      <c r="I140" s="1639">
        <f t="shared" si="111"/>
        <v>0</v>
      </c>
      <c r="J140" s="1637">
        <f t="shared" si="112"/>
        <v>42107</v>
      </c>
      <c r="K140" s="1639">
        <f t="shared" si="113"/>
        <v>0</v>
      </c>
      <c r="L140" s="1637">
        <f t="shared" si="114"/>
        <v>42108</v>
      </c>
      <c r="M140" s="1639">
        <f t="shared" si="115"/>
        <v>0</v>
      </c>
      <c r="N140" s="1637">
        <f t="shared" si="116"/>
        <v>42140</v>
      </c>
      <c r="O140" s="1636">
        <f t="shared" si="117"/>
        <v>0</v>
      </c>
    </row>
    <row r="141" spans="2:15">
      <c r="B141" s="1244">
        <f>Summary!T95</f>
        <v>40026</v>
      </c>
      <c r="C141" s="707" t="str">
        <f>Summary!U95</f>
        <v>Labor Strip Forms</v>
      </c>
      <c r="D141" s="296"/>
      <c r="E141" s="717">
        <f>L82</f>
        <v>0</v>
      </c>
      <c r="G141" s="1634">
        <v>22</v>
      </c>
      <c r="H141" s="1635">
        <f t="shared" si="110"/>
        <v>42205</v>
      </c>
      <c r="I141" s="1639">
        <f t="shared" si="111"/>
        <v>0</v>
      </c>
      <c r="J141" s="1637">
        <f t="shared" si="112"/>
        <v>42207</v>
      </c>
      <c r="K141" s="1639">
        <f t="shared" si="113"/>
        <v>0</v>
      </c>
      <c r="L141" s="1637">
        <f t="shared" si="114"/>
        <v>42208</v>
      </c>
      <c r="M141" s="1639">
        <f t="shared" si="115"/>
        <v>0</v>
      </c>
      <c r="N141" s="1637">
        <f t="shared" si="116"/>
        <v>42240</v>
      </c>
      <c r="O141" s="1636">
        <f t="shared" si="117"/>
        <v>0</v>
      </c>
    </row>
    <row r="142" spans="2:15">
      <c r="B142" s="1244">
        <f>Summary!T96</f>
        <v>40027</v>
      </c>
      <c r="C142" s="707" t="str">
        <f>Summary!U96</f>
        <v>Labor Burden</v>
      </c>
      <c r="D142" s="296"/>
      <c r="E142" s="717">
        <f>L86</f>
        <v>0</v>
      </c>
      <c r="G142" s="1634">
        <v>23</v>
      </c>
      <c r="H142" s="1635">
        <f t="shared" si="110"/>
        <v>42305</v>
      </c>
      <c r="I142" s="1639">
        <f t="shared" si="111"/>
        <v>0</v>
      </c>
      <c r="J142" s="1637">
        <f t="shared" si="112"/>
        <v>42307</v>
      </c>
      <c r="K142" s="1639">
        <f t="shared" si="113"/>
        <v>0</v>
      </c>
      <c r="L142" s="1637">
        <f t="shared" si="114"/>
        <v>42308</v>
      </c>
      <c r="M142" s="1639">
        <f t="shared" si="115"/>
        <v>0</v>
      </c>
      <c r="N142" s="1637">
        <f t="shared" si="116"/>
        <v>42340</v>
      </c>
      <c r="O142" s="1636">
        <f t="shared" si="117"/>
        <v>0</v>
      </c>
    </row>
    <row r="143" spans="2:15">
      <c r="B143" s="1244">
        <f>Summary!T97</f>
        <v>40028</v>
      </c>
      <c r="C143" s="707" t="str">
        <f>Summary!U97</f>
        <v>Surveying</v>
      </c>
      <c r="D143" s="296"/>
      <c r="E143" s="717"/>
      <c r="G143" s="1634">
        <v>24</v>
      </c>
      <c r="H143" s="1635">
        <f t="shared" si="110"/>
        <v>42405</v>
      </c>
      <c r="I143" s="1639">
        <f t="shared" si="111"/>
        <v>0</v>
      </c>
      <c r="J143" s="1637">
        <f t="shared" si="112"/>
        <v>42407</v>
      </c>
      <c r="K143" s="1639">
        <f t="shared" si="113"/>
        <v>0</v>
      </c>
      <c r="L143" s="1637">
        <f t="shared" si="114"/>
        <v>42408</v>
      </c>
      <c r="M143" s="1639">
        <f t="shared" si="115"/>
        <v>0</v>
      </c>
      <c r="N143" s="1637">
        <f t="shared" si="116"/>
        <v>42440</v>
      </c>
      <c r="O143" s="1636">
        <f t="shared" si="117"/>
        <v>0</v>
      </c>
    </row>
    <row r="144" spans="2:15">
      <c r="B144" s="1244">
        <f>Summary!T98</f>
        <v>40030</v>
      </c>
      <c r="C144" s="707" t="str">
        <f>Summary!U98</f>
        <v>Pumping</v>
      </c>
      <c r="D144" s="296"/>
      <c r="E144" s="1640">
        <f>O106</f>
        <v>35283.133827160505</v>
      </c>
      <c r="G144" s="1634">
        <v>25</v>
      </c>
      <c r="H144" s="1635">
        <f t="shared" si="110"/>
        <v>42505</v>
      </c>
      <c r="I144" s="1639">
        <f t="shared" si="111"/>
        <v>188.97462811643629</v>
      </c>
      <c r="J144" s="1637">
        <f t="shared" si="112"/>
        <v>42507</v>
      </c>
      <c r="K144" s="1639">
        <f t="shared" si="113"/>
        <v>485.82599999999996</v>
      </c>
      <c r="L144" s="1637">
        <f t="shared" si="114"/>
        <v>42508</v>
      </c>
      <c r="M144" s="1639">
        <f t="shared" si="115"/>
        <v>1002.276325925926</v>
      </c>
      <c r="N144" s="1637">
        <f t="shared" si="116"/>
        <v>42540</v>
      </c>
      <c r="O144" s="1636">
        <f t="shared" si="117"/>
        <v>998.03080157549994</v>
      </c>
    </row>
    <row r="145" spans="2:17">
      <c r="B145" s="1244">
        <f>Summary!T99</f>
        <v>40031</v>
      </c>
      <c r="C145" s="707" t="str">
        <f>Summary!U99</f>
        <v>Earth Work/Excavation</v>
      </c>
      <c r="D145" s="296"/>
      <c r="E145" s="717"/>
      <c r="G145" s="1634">
        <v>26</v>
      </c>
      <c r="H145" s="1635">
        <f t="shared" si="110"/>
        <v>42605</v>
      </c>
      <c r="I145" s="1639">
        <f t="shared" si="111"/>
        <v>0</v>
      </c>
      <c r="J145" s="1637">
        <f t="shared" si="112"/>
        <v>42607</v>
      </c>
      <c r="K145" s="1639">
        <f t="shared" si="113"/>
        <v>0</v>
      </c>
      <c r="L145" s="1637">
        <f t="shared" si="114"/>
        <v>42608</v>
      </c>
      <c r="M145" s="1639">
        <f t="shared" si="115"/>
        <v>0</v>
      </c>
      <c r="N145" s="1637">
        <f t="shared" si="116"/>
        <v>42640</v>
      </c>
      <c r="O145" s="1636">
        <f t="shared" si="117"/>
        <v>0</v>
      </c>
    </row>
    <row r="146" spans="2:17">
      <c r="B146" s="1244">
        <f>Summary!T100</f>
        <v>40032</v>
      </c>
      <c r="C146" s="707" t="str">
        <f>Summary!U100</f>
        <v>Drilling</v>
      </c>
      <c r="D146" s="296"/>
      <c r="E146" s="717"/>
      <c r="G146" s="1634">
        <v>27</v>
      </c>
      <c r="H146" s="1635">
        <f t="shared" si="110"/>
        <v>42705</v>
      </c>
      <c r="I146" s="1639">
        <f t="shared" si="111"/>
        <v>0</v>
      </c>
      <c r="J146" s="1637">
        <f t="shared" si="112"/>
        <v>42707</v>
      </c>
      <c r="K146" s="1639">
        <f t="shared" si="113"/>
        <v>0</v>
      </c>
      <c r="L146" s="1637">
        <f t="shared" si="114"/>
        <v>42708</v>
      </c>
      <c r="M146" s="1639">
        <f t="shared" si="115"/>
        <v>0</v>
      </c>
      <c r="N146" s="1637">
        <f t="shared" si="116"/>
        <v>42740</v>
      </c>
      <c r="O146" s="1636">
        <f t="shared" si="117"/>
        <v>0</v>
      </c>
    </row>
    <row r="147" spans="2:17">
      <c r="B147" s="1244">
        <f>Summary!T101</f>
        <v>40033</v>
      </c>
      <c r="C147" s="707" t="str">
        <f>Summary!U101</f>
        <v>Haul off</v>
      </c>
      <c r="D147" s="296"/>
      <c r="E147" s="717">
        <f>O107</f>
        <v>0</v>
      </c>
      <c r="G147" s="1634">
        <v>28</v>
      </c>
      <c r="H147" s="1635">
        <f t="shared" si="110"/>
        <v>42805</v>
      </c>
      <c r="I147" s="1639">
        <f t="shared" si="111"/>
        <v>0</v>
      </c>
      <c r="J147" s="1637">
        <f t="shared" si="112"/>
        <v>42807</v>
      </c>
      <c r="K147" s="1639">
        <f t="shared" si="113"/>
        <v>0</v>
      </c>
      <c r="L147" s="1637">
        <f t="shared" si="114"/>
        <v>42808</v>
      </c>
      <c r="M147" s="1639">
        <f t="shared" si="115"/>
        <v>0</v>
      </c>
      <c r="N147" s="1637">
        <f t="shared" si="116"/>
        <v>42840</v>
      </c>
      <c r="O147" s="1636">
        <f t="shared" si="117"/>
        <v>0</v>
      </c>
    </row>
    <row r="148" spans="2:17">
      <c r="B148" s="1244">
        <f>Summary!T102</f>
        <v>40034</v>
      </c>
      <c r="C148" s="707" t="str">
        <f>Summary!U102</f>
        <v>Saw Cutting/Sealing</v>
      </c>
      <c r="D148" s="296"/>
      <c r="E148" s="717">
        <f>O104+O105</f>
        <v>0</v>
      </c>
      <c r="G148" s="1634">
        <v>29</v>
      </c>
      <c r="H148" s="1635">
        <f t="shared" si="110"/>
        <v>42905</v>
      </c>
      <c r="I148" s="1639">
        <f t="shared" si="111"/>
        <v>0</v>
      </c>
      <c r="J148" s="1637">
        <f t="shared" si="112"/>
        <v>42907</v>
      </c>
      <c r="K148" s="1639">
        <f t="shared" si="113"/>
        <v>0</v>
      </c>
      <c r="L148" s="1637">
        <f t="shared" si="114"/>
        <v>42908</v>
      </c>
      <c r="M148" s="1639">
        <f t="shared" si="115"/>
        <v>0</v>
      </c>
      <c r="N148" s="1637">
        <f t="shared" si="116"/>
        <v>42940</v>
      </c>
      <c r="O148" s="1636">
        <f t="shared" si="117"/>
        <v>0</v>
      </c>
    </row>
    <row r="149" spans="2:17">
      <c r="B149" s="1244">
        <f>Summary!T103</f>
        <v>40035</v>
      </c>
      <c r="C149" s="707" t="str">
        <f>Summary!U103</f>
        <v>Demolition</v>
      </c>
      <c r="D149" s="296"/>
      <c r="E149" s="717"/>
      <c r="G149" s="1634">
        <v>30</v>
      </c>
      <c r="H149" s="1635">
        <f t="shared" si="110"/>
        <v>43005</v>
      </c>
      <c r="I149" s="1639">
        <f t="shared" si="111"/>
        <v>0</v>
      </c>
      <c r="J149" s="1637">
        <f t="shared" si="112"/>
        <v>43007</v>
      </c>
      <c r="K149" s="1639">
        <f t="shared" si="113"/>
        <v>0</v>
      </c>
      <c r="L149" s="1637">
        <f t="shared" si="114"/>
        <v>43008</v>
      </c>
      <c r="M149" s="1639">
        <f t="shared" si="115"/>
        <v>0</v>
      </c>
      <c r="N149" s="1637">
        <f t="shared" si="116"/>
        <v>43040</v>
      </c>
      <c r="O149" s="1636">
        <f t="shared" si="117"/>
        <v>0</v>
      </c>
    </row>
    <row r="150" spans="2:17">
      <c r="B150" s="1244">
        <f>Summary!T104</f>
        <v>40037</v>
      </c>
      <c r="C150" s="707" t="str">
        <f>Summary!U104</f>
        <v>Waterproofing</v>
      </c>
      <c r="D150" s="296"/>
      <c r="E150" s="717"/>
      <c r="G150" s="1634">
        <v>31</v>
      </c>
      <c r="H150" s="1635">
        <f t="shared" si="110"/>
        <v>43105</v>
      </c>
      <c r="I150" s="1639">
        <f t="shared" si="111"/>
        <v>0</v>
      </c>
      <c r="J150" s="1637">
        <f t="shared" si="112"/>
        <v>43107</v>
      </c>
      <c r="K150" s="1639">
        <f t="shared" si="113"/>
        <v>0</v>
      </c>
      <c r="L150" s="1637">
        <f t="shared" si="114"/>
        <v>43108</v>
      </c>
      <c r="M150" s="1639">
        <f t="shared" si="115"/>
        <v>0</v>
      </c>
      <c r="N150" s="1637">
        <f t="shared" si="116"/>
        <v>43140</v>
      </c>
      <c r="O150" s="1636">
        <f t="shared" si="117"/>
        <v>0</v>
      </c>
    </row>
    <row r="151" spans="2:17">
      <c r="B151" s="1244">
        <f>Summary!T105</f>
        <v>40038</v>
      </c>
      <c r="C151" s="707" t="str">
        <f>Summary!U105</f>
        <v>Crain/Hoisting</v>
      </c>
      <c r="D151" s="296"/>
      <c r="E151" s="717"/>
      <c r="G151" s="1634">
        <v>32</v>
      </c>
      <c r="H151" s="1635">
        <f t="shared" si="110"/>
        <v>43205</v>
      </c>
      <c r="I151" s="1639">
        <f t="shared" si="111"/>
        <v>0</v>
      </c>
      <c r="J151" s="1637">
        <f t="shared" si="112"/>
        <v>43207</v>
      </c>
      <c r="K151" s="1639">
        <f t="shared" si="113"/>
        <v>0</v>
      </c>
      <c r="L151" s="1637">
        <f t="shared" si="114"/>
        <v>43208</v>
      </c>
      <c r="M151" s="1639">
        <f t="shared" si="115"/>
        <v>0</v>
      </c>
      <c r="N151" s="1637">
        <f t="shared" si="116"/>
        <v>43240</v>
      </c>
      <c r="O151" s="1636">
        <f t="shared" si="117"/>
        <v>0</v>
      </c>
    </row>
    <row r="152" spans="2:17">
      <c r="B152" s="1244">
        <f>Summary!T106</f>
        <v>40039</v>
      </c>
      <c r="C152" s="707" t="str">
        <f>Summary!U106</f>
        <v>Forming Systems</v>
      </c>
      <c r="E152" s="757"/>
      <c r="G152" s="1641"/>
      <c r="H152" s="1642"/>
      <c r="I152" s="351"/>
      <c r="J152" s="1643"/>
      <c r="K152" s="351"/>
      <c r="L152" s="1643"/>
      <c r="M152" s="351"/>
      <c r="N152" s="1643"/>
      <c r="O152" s="351"/>
    </row>
    <row r="153" spans="2:17">
      <c r="B153" s="1644">
        <f>Summary!T107</f>
        <v>40040</v>
      </c>
      <c r="C153" s="1645" t="str">
        <f>Summary!U106</f>
        <v>Forming Systems</v>
      </c>
      <c r="D153" s="1646"/>
      <c r="E153" s="1647">
        <f>O117</f>
        <v>131779.34226887659</v>
      </c>
    </row>
    <row r="154" spans="2:17">
      <c r="B154" s="1244">
        <f>Summary!T108</f>
        <v>40041</v>
      </c>
      <c r="C154" s="707" t="str">
        <f>Summary!U108</f>
        <v>Labor Forming</v>
      </c>
      <c r="D154" s="296"/>
      <c r="E154" s="708">
        <f>O79</f>
        <v>28225.350000000002</v>
      </c>
    </row>
    <row r="155" spans="2:17">
      <c r="B155" s="1244">
        <f>Summary!T109</f>
        <v>40042</v>
      </c>
      <c r="C155" s="707" t="str">
        <f>Summary!U109</f>
        <v>Labor Grade, Poly, Reinf.</v>
      </c>
      <c r="D155" s="296"/>
      <c r="E155" s="717">
        <f>O80+O85</f>
        <v>40769.950000000004</v>
      </c>
      <c r="Q155" s="163" t="s">
        <v>1656</v>
      </c>
    </row>
    <row r="156" spans="2:17">
      <c r="B156" s="1244">
        <f>Summary!T110</f>
        <v>40043</v>
      </c>
      <c r="C156" s="707" t="str">
        <f>Summary!U110</f>
        <v>Labor Place &amp; Finish</v>
      </c>
      <c r="D156" s="296"/>
      <c r="E156" s="717">
        <f>O81</f>
        <v>40769.950000000004</v>
      </c>
      <c r="G156" s="1641"/>
      <c r="H156" s="1642"/>
      <c r="I156" s="351"/>
      <c r="J156" s="351"/>
      <c r="K156" s="351"/>
      <c r="L156" s="351"/>
    </row>
    <row r="157" spans="2:17">
      <c r="B157" s="1244">
        <f>Summary!T111</f>
        <v>40044</v>
      </c>
      <c r="C157" s="707" t="str">
        <f>Summary!U111</f>
        <v>Labor Drops</v>
      </c>
      <c r="D157" s="715"/>
      <c r="E157" s="708">
        <f>O83</f>
        <v>6920</v>
      </c>
      <c r="G157" s="1641"/>
      <c r="H157" s="1642"/>
      <c r="I157" s="351"/>
      <c r="J157" s="351"/>
      <c r="K157" s="351"/>
      <c r="L157" s="351"/>
    </row>
    <row r="158" spans="2:17">
      <c r="B158" s="1244">
        <f>Summary!T112</f>
        <v>40045</v>
      </c>
      <c r="C158" s="707" t="str">
        <f>Summary!U112</f>
        <v>Labor Strip Forms</v>
      </c>
      <c r="D158" s="296"/>
      <c r="E158" s="717">
        <f>O82</f>
        <v>6272.3</v>
      </c>
      <c r="G158" s="1641"/>
      <c r="H158" s="1642"/>
      <c r="I158" s="351"/>
      <c r="J158" s="351"/>
      <c r="K158" s="351"/>
      <c r="L158" s="351"/>
    </row>
    <row r="159" spans="2:17">
      <c r="B159" s="1244">
        <f>Summary!T113</f>
        <v>40046</v>
      </c>
      <c r="C159" s="707" t="str">
        <f>Summary!U113</f>
        <v>Labor Burden</v>
      </c>
      <c r="D159" s="296"/>
      <c r="E159" s="717">
        <f>O84</f>
        <v>0</v>
      </c>
      <c r="G159" s="1641"/>
      <c r="H159" s="1642"/>
      <c r="I159" s="351"/>
      <c r="J159" s="351"/>
      <c r="K159" s="351"/>
      <c r="L159" s="351"/>
    </row>
    <row r="160" spans="2:17">
      <c r="B160" s="1244">
        <f>Summary!T114</f>
        <v>40047</v>
      </c>
      <c r="C160" s="707" t="str">
        <f>Summary!U114</f>
        <v>Rebar</v>
      </c>
      <c r="D160" s="715"/>
      <c r="E160" s="708">
        <f>O87</f>
        <v>8821.7922688765957</v>
      </c>
      <c r="G160" s="1641"/>
      <c r="H160" s="1642"/>
      <c r="I160" s="351"/>
      <c r="J160" s="351"/>
      <c r="K160" s="351"/>
      <c r="L160" s="351"/>
    </row>
    <row r="161" spans="2:5">
      <c r="B161" s="1648">
        <f>Summary!T115</f>
        <v>40048</v>
      </c>
      <c r="C161" s="518" t="str">
        <f>Summary!U115</f>
        <v>PT Installation</v>
      </c>
      <c r="D161" s="715"/>
      <c r="E161" s="717">
        <f>O86</f>
        <v>0</v>
      </c>
    </row>
    <row r="162" spans="2:5">
      <c r="B162" s="1649">
        <f>Summary!T116</f>
        <v>40049</v>
      </c>
      <c r="C162" s="736" t="str">
        <f>Summary!U116</f>
        <v>Extra Hours</v>
      </c>
      <c r="D162" s="248"/>
      <c r="E162" s="738">
        <f>O88</f>
        <v>0</v>
      </c>
    </row>
    <row r="163" spans="2:5">
      <c r="B163" s="1247">
        <f>Summary!T117</f>
        <v>40060</v>
      </c>
      <c r="C163" s="1248" t="str">
        <f>Summary!U117</f>
        <v>Total Equipment Rental</v>
      </c>
      <c r="D163" s="1249"/>
      <c r="E163" s="1250">
        <f>SUM(E164:E171)</f>
        <v>33747.75</v>
      </c>
    </row>
    <row r="164" spans="2:5">
      <c r="B164" s="1244">
        <f>Summary!T118</f>
        <v>40061</v>
      </c>
      <c r="C164" s="707" t="str">
        <f>Summary!U118</f>
        <v>SkyTrack</v>
      </c>
      <c r="D164" s="296"/>
      <c r="E164" s="708">
        <f>O96/(1+$Y$44+J$98)</f>
        <v>0</v>
      </c>
    </row>
    <row r="165" spans="2:5">
      <c r="B165" s="1244">
        <f>Summary!T119</f>
        <v>40062</v>
      </c>
      <c r="C165" s="707" t="str">
        <f>Summary!U119</f>
        <v>Mini Ex</v>
      </c>
      <c r="D165" s="296"/>
      <c r="E165" s="708">
        <f>O97/(1+$Y$44+J$98)</f>
        <v>8550</v>
      </c>
    </row>
    <row r="166" spans="2:5">
      <c r="B166" s="1244">
        <f>Summary!T120</f>
        <v>40063</v>
      </c>
      <c r="C166" s="707" t="str">
        <f>Summary!U120</f>
        <v>Trencher</v>
      </c>
      <c r="D166" s="296"/>
      <c r="E166" s="708">
        <f>O98/(1+$Y$44+J$98)</f>
        <v>5850</v>
      </c>
    </row>
    <row r="167" spans="2:5">
      <c r="B167" s="1244">
        <f>Summary!T121</f>
        <v>40064</v>
      </c>
      <c r="C167" s="707" t="str">
        <f>Summary!U121</f>
        <v>Skid Steer</v>
      </c>
      <c r="D167" s="296"/>
      <c r="E167" s="708">
        <f>O99/(1+$Y$44+J$98)</f>
        <v>5850</v>
      </c>
    </row>
    <row r="168" spans="2:5">
      <c r="B168" s="1244">
        <f>Summary!T122</f>
        <v>40065</v>
      </c>
      <c r="C168" s="707" t="str">
        <f>Summary!U122</f>
        <v>General Equipment Rental</v>
      </c>
      <c r="D168" s="296"/>
      <c r="E168" s="708">
        <f>(O100+O101)/(1+$Y$44+J$98)</f>
        <v>1075.5924170616113</v>
      </c>
    </row>
    <row r="169" spans="2:5">
      <c r="B169" s="1244">
        <f>Summary!T123</f>
        <v>40066</v>
      </c>
      <c r="C169" s="707" t="str">
        <f>Summary!U123</f>
        <v>Fuel</v>
      </c>
      <c r="D169" s="296"/>
      <c r="E169" s="708">
        <f>M98-SUM(E164:E168)</f>
        <v>12422.157582938387</v>
      </c>
    </row>
    <row r="170" spans="2:5">
      <c r="B170" s="1244">
        <f>Summary!T124</f>
        <v>40067</v>
      </c>
      <c r="C170" s="707" t="str">
        <f>Summary!U124</f>
        <v>Purchased Tools</v>
      </c>
      <c r="D170" s="296"/>
      <c r="E170" s="717"/>
    </row>
    <row r="171" spans="2:5">
      <c r="B171" s="1244">
        <f>Summary!T125</f>
        <v>40068</v>
      </c>
      <c r="C171" s="707" t="str">
        <f>Summary!U125</f>
        <v>Stolen/Damaged</v>
      </c>
      <c r="D171" s="715"/>
      <c r="E171" s="717"/>
    </row>
    <row r="172" spans="2:5">
      <c r="B172" s="1244">
        <f>Summary!T126</f>
        <v>40070</v>
      </c>
      <c r="C172" s="707" t="str">
        <f>Summary!U126</f>
        <v>Out of Town Expense</v>
      </c>
      <c r="D172" s="296"/>
      <c r="E172" s="708">
        <f>O108</f>
        <v>0</v>
      </c>
    </row>
    <row r="173" spans="2:5">
      <c r="B173" s="1244">
        <f>Summary!T127</f>
        <v>40071</v>
      </c>
      <c r="C173" s="707" t="str">
        <f>Summary!U127</f>
        <v>Miscellaneous</v>
      </c>
      <c r="D173" s="296"/>
      <c r="E173" s="717">
        <f>O109</f>
        <v>0</v>
      </c>
    </row>
    <row r="174" spans="2:5">
      <c r="B174" s="1244">
        <f>Summary!T128</f>
        <v>40072</v>
      </c>
      <c r="C174" s="707" t="str">
        <f>Summary!U128</f>
        <v>Repairs</v>
      </c>
      <c r="D174" s="296"/>
      <c r="E174" s="717"/>
    </row>
    <row r="175" spans="2:5">
      <c r="B175" s="1244">
        <f>Summary!T129</f>
        <v>40073</v>
      </c>
      <c r="C175" s="707" t="str">
        <f>Summary!U129</f>
        <v>Engineering</v>
      </c>
      <c r="D175" s="296"/>
      <c r="E175" s="717">
        <f>O103</f>
        <v>0</v>
      </c>
    </row>
    <row r="176" spans="2:5">
      <c r="B176" s="1244">
        <f>Summary!T130</f>
        <v>40090</v>
      </c>
      <c r="C176" s="707" t="str">
        <f>Summary!U130</f>
        <v>Not Used</v>
      </c>
      <c r="D176" s="296"/>
      <c r="E176" s="717"/>
    </row>
    <row r="177" spans="2:5">
      <c r="B177" s="1244">
        <f>Summary!T131</f>
        <v>40091</v>
      </c>
      <c r="C177" s="707" t="str">
        <f>Summary!U131</f>
        <v>Margin Contingency</v>
      </c>
      <c r="D177" s="296"/>
      <c r="E177" s="717">
        <f>O110</f>
        <v>0</v>
      </c>
    </row>
  </sheetData>
  <mergeCells count="119">
    <mergeCell ref="E114:F114"/>
    <mergeCell ref="H114:I114"/>
    <mergeCell ref="V114:W114"/>
    <mergeCell ref="D119:E119"/>
    <mergeCell ref="O101:P101"/>
    <mergeCell ref="O103:P103"/>
    <mergeCell ref="O104:P104"/>
    <mergeCell ref="O105:P105"/>
    <mergeCell ref="O106:P106"/>
    <mergeCell ref="O107:P107"/>
    <mergeCell ref="O108:P108"/>
    <mergeCell ref="O109:P109"/>
    <mergeCell ref="B110:D110"/>
    <mergeCell ref="G110:H110"/>
    <mergeCell ref="O110:P110"/>
    <mergeCell ref="O96:P96"/>
    <mergeCell ref="J97:K97"/>
    <mergeCell ref="M97:N97"/>
    <mergeCell ref="O97:P97"/>
    <mergeCell ref="J98:K99"/>
    <mergeCell ref="M98:N98"/>
    <mergeCell ref="O98:P98"/>
    <mergeCell ref="O99:P99"/>
    <mergeCell ref="O100:P100"/>
    <mergeCell ref="L89:M89"/>
    <mergeCell ref="O89:P89"/>
    <mergeCell ref="M91:N91"/>
    <mergeCell ref="O91:P91"/>
    <mergeCell ref="M92:N92"/>
    <mergeCell ref="O92:P92"/>
    <mergeCell ref="O93:P93"/>
    <mergeCell ref="M94:N94"/>
    <mergeCell ref="O94:P94"/>
    <mergeCell ref="E86:F86"/>
    <mergeCell ref="I86:J86"/>
    <mergeCell ref="L86:M86"/>
    <mergeCell ref="O86:P86"/>
    <mergeCell ref="E87:F87"/>
    <mergeCell ref="I87:J87"/>
    <mergeCell ref="L87:M87"/>
    <mergeCell ref="O87:P87"/>
    <mergeCell ref="E88:F88"/>
    <mergeCell ref="L88:M88"/>
    <mergeCell ref="O88:P88"/>
    <mergeCell ref="E83:F83"/>
    <mergeCell ref="I83:J83"/>
    <mergeCell ref="L83:M83"/>
    <mergeCell ref="O83:P83"/>
    <mergeCell ref="O84:P84"/>
    <mergeCell ref="E85:F85"/>
    <mergeCell ref="I85:J85"/>
    <mergeCell ref="L85:M85"/>
    <mergeCell ref="O85:P85"/>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L73:M73"/>
    <mergeCell ref="O73:P73"/>
    <mergeCell ref="E74:E76"/>
    <mergeCell ref="L74:M74"/>
    <mergeCell ref="O74:P74"/>
    <mergeCell ref="L75:M75"/>
    <mergeCell ref="O75:P75"/>
    <mergeCell ref="L76:M76"/>
    <mergeCell ref="O76:P76"/>
    <mergeCell ref="L70:M70"/>
    <mergeCell ref="O70:P70"/>
    <mergeCell ref="L71:M71"/>
    <mergeCell ref="O71:P71"/>
    <mergeCell ref="C72:D72"/>
    <mergeCell ref="E72:F72"/>
    <mergeCell ref="J72:K72"/>
    <mergeCell ref="L72:M72"/>
    <mergeCell ref="O72:P72"/>
    <mergeCell ref="O60:P60"/>
    <mergeCell ref="L64:M64"/>
    <mergeCell ref="K65:K69"/>
    <mergeCell ref="L65:M65"/>
    <mergeCell ref="O65:P65"/>
    <mergeCell ref="L66:M66"/>
    <mergeCell ref="O66:P66"/>
    <mergeCell ref="L67:M67"/>
    <mergeCell ref="O67:P67"/>
    <mergeCell ref="L68:M68"/>
    <mergeCell ref="O68:P68"/>
    <mergeCell ref="L69:M69"/>
    <mergeCell ref="O69:P69"/>
    <mergeCell ref="E46:F46"/>
    <mergeCell ref="G46:H46"/>
    <mergeCell ref="K46:L46"/>
    <mergeCell ref="V46:W46"/>
    <mergeCell ref="U48:V48"/>
    <mergeCell ref="U49:V50"/>
    <mergeCell ref="U51:V51"/>
    <mergeCell ref="U52:V53"/>
    <mergeCell ref="U59:V59"/>
    <mergeCell ref="AR7:BB7"/>
    <mergeCell ref="BC7:BM7"/>
    <mergeCell ref="CM8:DE8"/>
    <mergeCell ref="T9:V9"/>
    <mergeCell ref="D42:E42"/>
    <mergeCell ref="E43:F43"/>
    <mergeCell ref="C45:D45"/>
    <mergeCell ref="E45:F45"/>
    <mergeCell ref="H45:I45"/>
    <mergeCell ref="V45:W45"/>
  </mergeCells>
  <conditionalFormatting sqref="L64:M64">
    <cfRule type="containsText" dxfId="16" priority="2" operator="containsText" text="Missing Concrete">
      <formula>NOT(ISERROR(SEARCH("Missing Concrete",L64)))</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2" manualBreakCount="2">
    <brk id="46" max="16383" man="1"/>
    <brk id="63" max="16383" man="1"/>
  </rowBreaks>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B9CDE5"/>
    <pageSetUpPr fitToPage="1"/>
  </sheetPr>
  <dimension ref="A1:IQ177"/>
  <sheetViews>
    <sheetView topLeftCell="A2" zoomScale="70" zoomScaleNormal="70" zoomScalePageLayoutView="90" workbookViewId="0">
      <selection activeCell="G151" sqref="G151"/>
    </sheetView>
  </sheetViews>
  <sheetFormatPr defaultColWidth="9.15234375" defaultRowHeight="15"/>
  <cols>
    <col min="1" max="1" width="5.15234375" style="18" customWidth="1"/>
    <col min="2" max="2" width="44.53515625" style="18" customWidth="1"/>
    <col min="3" max="3" width="15.4609375" style="18" customWidth="1"/>
    <col min="4" max="4" width="12.15234375" style="18" customWidth="1"/>
    <col min="5" max="5" width="13" style="18" customWidth="1"/>
    <col min="6" max="6" width="11.53515625" style="18" customWidth="1"/>
    <col min="7" max="7" width="13.53515625" style="18" customWidth="1"/>
    <col min="8" max="13" width="10.84375" style="18" customWidth="1"/>
    <col min="14" max="14" width="12.15234375" style="18" customWidth="1"/>
    <col min="15" max="15" width="12.84375" style="18" customWidth="1"/>
    <col min="16" max="16" width="17.84375" style="18" customWidth="1"/>
    <col min="17" max="17" width="17.4609375" style="18" customWidth="1"/>
    <col min="18" max="18" width="14.84375" style="18" customWidth="1"/>
    <col min="19" max="19" width="20.84375" style="18" customWidth="1"/>
    <col min="20" max="20" width="13.4609375" style="18" customWidth="1"/>
    <col min="21" max="24" width="12.84375" style="18" customWidth="1"/>
    <col min="25" max="25" width="12.84375" customWidth="1"/>
    <col min="26" max="26" width="14.53515625" customWidth="1"/>
    <col min="27" max="27" width="12.84375" customWidth="1"/>
    <col min="28" max="42" width="12.84375" style="18" customWidth="1"/>
    <col min="43" max="58" width="25.84375" style="18" customWidth="1"/>
    <col min="59" max="59" width="25.84375" style="1251" customWidth="1"/>
    <col min="60" max="120" width="25.84375" style="18" customWidth="1"/>
    <col min="121" max="195" width="20.84375" style="18" customWidth="1"/>
    <col min="196" max="215" width="20.84375" customWidth="1"/>
    <col min="252" max="16384" width="9.15234375" style="18"/>
  </cols>
  <sheetData>
    <row r="1" spans="1:136" ht="15.45">
      <c r="B1" s="791" t="s">
        <v>1355</v>
      </c>
      <c r="D1" s="626"/>
      <c r="E1" s="626"/>
      <c r="F1" s="626"/>
      <c r="G1" s="626"/>
      <c r="H1" s="626"/>
      <c r="I1" s="626"/>
      <c r="J1" s="626"/>
      <c r="K1" s="626"/>
      <c r="L1" s="626"/>
      <c r="M1" s="626"/>
      <c r="N1" s="626"/>
      <c r="O1" s="626"/>
      <c r="P1" s="626"/>
      <c r="Q1" s="626"/>
      <c r="R1" s="626"/>
      <c r="S1" s="626"/>
      <c r="T1" s="626"/>
      <c r="U1" s="1252" t="s">
        <v>1193</v>
      </c>
      <c r="V1" s="1252"/>
      <c r="W1" s="1253">
        <v>37456</v>
      </c>
      <c r="X1" s="1253"/>
      <c r="Y1" s="1254"/>
      <c r="Z1" s="1254"/>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1251"/>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626"/>
      <c r="CI1" s="626"/>
      <c r="CJ1" s="626"/>
      <c r="CK1" s="626"/>
      <c r="CL1" s="626"/>
      <c r="CM1" s="626"/>
      <c r="CN1" s="626"/>
      <c r="CO1" s="626"/>
      <c r="CP1" s="626"/>
      <c r="CQ1" s="626"/>
      <c r="CR1" s="626"/>
      <c r="CS1" s="626"/>
      <c r="CT1" s="626"/>
      <c r="CU1" s="626"/>
      <c r="CV1" s="626"/>
      <c r="CW1" s="626"/>
      <c r="CX1" s="626"/>
      <c r="CY1" s="626"/>
      <c r="CZ1" s="626"/>
      <c r="DA1" s="626"/>
      <c r="DB1" s="626"/>
      <c r="DC1" s="626"/>
      <c r="DD1" s="626"/>
      <c r="DE1" s="626"/>
      <c r="DF1" s="626"/>
      <c r="DG1" s="626"/>
      <c r="DH1" s="626"/>
      <c r="DI1" s="626"/>
      <c r="DJ1" s="626"/>
      <c r="DK1" s="626"/>
      <c r="DL1" s="626"/>
      <c r="DM1" s="626"/>
      <c r="DN1" s="626"/>
      <c r="DO1" s="626"/>
      <c r="DP1" s="626"/>
    </row>
    <row r="2" spans="1:136" ht="15.45">
      <c r="B2" s="1255" t="str">
        <f>Summary!C1</f>
        <v>Trammell Crow – LBJ</v>
      </c>
      <c r="C2" s="1256"/>
      <c r="D2" s="1256"/>
      <c r="E2" s="1257"/>
      <c r="F2" s="1258" t="s">
        <v>1466</v>
      </c>
      <c r="G2" s="626"/>
      <c r="H2" s="795"/>
      <c r="I2" s="1259" t="s">
        <v>56</v>
      </c>
      <c r="J2" s="983"/>
      <c r="K2" s="1085" t="s">
        <v>57</v>
      </c>
      <c r="L2" s="983"/>
      <c r="M2" s="983"/>
      <c r="N2" s="983"/>
      <c r="O2" s="1085" t="s">
        <v>1</v>
      </c>
      <c r="P2" s="1085"/>
      <c r="Q2" s="1085" t="s">
        <v>1194</v>
      </c>
      <c r="R2" s="808"/>
      <c r="S2" s="626"/>
      <c r="T2" s="626"/>
      <c r="U2" s="795" t="s">
        <v>957</v>
      </c>
      <c r="V2" s="663"/>
      <c r="W2" s="796">
        <f>Information!C7</f>
        <v>0</v>
      </c>
      <c r="X2" s="797"/>
      <c r="Y2" s="1254"/>
      <c r="Z2" s="1254"/>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1251"/>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626"/>
      <c r="CI2" s="626"/>
      <c r="CJ2" s="626"/>
      <c r="CK2" s="626"/>
      <c r="CL2" s="626"/>
      <c r="CM2" s="626"/>
      <c r="CN2" s="626"/>
      <c r="CO2" s="626"/>
      <c r="CP2" s="626"/>
      <c r="CQ2" s="626"/>
      <c r="CR2" s="626"/>
      <c r="CS2" s="626"/>
      <c r="CT2" s="626"/>
      <c r="CU2" s="626"/>
      <c r="CV2" s="626"/>
      <c r="CW2" s="626"/>
      <c r="CX2" s="626"/>
      <c r="CY2" s="626"/>
      <c r="CZ2" s="626"/>
      <c r="DA2" s="626"/>
      <c r="DB2" s="626"/>
      <c r="DC2" s="626"/>
      <c r="DD2" s="626"/>
      <c r="DE2" s="626"/>
      <c r="DF2" s="626"/>
      <c r="DG2" s="626"/>
      <c r="DH2" s="626"/>
      <c r="DI2" s="626"/>
      <c r="DJ2" s="626"/>
      <c r="DK2" s="626"/>
      <c r="DL2" s="626"/>
      <c r="DM2" s="626"/>
      <c r="DN2" s="626"/>
      <c r="DO2" s="626"/>
      <c r="DP2" s="626"/>
    </row>
    <row r="3" spans="1:136" ht="19.5" customHeight="1">
      <c r="B3" s="1260">
        <f>Summary!C2</f>
        <v>0</v>
      </c>
      <c r="C3" s="1261"/>
      <c r="D3" s="1261"/>
      <c r="E3" s="1262"/>
      <c r="F3" s="1258" t="s">
        <v>1467</v>
      </c>
      <c r="G3" s="626"/>
      <c r="H3" s="574"/>
      <c r="I3" s="793" t="s">
        <v>955</v>
      </c>
      <c r="J3" s="1255">
        <f>Summary!K2</f>
        <v>0</v>
      </c>
      <c r="K3" s="1256"/>
      <c r="L3" s="1256"/>
      <c r="M3" s="1256"/>
      <c r="N3" s="1256"/>
      <c r="O3" s="1263">
        <f>Summary!O2</f>
        <v>0</v>
      </c>
      <c r="P3" s="1263"/>
      <c r="Q3" s="1263">
        <f>Summary!P2</f>
        <v>0</v>
      </c>
      <c r="R3" s="1264"/>
      <c r="S3" s="626"/>
      <c r="T3" s="626"/>
      <c r="U3" s="574"/>
      <c r="X3" s="798"/>
      <c r="Y3" s="1254"/>
      <c r="Z3" s="1254"/>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626"/>
      <c r="BH3" s="1251"/>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6"/>
      <c r="CS3" s="626"/>
      <c r="CT3" s="626"/>
      <c r="CU3" s="626"/>
      <c r="CV3" s="626"/>
      <c r="CW3" s="626"/>
      <c r="CX3" s="626"/>
      <c r="CY3" s="626"/>
      <c r="CZ3" s="626"/>
      <c r="DA3" s="626"/>
      <c r="DB3" s="626"/>
      <c r="DC3" s="626"/>
      <c r="DD3" s="626"/>
      <c r="DE3" s="626"/>
      <c r="DF3" s="626"/>
      <c r="DG3" s="626"/>
      <c r="DH3" s="626"/>
      <c r="DI3" s="626"/>
      <c r="DJ3" s="626"/>
      <c r="DK3" s="626"/>
      <c r="DL3" s="626"/>
      <c r="DM3" s="626"/>
      <c r="DN3" s="626"/>
      <c r="DO3" s="626"/>
      <c r="DP3" s="626"/>
    </row>
    <row r="4" spans="1:136" ht="19.5" customHeight="1">
      <c r="B4" s="1265" t="str">
        <f>Summary!C3</f>
        <v>Dallas, TX</v>
      </c>
      <c r="C4" s="1266"/>
      <c r="D4" s="1266"/>
      <c r="E4" s="1267"/>
      <c r="F4" s="1258" t="s">
        <v>1468</v>
      </c>
      <c r="G4" s="626"/>
      <c r="H4" s="396"/>
      <c r="I4" s="928" t="s">
        <v>71</v>
      </c>
      <c r="J4" s="1260">
        <f>Summary!K3</f>
        <v>0</v>
      </c>
      <c r="K4" s="1261"/>
      <c r="L4" s="1261"/>
      <c r="M4" s="1261"/>
      <c r="N4" s="1261"/>
      <c r="O4" s="1268">
        <f>Summary!O3</f>
        <v>0</v>
      </c>
      <c r="P4" s="1268"/>
      <c r="Q4" s="1268">
        <f>Summary!P3</f>
        <v>0</v>
      </c>
      <c r="R4" s="1269"/>
      <c r="S4" s="626"/>
      <c r="T4" s="626"/>
      <c r="U4" s="574" t="s">
        <v>958</v>
      </c>
      <c r="W4" s="799"/>
      <c r="X4" s="800"/>
      <c r="Y4" s="1254"/>
      <c r="Z4" s="1254"/>
      <c r="AI4" s="626"/>
      <c r="AJ4" s="626"/>
      <c r="AK4" s="626"/>
      <c r="AL4" s="626"/>
      <c r="AM4" s="626"/>
      <c r="AN4" s="626"/>
      <c r="AO4" s="626"/>
      <c r="AP4" s="626"/>
      <c r="AQ4" s="626"/>
      <c r="AR4" s="626"/>
      <c r="AS4" s="626"/>
      <c r="AT4" s="626"/>
      <c r="AU4" s="626"/>
      <c r="AV4" s="626"/>
      <c r="AW4" s="626"/>
      <c r="AX4" s="626"/>
      <c r="AY4" s="626"/>
      <c r="AZ4" s="626"/>
      <c r="BA4" s="626"/>
      <c r="BB4" s="626"/>
      <c r="BC4" s="626"/>
      <c r="BD4" s="626"/>
      <c r="BE4" s="626"/>
      <c r="BF4" s="626"/>
      <c r="BG4" s="626"/>
      <c r="BH4" s="1251"/>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626"/>
      <c r="CI4" s="626"/>
      <c r="CJ4" s="626"/>
      <c r="CK4" s="626"/>
      <c r="CL4" s="626"/>
      <c r="CM4" s="626"/>
      <c r="CN4" s="626"/>
      <c r="CO4" s="626"/>
      <c r="CP4" s="626"/>
      <c r="CQ4" s="626"/>
      <c r="CR4" s="626"/>
      <c r="CS4" s="626"/>
      <c r="CT4" s="626"/>
      <c r="CU4" s="626"/>
      <c r="CV4" s="626"/>
      <c r="CW4" s="626"/>
      <c r="CX4" s="626"/>
      <c r="CY4" s="626"/>
      <c r="CZ4" s="626"/>
      <c r="DA4" s="626"/>
      <c r="DB4" s="626"/>
      <c r="DC4" s="626"/>
      <c r="DD4" s="626"/>
      <c r="DE4" s="626"/>
      <c r="DF4" s="626"/>
      <c r="DG4" s="626"/>
      <c r="DH4" s="626"/>
      <c r="DI4" s="626"/>
      <c r="DJ4" s="626"/>
      <c r="DK4" s="626"/>
      <c r="DL4" s="626"/>
      <c r="DM4" s="626"/>
      <c r="DN4" s="626"/>
      <c r="DO4" s="626"/>
      <c r="DP4" s="626"/>
      <c r="DS4" s="18">
        <f>7200*0.42/27</f>
        <v>112</v>
      </c>
    </row>
    <row r="5" spans="1:136" ht="19.5" customHeight="1">
      <c r="B5" s="380" t="s">
        <v>0</v>
      </c>
      <c r="D5" s="796" t="s">
        <v>1</v>
      </c>
      <c r="E5" s="796"/>
      <c r="F5" s="626"/>
      <c r="G5" s="626"/>
      <c r="H5" s="396"/>
      <c r="I5" s="928" t="s">
        <v>79</v>
      </c>
      <c r="J5" s="1260">
        <f>Summary!K4</f>
        <v>0</v>
      </c>
      <c r="K5" s="1261"/>
      <c r="L5" s="1261"/>
      <c r="M5" s="1261"/>
      <c r="N5" s="1261"/>
      <c r="O5" s="1268">
        <f>Summary!O4</f>
        <v>0</v>
      </c>
      <c r="P5" s="1268"/>
      <c r="Q5" s="1268">
        <f>Summary!P4</f>
        <v>0</v>
      </c>
      <c r="R5" s="1269"/>
      <c r="S5" s="1270"/>
      <c r="T5" s="626"/>
      <c r="U5" s="574"/>
      <c r="X5" s="798"/>
      <c r="Y5" s="1254"/>
      <c r="Z5" s="1254"/>
      <c r="AI5" s="626"/>
      <c r="AJ5" s="626"/>
      <c r="AK5" s="626"/>
      <c r="AL5" s="626"/>
      <c r="AM5" s="626"/>
      <c r="AN5" s="626"/>
      <c r="AO5" s="626"/>
      <c r="AP5" s="626"/>
      <c r="AQ5" s="626"/>
      <c r="AR5" s="626"/>
      <c r="AS5" s="626"/>
      <c r="AT5" s="626"/>
      <c r="AU5" s="626"/>
      <c r="AV5" s="626"/>
      <c r="AW5" s="626"/>
      <c r="AX5" s="626"/>
      <c r="AY5" s="626"/>
      <c r="AZ5" s="626"/>
      <c r="BA5" s="626"/>
      <c r="BB5" s="626"/>
      <c r="BC5" s="626"/>
      <c r="BD5" s="626"/>
      <c r="BE5" s="626"/>
      <c r="BF5" s="626"/>
      <c r="BG5" s="626"/>
      <c r="BH5" s="1251"/>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626"/>
      <c r="CI5" s="626"/>
      <c r="CJ5" s="626"/>
      <c r="CK5" s="626"/>
      <c r="CL5" s="626"/>
      <c r="CM5" s="626"/>
      <c r="CN5" s="626"/>
      <c r="CO5" s="626"/>
      <c r="CP5" s="626"/>
      <c r="CQ5" s="626"/>
      <c r="CR5" s="626"/>
      <c r="CS5" s="626"/>
      <c r="CT5" s="626"/>
      <c r="CU5" s="626"/>
      <c r="CV5" s="626"/>
      <c r="CW5" s="626"/>
      <c r="CX5" s="626"/>
      <c r="CY5" s="626"/>
      <c r="CZ5" s="626"/>
      <c r="DA5" s="626"/>
      <c r="DB5" s="626"/>
      <c r="DC5" s="626"/>
      <c r="DD5" s="626"/>
      <c r="DE5" s="626"/>
      <c r="DF5" s="626"/>
      <c r="DG5" s="626"/>
      <c r="DH5" s="626"/>
      <c r="DI5" s="626"/>
      <c r="DJ5" s="626"/>
      <c r="DK5" s="626"/>
      <c r="DL5" s="626"/>
      <c r="DM5" s="626"/>
      <c r="DN5" s="626"/>
      <c r="DO5" s="626"/>
      <c r="DP5" s="626"/>
      <c r="DX5" s="1271">
        <f>(S45-F10)/324</f>
        <v>3.0864197530864196E-2</v>
      </c>
    </row>
    <row r="6" spans="1:136" ht="19.5" customHeight="1">
      <c r="B6" s="804">
        <v>0</v>
      </c>
      <c r="D6" s="1272">
        <v>0</v>
      </c>
      <c r="E6" s="1272"/>
      <c r="F6" s="626"/>
      <c r="G6" s="626"/>
      <c r="H6" s="653"/>
      <c r="I6" s="1090" t="s">
        <v>87</v>
      </c>
      <c r="J6" s="1265">
        <f>Summary!K5</f>
        <v>0</v>
      </c>
      <c r="K6" s="1266"/>
      <c r="L6" s="1266"/>
      <c r="M6" s="1266"/>
      <c r="N6" s="1266"/>
      <c r="O6" s="1273">
        <f>Summary!O5</f>
        <v>0</v>
      </c>
      <c r="P6" s="1273"/>
      <c r="Q6" s="1273">
        <f>Summary!P5</f>
        <v>0</v>
      </c>
      <c r="R6" s="1274"/>
      <c r="S6" s="626"/>
      <c r="T6" s="626"/>
      <c r="U6" s="577" t="s">
        <v>958</v>
      </c>
      <c r="V6" s="802"/>
      <c r="W6" s="802"/>
      <c r="X6" s="803"/>
      <c r="Y6" s="1254"/>
      <c r="Z6" s="1254"/>
      <c r="AI6" s="626"/>
      <c r="AJ6" s="1275"/>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1251"/>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c r="CZ6" s="626"/>
      <c r="DA6" s="626"/>
      <c r="DB6" s="626"/>
      <c r="DC6" s="626"/>
      <c r="DD6" s="626"/>
      <c r="DE6" s="626"/>
      <c r="DF6" s="626"/>
      <c r="DG6" s="626"/>
      <c r="DH6" s="626"/>
      <c r="DI6" s="626"/>
      <c r="DJ6" s="626"/>
      <c r="DK6" s="626"/>
      <c r="DL6" s="626"/>
      <c r="DM6" s="626"/>
      <c r="DN6" s="626"/>
      <c r="DO6" s="626"/>
      <c r="DP6" s="626"/>
    </row>
    <row r="7" spans="1:136" ht="19.5" customHeight="1">
      <c r="B7" s="1276">
        <v>0</v>
      </c>
      <c r="C7" s="1019"/>
      <c r="D7" s="1277">
        <v>0</v>
      </c>
      <c r="E7" s="1278"/>
      <c r="F7" s="693"/>
      <c r="G7" s="1090" t="s">
        <v>1196</v>
      </c>
      <c r="H7" s="928"/>
      <c r="I7" s="928"/>
      <c r="J7" s="17" t="str">
        <f>Pricing!A3</f>
        <v>SRM</v>
      </c>
      <c r="K7" s="17"/>
      <c r="L7" s="17"/>
      <c r="M7" s="17"/>
      <c r="N7" s="17"/>
      <c r="O7" s="626"/>
      <c r="P7" s="626"/>
      <c r="Q7" s="626"/>
      <c r="R7" s="626"/>
      <c r="S7" s="628" t="e">
        <f>S12+S13</f>
        <v>#DIV/0!</v>
      </c>
      <c r="T7" s="626"/>
      <c r="U7" s="626"/>
      <c r="V7" s="626"/>
      <c r="W7" s="626"/>
      <c r="X7" s="626"/>
      <c r="Y7" s="1254"/>
      <c r="Z7" s="1254"/>
      <c r="AI7" s="626"/>
      <c r="AJ7" s="626"/>
      <c r="AK7" s="626"/>
      <c r="AL7" s="381"/>
      <c r="AM7" s="589"/>
      <c r="AN7" s="589"/>
      <c r="AO7" s="589"/>
      <c r="AP7" s="589"/>
      <c r="AQ7" s="589"/>
      <c r="AR7" s="3032" t="s">
        <v>1469</v>
      </c>
      <c r="AS7" s="3032"/>
      <c r="AT7" s="3032"/>
      <c r="AU7" s="3032"/>
      <c r="AV7" s="3032"/>
      <c r="AW7" s="3032"/>
      <c r="AX7" s="3032"/>
      <c r="AY7" s="3032"/>
      <c r="AZ7" s="3032"/>
      <c r="BA7" s="3032"/>
      <c r="BB7" s="3032"/>
      <c r="BC7" s="3032" t="s">
        <v>721</v>
      </c>
      <c r="BD7" s="3032"/>
      <c r="BE7" s="3032"/>
      <c r="BF7" s="3032"/>
      <c r="BG7" s="3032"/>
      <c r="BH7" s="3032"/>
      <c r="BI7" s="3032"/>
      <c r="BJ7" s="3032"/>
      <c r="BK7" s="3032"/>
      <c r="BL7" s="3032"/>
      <c r="BM7" s="3032"/>
      <c r="BN7" s="626"/>
      <c r="BO7" s="626"/>
      <c r="BP7" s="626"/>
      <c r="BQ7" s="626"/>
      <c r="BR7" s="626"/>
      <c r="BS7" s="626"/>
      <c r="BT7" s="626"/>
      <c r="BU7" s="626"/>
      <c r="BV7" s="626"/>
      <c r="BW7" s="626"/>
      <c r="BX7" s="626"/>
      <c r="BY7" s="626"/>
      <c r="BZ7" s="626"/>
      <c r="CA7" s="626"/>
      <c r="CB7" s="626"/>
      <c r="CC7" s="626"/>
      <c r="CD7" s="626"/>
      <c r="CE7" s="628"/>
      <c r="CF7" s="626"/>
      <c r="CG7" s="626"/>
      <c r="CH7" s="626"/>
      <c r="CI7" s="626"/>
      <c r="CJ7" s="626"/>
      <c r="CK7" s="626"/>
      <c r="CL7" s="626"/>
      <c r="CM7" s="626"/>
      <c r="CN7" s="626"/>
      <c r="CO7" s="626"/>
      <c r="CP7" s="626"/>
      <c r="CQ7" s="626"/>
      <c r="CR7" s="626"/>
      <c r="CS7" s="626"/>
      <c r="CT7" s="626"/>
      <c r="CU7" s="626"/>
      <c r="CV7" s="626"/>
      <c r="CW7" s="626"/>
      <c r="CX7" s="626"/>
      <c r="CY7" s="626"/>
      <c r="CZ7" s="626"/>
      <c r="DA7" s="626"/>
      <c r="DB7" s="626"/>
      <c r="DC7" s="626"/>
      <c r="DD7" s="626"/>
      <c r="DE7" s="626"/>
      <c r="DF7" s="626"/>
      <c r="DG7" s="626"/>
      <c r="DH7" s="626"/>
      <c r="DI7" s="626"/>
      <c r="DJ7" s="626"/>
      <c r="DK7" s="626"/>
      <c r="DL7" s="626"/>
      <c r="DM7" s="626"/>
      <c r="DN7" s="626"/>
      <c r="DO7" s="626"/>
      <c r="DP7" s="626"/>
      <c r="DS7" s="18" t="s">
        <v>1470</v>
      </c>
      <c r="DZ7" s="18" t="s">
        <v>1471</v>
      </c>
    </row>
    <row r="8" spans="1:136" ht="39" customHeight="1">
      <c r="B8" s="1279" t="s">
        <v>1472</v>
      </c>
      <c r="C8" s="1280" t="s">
        <v>1473</v>
      </c>
      <c r="D8" s="1281" t="s">
        <v>1474</v>
      </c>
      <c r="E8" s="1282"/>
      <c r="F8" s="1283" t="s">
        <v>1475</v>
      </c>
      <c r="G8" s="1284" t="s">
        <v>1476</v>
      </c>
      <c r="H8" s="1285" t="s">
        <v>1477</v>
      </c>
      <c r="I8" s="1286" t="s">
        <v>1209</v>
      </c>
      <c r="J8" s="1283" t="s">
        <v>1478</v>
      </c>
      <c r="K8" s="1283" t="s">
        <v>1479</v>
      </c>
      <c r="L8" s="1287" t="s">
        <v>1480</v>
      </c>
      <c r="M8" s="1288" t="s">
        <v>1481</v>
      </c>
      <c r="N8" s="1289" t="s">
        <v>1482</v>
      </c>
      <c r="O8" s="1289" t="s">
        <v>598</v>
      </c>
      <c r="P8" s="1290" t="s">
        <v>1483</v>
      </c>
      <c r="Q8" s="1291" t="s">
        <v>1219</v>
      </c>
      <c r="R8" s="1292" t="s">
        <v>1484</v>
      </c>
      <c r="S8" s="1293" t="s">
        <v>1485</v>
      </c>
      <c r="T8" s="1294" t="s">
        <v>1486</v>
      </c>
      <c r="U8" s="1295" t="s">
        <v>1487</v>
      </c>
      <c r="V8" s="1293" t="s">
        <v>1250</v>
      </c>
      <c r="W8" s="1296" t="s">
        <v>1488</v>
      </c>
      <c r="X8" s="807"/>
      <c r="Y8" s="1297" t="s">
        <v>1489</v>
      </c>
      <c r="Z8" s="1298"/>
      <c r="AA8" s="1297" t="s">
        <v>1490</v>
      </c>
      <c r="AB8" s="1298"/>
      <c r="AC8" s="1297" t="s">
        <v>1491</v>
      </c>
      <c r="AD8" s="1299"/>
      <c r="AE8" s="1297" t="s">
        <v>1492</v>
      </c>
      <c r="AF8" s="1299"/>
      <c r="AG8" s="1297" t="s">
        <v>1493</v>
      </c>
      <c r="AH8" s="1299"/>
      <c r="AI8" s="1297" t="s">
        <v>1494</v>
      </c>
      <c r="AJ8" s="1299"/>
      <c r="AK8" s="1297" t="s">
        <v>1495</v>
      </c>
      <c r="AL8" s="1299"/>
      <c r="AM8" s="1297" t="s">
        <v>1496</v>
      </c>
      <c r="AN8" s="1299"/>
      <c r="AO8" s="1297" t="s">
        <v>1497</v>
      </c>
      <c r="AP8" s="1299"/>
      <c r="AQ8" s="626"/>
      <c r="AR8" s="1300" t="s">
        <v>1498</v>
      </c>
      <c r="AS8" s="1301" t="s">
        <v>1499</v>
      </c>
      <c r="AT8" s="1301" t="s">
        <v>1499</v>
      </c>
      <c r="AU8" s="1301" t="s">
        <v>1491</v>
      </c>
      <c r="AV8" s="1301" t="s">
        <v>1492</v>
      </c>
      <c r="AW8" s="1301" t="s">
        <v>1500</v>
      </c>
      <c r="AX8" s="1301" t="s">
        <v>1501</v>
      </c>
      <c r="AY8" s="1301" t="s">
        <v>1502</v>
      </c>
      <c r="AZ8" s="1301" t="s">
        <v>1503</v>
      </c>
      <c r="BA8" s="1301" t="s">
        <v>1504</v>
      </c>
      <c r="BB8" s="1302" t="s">
        <v>1505</v>
      </c>
      <c r="BC8" s="1303" t="s">
        <v>1498</v>
      </c>
      <c r="BD8" s="627" t="str">
        <f>Y8</f>
        <v>Vertical Stems</v>
      </c>
      <c r="BE8" s="627" t="str">
        <f>AA8</f>
        <v>Extended Beams</v>
      </c>
      <c r="BF8" s="627" t="s">
        <v>1491</v>
      </c>
      <c r="BG8" s="627" t="s">
        <v>1492</v>
      </c>
      <c r="BH8" s="627" t="s">
        <v>1500</v>
      </c>
      <c r="BI8" s="627" t="s">
        <v>1501</v>
      </c>
      <c r="BJ8" s="627" t="s">
        <v>1502</v>
      </c>
      <c r="BK8" s="627" t="s">
        <v>1503</v>
      </c>
      <c r="BL8" s="627" t="s">
        <v>1504</v>
      </c>
      <c r="BM8" s="1304" t="s">
        <v>1506</v>
      </c>
      <c r="BN8" s="627"/>
      <c r="BO8" s="627"/>
      <c r="BP8" s="627"/>
      <c r="BQ8" s="627"/>
      <c r="BR8" s="1305"/>
      <c r="BS8" s="626"/>
      <c r="BT8" s="626"/>
      <c r="BU8" s="626"/>
      <c r="BV8" s="626"/>
      <c r="BW8" s="626"/>
      <c r="BX8" s="626"/>
      <c r="BY8" s="626"/>
      <c r="BZ8" s="626"/>
      <c r="CA8" s="626"/>
      <c r="CB8" s="626"/>
      <c r="CC8" s="626"/>
      <c r="CD8" s="626"/>
      <c r="CE8" s="626"/>
      <c r="CF8" s="626"/>
      <c r="CG8" s="626"/>
      <c r="CH8" s="626"/>
      <c r="CI8" s="626"/>
      <c r="CJ8" s="626"/>
      <c r="CK8" s="626"/>
      <c r="CL8" s="626"/>
      <c r="CM8" s="3033" t="s">
        <v>1507</v>
      </c>
      <c r="CN8" s="3033"/>
      <c r="CO8" s="3033"/>
      <c r="CP8" s="3033"/>
      <c r="CQ8" s="3033"/>
      <c r="CR8" s="3033"/>
      <c r="CS8" s="3033"/>
      <c r="CT8" s="3033"/>
      <c r="CU8" s="3033"/>
      <c r="CV8" s="3033"/>
      <c r="CW8" s="3033"/>
      <c r="CX8" s="3033"/>
      <c r="CY8" s="3033"/>
      <c r="CZ8" s="3033"/>
      <c r="DA8" s="3033"/>
      <c r="DB8" s="3033"/>
      <c r="DC8" s="3033"/>
      <c r="DD8" s="3033"/>
      <c r="DE8" s="3033"/>
      <c r="DF8" s="1306"/>
      <c r="DG8" s="1306"/>
      <c r="DH8" s="1306"/>
      <c r="DI8" s="1306" t="s">
        <v>1508</v>
      </c>
      <c r="DJ8" s="1306"/>
      <c r="DK8" s="1306"/>
      <c r="DL8" s="1306"/>
      <c r="DM8" s="1306"/>
      <c r="DN8" s="1306"/>
      <c r="DO8" s="1306"/>
      <c r="DP8" s="1307"/>
      <c r="DQ8" s="1301" t="s">
        <v>1491</v>
      </c>
      <c r="DR8" s="1301" t="s">
        <v>1492</v>
      </c>
      <c r="DS8" s="1301" t="s">
        <v>1500</v>
      </c>
      <c r="DT8" s="1301" t="s">
        <v>1501</v>
      </c>
      <c r="DU8" s="1301" t="s">
        <v>1502</v>
      </c>
      <c r="DV8" s="1301" t="s">
        <v>1503</v>
      </c>
      <c r="DW8" s="1301" t="s">
        <v>1504</v>
      </c>
      <c r="DX8" s="1302" t="s">
        <v>1470</v>
      </c>
      <c r="DY8" s="1301" t="s">
        <v>1491</v>
      </c>
      <c r="DZ8" s="1301" t="s">
        <v>1492</v>
      </c>
      <c r="EA8" s="1301" t="s">
        <v>1500</v>
      </c>
      <c r="EB8" s="1301" t="s">
        <v>1501</v>
      </c>
      <c r="EC8" s="1301" t="s">
        <v>1502</v>
      </c>
      <c r="ED8" s="1301" t="s">
        <v>1503</v>
      </c>
      <c r="EE8" s="1301" t="s">
        <v>1504</v>
      </c>
      <c r="EF8" s="1302" t="s">
        <v>1509</v>
      </c>
    </row>
    <row r="9" spans="1:136" ht="19.5" customHeight="1">
      <c r="B9" s="1308"/>
      <c r="C9" s="1309" t="s">
        <v>1510</v>
      </c>
      <c r="D9" s="1310" t="s">
        <v>1511</v>
      </c>
      <c r="E9" s="1311"/>
      <c r="F9" s="1099"/>
      <c r="G9" s="1312" t="s">
        <v>1512</v>
      </c>
      <c r="H9" s="1313"/>
      <c r="I9" s="1314"/>
      <c r="J9" s="1099" t="s">
        <v>1513</v>
      </c>
      <c r="K9" s="1099"/>
      <c r="L9" s="1103" t="s">
        <v>1215</v>
      </c>
      <c r="M9" s="1315" t="s">
        <v>1514</v>
      </c>
      <c r="N9" s="1312" t="s">
        <v>1515</v>
      </c>
      <c r="O9" s="1312" t="s">
        <v>868</v>
      </c>
      <c r="P9" s="1316"/>
      <c r="Q9" s="1317"/>
      <c r="R9" s="1318"/>
      <c r="S9" s="1319"/>
      <c r="T9" s="3034" t="s">
        <v>1516</v>
      </c>
      <c r="U9" s="3034"/>
      <c r="V9" s="3034"/>
      <c r="W9" s="1104" t="s">
        <v>1517</v>
      </c>
      <c r="X9" s="1315" t="s">
        <v>1259</v>
      </c>
      <c r="Y9" s="1320" t="s">
        <v>1208</v>
      </c>
      <c r="Z9" s="1321" t="s">
        <v>1259</v>
      </c>
      <c r="AA9" s="1320" t="s">
        <v>1208</v>
      </c>
      <c r="AB9" s="1321" t="s">
        <v>1259</v>
      </c>
      <c r="AC9" s="1320" t="s">
        <v>1517</v>
      </c>
      <c r="AD9" s="1322" t="s">
        <v>1259</v>
      </c>
      <c r="AE9" s="1323" t="s">
        <v>1517</v>
      </c>
      <c r="AF9" s="1322" t="s">
        <v>1259</v>
      </c>
      <c r="AG9" s="1320" t="s">
        <v>1208</v>
      </c>
      <c r="AH9" s="1322" t="s">
        <v>1259</v>
      </c>
      <c r="AI9" s="1320" t="s">
        <v>1517</v>
      </c>
      <c r="AJ9" s="1322" t="s">
        <v>1259</v>
      </c>
      <c r="AK9" s="1323" t="s">
        <v>1517</v>
      </c>
      <c r="AL9" s="1322" t="s">
        <v>1259</v>
      </c>
      <c r="AM9" s="1320" t="s">
        <v>1208</v>
      </c>
      <c r="AN9" s="1322" t="s">
        <v>1259</v>
      </c>
      <c r="AO9" s="1320" t="s">
        <v>1208</v>
      </c>
      <c r="AP9" s="1322" t="s">
        <v>1259</v>
      </c>
      <c r="AQ9" s="626"/>
      <c r="AR9" s="1324"/>
      <c r="AS9" s="1325"/>
      <c r="AT9" s="1325"/>
      <c r="AU9" s="1325"/>
      <c r="AV9" s="1325"/>
      <c r="AW9" s="1325"/>
      <c r="AX9" s="1325"/>
      <c r="AY9" s="373"/>
      <c r="AZ9" s="1325"/>
      <c r="BA9" s="1325"/>
      <c r="BB9" s="1326"/>
      <c r="BC9" s="1327"/>
      <c r="BD9" s="1328"/>
      <c r="BE9" s="1328"/>
      <c r="BF9" s="1328"/>
      <c r="BG9" s="1328"/>
      <c r="BH9" s="1328"/>
      <c r="BI9" s="1328"/>
      <c r="BJ9" s="988"/>
      <c r="BK9" s="1328"/>
      <c r="BL9" s="1328"/>
      <c r="BM9" s="1329"/>
      <c r="BN9" s="627" t="s">
        <v>1385</v>
      </c>
      <c r="BO9" s="627" t="s">
        <v>1518</v>
      </c>
      <c r="BP9" s="627" t="s">
        <v>1519</v>
      </c>
      <c r="BQ9" s="627" t="s">
        <v>1520</v>
      </c>
      <c r="BR9" s="1305" t="s">
        <v>1521</v>
      </c>
      <c r="BS9" s="1330" t="s">
        <v>1374</v>
      </c>
      <c r="BT9" s="1331" t="s">
        <v>1375</v>
      </c>
      <c r="BU9" s="1331" t="s">
        <v>1376</v>
      </c>
      <c r="BV9" s="1331" t="s">
        <v>1377</v>
      </c>
      <c r="BW9" s="1331" t="s">
        <v>1378</v>
      </c>
      <c r="BX9" s="1331" t="s">
        <v>1522</v>
      </c>
      <c r="BY9" s="1331" t="s">
        <v>1523</v>
      </c>
      <c r="BZ9" s="1331" t="s">
        <v>1524</v>
      </c>
      <c r="CA9" s="1331" t="s">
        <v>1525</v>
      </c>
      <c r="CB9" s="1332" t="s">
        <v>1526</v>
      </c>
      <c r="CC9" s="1333" t="s">
        <v>1527</v>
      </c>
      <c r="CD9" s="1333" t="s">
        <v>1528</v>
      </c>
      <c r="CE9" s="1333" t="s">
        <v>1529</v>
      </c>
      <c r="CF9" s="1333" t="s">
        <v>1530</v>
      </c>
      <c r="CG9" s="1333" t="s">
        <v>1531</v>
      </c>
      <c r="CH9" s="1333" t="s">
        <v>1532</v>
      </c>
      <c r="CI9" s="1333" t="s">
        <v>1533</v>
      </c>
      <c r="CJ9" s="1333" t="s">
        <v>1513</v>
      </c>
      <c r="CK9" s="1333" t="s">
        <v>1534</v>
      </c>
      <c r="CL9" s="1333"/>
      <c r="CM9" s="1334" t="s">
        <v>1535</v>
      </c>
      <c r="CN9" s="1328" t="s">
        <v>1384</v>
      </c>
      <c r="CO9" s="1328" t="s">
        <v>1385</v>
      </c>
      <c r="CP9" s="1335" t="s">
        <v>1536</v>
      </c>
      <c r="CQ9" s="1336" t="s">
        <v>1537</v>
      </c>
      <c r="CR9" s="1336" t="s">
        <v>1538</v>
      </c>
      <c r="CS9" s="1336" t="s">
        <v>1539</v>
      </c>
      <c r="CT9" s="1337" t="s">
        <v>1307</v>
      </c>
      <c r="CU9" s="1338" t="s">
        <v>1159</v>
      </c>
      <c r="CV9" s="1338" t="s">
        <v>1540</v>
      </c>
      <c r="CW9" s="1328" t="s">
        <v>1541</v>
      </c>
      <c r="CX9" s="1328" t="s">
        <v>976</v>
      </c>
      <c r="CY9" s="1328" t="s">
        <v>1542</v>
      </c>
      <c r="CZ9" s="1328" t="s">
        <v>1543</v>
      </c>
      <c r="DA9" s="1328" t="s">
        <v>1544</v>
      </c>
      <c r="DB9" s="1328" t="s">
        <v>1545</v>
      </c>
      <c r="DC9" s="1328" t="s">
        <v>598</v>
      </c>
      <c r="DD9" s="1328" t="s">
        <v>1513</v>
      </c>
      <c r="DE9" s="1329" t="s">
        <v>1255</v>
      </c>
      <c r="DF9" s="749" t="s">
        <v>1486</v>
      </c>
      <c r="DG9" s="1339" t="str">
        <f>Y8</f>
        <v>Vertical Stems</v>
      </c>
      <c r="DH9" s="1339" t="str">
        <f>AA8</f>
        <v>Extended Beams</v>
      </c>
      <c r="DI9" s="1339" t="s">
        <v>1546</v>
      </c>
      <c r="DJ9" s="1339" t="s">
        <v>1547</v>
      </c>
      <c r="DK9" s="1339" t="s">
        <v>1548</v>
      </c>
      <c r="DL9" s="1339" t="s">
        <v>1549</v>
      </c>
      <c r="DM9" s="1339" t="s">
        <v>1550</v>
      </c>
      <c r="DN9" s="1339" t="s">
        <v>1551</v>
      </c>
      <c r="DO9" s="1339" t="s">
        <v>1552</v>
      </c>
      <c r="DP9" s="1340" t="s">
        <v>1418</v>
      </c>
      <c r="DQ9" s="1325"/>
      <c r="DR9" s="1325"/>
      <c r="DS9" s="1325"/>
      <c r="DT9" s="1325"/>
      <c r="DU9" s="373"/>
      <c r="DV9" s="1325"/>
      <c r="DW9" s="1325"/>
      <c r="DX9" s="1326"/>
      <c r="DY9" s="1325"/>
      <c r="DZ9" s="1325"/>
      <c r="EA9" s="1325"/>
      <c r="EB9" s="1325"/>
      <c r="EC9" s="373"/>
      <c r="ED9" s="1325"/>
      <c r="EE9" s="1325"/>
      <c r="EF9" s="1326"/>
    </row>
    <row r="10" spans="1:136" ht="19.5" customHeight="1">
      <c r="A10" s="18" t="s">
        <v>1068</v>
      </c>
      <c r="B10" s="1341"/>
      <c r="C10" s="1342"/>
      <c r="D10" s="1343"/>
      <c r="E10" s="1344"/>
      <c r="F10" s="1206"/>
      <c r="G10" s="1345"/>
      <c r="H10" s="1206"/>
      <c r="I10" s="1345"/>
      <c r="J10" s="1206"/>
      <c r="K10" s="1346"/>
      <c r="L10" s="1347"/>
      <c r="M10" s="1348"/>
      <c r="N10" s="1349"/>
      <c r="O10" s="1350"/>
      <c r="P10" s="1351">
        <f t="shared" ref="P10:P41" si="0">IF(BQ10=0,0,BN10/BQ10)</f>
        <v>0</v>
      </c>
      <c r="Q10" s="1352">
        <f t="shared" ref="Q10:Q41" si="1">(D10*F10/324)*(1+K$65)+BB10</f>
        <v>0</v>
      </c>
      <c r="R10" s="1353">
        <f t="shared" ref="R10:R41" si="2">IF(D10=0,0,S10/D10)</f>
        <v>0</v>
      </c>
      <c r="S10" s="1354" t="e">
        <f t="shared" ref="S10:S41" si="3">SUM(CM10-DE10)*(1+M$45)</f>
        <v>#DIV/0!</v>
      </c>
      <c r="T10" s="1355">
        <f t="shared" ref="T10:T41" si="4">CF10+CG10+CH10</f>
        <v>0</v>
      </c>
      <c r="U10" s="1356">
        <f t="shared" ref="U10:U41" si="5">IF(P10-(D10*0.35)&lt;0,0,P10-(D10*0.35))</f>
        <v>0</v>
      </c>
      <c r="V10" s="1357">
        <f t="shared" ref="V10:V41" si="6">IF(D10="",0,IF(D10/-30+Q10&lt;1,0,D10/-30+Q10))</f>
        <v>0</v>
      </c>
      <c r="W10" s="1347"/>
      <c r="X10" s="1358"/>
      <c r="Y10" s="1359"/>
      <c r="Z10" s="1360"/>
      <c r="AA10" s="1359"/>
      <c r="AB10" s="1360"/>
      <c r="AC10" s="1361"/>
      <c r="AD10" s="1362"/>
      <c r="AE10" s="1347"/>
      <c r="AF10" s="1363"/>
      <c r="AG10" s="1364"/>
      <c r="AH10" s="1363"/>
      <c r="AI10" s="1365"/>
      <c r="AJ10" s="1366"/>
      <c r="AK10" s="1367"/>
      <c r="AL10" s="1363"/>
      <c r="AM10" s="1359"/>
      <c r="AN10" s="1368"/>
      <c r="AO10" s="1359"/>
      <c r="AP10" s="1360"/>
      <c r="AQ10" s="1275" t="e">
        <f t="shared" ref="AQ10:AQ41" si="7">D10/Q10</f>
        <v>#DIV/0!</v>
      </c>
      <c r="AR10" s="1369" t="str">
        <f t="shared" ref="AR10:AR41" si="8">IF(W10="","",LOOKUP(W10,$B$49:$B$59,$R$49:$R$59)*X10)</f>
        <v/>
      </c>
      <c r="AS10" s="1270" t="str">
        <f t="shared" ref="AS10:AS41" si="9">IF(Y10="","",LOOKUP(Y10,$B$49:$B$59,$R$49:$R$59)*Z10)</f>
        <v/>
      </c>
      <c r="AT10" s="1370" t="str">
        <f t="shared" ref="AT10:AT41" si="10">IF(AB10="","",LOOKUP(AA10,$B$49:$B$59,$R$49:$R$59)*AB10)</f>
        <v/>
      </c>
      <c r="AU10" s="1270" t="str">
        <f t="shared" ref="AU10:AU41" si="11">IF(AC10="","",LOOKUP(AC10,$B$49:$B$59,$R$49:$R$59)*AD10)</f>
        <v/>
      </c>
      <c r="AV10" s="1270" t="str">
        <f t="shared" ref="AV10:AV41" si="12">IF(AE10="","",LOOKUP(AE10,$B$49:$B$59,$R$49:$R$59)*AF10)</f>
        <v/>
      </c>
      <c r="AW10" s="1270" t="str">
        <f t="shared" ref="AW10:AW41" si="13">IF(AG10="","",LOOKUP(AG10,$B$49:$B$59,$R$49:$R$59)*AH10)</f>
        <v/>
      </c>
      <c r="AX10" s="1270" t="str">
        <f t="shared" ref="AX10:AX41" si="14">IF(AI10="","",LOOKUP(AI10,$B$49:$B$59,$R$49:$R$59)*AJ10)</f>
        <v/>
      </c>
      <c r="AY10" s="1270" t="str">
        <f t="shared" ref="AY10:AY41" si="15">IF(AK10="","",LOOKUP(AK10,$B$49:$B$59,$R$49:$R$59)*AL10)</f>
        <v/>
      </c>
      <c r="AZ10" s="1270" t="str">
        <f t="shared" ref="AZ10:AZ41" si="16">IF(AM10="","",LOOKUP(AM10,$B$49:$B$59,$R$49:$R$59)*AN10)</f>
        <v/>
      </c>
      <c r="BA10" s="1270" t="str">
        <f t="shared" ref="BA10:BA41" si="17">IF(AO10="","",LOOKUP(AO10,$B$49:$B$59,$R$49:$R$59)*AP10)</f>
        <v/>
      </c>
      <c r="BB10" s="1371">
        <f t="shared" ref="BB10:BB41" si="18">SUM(AR10:BA10)</f>
        <v>0</v>
      </c>
      <c r="BC10" s="1369" t="str">
        <f t="shared" ref="BC10:BC41" si="19">IF(W10="","",LOOKUP(W10,$B$49:$B$59,$P$49:$P$59)*X10)</f>
        <v/>
      </c>
      <c r="BD10" s="1270" t="str">
        <f t="shared" ref="BD10:BD41" si="20">IF(Y10="","",LOOKUP(Y10,$B$49:$B$59,$P$49:$P$59)*Z10)</f>
        <v/>
      </c>
      <c r="BE10" s="1270" t="str">
        <f t="shared" ref="BE10:BE41" si="21">IF(AA10="","",LOOKUP(AA10,$B$49:$B$59,$P$49:$P$59)*AB10)</f>
        <v/>
      </c>
      <c r="BF10" s="1270" t="str">
        <f t="shared" ref="BF10:BF41" si="22">IF(AC10="","",LOOKUP(AC10,$B$49:$B$59,$P$49:$P$59)*AD10)</f>
        <v/>
      </c>
      <c r="BG10" s="1270" t="str">
        <f t="shared" ref="BG10:BG41" si="23">IF(AE10="","",LOOKUP(AE10,$B$49:$B$59,$P$49:$P$59)*AF10)</f>
        <v/>
      </c>
      <c r="BH10" s="1270" t="str">
        <f t="shared" ref="BH10:BH41" si="24">IF(AG10="","",LOOKUP(AG10,$B$49:$B$59,$P$49:$P$59)*AH10)</f>
        <v/>
      </c>
      <c r="BI10" s="1270" t="str">
        <f t="shared" ref="BI10:BI41" si="25">IF(AI10="","",LOOKUP(AI10,$B$49:$B$59,$P$49:$P$59)*AJ10)</f>
        <v/>
      </c>
      <c r="BJ10" s="1270" t="str">
        <f t="shared" ref="BJ10:BJ41" si="26">IF(AK10="","",LOOKUP(AK10,$B$49:$B$59,$P$49:$P$59)*AL10)</f>
        <v/>
      </c>
      <c r="BK10" s="1270" t="str">
        <f t="shared" ref="BK10:BK41" si="27">IF(AM10="","",LOOKUP(AM10,$B$49:$B$59,$P$49:$P$59)*AN10)</f>
        <v/>
      </c>
      <c r="BL10" s="1270" t="str">
        <f t="shared" ref="BL10:BL41" si="28">IF(AO10="","",LOOKUP(AO10,$B$49:$B$59,$P$49:$P$59)*AP10)</f>
        <v/>
      </c>
      <c r="BM10" s="1371">
        <f t="shared" ref="BM10:BM41" si="29">SUM(BC10:BL10)*BQ10</f>
        <v>0</v>
      </c>
      <c r="BN10" s="1372">
        <f t="shared" ref="BN10:BN41" si="30">BM10+BO10</f>
        <v>0</v>
      </c>
      <c r="BO10" s="1373">
        <f t="shared" ref="BO10:BO41" si="31">IF(M10=0,0,(M10/12+M10/12)/(M10/12*M10/12)*D10*((L10/16*L10/16)*10.6870159))*(1+K$70)*BQ10</f>
        <v>0</v>
      </c>
      <c r="BP10" s="1372">
        <f t="shared" ref="BP10:BP41" si="32">IF(O10="Y",D10*(1+K$71)*BQ10,0)</f>
        <v>0</v>
      </c>
      <c r="BQ10" s="1374">
        <f t="shared" ref="BQ10:BQ41" si="33">G10</f>
        <v>0</v>
      </c>
      <c r="BR10" s="1251">
        <f t="shared" ref="BR10:BR41" si="34">IF(O10="y",D10,0)</f>
        <v>0</v>
      </c>
      <c r="BS10" s="1375">
        <f t="shared" ref="BS10:BS41" si="35">IF($I10=1,$Q10,0)*BQ10</f>
        <v>0</v>
      </c>
      <c r="BT10" s="1376">
        <f t="shared" ref="BT10:BT41" si="36">IF($I10=2,$Q10,0)*BQ10</f>
        <v>0</v>
      </c>
      <c r="BU10" s="1376">
        <f t="shared" ref="BU10:BU41" si="37">IF($I10=3,$Q10,0)*BQ10</f>
        <v>0</v>
      </c>
      <c r="BV10" s="1376">
        <f t="shared" ref="BV10:BV41" si="38">IF($I10=4,$Q10,0)*BQ10</f>
        <v>0</v>
      </c>
      <c r="BW10" s="1376">
        <f t="shared" ref="BW10:BW41" si="39">IF($I10=5,$Q10,0)*BQ10</f>
        <v>0</v>
      </c>
      <c r="BX10" s="1376">
        <f t="shared" ref="BX10:BX41" si="40">IF($I10=6,$Q10,0)*$BQ10</f>
        <v>0</v>
      </c>
      <c r="BY10" s="1376">
        <f t="shared" ref="BY10:BY41" si="41">IF($I10=7,$Q10,0)*$BQ10</f>
        <v>0</v>
      </c>
      <c r="BZ10" s="1376">
        <f t="shared" ref="BZ10:BZ41" si="42">IF($I10=8,$Q10,0)*$BQ10</f>
        <v>0</v>
      </c>
      <c r="CA10" s="1376">
        <f t="shared" ref="CA10:CA41" si="43">IF($I10=9,$Q10,0)*$BQ10</f>
        <v>0</v>
      </c>
      <c r="CB10" s="1377">
        <f t="shared" ref="CB10:CB41" si="44">IF($I10=10,$Q10,0)*$BQ10</f>
        <v>0</v>
      </c>
      <c r="CC10" s="1374">
        <f>SUM(BS10:BW10)</f>
        <v>0</v>
      </c>
      <c r="CD10" s="1374">
        <f t="shared" ref="CD10:CD41" si="45">IF(H10="N",0,D10)*BQ10</f>
        <v>0</v>
      </c>
      <c r="CE10" s="1374">
        <f t="shared" ref="CE10:CE41" si="46">K10*BQ10</f>
        <v>0</v>
      </c>
      <c r="CF10" s="1378">
        <f t="shared" ref="CF10:CF41" si="47">ROUND(IF(W10="",0,LOOKUP(W10,B$49:B$59,D$49:D$59)*X10/12),0)</f>
        <v>0</v>
      </c>
      <c r="CG10" s="1378">
        <f t="shared" ref="CG10:CG41" si="48">ROUND(IF(Y10="",0,LOOKUP(Y10,B$49:B$59,D$49:D$59)*Z10/12),0)</f>
        <v>0</v>
      </c>
      <c r="CH10" s="1378">
        <f t="shared" ref="CH10:CH41" si="49">ROUND(IF(AA10="",0,LOOKUP(AA10,B$49:B$59,D$49:D$59)*AB10/12),0)</f>
        <v>0</v>
      </c>
      <c r="CI10" s="1374">
        <f t="shared" ref="CI10:CI41" si="50">D10*BQ10</f>
        <v>0</v>
      </c>
      <c r="CJ10" s="1374">
        <f t="shared" ref="CJ10:CJ41" si="51">D10*J10/324*(1+K$73)*G10</f>
        <v>0</v>
      </c>
      <c r="CK10" s="1374" t="str">
        <f t="shared" ref="CK10:CK41" si="52">IF(N10="","",N10)</f>
        <v/>
      </c>
      <c r="CL10" s="1374">
        <f t="shared" ref="CL10:CL41" si="53">P10*BQ10</f>
        <v>0</v>
      </c>
      <c r="CM10" s="1379">
        <f t="shared" ref="CM10:CM41" si="54">IF(BQ10=0,0,SUM(CN10:DE10)/BQ10)</f>
        <v>0</v>
      </c>
      <c r="CN10" s="628">
        <f>(BS10*Pricing!F$3+BT10*Pricing!G$3+BU10*Pricing!H$3+BV10*Pricing!I$3+BW10*Pricing!J$3+BX10*Pricing!K$3+BY10*Pricing!L$3+BZ10*Pricing!M$3+CA10*Pricing!N$3+CB10*Pricing!O$3)*IF(W$44="N",(1+Y$44),1)</f>
        <v>0</v>
      </c>
      <c r="CO10" s="628">
        <f t="shared" ref="CO10:CO41" si="55">BN10*G$70*IF(W$44="n",1+Y$44,1)</f>
        <v>0</v>
      </c>
      <c r="CP10" s="1380">
        <f t="shared" ref="CP10:CP41" si="56">C10*D10</f>
        <v>0</v>
      </c>
      <c r="CQ10" s="628">
        <f t="shared" ref="CQ10:CQ41" si="57">IF(I$79=0,0,D10*(SUM(O$79:P$82)+O$85)/I$79*BQ10)</f>
        <v>0</v>
      </c>
      <c r="CR10" s="628">
        <f t="shared" ref="CR10:CR41" si="58">IF(CF10="",0,CF10*E$83)+IF(CG10="",0,CG10*E$83)+IF(CH10="",0,CH10*E$83)</f>
        <v>0</v>
      </c>
      <c r="CS10" s="628"/>
      <c r="CT10" s="1381">
        <f t="shared" ref="CT10:CT41" si="59">(U10/2000)*E$87</f>
        <v>0</v>
      </c>
      <c r="CU10" s="628">
        <f t="shared" ref="CU10:CU41" si="60">IF(I$79=0,0,D10*(O$88)/I$79*BQ10)</f>
        <v>0</v>
      </c>
      <c r="CV10" s="628">
        <f t="shared" ref="CV10:CV41" si="61">IF(D$42=0,0,SUM(O$91:P$94)/D$42*D10)*BQ10</f>
        <v>0</v>
      </c>
      <c r="CW10" s="628">
        <f t="shared" ref="CW10:CW41" si="62">IF(D$42=0,0,SUM(Z$66:Z$97)/D$42*D10*BQ10)</f>
        <v>0</v>
      </c>
      <c r="CX10" s="628">
        <f t="shared" ref="CX10:CX41" si="63">IF(D$42=0,0,SUM(O$96:P$101)/D$42*D10)*BQ10</f>
        <v>0</v>
      </c>
      <c r="CY10" s="628">
        <f t="shared" ref="CY10:CY41" si="64">IF(D$42=0,0,SUM(O$103:O$109)/D$42)*D10*BQ10</f>
        <v>0</v>
      </c>
      <c r="CZ10" s="628">
        <f t="shared" ref="CZ10:CZ41" si="65">IF(I$79=0,0,IF(I$79=0,0,SUM(Z$98:Z$109)/I$79*D10))</f>
        <v>0</v>
      </c>
      <c r="DA10" s="628">
        <f t="shared" ref="DA10:DA41" si="66">IF(J$72&gt;0,J$72/D$42*D10*G10,CD10*(G$72*IF(W$44="n",(1+Y$44),1)))</f>
        <v>0</v>
      </c>
      <c r="DB10" s="628">
        <f t="shared" ref="DB10:DB41" si="67">IF(CK10="",0,CK10*E$86)</f>
        <v>0</v>
      </c>
      <c r="DC10" s="628">
        <f t="shared" ref="DC10:DC41" si="68">BP10*G$71*IF(W$44="Y",1,1+Y$44)</f>
        <v>0</v>
      </c>
      <c r="DD10" s="628">
        <f t="shared" ref="DD10:DD41" si="69">CJ10*G$73*IF(W$44="Y",1,1+Y$44)</f>
        <v>0</v>
      </c>
      <c r="DE10" s="1382" t="e">
        <f t="shared" ref="DE10:DE41" si="70">O$110/I$79*D10</f>
        <v>#DIV/0!</v>
      </c>
      <c r="DF10" s="1383">
        <f t="shared" ref="DF10:DF41" si="71">IF(W10=1,X10*$AS$49,0)+IF(W10=2,X10*$AS$50,0)+IF(W10=3,X10*$AS$51,0)+IF(W10=4,X10*$AS$52,0)+IF(W10=5,X10*$AS$53,0)+IF(W10=6,X10*$AS$54)+IF(W10=7,X10*$AS$55)+IF(W10=8,X10*$AS$56)+IF(W10=9,X10*$AS$57)+IF(W10=10,X10*$AS$58)+IF(W10=11,X10*$AS$59,0)</f>
        <v>0</v>
      </c>
      <c r="DG10" s="1383">
        <f t="shared" ref="DG10:DG41" si="72">IF(Y10=1,Z10*$AS$49,0)+IF(Y10=2,Z10*$AS$50,0)+IF(Y10=3,Z10*$AS$51,0)+IF(Y10=4,Z10*$AS$52,0)+IF(Y10=5,Z10*$AS$53,0)+IF(Y10=6,Z10*$AS$54)+IF(Y10=7,Z10*$AS$55)+IF(Y10=8,Z10*$AS$56)+IF(Y10=9,Z10*$AS$57)+IF(Y10=10,Z10*$AS$58)+IF(Y10=11,Z10*$AS$59,0)</f>
        <v>0</v>
      </c>
      <c r="DH10" s="1383">
        <f t="shared" ref="DH10:DH41" si="73">IF(AA10=1,AB10*$AS$49,0)+IF(AA10=2,AB10*$AS$50,0)+IF(AA10=3,AB10*$AS$51,0)+IF(AA10=4,AB10*$AS$52,0)+IF(AA10=5,AB10*$AS$53,0)+IF(AA10=6,AB10*$AS$54)+IF(AA10=7,AB10*$AS$55)+IF(AA10=8,AB10*$AS$56)+IF(AA10=9,AB10*$AS$57)+IF(AA10=10,AB10*$AS$58)+IF(AA10=11,AB10*$AS$59,0)</f>
        <v>0</v>
      </c>
      <c r="DI10" s="1383">
        <f t="shared" ref="DI10:DI41" si="74">IF(AC10=1,AD10*$AS$49,0)+IF(AC10=2,AD10*$AS$50,0)+IF(AC10=3,AD10*$AS$51,0)+IF(AC10=4,AD10*$AS$52,0)+IF(AC10=5,AD10*$AS$53,0)+IF(AC10=6,AD10*$AS$54)+IF(AC10=7,AD10*$AS$55)+IF(AC10=8,AD10*$AS$56)+IF(AC10=9,AD10*$AS$57)+IF(AC10=10,AD10*$AS$58)+IF(AC10=11,AD10*$AS$59,0)</f>
        <v>0</v>
      </c>
      <c r="DJ10" s="1383">
        <f t="shared" ref="DJ10:DJ41" si="75">IF(AE10=1,AF10*$AS$49,0)+IF(AE10=2,AF10*$AS$50,0)+IF(AE10=3,AF10*$AS$51,0)+IF(AE10=4,AF10*$AS$52,0)+IF(AE10=5,AF10*$AS$53,0)+IF(AE10=6,AF10*$AS$54)+IF(AE10=7,AF10*$AS$55)+IF(AE10=8,AF10*$AS$56)+IF(AE10=9,AF10*$AS$57)+IF(AE10=10,AF10*$AS$58)+IF(AE10=11,AF10*$AS$59,0)</f>
        <v>0</v>
      </c>
      <c r="DK10" s="1383">
        <f t="shared" ref="DK10:DK41" si="76">IF(AG10=1,AH10*$AS$49,0)+IF(AG10=2,AH10*$AS$50,0)+IF(AG10=3,AH10*$AS$51,0)+IF(AG10=4,AH10*$AS$52,0)+IF(AG10=5,AH10*$AS$53,0)+IF(AG10=6,AH10*$AS$54)+IF(AG10=7,AH10*$AS$55)+IF(AG10=8,AH10*$AS$56)+IF(AG10=9,AH10*$AS$57)+IF(AG10=10,AH10*$AS$58)+IF(AG10=11,AH10*$AS$59,0)</f>
        <v>0</v>
      </c>
      <c r="DL10" s="1383">
        <f t="shared" ref="DL10:DL41" si="77">IF(AI10=1,AJ10*$AS$49,0)+IF(AI10=2,AJ10*$AS$50,0)+IF(AI10=3,AJ10*$AS$51,0)+IF(AI10=4,AJ10*$AS$52,0)+IF(AI10=5,AJ10*$AS$53,0)+IF(AI10=6,AJ10*$AS$54)+IF(AI10=7,AJ10*$AS$55)+IF(AI10=8,AJ10*$AS$56)+IF(AI10=9,AJ10*$AS$57)+IF(AI10=10,AJ10*$AS$58)+IF(AI10=11,AJ10*$AS$59,0)</f>
        <v>0</v>
      </c>
      <c r="DM10" s="1383">
        <f t="shared" ref="DM10:DM41" si="78">IF(AK10=1,AL10*$AS$49,0)+IF(AK10=2,AL10*$AS$50,0)+IF(AK10=3,AL10*$AS$51,0)+IF(AK10=4,AL10*$AS$52,0)+IF(AK10=5,AL10*$AS$53,0)+IF(AK10=6,AL10*$AS$54)+IF(AK10=7,AL10*$AS$55)+IF(AK10=8,AL10*$AS$56)+IF(AK10=9,AL10*$AS$57)+IF(AK10=10,AL10*$AS$58)+IF(AK10=11,AL10*$AS$59,0)</f>
        <v>0</v>
      </c>
      <c r="DN10" s="1383">
        <f t="shared" ref="DN10:DN41" si="79">IF(AM10=1,AN10*$AS$49,0)+IF(AM10=2,AN10*$AS$50,0)+IF(AM10=3,AN10*$AS$51,0)+IF(AM10=4,AN10*$AS$52,0)+IF(AM10=5,AN10*$AS$53,0)+IF(AM10=6,AN10*$AS$54)+IF(AM10=7,AN10*$AS$55)+IF(AM10=8,AN10*$AS$56)+IF(AM10=9,AN10*$AS$57)+IF(AM10=10,AN10*$AS$58)+IF(AM10=11,AN10*$AS$59,0)</f>
        <v>0</v>
      </c>
      <c r="DO10" s="1383">
        <f t="shared" ref="DO10:DO41" si="80">IF(AO10=1,AP10*$AS$49,0)+IF(AO10=2,AP10*$AS$50,0)+IF(AO10=3,AP10*$AS$51,0)+IF(AO10=4,AP10*$AS$52,0)+IF(AO10=5,AP10*$AS$53,0)+IF(AO10=6,AP10*$AS$54)+IF(AO10=7,AP10*$AS$55)+IF(AO10=8,AP10*$AS$56)+IF(AO10=9,AP10*$AS$57)+IF(AO10=10,AP10*$AS$58)+IF(AO10=11,AP10*$AS$59,0)</f>
        <v>0</v>
      </c>
      <c r="DP10" s="1384">
        <f t="shared" ref="DP10:DP41" si="81">D10</f>
        <v>0</v>
      </c>
      <c r="DQ10" s="1270" t="str">
        <f t="shared" ref="DQ10:DQ41" si="82">IF(AC10="","",LOOKUP(AC10,$B$49:$B$59,$S$49:$S$59)*AD10)</f>
        <v/>
      </c>
      <c r="DR10" s="1270" t="str">
        <f t="shared" ref="DR10:DR41" si="83">IF(AE10="","",LOOKUP(AE10,$B$49:$B$59,$S$49:$S$59)*AF10)</f>
        <v/>
      </c>
      <c r="DS10" s="1270" t="str">
        <f t="shared" ref="DS10:DS41" si="84">IF(AG10="","",LOOKUP(AG10,$B$49:$B$59,$S$49:$S$59)*AH10)</f>
        <v/>
      </c>
      <c r="DT10" s="1270" t="str">
        <f t="shared" ref="DT10:DT41" si="85">IF(AI10="","",LOOKUP(AI10,$B$49:$B$59,$S$49:$S$59)*AJ10)</f>
        <v/>
      </c>
      <c r="DU10" s="1270" t="str">
        <f t="shared" ref="DU10:DU41" si="86">IF(AK10="","",LOOKUP(AK10,$B$49:$B$59,$S$49:$S$59)*AL10)</f>
        <v/>
      </c>
      <c r="DV10" s="1270" t="str">
        <f t="shared" ref="DV10:DV41" si="87">IF(AM10="","",LOOKUP(AM10,$B$49:$B$59,$S$49:$S$59)*AN10)</f>
        <v/>
      </c>
      <c r="DW10" s="1270" t="str">
        <f t="shared" ref="DW10:DW41" si="88">IF(AO10="","",LOOKUP(AO10,$B$49:$B$59,$S$49:$S$59)*AP10)</f>
        <v/>
      </c>
      <c r="DX10" s="1371">
        <f t="shared" ref="DX10:DX41" si="89">SUM(DQ10:DW10)-(D10-EF10)*(S$45-F10)/324</f>
        <v>0</v>
      </c>
      <c r="DY10" s="1270" t="str">
        <f t="shared" ref="DY10:DY41" si="90">IF(AC10="","",LOOKUP(AC10,$B$49:$B$59,$T$49:$T$59)*AD10)</f>
        <v/>
      </c>
      <c r="DZ10" s="1270" t="str">
        <f t="shared" ref="DZ10:DZ41" si="91">IF(AE10="","",LOOKUP(AE10,$B$49:$B$59,$T$49:$T$59)*AF10)</f>
        <v/>
      </c>
      <c r="EA10" s="1270" t="str">
        <f t="shared" ref="EA10:EA41" si="92">IF(AG10="","",LOOKUP(AG10,$B$49:$B$59,$T$49:$T$59)*AH10)</f>
        <v/>
      </c>
      <c r="EB10" s="1270" t="str">
        <f t="shared" ref="EB10:EB41" si="93">IF(AI10="","",LOOKUP(AI10,$B$49:$B$59,$T$49:$T$59)*AJ10)</f>
        <v/>
      </c>
      <c r="EC10" s="1270" t="str">
        <f t="shared" ref="EC10:EC41" si="94">IF(AK10="","",LOOKUP(AK10,$B$49:$B$59,$T$49:$T$59)*AL10)</f>
        <v/>
      </c>
      <c r="ED10" s="1270" t="str">
        <f t="shared" ref="ED10:ED41" si="95">IF(AM10="","",LOOKUP(AM10,$B$49:$B$59,$T$49:$T$59)*AN10)</f>
        <v/>
      </c>
      <c r="EE10" s="1270" t="str">
        <f t="shared" ref="EE10:EE41" si="96">IF(AO10="","",LOOKUP(AO10,$B$49:$B$59,$T$49:$T$59)*AP10)</f>
        <v/>
      </c>
      <c r="EF10" s="1371">
        <f t="shared" ref="EF10:EF41" si="97">SUM(DY10:EE10)</f>
        <v>0</v>
      </c>
    </row>
    <row r="11" spans="1:136" ht="19.5" customHeight="1">
      <c r="A11" s="18" t="s">
        <v>1069</v>
      </c>
      <c r="B11" s="1385"/>
      <c r="C11" s="1386"/>
      <c r="D11" s="1387"/>
      <c r="E11" s="1388"/>
      <c r="F11" s="984"/>
      <c r="G11" s="1389"/>
      <c r="H11" s="984"/>
      <c r="I11" s="1389"/>
      <c r="J11" s="984"/>
      <c r="K11" s="1390"/>
      <c r="L11" s="1391"/>
      <c r="M11" s="1392"/>
      <c r="N11" s="1393"/>
      <c r="O11" s="1394"/>
      <c r="P11" s="1351">
        <f t="shared" si="0"/>
        <v>0</v>
      </c>
      <c r="Q11" s="1352">
        <f t="shared" si="1"/>
        <v>0</v>
      </c>
      <c r="R11" s="1353">
        <f t="shared" si="2"/>
        <v>0</v>
      </c>
      <c r="S11" s="1354" t="e">
        <f t="shared" si="3"/>
        <v>#DIV/0!</v>
      </c>
      <c r="T11" s="1355">
        <f t="shared" si="4"/>
        <v>0</v>
      </c>
      <c r="U11" s="1356">
        <f t="shared" si="5"/>
        <v>0</v>
      </c>
      <c r="V11" s="1357">
        <f t="shared" si="6"/>
        <v>0</v>
      </c>
      <c r="W11" s="1395"/>
      <c r="X11" s="1396"/>
      <c r="Y11" s="1395"/>
      <c r="Z11" s="1397"/>
      <c r="AA11" s="1395"/>
      <c r="AB11" s="1397"/>
      <c r="AC11" s="1398"/>
      <c r="AD11" s="1396"/>
      <c r="AE11" s="1395"/>
      <c r="AF11" s="1399"/>
      <c r="AG11" s="1400"/>
      <c r="AH11" s="1399"/>
      <c r="AI11" s="1401"/>
      <c r="AJ11" s="1396"/>
      <c r="AK11" s="1401"/>
      <c r="AL11" s="1399"/>
      <c r="AM11" s="1395"/>
      <c r="AN11" s="1402"/>
      <c r="AO11" s="1395"/>
      <c r="AP11" s="1397"/>
      <c r="AQ11" s="1275" t="e">
        <f t="shared" si="7"/>
        <v>#DIV/0!</v>
      </c>
      <c r="AR11" s="1369" t="str">
        <f t="shared" si="8"/>
        <v/>
      </c>
      <c r="AS11" s="1270" t="str">
        <f t="shared" si="9"/>
        <v/>
      </c>
      <c r="AT11" s="1270" t="str">
        <f t="shared" si="10"/>
        <v/>
      </c>
      <c r="AU11" s="1270" t="str">
        <f t="shared" si="11"/>
        <v/>
      </c>
      <c r="AV11" s="1270" t="str">
        <f t="shared" si="12"/>
        <v/>
      </c>
      <c r="AW11" s="1270" t="str">
        <f t="shared" si="13"/>
        <v/>
      </c>
      <c r="AX11" s="1270" t="str">
        <f t="shared" si="14"/>
        <v/>
      </c>
      <c r="AY11" s="1270" t="str">
        <f t="shared" si="15"/>
        <v/>
      </c>
      <c r="AZ11" s="1270" t="str">
        <f t="shared" si="16"/>
        <v/>
      </c>
      <c r="BA11" s="1270" t="str">
        <f t="shared" si="17"/>
        <v/>
      </c>
      <c r="BB11" s="1371">
        <f t="shared" si="18"/>
        <v>0</v>
      </c>
      <c r="BC11" s="1369" t="str">
        <f t="shared" si="19"/>
        <v/>
      </c>
      <c r="BD11" s="1270" t="str">
        <f t="shared" si="20"/>
        <v/>
      </c>
      <c r="BE11" s="1270" t="str">
        <f t="shared" si="21"/>
        <v/>
      </c>
      <c r="BF11" s="1270" t="str">
        <f t="shared" si="22"/>
        <v/>
      </c>
      <c r="BG11" s="1270" t="str">
        <f t="shared" si="23"/>
        <v/>
      </c>
      <c r="BH11" s="1270" t="str">
        <f t="shared" si="24"/>
        <v/>
      </c>
      <c r="BI11" s="1270" t="str">
        <f t="shared" si="25"/>
        <v/>
      </c>
      <c r="BJ11" s="1270" t="str">
        <f t="shared" si="26"/>
        <v/>
      </c>
      <c r="BK11" s="1270" t="str">
        <f t="shared" si="27"/>
        <v/>
      </c>
      <c r="BL11" s="1270" t="str">
        <f t="shared" si="28"/>
        <v/>
      </c>
      <c r="BM11" s="1371">
        <f t="shared" si="29"/>
        <v>0</v>
      </c>
      <c r="BN11" s="1372">
        <f t="shared" si="30"/>
        <v>0</v>
      </c>
      <c r="BO11" s="1372">
        <f t="shared" si="31"/>
        <v>0</v>
      </c>
      <c r="BP11" s="1372">
        <f t="shared" si="32"/>
        <v>0</v>
      </c>
      <c r="BQ11" s="1374">
        <f t="shared" si="33"/>
        <v>0</v>
      </c>
      <c r="BR11" s="1251">
        <f t="shared" si="34"/>
        <v>0</v>
      </c>
      <c r="BS11" s="1403">
        <f t="shared" si="35"/>
        <v>0</v>
      </c>
      <c r="BT11" s="1372">
        <f t="shared" si="36"/>
        <v>0</v>
      </c>
      <c r="BU11" s="1372">
        <f t="shared" si="37"/>
        <v>0</v>
      </c>
      <c r="BV11" s="1372">
        <f t="shared" si="38"/>
        <v>0</v>
      </c>
      <c r="BW11" s="1372">
        <f t="shared" si="39"/>
        <v>0</v>
      </c>
      <c r="BX11" s="1372">
        <f t="shared" si="40"/>
        <v>0</v>
      </c>
      <c r="BY11" s="1372">
        <f t="shared" si="41"/>
        <v>0</v>
      </c>
      <c r="BZ11" s="1372">
        <f t="shared" si="42"/>
        <v>0</v>
      </c>
      <c r="CA11" s="1372">
        <f t="shared" si="43"/>
        <v>0</v>
      </c>
      <c r="CB11" s="1404">
        <f t="shared" si="44"/>
        <v>0</v>
      </c>
      <c r="CC11" s="1374">
        <f t="shared" ref="CC11:CC41" si="98">SUM(BS11:BX11)</f>
        <v>0</v>
      </c>
      <c r="CD11" s="1374">
        <f t="shared" si="45"/>
        <v>0</v>
      </c>
      <c r="CE11" s="1374">
        <f t="shared" si="46"/>
        <v>0</v>
      </c>
      <c r="CF11" s="1378">
        <f t="shared" si="47"/>
        <v>0</v>
      </c>
      <c r="CG11" s="1378">
        <f t="shared" si="48"/>
        <v>0</v>
      </c>
      <c r="CH11" s="1378">
        <f t="shared" si="49"/>
        <v>0</v>
      </c>
      <c r="CI11" s="1374">
        <f t="shared" si="50"/>
        <v>0</v>
      </c>
      <c r="CJ11" s="1374">
        <f t="shared" si="51"/>
        <v>0</v>
      </c>
      <c r="CK11" s="1374" t="str">
        <f t="shared" si="52"/>
        <v/>
      </c>
      <c r="CL11" s="1374">
        <f t="shared" si="53"/>
        <v>0</v>
      </c>
      <c r="CM11" s="1379">
        <f t="shared" si="54"/>
        <v>0</v>
      </c>
      <c r="CN11" s="628">
        <f>(BS11*Pricing!F$3+BT11*Pricing!G$3+BU11*Pricing!H$3+BV11*Pricing!I$3+BW11*Pricing!J$3+BX11*Pricing!K$3+BY11*Pricing!L$3+BZ11*Pricing!M$3+CA11*Pricing!N$3+CB11*Pricing!O$3)*IF(W$44="N",(1+Y$44),1)</f>
        <v>0</v>
      </c>
      <c r="CO11" s="628">
        <f t="shared" si="55"/>
        <v>0</v>
      </c>
      <c r="CP11" s="1380">
        <f t="shared" si="56"/>
        <v>0</v>
      </c>
      <c r="CQ11" s="628">
        <f t="shared" si="57"/>
        <v>0</v>
      </c>
      <c r="CR11" s="628">
        <f t="shared" si="58"/>
        <v>0</v>
      </c>
      <c r="CS11" s="628"/>
      <c r="CT11" s="1381">
        <f t="shared" si="59"/>
        <v>0</v>
      </c>
      <c r="CU11" s="628">
        <f t="shared" si="60"/>
        <v>0</v>
      </c>
      <c r="CV11" s="628">
        <f t="shared" si="61"/>
        <v>0</v>
      </c>
      <c r="CW11" s="628">
        <f t="shared" si="62"/>
        <v>0</v>
      </c>
      <c r="CX11" s="628">
        <f t="shared" si="63"/>
        <v>0</v>
      </c>
      <c r="CY11" s="628">
        <f t="shared" si="64"/>
        <v>0</v>
      </c>
      <c r="CZ11" s="628">
        <f t="shared" si="65"/>
        <v>0</v>
      </c>
      <c r="DA11" s="628">
        <f t="shared" si="66"/>
        <v>0</v>
      </c>
      <c r="DB11" s="628">
        <f t="shared" si="67"/>
        <v>0</v>
      </c>
      <c r="DC11" s="628">
        <f t="shared" si="68"/>
        <v>0</v>
      </c>
      <c r="DD11" s="628">
        <f t="shared" si="69"/>
        <v>0</v>
      </c>
      <c r="DE11" s="1382" t="e">
        <f t="shared" si="70"/>
        <v>#DIV/0!</v>
      </c>
      <c r="DF11" s="626">
        <f t="shared" si="71"/>
        <v>0</v>
      </c>
      <c r="DG11" s="626">
        <f t="shared" si="72"/>
        <v>0</v>
      </c>
      <c r="DH11" s="626">
        <f t="shared" si="73"/>
        <v>0</v>
      </c>
      <c r="DI11" s="626">
        <f t="shared" si="74"/>
        <v>0</v>
      </c>
      <c r="DJ11" s="626">
        <f t="shared" si="75"/>
        <v>0</v>
      </c>
      <c r="DK11" s="626">
        <f t="shared" si="76"/>
        <v>0</v>
      </c>
      <c r="DL11" s="626">
        <f t="shared" si="77"/>
        <v>0</v>
      </c>
      <c r="DM11" s="626">
        <f t="shared" si="78"/>
        <v>0</v>
      </c>
      <c r="DN11" s="626">
        <f t="shared" si="79"/>
        <v>0</v>
      </c>
      <c r="DO11" s="626">
        <f t="shared" si="80"/>
        <v>0</v>
      </c>
      <c r="DP11" s="1405">
        <f t="shared" si="81"/>
        <v>0</v>
      </c>
      <c r="DQ11" s="1270" t="str">
        <f t="shared" si="82"/>
        <v/>
      </c>
      <c r="DR11" s="1270" t="str">
        <f t="shared" si="83"/>
        <v/>
      </c>
      <c r="DS11" s="1270" t="str">
        <f t="shared" si="84"/>
        <v/>
      </c>
      <c r="DT11" s="1270" t="str">
        <f t="shared" si="85"/>
        <v/>
      </c>
      <c r="DU11" s="1270" t="str">
        <f t="shared" si="86"/>
        <v/>
      </c>
      <c r="DV11" s="1270" t="str">
        <f t="shared" si="87"/>
        <v/>
      </c>
      <c r="DW11" s="1270" t="str">
        <f t="shared" si="88"/>
        <v/>
      </c>
      <c r="DX11" s="1371">
        <f t="shared" si="89"/>
        <v>0</v>
      </c>
      <c r="DY11" s="1270" t="str">
        <f t="shared" si="90"/>
        <v/>
      </c>
      <c r="DZ11" s="1270" t="str">
        <f t="shared" si="91"/>
        <v/>
      </c>
      <c r="EA11" s="1270" t="str">
        <f t="shared" si="92"/>
        <v/>
      </c>
      <c r="EB11" s="1270" t="str">
        <f t="shared" si="93"/>
        <v/>
      </c>
      <c r="EC11" s="1270" t="str">
        <f t="shared" si="94"/>
        <v/>
      </c>
      <c r="ED11" s="1270" t="str">
        <f t="shared" si="95"/>
        <v/>
      </c>
      <c r="EE11" s="1270" t="str">
        <f t="shared" si="96"/>
        <v/>
      </c>
      <c r="EF11" s="1371">
        <f t="shared" si="97"/>
        <v>0</v>
      </c>
    </row>
    <row r="12" spans="1:136" ht="19.5" customHeight="1">
      <c r="A12" s="18" t="s">
        <v>1070</v>
      </c>
      <c r="B12" s="1341"/>
      <c r="C12" s="1386"/>
      <c r="D12" s="1343"/>
      <c r="E12" s="1344"/>
      <c r="F12" s="984"/>
      <c r="G12" s="1389"/>
      <c r="H12" s="984"/>
      <c r="I12" s="1389"/>
      <c r="J12" s="984"/>
      <c r="K12" s="1390"/>
      <c r="L12" s="1359"/>
      <c r="M12" s="1348"/>
      <c r="N12" s="1406"/>
      <c r="O12" s="1407"/>
      <c r="P12" s="1351">
        <f t="shared" si="0"/>
        <v>0</v>
      </c>
      <c r="Q12" s="1352">
        <f t="shared" si="1"/>
        <v>0</v>
      </c>
      <c r="R12" s="1353">
        <f t="shared" si="2"/>
        <v>0</v>
      </c>
      <c r="S12" s="1354" t="e">
        <f t="shared" si="3"/>
        <v>#DIV/0!</v>
      </c>
      <c r="T12" s="1355">
        <f t="shared" si="4"/>
        <v>0</v>
      </c>
      <c r="U12" s="1356">
        <f t="shared" si="5"/>
        <v>0</v>
      </c>
      <c r="V12" s="1357">
        <f t="shared" si="6"/>
        <v>0</v>
      </c>
      <c r="W12" s="1347"/>
      <c r="X12" s="1366"/>
      <c r="Y12" s="1347"/>
      <c r="Z12" s="1360"/>
      <c r="AA12" s="1347"/>
      <c r="AB12" s="1360"/>
      <c r="AC12" s="1361"/>
      <c r="AD12" s="1362"/>
      <c r="AE12" s="1347"/>
      <c r="AF12" s="1363"/>
      <c r="AG12" s="1364"/>
      <c r="AH12" s="1363"/>
      <c r="AI12" s="1365"/>
      <c r="AJ12" s="1366"/>
      <c r="AK12" s="1408"/>
      <c r="AL12" s="1409"/>
      <c r="AM12" s="1347"/>
      <c r="AN12" s="1368"/>
      <c r="AO12" s="1347"/>
      <c r="AP12" s="1360"/>
      <c r="AQ12" s="1275" t="e">
        <f t="shared" si="7"/>
        <v>#DIV/0!</v>
      </c>
      <c r="AR12" s="1369" t="str">
        <f t="shared" si="8"/>
        <v/>
      </c>
      <c r="AS12" s="1270" t="str">
        <f t="shared" si="9"/>
        <v/>
      </c>
      <c r="AT12" s="1270" t="str">
        <f t="shared" si="10"/>
        <v/>
      </c>
      <c r="AU12" s="1270" t="str">
        <f t="shared" si="11"/>
        <v/>
      </c>
      <c r="AV12" s="1270" t="str">
        <f t="shared" si="12"/>
        <v/>
      </c>
      <c r="AW12" s="1270" t="str">
        <f t="shared" si="13"/>
        <v/>
      </c>
      <c r="AX12" s="1270" t="str">
        <f t="shared" si="14"/>
        <v/>
      </c>
      <c r="AY12" s="1270" t="str">
        <f t="shared" si="15"/>
        <v/>
      </c>
      <c r="AZ12" s="1270" t="str">
        <f t="shared" si="16"/>
        <v/>
      </c>
      <c r="BA12" s="1270" t="str">
        <f t="shared" si="17"/>
        <v/>
      </c>
      <c r="BB12" s="1371">
        <f t="shared" si="18"/>
        <v>0</v>
      </c>
      <c r="BC12" s="1369" t="str">
        <f t="shared" si="19"/>
        <v/>
      </c>
      <c r="BD12" s="1270" t="str">
        <f t="shared" si="20"/>
        <v/>
      </c>
      <c r="BE12" s="1270" t="str">
        <f t="shared" si="21"/>
        <v/>
      </c>
      <c r="BF12" s="1270" t="str">
        <f t="shared" si="22"/>
        <v/>
      </c>
      <c r="BG12" s="1270" t="str">
        <f t="shared" si="23"/>
        <v/>
      </c>
      <c r="BH12" s="1270" t="str">
        <f t="shared" si="24"/>
        <v/>
      </c>
      <c r="BI12" s="1270" t="str">
        <f t="shared" si="25"/>
        <v/>
      </c>
      <c r="BJ12" s="1270" t="str">
        <f t="shared" si="26"/>
        <v/>
      </c>
      <c r="BK12" s="1270" t="str">
        <f t="shared" si="27"/>
        <v/>
      </c>
      <c r="BL12" s="1270" t="str">
        <f t="shared" si="28"/>
        <v/>
      </c>
      <c r="BM12" s="1371">
        <f t="shared" si="29"/>
        <v>0</v>
      </c>
      <c r="BN12" s="1372">
        <f t="shared" si="30"/>
        <v>0</v>
      </c>
      <c r="BO12" s="1372">
        <f t="shared" si="31"/>
        <v>0</v>
      </c>
      <c r="BP12" s="1372">
        <f t="shared" si="32"/>
        <v>0</v>
      </c>
      <c r="BQ12" s="1374">
        <f t="shared" si="33"/>
        <v>0</v>
      </c>
      <c r="BR12" s="1251">
        <f t="shared" si="34"/>
        <v>0</v>
      </c>
      <c r="BS12" s="1403">
        <f t="shared" si="35"/>
        <v>0</v>
      </c>
      <c r="BT12" s="1372">
        <f t="shared" si="36"/>
        <v>0</v>
      </c>
      <c r="BU12" s="1372">
        <f t="shared" si="37"/>
        <v>0</v>
      </c>
      <c r="BV12" s="1372">
        <f t="shared" si="38"/>
        <v>0</v>
      </c>
      <c r="BW12" s="1372">
        <f t="shared" si="39"/>
        <v>0</v>
      </c>
      <c r="BX12" s="1372">
        <f t="shared" si="40"/>
        <v>0</v>
      </c>
      <c r="BY12" s="1372">
        <f t="shared" si="41"/>
        <v>0</v>
      </c>
      <c r="BZ12" s="1372">
        <f t="shared" si="42"/>
        <v>0</v>
      </c>
      <c r="CA12" s="1372">
        <f t="shared" si="43"/>
        <v>0</v>
      </c>
      <c r="CB12" s="1404">
        <f t="shared" si="44"/>
        <v>0</v>
      </c>
      <c r="CC12" s="1374">
        <f t="shared" si="98"/>
        <v>0</v>
      </c>
      <c r="CD12" s="1374">
        <f t="shared" si="45"/>
        <v>0</v>
      </c>
      <c r="CE12" s="1374">
        <f t="shared" si="46"/>
        <v>0</v>
      </c>
      <c r="CF12" s="1378">
        <f t="shared" si="47"/>
        <v>0</v>
      </c>
      <c r="CG12" s="1378">
        <f t="shared" si="48"/>
        <v>0</v>
      </c>
      <c r="CH12" s="1378">
        <f t="shared" si="49"/>
        <v>0</v>
      </c>
      <c r="CI12" s="1374">
        <f t="shared" si="50"/>
        <v>0</v>
      </c>
      <c r="CJ12" s="1374">
        <f t="shared" si="51"/>
        <v>0</v>
      </c>
      <c r="CK12" s="1374" t="str">
        <f t="shared" si="52"/>
        <v/>
      </c>
      <c r="CL12" s="1374">
        <f t="shared" si="53"/>
        <v>0</v>
      </c>
      <c r="CM12" s="1379">
        <f t="shared" si="54"/>
        <v>0</v>
      </c>
      <c r="CN12" s="628">
        <f>(BS12*Pricing!F$3+BT12*Pricing!G$3+BU12*Pricing!H$3+BV12*Pricing!I$3+BW12*Pricing!J$3+BX12*Pricing!K$3+BY12*Pricing!L$3+BZ12*Pricing!M$3+CA12*Pricing!N$3+CB12*Pricing!O$3)*IF(W$44="N",(1+Y$44),1)</f>
        <v>0</v>
      </c>
      <c r="CO12" s="628">
        <f t="shared" si="55"/>
        <v>0</v>
      </c>
      <c r="CP12" s="1380">
        <f t="shared" si="56"/>
        <v>0</v>
      </c>
      <c r="CQ12" s="628">
        <f t="shared" si="57"/>
        <v>0</v>
      </c>
      <c r="CR12" s="628">
        <f t="shared" si="58"/>
        <v>0</v>
      </c>
      <c r="CS12" s="628"/>
      <c r="CT12" s="1381">
        <f t="shared" si="59"/>
        <v>0</v>
      </c>
      <c r="CU12" s="628">
        <f t="shared" si="60"/>
        <v>0</v>
      </c>
      <c r="CV12" s="628">
        <f t="shared" si="61"/>
        <v>0</v>
      </c>
      <c r="CW12" s="628">
        <f t="shared" si="62"/>
        <v>0</v>
      </c>
      <c r="CX12" s="628">
        <f t="shared" si="63"/>
        <v>0</v>
      </c>
      <c r="CY12" s="628">
        <f t="shared" si="64"/>
        <v>0</v>
      </c>
      <c r="CZ12" s="628">
        <f t="shared" si="65"/>
        <v>0</v>
      </c>
      <c r="DA12" s="628">
        <f t="shared" si="66"/>
        <v>0</v>
      </c>
      <c r="DB12" s="628">
        <f t="shared" si="67"/>
        <v>0</v>
      </c>
      <c r="DC12" s="628">
        <f t="shared" si="68"/>
        <v>0</v>
      </c>
      <c r="DD12" s="628">
        <f t="shared" si="69"/>
        <v>0</v>
      </c>
      <c r="DE12" s="1382" t="e">
        <f t="shared" si="70"/>
        <v>#DIV/0!</v>
      </c>
      <c r="DF12" s="626">
        <f t="shared" si="71"/>
        <v>0</v>
      </c>
      <c r="DG12" s="626">
        <f t="shared" si="72"/>
        <v>0</v>
      </c>
      <c r="DH12" s="626">
        <f t="shared" si="73"/>
        <v>0</v>
      </c>
      <c r="DI12" s="626">
        <f t="shared" si="74"/>
        <v>0</v>
      </c>
      <c r="DJ12" s="626">
        <f t="shared" si="75"/>
        <v>0</v>
      </c>
      <c r="DK12" s="626">
        <f t="shared" si="76"/>
        <v>0</v>
      </c>
      <c r="DL12" s="626">
        <f t="shared" si="77"/>
        <v>0</v>
      </c>
      <c r="DM12" s="626">
        <f t="shared" si="78"/>
        <v>0</v>
      </c>
      <c r="DN12" s="626">
        <f t="shared" si="79"/>
        <v>0</v>
      </c>
      <c r="DO12" s="626">
        <f t="shared" si="80"/>
        <v>0</v>
      </c>
      <c r="DP12" s="1405">
        <f t="shared" si="81"/>
        <v>0</v>
      </c>
      <c r="DQ12" s="1270" t="str">
        <f t="shared" si="82"/>
        <v/>
      </c>
      <c r="DR12" s="1270" t="str">
        <f t="shared" si="83"/>
        <v/>
      </c>
      <c r="DS12" s="1270" t="str">
        <f t="shared" si="84"/>
        <v/>
      </c>
      <c r="DT12" s="1270" t="str">
        <f t="shared" si="85"/>
        <v/>
      </c>
      <c r="DU12" s="1270" t="str">
        <f t="shared" si="86"/>
        <v/>
      </c>
      <c r="DV12" s="1270" t="str">
        <f t="shared" si="87"/>
        <v/>
      </c>
      <c r="DW12" s="1270" t="str">
        <f t="shared" si="88"/>
        <v/>
      </c>
      <c r="DX12" s="1371">
        <f t="shared" si="89"/>
        <v>0</v>
      </c>
      <c r="DY12" s="1270" t="str">
        <f t="shared" si="90"/>
        <v/>
      </c>
      <c r="DZ12" s="1270" t="str">
        <f t="shared" si="91"/>
        <v/>
      </c>
      <c r="EA12" s="1270" t="str">
        <f t="shared" si="92"/>
        <v/>
      </c>
      <c r="EB12" s="1270" t="str">
        <f t="shared" si="93"/>
        <v/>
      </c>
      <c r="EC12" s="1270" t="str">
        <f t="shared" si="94"/>
        <v/>
      </c>
      <c r="ED12" s="1270" t="str">
        <f t="shared" si="95"/>
        <v/>
      </c>
      <c r="EE12" s="1270" t="str">
        <f t="shared" si="96"/>
        <v/>
      </c>
      <c r="EF12" s="1371">
        <f t="shared" si="97"/>
        <v>0</v>
      </c>
    </row>
    <row r="13" spans="1:136" ht="19.5" customHeight="1">
      <c r="A13" s="18" t="s">
        <v>1071</v>
      </c>
      <c r="B13" s="1385"/>
      <c r="C13" s="1386"/>
      <c r="D13" s="1387"/>
      <c r="E13" s="1388"/>
      <c r="F13" s="984"/>
      <c r="G13" s="1389"/>
      <c r="H13" s="984"/>
      <c r="I13" s="1389"/>
      <c r="J13" s="984"/>
      <c r="K13" s="1390"/>
      <c r="L13" s="1391"/>
      <c r="M13" s="1392"/>
      <c r="N13" s="1393"/>
      <c r="O13" s="1394"/>
      <c r="P13" s="1351">
        <f t="shared" si="0"/>
        <v>0</v>
      </c>
      <c r="Q13" s="1352">
        <f t="shared" si="1"/>
        <v>0</v>
      </c>
      <c r="R13" s="1353">
        <f t="shared" si="2"/>
        <v>0</v>
      </c>
      <c r="S13" s="1354" t="e">
        <f t="shared" si="3"/>
        <v>#DIV/0!</v>
      </c>
      <c r="T13" s="1355">
        <f t="shared" si="4"/>
        <v>0</v>
      </c>
      <c r="U13" s="1356">
        <f t="shared" si="5"/>
        <v>0</v>
      </c>
      <c r="V13" s="1357">
        <f t="shared" si="6"/>
        <v>0</v>
      </c>
      <c r="W13" s="1395"/>
      <c r="X13" s="1396"/>
      <c r="Y13" s="1395"/>
      <c r="Z13" s="1397"/>
      <c r="AA13" s="1395"/>
      <c r="AB13" s="1397"/>
      <c r="AC13" s="1398"/>
      <c r="AD13" s="1396"/>
      <c r="AE13" s="1395"/>
      <c r="AF13" s="1399"/>
      <c r="AG13" s="1400"/>
      <c r="AH13" s="1399"/>
      <c r="AI13" s="1401"/>
      <c r="AJ13" s="1396"/>
      <c r="AK13" s="1401"/>
      <c r="AL13" s="1399"/>
      <c r="AM13" s="1395"/>
      <c r="AN13" s="1402"/>
      <c r="AO13" s="1395"/>
      <c r="AP13" s="1397"/>
      <c r="AQ13" s="1275" t="e">
        <f t="shared" si="7"/>
        <v>#DIV/0!</v>
      </c>
      <c r="AR13" s="1369" t="str">
        <f t="shared" si="8"/>
        <v/>
      </c>
      <c r="AS13" s="1270" t="str">
        <f t="shared" si="9"/>
        <v/>
      </c>
      <c r="AT13" s="1270" t="str">
        <f t="shared" si="10"/>
        <v/>
      </c>
      <c r="AU13" s="1270" t="str">
        <f t="shared" si="11"/>
        <v/>
      </c>
      <c r="AV13" s="1270" t="str">
        <f t="shared" si="12"/>
        <v/>
      </c>
      <c r="AW13" s="1270" t="str">
        <f t="shared" si="13"/>
        <v/>
      </c>
      <c r="AX13" s="1270" t="str">
        <f t="shared" si="14"/>
        <v/>
      </c>
      <c r="AY13" s="1270" t="str">
        <f t="shared" si="15"/>
        <v/>
      </c>
      <c r="AZ13" s="1270" t="str">
        <f t="shared" si="16"/>
        <v/>
      </c>
      <c r="BA13" s="1270" t="str">
        <f t="shared" si="17"/>
        <v/>
      </c>
      <c r="BB13" s="1371">
        <f t="shared" si="18"/>
        <v>0</v>
      </c>
      <c r="BC13" s="1369" t="str">
        <f t="shared" si="19"/>
        <v/>
      </c>
      <c r="BD13" s="1270" t="str">
        <f t="shared" si="20"/>
        <v/>
      </c>
      <c r="BE13" s="1270" t="str">
        <f t="shared" si="21"/>
        <v/>
      </c>
      <c r="BF13" s="1270" t="str">
        <f t="shared" si="22"/>
        <v/>
      </c>
      <c r="BG13" s="1270" t="str">
        <f t="shared" si="23"/>
        <v/>
      </c>
      <c r="BH13" s="1270" t="str">
        <f t="shared" si="24"/>
        <v/>
      </c>
      <c r="BI13" s="1270" t="str">
        <f t="shared" si="25"/>
        <v/>
      </c>
      <c r="BJ13" s="1270" t="str">
        <f t="shared" si="26"/>
        <v/>
      </c>
      <c r="BK13" s="1270" t="str">
        <f t="shared" si="27"/>
        <v/>
      </c>
      <c r="BL13" s="1270" t="str">
        <f t="shared" si="28"/>
        <v/>
      </c>
      <c r="BM13" s="1371">
        <f t="shared" si="29"/>
        <v>0</v>
      </c>
      <c r="BN13" s="1372">
        <f t="shared" si="30"/>
        <v>0</v>
      </c>
      <c r="BO13" s="1372">
        <f t="shared" si="31"/>
        <v>0</v>
      </c>
      <c r="BP13" s="1372">
        <f t="shared" si="32"/>
        <v>0</v>
      </c>
      <c r="BQ13" s="1374">
        <f t="shared" si="33"/>
        <v>0</v>
      </c>
      <c r="BR13" s="1251">
        <f t="shared" si="34"/>
        <v>0</v>
      </c>
      <c r="BS13" s="1403">
        <f t="shared" si="35"/>
        <v>0</v>
      </c>
      <c r="BT13" s="1372">
        <f t="shared" si="36"/>
        <v>0</v>
      </c>
      <c r="BU13" s="1372">
        <f t="shared" si="37"/>
        <v>0</v>
      </c>
      <c r="BV13" s="1372">
        <f t="shared" si="38"/>
        <v>0</v>
      </c>
      <c r="BW13" s="1372">
        <f t="shared" si="39"/>
        <v>0</v>
      </c>
      <c r="BX13" s="1372">
        <f t="shared" si="40"/>
        <v>0</v>
      </c>
      <c r="BY13" s="1372">
        <f t="shared" si="41"/>
        <v>0</v>
      </c>
      <c r="BZ13" s="1372">
        <f t="shared" si="42"/>
        <v>0</v>
      </c>
      <c r="CA13" s="1372">
        <f t="shared" si="43"/>
        <v>0</v>
      </c>
      <c r="CB13" s="1404">
        <f t="shared" si="44"/>
        <v>0</v>
      </c>
      <c r="CC13" s="1374">
        <f t="shared" si="98"/>
        <v>0</v>
      </c>
      <c r="CD13" s="1374">
        <f t="shared" si="45"/>
        <v>0</v>
      </c>
      <c r="CE13" s="1374">
        <f t="shared" si="46"/>
        <v>0</v>
      </c>
      <c r="CF13" s="1378">
        <f t="shared" si="47"/>
        <v>0</v>
      </c>
      <c r="CG13" s="1378">
        <f t="shared" si="48"/>
        <v>0</v>
      </c>
      <c r="CH13" s="1378">
        <f t="shared" si="49"/>
        <v>0</v>
      </c>
      <c r="CI13" s="1374">
        <f t="shared" si="50"/>
        <v>0</v>
      </c>
      <c r="CJ13" s="1374">
        <f t="shared" si="51"/>
        <v>0</v>
      </c>
      <c r="CK13" s="1374" t="str">
        <f t="shared" si="52"/>
        <v/>
      </c>
      <c r="CL13" s="1374">
        <f t="shared" si="53"/>
        <v>0</v>
      </c>
      <c r="CM13" s="1379">
        <f t="shared" si="54"/>
        <v>0</v>
      </c>
      <c r="CN13" s="628">
        <f>(BS13*Pricing!F$3+BT13*Pricing!G$3+BU13*Pricing!H$3+BV13*Pricing!I$3+BW13*Pricing!J$3+BX13*Pricing!K$3+BY13*Pricing!L$3+BZ13*Pricing!M$3+CA13*Pricing!N$3+CB13*Pricing!O$3)*IF(W$44="N",(1+Y$44),1)</f>
        <v>0</v>
      </c>
      <c r="CO13" s="628">
        <f t="shared" si="55"/>
        <v>0</v>
      </c>
      <c r="CP13" s="1380">
        <f t="shared" si="56"/>
        <v>0</v>
      </c>
      <c r="CQ13" s="628">
        <f t="shared" si="57"/>
        <v>0</v>
      </c>
      <c r="CR13" s="628">
        <f t="shared" si="58"/>
        <v>0</v>
      </c>
      <c r="CS13" s="628"/>
      <c r="CT13" s="1381">
        <f t="shared" si="59"/>
        <v>0</v>
      </c>
      <c r="CU13" s="628">
        <f t="shared" si="60"/>
        <v>0</v>
      </c>
      <c r="CV13" s="628">
        <f t="shared" si="61"/>
        <v>0</v>
      </c>
      <c r="CW13" s="628">
        <f t="shared" si="62"/>
        <v>0</v>
      </c>
      <c r="CX13" s="628">
        <f t="shared" si="63"/>
        <v>0</v>
      </c>
      <c r="CY13" s="628">
        <f t="shared" si="64"/>
        <v>0</v>
      </c>
      <c r="CZ13" s="628">
        <f t="shared" si="65"/>
        <v>0</v>
      </c>
      <c r="DA13" s="628">
        <f t="shared" si="66"/>
        <v>0</v>
      </c>
      <c r="DB13" s="628">
        <f t="shared" si="67"/>
        <v>0</v>
      </c>
      <c r="DC13" s="628">
        <f t="shared" si="68"/>
        <v>0</v>
      </c>
      <c r="DD13" s="628">
        <f t="shared" si="69"/>
        <v>0</v>
      </c>
      <c r="DE13" s="1382" t="e">
        <f t="shared" si="70"/>
        <v>#DIV/0!</v>
      </c>
      <c r="DF13" s="626">
        <f t="shared" si="71"/>
        <v>0</v>
      </c>
      <c r="DG13" s="626">
        <f t="shared" si="72"/>
        <v>0</v>
      </c>
      <c r="DH13" s="626">
        <f t="shared" si="73"/>
        <v>0</v>
      </c>
      <c r="DI13" s="626">
        <f t="shared" si="74"/>
        <v>0</v>
      </c>
      <c r="DJ13" s="626">
        <f t="shared" si="75"/>
        <v>0</v>
      </c>
      <c r="DK13" s="626">
        <f t="shared" si="76"/>
        <v>0</v>
      </c>
      <c r="DL13" s="626">
        <f t="shared" si="77"/>
        <v>0</v>
      </c>
      <c r="DM13" s="626">
        <f t="shared" si="78"/>
        <v>0</v>
      </c>
      <c r="DN13" s="626">
        <f t="shared" si="79"/>
        <v>0</v>
      </c>
      <c r="DO13" s="626">
        <f t="shared" si="80"/>
        <v>0</v>
      </c>
      <c r="DP13" s="1405">
        <f t="shared" si="81"/>
        <v>0</v>
      </c>
      <c r="DQ13" s="1270" t="str">
        <f t="shared" si="82"/>
        <v/>
      </c>
      <c r="DR13" s="1270" t="str">
        <f t="shared" si="83"/>
        <v/>
      </c>
      <c r="DS13" s="1270" t="str">
        <f t="shared" si="84"/>
        <v/>
      </c>
      <c r="DT13" s="1270" t="str">
        <f t="shared" si="85"/>
        <v/>
      </c>
      <c r="DU13" s="1270" t="str">
        <f t="shared" si="86"/>
        <v/>
      </c>
      <c r="DV13" s="1270" t="str">
        <f t="shared" si="87"/>
        <v/>
      </c>
      <c r="DW13" s="1270" t="str">
        <f t="shared" si="88"/>
        <v/>
      </c>
      <c r="DX13" s="1371">
        <f t="shared" si="89"/>
        <v>0</v>
      </c>
      <c r="DY13" s="1270" t="str">
        <f t="shared" si="90"/>
        <v/>
      </c>
      <c r="DZ13" s="1270" t="str">
        <f t="shared" si="91"/>
        <v/>
      </c>
      <c r="EA13" s="1270" t="str">
        <f t="shared" si="92"/>
        <v/>
      </c>
      <c r="EB13" s="1270" t="str">
        <f t="shared" si="93"/>
        <v/>
      </c>
      <c r="EC13" s="1270" t="str">
        <f t="shared" si="94"/>
        <v/>
      </c>
      <c r="ED13" s="1270" t="str">
        <f t="shared" si="95"/>
        <v/>
      </c>
      <c r="EE13" s="1270" t="str">
        <f t="shared" si="96"/>
        <v/>
      </c>
      <c r="EF13" s="1371">
        <f t="shared" si="97"/>
        <v>0</v>
      </c>
    </row>
    <row r="14" spans="1:136" ht="19.5" customHeight="1">
      <c r="A14" s="18" t="s">
        <v>1072</v>
      </c>
      <c r="B14" s="1341"/>
      <c r="C14" s="1386"/>
      <c r="D14" s="1343"/>
      <c r="E14" s="1344"/>
      <c r="F14" s="984"/>
      <c r="G14" s="1389"/>
      <c r="H14" s="984"/>
      <c r="I14" s="1389"/>
      <c r="J14" s="984"/>
      <c r="K14" s="1390"/>
      <c r="L14" s="1359"/>
      <c r="M14" s="1348"/>
      <c r="N14" s="1406"/>
      <c r="O14" s="1407"/>
      <c r="P14" s="1351">
        <f t="shared" si="0"/>
        <v>0</v>
      </c>
      <c r="Q14" s="1352">
        <f t="shared" si="1"/>
        <v>0</v>
      </c>
      <c r="R14" s="1353">
        <f t="shared" si="2"/>
        <v>0</v>
      </c>
      <c r="S14" s="1354" t="e">
        <f t="shared" si="3"/>
        <v>#DIV/0!</v>
      </c>
      <c r="T14" s="1355">
        <f t="shared" si="4"/>
        <v>0</v>
      </c>
      <c r="U14" s="1356">
        <f t="shared" si="5"/>
        <v>0</v>
      </c>
      <c r="V14" s="1357">
        <f t="shared" si="6"/>
        <v>0</v>
      </c>
      <c r="W14" s="503"/>
      <c r="X14" s="1362"/>
      <c r="Y14" s="503"/>
      <c r="Z14" s="1410"/>
      <c r="AA14" s="503"/>
      <c r="AB14" s="1410"/>
      <c r="AC14" s="1361"/>
      <c r="AD14" s="1362"/>
      <c r="AE14" s="1347"/>
      <c r="AF14" s="1363"/>
      <c r="AG14" s="1364"/>
      <c r="AH14" s="1363"/>
      <c r="AI14" s="1365"/>
      <c r="AJ14" s="1366"/>
      <c r="AK14" s="1367"/>
      <c r="AL14" s="1363"/>
      <c r="AM14" s="503"/>
      <c r="AN14" s="1411"/>
      <c r="AO14" s="503"/>
      <c r="AP14" s="1410"/>
      <c r="AQ14" s="1275" t="e">
        <f t="shared" si="7"/>
        <v>#DIV/0!</v>
      </c>
      <c r="AR14" s="1369" t="str">
        <f t="shared" si="8"/>
        <v/>
      </c>
      <c r="AS14" s="1270" t="str">
        <f t="shared" si="9"/>
        <v/>
      </c>
      <c r="AT14" s="1270" t="str">
        <f t="shared" si="10"/>
        <v/>
      </c>
      <c r="AU14" s="1270" t="str">
        <f t="shared" si="11"/>
        <v/>
      </c>
      <c r="AV14" s="1270" t="str">
        <f t="shared" si="12"/>
        <v/>
      </c>
      <c r="AW14" s="1270" t="str">
        <f t="shared" si="13"/>
        <v/>
      </c>
      <c r="AX14" s="1270" t="str">
        <f t="shared" si="14"/>
        <v/>
      </c>
      <c r="AY14" s="1270" t="str">
        <f t="shared" si="15"/>
        <v/>
      </c>
      <c r="AZ14" s="1270" t="str">
        <f t="shared" si="16"/>
        <v/>
      </c>
      <c r="BA14" s="1270" t="str">
        <f t="shared" si="17"/>
        <v/>
      </c>
      <c r="BB14" s="1371">
        <f t="shared" si="18"/>
        <v>0</v>
      </c>
      <c r="BC14" s="1369" t="str">
        <f t="shared" si="19"/>
        <v/>
      </c>
      <c r="BD14" s="1270" t="str">
        <f t="shared" si="20"/>
        <v/>
      </c>
      <c r="BE14" s="1270" t="str">
        <f t="shared" si="21"/>
        <v/>
      </c>
      <c r="BF14" s="1270" t="str">
        <f t="shared" si="22"/>
        <v/>
      </c>
      <c r="BG14" s="1270" t="str">
        <f t="shared" si="23"/>
        <v/>
      </c>
      <c r="BH14" s="1270" t="str">
        <f t="shared" si="24"/>
        <v/>
      </c>
      <c r="BI14" s="1270" t="str">
        <f t="shared" si="25"/>
        <v/>
      </c>
      <c r="BJ14" s="1270" t="str">
        <f t="shared" si="26"/>
        <v/>
      </c>
      <c r="BK14" s="1270" t="str">
        <f t="shared" si="27"/>
        <v/>
      </c>
      <c r="BL14" s="1270" t="str">
        <f t="shared" si="28"/>
        <v/>
      </c>
      <c r="BM14" s="1371">
        <f t="shared" si="29"/>
        <v>0</v>
      </c>
      <c r="BN14" s="1372">
        <f t="shared" si="30"/>
        <v>0</v>
      </c>
      <c r="BO14" s="1372">
        <f t="shared" si="31"/>
        <v>0</v>
      </c>
      <c r="BP14" s="1372">
        <f t="shared" si="32"/>
        <v>0</v>
      </c>
      <c r="BQ14" s="1374">
        <f t="shared" si="33"/>
        <v>0</v>
      </c>
      <c r="BR14" s="1251">
        <f t="shared" si="34"/>
        <v>0</v>
      </c>
      <c r="BS14" s="1403">
        <f t="shared" si="35"/>
        <v>0</v>
      </c>
      <c r="BT14" s="1372">
        <f t="shared" si="36"/>
        <v>0</v>
      </c>
      <c r="BU14" s="1372">
        <f t="shared" si="37"/>
        <v>0</v>
      </c>
      <c r="BV14" s="1372">
        <f t="shared" si="38"/>
        <v>0</v>
      </c>
      <c r="BW14" s="1372">
        <f t="shared" si="39"/>
        <v>0</v>
      </c>
      <c r="BX14" s="1372">
        <f t="shared" si="40"/>
        <v>0</v>
      </c>
      <c r="BY14" s="1372">
        <f t="shared" si="41"/>
        <v>0</v>
      </c>
      <c r="BZ14" s="1372">
        <f t="shared" si="42"/>
        <v>0</v>
      </c>
      <c r="CA14" s="1372">
        <f t="shared" si="43"/>
        <v>0</v>
      </c>
      <c r="CB14" s="1404">
        <f t="shared" si="44"/>
        <v>0</v>
      </c>
      <c r="CC14" s="1374">
        <f t="shared" si="98"/>
        <v>0</v>
      </c>
      <c r="CD14" s="1374">
        <f t="shared" si="45"/>
        <v>0</v>
      </c>
      <c r="CE14" s="1374">
        <f t="shared" si="46"/>
        <v>0</v>
      </c>
      <c r="CF14" s="1378">
        <f t="shared" si="47"/>
        <v>0</v>
      </c>
      <c r="CG14" s="1378">
        <f t="shared" si="48"/>
        <v>0</v>
      </c>
      <c r="CH14" s="1378">
        <f t="shared" si="49"/>
        <v>0</v>
      </c>
      <c r="CI14" s="1374">
        <f t="shared" si="50"/>
        <v>0</v>
      </c>
      <c r="CJ14" s="1374">
        <f t="shared" si="51"/>
        <v>0</v>
      </c>
      <c r="CK14" s="1374" t="str">
        <f t="shared" si="52"/>
        <v/>
      </c>
      <c r="CL14" s="1374">
        <f t="shared" si="53"/>
        <v>0</v>
      </c>
      <c r="CM14" s="1379">
        <f t="shared" si="54"/>
        <v>0</v>
      </c>
      <c r="CN14" s="628">
        <f>(BS14*Pricing!F$3+BT14*Pricing!G$3+BU14*Pricing!H$3+BV14*Pricing!I$3+BW14*Pricing!J$3+BX14*Pricing!K$3+BY14*Pricing!L$3+BZ14*Pricing!M$3+CA14*Pricing!N$3+CB14*Pricing!O$3)*IF(W$44="N",(1+Y$44),1)</f>
        <v>0</v>
      </c>
      <c r="CO14" s="628">
        <f t="shared" si="55"/>
        <v>0</v>
      </c>
      <c r="CP14" s="1380">
        <f t="shared" si="56"/>
        <v>0</v>
      </c>
      <c r="CQ14" s="628">
        <f t="shared" si="57"/>
        <v>0</v>
      </c>
      <c r="CR14" s="628">
        <f t="shared" si="58"/>
        <v>0</v>
      </c>
      <c r="CS14" s="628"/>
      <c r="CT14" s="1381">
        <f t="shared" si="59"/>
        <v>0</v>
      </c>
      <c r="CU14" s="628">
        <f t="shared" si="60"/>
        <v>0</v>
      </c>
      <c r="CV14" s="628">
        <f t="shared" si="61"/>
        <v>0</v>
      </c>
      <c r="CW14" s="628">
        <f t="shared" si="62"/>
        <v>0</v>
      </c>
      <c r="CX14" s="628">
        <f t="shared" si="63"/>
        <v>0</v>
      </c>
      <c r="CY14" s="628">
        <f t="shared" si="64"/>
        <v>0</v>
      </c>
      <c r="CZ14" s="628">
        <f t="shared" si="65"/>
        <v>0</v>
      </c>
      <c r="DA14" s="628">
        <f t="shared" si="66"/>
        <v>0</v>
      </c>
      <c r="DB14" s="628">
        <f t="shared" si="67"/>
        <v>0</v>
      </c>
      <c r="DC14" s="628">
        <f t="shared" si="68"/>
        <v>0</v>
      </c>
      <c r="DD14" s="628">
        <f t="shared" si="69"/>
        <v>0</v>
      </c>
      <c r="DE14" s="1382" t="e">
        <f t="shared" si="70"/>
        <v>#DIV/0!</v>
      </c>
      <c r="DF14" s="626">
        <f t="shared" si="71"/>
        <v>0</v>
      </c>
      <c r="DG14" s="626">
        <f t="shared" si="72"/>
        <v>0</v>
      </c>
      <c r="DH14" s="626">
        <f t="shared" si="73"/>
        <v>0</v>
      </c>
      <c r="DI14" s="626">
        <f t="shared" si="74"/>
        <v>0</v>
      </c>
      <c r="DJ14" s="626">
        <f t="shared" si="75"/>
        <v>0</v>
      </c>
      <c r="DK14" s="626">
        <f t="shared" si="76"/>
        <v>0</v>
      </c>
      <c r="DL14" s="626">
        <f t="shared" si="77"/>
        <v>0</v>
      </c>
      <c r="DM14" s="626">
        <f t="shared" si="78"/>
        <v>0</v>
      </c>
      <c r="DN14" s="626">
        <f t="shared" si="79"/>
        <v>0</v>
      </c>
      <c r="DO14" s="626">
        <f t="shared" si="80"/>
        <v>0</v>
      </c>
      <c r="DP14" s="1405">
        <f t="shared" si="81"/>
        <v>0</v>
      </c>
      <c r="DQ14" s="1270" t="str">
        <f t="shared" si="82"/>
        <v/>
      </c>
      <c r="DR14" s="1270" t="str">
        <f t="shared" si="83"/>
        <v/>
      </c>
      <c r="DS14" s="1270" t="str">
        <f t="shared" si="84"/>
        <v/>
      </c>
      <c r="DT14" s="1270" t="str">
        <f t="shared" si="85"/>
        <v/>
      </c>
      <c r="DU14" s="1270" t="str">
        <f t="shared" si="86"/>
        <v/>
      </c>
      <c r="DV14" s="1270" t="str">
        <f t="shared" si="87"/>
        <v/>
      </c>
      <c r="DW14" s="1270" t="str">
        <f t="shared" si="88"/>
        <v/>
      </c>
      <c r="DX14" s="1371">
        <f t="shared" si="89"/>
        <v>0</v>
      </c>
      <c r="DY14" s="1270" t="str">
        <f t="shared" si="90"/>
        <v/>
      </c>
      <c r="DZ14" s="1270" t="str">
        <f t="shared" si="91"/>
        <v/>
      </c>
      <c r="EA14" s="1270" t="str">
        <f t="shared" si="92"/>
        <v/>
      </c>
      <c r="EB14" s="1270" t="str">
        <f t="shared" si="93"/>
        <v/>
      </c>
      <c r="EC14" s="1270" t="str">
        <f t="shared" si="94"/>
        <v/>
      </c>
      <c r="ED14" s="1270" t="str">
        <f t="shared" si="95"/>
        <v/>
      </c>
      <c r="EE14" s="1270" t="str">
        <f t="shared" si="96"/>
        <v/>
      </c>
      <c r="EF14" s="1371">
        <f t="shared" si="97"/>
        <v>0</v>
      </c>
    </row>
    <row r="15" spans="1:136" ht="19.5" customHeight="1">
      <c r="A15" s="18" t="s">
        <v>1073</v>
      </c>
      <c r="B15" s="1385"/>
      <c r="C15" s="1386"/>
      <c r="D15" s="1387"/>
      <c r="E15" s="1388"/>
      <c r="F15" s="984"/>
      <c r="G15" s="1389"/>
      <c r="H15" s="984"/>
      <c r="I15" s="1389"/>
      <c r="J15" s="984"/>
      <c r="K15" s="1390"/>
      <c r="L15" s="1391"/>
      <c r="M15" s="1392"/>
      <c r="N15" s="1393"/>
      <c r="O15" s="1394"/>
      <c r="P15" s="1351">
        <f t="shared" si="0"/>
        <v>0</v>
      </c>
      <c r="Q15" s="1352">
        <f t="shared" si="1"/>
        <v>0</v>
      </c>
      <c r="R15" s="1353">
        <f t="shared" si="2"/>
        <v>0</v>
      </c>
      <c r="S15" s="1354" t="e">
        <f t="shared" si="3"/>
        <v>#DIV/0!</v>
      </c>
      <c r="T15" s="1355">
        <f t="shared" si="4"/>
        <v>0</v>
      </c>
      <c r="U15" s="1356">
        <f t="shared" si="5"/>
        <v>0</v>
      </c>
      <c r="V15" s="1357">
        <f t="shared" si="6"/>
        <v>0</v>
      </c>
      <c r="W15" s="1395"/>
      <c r="X15" s="1396"/>
      <c r="Y15" s="503"/>
      <c r="Z15" s="1410"/>
      <c r="AA15" s="503"/>
      <c r="AB15" s="1410"/>
      <c r="AC15" s="1398"/>
      <c r="AD15" s="1396"/>
      <c r="AE15" s="1395"/>
      <c r="AF15" s="1399"/>
      <c r="AG15" s="1400"/>
      <c r="AH15" s="1399"/>
      <c r="AI15" s="1401"/>
      <c r="AJ15" s="1396"/>
      <c r="AK15" s="1412"/>
      <c r="AL15" s="1399"/>
      <c r="AM15" s="503"/>
      <c r="AN15" s="1411"/>
      <c r="AO15" s="503"/>
      <c r="AP15" s="1410"/>
      <c r="AQ15" s="1275" t="e">
        <f t="shared" si="7"/>
        <v>#DIV/0!</v>
      </c>
      <c r="AR15" s="1369" t="str">
        <f t="shared" si="8"/>
        <v/>
      </c>
      <c r="AS15" s="1270" t="str">
        <f t="shared" si="9"/>
        <v/>
      </c>
      <c r="AT15" s="1270" t="str">
        <f t="shared" si="10"/>
        <v/>
      </c>
      <c r="AU15" s="1270" t="str">
        <f t="shared" si="11"/>
        <v/>
      </c>
      <c r="AV15" s="1270" t="str">
        <f t="shared" si="12"/>
        <v/>
      </c>
      <c r="AW15" s="1270" t="str">
        <f t="shared" si="13"/>
        <v/>
      </c>
      <c r="AX15" s="1270" t="str">
        <f t="shared" si="14"/>
        <v/>
      </c>
      <c r="AY15" s="1270" t="str">
        <f t="shared" si="15"/>
        <v/>
      </c>
      <c r="AZ15" s="1270" t="str">
        <f t="shared" si="16"/>
        <v/>
      </c>
      <c r="BA15" s="1270" t="str">
        <f t="shared" si="17"/>
        <v/>
      </c>
      <c r="BB15" s="1371">
        <f t="shared" si="18"/>
        <v>0</v>
      </c>
      <c r="BC15" s="1369" t="str">
        <f t="shared" si="19"/>
        <v/>
      </c>
      <c r="BD15" s="1270" t="str">
        <f t="shared" si="20"/>
        <v/>
      </c>
      <c r="BE15" s="1270" t="str">
        <f t="shared" si="21"/>
        <v/>
      </c>
      <c r="BF15" s="1270" t="str">
        <f t="shared" si="22"/>
        <v/>
      </c>
      <c r="BG15" s="1270" t="str">
        <f t="shared" si="23"/>
        <v/>
      </c>
      <c r="BH15" s="1270" t="str">
        <f t="shared" si="24"/>
        <v/>
      </c>
      <c r="BI15" s="1270" t="str">
        <f t="shared" si="25"/>
        <v/>
      </c>
      <c r="BJ15" s="1270" t="str">
        <f t="shared" si="26"/>
        <v/>
      </c>
      <c r="BK15" s="1270" t="str">
        <f t="shared" si="27"/>
        <v/>
      </c>
      <c r="BL15" s="1270" t="str">
        <f t="shared" si="28"/>
        <v/>
      </c>
      <c r="BM15" s="1371">
        <f t="shared" si="29"/>
        <v>0</v>
      </c>
      <c r="BN15" s="1372">
        <f t="shared" si="30"/>
        <v>0</v>
      </c>
      <c r="BO15" s="1372">
        <f t="shared" si="31"/>
        <v>0</v>
      </c>
      <c r="BP15" s="1372">
        <f t="shared" si="32"/>
        <v>0</v>
      </c>
      <c r="BQ15" s="1374">
        <f t="shared" si="33"/>
        <v>0</v>
      </c>
      <c r="BR15" s="1251">
        <f t="shared" si="34"/>
        <v>0</v>
      </c>
      <c r="BS15" s="1403">
        <f t="shared" si="35"/>
        <v>0</v>
      </c>
      <c r="BT15" s="1372">
        <f t="shared" si="36"/>
        <v>0</v>
      </c>
      <c r="BU15" s="1372">
        <f t="shared" si="37"/>
        <v>0</v>
      </c>
      <c r="BV15" s="1372">
        <f t="shared" si="38"/>
        <v>0</v>
      </c>
      <c r="BW15" s="1372">
        <f t="shared" si="39"/>
        <v>0</v>
      </c>
      <c r="BX15" s="1372">
        <f t="shared" si="40"/>
        <v>0</v>
      </c>
      <c r="BY15" s="1372">
        <f t="shared" si="41"/>
        <v>0</v>
      </c>
      <c r="BZ15" s="1372">
        <f t="shared" si="42"/>
        <v>0</v>
      </c>
      <c r="CA15" s="1372">
        <f t="shared" si="43"/>
        <v>0</v>
      </c>
      <c r="CB15" s="1404">
        <f t="shared" si="44"/>
        <v>0</v>
      </c>
      <c r="CC15" s="1374">
        <f t="shared" si="98"/>
        <v>0</v>
      </c>
      <c r="CD15" s="1374">
        <f t="shared" si="45"/>
        <v>0</v>
      </c>
      <c r="CE15" s="1374">
        <f t="shared" si="46"/>
        <v>0</v>
      </c>
      <c r="CF15" s="1378">
        <f t="shared" si="47"/>
        <v>0</v>
      </c>
      <c r="CG15" s="1378">
        <f t="shared" si="48"/>
        <v>0</v>
      </c>
      <c r="CH15" s="1378">
        <f t="shared" si="49"/>
        <v>0</v>
      </c>
      <c r="CI15" s="1374">
        <f t="shared" si="50"/>
        <v>0</v>
      </c>
      <c r="CJ15" s="1374">
        <f t="shared" si="51"/>
        <v>0</v>
      </c>
      <c r="CK15" s="1374" t="str">
        <f t="shared" si="52"/>
        <v/>
      </c>
      <c r="CL15" s="1374">
        <f t="shared" si="53"/>
        <v>0</v>
      </c>
      <c r="CM15" s="1379">
        <f t="shared" si="54"/>
        <v>0</v>
      </c>
      <c r="CN15" s="628">
        <f>(BS15*Pricing!F$3+BT15*Pricing!G$3+BU15*Pricing!H$3+BV15*Pricing!I$3+BW15*Pricing!J$3+BX15*Pricing!K$3+BY15*Pricing!L$3+BZ15*Pricing!M$3+CA15*Pricing!N$3+CB15*Pricing!O$3)*IF(W$44="N",(1+Y$44),1)</f>
        <v>0</v>
      </c>
      <c r="CO15" s="628">
        <f t="shared" si="55"/>
        <v>0</v>
      </c>
      <c r="CP15" s="1380">
        <f t="shared" si="56"/>
        <v>0</v>
      </c>
      <c r="CQ15" s="628">
        <f t="shared" si="57"/>
        <v>0</v>
      </c>
      <c r="CR15" s="628">
        <f t="shared" si="58"/>
        <v>0</v>
      </c>
      <c r="CS15" s="628"/>
      <c r="CT15" s="1381">
        <f t="shared" si="59"/>
        <v>0</v>
      </c>
      <c r="CU15" s="628">
        <f t="shared" si="60"/>
        <v>0</v>
      </c>
      <c r="CV15" s="628">
        <f t="shared" si="61"/>
        <v>0</v>
      </c>
      <c r="CW15" s="628">
        <f t="shared" si="62"/>
        <v>0</v>
      </c>
      <c r="CX15" s="628">
        <f t="shared" si="63"/>
        <v>0</v>
      </c>
      <c r="CY15" s="628">
        <f t="shared" si="64"/>
        <v>0</v>
      </c>
      <c r="CZ15" s="628">
        <f t="shared" si="65"/>
        <v>0</v>
      </c>
      <c r="DA15" s="628">
        <f t="shared" si="66"/>
        <v>0</v>
      </c>
      <c r="DB15" s="628">
        <f t="shared" si="67"/>
        <v>0</v>
      </c>
      <c r="DC15" s="628">
        <f t="shared" si="68"/>
        <v>0</v>
      </c>
      <c r="DD15" s="628">
        <f t="shared" si="69"/>
        <v>0</v>
      </c>
      <c r="DE15" s="1382" t="e">
        <f t="shared" si="70"/>
        <v>#DIV/0!</v>
      </c>
      <c r="DF15" s="626">
        <f t="shared" si="71"/>
        <v>0</v>
      </c>
      <c r="DG15" s="626">
        <f t="shared" si="72"/>
        <v>0</v>
      </c>
      <c r="DH15" s="626">
        <f t="shared" si="73"/>
        <v>0</v>
      </c>
      <c r="DI15" s="626">
        <f t="shared" si="74"/>
        <v>0</v>
      </c>
      <c r="DJ15" s="626">
        <f t="shared" si="75"/>
        <v>0</v>
      </c>
      <c r="DK15" s="626">
        <f t="shared" si="76"/>
        <v>0</v>
      </c>
      <c r="DL15" s="626">
        <f t="shared" si="77"/>
        <v>0</v>
      </c>
      <c r="DM15" s="626">
        <f t="shared" si="78"/>
        <v>0</v>
      </c>
      <c r="DN15" s="626">
        <f t="shared" si="79"/>
        <v>0</v>
      </c>
      <c r="DO15" s="626">
        <f t="shared" si="80"/>
        <v>0</v>
      </c>
      <c r="DP15" s="1405">
        <f t="shared" si="81"/>
        <v>0</v>
      </c>
      <c r="DQ15" s="1270" t="str">
        <f t="shared" si="82"/>
        <v/>
      </c>
      <c r="DR15" s="1270" t="str">
        <f t="shared" si="83"/>
        <v/>
      </c>
      <c r="DS15" s="1270" t="str">
        <f t="shared" si="84"/>
        <v/>
      </c>
      <c r="DT15" s="1270" t="str">
        <f t="shared" si="85"/>
        <v/>
      </c>
      <c r="DU15" s="1270" t="str">
        <f t="shared" si="86"/>
        <v/>
      </c>
      <c r="DV15" s="1270" t="str">
        <f t="shared" si="87"/>
        <v/>
      </c>
      <c r="DW15" s="1270" t="str">
        <f t="shared" si="88"/>
        <v/>
      </c>
      <c r="DX15" s="1371">
        <f t="shared" si="89"/>
        <v>0</v>
      </c>
      <c r="DY15" s="1270" t="str">
        <f t="shared" si="90"/>
        <v/>
      </c>
      <c r="DZ15" s="1270" t="str">
        <f t="shared" si="91"/>
        <v/>
      </c>
      <c r="EA15" s="1270" t="str">
        <f t="shared" si="92"/>
        <v/>
      </c>
      <c r="EB15" s="1270" t="str">
        <f t="shared" si="93"/>
        <v/>
      </c>
      <c r="EC15" s="1270" t="str">
        <f t="shared" si="94"/>
        <v/>
      </c>
      <c r="ED15" s="1270" t="str">
        <f t="shared" si="95"/>
        <v/>
      </c>
      <c r="EE15" s="1270" t="str">
        <f t="shared" si="96"/>
        <v/>
      </c>
      <c r="EF15" s="1371">
        <f t="shared" si="97"/>
        <v>0</v>
      </c>
    </row>
    <row r="16" spans="1:136" ht="18" customHeight="1">
      <c r="A16" s="18" t="s">
        <v>1074</v>
      </c>
      <c r="B16" s="859"/>
      <c r="C16" s="1342"/>
      <c r="D16" s="1343"/>
      <c r="E16" s="1344"/>
      <c r="F16" s="1206"/>
      <c r="G16" s="1389"/>
      <c r="H16" s="1206"/>
      <c r="I16" s="1345"/>
      <c r="J16" s="1206"/>
      <c r="K16" s="1346"/>
      <c r="L16" s="503"/>
      <c r="M16" s="834"/>
      <c r="N16" s="1349"/>
      <c r="O16" s="1350"/>
      <c r="P16" s="1351">
        <f t="shared" si="0"/>
        <v>0</v>
      </c>
      <c r="Q16" s="1352">
        <f t="shared" si="1"/>
        <v>0</v>
      </c>
      <c r="R16" s="1353">
        <f t="shared" si="2"/>
        <v>0</v>
      </c>
      <c r="S16" s="1354" t="e">
        <f t="shared" si="3"/>
        <v>#DIV/0!</v>
      </c>
      <c r="T16" s="1355">
        <f t="shared" si="4"/>
        <v>0</v>
      </c>
      <c r="U16" s="1356">
        <f t="shared" si="5"/>
        <v>0</v>
      </c>
      <c r="V16" s="1357">
        <f t="shared" si="6"/>
        <v>0</v>
      </c>
      <c r="W16" s="503"/>
      <c r="X16" s="1362"/>
      <c r="Y16" s="1347"/>
      <c r="Z16" s="1360"/>
      <c r="AA16" s="1347"/>
      <c r="AB16" s="1360"/>
      <c r="AC16" s="1361"/>
      <c r="AD16" s="1362"/>
      <c r="AE16" s="1347"/>
      <c r="AF16" s="1363"/>
      <c r="AG16" s="1364"/>
      <c r="AH16" s="1363"/>
      <c r="AI16" s="1365"/>
      <c r="AJ16" s="1366"/>
      <c r="AK16" s="1367"/>
      <c r="AL16" s="1363"/>
      <c r="AM16" s="1347"/>
      <c r="AN16" s="1368"/>
      <c r="AO16" s="1347"/>
      <c r="AP16" s="1360"/>
      <c r="AQ16" s="1275" t="e">
        <f t="shared" si="7"/>
        <v>#DIV/0!</v>
      </c>
      <c r="AR16" s="1369" t="str">
        <f t="shared" si="8"/>
        <v/>
      </c>
      <c r="AS16" s="1270" t="str">
        <f t="shared" si="9"/>
        <v/>
      </c>
      <c r="AT16" s="1270" t="str">
        <f t="shared" si="10"/>
        <v/>
      </c>
      <c r="AU16" s="1270" t="str">
        <f t="shared" si="11"/>
        <v/>
      </c>
      <c r="AV16" s="1270" t="str">
        <f t="shared" si="12"/>
        <v/>
      </c>
      <c r="AW16" s="1270" t="str">
        <f t="shared" si="13"/>
        <v/>
      </c>
      <c r="AX16" s="1270" t="str">
        <f t="shared" si="14"/>
        <v/>
      </c>
      <c r="AY16" s="1270" t="str">
        <f t="shared" si="15"/>
        <v/>
      </c>
      <c r="AZ16" s="1270" t="str">
        <f t="shared" si="16"/>
        <v/>
      </c>
      <c r="BA16" s="1270" t="str">
        <f t="shared" si="17"/>
        <v/>
      </c>
      <c r="BB16" s="1371">
        <f t="shared" si="18"/>
        <v>0</v>
      </c>
      <c r="BC16" s="1369" t="str">
        <f t="shared" si="19"/>
        <v/>
      </c>
      <c r="BD16" s="1270" t="str">
        <f t="shared" si="20"/>
        <v/>
      </c>
      <c r="BE16" s="1270" t="str">
        <f t="shared" si="21"/>
        <v/>
      </c>
      <c r="BF16" s="1270" t="str">
        <f t="shared" si="22"/>
        <v/>
      </c>
      <c r="BG16" s="1270" t="str">
        <f t="shared" si="23"/>
        <v/>
      </c>
      <c r="BH16" s="1270" t="str">
        <f t="shared" si="24"/>
        <v/>
      </c>
      <c r="BI16" s="1270" t="str">
        <f t="shared" si="25"/>
        <v/>
      </c>
      <c r="BJ16" s="1270" t="str">
        <f t="shared" si="26"/>
        <v/>
      </c>
      <c r="BK16" s="1270" t="str">
        <f t="shared" si="27"/>
        <v/>
      </c>
      <c r="BL16" s="1270" t="str">
        <f t="shared" si="28"/>
        <v/>
      </c>
      <c r="BM16" s="1371">
        <f t="shared" si="29"/>
        <v>0</v>
      </c>
      <c r="BN16" s="1372">
        <f t="shared" si="30"/>
        <v>0</v>
      </c>
      <c r="BO16" s="1372">
        <f t="shared" si="31"/>
        <v>0</v>
      </c>
      <c r="BP16" s="1372">
        <f t="shared" si="32"/>
        <v>0</v>
      </c>
      <c r="BQ16" s="1374">
        <f t="shared" si="33"/>
        <v>0</v>
      </c>
      <c r="BR16" s="1251">
        <f t="shared" si="34"/>
        <v>0</v>
      </c>
      <c r="BS16" s="1403">
        <f t="shared" si="35"/>
        <v>0</v>
      </c>
      <c r="BT16" s="1372">
        <f t="shared" si="36"/>
        <v>0</v>
      </c>
      <c r="BU16" s="1372">
        <f t="shared" si="37"/>
        <v>0</v>
      </c>
      <c r="BV16" s="1372">
        <f t="shared" si="38"/>
        <v>0</v>
      </c>
      <c r="BW16" s="1372">
        <f t="shared" si="39"/>
        <v>0</v>
      </c>
      <c r="BX16" s="1372">
        <f t="shared" si="40"/>
        <v>0</v>
      </c>
      <c r="BY16" s="1372">
        <f t="shared" si="41"/>
        <v>0</v>
      </c>
      <c r="BZ16" s="1372">
        <f t="shared" si="42"/>
        <v>0</v>
      </c>
      <c r="CA16" s="1372">
        <f t="shared" si="43"/>
        <v>0</v>
      </c>
      <c r="CB16" s="1404">
        <f t="shared" si="44"/>
        <v>0</v>
      </c>
      <c r="CC16" s="1374">
        <f t="shared" si="98"/>
        <v>0</v>
      </c>
      <c r="CD16" s="1374">
        <f t="shared" si="45"/>
        <v>0</v>
      </c>
      <c r="CE16" s="1374">
        <f t="shared" si="46"/>
        <v>0</v>
      </c>
      <c r="CF16" s="1378">
        <f t="shared" si="47"/>
        <v>0</v>
      </c>
      <c r="CG16" s="1378">
        <f t="shared" si="48"/>
        <v>0</v>
      </c>
      <c r="CH16" s="1378">
        <f t="shared" si="49"/>
        <v>0</v>
      </c>
      <c r="CI16" s="1374">
        <f t="shared" si="50"/>
        <v>0</v>
      </c>
      <c r="CJ16" s="1374">
        <f t="shared" si="51"/>
        <v>0</v>
      </c>
      <c r="CK16" s="1374" t="str">
        <f t="shared" si="52"/>
        <v/>
      </c>
      <c r="CL16" s="1374">
        <f t="shared" si="53"/>
        <v>0</v>
      </c>
      <c r="CM16" s="1379">
        <f t="shared" si="54"/>
        <v>0</v>
      </c>
      <c r="CN16" s="628">
        <f>(BS16*Pricing!F$3+BT16*Pricing!G$3+BU16*Pricing!H$3+BV16*Pricing!I$3+BW16*Pricing!J$3+BX16*Pricing!K$3+BY16*Pricing!L$3+BZ16*Pricing!M$3+CA16*Pricing!N$3+CB16*Pricing!O$3)*IF(W$44="N",(1+Y$44),1)</f>
        <v>0</v>
      </c>
      <c r="CO16" s="628">
        <f t="shared" si="55"/>
        <v>0</v>
      </c>
      <c r="CP16" s="1380">
        <f t="shared" si="56"/>
        <v>0</v>
      </c>
      <c r="CQ16" s="628">
        <f t="shared" si="57"/>
        <v>0</v>
      </c>
      <c r="CR16" s="628">
        <f t="shared" si="58"/>
        <v>0</v>
      </c>
      <c r="CS16" s="628"/>
      <c r="CT16" s="1381">
        <f t="shared" si="59"/>
        <v>0</v>
      </c>
      <c r="CU16" s="628">
        <f t="shared" si="60"/>
        <v>0</v>
      </c>
      <c r="CV16" s="628">
        <f t="shared" si="61"/>
        <v>0</v>
      </c>
      <c r="CW16" s="628">
        <f t="shared" si="62"/>
        <v>0</v>
      </c>
      <c r="CX16" s="628">
        <f t="shared" si="63"/>
        <v>0</v>
      </c>
      <c r="CY16" s="628">
        <f t="shared" si="64"/>
        <v>0</v>
      </c>
      <c r="CZ16" s="628">
        <f t="shared" si="65"/>
        <v>0</v>
      </c>
      <c r="DA16" s="628">
        <f t="shared" si="66"/>
        <v>0</v>
      </c>
      <c r="DB16" s="628">
        <f t="shared" si="67"/>
        <v>0</v>
      </c>
      <c r="DC16" s="628">
        <f t="shared" si="68"/>
        <v>0</v>
      </c>
      <c r="DD16" s="628">
        <f t="shared" si="69"/>
        <v>0</v>
      </c>
      <c r="DE16" s="1382" t="e">
        <f t="shared" si="70"/>
        <v>#DIV/0!</v>
      </c>
      <c r="DF16" s="626">
        <f t="shared" si="71"/>
        <v>0</v>
      </c>
      <c r="DG16" s="626">
        <f t="shared" si="72"/>
        <v>0</v>
      </c>
      <c r="DH16" s="626">
        <f t="shared" si="73"/>
        <v>0</v>
      </c>
      <c r="DI16" s="626">
        <f t="shared" si="74"/>
        <v>0</v>
      </c>
      <c r="DJ16" s="626">
        <f t="shared" si="75"/>
        <v>0</v>
      </c>
      <c r="DK16" s="626">
        <f t="shared" si="76"/>
        <v>0</v>
      </c>
      <c r="DL16" s="626">
        <f t="shared" si="77"/>
        <v>0</v>
      </c>
      <c r="DM16" s="626">
        <f t="shared" si="78"/>
        <v>0</v>
      </c>
      <c r="DN16" s="626">
        <f t="shared" si="79"/>
        <v>0</v>
      </c>
      <c r="DO16" s="626">
        <f t="shared" si="80"/>
        <v>0</v>
      </c>
      <c r="DP16" s="1405">
        <f t="shared" si="81"/>
        <v>0</v>
      </c>
      <c r="DQ16" s="1270" t="str">
        <f t="shared" si="82"/>
        <v/>
      </c>
      <c r="DR16" s="1270" t="str">
        <f t="shared" si="83"/>
        <v/>
      </c>
      <c r="DS16" s="1270" t="str">
        <f t="shared" si="84"/>
        <v/>
      </c>
      <c r="DT16" s="1270" t="str">
        <f t="shared" si="85"/>
        <v/>
      </c>
      <c r="DU16" s="1270" t="str">
        <f t="shared" si="86"/>
        <v/>
      </c>
      <c r="DV16" s="1270" t="str">
        <f t="shared" si="87"/>
        <v/>
      </c>
      <c r="DW16" s="1270" t="str">
        <f t="shared" si="88"/>
        <v/>
      </c>
      <c r="DX16" s="1371">
        <f t="shared" si="89"/>
        <v>0</v>
      </c>
      <c r="DY16" s="1270" t="str">
        <f t="shared" si="90"/>
        <v/>
      </c>
      <c r="DZ16" s="1270" t="str">
        <f t="shared" si="91"/>
        <v/>
      </c>
      <c r="EA16" s="1270" t="str">
        <f t="shared" si="92"/>
        <v/>
      </c>
      <c r="EB16" s="1270" t="str">
        <f t="shared" si="93"/>
        <v/>
      </c>
      <c r="EC16" s="1270" t="str">
        <f t="shared" si="94"/>
        <v/>
      </c>
      <c r="ED16" s="1270" t="str">
        <f t="shared" si="95"/>
        <v/>
      </c>
      <c r="EE16" s="1270" t="str">
        <f t="shared" si="96"/>
        <v/>
      </c>
      <c r="EF16" s="1371">
        <f t="shared" si="97"/>
        <v>0</v>
      </c>
    </row>
    <row r="17" spans="1:136" ht="19.5" customHeight="1">
      <c r="A17" s="18" t="s">
        <v>1075</v>
      </c>
      <c r="B17" s="1385"/>
      <c r="C17" s="1386"/>
      <c r="D17" s="1387"/>
      <c r="E17" s="1388"/>
      <c r="F17" s="1206"/>
      <c r="G17" s="1389"/>
      <c r="H17" s="1206"/>
      <c r="I17" s="1345"/>
      <c r="J17" s="1206"/>
      <c r="K17" s="1346"/>
      <c r="L17" s="1395"/>
      <c r="M17" s="1392"/>
      <c r="N17" s="1393"/>
      <c r="O17" s="1394"/>
      <c r="P17" s="1351">
        <f t="shared" si="0"/>
        <v>0</v>
      </c>
      <c r="Q17" s="1352">
        <f t="shared" si="1"/>
        <v>0</v>
      </c>
      <c r="R17" s="1353">
        <f t="shared" si="2"/>
        <v>0</v>
      </c>
      <c r="S17" s="1354" t="e">
        <f t="shared" si="3"/>
        <v>#DIV/0!</v>
      </c>
      <c r="T17" s="1355">
        <f t="shared" si="4"/>
        <v>0</v>
      </c>
      <c r="U17" s="1356">
        <f t="shared" si="5"/>
        <v>0</v>
      </c>
      <c r="V17" s="1357">
        <f t="shared" si="6"/>
        <v>0</v>
      </c>
      <c r="W17" s="1395"/>
      <c r="X17" s="1396"/>
      <c r="Y17" s="1395"/>
      <c r="Z17" s="1397"/>
      <c r="AA17" s="1395"/>
      <c r="AB17" s="1397"/>
      <c r="AC17" s="1398"/>
      <c r="AD17" s="1396"/>
      <c r="AE17" s="1395"/>
      <c r="AF17" s="1399"/>
      <c r="AG17" s="1400"/>
      <c r="AH17" s="1399"/>
      <c r="AI17" s="1401"/>
      <c r="AJ17" s="1396"/>
      <c r="AK17" s="1401"/>
      <c r="AL17" s="1399"/>
      <c r="AM17" s="1395"/>
      <c r="AN17" s="1402"/>
      <c r="AO17" s="1395"/>
      <c r="AP17" s="1397"/>
      <c r="AQ17" s="1275" t="e">
        <f t="shared" si="7"/>
        <v>#DIV/0!</v>
      </c>
      <c r="AR17" s="1369" t="str">
        <f t="shared" si="8"/>
        <v/>
      </c>
      <c r="AS17" s="1270" t="str">
        <f t="shared" si="9"/>
        <v/>
      </c>
      <c r="AT17" s="1270" t="str">
        <f t="shared" si="10"/>
        <v/>
      </c>
      <c r="AU17" s="1270" t="str">
        <f t="shared" si="11"/>
        <v/>
      </c>
      <c r="AV17" s="1270" t="str">
        <f t="shared" si="12"/>
        <v/>
      </c>
      <c r="AW17" s="1270" t="str">
        <f t="shared" si="13"/>
        <v/>
      </c>
      <c r="AX17" s="1270" t="str">
        <f t="shared" si="14"/>
        <v/>
      </c>
      <c r="AY17" s="1270" t="str">
        <f t="shared" si="15"/>
        <v/>
      </c>
      <c r="AZ17" s="1270" t="str">
        <f t="shared" si="16"/>
        <v/>
      </c>
      <c r="BA17" s="1270" t="str">
        <f t="shared" si="17"/>
        <v/>
      </c>
      <c r="BB17" s="1371">
        <f t="shared" si="18"/>
        <v>0</v>
      </c>
      <c r="BC17" s="1369" t="str">
        <f t="shared" si="19"/>
        <v/>
      </c>
      <c r="BD17" s="1270" t="str">
        <f t="shared" si="20"/>
        <v/>
      </c>
      <c r="BE17" s="1270" t="str">
        <f t="shared" si="21"/>
        <v/>
      </c>
      <c r="BF17" s="1270" t="str">
        <f t="shared" si="22"/>
        <v/>
      </c>
      <c r="BG17" s="1270" t="str">
        <f t="shared" si="23"/>
        <v/>
      </c>
      <c r="BH17" s="1270" t="str">
        <f t="shared" si="24"/>
        <v/>
      </c>
      <c r="BI17" s="1270" t="str">
        <f t="shared" si="25"/>
        <v/>
      </c>
      <c r="BJ17" s="1270" t="str">
        <f t="shared" si="26"/>
        <v/>
      </c>
      <c r="BK17" s="1270" t="str">
        <f t="shared" si="27"/>
        <v/>
      </c>
      <c r="BL17" s="1270" t="str">
        <f t="shared" si="28"/>
        <v/>
      </c>
      <c r="BM17" s="1371">
        <f t="shared" si="29"/>
        <v>0</v>
      </c>
      <c r="BN17" s="1372">
        <f t="shared" si="30"/>
        <v>0</v>
      </c>
      <c r="BO17" s="1372">
        <f t="shared" si="31"/>
        <v>0</v>
      </c>
      <c r="BP17" s="1372">
        <f t="shared" si="32"/>
        <v>0</v>
      </c>
      <c r="BQ17" s="1374">
        <f t="shared" si="33"/>
        <v>0</v>
      </c>
      <c r="BR17" s="1251">
        <f t="shared" si="34"/>
        <v>0</v>
      </c>
      <c r="BS17" s="1403">
        <f t="shared" si="35"/>
        <v>0</v>
      </c>
      <c r="BT17" s="1372">
        <f t="shared" si="36"/>
        <v>0</v>
      </c>
      <c r="BU17" s="1372">
        <f t="shared" si="37"/>
        <v>0</v>
      </c>
      <c r="BV17" s="1372">
        <f t="shared" si="38"/>
        <v>0</v>
      </c>
      <c r="BW17" s="1372">
        <f t="shared" si="39"/>
        <v>0</v>
      </c>
      <c r="BX17" s="1372">
        <f t="shared" si="40"/>
        <v>0</v>
      </c>
      <c r="BY17" s="1372">
        <f t="shared" si="41"/>
        <v>0</v>
      </c>
      <c r="BZ17" s="1372">
        <f t="shared" si="42"/>
        <v>0</v>
      </c>
      <c r="CA17" s="1372">
        <f t="shared" si="43"/>
        <v>0</v>
      </c>
      <c r="CB17" s="1404">
        <f t="shared" si="44"/>
        <v>0</v>
      </c>
      <c r="CC17" s="1374">
        <f t="shared" si="98"/>
        <v>0</v>
      </c>
      <c r="CD17" s="1374">
        <f t="shared" si="45"/>
        <v>0</v>
      </c>
      <c r="CE17" s="1374">
        <f t="shared" si="46"/>
        <v>0</v>
      </c>
      <c r="CF17" s="1378">
        <f t="shared" si="47"/>
        <v>0</v>
      </c>
      <c r="CG17" s="1378">
        <f t="shared" si="48"/>
        <v>0</v>
      </c>
      <c r="CH17" s="1378">
        <f t="shared" si="49"/>
        <v>0</v>
      </c>
      <c r="CI17" s="1374">
        <f t="shared" si="50"/>
        <v>0</v>
      </c>
      <c r="CJ17" s="1374">
        <f t="shared" si="51"/>
        <v>0</v>
      </c>
      <c r="CK17" s="1374" t="str">
        <f t="shared" si="52"/>
        <v/>
      </c>
      <c r="CL17" s="1374">
        <f t="shared" si="53"/>
        <v>0</v>
      </c>
      <c r="CM17" s="1379">
        <f t="shared" si="54"/>
        <v>0</v>
      </c>
      <c r="CN17" s="628">
        <f>(BS17*Pricing!F$3+BT17*Pricing!G$3+BU17*Pricing!H$3+BV17*Pricing!I$3+BW17*Pricing!J$3+BX17*Pricing!K$3+BY17*Pricing!L$3+BZ17*Pricing!M$3+CA17*Pricing!N$3+CB17*Pricing!O$3)*IF(W$44="N",(1+Y$44),1)</f>
        <v>0</v>
      </c>
      <c r="CO17" s="628">
        <f t="shared" si="55"/>
        <v>0</v>
      </c>
      <c r="CP17" s="1380">
        <f t="shared" si="56"/>
        <v>0</v>
      </c>
      <c r="CQ17" s="628">
        <f t="shared" si="57"/>
        <v>0</v>
      </c>
      <c r="CR17" s="628">
        <f t="shared" si="58"/>
        <v>0</v>
      </c>
      <c r="CS17" s="628"/>
      <c r="CT17" s="1381">
        <f t="shared" si="59"/>
        <v>0</v>
      </c>
      <c r="CU17" s="628">
        <f t="shared" si="60"/>
        <v>0</v>
      </c>
      <c r="CV17" s="628">
        <f t="shared" si="61"/>
        <v>0</v>
      </c>
      <c r="CW17" s="628">
        <f t="shared" si="62"/>
        <v>0</v>
      </c>
      <c r="CX17" s="628">
        <f t="shared" si="63"/>
        <v>0</v>
      </c>
      <c r="CY17" s="628">
        <f t="shared" si="64"/>
        <v>0</v>
      </c>
      <c r="CZ17" s="628">
        <f t="shared" si="65"/>
        <v>0</v>
      </c>
      <c r="DA17" s="628">
        <f t="shared" si="66"/>
        <v>0</v>
      </c>
      <c r="DB17" s="628">
        <f t="shared" si="67"/>
        <v>0</v>
      </c>
      <c r="DC17" s="628">
        <f t="shared" si="68"/>
        <v>0</v>
      </c>
      <c r="DD17" s="628">
        <f t="shared" si="69"/>
        <v>0</v>
      </c>
      <c r="DE17" s="1382" t="e">
        <f t="shared" si="70"/>
        <v>#DIV/0!</v>
      </c>
      <c r="DF17" s="626">
        <f t="shared" si="71"/>
        <v>0</v>
      </c>
      <c r="DG17" s="626">
        <f t="shared" si="72"/>
        <v>0</v>
      </c>
      <c r="DH17" s="626">
        <f t="shared" si="73"/>
        <v>0</v>
      </c>
      <c r="DI17" s="626">
        <f t="shared" si="74"/>
        <v>0</v>
      </c>
      <c r="DJ17" s="626">
        <f t="shared" si="75"/>
        <v>0</v>
      </c>
      <c r="DK17" s="626">
        <f t="shared" si="76"/>
        <v>0</v>
      </c>
      <c r="DL17" s="626">
        <f t="shared" si="77"/>
        <v>0</v>
      </c>
      <c r="DM17" s="626">
        <f t="shared" si="78"/>
        <v>0</v>
      </c>
      <c r="DN17" s="626">
        <f t="shared" si="79"/>
        <v>0</v>
      </c>
      <c r="DO17" s="626">
        <f t="shared" si="80"/>
        <v>0</v>
      </c>
      <c r="DP17" s="1405">
        <f t="shared" si="81"/>
        <v>0</v>
      </c>
      <c r="DQ17" s="1270" t="str">
        <f t="shared" si="82"/>
        <v/>
      </c>
      <c r="DR17" s="1270" t="str">
        <f t="shared" si="83"/>
        <v/>
      </c>
      <c r="DS17" s="1270" t="str">
        <f t="shared" si="84"/>
        <v/>
      </c>
      <c r="DT17" s="1270" t="str">
        <f t="shared" si="85"/>
        <v/>
      </c>
      <c r="DU17" s="1270" t="str">
        <f t="shared" si="86"/>
        <v/>
      </c>
      <c r="DV17" s="1270" t="str">
        <f t="shared" si="87"/>
        <v/>
      </c>
      <c r="DW17" s="1270" t="str">
        <f t="shared" si="88"/>
        <v/>
      </c>
      <c r="DX17" s="1371">
        <f t="shared" si="89"/>
        <v>0</v>
      </c>
      <c r="DY17" s="1270" t="str">
        <f t="shared" si="90"/>
        <v/>
      </c>
      <c r="DZ17" s="1270" t="str">
        <f t="shared" si="91"/>
        <v/>
      </c>
      <c r="EA17" s="1270" t="str">
        <f t="shared" si="92"/>
        <v/>
      </c>
      <c r="EB17" s="1270" t="str">
        <f t="shared" si="93"/>
        <v/>
      </c>
      <c r="EC17" s="1270" t="str">
        <f t="shared" si="94"/>
        <v/>
      </c>
      <c r="ED17" s="1270" t="str">
        <f t="shared" si="95"/>
        <v/>
      </c>
      <c r="EE17" s="1270" t="str">
        <f t="shared" si="96"/>
        <v/>
      </c>
      <c r="EF17" s="1371">
        <f t="shared" si="97"/>
        <v>0</v>
      </c>
    </row>
    <row r="18" spans="1:136" ht="19.5" customHeight="1">
      <c r="A18" s="18" t="s">
        <v>1076</v>
      </c>
      <c r="B18" s="859"/>
      <c r="C18" s="1342"/>
      <c r="D18" s="1343"/>
      <c r="E18" s="1344"/>
      <c r="F18" s="1206"/>
      <c r="G18" s="1389"/>
      <c r="H18" s="1206"/>
      <c r="I18" s="1345"/>
      <c r="J18" s="1206"/>
      <c r="K18" s="1346"/>
      <c r="L18" s="503"/>
      <c r="M18" s="834"/>
      <c r="N18" s="1349"/>
      <c r="O18" s="1350"/>
      <c r="P18" s="1351">
        <f t="shared" si="0"/>
        <v>0</v>
      </c>
      <c r="Q18" s="1352">
        <f t="shared" si="1"/>
        <v>0</v>
      </c>
      <c r="R18" s="1353">
        <f t="shared" si="2"/>
        <v>0</v>
      </c>
      <c r="S18" s="1354" t="e">
        <f t="shared" si="3"/>
        <v>#DIV/0!</v>
      </c>
      <c r="T18" s="1355">
        <f t="shared" si="4"/>
        <v>0</v>
      </c>
      <c r="U18" s="1356">
        <f t="shared" si="5"/>
        <v>0</v>
      </c>
      <c r="V18" s="1357">
        <f t="shared" si="6"/>
        <v>0</v>
      </c>
      <c r="W18" s="503"/>
      <c r="X18" s="1362"/>
      <c r="Y18" s="503"/>
      <c r="Z18" s="1410"/>
      <c r="AA18" s="503"/>
      <c r="AB18" s="1410"/>
      <c r="AC18" s="1361"/>
      <c r="AD18" s="1362"/>
      <c r="AE18" s="1347"/>
      <c r="AF18" s="1363"/>
      <c r="AG18" s="1364"/>
      <c r="AH18" s="1363"/>
      <c r="AI18" s="1365"/>
      <c r="AJ18" s="1366"/>
      <c r="AK18" s="1367"/>
      <c r="AL18" s="1363"/>
      <c r="AM18" s="503"/>
      <c r="AN18" s="1411"/>
      <c r="AO18" s="503"/>
      <c r="AP18" s="1410"/>
      <c r="AQ18" s="1275" t="e">
        <f t="shared" si="7"/>
        <v>#DIV/0!</v>
      </c>
      <c r="AR18" s="1369" t="str">
        <f t="shared" si="8"/>
        <v/>
      </c>
      <c r="AS18" s="1270" t="str">
        <f t="shared" si="9"/>
        <v/>
      </c>
      <c r="AT18" s="1270" t="str">
        <f t="shared" si="10"/>
        <v/>
      </c>
      <c r="AU18" s="1270" t="str">
        <f t="shared" si="11"/>
        <v/>
      </c>
      <c r="AV18" s="1270" t="str">
        <f t="shared" si="12"/>
        <v/>
      </c>
      <c r="AW18" s="1270" t="str">
        <f t="shared" si="13"/>
        <v/>
      </c>
      <c r="AX18" s="1270" t="str">
        <f t="shared" si="14"/>
        <v/>
      </c>
      <c r="AY18" s="1270" t="str">
        <f t="shared" si="15"/>
        <v/>
      </c>
      <c r="AZ18" s="1270" t="str">
        <f t="shared" si="16"/>
        <v/>
      </c>
      <c r="BA18" s="1270" t="str">
        <f t="shared" si="17"/>
        <v/>
      </c>
      <c r="BB18" s="1371">
        <f t="shared" si="18"/>
        <v>0</v>
      </c>
      <c r="BC18" s="1369" t="str">
        <f t="shared" si="19"/>
        <v/>
      </c>
      <c r="BD18" s="1270" t="str">
        <f t="shared" si="20"/>
        <v/>
      </c>
      <c r="BE18" s="1270" t="str">
        <f t="shared" si="21"/>
        <v/>
      </c>
      <c r="BF18" s="1270" t="str">
        <f t="shared" si="22"/>
        <v/>
      </c>
      <c r="BG18" s="1270" t="str">
        <f t="shared" si="23"/>
        <v/>
      </c>
      <c r="BH18" s="1270" t="str">
        <f t="shared" si="24"/>
        <v/>
      </c>
      <c r="BI18" s="1270" t="str">
        <f t="shared" si="25"/>
        <v/>
      </c>
      <c r="BJ18" s="1270" t="str">
        <f t="shared" si="26"/>
        <v/>
      </c>
      <c r="BK18" s="1270" t="str">
        <f t="shared" si="27"/>
        <v/>
      </c>
      <c r="BL18" s="1270" t="str">
        <f t="shared" si="28"/>
        <v/>
      </c>
      <c r="BM18" s="1371">
        <f t="shared" si="29"/>
        <v>0</v>
      </c>
      <c r="BN18" s="1372">
        <f t="shared" si="30"/>
        <v>0</v>
      </c>
      <c r="BO18" s="1372">
        <f t="shared" si="31"/>
        <v>0</v>
      </c>
      <c r="BP18" s="1372">
        <f t="shared" si="32"/>
        <v>0</v>
      </c>
      <c r="BQ18" s="1374">
        <f t="shared" si="33"/>
        <v>0</v>
      </c>
      <c r="BR18" s="1251">
        <f t="shared" si="34"/>
        <v>0</v>
      </c>
      <c r="BS18" s="1403">
        <f t="shared" si="35"/>
        <v>0</v>
      </c>
      <c r="BT18" s="1372">
        <f t="shared" si="36"/>
        <v>0</v>
      </c>
      <c r="BU18" s="1372">
        <f t="shared" si="37"/>
        <v>0</v>
      </c>
      <c r="BV18" s="1372">
        <f t="shared" si="38"/>
        <v>0</v>
      </c>
      <c r="BW18" s="1372">
        <f t="shared" si="39"/>
        <v>0</v>
      </c>
      <c r="BX18" s="1372">
        <f t="shared" si="40"/>
        <v>0</v>
      </c>
      <c r="BY18" s="1372">
        <f t="shared" si="41"/>
        <v>0</v>
      </c>
      <c r="BZ18" s="1372">
        <f t="shared" si="42"/>
        <v>0</v>
      </c>
      <c r="CA18" s="1372">
        <f t="shared" si="43"/>
        <v>0</v>
      </c>
      <c r="CB18" s="1404">
        <f t="shared" si="44"/>
        <v>0</v>
      </c>
      <c r="CC18" s="1374">
        <f t="shared" si="98"/>
        <v>0</v>
      </c>
      <c r="CD18" s="1374">
        <f t="shared" si="45"/>
        <v>0</v>
      </c>
      <c r="CE18" s="1374">
        <f t="shared" si="46"/>
        <v>0</v>
      </c>
      <c r="CF18" s="1378">
        <f t="shared" si="47"/>
        <v>0</v>
      </c>
      <c r="CG18" s="1378">
        <f t="shared" si="48"/>
        <v>0</v>
      </c>
      <c r="CH18" s="1378">
        <f t="shared" si="49"/>
        <v>0</v>
      </c>
      <c r="CI18" s="1374">
        <f t="shared" si="50"/>
        <v>0</v>
      </c>
      <c r="CJ18" s="1374">
        <f t="shared" si="51"/>
        <v>0</v>
      </c>
      <c r="CK18" s="1374" t="str">
        <f t="shared" si="52"/>
        <v/>
      </c>
      <c r="CL18" s="1374">
        <f t="shared" si="53"/>
        <v>0</v>
      </c>
      <c r="CM18" s="1379">
        <f t="shared" si="54"/>
        <v>0</v>
      </c>
      <c r="CN18" s="628">
        <f>(BS18*Pricing!F$3+BT18*Pricing!G$3+BU18*Pricing!H$3+BV18*Pricing!I$3+BW18*Pricing!J$3+BX18*Pricing!K$3+BY18*Pricing!L$3+BZ18*Pricing!M$3+CA18*Pricing!N$3+CB18*Pricing!O$3)*IF(W$44="N",(1+Y$44),1)</f>
        <v>0</v>
      </c>
      <c r="CO18" s="628">
        <f t="shared" si="55"/>
        <v>0</v>
      </c>
      <c r="CP18" s="1380">
        <f t="shared" si="56"/>
        <v>0</v>
      </c>
      <c r="CQ18" s="628">
        <f t="shared" si="57"/>
        <v>0</v>
      </c>
      <c r="CR18" s="628">
        <f t="shared" si="58"/>
        <v>0</v>
      </c>
      <c r="CS18" s="628"/>
      <c r="CT18" s="1381">
        <f t="shared" si="59"/>
        <v>0</v>
      </c>
      <c r="CU18" s="628">
        <f t="shared" si="60"/>
        <v>0</v>
      </c>
      <c r="CV18" s="628">
        <f t="shared" si="61"/>
        <v>0</v>
      </c>
      <c r="CW18" s="628">
        <f t="shared" si="62"/>
        <v>0</v>
      </c>
      <c r="CX18" s="628">
        <f t="shared" si="63"/>
        <v>0</v>
      </c>
      <c r="CY18" s="628">
        <f t="shared" si="64"/>
        <v>0</v>
      </c>
      <c r="CZ18" s="628">
        <f t="shared" si="65"/>
        <v>0</v>
      </c>
      <c r="DA18" s="628">
        <f t="shared" si="66"/>
        <v>0</v>
      </c>
      <c r="DB18" s="628">
        <f t="shared" si="67"/>
        <v>0</v>
      </c>
      <c r="DC18" s="628">
        <f t="shared" si="68"/>
        <v>0</v>
      </c>
      <c r="DD18" s="628">
        <f t="shared" si="69"/>
        <v>0</v>
      </c>
      <c r="DE18" s="1382" t="e">
        <f t="shared" si="70"/>
        <v>#DIV/0!</v>
      </c>
      <c r="DF18" s="626">
        <f t="shared" si="71"/>
        <v>0</v>
      </c>
      <c r="DG18" s="626">
        <f t="shared" si="72"/>
        <v>0</v>
      </c>
      <c r="DH18" s="626">
        <f t="shared" si="73"/>
        <v>0</v>
      </c>
      <c r="DI18" s="626">
        <f t="shared" si="74"/>
        <v>0</v>
      </c>
      <c r="DJ18" s="626">
        <f t="shared" si="75"/>
        <v>0</v>
      </c>
      <c r="DK18" s="626">
        <f t="shared" si="76"/>
        <v>0</v>
      </c>
      <c r="DL18" s="626">
        <f t="shared" si="77"/>
        <v>0</v>
      </c>
      <c r="DM18" s="626">
        <f t="shared" si="78"/>
        <v>0</v>
      </c>
      <c r="DN18" s="626">
        <f t="shared" si="79"/>
        <v>0</v>
      </c>
      <c r="DO18" s="626">
        <f t="shared" si="80"/>
        <v>0</v>
      </c>
      <c r="DP18" s="1405">
        <f t="shared" si="81"/>
        <v>0</v>
      </c>
      <c r="DQ18" s="1270" t="str">
        <f t="shared" si="82"/>
        <v/>
      </c>
      <c r="DR18" s="1270" t="str">
        <f t="shared" si="83"/>
        <v/>
      </c>
      <c r="DS18" s="1270" t="str">
        <f t="shared" si="84"/>
        <v/>
      </c>
      <c r="DT18" s="1270" t="str">
        <f t="shared" si="85"/>
        <v/>
      </c>
      <c r="DU18" s="1270" t="str">
        <f t="shared" si="86"/>
        <v/>
      </c>
      <c r="DV18" s="1270" t="str">
        <f t="shared" si="87"/>
        <v/>
      </c>
      <c r="DW18" s="1270" t="str">
        <f t="shared" si="88"/>
        <v/>
      </c>
      <c r="DX18" s="1371">
        <f t="shared" si="89"/>
        <v>0</v>
      </c>
      <c r="DY18" s="1270" t="str">
        <f t="shared" si="90"/>
        <v/>
      </c>
      <c r="DZ18" s="1270" t="str">
        <f t="shared" si="91"/>
        <v/>
      </c>
      <c r="EA18" s="1270" t="str">
        <f t="shared" si="92"/>
        <v/>
      </c>
      <c r="EB18" s="1270" t="str">
        <f t="shared" si="93"/>
        <v/>
      </c>
      <c r="EC18" s="1270" t="str">
        <f t="shared" si="94"/>
        <v/>
      </c>
      <c r="ED18" s="1270" t="str">
        <f t="shared" si="95"/>
        <v/>
      </c>
      <c r="EE18" s="1270" t="str">
        <f t="shared" si="96"/>
        <v/>
      </c>
      <c r="EF18" s="1371">
        <f t="shared" si="97"/>
        <v>0</v>
      </c>
    </row>
    <row r="19" spans="1:136" ht="19.5" customHeight="1">
      <c r="A19" s="18" t="s">
        <v>1342</v>
      </c>
      <c r="B19" s="1385"/>
      <c r="C19" s="1386"/>
      <c r="D19" s="1387"/>
      <c r="E19" s="1388"/>
      <c r="F19" s="984"/>
      <c r="G19" s="1389"/>
      <c r="H19" s="984"/>
      <c r="I19" s="1389"/>
      <c r="J19" s="984"/>
      <c r="K19" s="1390"/>
      <c r="L19" s="1395"/>
      <c r="M19" s="1392"/>
      <c r="N19" s="1393"/>
      <c r="O19" s="1394"/>
      <c r="P19" s="1351">
        <f t="shared" si="0"/>
        <v>0</v>
      </c>
      <c r="Q19" s="1352">
        <f t="shared" si="1"/>
        <v>0</v>
      </c>
      <c r="R19" s="1353">
        <f t="shared" si="2"/>
        <v>0</v>
      </c>
      <c r="S19" s="1354" t="e">
        <f t="shared" si="3"/>
        <v>#DIV/0!</v>
      </c>
      <c r="T19" s="1355">
        <f t="shared" si="4"/>
        <v>0</v>
      </c>
      <c r="U19" s="1356">
        <f t="shared" si="5"/>
        <v>0</v>
      </c>
      <c r="V19" s="1357">
        <f t="shared" si="6"/>
        <v>0</v>
      </c>
      <c r="W19" s="1395"/>
      <c r="X19" s="1396"/>
      <c r="Y19" s="1395"/>
      <c r="Z19" s="1413"/>
      <c r="AA19" s="1395"/>
      <c r="AB19" s="1413"/>
      <c r="AC19" s="1398"/>
      <c r="AD19" s="1396"/>
      <c r="AE19" s="1395"/>
      <c r="AF19" s="1399"/>
      <c r="AG19" s="1400"/>
      <c r="AH19" s="1399"/>
      <c r="AI19" s="1401"/>
      <c r="AJ19" s="1396"/>
      <c r="AK19" s="1401"/>
      <c r="AL19" s="1399"/>
      <c r="AM19" s="1395"/>
      <c r="AN19" s="1414"/>
      <c r="AO19" s="1395"/>
      <c r="AP19" s="1413"/>
      <c r="AQ19" s="1275" t="e">
        <f t="shared" si="7"/>
        <v>#DIV/0!</v>
      </c>
      <c r="AR19" s="1369" t="str">
        <f t="shared" si="8"/>
        <v/>
      </c>
      <c r="AS19" s="1270" t="str">
        <f t="shared" si="9"/>
        <v/>
      </c>
      <c r="AT19" s="1270" t="str">
        <f t="shared" si="10"/>
        <v/>
      </c>
      <c r="AU19" s="1270" t="str">
        <f t="shared" si="11"/>
        <v/>
      </c>
      <c r="AV19" s="1270" t="str">
        <f t="shared" si="12"/>
        <v/>
      </c>
      <c r="AW19" s="1270" t="str">
        <f t="shared" si="13"/>
        <v/>
      </c>
      <c r="AX19" s="1270" t="str">
        <f t="shared" si="14"/>
        <v/>
      </c>
      <c r="AY19" s="1270" t="str">
        <f t="shared" si="15"/>
        <v/>
      </c>
      <c r="AZ19" s="1270" t="str">
        <f t="shared" si="16"/>
        <v/>
      </c>
      <c r="BA19" s="1270" t="str">
        <f t="shared" si="17"/>
        <v/>
      </c>
      <c r="BB19" s="1371">
        <f t="shared" si="18"/>
        <v>0</v>
      </c>
      <c r="BC19" s="1369" t="str">
        <f t="shared" si="19"/>
        <v/>
      </c>
      <c r="BD19" s="1270" t="str">
        <f t="shared" si="20"/>
        <v/>
      </c>
      <c r="BE19" s="1270" t="str">
        <f t="shared" si="21"/>
        <v/>
      </c>
      <c r="BF19" s="1270" t="str">
        <f t="shared" si="22"/>
        <v/>
      </c>
      <c r="BG19" s="1270" t="str">
        <f t="shared" si="23"/>
        <v/>
      </c>
      <c r="BH19" s="1270" t="str">
        <f t="shared" si="24"/>
        <v/>
      </c>
      <c r="BI19" s="1270" t="str">
        <f t="shared" si="25"/>
        <v/>
      </c>
      <c r="BJ19" s="1270" t="str">
        <f t="shared" si="26"/>
        <v/>
      </c>
      <c r="BK19" s="1270" t="str">
        <f t="shared" si="27"/>
        <v/>
      </c>
      <c r="BL19" s="1270" t="str">
        <f t="shared" si="28"/>
        <v/>
      </c>
      <c r="BM19" s="1371">
        <f t="shared" si="29"/>
        <v>0</v>
      </c>
      <c r="BN19" s="1372">
        <f t="shared" si="30"/>
        <v>0</v>
      </c>
      <c r="BO19" s="1372">
        <f t="shared" si="31"/>
        <v>0</v>
      </c>
      <c r="BP19" s="1372">
        <f t="shared" si="32"/>
        <v>0</v>
      </c>
      <c r="BQ19" s="1374">
        <f t="shared" si="33"/>
        <v>0</v>
      </c>
      <c r="BR19" s="1251">
        <f t="shared" si="34"/>
        <v>0</v>
      </c>
      <c r="BS19" s="1403">
        <f t="shared" si="35"/>
        <v>0</v>
      </c>
      <c r="BT19" s="1372">
        <f t="shared" si="36"/>
        <v>0</v>
      </c>
      <c r="BU19" s="1372">
        <f t="shared" si="37"/>
        <v>0</v>
      </c>
      <c r="BV19" s="1372">
        <f t="shared" si="38"/>
        <v>0</v>
      </c>
      <c r="BW19" s="1372">
        <f t="shared" si="39"/>
        <v>0</v>
      </c>
      <c r="BX19" s="1372">
        <f t="shared" si="40"/>
        <v>0</v>
      </c>
      <c r="BY19" s="1372">
        <f t="shared" si="41"/>
        <v>0</v>
      </c>
      <c r="BZ19" s="1372">
        <f t="shared" si="42"/>
        <v>0</v>
      </c>
      <c r="CA19" s="1372">
        <f t="shared" si="43"/>
        <v>0</v>
      </c>
      <c r="CB19" s="1404">
        <f t="shared" si="44"/>
        <v>0</v>
      </c>
      <c r="CC19" s="1374">
        <f t="shared" si="98"/>
        <v>0</v>
      </c>
      <c r="CD19" s="1374">
        <f t="shared" si="45"/>
        <v>0</v>
      </c>
      <c r="CE19" s="1374">
        <f t="shared" si="46"/>
        <v>0</v>
      </c>
      <c r="CF19" s="1378">
        <f t="shared" si="47"/>
        <v>0</v>
      </c>
      <c r="CG19" s="1378">
        <f t="shared" si="48"/>
        <v>0</v>
      </c>
      <c r="CH19" s="1378">
        <f t="shared" si="49"/>
        <v>0</v>
      </c>
      <c r="CI19" s="1374">
        <f t="shared" si="50"/>
        <v>0</v>
      </c>
      <c r="CJ19" s="1374">
        <f t="shared" si="51"/>
        <v>0</v>
      </c>
      <c r="CK19" s="1374" t="str">
        <f t="shared" si="52"/>
        <v/>
      </c>
      <c r="CL19" s="1374">
        <f t="shared" si="53"/>
        <v>0</v>
      </c>
      <c r="CM19" s="1379">
        <f t="shared" si="54"/>
        <v>0</v>
      </c>
      <c r="CN19" s="628">
        <f>(BS19*Pricing!F$3+BT19*Pricing!G$3+BU19*Pricing!H$3+BV19*Pricing!I$3+BW19*Pricing!J$3+BX19*Pricing!K$3+BY19*Pricing!L$3+BZ19*Pricing!M$3+CA19*Pricing!N$3+CB19*Pricing!O$3)*IF(W$44="N",(1+Y$44),1)</f>
        <v>0</v>
      </c>
      <c r="CO19" s="628">
        <f t="shared" si="55"/>
        <v>0</v>
      </c>
      <c r="CP19" s="1380">
        <f t="shared" si="56"/>
        <v>0</v>
      </c>
      <c r="CQ19" s="628">
        <f t="shared" si="57"/>
        <v>0</v>
      </c>
      <c r="CR19" s="628">
        <f t="shared" si="58"/>
        <v>0</v>
      </c>
      <c r="CS19" s="628"/>
      <c r="CT19" s="1381">
        <f t="shared" si="59"/>
        <v>0</v>
      </c>
      <c r="CU19" s="628">
        <f t="shared" si="60"/>
        <v>0</v>
      </c>
      <c r="CV19" s="628">
        <f t="shared" si="61"/>
        <v>0</v>
      </c>
      <c r="CW19" s="628">
        <f t="shared" si="62"/>
        <v>0</v>
      </c>
      <c r="CX19" s="628">
        <f t="shared" si="63"/>
        <v>0</v>
      </c>
      <c r="CY19" s="628">
        <f t="shared" si="64"/>
        <v>0</v>
      </c>
      <c r="CZ19" s="628">
        <f t="shared" si="65"/>
        <v>0</v>
      </c>
      <c r="DA19" s="628">
        <f t="shared" si="66"/>
        <v>0</v>
      </c>
      <c r="DB19" s="628">
        <f t="shared" si="67"/>
        <v>0</v>
      </c>
      <c r="DC19" s="628">
        <f t="shared" si="68"/>
        <v>0</v>
      </c>
      <c r="DD19" s="628">
        <f t="shared" si="69"/>
        <v>0</v>
      </c>
      <c r="DE19" s="1382" t="e">
        <f t="shared" si="70"/>
        <v>#DIV/0!</v>
      </c>
      <c r="DF19" s="626">
        <f t="shared" si="71"/>
        <v>0</v>
      </c>
      <c r="DG19" s="626">
        <f t="shared" si="72"/>
        <v>0</v>
      </c>
      <c r="DH19" s="626">
        <f t="shared" si="73"/>
        <v>0</v>
      </c>
      <c r="DI19" s="626">
        <f t="shared" si="74"/>
        <v>0</v>
      </c>
      <c r="DJ19" s="626">
        <f t="shared" si="75"/>
        <v>0</v>
      </c>
      <c r="DK19" s="626">
        <f t="shared" si="76"/>
        <v>0</v>
      </c>
      <c r="DL19" s="626">
        <f t="shared" si="77"/>
        <v>0</v>
      </c>
      <c r="DM19" s="626">
        <f t="shared" si="78"/>
        <v>0</v>
      </c>
      <c r="DN19" s="626">
        <f t="shared" si="79"/>
        <v>0</v>
      </c>
      <c r="DO19" s="626">
        <f t="shared" si="80"/>
        <v>0</v>
      </c>
      <c r="DP19" s="1405">
        <f t="shared" si="81"/>
        <v>0</v>
      </c>
      <c r="DQ19" s="1270" t="str">
        <f t="shared" si="82"/>
        <v/>
      </c>
      <c r="DR19" s="1270" t="str">
        <f t="shared" si="83"/>
        <v/>
      </c>
      <c r="DS19" s="1270" t="str">
        <f t="shared" si="84"/>
        <v/>
      </c>
      <c r="DT19" s="1270" t="str">
        <f t="shared" si="85"/>
        <v/>
      </c>
      <c r="DU19" s="1270" t="str">
        <f t="shared" si="86"/>
        <v/>
      </c>
      <c r="DV19" s="1270" t="str">
        <f t="shared" si="87"/>
        <v/>
      </c>
      <c r="DW19" s="1270" t="str">
        <f t="shared" si="88"/>
        <v/>
      </c>
      <c r="DX19" s="1371">
        <f t="shared" si="89"/>
        <v>0</v>
      </c>
      <c r="DY19" s="1270" t="str">
        <f t="shared" si="90"/>
        <v/>
      </c>
      <c r="DZ19" s="1270" t="str">
        <f t="shared" si="91"/>
        <v/>
      </c>
      <c r="EA19" s="1270" t="str">
        <f t="shared" si="92"/>
        <v/>
      </c>
      <c r="EB19" s="1270" t="str">
        <f t="shared" si="93"/>
        <v/>
      </c>
      <c r="EC19" s="1270" t="str">
        <f t="shared" si="94"/>
        <v/>
      </c>
      <c r="ED19" s="1270" t="str">
        <f t="shared" si="95"/>
        <v/>
      </c>
      <c r="EE19" s="1270" t="str">
        <f t="shared" si="96"/>
        <v/>
      </c>
      <c r="EF19" s="1371">
        <f t="shared" si="97"/>
        <v>0</v>
      </c>
    </row>
    <row r="20" spans="1:136" ht="19.5" customHeight="1">
      <c r="A20" s="18" t="s">
        <v>1451</v>
      </c>
      <c r="B20" s="859"/>
      <c r="C20" s="1342"/>
      <c r="D20" s="1343"/>
      <c r="E20" s="1344"/>
      <c r="F20" s="984"/>
      <c r="G20" s="1389"/>
      <c r="H20" s="984"/>
      <c r="I20" s="1389"/>
      <c r="J20" s="984"/>
      <c r="K20" s="1390"/>
      <c r="L20" s="503"/>
      <c r="M20" s="834"/>
      <c r="N20" s="1349"/>
      <c r="O20" s="1350"/>
      <c r="P20" s="1351">
        <f t="shared" si="0"/>
        <v>0</v>
      </c>
      <c r="Q20" s="1352">
        <f t="shared" si="1"/>
        <v>0</v>
      </c>
      <c r="R20" s="1353">
        <f t="shared" si="2"/>
        <v>0</v>
      </c>
      <c r="S20" s="1354" t="e">
        <f t="shared" si="3"/>
        <v>#DIV/0!</v>
      </c>
      <c r="T20" s="1355">
        <f t="shared" si="4"/>
        <v>0</v>
      </c>
      <c r="U20" s="1356">
        <f t="shared" si="5"/>
        <v>0</v>
      </c>
      <c r="V20" s="1357">
        <f t="shared" si="6"/>
        <v>0</v>
      </c>
      <c r="W20" s="503"/>
      <c r="X20" s="1362"/>
      <c r="Y20" s="503"/>
      <c r="Z20" s="1415"/>
      <c r="AA20" s="503"/>
      <c r="AB20" s="1415"/>
      <c r="AC20" s="1361"/>
      <c r="AD20" s="1362"/>
      <c r="AE20" s="1347"/>
      <c r="AF20" s="1363"/>
      <c r="AG20" s="1364"/>
      <c r="AH20" s="1363"/>
      <c r="AI20" s="1365"/>
      <c r="AJ20" s="1366"/>
      <c r="AK20" s="1367"/>
      <c r="AL20" s="1363"/>
      <c r="AM20" s="503"/>
      <c r="AN20" s="1416"/>
      <c r="AO20" s="503"/>
      <c r="AP20" s="1415"/>
      <c r="AQ20" s="1275" t="e">
        <f t="shared" si="7"/>
        <v>#DIV/0!</v>
      </c>
      <c r="AR20" s="1369" t="str">
        <f t="shared" si="8"/>
        <v/>
      </c>
      <c r="AS20" s="1270" t="str">
        <f t="shared" si="9"/>
        <v/>
      </c>
      <c r="AT20" s="1270" t="str">
        <f t="shared" si="10"/>
        <v/>
      </c>
      <c r="AU20" s="1270" t="str">
        <f t="shared" si="11"/>
        <v/>
      </c>
      <c r="AV20" s="1270" t="str">
        <f t="shared" si="12"/>
        <v/>
      </c>
      <c r="AW20" s="1270" t="str">
        <f t="shared" si="13"/>
        <v/>
      </c>
      <c r="AX20" s="1270" t="str">
        <f t="shared" si="14"/>
        <v/>
      </c>
      <c r="AY20" s="1270" t="str">
        <f t="shared" si="15"/>
        <v/>
      </c>
      <c r="AZ20" s="1270" t="str">
        <f t="shared" si="16"/>
        <v/>
      </c>
      <c r="BA20" s="1270" t="str">
        <f t="shared" si="17"/>
        <v/>
      </c>
      <c r="BB20" s="1371">
        <f t="shared" si="18"/>
        <v>0</v>
      </c>
      <c r="BC20" s="1369" t="str">
        <f t="shared" si="19"/>
        <v/>
      </c>
      <c r="BD20" s="1270" t="str">
        <f t="shared" si="20"/>
        <v/>
      </c>
      <c r="BE20" s="1270" t="str">
        <f t="shared" si="21"/>
        <v/>
      </c>
      <c r="BF20" s="1270" t="str">
        <f t="shared" si="22"/>
        <v/>
      </c>
      <c r="BG20" s="1270" t="str">
        <f t="shared" si="23"/>
        <v/>
      </c>
      <c r="BH20" s="1270" t="str">
        <f t="shared" si="24"/>
        <v/>
      </c>
      <c r="BI20" s="1270" t="str">
        <f t="shared" si="25"/>
        <v/>
      </c>
      <c r="BJ20" s="1270" t="str">
        <f t="shared" si="26"/>
        <v/>
      </c>
      <c r="BK20" s="1270" t="str">
        <f t="shared" si="27"/>
        <v/>
      </c>
      <c r="BL20" s="1270" t="str">
        <f t="shared" si="28"/>
        <v/>
      </c>
      <c r="BM20" s="1371">
        <f t="shared" si="29"/>
        <v>0</v>
      </c>
      <c r="BN20" s="1372">
        <f t="shared" si="30"/>
        <v>0</v>
      </c>
      <c r="BO20" s="1372">
        <f t="shared" si="31"/>
        <v>0</v>
      </c>
      <c r="BP20" s="1372">
        <f t="shared" si="32"/>
        <v>0</v>
      </c>
      <c r="BQ20" s="1374">
        <f t="shared" si="33"/>
        <v>0</v>
      </c>
      <c r="BR20" s="1251">
        <f t="shared" si="34"/>
        <v>0</v>
      </c>
      <c r="BS20" s="1403">
        <f t="shared" si="35"/>
        <v>0</v>
      </c>
      <c r="BT20" s="1372">
        <f t="shared" si="36"/>
        <v>0</v>
      </c>
      <c r="BU20" s="1372">
        <f t="shared" si="37"/>
        <v>0</v>
      </c>
      <c r="BV20" s="1372">
        <f t="shared" si="38"/>
        <v>0</v>
      </c>
      <c r="BW20" s="1372">
        <f t="shared" si="39"/>
        <v>0</v>
      </c>
      <c r="BX20" s="1372">
        <f t="shared" si="40"/>
        <v>0</v>
      </c>
      <c r="BY20" s="1372">
        <f t="shared" si="41"/>
        <v>0</v>
      </c>
      <c r="BZ20" s="1372">
        <f t="shared" si="42"/>
        <v>0</v>
      </c>
      <c r="CA20" s="1372">
        <f t="shared" si="43"/>
        <v>0</v>
      </c>
      <c r="CB20" s="1404">
        <f t="shared" si="44"/>
        <v>0</v>
      </c>
      <c r="CC20" s="1374">
        <f t="shared" si="98"/>
        <v>0</v>
      </c>
      <c r="CD20" s="1374">
        <f t="shared" si="45"/>
        <v>0</v>
      </c>
      <c r="CE20" s="1374">
        <f t="shared" si="46"/>
        <v>0</v>
      </c>
      <c r="CF20" s="1378">
        <f t="shared" si="47"/>
        <v>0</v>
      </c>
      <c r="CG20" s="1378">
        <f t="shared" si="48"/>
        <v>0</v>
      </c>
      <c r="CH20" s="1378">
        <f t="shared" si="49"/>
        <v>0</v>
      </c>
      <c r="CI20" s="1374">
        <f t="shared" si="50"/>
        <v>0</v>
      </c>
      <c r="CJ20" s="1374">
        <f t="shared" si="51"/>
        <v>0</v>
      </c>
      <c r="CK20" s="1374" t="str">
        <f t="shared" si="52"/>
        <v/>
      </c>
      <c r="CL20" s="1374">
        <f t="shared" si="53"/>
        <v>0</v>
      </c>
      <c r="CM20" s="1379">
        <f t="shared" si="54"/>
        <v>0</v>
      </c>
      <c r="CN20" s="628">
        <f>(BS20*Pricing!F$3+BT20*Pricing!G$3+BU20*Pricing!H$3+BV20*Pricing!I$3+BW20*Pricing!J$3+BX20*Pricing!K$3+BY20*Pricing!L$3+BZ20*Pricing!M$3+CA20*Pricing!N$3+CB20*Pricing!O$3)*IF(W$44="N",(1+Y$44),1)</f>
        <v>0</v>
      </c>
      <c r="CO20" s="628">
        <f t="shared" si="55"/>
        <v>0</v>
      </c>
      <c r="CP20" s="1380">
        <f t="shared" si="56"/>
        <v>0</v>
      </c>
      <c r="CQ20" s="628">
        <f t="shared" si="57"/>
        <v>0</v>
      </c>
      <c r="CR20" s="628">
        <f t="shared" si="58"/>
        <v>0</v>
      </c>
      <c r="CS20" s="628"/>
      <c r="CT20" s="1381">
        <f t="shared" si="59"/>
        <v>0</v>
      </c>
      <c r="CU20" s="628">
        <f t="shared" si="60"/>
        <v>0</v>
      </c>
      <c r="CV20" s="628">
        <f t="shared" si="61"/>
        <v>0</v>
      </c>
      <c r="CW20" s="628">
        <f t="shared" si="62"/>
        <v>0</v>
      </c>
      <c r="CX20" s="628">
        <f t="shared" si="63"/>
        <v>0</v>
      </c>
      <c r="CY20" s="628">
        <f t="shared" si="64"/>
        <v>0</v>
      </c>
      <c r="CZ20" s="628">
        <f t="shared" si="65"/>
        <v>0</v>
      </c>
      <c r="DA20" s="628">
        <f t="shared" si="66"/>
        <v>0</v>
      </c>
      <c r="DB20" s="628">
        <f t="shared" si="67"/>
        <v>0</v>
      </c>
      <c r="DC20" s="628">
        <f t="shared" si="68"/>
        <v>0</v>
      </c>
      <c r="DD20" s="628">
        <f t="shared" si="69"/>
        <v>0</v>
      </c>
      <c r="DE20" s="1382" t="e">
        <f t="shared" si="70"/>
        <v>#DIV/0!</v>
      </c>
      <c r="DF20" s="626">
        <f t="shared" si="71"/>
        <v>0</v>
      </c>
      <c r="DG20" s="626">
        <f t="shared" si="72"/>
        <v>0</v>
      </c>
      <c r="DH20" s="626">
        <f t="shared" si="73"/>
        <v>0</v>
      </c>
      <c r="DI20" s="626">
        <f t="shared" si="74"/>
        <v>0</v>
      </c>
      <c r="DJ20" s="626">
        <f t="shared" si="75"/>
        <v>0</v>
      </c>
      <c r="DK20" s="626">
        <f t="shared" si="76"/>
        <v>0</v>
      </c>
      <c r="DL20" s="626">
        <f t="shared" si="77"/>
        <v>0</v>
      </c>
      <c r="DM20" s="626">
        <f t="shared" si="78"/>
        <v>0</v>
      </c>
      <c r="DN20" s="626">
        <f t="shared" si="79"/>
        <v>0</v>
      </c>
      <c r="DO20" s="626">
        <f t="shared" si="80"/>
        <v>0</v>
      </c>
      <c r="DP20" s="1405">
        <f t="shared" si="81"/>
        <v>0</v>
      </c>
      <c r="DQ20" s="1270" t="str">
        <f t="shared" si="82"/>
        <v/>
      </c>
      <c r="DR20" s="1270" t="str">
        <f t="shared" si="83"/>
        <v/>
      </c>
      <c r="DS20" s="1270" t="str">
        <f t="shared" si="84"/>
        <v/>
      </c>
      <c r="DT20" s="1270" t="str">
        <f t="shared" si="85"/>
        <v/>
      </c>
      <c r="DU20" s="1270" t="str">
        <f t="shared" si="86"/>
        <v/>
      </c>
      <c r="DV20" s="1270" t="str">
        <f t="shared" si="87"/>
        <v/>
      </c>
      <c r="DW20" s="1270" t="str">
        <f t="shared" si="88"/>
        <v/>
      </c>
      <c r="DX20" s="1371">
        <f t="shared" si="89"/>
        <v>0</v>
      </c>
      <c r="DY20" s="1270" t="str">
        <f t="shared" si="90"/>
        <v/>
      </c>
      <c r="DZ20" s="1270" t="str">
        <f t="shared" si="91"/>
        <v/>
      </c>
      <c r="EA20" s="1270" t="str">
        <f t="shared" si="92"/>
        <v/>
      </c>
      <c r="EB20" s="1270" t="str">
        <f t="shared" si="93"/>
        <v/>
      </c>
      <c r="EC20" s="1270" t="str">
        <f t="shared" si="94"/>
        <v/>
      </c>
      <c r="ED20" s="1270" t="str">
        <f t="shared" si="95"/>
        <v/>
      </c>
      <c r="EE20" s="1270" t="str">
        <f t="shared" si="96"/>
        <v/>
      </c>
      <c r="EF20" s="1371">
        <f t="shared" si="97"/>
        <v>0</v>
      </c>
    </row>
    <row r="21" spans="1:136" ht="19.5" customHeight="1">
      <c r="A21" s="18" t="s">
        <v>1077</v>
      </c>
      <c r="B21" s="1385"/>
      <c r="C21" s="1386"/>
      <c r="D21" s="1387"/>
      <c r="E21" s="1388"/>
      <c r="F21" s="984"/>
      <c r="G21" s="1389"/>
      <c r="H21" s="984"/>
      <c r="I21" s="1389"/>
      <c r="J21" s="984"/>
      <c r="K21" s="1390"/>
      <c r="L21" s="1391"/>
      <c r="M21" s="1392"/>
      <c r="N21" s="1393"/>
      <c r="O21" s="1394"/>
      <c r="P21" s="1351">
        <f t="shared" si="0"/>
        <v>0</v>
      </c>
      <c r="Q21" s="1352">
        <f t="shared" si="1"/>
        <v>0</v>
      </c>
      <c r="R21" s="1353">
        <f t="shared" si="2"/>
        <v>0</v>
      </c>
      <c r="S21" s="1354" t="e">
        <f t="shared" si="3"/>
        <v>#DIV/0!</v>
      </c>
      <c r="T21" s="1355">
        <f t="shared" si="4"/>
        <v>0</v>
      </c>
      <c r="U21" s="1356">
        <f t="shared" si="5"/>
        <v>0</v>
      </c>
      <c r="V21" s="1357">
        <f t="shared" si="6"/>
        <v>0</v>
      </c>
      <c r="W21" s="1395"/>
      <c r="X21" s="1396"/>
      <c r="Y21" s="1395"/>
      <c r="Z21" s="1413"/>
      <c r="AA21" s="1395"/>
      <c r="AB21" s="1413"/>
      <c r="AC21" s="1398"/>
      <c r="AD21" s="1396"/>
      <c r="AE21" s="1395"/>
      <c r="AF21" s="1399"/>
      <c r="AG21" s="1400"/>
      <c r="AH21" s="1399"/>
      <c r="AI21" s="1401"/>
      <c r="AJ21" s="1396"/>
      <c r="AK21" s="1401"/>
      <c r="AL21" s="1399"/>
      <c r="AM21" s="1395"/>
      <c r="AN21" s="1414"/>
      <c r="AO21" s="1395"/>
      <c r="AP21" s="1413"/>
      <c r="AQ21" s="1275" t="e">
        <f t="shared" si="7"/>
        <v>#DIV/0!</v>
      </c>
      <c r="AR21" s="1369" t="str">
        <f t="shared" si="8"/>
        <v/>
      </c>
      <c r="AS21" s="1270" t="str">
        <f t="shared" si="9"/>
        <v/>
      </c>
      <c r="AT21" s="1270" t="str">
        <f t="shared" si="10"/>
        <v/>
      </c>
      <c r="AU21" s="1270" t="str">
        <f t="shared" si="11"/>
        <v/>
      </c>
      <c r="AV21" s="1270" t="str">
        <f t="shared" si="12"/>
        <v/>
      </c>
      <c r="AW21" s="1270" t="str">
        <f t="shared" si="13"/>
        <v/>
      </c>
      <c r="AX21" s="1270" t="str">
        <f t="shared" si="14"/>
        <v/>
      </c>
      <c r="AY21" s="1270" t="str">
        <f t="shared" si="15"/>
        <v/>
      </c>
      <c r="AZ21" s="1270" t="str">
        <f t="shared" si="16"/>
        <v/>
      </c>
      <c r="BA21" s="1270" t="str">
        <f t="shared" si="17"/>
        <v/>
      </c>
      <c r="BB21" s="1371">
        <f t="shared" si="18"/>
        <v>0</v>
      </c>
      <c r="BC21" s="1369" t="str">
        <f t="shared" si="19"/>
        <v/>
      </c>
      <c r="BD21" s="1270" t="str">
        <f t="shared" si="20"/>
        <v/>
      </c>
      <c r="BE21" s="1270" t="str">
        <f t="shared" si="21"/>
        <v/>
      </c>
      <c r="BF21" s="1270" t="str">
        <f t="shared" si="22"/>
        <v/>
      </c>
      <c r="BG21" s="1270" t="str">
        <f t="shared" si="23"/>
        <v/>
      </c>
      <c r="BH21" s="1270" t="str">
        <f t="shared" si="24"/>
        <v/>
      </c>
      <c r="BI21" s="1270" t="str">
        <f t="shared" si="25"/>
        <v/>
      </c>
      <c r="BJ21" s="1270" t="str">
        <f t="shared" si="26"/>
        <v/>
      </c>
      <c r="BK21" s="1270" t="str">
        <f t="shared" si="27"/>
        <v/>
      </c>
      <c r="BL21" s="1270" t="str">
        <f t="shared" si="28"/>
        <v/>
      </c>
      <c r="BM21" s="1371">
        <f t="shared" si="29"/>
        <v>0</v>
      </c>
      <c r="BN21" s="1372">
        <f t="shared" si="30"/>
        <v>0</v>
      </c>
      <c r="BO21" s="1372">
        <f t="shared" si="31"/>
        <v>0</v>
      </c>
      <c r="BP21" s="1372">
        <f t="shared" si="32"/>
        <v>0</v>
      </c>
      <c r="BQ21" s="1374">
        <f t="shared" si="33"/>
        <v>0</v>
      </c>
      <c r="BR21" s="1251">
        <f t="shared" si="34"/>
        <v>0</v>
      </c>
      <c r="BS21" s="1403">
        <f t="shared" si="35"/>
        <v>0</v>
      </c>
      <c r="BT21" s="1372">
        <f t="shared" si="36"/>
        <v>0</v>
      </c>
      <c r="BU21" s="1372">
        <f t="shared" si="37"/>
        <v>0</v>
      </c>
      <c r="BV21" s="1372">
        <f t="shared" si="38"/>
        <v>0</v>
      </c>
      <c r="BW21" s="1372">
        <f t="shared" si="39"/>
        <v>0</v>
      </c>
      <c r="BX21" s="1372">
        <f t="shared" si="40"/>
        <v>0</v>
      </c>
      <c r="BY21" s="1372">
        <f t="shared" si="41"/>
        <v>0</v>
      </c>
      <c r="BZ21" s="1372">
        <f t="shared" si="42"/>
        <v>0</v>
      </c>
      <c r="CA21" s="1372">
        <f t="shared" si="43"/>
        <v>0</v>
      </c>
      <c r="CB21" s="1404">
        <f t="shared" si="44"/>
        <v>0</v>
      </c>
      <c r="CC21" s="1374">
        <f t="shared" si="98"/>
        <v>0</v>
      </c>
      <c r="CD21" s="1374">
        <f t="shared" si="45"/>
        <v>0</v>
      </c>
      <c r="CE21" s="1374">
        <f t="shared" si="46"/>
        <v>0</v>
      </c>
      <c r="CF21" s="1378">
        <f t="shared" si="47"/>
        <v>0</v>
      </c>
      <c r="CG21" s="1378">
        <f t="shared" si="48"/>
        <v>0</v>
      </c>
      <c r="CH21" s="1378">
        <f t="shared" si="49"/>
        <v>0</v>
      </c>
      <c r="CI21" s="1374">
        <f t="shared" si="50"/>
        <v>0</v>
      </c>
      <c r="CJ21" s="1374">
        <f t="shared" si="51"/>
        <v>0</v>
      </c>
      <c r="CK21" s="1374" t="str">
        <f t="shared" si="52"/>
        <v/>
      </c>
      <c r="CL21" s="1374">
        <f t="shared" si="53"/>
        <v>0</v>
      </c>
      <c r="CM21" s="1379">
        <f t="shared" si="54"/>
        <v>0</v>
      </c>
      <c r="CN21" s="628">
        <f>(BS21*Pricing!F$3+BT21*Pricing!G$3+BU21*Pricing!H$3+BV21*Pricing!I$3+BW21*Pricing!J$3+BX21*Pricing!K$3+BY21*Pricing!L$3+BZ21*Pricing!M$3+CA21*Pricing!N$3+CB21*Pricing!O$3)*IF(W$44="N",(1+Y$44),1)</f>
        <v>0</v>
      </c>
      <c r="CO21" s="628">
        <f t="shared" si="55"/>
        <v>0</v>
      </c>
      <c r="CP21" s="1380">
        <f t="shared" si="56"/>
        <v>0</v>
      </c>
      <c r="CQ21" s="628">
        <f t="shared" si="57"/>
        <v>0</v>
      </c>
      <c r="CR21" s="628">
        <f t="shared" si="58"/>
        <v>0</v>
      </c>
      <c r="CS21" s="628"/>
      <c r="CT21" s="1381">
        <f t="shared" si="59"/>
        <v>0</v>
      </c>
      <c r="CU21" s="628">
        <f t="shared" si="60"/>
        <v>0</v>
      </c>
      <c r="CV21" s="628">
        <f t="shared" si="61"/>
        <v>0</v>
      </c>
      <c r="CW21" s="628">
        <f t="shared" si="62"/>
        <v>0</v>
      </c>
      <c r="CX21" s="628">
        <f t="shared" si="63"/>
        <v>0</v>
      </c>
      <c r="CY21" s="628">
        <f t="shared" si="64"/>
        <v>0</v>
      </c>
      <c r="CZ21" s="628">
        <f t="shared" si="65"/>
        <v>0</v>
      </c>
      <c r="DA21" s="628">
        <f t="shared" si="66"/>
        <v>0</v>
      </c>
      <c r="DB21" s="628">
        <f t="shared" si="67"/>
        <v>0</v>
      </c>
      <c r="DC21" s="628">
        <f t="shared" si="68"/>
        <v>0</v>
      </c>
      <c r="DD21" s="628">
        <f t="shared" si="69"/>
        <v>0</v>
      </c>
      <c r="DE21" s="1382" t="e">
        <f t="shared" si="70"/>
        <v>#DIV/0!</v>
      </c>
      <c r="DF21" s="626">
        <f t="shared" si="71"/>
        <v>0</v>
      </c>
      <c r="DG21" s="626">
        <f t="shared" si="72"/>
        <v>0</v>
      </c>
      <c r="DH21" s="626">
        <f t="shared" si="73"/>
        <v>0</v>
      </c>
      <c r="DI21" s="626">
        <f t="shared" si="74"/>
        <v>0</v>
      </c>
      <c r="DJ21" s="626">
        <f t="shared" si="75"/>
        <v>0</v>
      </c>
      <c r="DK21" s="626">
        <f t="shared" si="76"/>
        <v>0</v>
      </c>
      <c r="DL21" s="626">
        <f t="shared" si="77"/>
        <v>0</v>
      </c>
      <c r="DM21" s="626">
        <f t="shared" si="78"/>
        <v>0</v>
      </c>
      <c r="DN21" s="626">
        <f t="shared" si="79"/>
        <v>0</v>
      </c>
      <c r="DO21" s="626">
        <f t="shared" si="80"/>
        <v>0</v>
      </c>
      <c r="DP21" s="1405">
        <f t="shared" si="81"/>
        <v>0</v>
      </c>
      <c r="DQ21" s="1270" t="str">
        <f t="shared" si="82"/>
        <v/>
      </c>
      <c r="DR21" s="1270" t="str">
        <f t="shared" si="83"/>
        <v/>
      </c>
      <c r="DS21" s="1270" t="str">
        <f t="shared" si="84"/>
        <v/>
      </c>
      <c r="DT21" s="1270" t="str">
        <f t="shared" si="85"/>
        <v/>
      </c>
      <c r="DU21" s="1270" t="str">
        <f t="shared" si="86"/>
        <v/>
      </c>
      <c r="DV21" s="1270" t="str">
        <f t="shared" si="87"/>
        <v/>
      </c>
      <c r="DW21" s="1270" t="str">
        <f t="shared" si="88"/>
        <v/>
      </c>
      <c r="DX21" s="1371">
        <f t="shared" si="89"/>
        <v>0</v>
      </c>
      <c r="DY21" s="1270" t="str">
        <f t="shared" si="90"/>
        <v/>
      </c>
      <c r="DZ21" s="1270" t="str">
        <f t="shared" si="91"/>
        <v/>
      </c>
      <c r="EA21" s="1270" t="str">
        <f t="shared" si="92"/>
        <v/>
      </c>
      <c r="EB21" s="1270" t="str">
        <f t="shared" si="93"/>
        <v/>
      </c>
      <c r="EC21" s="1270" t="str">
        <f t="shared" si="94"/>
        <v/>
      </c>
      <c r="ED21" s="1270" t="str">
        <f t="shared" si="95"/>
        <v/>
      </c>
      <c r="EE21" s="1270" t="str">
        <f t="shared" si="96"/>
        <v/>
      </c>
      <c r="EF21" s="1371">
        <f t="shared" si="97"/>
        <v>0</v>
      </c>
    </row>
    <row r="22" spans="1:136" ht="19.5" customHeight="1">
      <c r="A22" s="18" t="s">
        <v>1078</v>
      </c>
      <c r="B22" s="859"/>
      <c r="C22" s="1342"/>
      <c r="D22" s="1343"/>
      <c r="E22" s="1344"/>
      <c r="F22" s="984"/>
      <c r="G22" s="1389"/>
      <c r="H22" s="984"/>
      <c r="I22" s="1389"/>
      <c r="J22" s="984"/>
      <c r="K22" s="1390"/>
      <c r="L22" s="503"/>
      <c r="M22" s="834"/>
      <c r="N22" s="1349"/>
      <c r="O22" s="1350"/>
      <c r="P22" s="1351">
        <f t="shared" si="0"/>
        <v>0</v>
      </c>
      <c r="Q22" s="1352">
        <f t="shared" si="1"/>
        <v>0</v>
      </c>
      <c r="R22" s="1353">
        <f t="shared" si="2"/>
        <v>0</v>
      </c>
      <c r="S22" s="1354" t="e">
        <f t="shared" si="3"/>
        <v>#DIV/0!</v>
      </c>
      <c r="T22" s="1355">
        <f t="shared" si="4"/>
        <v>0</v>
      </c>
      <c r="U22" s="1356">
        <f t="shared" si="5"/>
        <v>0</v>
      </c>
      <c r="V22" s="1357">
        <f t="shared" si="6"/>
        <v>0</v>
      </c>
      <c r="W22" s="1347"/>
      <c r="X22" s="1362"/>
      <c r="Y22" s="503"/>
      <c r="Z22" s="1410"/>
      <c r="AA22" s="503"/>
      <c r="AB22" s="1410"/>
      <c r="AC22" s="1361"/>
      <c r="AD22" s="1362"/>
      <c r="AE22" s="1347"/>
      <c r="AF22" s="1363"/>
      <c r="AG22" s="1364"/>
      <c r="AH22" s="1363"/>
      <c r="AI22" s="1365"/>
      <c r="AJ22" s="1366"/>
      <c r="AK22" s="1367"/>
      <c r="AL22" s="1363"/>
      <c r="AM22" s="503"/>
      <c r="AN22" s="1411"/>
      <c r="AO22" s="503"/>
      <c r="AP22" s="1410"/>
      <c r="AQ22" s="1275" t="e">
        <f t="shared" si="7"/>
        <v>#DIV/0!</v>
      </c>
      <c r="AR22" s="1369" t="str">
        <f t="shared" si="8"/>
        <v/>
      </c>
      <c r="AS22" s="1270" t="str">
        <f t="shared" si="9"/>
        <v/>
      </c>
      <c r="AT22" s="1270" t="str">
        <f t="shared" si="10"/>
        <v/>
      </c>
      <c r="AU22" s="1270" t="str">
        <f t="shared" si="11"/>
        <v/>
      </c>
      <c r="AV22" s="1270" t="str">
        <f t="shared" si="12"/>
        <v/>
      </c>
      <c r="AW22" s="1270" t="str">
        <f t="shared" si="13"/>
        <v/>
      </c>
      <c r="AX22" s="1270" t="str">
        <f t="shared" si="14"/>
        <v/>
      </c>
      <c r="AY22" s="1270" t="str">
        <f t="shared" si="15"/>
        <v/>
      </c>
      <c r="AZ22" s="1270" t="str">
        <f t="shared" si="16"/>
        <v/>
      </c>
      <c r="BA22" s="1270" t="str">
        <f t="shared" si="17"/>
        <v/>
      </c>
      <c r="BB22" s="1371">
        <f t="shared" si="18"/>
        <v>0</v>
      </c>
      <c r="BC22" s="1369" t="str">
        <f t="shared" si="19"/>
        <v/>
      </c>
      <c r="BD22" s="1270" t="str">
        <f t="shared" si="20"/>
        <v/>
      </c>
      <c r="BE22" s="1270" t="str">
        <f t="shared" si="21"/>
        <v/>
      </c>
      <c r="BF22" s="1270" t="str">
        <f t="shared" si="22"/>
        <v/>
      </c>
      <c r="BG22" s="1270" t="str">
        <f t="shared" si="23"/>
        <v/>
      </c>
      <c r="BH22" s="1270" t="str">
        <f t="shared" si="24"/>
        <v/>
      </c>
      <c r="BI22" s="1270" t="str">
        <f t="shared" si="25"/>
        <v/>
      </c>
      <c r="BJ22" s="1270" t="str">
        <f t="shared" si="26"/>
        <v/>
      </c>
      <c r="BK22" s="1270" t="str">
        <f t="shared" si="27"/>
        <v/>
      </c>
      <c r="BL22" s="1270" t="str">
        <f t="shared" si="28"/>
        <v/>
      </c>
      <c r="BM22" s="1371">
        <f t="shared" si="29"/>
        <v>0</v>
      </c>
      <c r="BN22" s="1372">
        <f t="shared" si="30"/>
        <v>0</v>
      </c>
      <c r="BO22" s="1372">
        <f t="shared" si="31"/>
        <v>0</v>
      </c>
      <c r="BP22" s="1372">
        <f t="shared" si="32"/>
        <v>0</v>
      </c>
      <c r="BQ22" s="1374">
        <f t="shared" si="33"/>
        <v>0</v>
      </c>
      <c r="BR22" s="1251">
        <f t="shared" si="34"/>
        <v>0</v>
      </c>
      <c r="BS22" s="1403">
        <f t="shared" si="35"/>
        <v>0</v>
      </c>
      <c r="BT22" s="1372">
        <f t="shared" si="36"/>
        <v>0</v>
      </c>
      <c r="BU22" s="1372">
        <f t="shared" si="37"/>
        <v>0</v>
      </c>
      <c r="BV22" s="1372">
        <f t="shared" si="38"/>
        <v>0</v>
      </c>
      <c r="BW22" s="1372">
        <f t="shared" si="39"/>
        <v>0</v>
      </c>
      <c r="BX22" s="1372">
        <f t="shared" si="40"/>
        <v>0</v>
      </c>
      <c r="BY22" s="1372">
        <f t="shared" si="41"/>
        <v>0</v>
      </c>
      <c r="BZ22" s="1372">
        <f t="shared" si="42"/>
        <v>0</v>
      </c>
      <c r="CA22" s="1372">
        <f t="shared" si="43"/>
        <v>0</v>
      </c>
      <c r="CB22" s="1404">
        <f t="shared" si="44"/>
        <v>0</v>
      </c>
      <c r="CC22" s="1374">
        <f t="shared" si="98"/>
        <v>0</v>
      </c>
      <c r="CD22" s="1374">
        <f t="shared" si="45"/>
        <v>0</v>
      </c>
      <c r="CE22" s="1374">
        <f t="shared" si="46"/>
        <v>0</v>
      </c>
      <c r="CF22" s="1378">
        <f t="shared" si="47"/>
        <v>0</v>
      </c>
      <c r="CG22" s="1378">
        <f t="shared" si="48"/>
        <v>0</v>
      </c>
      <c r="CH22" s="1378">
        <f t="shared" si="49"/>
        <v>0</v>
      </c>
      <c r="CI22" s="1374">
        <f t="shared" si="50"/>
        <v>0</v>
      </c>
      <c r="CJ22" s="1374">
        <f t="shared" si="51"/>
        <v>0</v>
      </c>
      <c r="CK22" s="1374" t="str">
        <f t="shared" si="52"/>
        <v/>
      </c>
      <c r="CL22" s="1374">
        <f t="shared" si="53"/>
        <v>0</v>
      </c>
      <c r="CM22" s="1379">
        <f t="shared" si="54"/>
        <v>0</v>
      </c>
      <c r="CN22" s="628">
        <f>(BS22*Pricing!F$3+BT22*Pricing!G$3+BU22*Pricing!H$3+BV22*Pricing!I$3+BW22*Pricing!J$3+BX22*Pricing!K$3+BY22*Pricing!L$3+BZ22*Pricing!M$3+CA22*Pricing!N$3+CB22*Pricing!O$3)*IF(W$44="N",(1+Y$44),1)</f>
        <v>0</v>
      </c>
      <c r="CO22" s="628">
        <f t="shared" si="55"/>
        <v>0</v>
      </c>
      <c r="CP22" s="1380">
        <f t="shared" si="56"/>
        <v>0</v>
      </c>
      <c r="CQ22" s="628">
        <f t="shared" si="57"/>
        <v>0</v>
      </c>
      <c r="CR22" s="628">
        <f t="shared" si="58"/>
        <v>0</v>
      </c>
      <c r="CS22" s="628"/>
      <c r="CT22" s="1381">
        <f t="shared" si="59"/>
        <v>0</v>
      </c>
      <c r="CU22" s="628">
        <f t="shared" si="60"/>
        <v>0</v>
      </c>
      <c r="CV22" s="628">
        <f t="shared" si="61"/>
        <v>0</v>
      </c>
      <c r="CW22" s="628">
        <f t="shared" si="62"/>
        <v>0</v>
      </c>
      <c r="CX22" s="628">
        <f t="shared" si="63"/>
        <v>0</v>
      </c>
      <c r="CY22" s="628">
        <f t="shared" si="64"/>
        <v>0</v>
      </c>
      <c r="CZ22" s="628">
        <f t="shared" si="65"/>
        <v>0</v>
      </c>
      <c r="DA22" s="628">
        <f t="shared" si="66"/>
        <v>0</v>
      </c>
      <c r="DB22" s="628">
        <f t="shared" si="67"/>
        <v>0</v>
      </c>
      <c r="DC22" s="628">
        <f t="shared" si="68"/>
        <v>0</v>
      </c>
      <c r="DD22" s="628">
        <f t="shared" si="69"/>
        <v>0</v>
      </c>
      <c r="DE22" s="1382" t="e">
        <f t="shared" si="70"/>
        <v>#DIV/0!</v>
      </c>
      <c r="DF22" s="626">
        <f t="shared" si="71"/>
        <v>0</v>
      </c>
      <c r="DG22" s="626">
        <f t="shared" si="72"/>
        <v>0</v>
      </c>
      <c r="DH22" s="626">
        <f t="shared" si="73"/>
        <v>0</v>
      </c>
      <c r="DI22" s="626">
        <f t="shared" si="74"/>
        <v>0</v>
      </c>
      <c r="DJ22" s="626">
        <f t="shared" si="75"/>
        <v>0</v>
      </c>
      <c r="DK22" s="626">
        <f t="shared" si="76"/>
        <v>0</v>
      </c>
      <c r="DL22" s="626">
        <f t="shared" si="77"/>
        <v>0</v>
      </c>
      <c r="DM22" s="626">
        <f t="shared" si="78"/>
        <v>0</v>
      </c>
      <c r="DN22" s="626">
        <f t="shared" si="79"/>
        <v>0</v>
      </c>
      <c r="DO22" s="626">
        <f t="shared" si="80"/>
        <v>0</v>
      </c>
      <c r="DP22" s="1405">
        <f t="shared" si="81"/>
        <v>0</v>
      </c>
      <c r="DQ22" s="1270" t="str">
        <f t="shared" si="82"/>
        <v/>
      </c>
      <c r="DR22" s="1270" t="str">
        <f t="shared" si="83"/>
        <v/>
      </c>
      <c r="DS22" s="1270" t="str">
        <f t="shared" si="84"/>
        <v/>
      </c>
      <c r="DT22" s="1270" t="str">
        <f t="shared" si="85"/>
        <v/>
      </c>
      <c r="DU22" s="1270" t="str">
        <f t="shared" si="86"/>
        <v/>
      </c>
      <c r="DV22" s="1270" t="str">
        <f t="shared" si="87"/>
        <v/>
      </c>
      <c r="DW22" s="1270" t="str">
        <f t="shared" si="88"/>
        <v/>
      </c>
      <c r="DX22" s="1371">
        <f t="shared" si="89"/>
        <v>0</v>
      </c>
      <c r="DY22" s="1270" t="str">
        <f t="shared" si="90"/>
        <v/>
      </c>
      <c r="DZ22" s="1270" t="str">
        <f t="shared" si="91"/>
        <v/>
      </c>
      <c r="EA22" s="1270" t="str">
        <f t="shared" si="92"/>
        <v/>
      </c>
      <c r="EB22" s="1270" t="str">
        <f t="shared" si="93"/>
        <v/>
      </c>
      <c r="EC22" s="1270" t="str">
        <f t="shared" si="94"/>
        <v/>
      </c>
      <c r="ED22" s="1270" t="str">
        <f t="shared" si="95"/>
        <v/>
      </c>
      <c r="EE22" s="1270" t="str">
        <f t="shared" si="96"/>
        <v/>
      </c>
      <c r="EF22" s="1371">
        <f t="shared" si="97"/>
        <v>0</v>
      </c>
    </row>
    <row r="23" spans="1:136" ht="19.5" customHeight="1">
      <c r="A23" s="18" t="s">
        <v>1328</v>
      </c>
      <c r="B23" s="1385"/>
      <c r="C23" s="1386"/>
      <c r="D23" s="1387"/>
      <c r="E23" s="1388"/>
      <c r="F23" s="984"/>
      <c r="G23" s="1389"/>
      <c r="H23" s="984"/>
      <c r="I23" s="1389"/>
      <c r="J23" s="984"/>
      <c r="K23" s="1390"/>
      <c r="L23" s="1391"/>
      <c r="M23" s="1392"/>
      <c r="N23" s="1393"/>
      <c r="O23" s="1394"/>
      <c r="P23" s="1351">
        <f t="shared" si="0"/>
        <v>0</v>
      </c>
      <c r="Q23" s="1352">
        <f t="shared" si="1"/>
        <v>0</v>
      </c>
      <c r="R23" s="1353">
        <f t="shared" si="2"/>
        <v>0</v>
      </c>
      <c r="S23" s="1354" t="e">
        <f t="shared" si="3"/>
        <v>#DIV/0!</v>
      </c>
      <c r="T23" s="1355">
        <f t="shared" si="4"/>
        <v>0</v>
      </c>
      <c r="U23" s="1356">
        <f t="shared" si="5"/>
        <v>0</v>
      </c>
      <c r="V23" s="1357">
        <f t="shared" si="6"/>
        <v>0</v>
      </c>
      <c r="W23" s="1395"/>
      <c r="X23" s="1396"/>
      <c r="Y23" s="1395"/>
      <c r="Z23" s="1397"/>
      <c r="AA23" s="1395"/>
      <c r="AB23" s="1397"/>
      <c r="AC23" s="1398"/>
      <c r="AD23" s="1396"/>
      <c r="AE23" s="1395"/>
      <c r="AF23" s="1399"/>
      <c r="AG23" s="1400"/>
      <c r="AH23" s="1399"/>
      <c r="AI23" s="1401"/>
      <c r="AJ23" s="1396"/>
      <c r="AK23" s="1401"/>
      <c r="AL23" s="1417"/>
      <c r="AM23" s="1395"/>
      <c r="AN23" s="1402"/>
      <c r="AO23" s="1395"/>
      <c r="AP23" s="1397"/>
      <c r="AQ23" s="1275" t="e">
        <f t="shared" si="7"/>
        <v>#DIV/0!</v>
      </c>
      <c r="AR23" s="1369" t="str">
        <f t="shared" si="8"/>
        <v/>
      </c>
      <c r="AS23" s="1270" t="str">
        <f t="shared" si="9"/>
        <v/>
      </c>
      <c r="AT23" s="1270" t="str">
        <f t="shared" si="10"/>
        <v/>
      </c>
      <c r="AU23" s="1270" t="str">
        <f t="shared" si="11"/>
        <v/>
      </c>
      <c r="AV23" s="1270" t="str">
        <f t="shared" si="12"/>
        <v/>
      </c>
      <c r="AW23" s="1270" t="str">
        <f t="shared" si="13"/>
        <v/>
      </c>
      <c r="AX23" s="1270" t="str">
        <f t="shared" si="14"/>
        <v/>
      </c>
      <c r="AY23" s="1270" t="str">
        <f t="shared" si="15"/>
        <v/>
      </c>
      <c r="AZ23" s="1270" t="str">
        <f t="shared" si="16"/>
        <v/>
      </c>
      <c r="BA23" s="1270" t="str">
        <f t="shared" si="17"/>
        <v/>
      </c>
      <c r="BB23" s="1371">
        <f t="shared" si="18"/>
        <v>0</v>
      </c>
      <c r="BC23" s="1369" t="str">
        <f t="shared" si="19"/>
        <v/>
      </c>
      <c r="BD23" s="1270" t="str">
        <f t="shared" si="20"/>
        <v/>
      </c>
      <c r="BE23" s="1270" t="str">
        <f t="shared" si="21"/>
        <v/>
      </c>
      <c r="BF23" s="1270" t="str">
        <f t="shared" si="22"/>
        <v/>
      </c>
      <c r="BG23" s="1270" t="str">
        <f t="shared" si="23"/>
        <v/>
      </c>
      <c r="BH23" s="1270" t="str">
        <f t="shared" si="24"/>
        <v/>
      </c>
      <c r="BI23" s="1270" t="str">
        <f t="shared" si="25"/>
        <v/>
      </c>
      <c r="BJ23" s="1270" t="str">
        <f t="shared" si="26"/>
        <v/>
      </c>
      <c r="BK23" s="1270" t="str">
        <f t="shared" si="27"/>
        <v/>
      </c>
      <c r="BL23" s="1270" t="str">
        <f t="shared" si="28"/>
        <v/>
      </c>
      <c r="BM23" s="1371">
        <f t="shared" si="29"/>
        <v>0</v>
      </c>
      <c r="BN23" s="1372">
        <f t="shared" si="30"/>
        <v>0</v>
      </c>
      <c r="BO23" s="1372">
        <f t="shared" si="31"/>
        <v>0</v>
      </c>
      <c r="BP23" s="1372">
        <f t="shared" si="32"/>
        <v>0</v>
      </c>
      <c r="BQ23" s="1374">
        <f t="shared" si="33"/>
        <v>0</v>
      </c>
      <c r="BR23" s="1251">
        <f t="shared" si="34"/>
        <v>0</v>
      </c>
      <c r="BS23" s="1403">
        <f t="shared" si="35"/>
        <v>0</v>
      </c>
      <c r="BT23" s="1372">
        <f t="shared" si="36"/>
        <v>0</v>
      </c>
      <c r="BU23" s="1372">
        <f t="shared" si="37"/>
        <v>0</v>
      </c>
      <c r="BV23" s="1372">
        <f t="shared" si="38"/>
        <v>0</v>
      </c>
      <c r="BW23" s="1372">
        <f t="shared" si="39"/>
        <v>0</v>
      </c>
      <c r="BX23" s="1372">
        <f t="shared" si="40"/>
        <v>0</v>
      </c>
      <c r="BY23" s="1372">
        <f t="shared" si="41"/>
        <v>0</v>
      </c>
      <c r="BZ23" s="1372">
        <f t="shared" si="42"/>
        <v>0</v>
      </c>
      <c r="CA23" s="1372">
        <f t="shared" si="43"/>
        <v>0</v>
      </c>
      <c r="CB23" s="1404">
        <f t="shared" si="44"/>
        <v>0</v>
      </c>
      <c r="CC23" s="1374">
        <f t="shared" si="98"/>
        <v>0</v>
      </c>
      <c r="CD23" s="1374">
        <f t="shared" si="45"/>
        <v>0</v>
      </c>
      <c r="CE23" s="1374">
        <f t="shared" si="46"/>
        <v>0</v>
      </c>
      <c r="CF23" s="1378">
        <f t="shared" si="47"/>
        <v>0</v>
      </c>
      <c r="CG23" s="1378">
        <f t="shared" si="48"/>
        <v>0</v>
      </c>
      <c r="CH23" s="1378">
        <f t="shared" si="49"/>
        <v>0</v>
      </c>
      <c r="CI23" s="1374">
        <f t="shared" si="50"/>
        <v>0</v>
      </c>
      <c r="CJ23" s="1374">
        <f t="shared" si="51"/>
        <v>0</v>
      </c>
      <c r="CK23" s="1374" t="str">
        <f t="shared" si="52"/>
        <v/>
      </c>
      <c r="CL23" s="1374">
        <f t="shared" si="53"/>
        <v>0</v>
      </c>
      <c r="CM23" s="1379">
        <f t="shared" si="54"/>
        <v>0</v>
      </c>
      <c r="CN23" s="628">
        <f>(BS23*Pricing!F$3+BT23*Pricing!G$3+BU23*Pricing!H$3+BV23*Pricing!I$3+BW23*Pricing!J$3+BX23*Pricing!K$3+BY23*Pricing!L$3+BZ23*Pricing!M$3+CA23*Pricing!N$3+CB23*Pricing!O$3)*IF(W$44="N",(1+Y$44),1)</f>
        <v>0</v>
      </c>
      <c r="CO23" s="628">
        <f t="shared" si="55"/>
        <v>0</v>
      </c>
      <c r="CP23" s="1380">
        <f t="shared" si="56"/>
        <v>0</v>
      </c>
      <c r="CQ23" s="628">
        <f t="shared" si="57"/>
        <v>0</v>
      </c>
      <c r="CR23" s="628">
        <f t="shared" si="58"/>
        <v>0</v>
      </c>
      <c r="CS23" s="628"/>
      <c r="CT23" s="1381">
        <f t="shared" si="59"/>
        <v>0</v>
      </c>
      <c r="CU23" s="628">
        <f t="shared" si="60"/>
        <v>0</v>
      </c>
      <c r="CV23" s="628">
        <f t="shared" si="61"/>
        <v>0</v>
      </c>
      <c r="CW23" s="628">
        <f t="shared" si="62"/>
        <v>0</v>
      </c>
      <c r="CX23" s="628">
        <f t="shared" si="63"/>
        <v>0</v>
      </c>
      <c r="CY23" s="628">
        <f t="shared" si="64"/>
        <v>0</v>
      </c>
      <c r="CZ23" s="628">
        <f t="shared" si="65"/>
        <v>0</v>
      </c>
      <c r="DA23" s="628">
        <f t="shared" si="66"/>
        <v>0</v>
      </c>
      <c r="DB23" s="628">
        <f t="shared" si="67"/>
        <v>0</v>
      </c>
      <c r="DC23" s="628">
        <f t="shared" si="68"/>
        <v>0</v>
      </c>
      <c r="DD23" s="628">
        <f t="shared" si="69"/>
        <v>0</v>
      </c>
      <c r="DE23" s="1382" t="e">
        <f t="shared" si="70"/>
        <v>#DIV/0!</v>
      </c>
      <c r="DF23" s="626">
        <f t="shared" si="71"/>
        <v>0</v>
      </c>
      <c r="DG23" s="626">
        <f t="shared" si="72"/>
        <v>0</v>
      </c>
      <c r="DH23" s="626">
        <f t="shared" si="73"/>
        <v>0</v>
      </c>
      <c r="DI23" s="626">
        <f t="shared" si="74"/>
        <v>0</v>
      </c>
      <c r="DJ23" s="626">
        <f t="shared" si="75"/>
        <v>0</v>
      </c>
      <c r="DK23" s="626">
        <f t="shared" si="76"/>
        <v>0</v>
      </c>
      <c r="DL23" s="626">
        <f t="shared" si="77"/>
        <v>0</v>
      </c>
      <c r="DM23" s="626">
        <f t="shared" si="78"/>
        <v>0</v>
      </c>
      <c r="DN23" s="626">
        <f t="shared" si="79"/>
        <v>0</v>
      </c>
      <c r="DO23" s="626">
        <f t="shared" si="80"/>
        <v>0</v>
      </c>
      <c r="DP23" s="1405">
        <f t="shared" si="81"/>
        <v>0</v>
      </c>
      <c r="DQ23" s="1270" t="str">
        <f t="shared" si="82"/>
        <v/>
      </c>
      <c r="DR23" s="1270" t="str">
        <f t="shared" si="83"/>
        <v/>
      </c>
      <c r="DS23" s="1270" t="str">
        <f t="shared" si="84"/>
        <v/>
      </c>
      <c r="DT23" s="1270" t="str">
        <f t="shared" si="85"/>
        <v/>
      </c>
      <c r="DU23" s="1270" t="str">
        <f t="shared" si="86"/>
        <v/>
      </c>
      <c r="DV23" s="1270" t="str">
        <f t="shared" si="87"/>
        <v/>
      </c>
      <c r="DW23" s="1270" t="str">
        <f t="shared" si="88"/>
        <v/>
      </c>
      <c r="DX23" s="1371">
        <f t="shared" si="89"/>
        <v>0</v>
      </c>
      <c r="DY23" s="1270" t="str">
        <f t="shared" si="90"/>
        <v/>
      </c>
      <c r="DZ23" s="1270" t="str">
        <f t="shared" si="91"/>
        <v/>
      </c>
      <c r="EA23" s="1270" t="str">
        <f t="shared" si="92"/>
        <v/>
      </c>
      <c r="EB23" s="1270" t="str">
        <f t="shared" si="93"/>
        <v/>
      </c>
      <c r="EC23" s="1270" t="str">
        <f t="shared" si="94"/>
        <v/>
      </c>
      <c r="ED23" s="1270" t="str">
        <f t="shared" si="95"/>
        <v/>
      </c>
      <c r="EE23" s="1270" t="str">
        <f t="shared" si="96"/>
        <v/>
      </c>
      <c r="EF23" s="1371">
        <f t="shared" si="97"/>
        <v>0</v>
      </c>
    </row>
    <row r="24" spans="1:136" ht="19.5" customHeight="1">
      <c r="A24" s="18" t="s">
        <v>1330</v>
      </c>
      <c r="B24" s="859"/>
      <c r="C24" s="1342"/>
      <c r="D24" s="1343"/>
      <c r="E24" s="1344"/>
      <c r="F24" s="984"/>
      <c r="G24" s="1389"/>
      <c r="H24" s="984"/>
      <c r="I24" s="1389"/>
      <c r="J24" s="984"/>
      <c r="K24" s="1390"/>
      <c r="L24" s="503"/>
      <c r="M24" s="834"/>
      <c r="N24" s="1349"/>
      <c r="O24" s="1350"/>
      <c r="P24" s="1351">
        <f t="shared" si="0"/>
        <v>0</v>
      </c>
      <c r="Q24" s="1352">
        <f t="shared" si="1"/>
        <v>0</v>
      </c>
      <c r="R24" s="1353">
        <f t="shared" si="2"/>
        <v>0</v>
      </c>
      <c r="S24" s="1354" t="e">
        <f t="shared" si="3"/>
        <v>#DIV/0!</v>
      </c>
      <c r="T24" s="1355">
        <f t="shared" si="4"/>
        <v>0</v>
      </c>
      <c r="U24" s="1356">
        <f t="shared" si="5"/>
        <v>0</v>
      </c>
      <c r="V24" s="1357">
        <f t="shared" si="6"/>
        <v>0</v>
      </c>
      <c r="W24" s="1347"/>
      <c r="X24" s="1362"/>
      <c r="Y24" s="503"/>
      <c r="Z24" s="1410"/>
      <c r="AA24" s="503"/>
      <c r="AB24" s="1410"/>
      <c r="AC24" s="1361"/>
      <c r="AD24" s="1362"/>
      <c r="AE24" s="1347"/>
      <c r="AF24" s="1363"/>
      <c r="AG24" s="1364"/>
      <c r="AH24" s="1363"/>
      <c r="AI24" s="1365"/>
      <c r="AJ24" s="1366"/>
      <c r="AK24" s="1367"/>
      <c r="AL24" s="1418"/>
      <c r="AM24" s="503"/>
      <c r="AN24" s="1411"/>
      <c r="AO24" s="503"/>
      <c r="AP24" s="1410"/>
      <c r="AQ24" s="1275" t="e">
        <f t="shared" si="7"/>
        <v>#DIV/0!</v>
      </c>
      <c r="AR24" s="1369" t="str">
        <f t="shared" si="8"/>
        <v/>
      </c>
      <c r="AS24" s="1270" t="str">
        <f t="shared" si="9"/>
        <v/>
      </c>
      <c r="AT24" s="1270" t="str">
        <f t="shared" si="10"/>
        <v/>
      </c>
      <c r="AU24" s="1270" t="str">
        <f t="shared" si="11"/>
        <v/>
      </c>
      <c r="AV24" s="1270" t="str">
        <f t="shared" si="12"/>
        <v/>
      </c>
      <c r="AW24" s="1270" t="str">
        <f t="shared" si="13"/>
        <v/>
      </c>
      <c r="AX24" s="1270" t="str">
        <f t="shared" si="14"/>
        <v/>
      </c>
      <c r="AY24" s="1270" t="str">
        <f t="shared" si="15"/>
        <v/>
      </c>
      <c r="AZ24" s="1270" t="str">
        <f t="shared" si="16"/>
        <v/>
      </c>
      <c r="BA24" s="1270" t="str">
        <f t="shared" si="17"/>
        <v/>
      </c>
      <c r="BB24" s="1371">
        <f t="shared" si="18"/>
        <v>0</v>
      </c>
      <c r="BC24" s="1369" t="str">
        <f t="shared" si="19"/>
        <v/>
      </c>
      <c r="BD24" s="1270" t="str">
        <f t="shared" si="20"/>
        <v/>
      </c>
      <c r="BE24" s="1270" t="str">
        <f t="shared" si="21"/>
        <v/>
      </c>
      <c r="BF24" s="1270" t="str">
        <f t="shared" si="22"/>
        <v/>
      </c>
      <c r="BG24" s="1270" t="str">
        <f t="shared" si="23"/>
        <v/>
      </c>
      <c r="BH24" s="1270" t="str">
        <f t="shared" si="24"/>
        <v/>
      </c>
      <c r="BI24" s="1270" t="str">
        <f t="shared" si="25"/>
        <v/>
      </c>
      <c r="BJ24" s="1270" t="str">
        <f t="shared" si="26"/>
        <v/>
      </c>
      <c r="BK24" s="1270" t="str">
        <f t="shared" si="27"/>
        <v/>
      </c>
      <c r="BL24" s="1270" t="str">
        <f t="shared" si="28"/>
        <v/>
      </c>
      <c r="BM24" s="1371">
        <f t="shared" si="29"/>
        <v>0</v>
      </c>
      <c r="BN24" s="1372">
        <f t="shared" si="30"/>
        <v>0</v>
      </c>
      <c r="BO24" s="1372">
        <f t="shared" si="31"/>
        <v>0</v>
      </c>
      <c r="BP24" s="1372">
        <f t="shared" si="32"/>
        <v>0</v>
      </c>
      <c r="BQ24" s="1374">
        <f t="shared" si="33"/>
        <v>0</v>
      </c>
      <c r="BR24" s="1251">
        <f t="shared" si="34"/>
        <v>0</v>
      </c>
      <c r="BS24" s="1403">
        <f t="shared" si="35"/>
        <v>0</v>
      </c>
      <c r="BT24" s="1372">
        <f t="shared" si="36"/>
        <v>0</v>
      </c>
      <c r="BU24" s="1372">
        <f t="shared" si="37"/>
        <v>0</v>
      </c>
      <c r="BV24" s="1372">
        <f t="shared" si="38"/>
        <v>0</v>
      </c>
      <c r="BW24" s="1372">
        <f t="shared" si="39"/>
        <v>0</v>
      </c>
      <c r="BX24" s="1372">
        <f t="shared" si="40"/>
        <v>0</v>
      </c>
      <c r="BY24" s="1372">
        <f t="shared" si="41"/>
        <v>0</v>
      </c>
      <c r="BZ24" s="1372">
        <f t="shared" si="42"/>
        <v>0</v>
      </c>
      <c r="CA24" s="1372">
        <f t="shared" si="43"/>
        <v>0</v>
      </c>
      <c r="CB24" s="1404">
        <f t="shared" si="44"/>
        <v>0</v>
      </c>
      <c r="CC24" s="1374">
        <f t="shared" si="98"/>
        <v>0</v>
      </c>
      <c r="CD24" s="1374">
        <f t="shared" si="45"/>
        <v>0</v>
      </c>
      <c r="CE24" s="1374">
        <f t="shared" si="46"/>
        <v>0</v>
      </c>
      <c r="CF24" s="1378">
        <f t="shared" si="47"/>
        <v>0</v>
      </c>
      <c r="CG24" s="1378">
        <f t="shared" si="48"/>
        <v>0</v>
      </c>
      <c r="CH24" s="1378">
        <f t="shared" si="49"/>
        <v>0</v>
      </c>
      <c r="CI24" s="1374">
        <f t="shared" si="50"/>
        <v>0</v>
      </c>
      <c r="CJ24" s="1374">
        <f t="shared" si="51"/>
        <v>0</v>
      </c>
      <c r="CK24" s="1374" t="str">
        <f t="shared" si="52"/>
        <v/>
      </c>
      <c r="CL24" s="1374">
        <f t="shared" si="53"/>
        <v>0</v>
      </c>
      <c r="CM24" s="1379">
        <f t="shared" si="54"/>
        <v>0</v>
      </c>
      <c r="CN24" s="628">
        <f>(BS24*Pricing!F$3+BT24*Pricing!G$3+BU24*Pricing!H$3+BV24*Pricing!I$3+BW24*Pricing!J$3+BX24*Pricing!K$3+BY24*Pricing!L$3+BZ24*Pricing!M$3+CA24*Pricing!N$3+CB24*Pricing!O$3)*IF(W$44="N",(1+Y$44),1)</f>
        <v>0</v>
      </c>
      <c r="CO24" s="628">
        <f t="shared" si="55"/>
        <v>0</v>
      </c>
      <c r="CP24" s="1380">
        <f t="shared" si="56"/>
        <v>0</v>
      </c>
      <c r="CQ24" s="628">
        <f t="shared" si="57"/>
        <v>0</v>
      </c>
      <c r="CR24" s="628">
        <f t="shared" si="58"/>
        <v>0</v>
      </c>
      <c r="CS24" s="628"/>
      <c r="CT24" s="1381">
        <f t="shared" si="59"/>
        <v>0</v>
      </c>
      <c r="CU24" s="628">
        <f t="shared" si="60"/>
        <v>0</v>
      </c>
      <c r="CV24" s="628">
        <f t="shared" si="61"/>
        <v>0</v>
      </c>
      <c r="CW24" s="628">
        <f t="shared" si="62"/>
        <v>0</v>
      </c>
      <c r="CX24" s="628">
        <f t="shared" si="63"/>
        <v>0</v>
      </c>
      <c r="CY24" s="628">
        <f t="shared" si="64"/>
        <v>0</v>
      </c>
      <c r="CZ24" s="628">
        <f t="shared" si="65"/>
        <v>0</v>
      </c>
      <c r="DA24" s="628">
        <f t="shared" si="66"/>
        <v>0</v>
      </c>
      <c r="DB24" s="628">
        <f t="shared" si="67"/>
        <v>0</v>
      </c>
      <c r="DC24" s="628">
        <f t="shared" si="68"/>
        <v>0</v>
      </c>
      <c r="DD24" s="628">
        <f t="shared" si="69"/>
        <v>0</v>
      </c>
      <c r="DE24" s="1382" t="e">
        <f t="shared" si="70"/>
        <v>#DIV/0!</v>
      </c>
      <c r="DF24" s="626">
        <f t="shared" si="71"/>
        <v>0</v>
      </c>
      <c r="DG24" s="626">
        <f t="shared" si="72"/>
        <v>0</v>
      </c>
      <c r="DH24" s="626">
        <f t="shared" si="73"/>
        <v>0</v>
      </c>
      <c r="DI24" s="626">
        <f t="shared" si="74"/>
        <v>0</v>
      </c>
      <c r="DJ24" s="626">
        <f t="shared" si="75"/>
        <v>0</v>
      </c>
      <c r="DK24" s="626">
        <f t="shared" si="76"/>
        <v>0</v>
      </c>
      <c r="DL24" s="626">
        <f t="shared" si="77"/>
        <v>0</v>
      </c>
      <c r="DM24" s="626">
        <f t="shared" si="78"/>
        <v>0</v>
      </c>
      <c r="DN24" s="626">
        <f t="shared" si="79"/>
        <v>0</v>
      </c>
      <c r="DO24" s="626">
        <f t="shared" si="80"/>
        <v>0</v>
      </c>
      <c r="DP24" s="1405">
        <f t="shared" si="81"/>
        <v>0</v>
      </c>
      <c r="DQ24" s="1270" t="str">
        <f t="shared" si="82"/>
        <v/>
      </c>
      <c r="DR24" s="1270" t="str">
        <f t="shared" si="83"/>
        <v/>
      </c>
      <c r="DS24" s="1270" t="str">
        <f t="shared" si="84"/>
        <v/>
      </c>
      <c r="DT24" s="1270" t="str">
        <f t="shared" si="85"/>
        <v/>
      </c>
      <c r="DU24" s="1270" t="str">
        <f t="shared" si="86"/>
        <v/>
      </c>
      <c r="DV24" s="1270" t="str">
        <f t="shared" si="87"/>
        <v/>
      </c>
      <c r="DW24" s="1270" t="str">
        <f t="shared" si="88"/>
        <v/>
      </c>
      <c r="DX24" s="1371">
        <f t="shared" si="89"/>
        <v>0</v>
      </c>
      <c r="DY24" s="1270" t="str">
        <f t="shared" si="90"/>
        <v/>
      </c>
      <c r="DZ24" s="1270" t="str">
        <f t="shared" si="91"/>
        <v/>
      </c>
      <c r="EA24" s="1270" t="str">
        <f t="shared" si="92"/>
        <v/>
      </c>
      <c r="EB24" s="1270" t="str">
        <f t="shared" si="93"/>
        <v/>
      </c>
      <c r="EC24" s="1270" t="str">
        <f t="shared" si="94"/>
        <v/>
      </c>
      <c r="ED24" s="1270" t="str">
        <f t="shared" si="95"/>
        <v/>
      </c>
      <c r="EE24" s="1270" t="str">
        <f t="shared" si="96"/>
        <v/>
      </c>
      <c r="EF24" s="1371">
        <f t="shared" si="97"/>
        <v>0</v>
      </c>
    </row>
    <row r="25" spans="1:136" ht="19.5" customHeight="1">
      <c r="A25" s="18" t="s">
        <v>1568</v>
      </c>
      <c r="B25" s="1385"/>
      <c r="C25" s="1386"/>
      <c r="D25" s="1387"/>
      <c r="E25" s="1388"/>
      <c r="F25" s="984"/>
      <c r="G25" s="1389"/>
      <c r="H25" s="984"/>
      <c r="I25" s="1389"/>
      <c r="J25" s="984"/>
      <c r="K25" s="1390"/>
      <c r="L25" s="1391"/>
      <c r="M25" s="1392"/>
      <c r="N25" s="1393"/>
      <c r="O25" s="1394"/>
      <c r="P25" s="1351">
        <f t="shared" si="0"/>
        <v>0</v>
      </c>
      <c r="Q25" s="1352">
        <f t="shared" si="1"/>
        <v>0</v>
      </c>
      <c r="R25" s="1353">
        <f t="shared" si="2"/>
        <v>0</v>
      </c>
      <c r="S25" s="1354" t="e">
        <f t="shared" si="3"/>
        <v>#DIV/0!</v>
      </c>
      <c r="T25" s="1355">
        <f t="shared" si="4"/>
        <v>0</v>
      </c>
      <c r="U25" s="1356">
        <f t="shared" si="5"/>
        <v>0</v>
      </c>
      <c r="V25" s="1357">
        <f t="shared" si="6"/>
        <v>0</v>
      </c>
      <c r="W25" s="1395"/>
      <c r="X25" s="1396"/>
      <c r="Y25" s="1395"/>
      <c r="Z25" s="1397"/>
      <c r="AA25" s="1395"/>
      <c r="AB25" s="1397"/>
      <c r="AC25" s="1398"/>
      <c r="AD25" s="1396"/>
      <c r="AE25" s="1395"/>
      <c r="AF25" s="1399"/>
      <c r="AG25" s="1400"/>
      <c r="AH25" s="1399"/>
      <c r="AI25" s="1401"/>
      <c r="AJ25" s="1396"/>
      <c r="AK25" s="1401"/>
      <c r="AL25" s="1417"/>
      <c r="AM25" s="1395"/>
      <c r="AN25" s="1402"/>
      <c r="AO25" s="1395"/>
      <c r="AP25" s="1397"/>
      <c r="AQ25" s="1275" t="e">
        <f t="shared" si="7"/>
        <v>#DIV/0!</v>
      </c>
      <c r="AR25" s="1369" t="str">
        <f t="shared" si="8"/>
        <v/>
      </c>
      <c r="AS25" s="1270" t="str">
        <f t="shared" si="9"/>
        <v/>
      </c>
      <c r="AT25" s="1270" t="str">
        <f t="shared" si="10"/>
        <v/>
      </c>
      <c r="AU25" s="1270" t="str">
        <f t="shared" si="11"/>
        <v/>
      </c>
      <c r="AV25" s="1270" t="str">
        <f t="shared" si="12"/>
        <v/>
      </c>
      <c r="AW25" s="1270" t="str">
        <f t="shared" si="13"/>
        <v/>
      </c>
      <c r="AX25" s="1270" t="str">
        <f t="shared" si="14"/>
        <v/>
      </c>
      <c r="AY25" s="1270" t="str">
        <f t="shared" si="15"/>
        <v/>
      </c>
      <c r="AZ25" s="1270" t="str">
        <f t="shared" si="16"/>
        <v/>
      </c>
      <c r="BA25" s="1270" t="str">
        <f t="shared" si="17"/>
        <v/>
      </c>
      <c r="BB25" s="1371">
        <f t="shared" si="18"/>
        <v>0</v>
      </c>
      <c r="BC25" s="1369" t="str">
        <f t="shared" si="19"/>
        <v/>
      </c>
      <c r="BD25" s="1270" t="str">
        <f t="shared" si="20"/>
        <v/>
      </c>
      <c r="BE25" s="1270" t="str">
        <f t="shared" si="21"/>
        <v/>
      </c>
      <c r="BF25" s="1270" t="str">
        <f t="shared" si="22"/>
        <v/>
      </c>
      <c r="BG25" s="1270" t="str">
        <f t="shared" si="23"/>
        <v/>
      </c>
      <c r="BH25" s="1270" t="str">
        <f t="shared" si="24"/>
        <v/>
      </c>
      <c r="BI25" s="1270" t="str">
        <f t="shared" si="25"/>
        <v/>
      </c>
      <c r="BJ25" s="1270" t="str">
        <f t="shared" si="26"/>
        <v/>
      </c>
      <c r="BK25" s="1270" t="str">
        <f t="shared" si="27"/>
        <v/>
      </c>
      <c r="BL25" s="1270" t="str">
        <f t="shared" si="28"/>
        <v/>
      </c>
      <c r="BM25" s="1371">
        <f t="shared" si="29"/>
        <v>0</v>
      </c>
      <c r="BN25" s="1372">
        <f t="shared" si="30"/>
        <v>0</v>
      </c>
      <c r="BO25" s="1372">
        <f t="shared" si="31"/>
        <v>0</v>
      </c>
      <c r="BP25" s="1372">
        <f t="shared" si="32"/>
        <v>0</v>
      </c>
      <c r="BQ25" s="1374">
        <f t="shared" si="33"/>
        <v>0</v>
      </c>
      <c r="BR25" s="1251">
        <f t="shared" si="34"/>
        <v>0</v>
      </c>
      <c r="BS25" s="1403">
        <f t="shared" si="35"/>
        <v>0</v>
      </c>
      <c r="BT25" s="1372">
        <f t="shared" si="36"/>
        <v>0</v>
      </c>
      <c r="BU25" s="1372">
        <f t="shared" si="37"/>
        <v>0</v>
      </c>
      <c r="BV25" s="1372">
        <f t="shared" si="38"/>
        <v>0</v>
      </c>
      <c r="BW25" s="1372">
        <f t="shared" si="39"/>
        <v>0</v>
      </c>
      <c r="BX25" s="1372">
        <f t="shared" si="40"/>
        <v>0</v>
      </c>
      <c r="BY25" s="1372">
        <f t="shared" si="41"/>
        <v>0</v>
      </c>
      <c r="BZ25" s="1372">
        <f t="shared" si="42"/>
        <v>0</v>
      </c>
      <c r="CA25" s="1372">
        <f t="shared" si="43"/>
        <v>0</v>
      </c>
      <c r="CB25" s="1404">
        <f t="shared" si="44"/>
        <v>0</v>
      </c>
      <c r="CC25" s="1374">
        <f t="shared" si="98"/>
        <v>0</v>
      </c>
      <c r="CD25" s="1374">
        <f t="shared" si="45"/>
        <v>0</v>
      </c>
      <c r="CE25" s="1374">
        <f t="shared" si="46"/>
        <v>0</v>
      </c>
      <c r="CF25" s="1378">
        <f t="shared" si="47"/>
        <v>0</v>
      </c>
      <c r="CG25" s="1378">
        <f t="shared" si="48"/>
        <v>0</v>
      </c>
      <c r="CH25" s="1378">
        <f t="shared" si="49"/>
        <v>0</v>
      </c>
      <c r="CI25" s="1374">
        <f t="shared" si="50"/>
        <v>0</v>
      </c>
      <c r="CJ25" s="1374">
        <f t="shared" si="51"/>
        <v>0</v>
      </c>
      <c r="CK25" s="1374" t="str">
        <f t="shared" si="52"/>
        <v/>
      </c>
      <c r="CL25" s="1374">
        <f t="shared" si="53"/>
        <v>0</v>
      </c>
      <c r="CM25" s="1379">
        <f t="shared" si="54"/>
        <v>0</v>
      </c>
      <c r="CN25" s="628">
        <f>(BS25*Pricing!F$3+BT25*Pricing!G$3+BU25*Pricing!H$3+BV25*Pricing!I$3+BW25*Pricing!J$3+BX25*Pricing!K$3+BY25*Pricing!L$3+BZ25*Pricing!M$3+CA25*Pricing!N$3+CB25*Pricing!O$3)*IF(W$44="N",(1+Y$44),1)</f>
        <v>0</v>
      </c>
      <c r="CO25" s="628">
        <f t="shared" si="55"/>
        <v>0</v>
      </c>
      <c r="CP25" s="1380">
        <f t="shared" si="56"/>
        <v>0</v>
      </c>
      <c r="CQ25" s="628">
        <f t="shared" si="57"/>
        <v>0</v>
      </c>
      <c r="CR25" s="628">
        <f t="shared" si="58"/>
        <v>0</v>
      </c>
      <c r="CS25" s="628"/>
      <c r="CT25" s="1381">
        <f t="shared" si="59"/>
        <v>0</v>
      </c>
      <c r="CU25" s="628">
        <f t="shared" si="60"/>
        <v>0</v>
      </c>
      <c r="CV25" s="628">
        <f t="shared" si="61"/>
        <v>0</v>
      </c>
      <c r="CW25" s="628">
        <f t="shared" si="62"/>
        <v>0</v>
      </c>
      <c r="CX25" s="628">
        <f t="shared" si="63"/>
        <v>0</v>
      </c>
      <c r="CY25" s="628">
        <f t="shared" si="64"/>
        <v>0</v>
      </c>
      <c r="CZ25" s="628">
        <f t="shared" si="65"/>
        <v>0</v>
      </c>
      <c r="DA25" s="628">
        <f t="shared" si="66"/>
        <v>0</v>
      </c>
      <c r="DB25" s="628">
        <f t="shared" si="67"/>
        <v>0</v>
      </c>
      <c r="DC25" s="628">
        <f t="shared" si="68"/>
        <v>0</v>
      </c>
      <c r="DD25" s="628">
        <f t="shared" si="69"/>
        <v>0</v>
      </c>
      <c r="DE25" s="1382" t="e">
        <f t="shared" si="70"/>
        <v>#DIV/0!</v>
      </c>
      <c r="DF25" s="626">
        <f t="shared" si="71"/>
        <v>0</v>
      </c>
      <c r="DG25" s="626">
        <f t="shared" si="72"/>
        <v>0</v>
      </c>
      <c r="DH25" s="626">
        <f t="shared" si="73"/>
        <v>0</v>
      </c>
      <c r="DI25" s="626">
        <f t="shared" si="74"/>
        <v>0</v>
      </c>
      <c r="DJ25" s="626">
        <f t="shared" si="75"/>
        <v>0</v>
      </c>
      <c r="DK25" s="626">
        <f t="shared" si="76"/>
        <v>0</v>
      </c>
      <c r="DL25" s="626">
        <f t="shared" si="77"/>
        <v>0</v>
      </c>
      <c r="DM25" s="626">
        <f t="shared" si="78"/>
        <v>0</v>
      </c>
      <c r="DN25" s="626">
        <f t="shared" si="79"/>
        <v>0</v>
      </c>
      <c r="DO25" s="626">
        <f t="shared" si="80"/>
        <v>0</v>
      </c>
      <c r="DP25" s="1405">
        <f t="shared" si="81"/>
        <v>0</v>
      </c>
      <c r="DQ25" s="1270" t="str">
        <f t="shared" si="82"/>
        <v/>
      </c>
      <c r="DR25" s="1270" t="str">
        <f t="shared" si="83"/>
        <v/>
      </c>
      <c r="DS25" s="1270" t="str">
        <f t="shared" si="84"/>
        <v/>
      </c>
      <c r="DT25" s="1270" t="str">
        <f t="shared" si="85"/>
        <v/>
      </c>
      <c r="DU25" s="1270" t="str">
        <f t="shared" si="86"/>
        <v/>
      </c>
      <c r="DV25" s="1270" t="str">
        <f t="shared" si="87"/>
        <v/>
      </c>
      <c r="DW25" s="1270" t="str">
        <f t="shared" si="88"/>
        <v/>
      </c>
      <c r="DX25" s="1371">
        <f t="shared" si="89"/>
        <v>0</v>
      </c>
      <c r="DY25" s="1270" t="str">
        <f t="shared" si="90"/>
        <v/>
      </c>
      <c r="DZ25" s="1270" t="str">
        <f t="shared" si="91"/>
        <v/>
      </c>
      <c r="EA25" s="1270" t="str">
        <f t="shared" si="92"/>
        <v/>
      </c>
      <c r="EB25" s="1270" t="str">
        <f t="shared" si="93"/>
        <v/>
      </c>
      <c r="EC25" s="1270" t="str">
        <f t="shared" si="94"/>
        <v/>
      </c>
      <c r="ED25" s="1270" t="str">
        <f t="shared" si="95"/>
        <v/>
      </c>
      <c r="EE25" s="1270" t="str">
        <f t="shared" si="96"/>
        <v/>
      </c>
      <c r="EF25" s="1371">
        <f t="shared" si="97"/>
        <v>0</v>
      </c>
    </row>
    <row r="26" spans="1:136" ht="19.5" customHeight="1">
      <c r="A26" s="18" t="s">
        <v>1570</v>
      </c>
      <c r="B26" s="859"/>
      <c r="C26" s="1342"/>
      <c r="D26" s="1343"/>
      <c r="E26" s="1344"/>
      <c r="F26" s="984"/>
      <c r="G26" s="1389"/>
      <c r="H26" s="984"/>
      <c r="I26" s="1389"/>
      <c r="J26" s="984"/>
      <c r="K26" s="1419"/>
      <c r="L26" s="503"/>
      <c r="M26" s="834"/>
      <c r="N26" s="1349"/>
      <c r="O26" s="1350"/>
      <c r="P26" s="1351">
        <f t="shared" si="0"/>
        <v>0</v>
      </c>
      <c r="Q26" s="1352">
        <f t="shared" si="1"/>
        <v>0</v>
      </c>
      <c r="R26" s="1353">
        <f t="shared" si="2"/>
        <v>0</v>
      </c>
      <c r="S26" s="1354" t="e">
        <f t="shared" si="3"/>
        <v>#DIV/0!</v>
      </c>
      <c r="T26" s="1355">
        <f t="shared" si="4"/>
        <v>0</v>
      </c>
      <c r="U26" s="1356">
        <f t="shared" si="5"/>
        <v>0</v>
      </c>
      <c r="V26" s="1357">
        <f t="shared" si="6"/>
        <v>0</v>
      </c>
      <c r="W26" s="1347"/>
      <c r="X26" s="1362"/>
      <c r="Y26" s="503"/>
      <c r="Z26" s="1410"/>
      <c r="AA26" s="503"/>
      <c r="AB26" s="1410"/>
      <c r="AC26" s="1361"/>
      <c r="AD26" s="1362"/>
      <c r="AE26" s="1347"/>
      <c r="AF26" s="1363"/>
      <c r="AG26" s="1364"/>
      <c r="AH26" s="1363"/>
      <c r="AI26" s="1365"/>
      <c r="AJ26" s="1366"/>
      <c r="AK26" s="1367"/>
      <c r="AL26" s="1418"/>
      <c r="AM26" s="503"/>
      <c r="AN26" s="1411"/>
      <c r="AO26" s="503"/>
      <c r="AP26" s="1410"/>
      <c r="AQ26" s="1275" t="e">
        <f t="shared" si="7"/>
        <v>#DIV/0!</v>
      </c>
      <c r="AR26" s="1369" t="str">
        <f t="shared" si="8"/>
        <v/>
      </c>
      <c r="AS26" s="1270" t="str">
        <f t="shared" si="9"/>
        <v/>
      </c>
      <c r="AT26" s="1270" t="str">
        <f t="shared" si="10"/>
        <v/>
      </c>
      <c r="AU26" s="1270" t="str">
        <f t="shared" si="11"/>
        <v/>
      </c>
      <c r="AV26" s="1270" t="str">
        <f t="shared" si="12"/>
        <v/>
      </c>
      <c r="AW26" s="1270" t="str">
        <f t="shared" si="13"/>
        <v/>
      </c>
      <c r="AX26" s="1270" t="str">
        <f t="shared" si="14"/>
        <v/>
      </c>
      <c r="AY26" s="1270" t="str">
        <f t="shared" si="15"/>
        <v/>
      </c>
      <c r="AZ26" s="1270" t="str">
        <f t="shared" si="16"/>
        <v/>
      </c>
      <c r="BA26" s="1270" t="str">
        <f t="shared" si="17"/>
        <v/>
      </c>
      <c r="BB26" s="1371">
        <f t="shared" si="18"/>
        <v>0</v>
      </c>
      <c r="BC26" s="1369" t="str">
        <f t="shared" si="19"/>
        <v/>
      </c>
      <c r="BD26" s="626" t="str">
        <f t="shared" si="20"/>
        <v/>
      </c>
      <c r="BE26" s="1270" t="str">
        <f t="shared" si="21"/>
        <v/>
      </c>
      <c r="BF26" s="626" t="str">
        <f t="shared" si="22"/>
        <v/>
      </c>
      <c r="BG26" s="626" t="str">
        <f t="shared" si="23"/>
        <v/>
      </c>
      <c r="BH26" s="626" t="str">
        <f t="shared" si="24"/>
        <v/>
      </c>
      <c r="BI26" s="626" t="str">
        <f t="shared" si="25"/>
        <v/>
      </c>
      <c r="BJ26" s="626" t="str">
        <f t="shared" si="26"/>
        <v/>
      </c>
      <c r="BK26" s="626" t="str">
        <f t="shared" si="27"/>
        <v/>
      </c>
      <c r="BL26" s="626" t="str">
        <f t="shared" si="28"/>
        <v/>
      </c>
      <c r="BM26" s="1420">
        <f t="shared" si="29"/>
        <v>0</v>
      </c>
      <c r="BN26" s="1372">
        <f t="shared" si="30"/>
        <v>0</v>
      </c>
      <c r="BO26" s="1372">
        <f t="shared" si="31"/>
        <v>0</v>
      </c>
      <c r="BP26" s="1372">
        <f t="shared" si="32"/>
        <v>0</v>
      </c>
      <c r="BQ26" s="1374">
        <f t="shared" si="33"/>
        <v>0</v>
      </c>
      <c r="BR26" s="1251">
        <f t="shared" si="34"/>
        <v>0</v>
      </c>
      <c r="BS26" s="1403">
        <f t="shared" si="35"/>
        <v>0</v>
      </c>
      <c r="BT26" s="1372">
        <f t="shared" si="36"/>
        <v>0</v>
      </c>
      <c r="BU26" s="1372">
        <f t="shared" si="37"/>
        <v>0</v>
      </c>
      <c r="BV26" s="1372">
        <f t="shared" si="38"/>
        <v>0</v>
      </c>
      <c r="BW26" s="1372">
        <f t="shared" si="39"/>
        <v>0</v>
      </c>
      <c r="BX26" s="1372">
        <f t="shared" si="40"/>
        <v>0</v>
      </c>
      <c r="BY26" s="1372">
        <f t="shared" si="41"/>
        <v>0</v>
      </c>
      <c r="BZ26" s="1372">
        <f t="shared" si="42"/>
        <v>0</v>
      </c>
      <c r="CA26" s="1372">
        <f t="shared" si="43"/>
        <v>0</v>
      </c>
      <c r="CB26" s="1404">
        <f t="shared" si="44"/>
        <v>0</v>
      </c>
      <c r="CC26" s="1374">
        <f t="shared" si="98"/>
        <v>0</v>
      </c>
      <c r="CD26" s="1374">
        <f t="shared" si="45"/>
        <v>0</v>
      </c>
      <c r="CE26" s="1374">
        <f t="shared" si="46"/>
        <v>0</v>
      </c>
      <c r="CF26" s="1378">
        <f t="shared" si="47"/>
        <v>0</v>
      </c>
      <c r="CG26" s="1378">
        <f t="shared" si="48"/>
        <v>0</v>
      </c>
      <c r="CH26" s="1378">
        <f t="shared" si="49"/>
        <v>0</v>
      </c>
      <c r="CI26" s="1374">
        <f t="shared" si="50"/>
        <v>0</v>
      </c>
      <c r="CJ26" s="1374">
        <f t="shared" si="51"/>
        <v>0</v>
      </c>
      <c r="CK26" s="1374" t="str">
        <f t="shared" si="52"/>
        <v/>
      </c>
      <c r="CL26" s="1374">
        <f t="shared" si="53"/>
        <v>0</v>
      </c>
      <c r="CM26" s="1379">
        <f t="shared" si="54"/>
        <v>0</v>
      </c>
      <c r="CN26" s="628">
        <f>(BS26*Pricing!F$3+BT26*Pricing!G$3+BU26*Pricing!H$3+BV26*Pricing!I$3+BW26*Pricing!J$3+BX26*Pricing!K$3+BY26*Pricing!L$3+BZ26*Pricing!M$3+CA26*Pricing!N$3+CB26*Pricing!O$3)*IF(W$44="N",(1+Y$44),1)</f>
        <v>0</v>
      </c>
      <c r="CO26" s="628">
        <f t="shared" si="55"/>
        <v>0</v>
      </c>
      <c r="CP26" s="1380">
        <f t="shared" si="56"/>
        <v>0</v>
      </c>
      <c r="CQ26" s="628">
        <f t="shared" si="57"/>
        <v>0</v>
      </c>
      <c r="CR26" s="628">
        <f t="shared" si="58"/>
        <v>0</v>
      </c>
      <c r="CS26" s="628"/>
      <c r="CT26" s="1381">
        <f t="shared" si="59"/>
        <v>0</v>
      </c>
      <c r="CU26" s="628">
        <f t="shared" si="60"/>
        <v>0</v>
      </c>
      <c r="CV26" s="628">
        <f t="shared" si="61"/>
        <v>0</v>
      </c>
      <c r="CW26" s="628">
        <f t="shared" si="62"/>
        <v>0</v>
      </c>
      <c r="CX26" s="628">
        <f t="shared" si="63"/>
        <v>0</v>
      </c>
      <c r="CY26" s="628">
        <f t="shared" si="64"/>
        <v>0</v>
      </c>
      <c r="CZ26" s="628">
        <f t="shared" si="65"/>
        <v>0</v>
      </c>
      <c r="DA26" s="628">
        <f t="shared" si="66"/>
        <v>0</v>
      </c>
      <c r="DB26" s="628">
        <f t="shared" si="67"/>
        <v>0</v>
      </c>
      <c r="DC26" s="628">
        <f t="shared" si="68"/>
        <v>0</v>
      </c>
      <c r="DD26" s="628">
        <f t="shared" si="69"/>
        <v>0</v>
      </c>
      <c r="DE26" s="1382" t="e">
        <f t="shared" si="70"/>
        <v>#DIV/0!</v>
      </c>
      <c r="DF26" s="626">
        <f t="shared" si="71"/>
        <v>0</v>
      </c>
      <c r="DG26" s="626">
        <f t="shared" si="72"/>
        <v>0</v>
      </c>
      <c r="DH26" s="626">
        <f t="shared" si="73"/>
        <v>0</v>
      </c>
      <c r="DI26" s="626">
        <f t="shared" si="74"/>
        <v>0</v>
      </c>
      <c r="DJ26" s="626">
        <f t="shared" si="75"/>
        <v>0</v>
      </c>
      <c r="DK26" s="626">
        <f t="shared" si="76"/>
        <v>0</v>
      </c>
      <c r="DL26" s="626">
        <f t="shared" si="77"/>
        <v>0</v>
      </c>
      <c r="DM26" s="626">
        <f t="shared" si="78"/>
        <v>0</v>
      </c>
      <c r="DN26" s="626">
        <f t="shared" si="79"/>
        <v>0</v>
      </c>
      <c r="DO26" s="626">
        <f t="shared" si="80"/>
        <v>0</v>
      </c>
      <c r="DP26" s="1405">
        <f t="shared" si="81"/>
        <v>0</v>
      </c>
      <c r="DQ26" s="1270" t="str">
        <f t="shared" si="82"/>
        <v/>
      </c>
      <c r="DR26" s="1270" t="str">
        <f t="shared" si="83"/>
        <v/>
      </c>
      <c r="DS26" s="1270" t="str">
        <f t="shared" si="84"/>
        <v/>
      </c>
      <c r="DT26" s="1270" t="str">
        <f t="shared" si="85"/>
        <v/>
      </c>
      <c r="DU26" s="1270" t="str">
        <f t="shared" si="86"/>
        <v/>
      </c>
      <c r="DV26" s="1270" t="str">
        <f t="shared" si="87"/>
        <v/>
      </c>
      <c r="DW26" s="1270" t="str">
        <f t="shared" si="88"/>
        <v/>
      </c>
      <c r="DX26" s="1371">
        <f t="shared" si="89"/>
        <v>0</v>
      </c>
      <c r="DY26" s="1270" t="str">
        <f t="shared" si="90"/>
        <v/>
      </c>
      <c r="DZ26" s="1270" t="str">
        <f t="shared" si="91"/>
        <v/>
      </c>
      <c r="EA26" s="1270" t="str">
        <f t="shared" si="92"/>
        <v/>
      </c>
      <c r="EB26" s="1270" t="str">
        <f t="shared" si="93"/>
        <v/>
      </c>
      <c r="EC26" s="1270" t="str">
        <f t="shared" si="94"/>
        <v/>
      </c>
      <c r="ED26" s="1270" t="str">
        <f t="shared" si="95"/>
        <v/>
      </c>
      <c r="EE26" s="1270" t="str">
        <f t="shared" si="96"/>
        <v/>
      </c>
      <c r="EF26" s="1371">
        <f t="shared" si="97"/>
        <v>0</v>
      </c>
    </row>
    <row r="27" spans="1:136" ht="19.5" customHeight="1">
      <c r="A27" s="18" t="s">
        <v>1571</v>
      </c>
      <c r="B27" s="1385"/>
      <c r="C27" s="1386"/>
      <c r="D27" s="1387"/>
      <c r="E27" s="1388"/>
      <c r="F27" s="984"/>
      <c r="G27" s="1389"/>
      <c r="H27" s="984"/>
      <c r="I27" s="1389"/>
      <c r="J27" s="984"/>
      <c r="K27" s="1419"/>
      <c r="L27" s="1391"/>
      <c r="M27" s="1392"/>
      <c r="N27" s="1393"/>
      <c r="O27" s="1394"/>
      <c r="P27" s="1351">
        <f t="shared" si="0"/>
        <v>0</v>
      </c>
      <c r="Q27" s="1352">
        <f t="shared" si="1"/>
        <v>0</v>
      </c>
      <c r="R27" s="1353">
        <f t="shared" si="2"/>
        <v>0</v>
      </c>
      <c r="S27" s="1354" t="e">
        <f t="shared" si="3"/>
        <v>#DIV/0!</v>
      </c>
      <c r="T27" s="1355">
        <f t="shared" si="4"/>
        <v>0</v>
      </c>
      <c r="U27" s="1356">
        <f t="shared" si="5"/>
        <v>0</v>
      </c>
      <c r="V27" s="1357">
        <f t="shared" si="6"/>
        <v>0</v>
      </c>
      <c r="W27" s="1395"/>
      <c r="X27" s="1396"/>
      <c r="Y27" s="1395"/>
      <c r="Z27" s="1397"/>
      <c r="AA27" s="1395"/>
      <c r="AB27" s="1397"/>
      <c r="AC27" s="1398"/>
      <c r="AD27" s="1396"/>
      <c r="AE27" s="1395"/>
      <c r="AF27" s="1399"/>
      <c r="AG27" s="1400"/>
      <c r="AH27" s="1399"/>
      <c r="AI27" s="1401"/>
      <c r="AJ27" s="1396"/>
      <c r="AK27" s="1401"/>
      <c r="AL27" s="1417"/>
      <c r="AM27" s="1395"/>
      <c r="AN27" s="1402"/>
      <c r="AO27" s="1395"/>
      <c r="AP27" s="1397"/>
      <c r="AQ27" s="1275" t="e">
        <f t="shared" si="7"/>
        <v>#DIV/0!</v>
      </c>
      <c r="AR27" s="1369" t="str">
        <f t="shared" si="8"/>
        <v/>
      </c>
      <c r="AS27" s="1270" t="str">
        <f t="shared" si="9"/>
        <v/>
      </c>
      <c r="AT27" s="1270" t="str">
        <f t="shared" si="10"/>
        <v/>
      </c>
      <c r="AU27" s="1270" t="str">
        <f t="shared" si="11"/>
        <v/>
      </c>
      <c r="AV27" s="1270" t="str">
        <f t="shared" si="12"/>
        <v/>
      </c>
      <c r="AW27" s="1270" t="str">
        <f t="shared" si="13"/>
        <v/>
      </c>
      <c r="AX27" s="1270" t="str">
        <f t="shared" si="14"/>
        <v/>
      </c>
      <c r="AY27" s="1270" t="str">
        <f t="shared" si="15"/>
        <v/>
      </c>
      <c r="AZ27" s="1270" t="str">
        <f t="shared" si="16"/>
        <v/>
      </c>
      <c r="BA27" s="1270" t="str">
        <f t="shared" si="17"/>
        <v/>
      </c>
      <c r="BB27" s="1371">
        <f t="shared" si="18"/>
        <v>0</v>
      </c>
      <c r="BC27" s="1369" t="str">
        <f t="shared" si="19"/>
        <v/>
      </c>
      <c r="BD27" s="626" t="str">
        <f t="shared" si="20"/>
        <v/>
      </c>
      <c r="BE27" s="1270" t="str">
        <f t="shared" si="21"/>
        <v/>
      </c>
      <c r="BF27" s="626" t="str">
        <f t="shared" si="22"/>
        <v/>
      </c>
      <c r="BG27" s="626" t="str">
        <f t="shared" si="23"/>
        <v/>
      </c>
      <c r="BH27" s="626" t="str">
        <f t="shared" si="24"/>
        <v/>
      </c>
      <c r="BI27" s="626" t="str">
        <f t="shared" si="25"/>
        <v/>
      </c>
      <c r="BJ27" s="626" t="str">
        <f t="shared" si="26"/>
        <v/>
      </c>
      <c r="BK27" s="626" t="str">
        <f t="shared" si="27"/>
        <v/>
      </c>
      <c r="BL27" s="626" t="str">
        <f t="shared" si="28"/>
        <v/>
      </c>
      <c r="BM27" s="1420">
        <f t="shared" si="29"/>
        <v>0</v>
      </c>
      <c r="BN27" s="1372">
        <f t="shared" si="30"/>
        <v>0</v>
      </c>
      <c r="BO27" s="1372">
        <f t="shared" si="31"/>
        <v>0</v>
      </c>
      <c r="BP27" s="1372">
        <f t="shared" si="32"/>
        <v>0</v>
      </c>
      <c r="BQ27" s="1374">
        <f t="shared" si="33"/>
        <v>0</v>
      </c>
      <c r="BR27" s="1251">
        <f t="shared" si="34"/>
        <v>0</v>
      </c>
      <c r="BS27" s="1403">
        <f t="shared" si="35"/>
        <v>0</v>
      </c>
      <c r="BT27" s="1372">
        <f t="shared" si="36"/>
        <v>0</v>
      </c>
      <c r="BU27" s="1372">
        <f t="shared" si="37"/>
        <v>0</v>
      </c>
      <c r="BV27" s="1372">
        <f t="shared" si="38"/>
        <v>0</v>
      </c>
      <c r="BW27" s="1372">
        <f t="shared" si="39"/>
        <v>0</v>
      </c>
      <c r="BX27" s="1372">
        <f t="shared" si="40"/>
        <v>0</v>
      </c>
      <c r="BY27" s="1372">
        <f t="shared" si="41"/>
        <v>0</v>
      </c>
      <c r="BZ27" s="1372">
        <f t="shared" si="42"/>
        <v>0</v>
      </c>
      <c r="CA27" s="1372">
        <f t="shared" si="43"/>
        <v>0</v>
      </c>
      <c r="CB27" s="1404">
        <f t="shared" si="44"/>
        <v>0</v>
      </c>
      <c r="CC27" s="1374">
        <f t="shared" si="98"/>
        <v>0</v>
      </c>
      <c r="CD27" s="1374">
        <f t="shared" si="45"/>
        <v>0</v>
      </c>
      <c r="CE27" s="1374">
        <f t="shared" si="46"/>
        <v>0</v>
      </c>
      <c r="CF27" s="1378">
        <f t="shared" si="47"/>
        <v>0</v>
      </c>
      <c r="CG27" s="1378">
        <f t="shared" si="48"/>
        <v>0</v>
      </c>
      <c r="CH27" s="1378">
        <f t="shared" si="49"/>
        <v>0</v>
      </c>
      <c r="CI27" s="1374">
        <f t="shared" si="50"/>
        <v>0</v>
      </c>
      <c r="CJ27" s="1374">
        <f t="shared" si="51"/>
        <v>0</v>
      </c>
      <c r="CK27" s="1374" t="str">
        <f t="shared" si="52"/>
        <v/>
      </c>
      <c r="CL27" s="1374">
        <f t="shared" si="53"/>
        <v>0</v>
      </c>
      <c r="CM27" s="1379">
        <f t="shared" si="54"/>
        <v>0</v>
      </c>
      <c r="CN27" s="628">
        <f>(BS27*Pricing!F$3+BT27*Pricing!G$3+BU27*Pricing!H$3+BV27*Pricing!I$3+BW27*Pricing!J$3+BX27*Pricing!K$3+BY27*Pricing!L$3+BZ27*Pricing!M$3+CA27*Pricing!N$3+CB27*Pricing!O$3)*IF(W$44="N",(1+Y$44),1)</f>
        <v>0</v>
      </c>
      <c r="CO27" s="628">
        <f t="shared" si="55"/>
        <v>0</v>
      </c>
      <c r="CP27" s="1380">
        <f t="shared" si="56"/>
        <v>0</v>
      </c>
      <c r="CQ27" s="628">
        <f t="shared" si="57"/>
        <v>0</v>
      </c>
      <c r="CR27" s="628">
        <f t="shared" si="58"/>
        <v>0</v>
      </c>
      <c r="CS27" s="628"/>
      <c r="CT27" s="1381">
        <f t="shared" si="59"/>
        <v>0</v>
      </c>
      <c r="CU27" s="628">
        <f t="shared" si="60"/>
        <v>0</v>
      </c>
      <c r="CV27" s="628">
        <f t="shared" si="61"/>
        <v>0</v>
      </c>
      <c r="CW27" s="628">
        <f t="shared" si="62"/>
        <v>0</v>
      </c>
      <c r="CX27" s="628">
        <f t="shared" si="63"/>
        <v>0</v>
      </c>
      <c r="CY27" s="628">
        <f t="shared" si="64"/>
        <v>0</v>
      </c>
      <c r="CZ27" s="628">
        <f t="shared" si="65"/>
        <v>0</v>
      </c>
      <c r="DA27" s="628">
        <f t="shared" si="66"/>
        <v>0</v>
      </c>
      <c r="DB27" s="628">
        <f t="shared" si="67"/>
        <v>0</v>
      </c>
      <c r="DC27" s="628">
        <f t="shared" si="68"/>
        <v>0</v>
      </c>
      <c r="DD27" s="628">
        <f t="shared" si="69"/>
        <v>0</v>
      </c>
      <c r="DE27" s="1382" t="e">
        <f t="shared" si="70"/>
        <v>#DIV/0!</v>
      </c>
      <c r="DF27" s="626">
        <f t="shared" si="71"/>
        <v>0</v>
      </c>
      <c r="DG27" s="626">
        <f t="shared" si="72"/>
        <v>0</v>
      </c>
      <c r="DH27" s="626">
        <f t="shared" si="73"/>
        <v>0</v>
      </c>
      <c r="DI27" s="626">
        <f t="shared" si="74"/>
        <v>0</v>
      </c>
      <c r="DJ27" s="626">
        <f t="shared" si="75"/>
        <v>0</v>
      </c>
      <c r="DK27" s="626">
        <f t="shared" si="76"/>
        <v>0</v>
      </c>
      <c r="DL27" s="626">
        <f t="shared" si="77"/>
        <v>0</v>
      </c>
      <c r="DM27" s="626">
        <f t="shared" si="78"/>
        <v>0</v>
      </c>
      <c r="DN27" s="626">
        <f t="shared" si="79"/>
        <v>0</v>
      </c>
      <c r="DO27" s="626">
        <f t="shared" si="80"/>
        <v>0</v>
      </c>
      <c r="DP27" s="1405">
        <f t="shared" si="81"/>
        <v>0</v>
      </c>
      <c r="DQ27" s="1270" t="str">
        <f t="shared" si="82"/>
        <v/>
      </c>
      <c r="DR27" s="1270" t="str">
        <f t="shared" si="83"/>
        <v/>
      </c>
      <c r="DS27" s="1270" t="str">
        <f t="shared" si="84"/>
        <v/>
      </c>
      <c r="DT27" s="1270" t="str">
        <f t="shared" si="85"/>
        <v/>
      </c>
      <c r="DU27" s="1270" t="str">
        <f t="shared" si="86"/>
        <v/>
      </c>
      <c r="DV27" s="1270" t="str">
        <f t="shared" si="87"/>
        <v/>
      </c>
      <c r="DW27" s="1270" t="str">
        <f t="shared" si="88"/>
        <v/>
      </c>
      <c r="DX27" s="1371">
        <f t="shared" si="89"/>
        <v>0</v>
      </c>
      <c r="DY27" s="1270" t="str">
        <f t="shared" si="90"/>
        <v/>
      </c>
      <c r="DZ27" s="1270" t="str">
        <f t="shared" si="91"/>
        <v/>
      </c>
      <c r="EA27" s="1270" t="str">
        <f t="shared" si="92"/>
        <v/>
      </c>
      <c r="EB27" s="1270" t="str">
        <f t="shared" si="93"/>
        <v/>
      </c>
      <c r="EC27" s="1270" t="str">
        <f t="shared" si="94"/>
        <v/>
      </c>
      <c r="ED27" s="1270" t="str">
        <f t="shared" si="95"/>
        <v/>
      </c>
      <c r="EE27" s="1270" t="str">
        <f t="shared" si="96"/>
        <v/>
      </c>
      <c r="EF27" s="1371">
        <f t="shared" si="97"/>
        <v>0</v>
      </c>
    </row>
    <row r="28" spans="1:136" ht="19.5" customHeight="1">
      <c r="A28" s="18" t="s">
        <v>1572</v>
      </c>
      <c r="B28" s="859"/>
      <c r="C28" s="1342"/>
      <c r="D28" s="1343"/>
      <c r="E28" s="1344"/>
      <c r="F28" s="984"/>
      <c r="G28" s="1389"/>
      <c r="H28" s="984"/>
      <c r="I28" s="1389"/>
      <c r="J28" s="984"/>
      <c r="K28" s="1419"/>
      <c r="L28" s="503"/>
      <c r="M28" s="834"/>
      <c r="N28" s="1349"/>
      <c r="O28" s="1350"/>
      <c r="P28" s="1351">
        <f t="shared" si="0"/>
        <v>0</v>
      </c>
      <c r="Q28" s="1352">
        <f t="shared" si="1"/>
        <v>0</v>
      </c>
      <c r="R28" s="1353">
        <f t="shared" si="2"/>
        <v>0</v>
      </c>
      <c r="S28" s="1354" t="e">
        <f t="shared" si="3"/>
        <v>#DIV/0!</v>
      </c>
      <c r="T28" s="1355">
        <f t="shared" si="4"/>
        <v>0</v>
      </c>
      <c r="U28" s="1356">
        <f t="shared" si="5"/>
        <v>0</v>
      </c>
      <c r="V28" s="1357">
        <f t="shared" si="6"/>
        <v>0</v>
      </c>
      <c r="W28" s="503"/>
      <c r="X28" s="1362"/>
      <c r="Y28" s="503"/>
      <c r="Z28" s="1410"/>
      <c r="AA28" s="503"/>
      <c r="AB28" s="1410"/>
      <c r="AC28" s="1421"/>
      <c r="AD28" s="1362"/>
      <c r="AE28" s="503"/>
      <c r="AF28" s="1363"/>
      <c r="AG28" s="1367"/>
      <c r="AH28" s="1363"/>
      <c r="AI28" s="1365"/>
      <c r="AJ28" s="1366"/>
      <c r="AK28" s="1367"/>
      <c r="AL28" s="1418"/>
      <c r="AM28" s="503"/>
      <c r="AN28" s="1411"/>
      <c r="AO28" s="503"/>
      <c r="AP28" s="1410"/>
      <c r="AQ28" s="1275" t="e">
        <f t="shared" si="7"/>
        <v>#DIV/0!</v>
      </c>
      <c r="AR28" s="1369" t="str">
        <f t="shared" si="8"/>
        <v/>
      </c>
      <c r="AS28" s="1270" t="str">
        <f t="shared" si="9"/>
        <v/>
      </c>
      <c r="AT28" s="1270" t="str">
        <f t="shared" si="10"/>
        <v/>
      </c>
      <c r="AU28" s="1270" t="str">
        <f t="shared" si="11"/>
        <v/>
      </c>
      <c r="AV28" s="1270" t="str">
        <f t="shared" si="12"/>
        <v/>
      </c>
      <c r="AW28" s="1270" t="str">
        <f t="shared" si="13"/>
        <v/>
      </c>
      <c r="AX28" s="1270" t="str">
        <f t="shared" si="14"/>
        <v/>
      </c>
      <c r="AY28" s="1270" t="str">
        <f t="shared" si="15"/>
        <v/>
      </c>
      <c r="AZ28" s="1270" t="str">
        <f t="shared" si="16"/>
        <v/>
      </c>
      <c r="BA28" s="1270" t="str">
        <f t="shared" si="17"/>
        <v/>
      </c>
      <c r="BB28" s="1371">
        <f t="shared" si="18"/>
        <v>0</v>
      </c>
      <c r="BC28" s="1369" t="str">
        <f t="shared" si="19"/>
        <v/>
      </c>
      <c r="BD28" s="626" t="str">
        <f t="shared" si="20"/>
        <v/>
      </c>
      <c r="BE28" s="1270" t="str">
        <f t="shared" si="21"/>
        <v/>
      </c>
      <c r="BF28" s="626" t="str">
        <f t="shared" si="22"/>
        <v/>
      </c>
      <c r="BG28" s="626" t="str">
        <f t="shared" si="23"/>
        <v/>
      </c>
      <c r="BH28" s="626" t="str">
        <f t="shared" si="24"/>
        <v/>
      </c>
      <c r="BI28" s="626" t="str">
        <f t="shared" si="25"/>
        <v/>
      </c>
      <c r="BJ28" s="626" t="str">
        <f t="shared" si="26"/>
        <v/>
      </c>
      <c r="BK28" s="626" t="str">
        <f t="shared" si="27"/>
        <v/>
      </c>
      <c r="BL28" s="626" t="str">
        <f t="shared" si="28"/>
        <v/>
      </c>
      <c r="BM28" s="1420">
        <f t="shared" si="29"/>
        <v>0</v>
      </c>
      <c r="BN28" s="1372">
        <f t="shared" si="30"/>
        <v>0</v>
      </c>
      <c r="BO28" s="1372">
        <f t="shared" si="31"/>
        <v>0</v>
      </c>
      <c r="BP28" s="1372">
        <f t="shared" si="32"/>
        <v>0</v>
      </c>
      <c r="BQ28" s="1374">
        <f t="shared" si="33"/>
        <v>0</v>
      </c>
      <c r="BR28" s="1251">
        <f t="shared" si="34"/>
        <v>0</v>
      </c>
      <c r="BS28" s="1403">
        <f t="shared" si="35"/>
        <v>0</v>
      </c>
      <c r="BT28" s="1372">
        <f t="shared" si="36"/>
        <v>0</v>
      </c>
      <c r="BU28" s="1372">
        <f t="shared" si="37"/>
        <v>0</v>
      </c>
      <c r="BV28" s="1372">
        <f t="shared" si="38"/>
        <v>0</v>
      </c>
      <c r="BW28" s="1372">
        <f t="shared" si="39"/>
        <v>0</v>
      </c>
      <c r="BX28" s="1372">
        <f t="shared" si="40"/>
        <v>0</v>
      </c>
      <c r="BY28" s="1372">
        <f t="shared" si="41"/>
        <v>0</v>
      </c>
      <c r="BZ28" s="1372">
        <f t="shared" si="42"/>
        <v>0</v>
      </c>
      <c r="CA28" s="1372">
        <f t="shared" si="43"/>
        <v>0</v>
      </c>
      <c r="CB28" s="1404">
        <f t="shared" si="44"/>
        <v>0</v>
      </c>
      <c r="CC28" s="1374">
        <f t="shared" si="98"/>
        <v>0</v>
      </c>
      <c r="CD28" s="1374">
        <f t="shared" si="45"/>
        <v>0</v>
      </c>
      <c r="CE28" s="1374">
        <f t="shared" si="46"/>
        <v>0</v>
      </c>
      <c r="CF28" s="1378">
        <f t="shared" si="47"/>
        <v>0</v>
      </c>
      <c r="CG28" s="1378">
        <f t="shared" si="48"/>
        <v>0</v>
      </c>
      <c r="CH28" s="1378">
        <f t="shared" si="49"/>
        <v>0</v>
      </c>
      <c r="CI28" s="1374">
        <f t="shared" si="50"/>
        <v>0</v>
      </c>
      <c r="CJ28" s="1374">
        <f t="shared" si="51"/>
        <v>0</v>
      </c>
      <c r="CK28" s="1374" t="str">
        <f t="shared" si="52"/>
        <v/>
      </c>
      <c r="CL28" s="1374">
        <f t="shared" si="53"/>
        <v>0</v>
      </c>
      <c r="CM28" s="1379">
        <f t="shared" si="54"/>
        <v>0</v>
      </c>
      <c r="CN28" s="628">
        <f>(BS28*Pricing!F$3+BT28*Pricing!G$3+BU28*Pricing!H$3+BV28*Pricing!I$3+BW28*Pricing!J$3+BX28*Pricing!K$3+BY28*Pricing!L$3+BZ28*Pricing!M$3+CA28*Pricing!N$3+CB28*Pricing!O$3)*IF(W$44="N",(1+Y$44),1)</f>
        <v>0</v>
      </c>
      <c r="CO28" s="628">
        <f t="shared" si="55"/>
        <v>0</v>
      </c>
      <c r="CP28" s="1380">
        <f t="shared" si="56"/>
        <v>0</v>
      </c>
      <c r="CQ28" s="628">
        <f t="shared" si="57"/>
        <v>0</v>
      </c>
      <c r="CR28" s="628">
        <f t="shared" si="58"/>
        <v>0</v>
      </c>
      <c r="CS28" s="628"/>
      <c r="CT28" s="1381">
        <f t="shared" si="59"/>
        <v>0</v>
      </c>
      <c r="CU28" s="628">
        <f t="shared" si="60"/>
        <v>0</v>
      </c>
      <c r="CV28" s="628">
        <f t="shared" si="61"/>
        <v>0</v>
      </c>
      <c r="CW28" s="628">
        <f t="shared" si="62"/>
        <v>0</v>
      </c>
      <c r="CX28" s="628">
        <f t="shared" si="63"/>
        <v>0</v>
      </c>
      <c r="CY28" s="628">
        <f t="shared" si="64"/>
        <v>0</v>
      </c>
      <c r="CZ28" s="628">
        <f t="shared" si="65"/>
        <v>0</v>
      </c>
      <c r="DA28" s="628">
        <f t="shared" si="66"/>
        <v>0</v>
      </c>
      <c r="DB28" s="628">
        <f t="shared" si="67"/>
        <v>0</v>
      </c>
      <c r="DC28" s="628">
        <f t="shared" si="68"/>
        <v>0</v>
      </c>
      <c r="DD28" s="628">
        <f t="shared" si="69"/>
        <v>0</v>
      </c>
      <c r="DE28" s="1382" t="e">
        <f t="shared" si="70"/>
        <v>#DIV/0!</v>
      </c>
      <c r="DF28" s="626">
        <f t="shared" si="71"/>
        <v>0</v>
      </c>
      <c r="DG28" s="626">
        <f t="shared" si="72"/>
        <v>0</v>
      </c>
      <c r="DH28" s="626">
        <f t="shared" si="73"/>
        <v>0</v>
      </c>
      <c r="DI28" s="626">
        <f t="shared" si="74"/>
        <v>0</v>
      </c>
      <c r="DJ28" s="626">
        <f t="shared" si="75"/>
        <v>0</v>
      </c>
      <c r="DK28" s="626">
        <f t="shared" si="76"/>
        <v>0</v>
      </c>
      <c r="DL28" s="626">
        <f t="shared" si="77"/>
        <v>0</v>
      </c>
      <c r="DM28" s="626">
        <f t="shared" si="78"/>
        <v>0</v>
      </c>
      <c r="DN28" s="626">
        <f t="shared" si="79"/>
        <v>0</v>
      </c>
      <c r="DO28" s="626">
        <f t="shared" si="80"/>
        <v>0</v>
      </c>
      <c r="DP28" s="1405">
        <f t="shared" si="81"/>
        <v>0</v>
      </c>
      <c r="DQ28" s="1270" t="str">
        <f t="shared" si="82"/>
        <v/>
      </c>
      <c r="DR28" s="1270" t="str">
        <f t="shared" si="83"/>
        <v/>
      </c>
      <c r="DS28" s="1270" t="str">
        <f t="shared" si="84"/>
        <v/>
      </c>
      <c r="DT28" s="1270" t="str">
        <f t="shared" si="85"/>
        <v/>
      </c>
      <c r="DU28" s="1270" t="str">
        <f t="shared" si="86"/>
        <v/>
      </c>
      <c r="DV28" s="1270" t="str">
        <f t="shared" si="87"/>
        <v/>
      </c>
      <c r="DW28" s="1270" t="str">
        <f t="shared" si="88"/>
        <v/>
      </c>
      <c r="DX28" s="1371">
        <f t="shared" si="89"/>
        <v>0</v>
      </c>
      <c r="DY28" s="1270" t="str">
        <f t="shared" si="90"/>
        <v/>
      </c>
      <c r="DZ28" s="1270" t="str">
        <f t="shared" si="91"/>
        <v/>
      </c>
      <c r="EA28" s="1270" t="str">
        <f t="shared" si="92"/>
        <v/>
      </c>
      <c r="EB28" s="1270" t="str">
        <f t="shared" si="93"/>
        <v/>
      </c>
      <c r="EC28" s="1270" t="str">
        <f t="shared" si="94"/>
        <v/>
      </c>
      <c r="ED28" s="1270" t="str">
        <f t="shared" si="95"/>
        <v/>
      </c>
      <c r="EE28" s="1270" t="str">
        <f t="shared" si="96"/>
        <v/>
      </c>
      <c r="EF28" s="1371">
        <f t="shared" si="97"/>
        <v>0</v>
      </c>
    </row>
    <row r="29" spans="1:136" ht="19.5" customHeight="1">
      <c r="A29" s="18" t="s">
        <v>1573</v>
      </c>
      <c r="B29" s="1385"/>
      <c r="C29" s="1386"/>
      <c r="D29" s="1387"/>
      <c r="E29" s="1388"/>
      <c r="F29" s="984"/>
      <c r="G29" s="1389"/>
      <c r="H29" s="984"/>
      <c r="I29" s="1389"/>
      <c r="J29" s="984"/>
      <c r="K29" s="1419"/>
      <c r="L29" s="1391"/>
      <c r="M29" s="1392"/>
      <c r="N29" s="1393"/>
      <c r="O29" s="1394"/>
      <c r="P29" s="1351">
        <f t="shared" si="0"/>
        <v>0</v>
      </c>
      <c r="Q29" s="1352">
        <f t="shared" si="1"/>
        <v>0</v>
      </c>
      <c r="R29" s="1353">
        <f t="shared" si="2"/>
        <v>0</v>
      </c>
      <c r="S29" s="1354" t="e">
        <f t="shared" si="3"/>
        <v>#DIV/0!</v>
      </c>
      <c r="T29" s="1355">
        <f t="shared" si="4"/>
        <v>0</v>
      </c>
      <c r="U29" s="1356">
        <f t="shared" si="5"/>
        <v>0</v>
      </c>
      <c r="V29" s="1357">
        <f t="shared" si="6"/>
        <v>0</v>
      </c>
      <c r="W29" s="1395"/>
      <c r="X29" s="1396"/>
      <c r="Y29" s="1395"/>
      <c r="Z29" s="1397"/>
      <c r="AA29" s="1395"/>
      <c r="AB29" s="1397"/>
      <c r="AC29" s="1398"/>
      <c r="AD29" s="1396"/>
      <c r="AE29" s="1395"/>
      <c r="AF29" s="1399"/>
      <c r="AG29" s="1400"/>
      <c r="AH29" s="1399"/>
      <c r="AI29" s="1401"/>
      <c r="AJ29" s="1396"/>
      <c r="AK29" s="1401"/>
      <c r="AL29" s="1417"/>
      <c r="AM29" s="1395"/>
      <c r="AN29" s="1402"/>
      <c r="AO29" s="1395"/>
      <c r="AP29" s="1397"/>
      <c r="AQ29" s="1275" t="e">
        <f t="shared" si="7"/>
        <v>#DIV/0!</v>
      </c>
      <c r="AR29" s="1369" t="str">
        <f t="shared" si="8"/>
        <v/>
      </c>
      <c r="AS29" s="1270" t="str">
        <f t="shared" si="9"/>
        <v/>
      </c>
      <c r="AT29" s="1270" t="str">
        <f t="shared" si="10"/>
        <v/>
      </c>
      <c r="AU29" s="1270" t="str">
        <f t="shared" si="11"/>
        <v/>
      </c>
      <c r="AV29" s="1270" t="str">
        <f t="shared" si="12"/>
        <v/>
      </c>
      <c r="AW29" s="1270" t="str">
        <f t="shared" si="13"/>
        <v/>
      </c>
      <c r="AX29" s="1270" t="str">
        <f t="shared" si="14"/>
        <v/>
      </c>
      <c r="AY29" s="1270" t="str">
        <f t="shared" si="15"/>
        <v/>
      </c>
      <c r="AZ29" s="1270" t="str">
        <f t="shared" si="16"/>
        <v/>
      </c>
      <c r="BA29" s="1270" t="str">
        <f t="shared" si="17"/>
        <v/>
      </c>
      <c r="BB29" s="1371">
        <f t="shared" si="18"/>
        <v>0</v>
      </c>
      <c r="BC29" s="1369" t="str">
        <f t="shared" si="19"/>
        <v/>
      </c>
      <c r="BD29" s="626" t="str">
        <f t="shared" si="20"/>
        <v/>
      </c>
      <c r="BE29" s="1270" t="str">
        <f t="shared" si="21"/>
        <v/>
      </c>
      <c r="BF29" s="626" t="str">
        <f t="shared" si="22"/>
        <v/>
      </c>
      <c r="BG29" s="626" t="str">
        <f t="shared" si="23"/>
        <v/>
      </c>
      <c r="BH29" s="626" t="str">
        <f t="shared" si="24"/>
        <v/>
      </c>
      <c r="BI29" s="626" t="str">
        <f t="shared" si="25"/>
        <v/>
      </c>
      <c r="BJ29" s="626" t="str">
        <f t="shared" si="26"/>
        <v/>
      </c>
      <c r="BK29" s="626" t="str">
        <f t="shared" si="27"/>
        <v/>
      </c>
      <c r="BL29" s="626" t="str">
        <f t="shared" si="28"/>
        <v/>
      </c>
      <c r="BM29" s="1420">
        <f t="shared" si="29"/>
        <v>0</v>
      </c>
      <c r="BN29" s="1372">
        <f t="shared" si="30"/>
        <v>0</v>
      </c>
      <c r="BO29" s="1372">
        <f t="shared" si="31"/>
        <v>0</v>
      </c>
      <c r="BP29" s="1372">
        <f t="shared" si="32"/>
        <v>0</v>
      </c>
      <c r="BQ29" s="1374">
        <f t="shared" si="33"/>
        <v>0</v>
      </c>
      <c r="BR29" s="1251">
        <f t="shared" si="34"/>
        <v>0</v>
      </c>
      <c r="BS29" s="1403">
        <f t="shared" si="35"/>
        <v>0</v>
      </c>
      <c r="BT29" s="1372">
        <f t="shared" si="36"/>
        <v>0</v>
      </c>
      <c r="BU29" s="1372">
        <f t="shared" si="37"/>
        <v>0</v>
      </c>
      <c r="BV29" s="1372">
        <f t="shared" si="38"/>
        <v>0</v>
      </c>
      <c r="BW29" s="1372">
        <f t="shared" si="39"/>
        <v>0</v>
      </c>
      <c r="BX29" s="1372">
        <f t="shared" si="40"/>
        <v>0</v>
      </c>
      <c r="BY29" s="1372">
        <f t="shared" si="41"/>
        <v>0</v>
      </c>
      <c r="BZ29" s="1372">
        <f t="shared" si="42"/>
        <v>0</v>
      </c>
      <c r="CA29" s="1372">
        <f t="shared" si="43"/>
        <v>0</v>
      </c>
      <c r="CB29" s="1404">
        <f t="shared" si="44"/>
        <v>0</v>
      </c>
      <c r="CC29" s="1374">
        <f t="shared" si="98"/>
        <v>0</v>
      </c>
      <c r="CD29" s="1374">
        <f t="shared" si="45"/>
        <v>0</v>
      </c>
      <c r="CE29" s="1374">
        <f t="shared" si="46"/>
        <v>0</v>
      </c>
      <c r="CF29" s="1378">
        <f t="shared" si="47"/>
        <v>0</v>
      </c>
      <c r="CG29" s="1378">
        <f t="shared" si="48"/>
        <v>0</v>
      </c>
      <c r="CH29" s="1378">
        <f t="shared" si="49"/>
        <v>0</v>
      </c>
      <c r="CI29" s="1374">
        <f t="shared" si="50"/>
        <v>0</v>
      </c>
      <c r="CJ29" s="1374">
        <f t="shared" si="51"/>
        <v>0</v>
      </c>
      <c r="CK29" s="1374" t="str">
        <f t="shared" si="52"/>
        <v/>
      </c>
      <c r="CL29" s="1374">
        <f t="shared" si="53"/>
        <v>0</v>
      </c>
      <c r="CM29" s="1379">
        <f t="shared" si="54"/>
        <v>0</v>
      </c>
      <c r="CN29" s="628">
        <f>(BS29*Pricing!F$3+BT29*Pricing!G$3+BU29*Pricing!H$3+BV29*Pricing!I$3+BW29*Pricing!J$3+BX29*Pricing!K$3+BY29*Pricing!L$3+BZ29*Pricing!M$3+CA29*Pricing!N$3+CB29*Pricing!O$3)*IF(W$44="N",(1+Y$44),1)</f>
        <v>0</v>
      </c>
      <c r="CO29" s="628">
        <f t="shared" si="55"/>
        <v>0</v>
      </c>
      <c r="CP29" s="1380">
        <f t="shared" si="56"/>
        <v>0</v>
      </c>
      <c r="CQ29" s="628">
        <f t="shared" si="57"/>
        <v>0</v>
      </c>
      <c r="CR29" s="628">
        <f t="shared" si="58"/>
        <v>0</v>
      </c>
      <c r="CS29" s="628"/>
      <c r="CT29" s="1381">
        <f t="shared" si="59"/>
        <v>0</v>
      </c>
      <c r="CU29" s="628">
        <f t="shared" si="60"/>
        <v>0</v>
      </c>
      <c r="CV29" s="628">
        <f t="shared" si="61"/>
        <v>0</v>
      </c>
      <c r="CW29" s="628">
        <f t="shared" si="62"/>
        <v>0</v>
      </c>
      <c r="CX29" s="628">
        <f t="shared" si="63"/>
        <v>0</v>
      </c>
      <c r="CY29" s="628">
        <f t="shared" si="64"/>
        <v>0</v>
      </c>
      <c r="CZ29" s="628">
        <f t="shared" si="65"/>
        <v>0</v>
      </c>
      <c r="DA29" s="628">
        <f t="shared" si="66"/>
        <v>0</v>
      </c>
      <c r="DB29" s="628">
        <f t="shared" si="67"/>
        <v>0</v>
      </c>
      <c r="DC29" s="628">
        <f t="shared" si="68"/>
        <v>0</v>
      </c>
      <c r="DD29" s="628">
        <f t="shared" si="69"/>
        <v>0</v>
      </c>
      <c r="DE29" s="1382" t="e">
        <f t="shared" si="70"/>
        <v>#DIV/0!</v>
      </c>
      <c r="DF29" s="626">
        <f t="shared" si="71"/>
        <v>0</v>
      </c>
      <c r="DG29" s="626">
        <f t="shared" si="72"/>
        <v>0</v>
      </c>
      <c r="DH29" s="626">
        <f t="shared" si="73"/>
        <v>0</v>
      </c>
      <c r="DI29" s="626">
        <f t="shared" si="74"/>
        <v>0</v>
      </c>
      <c r="DJ29" s="626">
        <f t="shared" si="75"/>
        <v>0</v>
      </c>
      <c r="DK29" s="626">
        <f t="shared" si="76"/>
        <v>0</v>
      </c>
      <c r="DL29" s="626">
        <f t="shared" si="77"/>
        <v>0</v>
      </c>
      <c r="DM29" s="626">
        <f t="shared" si="78"/>
        <v>0</v>
      </c>
      <c r="DN29" s="626">
        <f t="shared" si="79"/>
        <v>0</v>
      </c>
      <c r="DO29" s="626">
        <f t="shared" si="80"/>
        <v>0</v>
      </c>
      <c r="DP29" s="1405">
        <f t="shared" si="81"/>
        <v>0</v>
      </c>
      <c r="DQ29" s="1270" t="str">
        <f t="shared" si="82"/>
        <v/>
      </c>
      <c r="DR29" s="1270" t="str">
        <f t="shared" si="83"/>
        <v/>
      </c>
      <c r="DS29" s="1270" t="str">
        <f t="shared" si="84"/>
        <v/>
      </c>
      <c r="DT29" s="1270" t="str">
        <f t="shared" si="85"/>
        <v/>
      </c>
      <c r="DU29" s="1270" t="str">
        <f t="shared" si="86"/>
        <v/>
      </c>
      <c r="DV29" s="1270" t="str">
        <f t="shared" si="87"/>
        <v/>
      </c>
      <c r="DW29" s="1270" t="str">
        <f t="shared" si="88"/>
        <v/>
      </c>
      <c r="DX29" s="1371">
        <f t="shared" si="89"/>
        <v>0</v>
      </c>
      <c r="DY29" s="1270" t="str">
        <f t="shared" si="90"/>
        <v/>
      </c>
      <c r="DZ29" s="1270" t="str">
        <f t="shared" si="91"/>
        <v/>
      </c>
      <c r="EA29" s="1270" t="str">
        <f t="shared" si="92"/>
        <v/>
      </c>
      <c r="EB29" s="1270" t="str">
        <f t="shared" si="93"/>
        <v/>
      </c>
      <c r="EC29" s="1270" t="str">
        <f t="shared" si="94"/>
        <v/>
      </c>
      <c r="ED29" s="1270" t="str">
        <f t="shared" si="95"/>
        <v/>
      </c>
      <c r="EE29" s="1270" t="str">
        <f t="shared" si="96"/>
        <v/>
      </c>
      <c r="EF29" s="1371">
        <f t="shared" si="97"/>
        <v>0</v>
      </c>
    </row>
    <row r="30" spans="1:136" ht="19.5" customHeight="1">
      <c r="A30" s="18" t="s">
        <v>1574</v>
      </c>
      <c r="B30" s="859"/>
      <c r="C30" s="1342"/>
      <c r="D30" s="1343"/>
      <c r="E30" s="1344"/>
      <c r="F30" s="984"/>
      <c r="G30" s="1389"/>
      <c r="H30" s="984"/>
      <c r="I30" s="1389"/>
      <c r="J30" s="984"/>
      <c r="K30" s="1419"/>
      <c r="L30" s="503"/>
      <c r="M30" s="834"/>
      <c r="N30" s="1349"/>
      <c r="O30" s="1350"/>
      <c r="P30" s="1351">
        <f t="shared" si="0"/>
        <v>0</v>
      </c>
      <c r="Q30" s="1352">
        <f t="shared" si="1"/>
        <v>0</v>
      </c>
      <c r="R30" s="1353">
        <f t="shared" si="2"/>
        <v>0</v>
      </c>
      <c r="S30" s="1354" t="e">
        <f t="shared" si="3"/>
        <v>#DIV/0!</v>
      </c>
      <c r="T30" s="1355">
        <f t="shared" si="4"/>
        <v>0</v>
      </c>
      <c r="U30" s="1356">
        <f t="shared" si="5"/>
        <v>0</v>
      </c>
      <c r="V30" s="1357">
        <f t="shared" si="6"/>
        <v>0</v>
      </c>
      <c r="W30" s="503"/>
      <c r="X30" s="1362"/>
      <c r="Y30" s="1347"/>
      <c r="Z30" s="1360"/>
      <c r="AA30" s="1347"/>
      <c r="AB30" s="1360"/>
      <c r="AC30" s="1361"/>
      <c r="AD30" s="1362"/>
      <c r="AE30" s="1347"/>
      <c r="AF30" s="1363"/>
      <c r="AG30" s="1364"/>
      <c r="AH30" s="1363"/>
      <c r="AI30" s="1365"/>
      <c r="AJ30" s="1362"/>
      <c r="AK30" s="1408"/>
      <c r="AL30" s="1409"/>
      <c r="AM30" s="1347"/>
      <c r="AN30" s="1368"/>
      <c r="AO30" s="1347"/>
      <c r="AP30" s="1360"/>
      <c r="AQ30" s="1275" t="e">
        <f t="shared" si="7"/>
        <v>#DIV/0!</v>
      </c>
      <c r="AR30" s="1369" t="str">
        <f t="shared" si="8"/>
        <v/>
      </c>
      <c r="AS30" s="1270" t="str">
        <f t="shared" si="9"/>
        <v/>
      </c>
      <c r="AT30" s="1270" t="str">
        <f t="shared" si="10"/>
        <v/>
      </c>
      <c r="AU30" s="1270" t="str">
        <f t="shared" si="11"/>
        <v/>
      </c>
      <c r="AV30" s="1270" t="str">
        <f t="shared" si="12"/>
        <v/>
      </c>
      <c r="AW30" s="1270" t="str">
        <f t="shared" si="13"/>
        <v/>
      </c>
      <c r="AX30" s="1270" t="str">
        <f t="shared" si="14"/>
        <v/>
      </c>
      <c r="AY30" s="1270" t="str">
        <f t="shared" si="15"/>
        <v/>
      </c>
      <c r="AZ30" s="1270" t="str">
        <f t="shared" si="16"/>
        <v/>
      </c>
      <c r="BA30" s="1270" t="str">
        <f t="shared" si="17"/>
        <v/>
      </c>
      <c r="BB30" s="1371">
        <f t="shared" si="18"/>
        <v>0</v>
      </c>
      <c r="BC30" s="1369" t="str">
        <f t="shared" si="19"/>
        <v/>
      </c>
      <c r="BD30" s="626" t="str">
        <f t="shared" si="20"/>
        <v/>
      </c>
      <c r="BE30" s="1270" t="str">
        <f t="shared" si="21"/>
        <v/>
      </c>
      <c r="BF30" s="626" t="str">
        <f t="shared" si="22"/>
        <v/>
      </c>
      <c r="BG30" s="626" t="str">
        <f t="shared" si="23"/>
        <v/>
      </c>
      <c r="BH30" s="626" t="str">
        <f t="shared" si="24"/>
        <v/>
      </c>
      <c r="BI30" s="626" t="str">
        <f t="shared" si="25"/>
        <v/>
      </c>
      <c r="BJ30" s="626" t="str">
        <f t="shared" si="26"/>
        <v/>
      </c>
      <c r="BK30" s="626" t="str">
        <f t="shared" si="27"/>
        <v/>
      </c>
      <c r="BL30" s="626" t="str">
        <f t="shared" si="28"/>
        <v/>
      </c>
      <c r="BM30" s="1420">
        <f t="shared" si="29"/>
        <v>0</v>
      </c>
      <c r="BN30" s="1372">
        <f t="shared" si="30"/>
        <v>0</v>
      </c>
      <c r="BO30" s="1372">
        <f t="shared" si="31"/>
        <v>0</v>
      </c>
      <c r="BP30" s="1372">
        <f t="shared" si="32"/>
        <v>0</v>
      </c>
      <c r="BQ30" s="1374">
        <f t="shared" si="33"/>
        <v>0</v>
      </c>
      <c r="BR30" s="1251">
        <f t="shared" si="34"/>
        <v>0</v>
      </c>
      <c r="BS30" s="1403">
        <f t="shared" si="35"/>
        <v>0</v>
      </c>
      <c r="BT30" s="1372">
        <f t="shared" si="36"/>
        <v>0</v>
      </c>
      <c r="BU30" s="1372">
        <f t="shared" si="37"/>
        <v>0</v>
      </c>
      <c r="BV30" s="1372">
        <f t="shared" si="38"/>
        <v>0</v>
      </c>
      <c r="BW30" s="1372">
        <f t="shared" si="39"/>
        <v>0</v>
      </c>
      <c r="BX30" s="1372">
        <f t="shared" si="40"/>
        <v>0</v>
      </c>
      <c r="BY30" s="1372">
        <f t="shared" si="41"/>
        <v>0</v>
      </c>
      <c r="BZ30" s="1372">
        <f t="shared" si="42"/>
        <v>0</v>
      </c>
      <c r="CA30" s="1372">
        <f t="shared" si="43"/>
        <v>0</v>
      </c>
      <c r="CB30" s="1404">
        <f t="shared" si="44"/>
        <v>0</v>
      </c>
      <c r="CC30" s="1374">
        <f t="shared" si="98"/>
        <v>0</v>
      </c>
      <c r="CD30" s="1374">
        <f t="shared" si="45"/>
        <v>0</v>
      </c>
      <c r="CE30" s="1374">
        <f t="shared" si="46"/>
        <v>0</v>
      </c>
      <c r="CF30" s="1378">
        <f t="shared" si="47"/>
        <v>0</v>
      </c>
      <c r="CG30" s="1378">
        <f t="shared" si="48"/>
        <v>0</v>
      </c>
      <c r="CH30" s="1378">
        <f t="shared" si="49"/>
        <v>0</v>
      </c>
      <c r="CI30" s="1374">
        <f t="shared" si="50"/>
        <v>0</v>
      </c>
      <c r="CJ30" s="1374">
        <f t="shared" si="51"/>
        <v>0</v>
      </c>
      <c r="CK30" s="1374" t="str">
        <f t="shared" si="52"/>
        <v/>
      </c>
      <c r="CL30" s="1374">
        <f t="shared" si="53"/>
        <v>0</v>
      </c>
      <c r="CM30" s="1379">
        <f t="shared" si="54"/>
        <v>0</v>
      </c>
      <c r="CN30" s="628">
        <f>(BS30*Pricing!F$3+BT30*Pricing!G$3+BU30*Pricing!H$3+BV30*Pricing!I$3+BW30*Pricing!J$3+BX30*Pricing!K$3+BY30*Pricing!L$3+BZ30*Pricing!M$3+CA30*Pricing!N$3+CB30*Pricing!O$3)*IF(W$44="N",(1+Y$44),1)</f>
        <v>0</v>
      </c>
      <c r="CO30" s="628">
        <f t="shared" si="55"/>
        <v>0</v>
      </c>
      <c r="CP30" s="1380">
        <f t="shared" si="56"/>
        <v>0</v>
      </c>
      <c r="CQ30" s="628">
        <f t="shared" si="57"/>
        <v>0</v>
      </c>
      <c r="CR30" s="628">
        <f t="shared" si="58"/>
        <v>0</v>
      </c>
      <c r="CS30" s="628"/>
      <c r="CT30" s="1381">
        <f t="shared" si="59"/>
        <v>0</v>
      </c>
      <c r="CU30" s="628">
        <f t="shared" si="60"/>
        <v>0</v>
      </c>
      <c r="CV30" s="628">
        <f t="shared" si="61"/>
        <v>0</v>
      </c>
      <c r="CW30" s="628">
        <f t="shared" si="62"/>
        <v>0</v>
      </c>
      <c r="CX30" s="628">
        <f t="shared" si="63"/>
        <v>0</v>
      </c>
      <c r="CY30" s="628">
        <f t="shared" si="64"/>
        <v>0</v>
      </c>
      <c r="CZ30" s="628">
        <f t="shared" si="65"/>
        <v>0</v>
      </c>
      <c r="DA30" s="628">
        <f t="shared" si="66"/>
        <v>0</v>
      </c>
      <c r="DB30" s="628">
        <f t="shared" si="67"/>
        <v>0</v>
      </c>
      <c r="DC30" s="628">
        <f t="shared" si="68"/>
        <v>0</v>
      </c>
      <c r="DD30" s="628">
        <f t="shared" si="69"/>
        <v>0</v>
      </c>
      <c r="DE30" s="1382" t="e">
        <f t="shared" si="70"/>
        <v>#DIV/0!</v>
      </c>
      <c r="DF30" s="626">
        <f t="shared" si="71"/>
        <v>0</v>
      </c>
      <c r="DG30" s="626">
        <f t="shared" si="72"/>
        <v>0</v>
      </c>
      <c r="DH30" s="626">
        <f t="shared" si="73"/>
        <v>0</v>
      </c>
      <c r="DI30" s="626">
        <f t="shared" si="74"/>
        <v>0</v>
      </c>
      <c r="DJ30" s="626">
        <f t="shared" si="75"/>
        <v>0</v>
      </c>
      <c r="DK30" s="626">
        <f t="shared" si="76"/>
        <v>0</v>
      </c>
      <c r="DL30" s="626">
        <f t="shared" si="77"/>
        <v>0</v>
      </c>
      <c r="DM30" s="626">
        <f t="shared" si="78"/>
        <v>0</v>
      </c>
      <c r="DN30" s="626">
        <f t="shared" si="79"/>
        <v>0</v>
      </c>
      <c r="DO30" s="626">
        <f t="shared" si="80"/>
        <v>0</v>
      </c>
      <c r="DP30" s="1405">
        <f t="shared" si="81"/>
        <v>0</v>
      </c>
      <c r="DQ30" s="1270" t="str">
        <f t="shared" si="82"/>
        <v/>
      </c>
      <c r="DR30" s="1270" t="str">
        <f t="shared" si="83"/>
        <v/>
      </c>
      <c r="DS30" s="1270" t="str">
        <f t="shared" si="84"/>
        <v/>
      </c>
      <c r="DT30" s="1270" t="str">
        <f t="shared" si="85"/>
        <v/>
      </c>
      <c r="DU30" s="1270" t="str">
        <f t="shared" si="86"/>
        <v/>
      </c>
      <c r="DV30" s="1270" t="str">
        <f t="shared" si="87"/>
        <v/>
      </c>
      <c r="DW30" s="1270" t="str">
        <f t="shared" si="88"/>
        <v/>
      </c>
      <c r="DX30" s="1371">
        <f t="shared" si="89"/>
        <v>0</v>
      </c>
      <c r="DY30" s="1270" t="str">
        <f t="shared" si="90"/>
        <v/>
      </c>
      <c r="DZ30" s="1270" t="str">
        <f t="shared" si="91"/>
        <v/>
      </c>
      <c r="EA30" s="1270" t="str">
        <f t="shared" si="92"/>
        <v/>
      </c>
      <c r="EB30" s="1270" t="str">
        <f t="shared" si="93"/>
        <v/>
      </c>
      <c r="EC30" s="1270" t="str">
        <f t="shared" si="94"/>
        <v/>
      </c>
      <c r="ED30" s="1270" t="str">
        <f t="shared" si="95"/>
        <v/>
      </c>
      <c r="EE30" s="1270" t="str">
        <f t="shared" si="96"/>
        <v/>
      </c>
      <c r="EF30" s="1371">
        <f t="shared" si="97"/>
        <v>0</v>
      </c>
    </row>
    <row r="31" spans="1:136" ht="19.5" customHeight="1">
      <c r="A31" s="18" t="s">
        <v>1575</v>
      </c>
      <c r="B31" s="1385"/>
      <c r="C31" s="1386"/>
      <c r="D31" s="1387"/>
      <c r="E31" s="1388"/>
      <c r="F31" s="984"/>
      <c r="G31" s="1389"/>
      <c r="H31" s="984"/>
      <c r="I31" s="1389"/>
      <c r="J31" s="984"/>
      <c r="K31" s="1419"/>
      <c r="L31" s="1395"/>
      <c r="M31" s="1392"/>
      <c r="N31" s="1393"/>
      <c r="O31" s="1394"/>
      <c r="P31" s="1351">
        <f t="shared" si="0"/>
        <v>0</v>
      </c>
      <c r="Q31" s="1352">
        <f t="shared" si="1"/>
        <v>0</v>
      </c>
      <c r="R31" s="1353">
        <f t="shared" si="2"/>
        <v>0</v>
      </c>
      <c r="S31" s="1354" t="e">
        <f t="shared" si="3"/>
        <v>#DIV/0!</v>
      </c>
      <c r="T31" s="1355">
        <f t="shared" si="4"/>
        <v>0</v>
      </c>
      <c r="U31" s="1356">
        <f t="shared" si="5"/>
        <v>0</v>
      </c>
      <c r="V31" s="1357">
        <f t="shared" si="6"/>
        <v>0</v>
      </c>
      <c r="W31" s="1395"/>
      <c r="X31" s="1396"/>
      <c r="Y31" s="1395"/>
      <c r="Z31" s="1397"/>
      <c r="AA31" s="1395"/>
      <c r="AB31" s="1397"/>
      <c r="AC31" s="1398"/>
      <c r="AD31" s="1396"/>
      <c r="AE31" s="1395"/>
      <c r="AF31" s="1399"/>
      <c r="AG31" s="1400"/>
      <c r="AH31" s="1399"/>
      <c r="AI31" s="1401"/>
      <c r="AJ31" s="1396"/>
      <c r="AK31" s="1401"/>
      <c r="AL31" s="1417"/>
      <c r="AM31" s="1395"/>
      <c r="AN31" s="1402"/>
      <c r="AO31" s="1395"/>
      <c r="AP31" s="1397"/>
      <c r="AQ31" s="1275" t="e">
        <f t="shared" si="7"/>
        <v>#DIV/0!</v>
      </c>
      <c r="AR31" s="1369" t="str">
        <f t="shared" si="8"/>
        <v/>
      </c>
      <c r="AS31" s="1270" t="str">
        <f t="shared" si="9"/>
        <v/>
      </c>
      <c r="AT31" s="1270" t="str">
        <f t="shared" si="10"/>
        <v/>
      </c>
      <c r="AU31" s="1270" t="str">
        <f t="shared" si="11"/>
        <v/>
      </c>
      <c r="AV31" s="1270" t="str">
        <f t="shared" si="12"/>
        <v/>
      </c>
      <c r="AW31" s="1270" t="str">
        <f t="shared" si="13"/>
        <v/>
      </c>
      <c r="AX31" s="1270" t="str">
        <f t="shared" si="14"/>
        <v/>
      </c>
      <c r="AY31" s="1270" t="str">
        <f t="shared" si="15"/>
        <v/>
      </c>
      <c r="AZ31" s="1270" t="str">
        <f t="shared" si="16"/>
        <v/>
      </c>
      <c r="BA31" s="1270" t="str">
        <f t="shared" si="17"/>
        <v/>
      </c>
      <c r="BB31" s="1371">
        <f t="shared" si="18"/>
        <v>0</v>
      </c>
      <c r="BC31" s="1369" t="str">
        <f t="shared" si="19"/>
        <v/>
      </c>
      <c r="BD31" s="626" t="str">
        <f t="shared" si="20"/>
        <v/>
      </c>
      <c r="BE31" s="1270" t="str">
        <f t="shared" si="21"/>
        <v/>
      </c>
      <c r="BF31" s="626" t="str">
        <f t="shared" si="22"/>
        <v/>
      </c>
      <c r="BG31" s="626" t="str">
        <f t="shared" si="23"/>
        <v/>
      </c>
      <c r="BH31" s="626" t="str">
        <f t="shared" si="24"/>
        <v/>
      </c>
      <c r="BI31" s="626" t="str">
        <f t="shared" si="25"/>
        <v/>
      </c>
      <c r="BJ31" s="626" t="str">
        <f t="shared" si="26"/>
        <v/>
      </c>
      <c r="BK31" s="626" t="str">
        <f t="shared" si="27"/>
        <v/>
      </c>
      <c r="BL31" s="626" t="str">
        <f t="shared" si="28"/>
        <v/>
      </c>
      <c r="BM31" s="1420">
        <f t="shared" si="29"/>
        <v>0</v>
      </c>
      <c r="BN31" s="1372">
        <f t="shared" si="30"/>
        <v>0</v>
      </c>
      <c r="BO31" s="1372">
        <f t="shared" si="31"/>
        <v>0</v>
      </c>
      <c r="BP31" s="1372">
        <f t="shared" si="32"/>
        <v>0</v>
      </c>
      <c r="BQ31" s="1374">
        <f t="shared" si="33"/>
        <v>0</v>
      </c>
      <c r="BR31" s="1251">
        <f t="shared" si="34"/>
        <v>0</v>
      </c>
      <c r="BS31" s="1403">
        <f t="shared" si="35"/>
        <v>0</v>
      </c>
      <c r="BT31" s="1372">
        <f t="shared" si="36"/>
        <v>0</v>
      </c>
      <c r="BU31" s="1372">
        <f t="shared" si="37"/>
        <v>0</v>
      </c>
      <c r="BV31" s="1372">
        <f t="shared" si="38"/>
        <v>0</v>
      </c>
      <c r="BW31" s="1372">
        <f t="shared" si="39"/>
        <v>0</v>
      </c>
      <c r="BX31" s="1372">
        <f t="shared" si="40"/>
        <v>0</v>
      </c>
      <c r="BY31" s="1372">
        <f t="shared" si="41"/>
        <v>0</v>
      </c>
      <c r="BZ31" s="1372">
        <f t="shared" si="42"/>
        <v>0</v>
      </c>
      <c r="CA31" s="1372">
        <f t="shared" si="43"/>
        <v>0</v>
      </c>
      <c r="CB31" s="1404">
        <f t="shared" si="44"/>
        <v>0</v>
      </c>
      <c r="CC31" s="1374">
        <f t="shared" si="98"/>
        <v>0</v>
      </c>
      <c r="CD31" s="1374">
        <f t="shared" si="45"/>
        <v>0</v>
      </c>
      <c r="CE31" s="1374">
        <f t="shared" si="46"/>
        <v>0</v>
      </c>
      <c r="CF31" s="1378">
        <f t="shared" si="47"/>
        <v>0</v>
      </c>
      <c r="CG31" s="1378">
        <f t="shared" si="48"/>
        <v>0</v>
      </c>
      <c r="CH31" s="1378">
        <f t="shared" si="49"/>
        <v>0</v>
      </c>
      <c r="CI31" s="1374">
        <f t="shared" si="50"/>
        <v>0</v>
      </c>
      <c r="CJ31" s="1374">
        <f t="shared" si="51"/>
        <v>0</v>
      </c>
      <c r="CK31" s="1374" t="str">
        <f t="shared" si="52"/>
        <v/>
      </c>
      <c r="CL31" s="1374">
        <f t="shared" si="53"/>
        <v>0</v>
      </c>
      <c r="CM31" s="1379">
        <f t="shared" si="54"/>
        <v>0</v>
      </c>
      <c r="CN31" s="628">
        <f>(BS31*Pricing!F$3+BT31*Pricing!G$3+BU31*Pricing!H$3+BV31*Pricing!I$3+BW31*Pricing!J$3+BX31*Pricing!K$3+BY31*Pricing!L$3+BZ31*Pricing!M$3+CA31*Pricing!N$3+CB31*Pricing!O$3)*IF(W$44="N",(1+Y$44),1)</f>
        <v>0</v>
      </c>
      <c r="CO31" s="628">
        <f t="shared" si="55"/>
        <v>0</v>
      </c>
      <c r="CP31" s="1380">
        <f t="shared" si="56"/>
        <v>0</v>
      </c>
      <c r="CQ31" s="628">
        <f t="shared" si="57"/>
        <v>0</v>
      </c>
      <c r="CR31" s="628">
        <f t="shared" si="58"/>
        <v>0</v>
      </c>
      <c r="CS31" s="628"/>
      <c r="CT31" s="1381">
        <f t="shared" si="59"/>
        <v>0</v>
      </c>
      <c r="CU31" s="628">
        <f t="shared" si="60"/>
        <v>0</v>
      </c>
      <c r="CV31" s="628">
        <f t="shared" si="61"/>
        <v>0</v>
      </c>
      <c r="CW31" s="628">
        <f t="shared" si="62"/>
        <v>0</v>
      </c>
      <c r="CX31" s="628">
        <f t="shared" si="63"/>
        <v>0</v>
      </c>
      <c r="CY31" s="628">
        <f t="shared" si="64"/>
        <v>0</v>
      </c>
      <c r="CZ31" s="628">
        <f t="shared" si="65"/>
        <v>0</v>
      </c>
      <c r="DA31" s="628">
        <f t="shared" si="66"/>
        <v>0</v>
      </c>
      <c r="DB31" s="628">
        <f t="shared" si="67"/>
        <v>0</v>
      </c>
      <c r="DC31" s="628">
        <f t="shared" si="68"/>
        <v>0</v>
      </c>
      <c r="DD31" s="628">
        <f t="shared" si="69"/>
        <v>0</v>
      </c>
      <c r="DE31" s="1382" t="e">
        <f t="shared" si="70"/>
        <v>#DIV/0!</v>
      </c>
      <c r="DF31" s="626">
        <f t="shared" si="71"/>
        <v>0</v>
      </c>
      <c r="DG31" s="626">
        <f t="shared" si="72"/>
        <v>0</v>
      </c>
      <c r="DH31" s="626">
        <f t="shared" si="73"/>
        <v>0</v>
      </c>
      <c r="DI31" s="626">
        <f t="shared" si="74"/>
        <v>0</v>
      </c>
      <c r="DJ31" s="626">
        <f t="shared" si="75"/>
        <v>0</v>
      </c>
      <c r="DK31" s="626">
        <f t="shared" si="76"/>
        <v>0</v>
      </c>
      <c r="DL31" s="626">
        <f t="shared" si="77"/>
        <v>0</v>
      </c>
      <c r="DM31" s="626">
        <f t="shared" si="78"/>
        <v>0</v>
      </c>
      <c r="DN31" s="626">
        <f t="shared" si="79"/>
        <v>0</v>
      </c>
      <c r="DO31" s="626">
        <f t="shared" si="80"/>
        <v>0</v>
      </c>
      <c r="DP31" s="1405">
        <f t="shared" si="81"/>
        <v>0</v>
      </c>
      <c r="DQ31" s="1270" t="str">
        <f t="shared" si="82"/>
        <v/>
      </c>
      <c r="DR31" s="1270" t="str">
        <f t="shared" si="83"/>
        <v/>
      </c>
      <c r="DS31" s="1270" t="str">
        <f t="shared" si="84"/>
        <v/>
      </c>
      <c r="DT31" s="1270" t="str">
        <f t="shared" si="85"/>
        <v/>
      </c>
      <c r="DU31" s="1270" t="str">
        <f t="shared" si="86"/>
        <v/>
      </c>
      <c r="DV31" s="1270" t="str">
        <f t="shared" si="87"/>
        <v/>
      </c>
      <c r="DW31" s="1270" t="str">
        <f t="shared" si="88"/>
        <v/>
      </c>
      <c r="DX31" s="1371">
        <f t="shared" si="89"/>
        <v>0</v>
      </c>
      <c r="DY31" s="1270" t="str">
        <f t="shared" si="90"/>
        <v/>
      </c>
      <c r="DZ31" s="1270" t="str">
        <f t="shared" si="91"/>
        <v/>
      </c>
      <c r="EA31" s="1270" t="str">
        <f t="shared" si="92"/>
        <v/>
      </c>
      <c r="EB31" s="1270" t="str">
        <f t="shared" si="93"/>
        <v/>
      </c>
      <c r="EC31" s="1270" t="str">
        <f t="shared" si="94"/>
        <v/>
      </c>
      <c r="ED31" s="1270" t="str">
        <f t="shared" si="95"/>
        <v/>
      </c>
      <c r="EE31" s="1270" t="str">
        <f t="shared" si="96"/>
        <v/>
      </c>
      <c r="EF31" s="1371">
        <f t="shared" si="97"/>
        <v>0</v>
      </c>
    </row>
    <row r="32" spans="1:136" ht="19.5" customHeight="1">
      <c r="A32" s="18" t="s">
        <v>1576</v>
      </c>
      <c r="B32" s="859"/>
      <c r="C32" s="1342"/>
      <c r="D32" s="1422"/>
      <c r="E32" s="1423"/>
      <c r="F32" s="984"/>
      <c r="G32" s="1345"/>
      <c r="H32" s="984"/>
      <c r="I32" s="1345"/>
      <c r="J32" s="984"/>
      <c r="K32" s="1424"/>
      <c r="L32" s="503"/>
      <c r="M32" s="834"/>
      <c r="N32" s="1349"/>
      <c r="O32" s="1350"/>
      <c r="P32" s="1351">
        <f t="shared" si="0"/>
        <v>0</v>
      </c>
      <c r="Q32" s="1352">
        <f t="shared" si="1"/>
        <v>0</v>
      </c>
      <c r="R32" s="1353">
        <f t="shared" si="2"/>
        <v>0</v>
      </c>
      <c r="S32" s="1354" t="e">
        <f t="shared" si="3"/>
        <v>#DIV/0!</v>
      </c>
      <c r="T32" s="1355">
        <f t="shared" si="4"/>
        <v>0</v>
      </c>
      <c r="U32" s="1356">
        <f t="shared" si="5"/>
        <v>0</v>
      </c>
      <c r="V32" s="1357">
        <f t="shared" si="6"/>
        <v>0</v>
      </c>
      <c r="W32" s="503"/>
      <c r="X32" s="1362"/>
      <c r="Y32" s="1347"/>
      <c r="Z32" s="1360"/>
      <c r="AA32" s="1347"/>
      <c r="AB32" s="1360"/>
      <c r="AC32" s="1421"/>
      <c r="AD32" s="1362"/>
      <c r="AE32" s="503"/>
      <c r="AF32" s="1363"/>
      <c r="AG32" s="1367"/>
      <c r="AH32" s="1363"/>
      <c r="AI32" s="1367"/>
      <c r="AJ32" s="1425"/>
      <c r="AK32" s="1367"/>
      <c r="AL32" s="1363"/>
      <c r="AM32" s="1347"/>
      <c r="AN32" s="1368"/>
      <c r="AO32" s="1347"/>
      <c r="AP32" s="1360"/>
      <c r="AQ32" s="1275" t="e">
        <f t="shared" si="7"/>
        <v>#DIV/0!</v>
      </c>
      <c r="AR32" s="1369" t="str">
        <f t="shared" si="8"/>
        <v/>
      </c>
      <c r="AS32" s="1270" t="str">
        <f t="shared" si="9"/>
        <v/>
      </c>
      <c r="AT32" s="1270" t="str">
        <f t="shared" si="10"/>
        <v/>
      </c>
      <c r="AU32" s="1270" t="str">
        <f t="shared" si="11"/>
        <v/>
      </c>
      <c r="AV32" s="1270" t="str">
        <f t="shared" si="12"/>
        <v/>
      </c>
      <c r="AW32" s="1270" t="str">
        <f t="shared" si="13"/>
        <v/>
      </c>
      <c r="AX32" s="1270" t="str">
        <f t="shared" si="14"/>
        <v/>
      </c>
      <c r="AY32" s="1270" t="str">
        <f t="shared" si="15"/>
        <v/>
      </c>
      <c r="AZ32" s="1270" t="str">
        <f t="shared" si="16"/>
        <v/>
      </c>
      <c r="BA32" s="1270" t="str">
        <f t="shared" si="17"/>
        <v/>
      </c>
      <c r="BB32" s="1371">
        <f t="shared" si="18"/>
        <v>0</v>
      </c>
      <c r="BC32" s="1369" t="str">
        <f t="shared" si="19"/>
        <v/>
      </c>
      <c r="BD32" s="626" t="str">
        <f t="shared" si="20"/>
        <v/>
      </c>
      <c r="BE32" s="1270" t="str">
        <f t="shared" si="21"/>
        <v/>
      </c>
      <c r="BF32" s="626" t="str">
        <f t="shared" si="22"/>
        <v/>
      </c>
      <c r="BG32" s="626" t="str">
        <f t="shared" si="23"/>
        <v/>
      </c>
      <c r="BH32" s="626" t="str">
        <f t="shared" si="24"/>
        <v/>
      </c>
      <c r="BI32" s="626" t="str">
        <f t="shared" si="25"/>
        <v/>
      </c>
      <c r="BJ32" s="626" t="str">
        <f t="shared" si="26"/>
        <v/>
      </c>
      <c r="BK32" s="626" t="str">
        <f t="shared" si="27"/>
        <v/>
      </c>
      <c r="BL32" s="626" t="str">
        <f t="shared" si="28"/>
        <v/>
      </c>
      <c r="BM32" s="1420">
        <f t="shared" si="29"/>
        <v>0</v>
      </c>
      <c r="BN32" s="1372">
        <f t="shared" si="30"/>
        <v>0</v>
      </c>
      <c r="BO32" s="1372">
        <f t="shared" si="31"/>
        <v>0</v>
      </c>
      <c r="BP32" s="1372">
        <f t="shared" si="32"/>
        <v>0</v>
      </c>
      <c r="BQ32" s="1374">
        <f t="shared" si="33"/>
        <v>0</v>
      </c>
      <c r="BR32" s="1251">
        <f t="shared" si="34"/>
        <v>0</v>
      </c>
      <c r="BS32" s="1403">
        <f t="shared" si="35"/>
        <v>0</v>
      </c>
      <c r="BT32" s="1372">
        <f t="shared" si="36"/>
        <v>0</v>
      </c>
      <c r="BU32" s="1372">
        <f t="shared" si="37"/>
        <v>0</v>
      </c>
      <c r="BV32" s="1372">
        <f t="shared" si="38"/>
        <v>0</v>
      </c>
      <c r="BW32" s="1372">
        <f t="shared" si="39"/>
        <v>0</v>
      </c>
      <c r="BX32" s="1372">
        <f t="shared" si="40"/>
        <v>0</v>
      </c>
      <c r="BY32" s="1372">
        <f t="shared" si="41"/>
        <v>0</v>
      </c>
      <c r="BZ32" s="1372">
        <f t="shared" si="42"/>
        <v>0</v>
      </c>
      <c r="CA32" s="1372">
        <f t="shared" si="43"/>
        <v>0</v>
      </c>
      <c r="CB32" s="1404">
        <f t="shared" si="44"/>
        <v>0</v>
      </c>
      <c r="CC32" s="1374">
        <f t="shared" si="98"/>
        <v>0</v>
      </c>
      <c r="CD32" s="1374">
        <f t="shared" si="45"/>
        <v>0</v>
      </c>
      <c r="CE32" s="1374">
        <f t="shared" si="46"/>
        <v>0</v>
      </c>
      <c r="CF32" s="1378">
        <f t="shared" si="47"/>
        <v>0</v>
      </c>
      <c r="CG32" s="1378">
        <f t="shared" si="48"/>
        <v>0</v>
      </c>
      <c r="CH32" s="1378">
        <f t="shared" si="49"/>
        <v>0</v>
      </c>
      <c r="CI32" s="1374">
        <f t="shared" si="50"/>
        <v>0</v>
      </c>
      <c r="CJ32" s="1374">
        <f t="shared" si="51"/>
        <v>0</v>
      </c>
      <c r="CK32" s="1374" t="str">
        <f t="shared" si="52"/>
        <v/>
      </c>
      <c r="CL32" s="1374">
        <f t="shared" si="53"/>
        <v>0</v>
      </c>
      <c r="CM32" s="1379">
        <f t="shared" si="54"/>
        <v>0</v>
      </c>
      <c r="CN32" s="628">
        <f>(BS32*Pricing!F$3+BT32*Pricing!G$3+BU32*Pricing!H$3+BV32*Pricing!I$3+BW32*Pricing!J$3+BX32*Pricing!K$3+BY32*Pricing!L$3+BZ32*Pricing!M$3+CA32*Pricing!N$3+CB32*Pricing!O$3)*IF(W$44="N",(1+Y$44),1)</f>
        <v>0</v>
      </c>
      <c r="CO32" s="628">
        <f t="shared" si="55"/>
        <v>0</v>
      </c>
      <c r="CP32" s="1380">
        <f t="shared" si="56"/>
        <v>0</v>
      </c>
      <c r="CQ32" s="628">
        <f t="shared" si="57"/>
        <v>0</v>
      </c>
      <c r="CR32" s="628">
        <f t="shared" si="58"/>
        <v>0</v>
      </c>
      <c r="CS32" s="628"/>
      <c r="CT32" s="1381">
        <f t="shared" si="59"/>
        <v>0</v>
      </c>
      <c r="CU32" s="628">
        <f t="shared" si="60"/>
        <v>0</v>
      </c>
      <c r="CV32" s="628">
        <f t="shared" si="61"/>
        <v>0</v>
      </c>
      <c r="CW32" s="628">
        <f t="shared" si="62"/>
        <v>0</v>
      </c>
      <c r="CX32" s="628">
        <f t="shared" si="63"/>
        <v>0</v>
      </c>
      <c r="CY32" s="628">
        <f t="shared" si="64"/>
        <v>0</v>
      </c>
      <c r="CZ32" s="628">
        <f t="shared" si="65"/>
        <v>0</v>
      </c>
      <c r="DA32" s="628">
        <f t="shared" si="66"/>
        <v>0</v>
      </c>
      <c r="DB32" s="628">
        <f t="shared" si="67"/>
        <v>0</v>
      </c>
      <c r="DC32" s="628">
        <f t="shared" si="68"/>
        <v>0</v>
      </c>
      <c r="DD32" s="628">
        <f t="shared" si="69"/>
        <v>0</v>
      </c>
      <c r="DE32" s="1382" t="e">
        <f t="shared" si="70"/>
        <v>#DIV/0!</v>
      </c>
      <c r="DF32" s="626">
        <f t="shared" si="71"/>
        <v>0</v>
      </c>
      <c r="DG32" s="626">
        <f t="shared" si="72"/>
        <v>0</v>
      </c>
      <c r="DH32" s="626">
        <f t="shared" si="73"/>
        <v>0</v>
      </c>
      <c r="DI32" s="626">
        <f t="shared" si="74"/>
        <v>0</v>
      </c>
      <c r="DJ32" s="626">
        <f t="shared" si="75"/>
        <v>0</v>
      </c>
      <c r="DK32" s="626">
        <f t="shared" si="76"/>
        <v>0</v>
      </c>
      <c r="DL32" s="626">
        <f t="shared" si="77"/>
        <v>0</v>
      </c>
      <c r="DM32" s="626">
        <f t="shared" si="78"/>
        <v>0</v>
      </c>
      <c r="DN32" s="626">
        <f t="shared" si="79"/>
        <v>0</v>
      </c>
      <c r="DO32" s="626">
        <f t="shared" si="80"/>
        <v>0</v>
      </c>
      <c r="DP32" s="1405">
        <f t="shared" si="81"/>
        <v>0</v>
      </c>
      <c r="DQ32" s="1270" t="str">
        <f t="shared" si="82"/>
        <v/>
      </c>
      <c r="DR32" s="1270" t="str">
        <f t="shared" si="83"/>
        <v/>
      </c>
      <c r="DS32" s="1270" t="str">
        <f t="shared" si="84"/>
        <v/>
      </c>
      <c r="DT32" s="1270" t="str">
        <f t="shared" si="85"/>
        <v/>
      </c>
      <c r="DU32" s="1270" t="str">
        <f t="shared" si="86"/>
        <v/>
      </c>
      <c r="DV32" s="1270" t="str">
        <f t="shared" si="87"/>
        <v/>
      </c>
      <c r="DW32" s="1270" t="str">
        <f t="shared" si="88"/>
        <v/>
      </c>
      <c r="DX32" s="1371">
        <f t="shared" si="89"/>
        <v>0</v>
      </c>
      <c r="DY32" s="1270" t="str">
        <f t="shared" si="90"/>
        <v/>
      </c>
      <c r="DZ32" s="1270" t="str">
        <f t="shared" si="91"/>
        <v/>
      </c>
      <c r="EA32" s="1270" t="str">
        <f t="shared" si="92"/>
        <v/>
      </c>
      <c r="EB32" s="1270" t="str">
        <f t="shared" si="93"/>
        <v/>
      </c>
      <c r="EC32" s="1270" t="str">
        <f t="shared" si="94"/>
        <v/>
      </c>
      <c r="ED32" s="1270" t="str">
        <f t="shared" si="95"/>
        <v/>
      </c>
      <c r="EE32" s="1270" t="str">
        <f t="shared" si="96"/>
        <v/>
      </c>
      <c r="EF32" s="1371">
        <f t="shared" si="97"/>
        <v>0</v>
      </c>
    </row>
    <row r="33" spans="1:136" ht="19.5" customHeight="1">
      <c r="A33" s="18" t="s">
        <v>1577</v>
      </c>
      <c r="B33" s="1385"/>
      <c r="C33" s="1386"/>
      <c r="D33" s="1387"/>
      <c r="E33" s="1388"/>
      <c r="F33" s="984"/>
      <c r="G33" s="1389"/>
      <c r="H33" s="984"/>
      <c r="I33" s="1389"/>
      <c r="J33" s="984"/>
      <c r="K33" s="1419"/>
      <c r="L33" s="1395"/>
      <c r="M33" s="1392"/>
      <c r="N33" s="1393"/>
      <c r="O33" s="1394"/>
      <c r="P33" s="1351">
        <f t="shared" si="0"/>
        <v>0</v>
      </c>
      <c r="Q33" s="1352">
        <f t="shared" si="1"/>
        <v>0</v>
      </c>
      <c r="R33" s="1353">
        <f t="shared" si="2"/>
        <v>0</v>
      </c>
      <c r="S33" s="1354" t="e">
        <f t="shared" si="3"/>
        <v>#DIV/0!</v>
      </c>
      <c r="T33" s="1355">
        <f t="shared" si="4"/>
        <v>0</v>
      </c>
      <c r="U33" s="1356">
        <f t="shared" si="5"/>
        <v>0</v>
      </c>
      <c r="V33" s="1357">
        <f t="shared" si="6"/>
        <v>0</v>
      </c>
      <c r="W33" s="1395"/>
      <c r="X33" s="1396"/>
      <c r="Y33" s="1395"/>
      <c r="Z33" s="1397"/>
      <c r="AA33" s="1395"/>
      <c r="AB33" s="1397"/>
      <c r="AC33" s="1398"/>
      <c r="AD33" s="1396"/>
      <c r="AE33" s="1395"/>
      <c r="AF33" s="1399"/>
      <c r="AG33" s="1400"/>
      <c r="AH33" s="1399"/>
      <c r="AI33" s="1401"/>
      <c r="AJ33" s="1417"/>
      <c r="AK33" s="1401"/>
      <c r="AL33" s="1417"/>
      <c r="AM33" s="1395"/>
      <c r="AN33" s="1397"/>
      <c r="AO33" s="1395"/>
      <c r="AP33" s="1397"/>
      <c r="AQ33" s="1275" t="e">
        <f t="shared" si="7"/>
        <v>#DIV/0!</v>
      </c>
      <c r="AR33" s="1369" t="str">
        <f t="shared" si="8"/>
        <v/>
      </c>
      <c r="AS33" s="1270" t="str">
        <f t="shared" si="9"/>
        <v/>
      </c>
      <c r="AT33" s="1270" t="str">
        <f t="shared" si="10"/>
        <v/>
      </c>
      <c r="AU33" s="1270" t="str">
        <f t="shared" si="11"/>
        <v/>
      </c>
      <c r="AV33" s="1270" t="str">
        <f t="shared" si="12"/>
        <v/>
      </c>
      <c r="AW33" s="1270" t="str">
        <f t="shared" si="13"/>
        <v/>
      </c>
      <c r="AX33" s="1270" t="str">
        <f t="shared" si="14"/>
        <v/>
      </c>
      <c r="AY33" s="1270" t="str">
        <f t="shared" si="15"/>
        <v/>
      </c>
      <c r="AZ33" s="1270" t="str">
        <f t="shared" si="16"/>
        <v/>
      </c>
      <c r="BA33" s="1270" t="str">
        <f t="shared" si="17"/>
        <v/>
      </c>
      <c r="BB33" s="1371">
        <f t="shared" si="18"/>
        <v>0</v>
      </c>
      <c r="BC33" s="1369" t="str">
        <f t="shared" si="19"/>
        <v/>
      </c>
      <c r="BD33" s="626" t="str">
        <f t="shared" si="20"/>
        <v/>
      </c>
      <c r="BE33" s="1270" t="str">
        <f t="shared" si="21"/>
        <v/>
      </c>
      <c r="BF33" s="626" t="str">
        <f t="shared" si="22"/>
        <v/>
      </c>
      <c r="BG33" s="626" t="str">
        <f t="shared" si="23"/>
        <v/>
      </c>
      <c r="BH33" s="626" t="str">
        <f t="shared" si="24"/>
        <v/>
      </c>
      <c r="BI33" s="626" t="str">
        <f t="shared" si="25"/>
        <v/>
      </c>
      <c r="BJ33" s="626" t="str">
        <f t="shared" si="26"/>
        <v/>
      </c>
      <c r="BK33" s="626" t="str">
        <f t="shared" si="27"/>
        <v/>
      </c>
      <c r="BL33" s="626" t="str">
        <f t="shared" si="28"/>
        <v/>
      </c>
      <c r="BM33" s="1420">
        <f t="shared" si="29"/>
        <v>0</v>
      </c>
      <c r="BN33" s="1372">
        <f t="shared" si="30"/>
        <v>0</v>
      </c>
      <c r="BO33" s="1372">
        <f t="shared" si="31"/>
        <v>0</v>
      </c>
      <c r="BP33" s="1372">
        <f t="shared" si="32"/>
        <v>0</v>
      </c>
      <c r="BQ33" s="1374">
        <f t="shared" si="33"/>
        <v>0</v>
      </c>
      <c r="BR33" s="1251">
        <f t="shared" si="34"/>
        <v>0</v>
      </c>
      <c r="BS33" s="1403">
        <f t="shared" si="35"/>
        <v>0</v>
      </c>
      <c r="BT33" s="1372">
        <f t="shared" si="36"/>
        <v>0</v>
      </c>
      <c r="BU33" s="1372">
        <f t="shared" si="37"/>
        <v>0</v>
      </c>
      <c r="BV33" s="1372">
        <f t="shared" si="38"/>
        <v>0</v>
      </c>
      <c r="BW33" s="1372">
        <f t="shared" si="39"/>
        <v>0</v>
      </c>
      <c r="BX33" s="1372">
        <f t="shared" si="40"/>
        <v>0</v>
      </c>
      <c r="BY33" s="1372">
        <f t="shared" si="41"/>
        <v>0</v>
      </c>
      <c r="BZ33" s="1372">
        <f t="shared" si="42"/>
        <v>0</v>
      </c>
      <c r="CA33" s="1372">
        <f t="shared" si="43"/>
        <v>0</v>
      </c>
      <c r="CB33" s="1404">
        <f t="shared" si="44"/>
        <v>0</v>
      </c>
      <c r="CC33" s="1374">
        <f t="shared" si="98"/>
        <v>0</v>
      </c>
      <c r="CD33" s="1374">
        <f t="shared" si="45"/>
        <v>0</v>
      </c>
      <c r="CE33" s="1374">
        <f t="shared" si="46"/>
        <v>0</v>
      </c>
      <c r="CF33" s="1378">
        <f t="shared" si="47"/>
        <v>0</v>
      </c>
      <c r="CG33" s="1378">
        <f t="shared" si="48"/>
        <v>0</v>
      </c>
      <c r="CH33" s="1378">
        <f t="shared" si="49"/>
        <v>0</v>
      </c>
      <c r="CI33" s="1374">
        <f t="shared" si="50"/>
        <v>0</v>
      </c>
      <c r="CJ33" s="1374">
        <f t="shared" si="51"/>
        <v>0</v>
      </c>
      <c r="CK33" s="1374" t="str">
        <f t="shared" si="52"/>
        <v/>
      </c>
      <c r="CL33" s="1374">
        <f t="shared" si="53"/>
        <v>0</v>
      </c>
      <c r="CM33" s="1379">
        <f t="shared" si="54"/>
        <v>0</v>
      </c>
      <c r="CN33" s="628">
        <f>(BS33*Pricing!F$3+BT33*Pricing!G$3+BU33*Pricing!H$3+BV33*Pricing!I$3+BW33*Pricing!J$3+BX33*Pricing!K$3+BY33*Pricing!L$3+BZ33*Pricing!M$3+CA33*Pricing!N$3+CB33*Pricing!O$3)*IF(W$44="N",(1+Y$44),1)</f>
        <v>0</v>
      </c>
      <c r="CO33" s="628">
        <f t="shared" si="55"/>
        <v>0</v>
      </c>
      <c r="CP33" s="1380">
        <f t="shared" si="56"/>
        <v>0</v>
      </c>
      <c r="CQ33" s="628">
        <f t="shared" si="57"/>
        <v>0</v>
      </c>
      <c r="CR33" s="628">
        <f t="shared" si="58"/>
        <v>0</v>
      </c>
      <c r="CS33" s="628"/>
      <c r="CT33" s="1381">
        <f t="shared" si="59"/>
        <v>0</v>
      </c>
      <c r="CU33" s="628">
        <f t="shared" si="60"/>
        <v>0</v>
      </c>
      <c r="CV33" s="628">
        <f t="shared" si="61"/>
        <v>0</v>
      </c>
      <c r="CW33" s="628">
        <f t="shared" si="62"/>
        <v>0</v>
      </c>
      <c r="CX33" s="628">
        <f t="shared" si="63"/>
        <v>0</v>
      </c>
      <c r="CY33" s="628">
        <f t="shared" si="64"/>
        <v>0</v>
      </c>
      <c r="CZ33" s="628">
        <f t="shared" si="65"/>
        <v>0</v>
      </c>
      <c r="DA33" s="628">
        <f t="shared" si="66"/>
        <v>0</v>
      </c>
      <c r="DB33" s="628">
        <f t="shared" si="67"/>
        <v>0</v>
      </c>
      <c r="DC33" s="628">
        <f t="shared" si="68"/>
        <v>0</v>
      </c>
      <c r="DD33" s="628">
        <f t="shared" si="69"/>
        <v>0</v>
      </c>
      <c r="DE33" s="1382" t="e">
        <f t="shared" si="70"/>
        <v>#DIV/0!</v>
      </c>
      <c r="DF33" s="626">
        <f t="shared" si="71"/>
        <v>0</v>
      </c>
      <c r="DG33" s="626">
        <f t="shared" si="72"/>
        <v>0</v>
      </c>
      <c r="DH33" s="626">
        <f t="shared" si="73"/>
        <v>0</v>
      </c>
      <c r="DI33" s="626">
        <f t="shared" si="74"/>
        <v>0</v>
      </c>
      <c r="DJ33" s="626">
        <f t="shared" si="75"/>
        <v>0</v>
      </c>
      <c r="DK33" s="626">
        <f t="shared" si="76"/>
        <v>0</v>
      </c>
      <c r="DL33" s="626">
        <f t="shared" si="77"/>
        <v>0</v>
      </c>
      <c r="DM33" s="626">
        <f t="shared" si="78"/>
        <v>0</v>
      </c>
      <c r="DN33" s="626">
        <f t="shared" si="79"/>
        <v>0</v>
      </c>
      <c r="DO33" s="626">
        <f t="shared" si="80"/>
        <v>0</v>
      </c>
      <c r="DP33" s="1405">
        <f t="shared" si="81"/>
        <v>0</v>
      </c>
      <c r="DQ33" s="1270" t="str">
        <f t="shared" si="82"/>
        <v/>
      </c>
      <c r="DR33" s="1270" t="str">
        <f t="shared" si="83"/>
        <v/>
      </c>
      <c r="DS33" s="1270" t="str">
        <f t="shared" si="84"/>
        <v/>
      </c>
      <c r="DT33" s="1270" t="str">
        <f t="shared" si="85"/>
        <v/>
      </c>
      <c r="DU33" s="1270" t="str">
        <f t="shared" si="86"/>
        <v/>
      </c>
      <c r="DV33" s="1270" t="str">
        <f t="shared" si="87"/>
        <v/>
      </c>
      <c r="DW33" s="1270" t="str">
        <f t="shared" si="88"/>
        <v/>
      </c>
      <c r="DX33" s="1371">
        <f t="shared" si="89"/>
        <v>0</v>
      </c>
      <c r="DY33" s="1270" t="str">
        <f t="shared" si="90"/>
        <v/>
      </c>
      <c r="DZ33" s="1270" t="str">
        <f t="shared" si="91"/>
        <v/>
      </c>
      <c r="EA33" s="1270" t="str">
        <f t="shared" si="92"/>
        <v/>
      </c>
      <c r="EB33" s="1270" t="str">
        <f t="shared" si="93"/>
        <v/>
      </c>
      <c r="EC33" s="1270" t="str">
        <f t="shared" si="94"/>
        <v/>
      </c>
      <c r="ED33" s="1270" t="str">
        <f t="shared" si="95"/>
        <v/>
      </c>
      <c r="EE33" s="1270" t="str">
        <f t="shared" si="96"/>
        <v/>
      </c>
      <c r="EF33" s="1371">
        <f t="shared" si="97"/>
        <v>0</v>
      </c>
    </row>
    <row r="34" spans="1:136" ht="19.5" customHeight="1">
      <c r="A34" s="18" t="s">
        <v>1578</v>
      </c>
      <c r="B34" s="859"/>
      <c r="C34" s="1342"/>
      <c r="D34" s="1422"/>
      <c r="E34" s="1423"/>
      <c r="F34" s="984"/>
      <c r="G34" s="1389"/>
      <c r="H34" s="984"/>
      <c r="I34" s="1389"/>
      <c r="J34" s="984"/>
      <c r="K34" s="1426"/>
      <c r="L34" s="503"/>
      <c r="M34" s="834"/>
      <c r="N34" s="1349"/>
      <c r="O34" s="1350"/>
      <c r="P34" s="1351">
        <f t="shared" si="0"/>
        <v>0</v>
      </c>
      <c r="Q34" s="1352">
        <f t="shared" si="1"/>
        <v>0</v>
      </c>
      <c r="R34" s="1353">
        <f t="shared" si="2"/>
        <v>0</v>
      </c>
      <c r="S34" s="1354" t="e">
        <f t="shared" si="3"/>
        <v>#DIV/0!</v>
      </c>
      <c r="T34" s="1355">
        <f t="shared" si="4"/>
        <v>0</v>
      </c>
      <c r="U34" s="1356">
        <f t="shared" si="5"/>
        <v>0</v>
      </c>
      <c r="V34" s="1357">
        <f t="shared" si="6"/>
        <v>0</v>
      </c>
      <c r="W34" s="503"/>
      <c r="X34" s="1427"/>
      <c r="Y34" s="1347"/>
      <c r="Z34" s="1360"/>
      <c r="AA34" s="1347"/>
      <c r="AB34" s="1360"/>
      <c r="AC34" s="1361"/>
      <c r="AD34" s="1427"/>
      <c r="AE34" s="1347"/>
      <c r="AF34" s="1428"/>
      <c r="AG34" s="1429"/>
      <c r="AH34" s="1348"/>
      <c r="AI34" s="503"/>
      <c r="AJ34" s="1427"/>
      <c r="AK34" s="503"/>
      <c r="AL34" s="1428"/>
      <c r="AM34" s="1347"/>
      <c r="AN34" s="1360"/>
      <c r="AO34" s="1347"/>
      <c r="AP34" s="1360"/>
      <c r="AQ34" s="1275" t="e">
        <f t="shared" si="7"/>
        <v>#DIV/0!</v>
      </c>
      <c r="AR34" s="1369" t="str">
        <f t="shared" si="8"/>
        <v/>
      </c>
      <c r="AS34" s="1270" t="str">
        <f t="shared" si="9"/>
        <v/>
      </c>
      <c r="AT34" s="1270" t="str">
        <f t="shared" si="10"/>
        <v/>
      </c>
      <c r="AU34" s="1270" t="str">
        <f t="shared" si="11"/>
        <v/>
      </c>
      <c r="AV34" s="1270" t="str">
        <f t="shared" si="12"/>
        <v/>
      </c>
      <c r="AW34" s="1270" t="str">
        <f t="shared" si="13"/>
        <v/>
      </c>
      <c r="AX34" s="1270" t="str">
        <f t="shared" si="14"/>
        <v/>
      </c>
      <c r="AY34" s="1270" t="str">
        <f t="shared" si="15"/>
        <v/>
      </c>
      <c r="AZ34" s="1270" t="str">
        <f t="shared" si="16"/>
        <v/>
      </c>
      <c r="BA34" s="1270" t="str">
        <f t="shared" si="17"/>
        <v/>
      </c>
      <c r="BB34" s="1371">
        <f t="shared" si="18"/>
        <v>0</v>
      </c>
      <c r="BC34" s="1369" t="str">
        <f t="shared" si="19"/>
        <v/>
      </c>
      <c r="BD34" s="626" t="str">
        <f t="shared" si="20"/>
        <v/>
      </c>
      <c r="BE34" s="1270" t="str">
        <f t="shared" si="21"/>
        <v/>
      </c>
      <c r="BF34" s="626" t="str">
        <f t="shared" si="22"/>
        <v/>
      </c>
      <c r="BG34" s="626" t="str">
        <f t="shared" si="23"/>
        <v/>
      </c>
      <c r="BH34" s="626" t="str">
        <f t="shared" si="24"/>
        <v/>
      </c>
      <c r="BI34" s="626" t="str">
        <f t="shared" si="25"/>
        <v/>
      </c>
      <c r="BJ34" s="626" t="str">
        <f t="shared" si="26"/>
        <v/>
      </c>
      <c r="BK34" s="626" t="str">
        <f t="shared" si="27"/>
        <v/>
      </c>
      <c r="BL34" s="626" t="str">
        <f t="shared" si="28"/>
        <v/>
      </c>
      <c r="BM34" s="1420">
        <f t="shared" si="29"/>
        <v>0</v>
      </c>
      <c r="BN34" s="1372">
        <f t="shared" si="30"/>
        <v>0</v>
      </c>
      <c r="BO34" s="1372">
        <f t="shared" si="31"/>
        <v>0</v>
      </c>
      <c r="BP34" s="1372">
        <f t="shared" si="32"/>
        <v>0</v>
      </c>
      <c r="BQ34" s="1374">
        <f t="shared" si="33"/>
        <v>0</v>
      </c>
      <c r="BR34" s="1251">
        <f t="shared" si="34"/>
        <v>0</v>
      </c>
      <c r="BS34" s="1403">
        <f t="shared" si="35"/>
        <v>0</v>
      </c>
      <c r="BT34" s="1372">
        <f t="shared" si="36"/>
        <v>0</v>
      </c>
      <c r="BU34" s="1372">
        <f t="shared" si="37"/>
        <v>0</v>
      </c>
      <c r="BV34" s="1372">
        <f t="shared" si="38"/>
        <v>0</v>
      </c>
      <c r="BW34" s="1372">
        <f t="shared" si="39"/>
        <v>0</v>
      </c>
      <c r="BX34" s="1372">
        <f t="shared" si="40"/>
        <v>0</v>
      </c>
      <c r="BY34" s="1372">
        <f t="shared" si="41"/>
        <v>0</v>
      </c>
      <c r="BZ34" s="1372">
        <f t="shared" si="42"/>
        <v>0</v>
      </c>
      <c r="CA34" s="1372">
        <f t="shared" si="43"/>
        <v>0</v>
      </c>
      <c r="CB34" s="1404">
        <f t="shared" si="44"/>
        <v>0</v>
      </c>
      <c r="CC34" s="1374">
        <f t="shared" si="98"/>
        <v>0</v>
      </c>
      <c r="CD34" s="1374">
        <f t="shared" si="45"/>
        <v>0</v>
      </c>
      <c r="CE34" s="1374">
        <f t="shared" si="46"/>
        <v>0</v>
      </c>
      <c r="CF34" s="1378">
        <f t="shared" si="47"/>
        <v>0</v>
      </c>
      <c r="CG34" s="1378">
        <f t="shared" si="48"/>
        <v>0</v>
      </c>
      <c r="CH34" s="1378">
        <f t="shared" si="49"/>
        <v>0</v>
      </c>
      <c r="CI34" s="1374">
        <f t="shared" si="50"/>
        <v>0</v>
      </c>
      <c r="CJ34" s="1374">
        <f t="shared" si="51"/>
        <v>0</v>
      </c>
      <c r="CK34" s="1374" t="str">
        <f t="shared" si="52"/>
        <v/>
      </c>
      <c r="CL34" s="1374">
        <f t="shared" si="53"/>
        <v>0</v>
      </c>
      <c r="CM34" s="1379">
        <f t="shared" si="54"/>
        <v>0</v>
      </c>
      <c r="CN34" s="628">
        <f>(BS34*Pricing!F$3+BT34*Pricing!G$3+BU34*Pricing!H$3+BV34*Pricing!I$3+BW34*Pricing!J$3+BX34*Pricing!K$3+BY34*Pricing!L$3+BZ34*Pricing!M$3+CA34*Pricing!N$3+CB34*Pricing!O$3)*IF(W$44="N",(1+Y$44),1)</f>
        <v>0</v>
      </c>
      <c r="CO34" s="628">
        <f t="shared" si="55"/>
        <v>0</v>
      </c>
      <c r="CP34" s="1380">
        <f t="shared" si="56"/>
        <v>0</v>
      </c>
      <c r="CQ34" s="628">
        <f t="shared" si="57"/>
        <v>0</v>
      </c>
      <c r="CR34" s="628">
        <f t="shared" si="58"/>
        <v>0</v>
      </c>
      <c r="CS34" s="628"/>
      <c r="CT34" s="1381">
        <f t="shared" si="59"/>
        <v>0</v>
      </c>
      <c r="CU34" s="628">
        <f t="shared" si="60"/>
        <v>0</v>
      </c>
      <c r="CV34" s="628">
        <f t="shared" si="61"/>
        <v>0</v>
      </c>
      <c r="CW34" s="628">
        <f t="shared" si="62"/>
        <v>0</v>
      </c>
      <c r="CX34" s="628">
        <f t="shared" si="63"/>
        <v>0</v>
      </c>
      <c r="CY34" s="628">
        <f t="shared" si="64"/>
        <v>0</v>
      </c>
      <c r="CZ34" s="628">
        <f t="shared" si="65"/>
        <v>0</v>
      </c>
      <c r="DA34" s="628">
        <f t="shared" si="66"/>
        <v>0</v>
      </c>
      <c r="DB34" s="628">
        <f t="shared" si="67"/>
        <v>0</v>
      </c>
      <c r="DC34" s="628">
        <f t="shared" si="68"/>
        <v>0</v>
      </c>
      <c r="DD34" s="628">
        <f t="shared" si="69"/>
        <v>0</v>
      </c>
      <c r="DE34" s="1382" t="e">
        <f t="shared" si="70"/>
        <v>#DIV/0!</v>
      </c>
      <c r="DF34" s="626">
        <f t="shared" si="71"/>
        <v>0</v>
      </c>
      <c r="DG34" s="626">
        <f t="shared" si="72"/>
        <v>0</v>
      </c>
      <c r="DH34" s="626">
        <f t="shared" si="73"/>
        <v>0</v>
      </c>
      <c r="DI34" s="626">
        <f t="shared" si="74"/>
        <v>0</v>
      </c>
      <c r="DJ34" s="626">
        <f t="shared" si="75"/>
        <v>0</v>
      </c>
      <c r="DK34" s="626">
        <f t="shared" si="76"/>
        <v>0</v>
      </c>
      <c r="DL34" s="626">
        <f t="shared" si="77"/>
        <v>0</v>
      </c>
      <c r="DM34" s="626">
        <f t="shared" si="78"/>
        <v>0</v>
      </c>
      <c r="DN34" s="626">
        <f t="shared" si="79"/>
        <v>0</v>
      </c>
      <c r="DO34" s="626">
        <f t="shared" si="80"/>
        <v>0</v>
      </c>
      <c r="DP34" s="1405">
        <f t="shared" si="81"/>
        <v>0</v>
      </c>
      <c r="DQ34" s="1270" t="str">
        <f t="shared" si="82"/>
        <v/>
      </c>
      <c r="DR34" s="1270" t="str">
        <f t="shared" si="83"/>
        <v/>
      </c>
      <c r="DS34" s="1270" t="str">
        <f t="shared" si="84"/>
        <v/>
      </c>
      <c r="DT34" s="1270" t="str">
        <f t="shared" si="85"/>
        <v/>
      </c>
      <c r="DU34" s="1270" t="str">
        <f t="shared" si="86"/>
        <v/>
      </c>
      <c r="DV34" s="1270" t="str">
        <f t="shared" si="87"/>
        <v/>
      </c>
      <c r="DW34" s="1270" t="str">
        <f t="shared" si="88"/>
        <v/>
      </c>
      <c r="DX34" s="1371">
        <f t="shared" si="89"/>
        <v>0</v>
      </c>
      <c r="DY34" s="1270" t="str">
        <f t="shared" si="90"/>
        <v/>
      </c>
      <c r="DZ34" s="1270" t="str">
        <f t="shared" si="91"/>
        <v/>
      </c>
      <c r="EA34" s="1270" t="str">
        <f t="shared" si="92"/>
        <v/>
      </c>
      <c r="EB34" s="1270" t="str">
        <f t="shared" si="93"/>
        <v/>
      </c>
      <c r="EC34" s="1270" t="str">
        <f t="shared" si="94"/>
        <v/>
      </c>
      <c r="ED34" s="1270" t="str">
        <f t="shared" si="95"/>
        <v/>
      </c>
      <c r="EE34" s="1270" t="str">
        <f t="shared" si="96"/>
        <v/>
      </c>
      <c r="EF34" s="1371">
        <f t="shared" si="97"/>
        <v>0</v>
      </c>
    </row>
    <row r="35" spans="1:136" ht="19.5" customHeight="1">
      <c r="A35" s="18" t="s">
        <v>1580</v>
      </c>
      <c r="B35" s="1385"/>
      <c r="C35" s="1386"/>
      <c r="D35" s="1387"/>
      <c r="E35" s="1388"/>
      <c r="F35" s="984"/>
      <c r="G35" s="1389"/>
      <c r="H35" s="984"/>
      <c r="I35" s="1389"/>
      <c r="J35" s="984"/>
      <c r="K35" s="1419"/>
      <c r="L35" s="1395"/>
      <c r="M35" s="1392"/>
      <c r="N35" s="1393"/>
      <c r="O35" s="1394"/>
      <c r="P35" s="1351">
        <f t="shared" si="0"/>
        <v>0</v>
      </c>
      <c r="Q35" s="1352">
        <f t="shared" si="1"/>
        <v>0</v>
      </c>
      <c r="R35" s="1353">
        <f t="shared" si="2"/>
        <v>0</v>
      </c>
      <c r="S35" s="1354" t="e">
        <f t="shared" si="3"/>
        <v>#DIV/0!</v>
      </c>
      <c r="T35" s="1355">
        <f t="shared" si="4"/>
        <v>0</v>
      </c>
      <c r="U35" s="1356">
        <f t="shared" si="5"/>
        <v>0</v>
      </c>
      <c r="V35" s="1357">
        <f t="shared" si="6"/>
        <v>0</v>
      </c>
      <c r="W35" s="1395"/>
      <c r="X35" s="1430"/>
      <c r="Y35" s="1395"/>
      <c r="Z35" s="1397"/>
      <c r="AA35" s="1395"/>
      <c r="AB35" s="1397"/>
      <c r="AC35" s="1398"/>
      <c r="AD35" s="1430"/>
      <c r="AE35" s="1395"/>
      <c r="AF35" s="1392"/>
      <c r="AG35" s="1431"/>
      <c r="AH35" s="1392"/>
      <c r="AI35" s="1395"/>
      <c r="AJ35" s="1392"/>
      <c r="AK35" s="1395"/>
      <c r="AL35" s="1392"/>
      <c r="AM35" s="1395"/>
      <c r="AN35" s="1397"/>
      <c r="AO35" s="1395"/>
      <c r="AP35" s="1397"/>
      <c r="AQ35" s="1275" t="e">
        <f t="shared" si="7"/>
        <v>#DIV/0!</v>
      </c>
      <c r="AR35" s="1369" t="str">
        <f t="shared" si="8"/>
        <v/>
      </c>
      <c r="AS35" s="1270" t="str">
        <f t="shared" si="9"/>
        <v/>
      </c>
      <c r="AT35" s="1270" t="str">
        <f t="shared" si="10"/>
        <v/>
      </c>
      <c r="AU35" s="1270" t="str">
        <f t="shared" si="11"/>
        <v/>
      </c>
      <c r="AV35" s="1270" t="str">
        <f t="shared" si="12"/>
        <v/>
      </c>
      <c r="AW35" s="1270" t="str">
        <f t="shared" si="13"/>
        <v/>
      </c>
      <c r="AX35" s="1270" t="str">
        <f t="shared" si="14"/>
        <v/>
      </c>
      <c r="AY35" s="1270" t="str">
        <f t="shared" si="15"/>
        <v/>
      </c>
      <c r="AZ35" s="1270" t="str">
        <f t="shared" si="16"/>
        <v/>
      </c>
      <c r="BA35" s="1270" t="str">
        <f t="shared" si="17"/>
        <v/>
      </c>
      <c r="BB35" s="1371">
        <f t="shared" si="18"/>
        <v>0</v>
      </c>
      <c r="BC35" s="1369" t="str">
        <f t="shared" si="19"/>
        <v/>
      </c>
      <c r="BD35" s="626" t="str">
        <f t="shared" si="20"/>
        <v/>
      </c>
      <c r="BE35" s="1270" t="str">
        <f t="shared" si="21"/>
        <v/>
      </c>
      <c r="BF35" s="626" t="str">
        <f t="shared" si="22"/>
        <v/>
      </c>
      <c r="BG35" s="626" t="str">
        <f t="shared" si="23"/>
        <v/>
      </c>
      <c r="BH35" s="626" t="str">
        <f t="shared" si="24"/>
        <v/>
      </c>
      <c r="BI35" s="626" t="str">
        <f t="shared" si="25"/>
        <v/>
      </c>
      <c r="BJ35" s="626" t="str">
        <f t="shared" si="26"/>
        <v/>
      </c>
      <c r="BK35" s="626" t="str">
        <f t="shared" si="27"/>
        <v/>
      </c>
      <c r="BL35" s="626" t="str">
        <f t="shared" si="28"/>
        <v/>
      </c>
      <c r="BM35" s="1420">
        <f t="shared" si="29"/>
        <v>0</v>
      </c>
      <c r="BN35" s="1372">
        <f t="shared" si="30"/>
        <v>0</v>
      </c>
      <c r="BO35" s="1372">
        <f t="shared" si="31"/>
        <v>0</v>
      </c>
      <c r="BP35" s="1372">
        <f t="shared" si="32"/>
        <v>0</v>
      </c>
      <c r="BQ35" s="1374">
        <f t="shared" si="33"/>
        <v>0</v>
      </c>
      <c r="BR35" s="1251">
        <f t="shared" si="34"/>
        <v>0</v>
      </c>
      <c r="BS35" s="1403">
        <f t="shared" si="35"/>
        <v>0</v>
      </c>
      <c r="BT35" s="1372">
        <f t="shared" si="36"/>
        <v>0</v>
      </c>
      <c r="BU35" s="1372">
        <f t="shared" si="37"/>
        <v>0</v>
      </c>
      <c r="BV35" s="1372">
        <f t="shared" si="38"/>
        <v>0</v>
      </c>
      <c r="BW35" s="1372">
        <f t="shared" si="39"/>
        <v>0</v>
      </c>
      <c r="BX35" s="1372">
        <f t="shared" si="40"/>
        <v>0</v>
      </c>
      <c r="BY35" s="1372">
        <f t="shared" si="41"/>
        <v>0</v>
      </c>
      <c r="BZ35" s="1372">
        <f t="shared" si="42"/>
        <v>0</v>
      </c>
      <c r="CA35" s="1372">
        <f t="shared" si="43"/>
        <v>0</v>
      </c>
      <c r="CB35" s="1404">
        <f t="shared" si="44"/>
        <v>0</v>
      </c>
      <c r="CC35" s="1374">
        <f t="shared" si="98"/>
        <v>0</v>
      </c>
      <c r="CD35" s="1374">
        <f t="shared" si="45"/>
        <v>0</v>
      </c>
      <c r="CE35" s="1374">
        <f t="shared" si="46"/>
        <v>0</v>
      </c>
      <c r="CF35" s="1378">
        <f t="shared" si="47"/>
        <v>0</v>
      </c>
      <c r="CG35" s="1378">
        <f t="shared" si="48"/>
        <v>0</v>
      </c>
      <c r="CH35" s="1378">
        <f t="shared" si="49"/>
        <v>0</v>
      </c>
      <c r="CI35" s="1374">
        <f t="shared" si="50"/>
        <v>0</v>
      </c>
      <c r="CJ35" s="1374">
        <f t="shared" si="51"/>
        <v>0</v>
      </c>
      <c r="CK35" s="1374" t="str">
        <f t="shared" si="52"/>
        <v/>
      </c>
      <c r="CL35" s="1374">
        <f t="shared" si="53"/>
        <v>0</v>
      </c>
      <c r="CM35" s="1379">
        <f t="shared" si="54"/>
        <v>0</v>
      </c>
      <c r="CN35" s="628">
        <f>(BS35*Pricing!F$3+BT35*Pricing!G$3+BU35*Pricing!H$3+BV35*Pricing!I$3+BW35*Pricing!J$3+BX35*Pricing!K$3+BY35*Pricing!L$3+BZ35*Pricing!M$3+CA35*Pricing!N$3+CB35*Pricing!O$3)*IF(W$44="N",(1+Y$44),1)</f>
        <v>0</v>
      </c>
      <c r="CO35" s="628">
        <f t="shared" si="55"/>
        <v>0</v>
      </c>
      <c r="CP35" s="1380">
        <f t="shared" si="56"/>
        <v>0</v>
      </c>
      <c r="CQ35" s="628">
        <f t="shared" si="57"/>
        <v>0</v>
      </c>
      <c r="CR35" s="628">
        <f t="shared" si="58"/>
        <v>0</v>
      </c>
      <c r="CS35" s="628"/>
      <c r="CT35" s="1381">
        <f t="shared" si="59"/>
        <v>0</v>
      </c>
      <c r="CU35" s="628">
        <f t="shared" si="60"/>
        <v>0</v>
      </c>
      <c r="CV35" s="628">
        <f t="shared" si="61"/>
        <v>0</v>
      </c>
      <c r="CW35" s="628">
        <f t="shared" si="62"/>
        <v>0</v>
      </c>
      <c r="CX35" s="628">
        <f t="shared" si="63"/>
        <v>0</v>
      </c>
      <c r="CY35" s="628">
        <f t="shared" si="64"/>
        <v>0</v>
      </c>
      <c r="CZ35" s="628">
        <f t="shared" si="65"/>
        <v>0</v>
      </c>
      <c r="DA35" s="628">
        <f t="shared" si="66"/>
        <v>0</v>
      </c>
      <c r="DB35" s="628">
        <f t="shared" si="67"/>
        <v>0</v>
      </c>
      <c r="DC35" s="628">
        <f t="shared" si="68"/>
        <v>0</v>
      </c>
      <c r="DD35" s="628">
        <f t="shared" si="69"/>
        <v>0</v>
      </c>
      <c r="DE35" s="1382" t="e">
        <f t="shared" si="70"/>
        <v>#DIV/0!</v>
      </c>
      <c r="DF35" s="626">
        <f t="shared" si="71"/>
        <v>0</v>
      </c>
      <c r="DG35" s="626">
        <f t="shared" si="72"/>
        <v>0</v>
      </c>
      <c r="DH35" s="626">
        <f t="shared" si="73"/>
        <v>0</v>
      </c>
      <c r="DI35" s="626">
        <f t="shared" si="74"/>
        <v>0</v>
      </c>
      <c r="DJ35" s="626">
        <f t="shared" si="75"/>
        <v>0</v>
      </c>
      <c r="DK35" s="626">
        <f t="shared" si="76"/>
        <v>0</v>
      </c>
      <c r="DL35" s="626">
        <f t="shared" si="77"/>
        <v>0</v>
      </c>
      <c r="DM35" s="626">
        <f t="shared" si="78"/>
        <v>0</v>
      </c>
      <c r="DN35" s="626">
        <f t="shared" si="79"/>
        <v>0</v>
      </c>
      <c r="DO35" s="626">
        <f t="shared" si="80"/>
        <v>0</v>
      </c>
      <c r="DP35" s="1405">
        <f t="shared" si="81"/>
        <v>0</v>
      </c>
      <c r="DQ35" s="1270" t="str">
        <f t="shared" si="82"/>
        <v/>
      </c>
      <c r="DR35" s="1270" t="str">
        <f t="shared" si="83"/>
        <v/>
      </c>
      <c r="DS35" s="1270" t="str">
        <f t="shared" si="84"/>
        <v/>
      </c>
      <c r="DT35" s="1270" t="str">
        <f t="shared" si="85"/>
        <v/>
      </c>
      <c r="DU35" s="1270" t="str">
        <f t="shared" si="86"/>
        <v/>
      </c>
      <c r="DV35" s="1270" t="str">
        <f t="shared" si="87"/>
        <v/>
      </c>
      <c r="DW35" s="1270" t="str">
        <f t="shared" si="88"/>
        <v/>
      </c>
      <c r="DX35" s="1371">
        <f t="shared" si="89"/>
        <v>0</v>
      </c>
      <c r="DY35" s="1270" t="str">
        <f t="shared" si="90"/>
        <v/>
      </c>
      <c r="DZ35" s="1270" t="str">
        <f t="shared" si="91"/>
        <v/>
      </c>
      <c r="EA35" s="1270" t="str">
        <f t="shared" si="92"/>
        <v/>
      </c>
      <c r="EB35" s="1270" t="str">
        <f t="shared" si="93"/>
        <v/>
      </c>
      <c r="EC35" s="1270" t="str">
        <f t="shared" si="94"/>
        <v/>
      </c>
      <c r="ED35" s="1270" t="str">
        <f t="shared" si="95"/>
        <v/>
      </c>
      <c r="EE35" s="1270" t="str">
        <f t="shared" si="96"/>
        <v/>
      </c>
      <c r="EF35" s="1371">
        <f t="shared" si="97"/>
        <v>0</v>
      </c>
    </row>
    <row r="36" spans="1:136" ht="19.5" customHeight="1">
      <c r="A36" s="18" t="s">
        <v>1581</v>
      </c>
      <c r="B36" s="859"/>
      <c r="C36" s="1342"/>
      <c r="D36" s="1343"/>
      <c r="E36" s="1344"/>
      <c r="F36" s="984"/>
      <c r="G36" s="1389"/>
      <c r="H36" s="984"/>
      <c r="I36" s="1389"/>
      <c r="J36" s="984"/>
      <c r="K36" s="1390"/>
      <c r="L36" s="503"/>
      <c r="M36" s="834"/>
      <c r="N36" s="1349"/>
      <c r="O36" s="1350"/>
      <c r="P36" s="1351">
        <f t="shared" si="0"/>
        <v>0</v>
      </c>
      <c r="Q36" s="1352">
        <f t="shared" si="1"/>
        <v>0</v>
      </c>
      <c r="R36" s="1353">
        <f t="shared" si="2"/>
        <v>0</v>
      </c>
      <c r="S36" s="1354" t="e">
        <f t="shared" si="3"/>
        <v>#DIV/0!</v>
      </c>
      <c r="T36" s="1355">
        <f t="shared" si="4"/>
        <v>0</v>
      </c>
      <c r="U36" s="1356">
        <f t="shared" si="5"/>
        <v>0</v>
      </c>
      <c r="V36" s="1357">
        <f t="shared" si="6"/>
        <v>0</v>
      </c>
      <c r="W36" s="1347"/>
      <c r="X36" s="1427"/>
      <c r="Y36" s="1347"/>
      <c r="Z36" s="1360"/>
      <c r="AA36" s="1347"/>
      <c r="AB36" s="1360"/>
      <c r="AC36" s="1421"/>
      <c r="AD36" s="1427"/>
      <c r="AE36" s="503"/>
      <c r="AF36" s="1428"/>
      <c r="AG36" s="503"/>
      <c r="AH36" s="1348"/>
      <c r="AI36" s="1347"/>
      <c r="AJ36" s="1348"/>
      <c r="AK36" s="1347"/>
      <c r="AL36" s="1348"/>
      <c r="AM36" s="1347"/>
      <c r="AN36" s="1360"/>
      <c r="AO36" s="1347"/>
      <c r="AP36" s="1360"/>
      <c r="AQ36" s="1275" t="e">
        <f t="shared" si="7"/>
        <v>#DIV/0!</v>
      </c>
      <c r="AR36" s="1369" t="str">
        <f t="shared" si="8"/>
        <v/>
      </c>
      <c r="AS36" s="1270" t="str">
        <f t="shared" si="9"/>
        <v/>
      </c>
      <c r="AT36" s="1270" t="str">
        <f t="shared" si="10"/>
        <v/>
      </c>
      <c r="AU36" s="1270" t="str">
        <f t="shared" si="11"/>
        <v/>
      </c>
      <c r="AV36" s="1270" t="str">
        <f t="shared" si="12"/>
        <v/>
      </c>
      <c r="AW36" s="1270" t="str">
        <f t="shared" si="13"/>
        <v/>
      </c>
      <c r="AX36" s="1270" t="str">
        <f t="shared" si="14"/>
        <v/>
      </c>
      <c r="AY36" s="1270" t="str">
        <f t="shared" si="15"/>
        <v/>
      </c>
      <c r="AZ36" s="1270" t="str">
        <f t="shared" si="16"/>
        <v/>
      </c>
      <c r="BA36" s="1270" t="str">
        <f t="shared" si="17"/>
        <v/>
      </c>
      <c r="BB36" s="1371">
        <f t="shared" si="18"/>
        <v>0</v>
      </c>
      <c r="BC36" s="1369" t="str">
        <f t="shared" si="19"/>
        <v/>
      </c>
      <c r="BD36" s="626" t="str">
        <f t="shared" si="20"/>
        <v/>
      </c>
      <c r="BE36" s="1270" t="str">
        <f t="shared" si="21"/>
        <v/>
      </c>
      <c r="BF36" s="626" t="str">
        <f t="shared" si="22"/>
        <v/>
      </c>
      <c r="BG36" s="626" t="str">
        <f t="shared" si="23"/>
        <v/>
      </c>
      <c r="BH36" s="626" t="str">
        <f t="shared" si="24"/>
        <v/>
      </c>
      <c r="BI36" s="626" t="str">
        <f t="shared" si="25"/>
        <v/>
      </c>
      <c r="BJ36" s="626" t="str">
        <f t="shared" si="26"/>
        <v/>
      </c>
      <c r="BK36" s="626" t="str">
        <f t="shared" si="27"/>
        <v/>
      </c>
      <c r="BL36" s="626" t="str">
        <f t="shared" si="28"/>
        <v/>
      </c>
      <c r="BM36" s="1420">
        <f t="shared" si="29"/>
        <v>0</v>
      </c>
      <c r="BN36" s="1372">
        <f t="shared" si="30"/>
        <v>0</v>
      </c>
      <c r="BO36" s="1372">
        <f t="shared" si="31"/>
        <v>0</v>
      </c>
      <c r="BP36" s="1372">
        <f t="shared" si="32"/>
        <v>0</v>
      </c>
      <c r="BQ36" s="1374">
        <f t="shared" si="33"/>
        <v>0</v>
      </c>
      <c r="BR36" s="1251">
        <f t="shared" si="34"/>
        <v>0</v>
      </c>
      <c r="BS36" s="1403">
        <f t="shared" si="35"/>
        <v>0</v>
      </c>
      <c r="BT36" s="1372">
        <f t="shared" si="36"/>
        <v>0</v>
      </c>
      <c r="BU36" s="1372">
        <f t="shared" si="37"/>
        <v>0</v>
      </c>
      <c r="BV36" s="1372">
        <f t="shared" si="38"/>
        <v>0</v>
      </c>
      <c r="BW36" s="1372">
        <f t="shared" si="39"/>
        <v>0</v>
      </c>
      <c r="BX36" s="1372">
        <f t="shared" si="40"/>
        <v>0</v>
      </c>
      <c r="BY36" s="1372">
        <f t="shared" si="41"/>
        <v>0</v>
      </c>
      <c r="BZ36" s="1372">
        <f t="shared" si="42"/>
        <v>0</v>
      </c>
      <c r="CA36" s="1372">
        <f t="shared" si="43"/>
        <v>0</v>
      </c>
      <c r="CB36" s="1404">
        <f t="shared" si="44"/>
        <v>0</v>
      </c>
      <c r="CC36" s="1374">
        <f t="shared" si="98"/>
        <v>0</v>
      </c>
      <c r="CD36" s="1374">
        <f t="shared" si="45"/>
        <v>0</v>
      </c>
      <c r="CE36" s="1374">
        <f t="shared" si="46"/>
        <v>0</v>
      </c>
      <c r="CF36" s="1378">
        <f t="shared" si="47"/>
        <v>0</v>
      </c>
      <c r="CG36" s="1378">
        <f t="shared" si="48"/>
        <v>0</v>
      </c>
      <c r="CH36" s="1378">
        <f t="shared" si="49"/>
        <v>0</v>
      </c>
      <c r="CI36" s="1374">
        <f t="shared" si="50"/>
        <v>0</v>
      </c>
      <c r="CJ36" s="1374">
        <f t="shared" si="51"/>
        <v>0</v>
      </c>
      <c r="CK36" s="1374" t="str">
        <f t="shared" si="52"/>
        <v/>
      </c>
      <c r="CL36" s="1374">
        <f t="shared" si="53"/>
        <v>0</v>
      </c>
      <c r="CM36" s="1379">
        <f t="shared" si="54"/>
        <v>0</v>
      </c>
      <c r="CN36" s="628">
        <f>(BS36*Pricing!F$3+BT36*Pricing!G$3+BU36*Pricing!H$3+BV36*Pricing!I$3+BW36*Pricing!J$3+BX36*Pricing!K$3+BY36*Pricing!L$3+BZ36*Pricing!M$3+CA36*Pricing!N$3+CB36*Pricing!O$3)*IF(W$44="N",(1+Y$44),1)</f>
        <v>0</v>
      </c>
      <c r="CO36" s="628">
        <f t="shared" si="55"/>
        <v>0</v>
      </c>
      <c r="CP36" s="1380">
        <f t="shared" si="56"/>
        <v>0</v>
      </c>
      <c r="CQ36" s="628">
        <f t="shared" si="57"/>
        <v>0</v>
      </c>
      <c r="CR36" s="628">
        <f t="shared" si="58"/>
        <v>0</v>
      </c>
      <c r="CS36" s="628"/>
      <c r="CT36" s="1381">
        <f t="shared" si="59"/>
        <v>0</v>
      </c>
      <c r="CU36" s="628">
        <f t="shared" si="60"/>
        <v>0</v>
      </c>
      <c r="CV36" s="628">
        <f t="shared" si="61"/>
        <v>0</v>
      </c>
      <c r="CW36" s="628">
        <f t="shared" si="62"/>
        <v>0</v>
      </c>
      <c r="CX36" s="628">
        <f t="shared" si="63"/>
        <v>0</v>
      </c>
      <c r="CY36" s="628">
        <f t="shared" si="64"/>
        <v>0</v>
      </c>
      <c r="CZ36" s="628">
        <f t="shared" si="65"/>
        <v>0</v>
      </c>
      <c r="DA36" s="628">
        <f t="shared" si="66"/>
        <v>0</v>
      </c>
      <c r="DB36" s="628">
        <f t="shared" si="67"/>
        <v>0</v>
      </c>
      <c r="DC36" s="628">
        <f t="shared" si="68"/>
        <v>0</v>
      </c>
      <c r="DD36" s="628">
        <f t="shared" si="69"/>
        <v>0</v>
      </c>
      <c r="DE36" s="1382" t="e">
        <f t="shared" si="70"/>
        <v>#DIV/0!</v>
      </c>
      <c r="DF36" s="626">
        <f t="shared" si="71"/>
        <v>0</v>
      </c>
      <c r="DG36" s="626">
        <f t="shared" si="72"/>
        <v>0</v>
      </c>
      <c r="DH36" s="626">
        <f t="shared" si="73"/>
        <v>0</v>
      </c>
      <c r="DI36" s="626">
        <f t="shared" si="74"/>
        <v>0</v>
      </c>
      <c r="DJ36" s="626">
        <f t="shared" si="75"/>
        <v>0</v>
      </c>
      <c r="DK36" s="626">
        <f t="shared" si="76"/>
        <v>0</v>
      </c>
      <c r="DL36" s="626">
        <f t="shared" si="77"/>
        <v>0</v>
      </c>
      <c r="DM36" s="626">
        <f t="shared" si="78"/>
        <v>0</v>
      </c>
      <c r="DN36" s="626">
        <f t="shared" si="79"/>
        <v>0</v>
      </c>
      <c r="DO36" s="626">
        <f t="shared" si="80"/>
        <v>0</v>
      </c>
      <c r="DP36" s="1405">
        <f t="shared" si="81"/>
        <v>0</v>
      </c>
      <c r="DQ36" s="1270" t="str">
        <f t="shared" si="82"/>
        <v/>
      </c>
      <c r="DR36" s="1270" t="str">
        <f t="shared" si="83"/>
        <v/>
      </c>
      <c r="DS36" s="1270" t="str">
        <f t="shared" si="84"/>
        <v/>
      </c>
      <c r="DT36" s="1270" t="str">
        <f t="shared" si="85"/>
        <v/>
      </c>
      <c r="DU36" s="1270" t="str">
        <f t="shared" si="86"/>
        <v/>
      </c>
      <c r="DV36" s="1270" t="str">
        <f t="shared" si="87"/>
        <v/>
      </c>
      <c r="DW36" s="1270" t="str">
        <f t="shared" si="88"/>
        <v/>
      </c>
      <c r="DX36" s="1371">
        <f t="shared" si="89"/>
        <v>0</v>
      </c>
      <c r="DY36" s="1270" t="str">
        <f t="shared" si="90"/>
        <v/>
      </c>
      <c r="DZ36" s="1270" t="str">
        <f t="shared" si="91"/>
        <v/>
      </c>
      <c r="EA36" s="1270" t="str">
        <f t="shared" si="92"/>
        <v/>
      </c>
      <c r="EB36" s="1270" t="str">
        <f t="shared" si="93"/>
        <v/>
      </c>
      <c r="EC36" s="1270" t="str">
        <f t="shared" si="94"/>
        <v/>
      </c>
      <c r="ED36" s="1270" t="str">
        <f t="shared" si="95"/>
        <v/>
      </c>
      <c r="EE36" s="1270" t="str">
        <f t="shared" si="96"/>
        <v/>
      </c>
      <c r="EF36" s="1371">
        <f t="shared" si="97"/>
        <v>0</v>
      </c>
    </row>
    <row r="37" spans="1:136" ht="19.5" customHeight="1">
      <c r="A37" s="18" t="s">
        <v>1582</v>
      </c>
      <c r="B37" s="1385"/>
      <c r="C37" s="1386"/>
      <c r="D37" s="1387"/>
      <c r="E37" s="1388"/>
      <c r="F37" s="984"/>
      <c r="G37" s="1389"/>
      <c r="H37" s="984"/>
      <c r="I37" s="1389"/>
      <c r="J37" s="984"/>
      <c r="K37" s="1419"/>
      <c r="L37" s="1395"/>
      <c r="M37" s="1392"/>
      <c r="N37" s="1393"/>
      <c r="O37" s="1394"/>
      <c r="P37" s="1351">
        <f t="shared" si="0"/>
        <v>0</v>
      </c>
      <c r="Q37" s="1352">
        <f t="shared" si="1"/>
        <v>0</v>
      </c>
      <c r="R37" s="1353">
        <f t="shared" si="2"/>
        <v>0</v>
      </c>
      <c r="S37" s="1354" t="e">
        <f t="shared" si="3"/>
        <v>#DIV/0!</v>
      </c>
      <c r="T37" s="1355">
        <f t="shared" si="4"/>
        <v>0</v>
      </c>
      <c r="U37" s="1356">
        <f t="shared" si="5"/>
        <v>0</v>
      </c>
      <c r="V37" s="1357">
        <f t="shared" si="6"/>
        <v>0</v>
      </c>
      <c r="W37" s="1395"/>
      <c r="X37" s="1430"/>
      <c r="Y37" s="1395"/>
      <c r="Z37" s="1397"/>
      <c r="AA37" s="1395"/>
      <c r="AB37" s="1397"/>
      <c r="AC37" s="1398"/>
      <c r="AD37" s="1430"/>
      <c r="AE37" s="1395"/>
      <c r="AF37" s="1392"/>
      <c r="AG37" s="1431"/>
      <c r="AH37" s="1392"/>
      <c r="AI37" s="1395"/>
      <c r="AJ37" s="1392"/>
      <c r="AK37" s="1395"/>
      <c r="AL37" s="1392"/>
      <c r="AM37" s="1395"/>
      <c r="AN37" s="1397"/>
      <c r="AO37" s="1395"/>
      <c r="AP37" s="1397"/>
      <c r="AQ37" s="1275" t="e">
        <f t="shared" si="7"/>
        <v>#DIV/0!</v>
      </c>
      <c r="AR37" s="1369" t="str">
        <f t="shared" si="8"/>
        <v/>
      </c>
      <c r="AS37" s="1270" t="str">
        <f t="shared" si="9"/>
        <v/>
      </c>
      <c r="AT37" s="1270" t="str">
        <f t="shared" si="10"/>
        <v/>
      </c>
      <c r="AU37" s="1270" t="str">
        <f t="shared" si="11"/>
        <v/>
      </c>
      <c r="AV37" s="1270" t="str">
        <f t="shared" si="12"/>
        <v/>
      </c>
      <c r="AW37" s="1270" t="str">
        <f t="shared" si="13"/>
        <v/>
      </c>
      <c r="AX37" s="1270" t="str">
        <f t="shared" si="14"/>
        <v/>
      </c>
      <c r="AY37" s="1270" t="str">
        <f t="shared" si="15"/>
        <v/>
      </c>
      <c r="AZ37" s="1270" t="str">
        <f t="shared" si="16"/>
        <v/>
      </c>
      <c r="BA37" s="1270" t="str">
        <f t="shared" si="17"/>
        <v/>
      </c>
      <c r="BB37" s="1371">
        <f t="shared" si="18"/>
        <v>0</v>
      </c>
      <c r="BC37" s="1369" t="str">
        <f t="shared" si="19"/>
        <v/>
      </c>
      <c r="BD37" s="626" t="str">
        <f t="shared" si="20"/>
        <v/>
      </c>
      <c r="BE37" s="1270" t="str">
        <f t="shared" si="21"/>
        <v/>
      </c>
      <c r="BF37" s="626" t="str">
        <f t="shared" si="22"/>
        <v/>
      </c>
      <c r="BG37" s="626" t="str">
        <f t="shared" si="23"/>
        <v/>
      </c>
      <c r="BH37" s="626" t="str">
        <f t="shared" si="24"/>
        <v/>
      </c>
      <c r="BI37" s="626" t="str">
        <f t="shared" si="25"/>
        <v/>
      </c>
      <c r="BJ37" s="626" t="str">
        <f t="shared" si="26"/>
        <v/>
      </c>
      <c r="BK37" s="626" t="str">
        <f t="shared" si="27"/>
        <v/>
      </c>
      <c r="BL37" s="626" t="str">
        <f t="shared" si="28"/>
        <v/>
      </c>
      <c r="BM37" s="1420">
        <f t="shared" si="29"/>
        <v>0</v>
      </c>
      <c r="BN37" s="1372">
        <f t="shared" si="30"/>
        <v>0</v>
      </c>
      <c r="BO37" s="1372">
        <f t="shared" si="31"/>
        <v>0</v>
      </c>
      <c r="BP37" s="1372">
        <f t="shared" si="32"/>
        <v>0</v>
      </c>
      <c r="BQ37" s="1374">
        <f t="shared" si="33"/>
        <v>0</v>
      </c>
      <c r="BR37" s="1251">
        <f t="shared" si="34"/>
        <v>0</v>
      </c>
      <c r="BS37" s="1403">
        <f t="shared" si="35"/>
        <v>0</v>
      </c>
      <c r="BT37" s="1372">
        <f t="shared" si="36"/>
        <v>0</v>
      </c>
      <c r="BU37" s="1372">
        <f t="shared" si="37"/>
        <v>0</v>
      </c>
      <c r="BV37" s="1372">
        <f t="shared" si="38"/>
        <v>0</v>
      </c>
      <c r="BW37" s="1372">
        <f t="shared" si="39"/>
        <v>0</v>
      </c>
      <c r="BX37" s="1372">
        <f t="shared" si="40"/>
        <v>0</v>
      </c>
      <c r="BY37" s="1372">
        <f t="shared" si="41"/>
        <v>0</v>
      </c>
      <c r="BZ37" s="1372">
        <f t="shared" si="42"/>
        <v>0</v>
      </c>
      <c r="CA37" s="1372">
        <f t="shared" si="43"/>
        <v>0</v>
      </c>
      <c r="CB37" s="1404">
        <f t="shared" si="44"/>
        <v>0</v>
      </c>
      <c r="CC37" s="1374">
        <f t="shared" si="98"/>
        <v>0</v>
      </c>
      <c r="CD37" s="1374">
        <f t="shared" si="45"/>
        <v>0</v>
      </c>
      <c r="CE37" s="1374">
        <f t="shared" si="46"/>
        <v>0</v>
      </c>
      <c r="CF37" s="1378">
        <f t="shared" si="47"/>
        <v>0</v>
      </c>
      <c r="CG37" s="1378">
        <f t="shared" si="48"/>
        <v>0</v>
      </c>
      <c r="CH37" s="1378">
        <f t="shared" si="49"/>
        <v>0</v>
      </c>
      <c r="CI37" s="1374">
        <f t="shared" si="50"/>
        <v>0</v>
      </c>
      <c r="CJ37" s="1374">
        <f t="shared" si="51"/>
        <v>0</v>
      </c>
      <c r="CK37" s="1374" t="str">
        <f t="shared" si="52"/>
        <v/>
      </c>
      <c r="CL37" s="1374">
        <f t="shared" si="53"/>
        <v>0</v>
      </c>
      <c r="CM37" s="1379">
        <f t="shared" si="54"/>
        <v>0</v>
      </c>
      <c r="CN37" s="628">
        <f>(BS37*Pricing!F$3+BT37*Pricing!G$3+BU37*Pricing!H$3+BV37*Pricing!I$3+BW37*Pricing!J$3+BX37*Pricing!K$3+BY37*Pricing!L$3+BZ37*Pricing!M$3+CA37*Pricing!N$3+CB37*Pricing!O$3)*IF(W$44="N",(1+Y$44),1)</f>
        <v>0</v>
      </c>
      <c r="CO37" s="628">
        <f t="shared" si="55"/>
        <v>0</v>
      </c>
      <c r="CP37" s="1380">
        <f t="shared" si="56"/>
        <v>0</v>
      </c>
      <c r="CQ37" s="628">
        <f t="shared" si="57"/>
        <v>0</v>
      </c>
      <c r="CR37" s="628">
        <f t="shared" si="58"/>
        <v>0</v>
      </c>
      <c r="CS37" s="628"/>
      <c r="CT37" s="1381">
        <f t="shared" si="59"/>
        <v>0</v>
      </c>
      <c r="CU37" s="628">
        <f t="shared" si="60"/>
        <v>0</v>
      </c>
      <c r="CV37" s="628">
        <f t="shared" si="61"/>
        <v>0</v>
      </c>
      <c r="CW37" s="628">
        <f t="shared" si="62"/>
        <v>0</v>
      </c>
      <c r="CX37" s="628">
        <f t="shared" si="63"/>
        <v>0</v>
      </c>
      <c r="CY37" s="628">
        <f t="shared" si="64"/>
        <v>0</v>
      </c>
      <c r="CZ37" s="628">
        <f t="shared" si="65"/>
        <v>0</v>
      </c>
      <c r="DA37" s="628">
        <f t="shared" si="66"/>
        <v>0</v>
      </c>
      <c r="DB37" s="628">
        <f t="shared" si="67"/>
        <v>0</v>
      </c>
      <c r="DC37" s="628">
        <f t="shared" si="68"/>
        <v>0</v>
      </c>
      <c r="DD37" s="628">
        <f t="shared" si="69"/>
        <v>0</v>
      </c>
      <c r="DE37" s="1382" t="e">
        <f t="shared" si="70"/>
        <v>#DIV/0!</v>
      </c>
      <c r="DF37" s="626">
        <f t="shared" si="71"/>
        <v>0</v>
      </c>
      <c r="DG37" s="626">
        <f t="shared" si="72"/>
        <v>0</v>
      </c>
      <c r="DH37" s="626">
        <f t="shared" si="73"/>
        <v>0</v>
      </c>
      <c r="DI37" s="626">
        <f t="shared" si="74"/>
        <v>0</v>
      </c>
      <c r="DJ37" s="626">
        <f t="shared" si="75"/>
        <v>0</v>
      </c>
      <c r="DK37" s="626">
        <f t="shared" si="76"/>
        <v>0</v>
      </c>
      <c r="DL37" s="626">
        <f t="shared" si="77"/>
        <v>0</v>
      </c>
      <c r="DM37" s="626">
        <f t="shared" si="78"/>
        <v>0</v>
      </c>
      <c r="DN37" s="626">
        <f t="shared" si="79"/>
        <v>0</v>
      </c>
      <c r="DO37" s="626">
        <f t="shared" si="80"/>
        <v>0</v>
      </c>
      <c r="DP37" s="1405">
        <f t="shared" si="81"/>
        <v>0</v>
      </c>
      <c r="DQ37" s="1270" t="str">
        <f t="shared" si="82"/>
        <v/>
      </c>
      <c r="DR37" s="1270" t="str">
        <f t="shared" si="83"/>
        <v/>
      </c>
      <c r="DS37" s="1270" t="str">
        <f t="shared" si="84"/>
        <v/>
      </c>
      <c r="DT37" s="1270" t="str">
        <f t="shared" si="85"/>
        <v/>
      </c>
      <c r="DU37" s="1270" t="str">
        <f t="shared" si="86"/>
        <v/>
      </c>
      <c r="DV37" s="1270" t="str">
        <f t="shared" si="87"/>
        <v/>
      </c>
      <c r="DW37" s="1270" t="str">
        <f t="shared" si="88"/>
        <v/>
      </c>
      <c r="DX37" s="1371">
        <f t="shared" si="89"/>
        <v>0</v>
      </c>
      <c r="DY37" s="1270" t="str">
        <f t="shared" si="90"/>
        <v/>
      </c>
      <c r="DZ37" s="1270" t="str">
        <f t="shared" si="91"/>
        <v/>
      </c>
      <c r="EA37" s="1270" t="str">
        <f t="shared" si="92"/>
        <v/>
      </c>
      <c r="EB37" s="1270" t="str">
        <f t="shared" si="93"/>
        <v/>
      </c>
      <c r="EC37" s="1270" t="str">
        <f t="shared" si="94"/>
        <v/>
      </c>
      <c r="ED37" s="1270" t="str">
        <f t="shared" si="95"/>
        <v/>
      </c>
      <c r="EE37" s="1270" t="str">
        <f t="shared" si="96"/>
        <v/>
      </c>
      <c r="EF37" s="1371">
        <f t="shared" si="97"/>
        <v>0</v>
      </c>
    </row>
    <row r="38" spans="1:136" ht="19.5" customHeight="1">
      <c r="A38" s="18" t="s">
        <v>1583</v>
      </c>
      <c r="B38" s="859"/>
      <c r="C38" s="1386"/>
      <c r="D38" s="1343"/>
      <c r="E38" s="1344"/>
      <c r="F38" s="984"/>
      <c r="G38" s="1389"/>
      <c r="H38" s="984"/>
      <c r="I38" s="1389"/>
      <c r="J38" s="984"/>
      <c r="K38" s="1419"/>
      <c r="L38" s="1347"/>
      <c r="M38" s="1348"/>
      <c r="N38" s="1349"/>
      <c r="O38" s="1350"/>
      <c r="P38" s="1351">
        <f t="shared" si="0"/>
        <v>0</v>
      </c>
      <c r="Q38" s="1352">
        <f t="shared" si="1"/>
        <v>0</v>
      </c>
      <c r="R38" s="1353">
        <f t="shared" si="2"/>
        <v>0</v>
      </c>
      <c r="S38" s="1354" t="e">
        <f t="shared" si="3"/>
        <v>#DIV/0!</v>
      </c>
      <c r="T38" s="1355">
        <f t="shared" si="4"/>
        <v>0</v>
      </c>
      <c r="U38" s="1356">
        <f t="shared" si="5"/>
        <v>0</v>
      </c>
      <c r="V38" s="1357">
        <f t="shared" si="6"/>
        <v>0</v>
      </c>
      <c r="W38" s="1347"/>
      <c r="X38" s="1432"/>
      <c r="Y38" s="1347"/>
      <c r="Z38" s="1360"/>
      <c r="AA38" s="1347"/>
      <c r="AB38" s="1360"/>
      <c r="AC38" s="1361"/>
      <c r="AD38" s="1432"/>
      <c r="AE38" s="1347"/>
      <c r="AF38" s="1348"/>
      <c r="AG38" s="1429"/>
      <c r="AH38" s="1348"/>
      <c r="AI38" s="1347"/>
      <c r="AJ38" s="1348"/>
      <c r="AK38" s="1347"/>
      <c r="AL38" s="1348"/>
      <c r="AM38" s="1347"/>
      <c r="AN38" s="1360"/>
      <c r="AO38" s="1347"/>
      <c r="AP38" s="1360"/>
      <c r="AQ38" s="1275" t="e">
        <f t="shared" si="7"/>
        <v>#DIV/0!</v>
      </c>
      <c r="AR38" s="1369" t="str">
        <f t="shared" si="8"/>
        <v/>
      </c>
      <c r="AS38" s="1270" t="str">
        <f t="shared" si="9"/>
        <v/>
      </c>
      <c r="AT38" s="1270" t="str">
        <f t="shared" si="10"/>
        <v/>
      </c>
      <c r="AU38" s="1270" t="str">
        <f t="shared" si="11"/>
        <v/>
      </c>
      <c r="AV38" s="1270" t="str">
        <f t="shared" si="12"/>
        <v/>
      </c>
      <c r="AW38" s="1270" t="str">
        <f t="shared" si="13"/>
        <v/>
      </c>
      <c r="AX38" s="1270" t="str">
        <f t="shared" si="14"/>
        <v/>
      </c>
      <c r="AY38" s="1270" t="str">
        <f t="shared" si="15"/>
        <v/>
      </c>
      <c r="AZ38" s="1270" t="str">
        <f t="shared" si="16"/>
        <v/>
      </c>
      <c r="BA38" s="1270" t="str">
        <f t="shared" si="17"/>
        <v/>
      </c>
      <c r="BB38" s="1371">
        <f t="shared" si="18"/>
        <v>0</v>
      </c>
      <c r="BC38" s="1369" t="str">
        <f t="shared" si="19"/>
        <v/>
      </c>
      <c r="BD38" s="626" t="str">
        <f t="shared" si="20"/>
        <v/>
      </c>
      <c r="BE38" s="1270" t="str">
        <f t="shared" si="21"/>
        <v/>
      </c>
      <c r="BF38" s="626" t="str">
        <f t="shared" si="22"/>
        <v/>
      </c>
      <c r="BG38" s="626" t="str">
        <f t="shared" si="23"/>
        <v/>
      </c>
      <c r="BH38" s="626" t="str">
        <f t="shared" si="24"/>
        <v/>
      </c>
      <c r="BI38" s="626" t="str">
        <f t="shared" si="25"/>
        <v/>
      </c>
      <c r="BJ38" s="626" t="str">
        <f t="shared" si="26"/>
        <v/>
      </c>
      <c r="BK38" s="626" t="str">
        <f t="shared" si="27"/>
        <v/>
      </c>
      <c r="BL38" s="626" t="str">
        <f t="shared" si="28"/>
        <v/>
      </c>
      <c r="BM38" s="1420">
        <f t="shared" si="29"/>
        <v>0</v>
      </c>
      <c r="BN38" s="1372">
        <f t="shared" si="30"/>
        <v>0</v>
      </c>
      <c r="BO38" s="1372">
        <f t="shared" si="31"/>
        <v>0</v>
      </c>
      <c r="BP38" s="1372">
        <f t="shared" si="32"/>
        <v>0</v>
      </c>
      <c r="BQ38" s="1374">
        <f t="shared" si="33"/>
        <v>0</v>
      </c>
      <c r="BR38" s="1251">
        <f t="shared" si="34"/>
        <v>0</v>
      </c>
      <c r="BS38" s="1403">
        <f t="shared" si="35"/>
        <v>0</v>
      </c>
      <c r="BT38" s="1372">
        <f t="shared" si="36"/>
        <v>0</v>
      </c>
      <c r="BU38" s="1372">
        <f t="shared" si="37"/>
        <v>0</v>
      </c>
      <c r="BV38" s="1372">
        <f t="shared" si="38"/>
        <v>0</v>
      </c>
      <c r="BW38" s="1372">
        <f t="shared" si="39"/>
        <v>0</v>
      </c>
      <c r="BX38" s="1372">
        <f t="shared" si="40"/>
        <v>0</v>
      </c>
      <c r="BY38" s="1372">
        <f t="shared" si="41"/>
        <v>0</v>
      </c>
      <c r="BZ38" s="1372">
        <f t="shared" si="42"/>
        <v>0</v>
      </c>
      <c r="CA38" s="1372">
        <f t="shared" si="43"/>
        <v>0</v>
      </c>
      <c r="CB38" s="1404">
        <f t="shared" si="44"/>
        <v>0</v>
      </c>
      <c r="CC38" s="1374">
        <f t="shared" si="98"/>
        <v>0</v>
      </c>
      <c r="CD38" s="1374">
        <f t="shared" si="45"/>
        <v>0</v>
      </c>
      <c r="CE38" s="1374">
        <f t="shared" si="46"/>
        <v>0</v>
      </c>
      <c r="CF38" s="1378">
        <f t="shared" si="47"/>
        <v>0</v>
      </c>
      <c r="CG38" s="1378">
        <f t="shared" si="48"/>
        <v>0</v>
      </c>
      <c r="CH38" s="1378">
        <f t="shared" si="49"/>
        <v>0</v>
      </c>
      <c r="CI38" s="1374">
        <f t="shared" si="50"/>
        <v>0</v>
      </c>
      <c r="CJ38" s="1374">
        <f t="shared" si="51"/>
        <v>0</v>
      </c>
      <c r="CK38" s="1374" t="str">
        <f t="shared" si="52"/>
        <v/>
      </c>
      <c r="CL38" s="1374">
        <f t="shared" si="53"/>
        <v>0</v>
      </c>
      <c r="CM38" s="1379">
        <f t="shared" si="54"/>
        <v>0</v>
      </c>
      <c r="CN38" s="628">
        <f>(BS38*Pricing!F$3+BT38*Pricing!G$3+BU38*Pricing!H$3+BV38*Pricing!I$3+BW38*Pricing!J$3+BX38*Pricing!K$3+BY38*Pricing!L$3+BZ38*Pricing!M$3+CA38*Pricing!N$3+CB38*Pricing!O$3)*IF(W$44="N",(1+Y$44),1)</f>
        <v>0</v>
      </c>
      <c r="CO38" s="628">
        <f t="shared" si="55"/>
        <v>0</v>
      </c>
      <c r="CP38" s="1380">
        <f t="shared" si="56"/>
        <v>0</v>
      </c>
      <c r="CQ38" s="628">
        <f t="shared" si="57"/>
        <v>0</v>
      </c>
      <c r="CR38" s="628">
        <f t="shared" si="58"/>
        <v>0</v>
      </c>
      <c r="CS38" s="628"/>
      <c r="CT38" s="1381">
        <f t="shared" si="59"/>
        <v>0</v>
      </c>
      <c r="CU38" s="628">
        <f t="shared" si="60"/>
        <v>0</v>
      </c>
      <c r="CV38" s="628">
        <f t="shared" si="61"/>
        <v>0</v>
      </c>
      <c r="CW38" s="628">
        <f t="shared" si="62"/>
        <v>0</v>
      </c>
      <c r="CX38" s="628">
        <f t="shared" si="63"/>
        <v>0</v>
      </c>
      <c r="CY38" s="628">
        <f t="shared" si="64"/>
        <v>0</v>
      </c>
      <c r="CZ38" s="628">
        <f t="shared" si="65"/>
        <v>0</v>
      </c>
      <c r="DA38" s="628">
        <f t="shared" si="66"/>
        <v>0</v>
      </c>
      <c r="DB38" s="628">
        <f t="shared" si="67"/>
        <v>0</v>
      </c>
      <c r="DC38" s="628">
        <f t="shared" si="68"/>
        <v>0</v>
      </c>
      <c r="DD38" s="628">
        <f t="shared" si="69"/>
        <v>0</v>
      </c>
      <c r="DE38" s="1382" t="e">
        <f t="shared" si="70"/>
        <v>#DIV/0!</v>
      </c>
      <c r="DF38" s="626">
        <f t="shared" si="71"/>
        <v>0</v>
      </c>
      <c r="DG38" s="626">
        <f t="shared" si="72"/>
        <v>0</v>
      </c>
      <c r="DH38" s="626">
        <f t="shared" si="73"/>
        <v>0</v>
      </c>
      <c r="DI38" s="626">
        <f t="shared" si="74"/>
        <v>0</v>
      </c>
      <c r="DJ38" s="626">
        <f t="shared" si="75"/>
        <v>0</v>
      </c>
      <c r="DK38" s="626">
        <f t="shared" si="76"/>
        <v>0</v>
      </c>
      <c r="DL38" s="626">
        <f t="shared" si="77"/>
        <v>0</v>
      </c>
      <c r="DM38" s="626">
        <f t="shared" si="78"/>
        <v>0</v>
      </c>
      <c r="DN38" s="626">
        <f t="shared" si="79"/>
        <v>0</v>
      </c>
      <c r="DO38" s="626">
        <f t="shared" si="80"/>
        <v>0</v>
      </c>
      <c r="DP38" s="1405">
        <f t="shared" si="81"/>
        <v>0</v>
      </c>
      <c r="DQ38" s="1270" t="str">
        <f t="shared" si="82"/>
        <v/>
      </c>
      <c r="DR38" s="1270" t="str">
        <f t="shared" si="83"/>
        <v/>
      </c>
      <c r="DS38" s="1270" t="str">
        <f t="shared" si="84"/>
        <v/>
      </c>
      <c r="DT38" s="1270" t="str">
        <f t="shared" si="85"/>
        <v/>
      </c>
      <c r="DU38" s="1270" t="str">
        <f t="shared" si="86"/>
        <v/>
      </c>
      <c r="DV38" s="1270" t="str">
        <f t="shared" si="87"/>
        <v/>
      </c>
      <c r="DW38" s="1270" t="str">
        <f t="shared" si="88"/>
        <v/>
      </c>
      <c r="DX38" s="1371">
        <f t="shared" si="89"/>
        <v>0</v>
      </c>
      <c r="DY38" s="1270" t="str">
        <f t="shared" si="90"/>
        <v/>
      </c>
      <c r="DZ38" s="1270" t="str">
        <f t="shared" si="91"/>
        <v/>
      </c>
      <c r="EA38" s="1270" t="str">
        <f t="shared" si="92"/>
        <v/>
      </c>
      <c r="EB38" s="1270" t="str">
        <f t="shared" si="93"/>
        <v/>
      </c>
      <c r="EC38" s="1270" t="str">
        <f t="shared" si="94"/>
        <v/>
      </c>
      <c r="ED38" s="1270" t="str">
        <f t="shared" si="95"/>
        <v/>
      </c>
      <c r="EE38" s="1270" t="str">
        <f t="shared" si="96"/>
        <v/>
      </c>
      <c r="EF38" s="1371">
        <f t="shared" si="97"/>
        <v>0</v>
      </c>
    </row>
    <row r="39" spans="1:136" ht="19.5" customHeight="1">
      <c r="A39" s="18" t="s">
        <v>1584</v>
      </c>
      <c r="B39" s="1385"/>
      <c r="C39" s="1386"/>
      <c r="D39" s="1387"/>
      <c r="E39" s="1388"/>
      <c r="F39" s="984"/>
      <c r="G39" s="1389"/>
      <c r="H39" s="984"/>
      <c r="I39" s="1389"/>
      <c r="J39" s="1433"/>
      <c r="K39" s="1419"/>
      <c r="L39" s="1395"/>
      <c r="M39" s="1392"/>
      <c r="N39" s="1393"/>
      <c r="O39" s="1394"/>
      <c r="P39" s="1351">
        <f t="shared" si="0"/>
        <v>0</v>
      </c>
      <c r="Q39" s="1352">
        <f t="shared" si="1"/>
        <v>0</v>
      </c>
      <c r="R39" s="1353">
        <f t="shared" si="2"/>
        <v>0</v>
      </c>
      <c r="S39" s="1354" t="e">
        <f t="shared" si="3"/>
        <v>#DIV/0!</v>
      </c>
      <c r="T39" s="1355">
        <f t="shared" si="4"/>
        <v>0</v>
      </c>
      <c r="U39" s="1356">
        <f t="shared" si="5"/>
        <v>0</v>
      </c>
      <c r="V39" s="1357">
        <f t="shared" si="6"/>
        <v>0</v>
      </c>
      <c r="W39" s="1395"/>
      <c r="X39" s="1430"/>
      <c r="Y39" s="1395"/>
      <c r="Z39" s="1397"/>
      <c r="AA39" s="1395"/>
      <c r="AB39" s="1397"/>
      <c r="AC39" s="1431"/>
      <c r="AD39" s="1430"/>
      <c r="AE39" s="1395"/>
      <c r="AF39" s="1392"/>
      <c r="AG39" s="1431"/>
      <c r="AH39" s="1392"/>
      <c r="AI39" s="1395"/>
      <c r="AJ39" s="1392"/>
      <c r="AK39" s="1395"/>
      <c r="AL39" s="1392"/>
      <c r="AM39" s="1395"/>
      <c r="AN39" s="1397"/>
      <c r="AO39" s="1395"/>
      <c r="AP39" s="1397"/>
      <c r="AQ39" s="1275" t="e">
        <f t="shared" si="7"/>
        <v>#DIV/0!</v>
      </c>
      <c r="AR39" s="1369" t="str">
        <f t="shared" si="8"/>
        <v/>
      </c>
      <c r="AS39" s="1270" t="str">
        <f t="shared" si="9"/>
        <v/>
      </c>
      <c r="AT39" s="1270" t="str">
        <f t="shared" si="10"/>
        <v/>
      </c>
      <c r="AU39" s="1270" t="str">
        <f t="shared" si="11"/>
        <v/>
      </c>
      <c r="AV39" s="1270" t="str">
        <f t="shared" si="12"/>
        <v/>
      </c>
      <c r="AW39" s="1270" t="str">
        <f t="shared" si="13"/>
        <v/>
      </c>
      <c r="AX39" s="1270" t="str">
        <f t="shared" si="14"/>
        <v/>
      </c>
      <c r="AY39" s="1270" t="str">
        <f t="shared" si="15"/>
        <v/>
      </c>
      <c r="AZ39" s="1270" t="str">
        <f t="shared" si="16"/>
        <v/>
      </c>
      <c r="BA39" s="1270" t="str">
        <f t="shared" si="17"/>
        <v/>
      </c>
      <c r="BB39" s="1371">
        <f t="shared" si="18"/>
        <v>0</v>
      </c>
      <c r="BC39" s="1369" t="str">
        <f t="shared" si="19"/>
        <v/>
      </c>
      <c r="BD39" s="626" t="str">
        <f t="shared" si="20"/>
        <v/>
      </c>
      <c r="BE39" s="1270" t="str">
        <f t="shared" si="21"/>
        <v/>
      </c>
      <c r="BF39" s="626" t="str">
        <f t="shared" si="22"/>
        <v/>
      </c>
      <c r="BG39" s="626" t="str">
        <f t="shared" si="23"/>
        <v/>
      </c>
      <c r="BH39" s="626" t="str">
        <f t="shared" si="24"/>
        <v/>
      </c>
      <c r="BI39" s="626" t="str">
        <f t="shared" si="25"/>
        <v/>
      </c>
      <c r="BJ39" s="626" t="str">
        <f t="shared" si="26"/>
        <v/>
      </c>
      <c r="BK39" s="626" t="str">
        <f t="shared" si="27"/>
        <v/>
      </c>
      <c r="BL39" s="626" t="str">
        <f t="shared" si="28"/>
        <v/>
      </c>
      <c r="BM39" s="1420">
        <f t="shared" si="29"/>
        <v>0</v>
      </c>
      <c r="BN39" s="1372">
        <f t="shared" si="30"/>
        <v>0</v>
      </c>
      <c r="BO39" s="1372">
        <f t="shared" si="31"/>
        <v>0</v>
      </c>
      <c r="BP39" s="1372">
        <f t="shared" si="32"/>
        <v>0</v>
      </c>
      <c r="BQ39" s="1374">
        <f t="shared" si="33"/>
        <v>0</v>
      </c>
      <c r="BR39" s="1251">
        <f t="shared" si="34"/>
        <v>0</v>
      </c>
      <c r="BS39" s="1403">
        <f t="shared" si="35"/>
        <v>0</v>
      </c>
      <c r="BT39" s="1372">
        <f t="shared" si="36"/>
        <v>0</v>
      </c>
      <c r="BU39" s="1372">
        <f t="shared" si="37"/>
        <v>0</v>
      </c>
      <c r="BV39" s="1372">
        <f t="shared" si="38"/>
        <v>0</v>
      </c>
      <c r="BW39" s="1372">
        <f t="shared" si="39"/>
        <v>0</v>
      </c>
      <c r="BX39" s="1372">
        <f t="shared" si="40"/>
        <v>0</v>
      </c>
      <c r="BY39" s="1372">
        <f t="shared" si="41"/>
        <v>0</v>
      </c>
      <c r="BZ39" s="1372">
        <f t="shared" si="42"/>
        <v>0</v>
      </c>
      <c r="CA39" s="1372">
        <f t="shared" si="43"/>
        <v>0</v>
      </c>
      <c r="CB39" s="1404">
        <f t="shared" si="44"/>
        <v>0</v>
      </c>
      <c r="CC39" s="1374">
        <f t="shared" si="98"/>
        <v>0</v>
      </c>
      <c r="CD39" s="1374">
        <f t="shared" si="45"/>
        <v>0</v>
      </c>
      <c r="CE39" s="1374">
        <f t="shared" si="46"/>
        <v>0</v>
      </c>
      <c r="CF39" s="1378">
        <f t="shared" si="47"/>
        <v>0</v>
      </c>
      <c r="CG39" s="1378">
        <f t="shared" si="48"/>
        <v>0</v>
      </c>
      <c r="CH39" s="1378">
        <f t="shared" si="49"/>
        <v>0</v>
      </c>
      <c r="CI39" s="1374">
        <f t="shared" si="50"/>
        <v>0</v>
      </c>
      <c r="CJ39" s="1374">
        <f t="shared" si="51"/>
        <v>0</v>
      </c>
      <c r="CK39" s="1374" t="str">
        <f t="shared" si="52"/>
        <v/>
      </c>
      <c r="CL39" s="1374">
        <f t="shared" si="53"/>
        <v>0</v>
      </c>
      <c r="CM39" s="1379">
        <f t="shared" si="54"/>
        <v>0</v>
      </c>
      <c r="CN39" s="628">
        <f>(BS39*Pricing!F$3+BT39*Pricing!G$3+BU39*Pricing!H$3+BV39*Pricing!I$3+BW39*Pricing!J$3+BX39*Pricing!K$3+BY39*Pricing!L$3+BZ39*Pricing!M$3+CA39*Pricing!N$3+CB39*Pricing!O$3)*IF(W$44="N",(1+Y$44),1)</f>
        <v>0</v>
      </c>
      <c r="CO39" s="628">
        <f t="shared" si="55"/>
        <v>0</v>
      </c>
      <c r="CP39" s="1380">
        <f t="shared" si="56"/>
        <v>0</v>
      </c>
      <c r="CQ39" s="628">
        <f t="shared" si="57"/>
        <v>0</v>
      </c>
      <c r="CR39" s="628">
        <f t="shared" si="58"/>
        <v>0</v>
      </c>
      <c r="CS39" s="628"/>
      <c r="CT39" s="1381">
        <f t="shared" si="59"/>
        <v>0</v>
      </c>
      <c r="CU39" s="628">
        <f t="shared" si="60"/>
        <v>0</v>
      </c>
      <c r="CV39" s="628">
        <f t="shared" si="61"/>
        <v>0</v>
      </c>
      <c r="CW39" s="628">
        <f t="shared" si="62"/>
        <v>0</v>
      </c>
      <c r="CX39" s="628">
        <f t="shared" si="63"/>
        <v>0</v>
      </c>
      <c r="CY39" s="628">
        <f t="shared" si="64"/>
        <v>0</v>
      </c>
      <c r="CZ39" s="628">
        <f t="shared" si="65"/>
        <v>0</v>
      </c>
      <c r="DA39" s="628">
        <f t="shared" si="66"/>
        <v>0</v>
      </c>
      <c r="DB39" s="628">
        <f t="shared" si="67"/>
        <v>0</v>
      </c>
      <c r="DC39" s="628">
        <f t="shared" si="68"/>
        <v>0</v>
      </c>
      <c r="DD39" s="628">
        <f t="shared" si="69"/>
        <v>0</v>
      </c>
      <c r="DE39" s="1382" t="e">
        <f t="shared" si="70"/>
        <v>#DIV/0!</v>
      </c>
      <c r="DF39" s="626">
        <f t="shared" si="71"/>
        <v>0</v>
      </c>
      <c r="DG39" s="626">
        <f t="shared" si="72"/>
        <v>0</v>
      </c>
      <c r="DH39" s="626">
        <f t="shared" si="73"/>
        <v>0</v>
      </c>
      <c r="DI39" s="626">
        <f t="shared" si="74"/>
        <v>0</v>
      </c>
      <c r="DJ39" s="626">
        <f t="shared" si="75"/>
        <v>0</v>
      </c>
      <c r="DK39" s="626">
        <f t="shared" si="76"/>
        <v>0</v>
      </c>
      <c r="DL39" s="626">
        <f t="shared" si="77"/>
        <v>0</v>
      </c>
      <c r="DM39" s="626">
        <f t="shared" si="78"/>
        <v>0</v>
      </c>
      <c r="DN39" s="626">
        <f t="shared" si="79"/>
        <v>0</v>
      </c>
      <c r="DO39" s="626">
        <f t="shared" si="80"/>
        <v>0</v>
      </c>
      <c r="DP39" s="1405">
        <f t="shared" si="81"/>
        <v>0</v>
      </c>
      <c r="DQ39" s="1270" t="str">
        <f t="shared" si="82"/>
        <v/>
      </c>
      <c r="DR39" s="1270" t="str">
        <f t="shared" si="83"/>
        <v/>
      </c>
      <c r="DS39" s="1270" t="str">
        <f t="shared" si="84"/>
        <v/>
      </c>
      <c r="DT39" s="1270" t="str">
        <f t="shared" si="85"/>
        <v/>
      </c>
      <c r="DU39" s="1270" t="str">
        <f t="shared" si="86"/>
        <v/>
      </c>
      <c r="DV39" s="1270" t="str">
        <f t="shared" si="87"/>
        <v/>
      </c>
      <c r="DW39" s="1270" t="str">
        <f t="shared" si="88"/>
        <v/>
      </c>
      <c r="DX39" s="1371">
        <f t="shared" si="89"/>
        <v>0</v>
      </c>
      <c r="DY39" s="1270" t="str">
        <f t="shared" si="90"/>
        <v/>
      </c>
      <c r="DZ39" s="1270" t="str">
        <f t="shared" si="91"/>
        <v/>
      </c>
      <c r="EA39" s="1270" t="str">
        <f t="shared" si="92"/>
        <v/>
      </c>
      <c r="EB39" s="1270" t="str">
        <f t="shared" si="93"/>
        <v/>
      </c>
      <c r="EC39" s="1270" t="str">
        <f t="shared" si="94"/>
        <v/>
      </c>
      <c r="ED39" s="1270" t="str">
        <f t="shared" si="95"/>
        <v/>
      </c>
      <c r="EE39" s="1270" t="str">
        <f t="shared" si="96"/>
        <v/>
      </c>
      <c r="EF39" s="1371">
        <f t="shared" si="97"/>
        <v>0</v>
      </c>
    </row>
    <row r="40" spans="1:136" ht="19.5" customHeight="1">
      <c r="A40" s="18" t="s">
        <v>1585</v>
      </c>
      <c r="B40" s="1434"/>
      <c r="C40" s="1386"/>
      <c r="D40" s="1422"/>
      <c r="E40" s="1423"/>
      <c r="F40" s="984"/>
      <c r="G40" s="1389"/>
      <c r="H40" s="984"/>
      <c r="I40" s="1389"/>
      <c r="J40" s="1433"/>
      <c r="K40" s="1419"/>
      <c r="L40" s="503"/>
      <c r="M40" s="834"/>
      <c r="N40" s="1349"/>
      <c r="O40" s="1350"/>
      <c r="P40" s="1351">
        <f t="shared" si="0"/>
        <v>0</v>
      </c>
      <c r="Q40" s="1352">
        <f t="shared" si="1"/>
        <v>0</v>
      </c>
      <c r="R40" s="1353">
        <f t="shared" si="2"/>
        <v>0</v>
      </c>
      <c r="S40" s="1354" t="e">
        <f t="shared" si="3"/>
        <v>#DIV/0!</v>
      </c>
      <c r="T40" s="1355">
        <f t="shared" si="4"/>
        <v>0</v>
      </c>
      <c r="U40" s="1356">
        <f t="shared" si="5"/>
        <v>0</v>
      </c>
      <c r="V40" s="1357">
        <f t="shared" si="6"/>
        <v>0</v>
      </c>
      <c r="W40" s="503"/>
      <c r="X40" s="834"/>
      <c r="Y40" s="503"/>
      <c r="Z40" s="1410"/>
      <c r="AA40" s="503"/>
      <c r="AB40" s="1410"/>
      <c r="AC40" s="1429"/>
      <c r="AD40" s="1427"/>
      <c r="AE40" s="503"/>
      <c r="AF40" s="834"/>
      <c r="AG40" s="1429"/>
      <c r="AH40" s="834"/>
      <c r="AI40" s="503"/>
      <c r="AJ40" s="834"/>
      <c r="AK40" s="503"/>
      <c r="AL40" s="834"/>
      <c r="AM40" s="503"/>
      <c r="AN40" s="1410"/>
      <c r="AO40" s="503"/>
      <c r="AP40" s="1410"/>
      <c r="AQ40" s="1275" t="e">
        <f t="shared" si="7"/>
        <v>#DIV/0!</v>
      </c>
      <c r="AR40" s="1369" t="str">
        <f t="shared" si="8"/>
        <v/>
      </c>
      <c r="AS40" s="1270" t="str">
        <f t="shared" si="9"/>
        <v/>
      </c>
      <c r="AT40" s="1270" t="str">
        <f t="shared" si="10"/>
        <v/>
      </c>
      <c r="AU40" s="1270" t="str">
        <f t="shared" si="11"/>
        <v/>
      </c>
      <c r="AV40" s="1270" t="str">
        <f t="shared" si="12"/>
        <v/>
      </c>
      <c r="AW40" s="1270" t="str">
        <f t="shared" si="13"/>
        <v/>
      </c>
      <c r="AX40" s="1270" t="str">
        <f t="shared" si="14"/>
        <v/>
      </c>
      <c r="AY40" s="1270" t="str">
        <f t="shared" si="15"/>
        <v/>
      </c>
      <c r="AZ40" s="1270" t="str">
        <f t="shared" si="16"/>
        <v/>
      </c>
      <c r="BA40" s="1270" t="str">
        <f t="shared" si="17"/>
        <v/>
      </c>
      <c r="BB40" s="1371">
        <f t="shared" si="18"/>
        <v>0</v>
      </c>
      <c r="BC40" s="1369" t="str">
        <f t="shared" si="19"/>
        <v/>
      </c>
      <c r="BD40" s="626" t="str">
        <f t="shared" si="20"/>
        <v/>
      </c>
      <c r="BE40" s="1270" t="str">
        <f t="shared" si="21"/>
        <v/>
      </c>
      <c r="BF40" s="626" t="str">
        <f t="shared" si="22"/>
        <v/>
      </c>
      <c r="BG40" s="626" t="str">
        <f t="shared" si="23"/>
        <v/>
      </c>
      <c r="BH40" s="626" t="str">
        <f t="shared" si="24"/>
        <v/>
      </c>
      <c r="BI40" s="626" t="str">
        <f t="shared" si="25"/>
        <v/>
      </c>
      <c r="BJ40" s="626" t="str">
        <f t="shared" si="26"/>
        <v/>
      </c>
      <c r="BK40" s="626" t="str">
        <f t="shared" si="27"/>
        <v/>
      </c>
      <c r="BL40" s="626" t="str">
        <f t="shared" si="28"/>
        <v/>
      </c>
      <c r="BM40" s="1420">
        <f t="shared" si="29"/>
        <v>0</v>
      </c>
      <c r="BN40" s="1372">
        <f t="shared" si="30"/>
        <v>0</v>
      </c>
      <c r="BO40" s="1372">
        <f t="shared" si="31"/>
        <v>0</v>
      </c>
      <c r="BP40" s="1372">
        <f t="shared" si="32"/>
        <v>0</v>
      </c>
      <c r="BQ40" s="1374">
        <f t="shared" si="33"/>
        <v>0</v>
      </c>
      <c r="BR40" s="1251">
        <f t="shared" si="34"/>
        <v>0</v>
      </c>
      <c r="BS40" s="1403">
        <f t="shared" si="35"/>
        <v>0</v>
      </c>
      <c r="BT40" s="1372">
        <f t="shared" si="36"/>
        <v>0</v>
      </c>
      <c r="BU40" s="1372">
        <f t="shared" si="37"/>
        <v>0</v>
      </c>
      <c r="BV40" s="1372">
        <f t="shared" si="38"/>
        <v>0</v>
      </c>
      <c r="BW40" s="1372">
        <f t="shared" si="39"/>
        <v>0</v>
      </c>
      <c r="BX40" s="1372">
        <f t="shared" si="40"/>
        <v>0</v>
      </c>
      <c r="BY40" s="1372">
        <f t="shared" si="41"/>
        <v>0</v>
      </c>
      <c r="BZ40" s="1372">
        <f t="shared" si="42"/>
        <v>0</v>
      </c>
      <c r="CA40" s="1372">
        <f t="shared" si="43"/>
        <v>0</v>
      </c>
      <c r="CB40" s="1404">
        <f t="shared" si="44"/>
        <v>0</v>
      </c>
      <c r="CC40" s="1374">
        <f t="shared" si="98"/>
        <v>0</v>
      </c>
      <c r="CD40" s="1374">
        <f t="shared" si="45"/>
        <v>0</v>
      </c>
      <c r="CE40" s="1374">
        <f t="shared" si="46"/>
        <v>0</v>
      </c>
      <c r="CF40" s="1378">
        <f t="shared" si="47"/>
        <v>0</v>
      </c>
      <c r="CG40" s="1378">
        <f t="shared" si="48"/>
        <v>0</v>
      </c>
      <c r="CH40" s="1378">
        <f t="shared" si="49"/>
        <v>0</v>
      </c>
      <c r="CI40" s="1374">
        <f t="shared" si="50"/>
        <v>0</v>
      </c>
      <c r="CJ40" s="1374">
        <f t="shared" si="51"/>
        <v>0</v>
      </c>
      <c r="CK40" s="1374" t="str">
        <f t="shared" si="52"/>
        <v/>
      </c>
      <c r="CL40" s="1374">
        <f t="shared" si="53"/>
        <v>0</v>
      </c>
      <c r="CM40" s="1379">
        <f t="shared" si="54"/>
        <v>0</v>
      </c>
      <c r="CN40" s="628">
        <f>(BS40*Pricing!F$3+BT40*Pricing!G$3+BU40*Pricing!H$3+BV40*Pricing!I$3+BW40*Pricing!J$3+BX40*Pricing!K$3+BY40*Pricing!L$3+BZ40*Pricing!M$3+CA40*Pricing!N$3+CB40*Pricing!O$3)*IF(W$44="N",(1+Y$44),1)</f>
        <v>0</v>
      </c>
      <c r="CO40" s="628">
        <f t="shared" si="55"/>
        <v>0</v>
      </c>
      <c r="CP40" s="1380">
        <f t="shared" si="56"/>
        <v>0</v>
      </c>
      <c r="CQ40" s="628">
        <f t="shared" si="57"/>
        <v>0</v>
      </c>
      <c r="CR40" s="628">
        <f t="shared" si="58"/>
        <v>0</v>
      </c>
      <c r="CS40" s="628"/>
      <c r="CT40" s="1381">
        <f t="shared" si="59"/>
        <v>0</v>
      </c>
      <c r="CU40" s="628">
        <f t="shared" si="60"/>
        <v>0</v>
      </c>
      <c r="CV40" s="628">
        <f t="shared" si="61"/>
        <v>0</v>
      </c>
      <c r="CW40" s="628">
        <f t="shared" si="62"/>
        <v>0</v>
      </c>
      <c r="CX40" s="628">
        <f t="shared" si="63"/>
        <v>0</v>
      </c>
      <c r="CY40" s="628">
        <f t="shared" si="64"/>
        <v>0</v>
      </c>
      <c r="CZ40" s="628">
        <f t="shared" si="65"/>
        <v>0</v>
      </c>
      <c r="DA40" s="628">
        <f t="shared" si="66"/>
        <v>0</v>
      </c>
      <c r="DB40" s="628">
        <f t="shared" si="67"/>
        <v>0</v>
      </c>
      <c r="DC40" s="628">
        <f t="shared" si="68"/>
        <v>0</v>
      </c>
      <c r="DD40" s="628">
        <f t="shared" si="69"/>
        <v>0</v>
      </c>
      <c r="DE40" s="1382" t="e">
        <f t="shared" si="70"/>
        <v>#DIV/0!</v>
      </c>
      <c r="DF40" s="626">
        <f t="shared" si="71"/>
        <v>0</v>
      </c>
      <c r="DG40" s="626">
        <f t="shared" si="72"/>
        <v>0</v>
      </c>
      <c r="DH40" s="626">
        <f t="shared" si="73"/>
        <v>0</v>
      </c>
      <c r="DI40" s="626">
        <f t="shared" si="74"/>
        <v>0</v>
      </c>
      <c r="DJ40" s="626">
        <f t="shared" si="75"/>
        <v>0</v>
      </c>
      <c r="DK40" s="626">
        <f t="shared" si="76"/>
        <v>0</v>
      </c>
      <c r="DL40" s="626">
        <f t="shared" si="77"/>
        <v>0</v>
      </c>
      <c r="DM40" s="626">
        <f t="shared" si="78"/>
        <v>0</v>
      </c>
      <c r="DN40" s="626">
        <f t="shared" si="79"/>
        <v>0</v>
      </c>
      <c r="DO40" s="626">
        <f t="shared" si="80"/>
        <v>0</v>
      </c>
      <c r="DP40" s="1405">
        <f t="shared" si="81"/>
        <v>0</v>
      </c>
      <c r="DQ40" s="1270" t="str">
        <f t="shared" si="82"/>
        <v/>
      </c>
      <c r="DR40" s="1270" t="str">
        <f t="shared" si="83"/>
        <v/>
      </c>
      <c r="DS40" s="1270" t="str">
        <f t="shared" si="84"/>
        <v/>
      </c>
      <c r="DT40" s="1270" t="str">
        <f t="shared" si="85"/>
        <v/>
      </c>
      <c r="DU40" s="1270" t="str">
        <f t="shared" si="86"/>
        <v/>
      </c>
      <c r="DV40" s="1270" t="str">
        <f t="shared" si="87"/>
        <v/>
      </c>
      <c r="DW40" s="1270" t="str">
        <f t="shared" si="88"/>
        <v/>
      </c>
      <c r="DX40" s="1371">
        <f t="shared" si="89"/>
        <v>0</v>
      </c>
      <c r="DY40" s="1270" t="str">
        <f t="shared" si="90"/>
        <v/>
      </c>
      <c r="DZ40" s="1270" t="str">
        <f t="shared" si="91"/>
        <v/>
      </c>
      <c r="EA40" s="1270" t="str">
        <f t="shared" si="92"/>
        <v/>
      </c>
      <c r="EB40" s="1270" t="str">
        <f t="shared" si="93"/>
        <v/>
      </c>
      <c r="EC40" s="1270" t="str">
        <f t="shared" si="94"/>
        <v/>
      </c>
      <c r="ED40" s="1270" t="str">
        <f t="shared" si="95"/>
        <v/>
      </c>
      <c r="EE40" s="1270" t="str">
        <f t="shared" si="96"/>
        <v/>
      </c>
      <c r="EF40" s="1371">
        <f t="shared" si="97"/>
        <v>0</v>
      </c>
    </row>
    <row r="41" spans="1:136" ht="19.5" customHeight="1">
      <c r="A41" s="18" t="s">
        <v>1586</v>
      </c>
      <c r="B41" s="1435"/>
      <c r="C41" s="1436"/>
      <c r="D41" s="1437"/>
      <c r="E41" s="1438"/>
      <c r="F41" s="1439"/>
      <c r="G41" s="1440"/>
      <c r="H41" s="1441"/>
      <c r="I41" s="1442"/>
      <c r="J41" s="1443"/>
      <c r="K41" s="1444"/>
      <c r="L41" s="1441"/>
      <c r="M41" s="1445"/>
      <c r="N41" s="1446"/>
      <c r="O41" s="1447"/>
      <c r="P41" s="1448">
        <f t="shared" si="0"/>
        <v>0</v>
      </c>
      <c r="Q41" s="1449">
        <f t="shared" si="1"/>
        <v>0</v>
      </c>
      <c r="R41" s="1450">
        <f t="shared" si="2"/>
        <v>0</v>
      </c>
      <c r="S41" s="1354" t="e">
        <f t="shared" si="3"/>
        <v>#DIV/0!</v>
      </c>
      <c r="T41" s="1355">
        <f t="shared" si="4"/>
        <v>0</v>
      </c>
      <c r="U41" s="1356">
        <f t="shared" si="5"/>
        <v>0</v>
      </c>
      <c r="V41" s="1357">
        <f t="shared" si="6"/>
        <v>0</v>
      </c>
      <c r="W41" s="1441"/>
      <c r="X41" s="1445"/>
      <c r="Y41" s="1441"/>
      <c r="Z41" s="1451"/>
      <c r="AA41" s="1441"/>
      <c r="AB41" s="1451"/>
      <c r="AC41" s="1441"/>
      <c r="AD41" s="1445"/>
      <c r="AE41" s="1441"/>
      <c r="AF41" s="1445"/>
      <c r="AG41" s="1441"/>
      <c r="AH41" s="1445"/>
      <c r="AI41" s="1441"/>
      <c r="AJ41" s="1445"/>
      <c r="AK41" s="1441"/>
      <c r="AL41" s="1445"/>
      <c r="AM41" s="1441"/>
      <c r="AN41" s="1451"/>
      <c r="AO41" s="1441"/>
      <c r="AP41" s="1451"/>
      <c r="AQ41" s="1275" t="e">
        <f t="shared" si="7"/>
        <v>#DIV/0!</v>
      </c>
      <c r="AR41" s="1369" t="str">
        <f t="shared" si="8"/>
        <v/>
      </c>
      <c r="AS41" s="1452" t="str">
        <f t="shared" si="9"/>
        <v/>
      </c>
      <c r="AT41" s="1452" t="str">
        <f t="shared" si="10"/>
        <v/>
      </c>
      <c r="AU41" s="1452" t="str">
        <f t="shared" si="11"/>
        <v/>
      </c>
      <c r="AV41" s="1452" t="str">
        <f t="shared" si="12"/>
        <v/>
      </c>
      <c r="AW41" s="1452" t="str">
        <f t="shared" si="13"/>
        <v/>
      </c>
      <c r="AX41" s="1452" t="str">
        <f t="shared" si="14"/>
        <v/>
      </c>
      <c r="AY41" s="1452" t="str">
        <f t="shared" si="15"/>
        <v/>
      </c>
      <c r="AZ41" s="1452" t="str">
        <f t="shared" si="16"/>
        <v/>
      </c>
      <c r="BA41" s="1452" t="str">
        <f t="shared" si="17"/>
        <v/>
      </c>
      <c r="BB41" s="1453">
        <f t="shared" si="18"/>
        <v>0</v>
      </c>
      <c r="BC41" s="1454" t="str">
        <f t="shared" si="19"/>
        <v/>
      </c>
      <c r="BD41" s="693" t="str">
        <f t="shared" si="20"/>
        <v/>
      </c>
      <c r="BE41" s="1452" t="str">
        <f t="shared" si="21"/>
        <v/>
      </c>
      <c r="BF41" s="693" t="str">
        <f t="shared" si="22"/>
        <v/>
      </c>
      <c r="BG41" s="693" t="str">
        <f t="shared" si="23"/>
        <v/>
      </c>
      <c r="BH41" s="693" t="str">
        <f t="shared" si="24"/>
        <v/>
      </c>
      <c r="BI41" s="693" t="str">
        <f t="shared" si="25"/>
        <v/>
      </c>
      <c r="BJ41" s="693" t="str">
        <f t="shared" si="26"/>
        <v/>
      </c>
      <c r="BK41" s="693" t="str">
        <f t="shared" si="27"/>
        <v/>
      </c>
      <c r="BL41" s="693" t="str">
        <f t="shared" si="28"/>
        <v/>
      </c>
      <c r="BM41" s="1455">
        <f t="shared" si="29"/>
        <v>0</v>
      </c>
      <c r="BN41" s="1372">
        <f t="shared" si="30"/>
        <v>0</v>
      </c>
      <c r="BO41" s="1372">
        <f t="shared" si="31"/>
        <v>0</v>
      </c>
      <c r="BP41" s="1372">
        <f t="shared" si="32"/>
        <v>0</v>
      </c>
      <c r="BQ41" s="1374">
        <f t="shared" si="33"/>
        <v>0</v>
      </c>
      <c r="BR41" s="1251">
        <f t="shared" si="34"/>
        <v>0</v>
      </c>
      <c r="BS41" s="1456">
        <f t="shared" si="35"/>
        <v>0</v>
      </c>
      <c r="BT41" s="1457">
        <f t="shared" si="36"/>
        <v>0</v>
      </c>
      <c r="BU41" s="1457">
        <f t="shared" si="37"/>
        <v>0</v>
      </c>
      <c r="BV41" s="1457">
        <f t="shared" si="38"/>
        <v>0</v>
      </c>
      <c r="BW41" s="1457">
        <f t="shared" si="39"/>
        <v>0</v>
      </c>
      <c r="BX41" s="1457">
        <f t="shared" si="40"/>
        <v>0</v>
      </c>
      <c r="BY41" s="1457">
        <f t="shared" si="41"/>
        <v>0</v>
      </c>
      <c r="BZ41" s="1457">
        <f t="shared" si="42"/>
        <v>0</v>
      </c>
      <c r="CA41" s="1457">
        <f t="shared" si="43"/>
        <v>0</v>
      </c>
      <c r="CB41" s="1458">
        <f t="shared" si="44"/>
        <v>0</v>
      </c>
      <c r="CC41" s="1374">
        <f t="shared" si="98"/>
        <v>0</v>
      </c>
      <c r="CD41" s="1374">
        <f t="shared" si="45"/>
        <v>0</v>
      </c>
      <c r="CE41" s="1374">
        <f t="shared" si="46"/>
        <v>0</v>
      </c>
      <c r="CF41" s="1378">
        <f t="shared" si="47"/>
        <v>0</v>
      </c>
      <c r="CG41" s="1378">
        <f t="shared" si="48"/>
        <v>0</v>
      </c>
      <c r="CH41" s="1378">
        <f t="shared" si="49"/>
        <v>0</v>
      </c>
      <c r="CI41" s="1374">
        <f t="shared" si="50"/>
        <v>0</v>
      </c>
      <c r="CJ41" s="1374">
        <f t="shared" si="51"/>
        <v>0</v>
      </c>
      <c r="CK41" s="1374" t="str">
        <f t="shared" si="52"/>
        <v/>
      </c>
      <c r="CL41" s="1374">
        <f t="shared" si="53"/>
        <v>0</v>
      </c>
      <c r="CM41" s="1379">
        <f t="shared" si="54"/>
        <v>0</v>
      </c>
      <c r="CN41" s="628">
        <f>(BS41*Pricing!F$3+BT41*Pricing!G$3+BU41*Pricing!H$3+BV41*Pricing!I$3+BW41*Pricing!J$3+BX41*Pricing!K$3+BY41*Pricing!L$3+BZ41*Pricing!M$3+CA41*Pricing!N$3+CB41*Pricing!O$3)*IF(W$44="N",(1+Y$44),1)</f>
        <v>0</v>
      </c>
      <c r="CO41" s="628">
        <f t="shared" si="55"/>
        <v>0</v>
      </c>
      <c r="CP41" s="1380">
        <f t="shared" si="56"/>
        <v>0</v>
      </c>
      <c r="CQ41" s="628">
        <f t="shared" si="57"/>
        <v>0</v>
      </c>
      <c r="CR41" s="628">
        <f t="shared" si="58"/>
        <v>0</v>
      </c>
      <c r="CS41" s="628"/>
      <c r="CT41" s="1381">
        <f t="shared" si="59"/>
        <v>0</v>
      </c>
      <c r="CU41" s="628">
        <f t="shared" si="60"/>
        <v>0</v>
      </c>
      <c r="CV41" s="628">
        <f t="shared" si="61"/>
        <v>0</v>
      </c>
      <c r="CW41" s="628">
        <f t="shared" si="62"/>
        <v>0</v>
      </c>
      <c r="CX41" s="628">
        <f t="shared" si="63"/>
        <v>0</v>
      </c>
      <c r="CY41" s="628">
        <f t="shared" si="64"/>
        <v>0</v>
      </c>
      <c r="CZ41" s="628">
        <f t="shared" si="65"/>
        <v>0</v>
      </c>
      <c r="DA41" s="628">
        <f t="shared" si="66"/>
        <v>0</v>
      </c>
      <c r="DB41" s="628">
        <f t="shared" si="67"/>
        <v>0</v>
      </c>
      <c r="DC41" s="628">
        <f t="shared" si="68"/>
        <v>0</v>
      </c>
      <c r="DD41" s="628">
        <f t="shared" si="69"/>
        <v>0</v>
      </c>
      <c r="DE41" s="1382" t="e">
        <f t="shared" si="70"/>
        <v>#DIV/0!</v>
      </c>
      <c r="DF41" s="626">
        <f t="shared" si="71"/>
        <v>0</v>
      </c>
      <c r="DG41" s="626">
        <f t="shared" si="72"/>
        <v>0</v>
      </c>
      <c r="DH41" s="626">
        <f t="shared" si="73"/>
        <v>0</v>
      </c>
      <c r="DI41" s="626">
        <f t="shared" si="74"/>
        <v>0</v>
      </c>
      <c r="DJ41" s="626">
        <f t="shared" si="75"/>
        <v>0</v>
      </c>
      <c r="DK41" s="626">
        <f t="shared" si="76"/>
        <v>0</v>
      </c>
      <c r="DL41" s="626">
        <f t="shared" si="77"/>
        <v>0</v>
      </c>
      <c r="DM41" s="626">
        <f t="shared" si="78"/>
        <v>0</v>
      </c>
      <c r="DN41" s="626">
        <f t="shared" si="79"/>
        <v>0</v>
      </c>
      <c r="DO41" s="626">
        <f t="shared" si="80"/>
        <v>0</v>
      </c>
      <c r="DP41" s="1405">
        <f t="shared" si="81"/>
        <v>0</v>
      </c>
      <c r="DQ41" s="1270" t="str">
        <f t="shared" si="82"/>
        <v/>
      </c>
      <c r="DR41" s="1270" t="str">
        <f t="shared" si="83"/>
        <v/>
      </c>
      <c r="DS41" s="1270" t="str">
        <f t="shared" si="84"/>
        <v/>
      </c>
      <c r="DT41" s="1270" t="str">
        <f t="shared" si="85"/>
        <v/>
      </c>
      <c r="DU41" s="1270" t="str">
        <f t="shared" si="86"/>
        <v/>
      </c>
      <c r="DV41" s="1270" t="str">
        <f t="shared" si="87"/>
        <v/>
      </c>
      <c r="DW41" s="1270" t="str">
        <f t="shared" si="88"/>
        <v/>
      </c>
      <c r="DX41" s="1371">
        <f t="shared" si="89"/>
        <v>0</v>
      </c>
      <c r="DY41" s="1270" t="str">
        <f t="shared" si="90"/>
        <v/>
      </c>
      <c r="DZ41" s="1270" t="str">
        <f t="shared" si="91"/>
        <v/>
      </c>
      <c r="EA41" s="1270" t="str">
        <f t="shared" si="92"/>
        <v/>
      </c>
      <c r="EB41" s="1270" t="str">
        <f t="shared" si="93"/>
        <v/>
      </c>
      <c r="EC41" s="1270" t="str">
        <f t="shared" si="94"/>
        <v/>
      </c>
      <c r="ED41" s="1270" t="str">
        <f t="shared" si="95"/>
        <v/>
      </c>
      <c r="EE41" s="1270" t="str">
        <f t="shared" si="96"/>
        <v/>
      </c>
      <c r="EF41" s="1371">
        <f t="shared" si="97"/>
        <v>0</v>
      </c>
    </row>
    <row r="42" spans="1:136" ht="34.5" customHeight="1">
      <c r="C42" s="7" t="s">
        <v>1587</v>
      </c>
      <c r="D42" s="3035">
        <f>CI42</f>
        <v>0</v>
      </c>
      <c r="E42" s="3035"/>
      <c r="G42" s="380">
        <f>SUM(G10:G41)</f>
        <v>0</v>
      </c>
      <c r="H42" s="626"/>
      <c r="I42" s="626"/>
      <c r="J42" s="626"/>
      <c r="K42" s="1459">
        <f>SUM(K10:K41)</f>
        <v>0</v>
      </c>
      <c r="L42" s="626"/>
      <c r="M42" s="626"/>
      <c r="N42" s="626"/>
      <c r="O42" s="1373">
        <f>SUM(O10:O41)</f>
        <v>0</v>
      </c>
      <c r="P42" s="626"/>
      <c r="Q42" s="1460">
        <f>SUM(Q10:Q41)</f>
        <v>0</v>
      </c>
      <c r="R42" s="1461" t="e">
        <f>S42-E45</f>
        <v>#DIV/0!</v>
      </c>
      <c r="S42" s="628" t="e">
        <f>SUM(S10:S41)</f>
        <v>#DIV/0!</v>
      </c>
      <c r="T42" s="628"/>
      <c r="U42" s="1462">
        <f>SUM(U10:U41)</f>
        <v>0</v>
      </c>
      <c r="V42" s="628"/>
      <c r="W42" s="1254"/>
      <c r="X42" s="1463" t="s">
        <v>1588</v>
      </c>
      <c r="Y42" s="1464"/>
      <c r="Z42" s="1373"/>
      <c r="AA42" s="1254"/>
      <c r="AB42" s="1254"/>
      <c r="AC42" s="627"/>
      <c r="AD42" s="1465"/>
      <c r="AE42" s="229"/>
      <c r="AF42" s="229"/>
      <c r="AG42" s="976"/>
      <c r="AH42" s="976"/>
      <c r="AI42" s="976"/>
      <c r="AJ42" s="976"/>
      <c r="AK42" s="976"/>
      <c r="AL42" s="693"/>
      <c r="AM42" s="1132"/>
      <c r="AN42" s="626"/>
      <c r="AO42" s="626"/>
      <c r="AP42" s="626"/>
      <c r="AQ42" s="626"/>
      <c r="AR42" s="626"/>
      <c r="AS42" s="626"/>
      <c r="AT42" s="626"/>
      <c r="AU42" s="626"/>
      <c r="AV42" s="626"/>
      <c r="AW42" s="626"/>
      <c r="AX42" s="626"/>
      <c r="AY42" s="626"/>
      <c r="AZ42" s="626"/>
      <c r="BA42" s="626"/>
      <c r="BB42" s="1372">
        <f>SUM(BB10:BB41)</f>
        <v>0</v>
      </c>
      <c r="BC42" s="626"/>
      <c r="BD42" s="626"/>
      <c r="BE42" s="626"/>
      <c r="BF42" s="626"/>
      <c r="BG42" s="626"/>
      <c r="BH42" s="626"/>
      <c r="BI42" s="626"/>
      <c r="BJ42" s="626"/>
      <c r="BK42" s="626"/>
      <c r="BL42" s="626"/>
      <c r="BM42" s="1372">
        <f>SUM(BM10:BM41)</f>
        <v>0</v>
      </c>
      <c r="BN42" s="1373">
        <f>SUM(BN10:BN41)</f>
        <v>0</v>
      </c>
      <c r="BO42" s="1372">
        <f>SUM(BO10:BO41)</f>
        <v>0</v>
      </c>
      <c r="BP42" s="626">
        <f>SUM(BP10:BP41)</f>
        <v>0</v>
      </c>
      <c r="BQ42" s="1374">
        <f>SUM(BQ10:BQ41)/2</f>
        <v>0</v>
      </c>
      <c r="BR42" s="1374">
        <f t="shared" ref="BR42:DC42" si="99">SUM(BR10:BR41)</f>
        <v>0</v>
      </c>
      <c r="BS42" s="1270">
        <f t="shared" si="99"/>
        <v>0</v>
      </c>
      <c r="BT42" s="1270">
        <f t="shared" si="99"/>
        <v>0</v>
      </c>
      <c r="BU42" s="1270">
        <f t="shared" si="99"/>
        <v>0</v>
      </c>
      <c r="BV42" s="1270">
        <f t="shared" si="99"/>
        <v>0</v>
      </c>
      <c r="BW42" s="1270">
        <f t="shared" si="99"/>
        <v>0</v>
      </c>
      <c r="BX42" s="1270">
        <f t="shared" si="99"/>
        <v>0</v>
      </c>
      <c r="BY42" s="1270">
        <f t="shared" si="99"/>
        <v>0</v>
      </c>
      <c r="BZ42" s="1270">
        <f t="shared" si="99"/>
        <v>0</v>
      </c>
      <c r="CA42" s="1270">
        <f t="shared" si="99"/>
        <v>0</v>
      </c>
      <c r="CB42" s="1270">
        <f t="shared" si="99"/>
        <v>0</v>
      </c>
      <c r="CC42" s="1270">
        <f t="shared" si="99"/>
        <v>0</v>
      </c>
      <c r="CD42" s="1270">
        <f t="shared" si="99"/>
        <v>0</v>
      </c>
      <c r="CE42" s="1270">
        <f t="shared" si="99"/>
        <v>0</v>
      </c>
      <c r="CF42" s="1270">
        <f t="shared" si="99"/>
        <v>0</v>
      </c>
      <c r="CG42" s="1270">
        <f t="shared" si="99"/>
        <v>0</v>
      </c>
      <c r="CH42" s="1373">
        <f t="shared" si="99"/>
        <v>0</v>
      </c>
      <c r="CI42" s="1373">
        <f t="shared" si="99"/>
        <v>0</v>
      </c>
      <c r="CJ42" s="1373">
        <f t="shared" si="99"/>
        <v>0</v>
      </c>
      <c r="CK42" s="1373">
        <f t="shared" si="99"/>
        <v>0</v>
      </c>
      <c r="CL42" s="1373">
        <f t="shared" si="99"/>
        <v>0</v>
      </c>
      <c r="CM42" s="1466">
        <f t="shared" si="99"/>
        <v>0</v>
      </c>
      <c r="CN42" s="1467">
        <f t="shared" si="99"/>
        <v>0</v>
      </c>
      <c r="CO42" s="1467">
        <f t="shared" si="99"/>
        <v>0</v>
      </c>
      <c r="CP42" s="1468">
        <f t="shared" si="99"/>
        <v>0</v>
      </c>
      <c r="CQ42" s="1469">
        <f t="shared" si="99"/>
        <v>0</v>
      </c>
      <c r="CR42" s="1469">
        <f t="shared" si="99"/>
        <v>0</v>
      </c>
      <c r="CS42" s="1469">
        <f t="shared" si="99"/>
        <v>0</v>
      </c>
      <c r="CT42" s="1470">
        <f t="shared" si="99"/>
        <v>0</v>
      </c>
      <c r="CU42" s="1470">
        <f t="shared" si="99"/>
        <v>0</v>
      </c>
      <c r="CV42" s="1467">
        <f t="shared" si="99"/>
        <v>0</v>
      </c>
      <c r="CW42" s="1467">
        <f t="shared" si="99"/>
        <v>0</v>
      </c>
      <c r="CX42" s="1467">
        <f t="shared" si="99"/>
        <v>0</v>
      </c>
      <c r="CY42" s="1467">
        <f t="shared" si="99"/>
        <v>0</v>
      </c>
      <c r="CZ42" s="1467">
        <f t="shared" si="99"/>
        <v>0</v>
      </c>
      <c r="DA42" s="1467">
        <f t="shared" si="99"/>
        <v>0</v>
      </c>
      <c r="DB42" s="1467">
        <f t="shared" si="99"/>
        <v>0</v>
      </c>
      <c r="DC42" s="1467">
        <f t="shared" si="99"/>
        <v>0</v>
      </c>
      <c r="DD42" s="1467">
        <f>SUM(DC10:DD41)</f>
        <v>0</v>
      </c>
      <c r="DE42" s="1471" t="e">
        <f>SUM(DE10:DE41)</f>
        <v>#DIV/0!</v>
      </c>
      <c r="DF42" s="1472">
        <f>SUM(DF10:DF41)</f>
        <v>0</v>
      </c>
      <c r="DG42" s="1472">
        <f>SUM(DG10:DG41)</f>
        <v>0</v>
      </c>
      <c r="DH42" s="1472"/>
      <c r="DI42" s="1472">
        <f t="shared" ref="DI42:DP42" si="100">SUM(DI10:DI41)</f>
        <v>0</v>
      </c>
      <c r="DJ42" s="1472">
        <f t="shared" si="100"/>
        <v>0</v>
      </c>
      <c r="DK42" s="1472">
        <f t="shared" si="100"/>
        <v>0</v>
      </c>
      <c r="DL42" s="1472">
        <f t="shared" si="100"/>
        <v>0</v>
      </c>
      <c r="DM42" s="1472">
        <f t="shared" si="100"/>
        <v>0</v>
      </c>
      <c r="DN42" s="1472">
        <f t="shared" si="100"/>
        <v>0</v>
      </c>
      <c r="DO42" s="1472">
        <f t="shared" si="100"/>
        <v>0</v>
      </c>
      <c r="DP42" s="1473">
        <f t="shared" si="100"/>
        <v>0</v>
      </c>
      <c r="DQ42" s="626"/>
      <c r="DR42" s="626"/>
      <c r="DS42" s="626"/>
      <c r="DT42" s="626"/>
      <c r="DU42" s="626"/>
      <c r="DV42" s="626"/>
      <c r="DW42" s="626"/>
      <c r="DX42" s="626"/>
      <c r="DY42" s="626"/>
    </row>
    <row r="43" spans="1:136" ht="19.5" customHeight="1">
      <c r="B43" s="888"/>
      <c r="C43" s="889"/>
      <c r="D43" s="890" t="s">
        <v>1261</v>
      </c>
      <c r="E43" s="3036"/>
      <c r="F43" s="3036"/>
      <c r="G43" s="889"/>
      <c r="H43" s="889"/>
      <c r="I43" s="889"/>
      <c r="J43" s="889"/>
      <c r="K43" s="889"/>
      <c r="L43" s="891"/>
      <c r="M43" s="889"/>
      <c r="N43" s="889"/>
      <c r="O43" s="889"/>
      <c r="P43" s="889"/>
      <c r="Q43" s="1474"/>
      <c r="R43" s="1474"/>
      <c r="S43" s="889"/>
      <c r="T43" s="889"/>
      <c r="U43" s="889"/>
      <c r="V43" s="889"/>
      <c r="W43" s="889"/>
      <c r="X43" s="889"/>
      <c r="Y43" s="889"/>
      <c r="Z43" s="1475"/>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H43" s="626"/>
      <c r="BI43" s="626"/>
      <c r="BJ43" s="626"/>
      <c r="BK43" s="626"/>
      <c r="BL43" s="626"/>
      <c r="BM43" s="626"/>
      <c r="BN43" s="626"/>
      <c r="BO43" s="626"/>
      <c r="BP43" s="626"/>
      <c r="BQ43" s="626"/>
      <c r="BR43" s="626"/>
      <c r="BS43" s="626"/>
      <c r="BT43" s="626"/>
      <c r="BU43" s="626"/>
      <c r="BV43" s="626"/>
      <c r="BW43" s="626"/>
      <c r="BX43" s="626"/>
      <c r="BY43" s="626"/>
      <c r="BZ43" s="626"/>
      <c r="CA43" s="626"/>
      <c r="CB43" s="626"/>
      <c r="CC43" s="626"/>
      <c r="CD43" s="626"/>
      <c r="CE43" s="626"/>
      <c r="CF43" s="626"/>
      <c r="CG43" s="626"/>
      <c r="CH43" s="626"/>
      <c r="CI43" s="626"/>
      <c r="CJ43" s="626"/>
      <c r="CK43" s="626"/>
      <c r="CL43" s="626"/>
      <c r="CM43" s="927">
        <f>SUM(CN43:DE43)</f>
        <v>0</v>
      </c>
      <c r="CN43" s="927">
        <f>O65+O66+O69</f>
        <v>0</v>
      </c>
      <c r="CO43" s="927">
        <f>O70</f>
        <v>0</v>
      </c>
      <c r="CP43" s="927">
        <f>O84</f>
        <v>0</v>
      </c>
      <c r="CQ43" s="927">
        <f>SUM(O79:P85)-O83-O84+O88</f>
        <v>0</v>
      </c>
      <c r="CR43" s="927">
        <f>O83</f>
        <v>0</v>
      </c>
      <c r="CS43" s="927"/>
      <c r="CT43" s="927">
        <f>O87</f>
        <v>0</v>
      </c>
      <c r="CU43" s="927"/>
      <c r="CV43" s="927">
        <f>M92+O94</f>
        <v>0</v>
      </c>
      <c r="CW43" s="927">
        <f>SUM(Z66:Z97)</f>
        <v>0</v>
      </c>
      <c r="CX43" s="927">
        <f>SUM(O96:P101)</f>
        <v>0</v>
      </c>
      <c r="CY43" s="927">
        <f>SUM(O103:P109)</f>
        <v>0</v>
      </c>
      <c r="CZ43" s="927">
        <f>Z98+Z99+Z100+Z105+Z109</f>
        <v>0</v>
      </c>
      <c r="DA43" s="927">
        <f>O72</f>
        <v>0</v>
      </c>
      <c r="DB43" s="927">
        <f>O86</f>
        <v>0</v>
      </c>
      <c r="DC43" s="927">
        <f>O71</f>
        <v>0</v>
      </c>
      <c r="DD43" s="927">
        <f>O73</f>
        <v>0</v>
      </c>
      <c r="DE43" s="927">
        <f>O110</f>
        <v>0</v>
      </c>
      <c r="DF43" s="626">
        <f>AB69</f>
        <v>0</v>
      </c>
      <c r="DG43" s="626"/>
      <c r="DH43" s="626"/>
      <c r="DI43" s="626"/>
      <c r="DJ43" s="626"/>
      <c r="DK43" s="626"/>
      <c r="DL43" s="626"/>
      <c r="DM43" s="626"/>
      <c r="DN43" s="626"/>
      <c r="DO43" s="626"/>
    </row>
    <row r="44" spans="1:136" ht="18" customHeight="1">
      <c r="B44" s="1476" t="s">
        <v>1262</v>
      </c>
      <c r="C44" s="1477"/>
      <c r="D44" s="1477"/>
      <c r="E44" s="1476" t="s">
        <v>982</v>
      </c>
      <c r="F44" s="1478"/>
      <c r="G44" s="1477" t="s">
        <v>1263</v>
      </c>
      <c r="H44" s="1477"/>
      <c r="I44" s="1478"/>
      <c r="J44" s="1054" t="s">
        <v>1264</v>
      </c>
      <c r="K44" s="1055"/>
      <c r="L44" s="1056"/>
      <c r="M44" s="1057" t="s">
        <v>1265</v>
      </c>
      <c r="N44" s="1058"/>
      <c r="O44" s="1058"/>
      <c r="P44" s="1059"/>
      <c r="Q44" s="1479"/>
      <c r="R44" s="1480">
        <f>O107*(1+M45)</f>
        <v>0</v>
      </c>
      <c r="S44" s="1481" t="s">
        <v>1589</v>
      </c>
      <c r="T44" s="574" t="s">
        <v>1266</v>
      </c>
      <c r="V44" s="18" t="s">
        <v>1267</v>
      </c>
      <c r="W44" s="896" t="str">
        <f>Summary!P62</f>
        <v>N</v>
      </c>
      <c r="X44" s="793" t="s">
        <v>1268</v>
      </c>
      <c r="Y44" s="897">
        <f>Summary!R62</f>
        <v>8.2500000000000004E-2</v>
      </c>
      <c r="Z44" s="898"/>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H44" s="626"/>
      <c r="BI44" s="626"/>
      <c r="BJ44" s="626"/>
      <c r="BK44" s="626"/>
      <c r="BL44" s="626"/>
      <c r="BM44" s="626"/>
      <c r="BN44" s="626"/>
      <c r="BO44" s="626"/>
      <c r="BP44" s="626"/>
      <c r="BQ44" s="626"/>
      <c r="BR44" s="626"/>
      <c r="BS44" s="626"/>
      <c r="BT44" s="626"/>
      <c r="BU44" s="626"/>
      <c r="BV44" s="626"/>
      <c r="BW44" s="626"/>
      <c r="BX44" s="626"/>
      <c r="BY44" s="626"/>
      <c r="BZ44" s="626"/>
      <c r="CA44" s="626"/>
      <c r="CB44" s="626"/>
      <c r="CC44" s="626"/>
      <c r="CD44" s="626"/>
      <c r="CE44" s="626"/>
      <c r="CF44" s="626"/>
      <c r="CG44" s="626"/>
      <c r="CH44" s="626"/>
      <c r="CI44" s="626"/>
      <c r="CJ44" s="626"/>
      <c r="CK44" s="626"/>
      <c r="CL44" s="626"/>
      <c r="CM44" s="1482">
        <f t="shared" ref="CM44:CT44" si="101">CM42-CM43</f>
        <v>0</v>
      </c>
      <c r="CN44" s="1482">
        <f t="shared" si="101"/>
        <v>0</v>
      </c>
      <c r="CO44" s="1482">
        <f t="shared" si="101"/>
        <v>0</v>
      </c>
      <c r="CP44" s="1482">
        <f t="shared" si="101"/>
        <v>0</v>
      </c>
      <c r="CQ44" s="1482">
        <f t="shared" si="101"/>
        <v>0</v>
      </c>
      <c r="CR44" s="1482">
        <f t="shared" si="101"/>
        <v>0</v>
      </c>
      <c r="CS44" s="1482">
        <f t="shared" si="101"/>
        <v>0</v>
      </c>
      <c r="CT44" s="1482">
        <f t="shared" si="101"/>
        <v>0</v>
      </c>
      <c r="CU44" s="1482"/>
      <c r="CV44" s="1482">
        <f t="shared" ref="CV44:DE44" si="102">CV42-CV43</f>
        <v>0</v>
      </c>
      <c r="CW44" s="1482">
        <f t="shared" si="102"/>
        <v>0</v>
      </c>
      <c r="CX44" s="1482">
        <f t="shared" si="102"/>
        <v>0</v>
      </c>
      <c r="CY44" s="1482">
        <f t="shared" si="102"/>
        <v>0</v>
      </c>
      <c r="CZ44" s="1482">
        <f t="shared" si="102"/>
        <v>0</v>
      </c>
      <c r="DA44" s="1482">
        <f t="shared" si="102"/>
        <v>0</v>
      </c>
      <c r="DB44" s="1482">
        <f t="shared" si="102"/>
        <v>0</v>
      </c>
      <c r="DC44" s="1482">
        <f t="shared" si="102"/>
        <v>0</v>
      </c>
      <c r="DD44" s="1482">
        <f t="shared" si="102"/>
        <v>0</v>
      </c>
      <c r="DE44" s="1482" t="e">
        <f t="shared" si="102"/>
        <v>#DIV/0!</v>
      </c>
      <c r="DF44" s="626"/>
      <c r="DG44" s="626"/>
      <c r="DH44" s="626"/>
      <c r="DI44" s="626"/>
      <c r="DJ44" s="626"/>
      <c r="DK44" s="626"/>
      <c r="DL44" s="626"/>
      <c r="DM44" s="626"/>
      <c r="DN44" s="626"/>
      <c r="DO44" s="626"/>
    </row>
    <row r="45" spans="1:136" ht="18" customHeight="1">
      <c r="B45" s="899" t="s">
        <v>1269</v>
      </c>
      <c r="C45" s="3037">
        <f>IF(I79=0,0,E45/I79)</f>
        <v>0</v>
      </c>
      <c r="D45" s="3037"/>
      <c r="E45" s="2866">
        <f>(V45-O110)*(1+M45)</f>
        <v>0</v>
      </c>
      <c r="F45" s="2866"/>
      <c r="G45" s="1484">
        <f>IF(H45=0,0,H45/E45)</f>
        <v>0</v>
      </c>
      <c r="H45" s="2867">
        <f>(E45-V45)</f>
        <v>0</v>
      </c>
      <c r="I45" s="2867"/>
      <c r="J45" s="1485">
        <f>IF(D42=0,0,V45/D42)</f>
        <v>0</v>
      </c>
      <c r="K45" s="1486"/>
      <c r="L45" s="1487"/>
      <c r="M45" s="1488">
        <f>Summary!P59</f>
        <v>0.18</v>
      </c>
      <c r="N45" s="1489"/>
      <c r="O45" s="1489"/>
      <c r="P45" s="1490"/>
      <c r="Q45" s="1479"/>
      <c r="R45" s="1480"/>
      <c r="S45" s="1491">
        <v>10</v>
      </c>
      <c r="T45" s="902" t="s">
        <v>980</v>
      </c>
      <c r="V45" s="3038">
        <f>SUM(O65:P77)+SUM(O79:P88)+SUM(L79:M88)+SUM(O91:P93)+SUM(O96:P101)+SUM(O103:P110)+Z110+O94</f>
        <v>0</v>
      </c>
      <c r="W45" s="3038"/>
      <c r="X45" s="903"/>
      <c r="Y45" s="18"/>
      <c r="Z45" s="898"/>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H45" s="626"/>
      <c r="BI45" s="626"/>
      <c r="BJ45" s="626"/>
      <c r="BK45" s="626"/>
      <c r="BL45" s="626"/>
      <c r="BM45" s="626"/>
      <c r="BN45" s="626"/>
      <c r="BO45" s="626"/>
      <c r="BP45" s="626"/>
      <c r="BQ45" s="626"/>
      <c r="BR45" s="626"/>
      <c r="BS45" s="626"/>
      <c r="BT45" s="626"/>
      <c r="BU45" s="626"/>
      <c r="BV45" s="626"/>
      <c r="BW45" s="626"/>
      <c r="BX45" s="626"/>
      <c r="BY45" s="626"/>
      <c r="BZ45" s="626"/>
      <c r="CA45" s="626"/>
      <c r="CB45" s="626"/>
      <c r="CC45" s="626"/>
      <c r="CD45" s="626"/>
      <c r="CE45" s="626"/>
      <c r="CF45" s="626"/>
      <c r="CG45" s="626"/>
      <c r="CH45" s="626"/>
      <c r="CI45" s="626"/>
      <c r="CJ45" s="626"/>
      <c r="CK45" s="626"/>
      <c r="CL45" s="626"/>
      <c r="CM45" s="927">
        <f>CM42*(1+M45)</f>
        <v>0</v>
      </c>
      <c r="CN45" s="626"/>
      <c r="CO45" s="626"/>
      <c r="CP45" s="626"/>
      <c r="CQ45" s="626"/>
      <c r="CR45" s="626"/>
      <c r="CS45" s="626"/>
      <c r="CT45" s="626"/>
      <c r="CU45" s="626"/>
      <c r="CV45" s="626"/>
      <c r="CW45" s="626"/>
      <c r="CX45" s="626"/>
      <c r="CY45" s="626"/>
      <c r="CZ45" s="626"/>
      <c r="DA45" s="626"/>
      <c r="DB45" s="626"/>
      <c r="DC45" s="626"/>
      <c r="DD45" s="626"/>
      <c r="DE45" s="626"/>
      <c r="DF45" s="626"/>
      <c r="DG45" s="626"/>
      <c r="DH45" s="626"/>
      <c r="DI45" s="626"/>
      <c r="DJ45" s="626"/>
      <c r="DK45" s="626"/>
      <c r="DL45" s="626"/>
      <c r="DM45" s="626"/>
      <c r="DN45" s="626"/>
      <c r="DO45" s="626"/>
    </row>
    <row r="46" spans="1:136" ht="18" customHeight="1">
      <c r="B46" s="1492"/>
      <c r="C46" s="892"/>
      <c r="D46" s="1493" t="str">
        <f>IF(ROUND(E46,0)=0,"BINGO!!",IF(ROUND(E46,0)&lt;0,"To Low","T0 High"))</f>
        <v>BINGO!!</v>
      </c>
      <c r="E46" s="3039">
        <f>E45-E43</f>
        <v>0</v>
      </c>
      <c r="F46" s="3039"/>
      <c r="G46" s="3040"/>
      <c r="H46" s="3040"/>
      <c r="I46" s="907" t="s">
        <v>1270</v>
      </c>
      <c r="J46" s="908"/>
      <c r="K46" s="3041"/>
      <c r="L46" s="3041"/>
      <c r="M46" s="909"/>
      <c r="N46" s="910">
        <f>IF(K46&gt;0,(K46-E45)/(1+M45),0)</f>
        <v>0</v>
      </c>
      <c r="O46" s="1494"/>
      <c r="P46" s="895"/>
      <c r="Q46" s="1479"/>
      <c r="R46" s="1479"/>
      <c r="S46" s="1137"/>
      <c r="T46" s="1495"/>
      <c r="U46" s="895"/>
      <c r="V46" s="3042">
        <f>D119</f>
        <v>0</v>
      </c>
      <c r="W46" s="3042"/>
      <c r="X46" s="1496">
        <f>V45-V46</f>
        <v>0</v>
      </c>
      <c r="Y46" s="895"/>
      <c r="Z46" s="898"/>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H46" s="626"/>
      <c r="BI46" s="626"/>
      <c r="BJ46" s="626"/>
      <c r="BK46" s="626"/>
      <c r="BL46" s="626"/>
      <c r="BM46" s="626"/>
      <c r="BN46" s="626"/>
      <c r="BO46" s="626"/>
      <c r="BP46" s="626"/>
      <c r="BQ46" s="626"/>
      <c r="BR46" s="626"/>
      <c r="BS46" s="626"/>
      <c r="BT46" s="626"/>
      <c r="BU46" s="626"/>
      <c r="BV46" s="626"/>
      <c r="BW46" s="626"/>
      <c r="BX46" s="626"/>
      <c r="BY46" s="626"/>
      <c r="BZ46" s="626"/>
      <c r="CA46" s="626"/>
      <c r="CB46" s="626"/>
      <c r="CC46" s="626"/>
      <c r="CD46" s="626"/>
      <c r="CE46" s="626"/>
      <c r="CF46" s="626"/>
      <c r="CG46" s="626"/>
      <c r="CH46" s="626"/>
      <c r="CI46" s="626"/>
      <c r="CJ46" s="626"/>
      <c r="CK46" s="626"/>
      <c r="CL46" s="626"/>
      <c r="CM46" s="626"/>
      <c r="CN46" s="626"/>
      <c r="CO46" s="626"/>
      <c r="CP46" s="626"/>
      <c r="CQ46" s="626"/>
      <c r="CR46" s="626"/>
      <c r="CS46" s="626"/>
      <c r="CT46" s="626"/>
      <c r="CU46" s="626"/>
      <c r="CV46" s="626"/>
      <c r="CW46" s="626"/>
      <c r="CX46" s="626"/>
      <c r="CY46" s="626"/>
      <c r="CZ46" s="626"/>
      <c r="DA46" s="626"/>
      <c r="DB46" s="626"/>
      <c r="DC46" s="626"/>
      <c r="DD46" s="626"/>
      <c r="DE46" s="626"/>
      <c r="DF46" s="626"/>
      <c r="DG46" s="626"/>
      <c r="DH46" s="626"/>
      <c r="DI46" s="626"/>
      <c r="DJ46" s="626"/>
      <c r="DK46" s="626"/>
      <c r="DL46" s="626"/>
      <c r="DM46" s="626"/>
      <c r="DN46" s="626"/>
      <c r="DO46" s="626"/>
    </row>
    <row r="47" spans="1:136" ht="29.25" customHeight="1">
      <c r="B47" s="1497"/>
      <c r="C47" s="983" t="s">
        <v>1356</v>
      </c>
      <c r="D47" s="983"/>
      <c r="E47" s="1498" t="s">
        <v>1357</v>
      </c>
      <c r="F47" s="1499"/>
      <c r="G47" s="1498" t="s">
        <v>1590</v>
      </c>
      <c r="H47" s="1499"/>
      <c r="I47" s="1498" t="s">
        <v>1359</v>
      </c>
      <c r="J47" s="1499"/>
      <c r="K47" s="1498" t="s">
        <v>1360</v>
      </c>
      <c r="L47" s="1499"/>
      <c r="M47" s="1498" t="s">
        <v>1361</v>
      </c>
      <c r="N47" s="1085"/>
      <c r="O47" s="808"/>
      <c r="P47" s="1291" t="s">
        <v>1591</v>
      </c>
      <c r="Q47" s="1500"/>
      <c r="R47" s="1291" t="s">
        <v>1592</v>
      </c>
      <c r="S47" s="1501"/>
      <c r="U47" s="1502">
        <f>IF(I79=0,0,I79/SUM(L65:L69))</f>
        <v>0</v>
      </c>
      <c r="V47" s="1503" t="s">
        <v>1593</v>
      </c>
      <c r="W47" s="1275">
        <f>SUM(Z49:Z58)*(1+K70)</f>
        <v>0</v>
      </c>
      <c r="X47" s="626" t="s">
        <v>612</v>
      </c>
      <c r="Y47" s="1254">
        <f>W47/25</f>
        <v>0</v>
      </c>
      <c r="Z47" s="1254"/>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H47" s="626"/>
      <c r="BI47" s="626"/>
      <c r="BJ47" s="626"/>
      <c r="BK47" s="626"/>
      <c r="BL47" s="626"/>
      <c r="BM47" s="626"/>
      <c r="BN47" s="626"/>
      <c r="BO47" s="626"/>
      <c r="BP47" s="626"/>
      <c r="BQ47" s="626"/>
      <c r="BR47" s="626"/>
      <c r="BS47" s="626"/>
      <c r="BT47" s="626"/>
      <c r="BU47" s="626"/>
      <c r="BV47" s="626"/>
      <c r="BW47" s="628"/>
      <c r="BX47" s="628"/>
      <c r="BY47" s="628"/>
      <c r="BZ47" s="628"/>
      <c r="CA47" s="628"/>
      <c r="CB47" s="628"/>
      <c r="CC47" s="628"/>
      <c r="CD47" s="628"/>
      <c r="CE47" s="626"/>
      <c r="CF47" s="626"/>
      <c r="CG47" s="626"/>
      <c r="CH47" s="626"/>
      <c r="CI47" s="628"/>
      <c r="CJ47" s="628"/>
      <c r="CK47" s="628"/>
      <c r="CL47" s="628"/>
      <c r="CM47" s="628"/>
      <c r="CN47" s="628"/>
      <c r="CO47" s="626"/>
      <c r="CP47" s="626"/>
      <c r="CQ47" s="626"/>
      <c r="CR47" s="628"/>
      <c r="CS47" s="626"/>
      <c r="CT47" s="1270"/>
      <c r="CU47" s="1270"/>
      <c r="CV47" s="1270"/>
      <c r="CW47" s="1270"/>
      <c r="CX47" s="1270"/>
      <c r="CY47" s="1504"/>
      <c r="CZ47" s="1306"/>
      <c r="DA47" s="1306"/>
      <c r="DB47" s="1306" t="s">
        <v>1594</v>
      </c>
      <c r="DC47" s="1505">
        <f>SUM(DF42:DP42)</f>
        <v>0</v>
      </c>
      <c r="DD47" s="1306" t="s">
        <v>1418</v>
      </c>
      <c r="DE47" s="1306"/>
      <c r="DF47" s="1306"/>
      <c r="DG47" s="1306"/>
      <c r="DH47" s="1307"/>
      <c r="DI47" s="626"/>
      <c r="DJ47" s="626"/>
      <c r="DK47" s="626"/>
      <c r="DL47" s="626"/>
      <c r="DM47" s="626"/>
      <c r="DN47" s="626"/>
      <c r="DO47" s="626"/>
    </row>
    <row r="48" spans="1:136" ht="42.75" customHeight="1">
      <c r="B48" s="1506" t="s">
        <v>1595</v>
      </c>
      <c r="C48" s="1100" t="s">
        <v>1367</v>
      </c>
      <c r="D48" s="1099" t="s">
        <v>1596</v>
      </c>
      <c r="E48" s="1100" t="s">
        <v>1369</v>
      </c>
      <c r="F48" s="1099" t="s">
        <v>1215</v>
      </c>
      <c r="G48" s="1100" t="s">
        <v>1369</v>
      </c>
      <c r="H48" s="1099" t="s">
        <v>1215</v>
      </c>
      <c r="I48" s="1100" t="s">
        <v>1369</v>
      </c>
      <c r="J48" s="1099" t="s">
        <v>1215</v>
      </c>
      <c r="K48" s="1100" t="s">
        <v>1215</v>
      </c>
      <c r="L48" s="1507" t="s">
        <v>1216</v>
      </c>
      <c r="M48" s="1100" t="s">
        <v>1215</v>
      </c>
      <c r="N48" s="1101" t="s">
        <v>1597</v>
      </c>
      <c r="O48" s="1508" t="s">
        <v>1598</v>
      </c>
      <c r="P48" s="1317" t="s">
        <v>1599</v>
      </c>
      <c r="Q48" s="1509"/>
      <c r="R48" s="1317" t="s">
        <v>998</v>
      </c>
      <c r="S48" s="1510" t="s">
        <v>1600</v>
      </c>
      <c r="T48" s="1511" t="s">
        <v>1601</v>
      </c>
      <c r="U48" s="3043" t="s">
        <v>1602</v>
      </c>
      <c r="V48" s="3043"/>
      <c r="W48" s="1168" t="s">
        <v>1259</v>
      </c>
      <c r="X48" s="1169" t="s">
        <v>1215</v>
      </c>
      <c r="Y48" s="1170" t="s">
        <v>1369</v>
      </c>
      <c r="Z48" s="1171" t="s">
        <v>1414</v>
      </c>
      <c r="AS48" s="18" t="s">
        <v>1603</v>
      </c>
      <c r="AT48" s="626"/>
      <c r="AU48" s="626"/>
      <c r="AV48" s="626"/>
      <c r="AW48" s="626"/>
      <c r="AX48" s="626"/>
      <c r="AY48" s="626"/>
      <c r="AZ48" s="626"/>
      <c r="BA48" s="626"/>
      <c r="BB48" s="626"/>
      <c r="BC48" s="626"/>
      <c r="BD48" s="626"/>
      <c r="BE48" s="626"/>
      <c r="BF48" s="626"/>
      <c r="BG48" s="626"/>
      <c r="BH48" s="626"/>
      <c r="BI48" s="626"/>
      <c r="BJ48" s="626"/>
      <c r="BK48" s="626"/>
      <c r="BL48" s="626"/>
      <c r="BM48" s="626"/>
      <c r="BN48" s="626"/>
      <c r="BO48" s="626"/>
      <c r="BP48" s="626"/>
      <c r="BQ48" s="626"/>
      <c r="BR48" s="626"/>
      <c r="BS48" s="1251"/>
      <c r="BT48" s="626"/>
      <c r="BU48" s="626"/>
      <c r="BV48" s="626"/>
      <c r="BW48" s="626"/>
      <c r="BX48" s="626"/>
      <c r="BY48" s="626"/>
      <c r="BZ48" s="626"/>
      <c r="CA48" s="626"/>
      <c r="CB48" s="626"/>
      <c r="CC48" s="626"/>
      <c r="CD48" s="626"/>
      <c r="CE48" s="626"/>
      <c r="CF48" s="626"/>
      <c r="CG48" s="626"/>
      <c r="CH48" s="626"/>
      <c r="CI48" s="626"/>
      <c r="CJ48" s="626"/>
      <c r="CK48" s="626"/>
      <c r="CL48" s="626"/>
      <c r="CM48" s="626"/>
      <c r="CN48" s="626"/>
      <c r="CO48" s="626"/>
      <c r="CP48" s="626"/>
      <c r="CQ48" s="1372">
        <f>CO42-CC47</f>
        <v>0</v>
      </c>
      <c r="CR48" s="626"/>
      <c r="CS48" s="626"/>
      <c r="CT48" s="626"/>
      <c r="CU48" s="626"/>
      <c r="CV48" s="626"/>
      <c r="CW48" s="626"/>
      <c r="CX48" s="626"/>
      <c r="CY48" s="626"/>
      <c r="CZ48" s="626"/>
      <c r="DA48" s="626"/>
      <c r="DB48" s="626"/>
      <c r="DC48" s="626"/>
      <c r="DD48" s="626"/>
      <c r="DE48" s="626"/>
      <c r="DF48" s="626"/>
      <c r="DG48" s="626"/>
      <c r="DH48" s="626"/>
      <c r="DI48" s="626"/>
      <c r="DJ48" s="626"/>
      <c r="DK48" s="626"/>
      <c r="DL48" s="626"/>
      <c r="DM48" s="626"/>
      <c r="DN48" s="626"/>
      <c r="DO48" s="626"/>
      <c r="DP48" s="626"/>
      <c r="DQ48" s="626"/>
      <c r="DR48" s="626"/>
      <c r="DS48" s="626"/>
      <c r="DT48" s="626"/>
      <c r="DU48" s="626"/>
      <c r="DV48" s="626"/>
      <c r="DW48" s="626"/>
      <c r="DX48" s="626"/>
      <c r="DY48" s="626"/>
      <c r="DZ48" s="626"/>
      <c r="EA48" s="626"/>
    </row>
    <row r="49" spans="2:45" ht="19.5" customHeight="1">
      <c r="B49" s="1512">
        <v>1</v>
      </c>
      <c r="C49" s="1513">
        <v>12</v>
      </c>
      <c r="D49" s="834">
        <v>24</v>
      </c>
      <c r="E49" s="503">
        <v>2</v>
      </c>
      <c r="F49" s="1418">
        <v>5</v>
      </c>
      <c r="G49" s="503"/>
      <c r="H49" s="834"/>
      <c r="I49" s="503"/>
      <c r="J49" s="834"/>
      <c r="K49" s="503">
        <v>3</v>
      </c>
      <c r="L49" s="834">
        <v>24</v>
      </c>
      <c r="M49" s="1513"/>
      <c r="N49" s="503"/>
      <c r="O49" s="1411"/>
      <c r="P49" s="1514">
        <f t="shared" ref="P49:P59" si="103">IF(C49=0,0,(E49*F49/16*F49/16*10.680159)+((G49*H49/16*H49/16*10.680159)+(I49*2*J49/16*J49/16*10.680159)+IF(L49=0,0,((K49/16*K49/16)*3.145*0.2836*((((C49*2))+(D49*2))*12/L49))))+(M49/16*M49/16*10.680159*(12/IF(N49=0,1,N49))*O49))*(1+K$70)</f>
        <v>3.53628806953125</v>
      </c>
      <c r="Q49" s="1515"/>
      <c r="R49" s="1516">
        <f t="shared" ref="R49:R59" si="104">(C49/12*D49/324)*(1+K$65)</f>
        <v>7.8518518518518515E-2</v>
      </c>
      <c r="S49" s="1517">
        <f t="shared" ref="S49:S59" si="105">(C49/12*(D49-S$45)/324)</f>
        <v>4.3209876543209874E-2</v>
      </c>
      <c r="T49" s="247">
        <f t="shared" ref="T49:T59" si="106">C49/12</f>
        <v>1</v>
      </c>
      <c r="U49" s="3044">
        <f>IF(I79=0,0,L70/I79)</f>
        <v>0</v>
      </c>
      <c r="V49" s="3044"/>
      <c r="W49" s="142"/>
      <c r="X49" s="143"/>
      <c r="Y49" s="144"/>
      <c r="Z49" s="145">
        <f t="shared" ref="Z49:Z58" si="107">W49*(X49*X49*0.04180884375)*Y49</f>
        <v>0</v>
      </c>
      <c r="AA49" s="338">
        <f>SUM(Z49:Z58)*1.1</f>
        <v>0</v>
      </c>
      <c r="AS49" s="18">
        <f t="shared" ref="AS49:AS59" si="108">D49*2/12</f>
        <v>4</v>
      </c>
    </row>
    <row r="50" spans="2:45" ht="19.5" customHeight="1">
      <c r="B50" s="1518">
        <v>2</v>
      </c>
      <c r="C50" s="1513">
        <v>12</v>
      </c>
      <c r="D50" s="834">
        <v>24</v>
      </c>
      <c r="E50" s="503">
        <v>2</v>
      </c>
      <c r="F50" s="1418">
        <v>5</v>
      </c>
      <c r="G50" s="503"/>
      <c r="H50" s="834"/>
      <c r="I50" s="503"/>
      <c r="J50" s="834"/>
      <c r="K50" s="503">
        <v>3</v>
      </c>
      <c r="L50" s="834">
        <v>24</v>
      </c>
      <c r="M50" s="1513"/>
      <c r="N50" s="503"/>
      <c r="O50" s="1410"/>
      <c r="P50" s="1514">
        <f t="shared" si="103"/>
        <v>3.53628806953125</v>
      </c>
      <c r="Q50" s="1515"/>
      <c r="R50" s="1519">
        <f t="shared" si="104"/>
        <v>7.8518518518518515E-2</v>
      </c>
      <c r="S50" s="1517">
        <f t="shared" si="105"/>
        <v>4.3209876543209874E-2</v>
      </c>
      <c r="T50" s="247">
        <f t="shared" si="106"/>
        <v>1</v>
      </c>
      <c r="U50" s="3044"/>
      <c r="V50" s="3044"/>
      <c r="W50" s="142"/>
      <c r="X50" s="143"/>
      <c r="Y50" s="144"/>
      <c r="Z50" s="145">
        <f t="shared" si="107"/>
        <v>0</v>
      </c>
      <c r="AS50" s="18">
        <f t="shared" si="108"/>
        <v>4</v>
      </c>
    </row>
    <row r="51" spans="2:45" ht="19.5" customHeight="1">
      <c r="B51" s="1512">
        <v>3</v>
      </c>
      <c r="C51" s="1513">
        <v>12</v>
      </c>
      <c r="D51" s="834">
        <v>24</v>
      </c>
      <c r="E51" s="503">
        <v>2</v>
      </c>
      <c r="F51" s="834">
        <v>5</v>
      </c>
      <c r="G51" s="503">
        <v>2</v>
      </c>
      <c r="H51" s="834">
        <v>5</v>
      </c>
      <c r="I51" s="503"/>
      <c r="J51" s="834"/>
      <c r="K51" s="503">
        <v>3</v>
      </c>
      <c r="L51" s="834">
        <v>16</v>
      </c>
      <c r="M51" s="1513"/>
      <c r="N51" s="503"/>
      <c r="O51" s="1410"/>
      <c r="P51" s="1514">
        <f t="shared" si="103"/>
        <v>6.4517148093749999</v>
      </c>
      <c r="Q51" s="1515"/>
      <c r="R51" s="1519">
        <f t="shared" si="104"/>
        <v>7.8518518518518515E-2</v>
      </c>
      <c r="S51" s="1517">
        <f t="shared" si="105"/>
        <v>4.3209876543209874E-2</v>
      </c>
      <c r="T51" s="247">
        <f t="shared" si="106"/>
        <v>1</v>
      </c>
      <c r="U51" s="3045" t="s">
        <v>1604</v>
      </c>
      <c r="V51" s="3045"/>
      <c r="W51" s="142"/>
      <c r="X51" s="143"/>
      <c r="Y51" s="144"/>
      <c r="Z51" s="145">
        <f t="shared" si="107"/>
        <v>0</v>
      </c>
      <c r="AS51" s="18">
        <f t="shared" si="108"/>
        <v>4</v>
      </c>
    </row>
    <row r="52" spans="2:45" ht="19.5" customHeight="1">
      <c r="B52" s="1512">
        <v>4</v>
      </c>
      <c r="C52" s="1513"/>
      <c r="D52" s="834"/>
      <c r="E52" s="503"/>
      <c r="F52" s="834"/>
      <c r="G52" s="503"/>
      <c r="H52" s="834"/>
      <c r="I52" s="503"/>
      <c r="J52" s="834"/>
      <c r="K52" s="503"/>
      <c r="L52" s="834"/>
      <c r="M52" s="1513"/>
      <c r="N52" s="503"/>
      <c r="O52" s="1410"/>
      <c r="P52" s="1514">
        <f t="shared" si="103"/>
        <v>0</v>
      </c>
      <c r="Q52" s="1515"/>
      <c r="R52" s="1519">
        <f t="shared" si="104"/>
        <v>0</v>
      </c>
      <c r="S52" s="1517">
        <f t="shared" si="105"/>
        <v>0</v>
      </c>
      <c r="T52" s="247">
        <f t="shared" si="106"/>
        <v>0</v>
      </c>
      <c r="U52" s="3046">
        <f>Summary!M16</f>
        <v>5.099798894841971</v>
      </c>
      <c r="V52" s="3046"/>
      <c r="W52" s="142"/>
      <c r="X52" s="143"/>
      <c r="Y52" s="144"/>
      <c r="Z52" s="145">
        <f t="shared" si="107"/>
        <v>0</v>
      </c>
      <c r="AS52" s="18">
        <f t="shared" si="108"/>
        <v>0</v>
      </c>
    </row>
    <row r="53" spans="2:45" ht="19.5" customHeight="1">
      <c r="B53" s="1512">
        <v>5</v>
      </c>
      <c r="C53" s="1513"/>
      <c r="D53" s="834"/>
      <c r="E53" s="503"/>
      <c r="F53" s="834"/>
      <c r="G53" s="503"/>
      <c r="H53" s="834"/>
      <c r="I53" s="503"/>
      <c r="J53" s="834"/>
      <c r="K53" s="503"/>
      <c r="L53" s="834"/>
      <c r="M53" s="1513"/>
      <c r="N53" s="503"/>
      <c r="O53" s="1410"/>
      <c r="P53" s="1514">
        <f t="shared" si="103"/>
        <v>0</v>
      </c>
      <c r="Q53" s="1515"/>
      <c r="R53" s="1519">
        <f t="shared" si="104"/>
        <v>0</v>
      </c>
      <c r="S53" s="1517">
        <f t="shared" si="105"/>
        <v>0</v>
      </c>
      <c r="T53" s="247">
        <f t="shared" si="106"/>
        <v>0</v>
      </c>
      <c r="U53" s="3046"/>
      <c r="V53" s="3046"/>
      <c r="W53" s="1185"/>
      <c r="X53" s="1186"/>
      <c r="Y53" s="1187"/>
      <c r="Z53" s="1188">
        <f t="shared" si="107"/>
        <v>0</v>
      </c>
      <c r="AS53" s="18">
        <f t="shared" si="108"/>
        <v>0</v>
      </c>
    </row>
    <row r="54" spans="2:45" ht="19.5" customHeight="1">
      <c r="B54" s="1512">
        <v>6</v>
      </c>
      <c r="C54" s="1513"/>
      <c r="D54" s="834"/>
      <c r="E54" s="503"/>
      <c r="F54" s="1418"/>
      <c r="G54" s="1513"/>
      <c r="H54" s="834"/>
      <c r="I54" s="503"/>
      <c r="J54" s="834"/>
      <c r="K54" s="503"/>
      <c r="L54" s="834"/>
      <c r="M54" s="1513"/>
      <c r="N54" s="1520"/>
      <c r="O54" s="1410"/>
      <c r="P54" s="1514">
        <f t="shared" si="103"/>
        <v>0</v>
      </c>
      <c r="Q54" s="1515"/>
      <c r="R54" s="1519">
        <f t="shared" si="104"/>
        <v>0</v>
      </c>
      <c r="S54" s="1517">
        <f t="shared" si="105"/>
        <v>0</v>
      </c>
      <c r="T54" s="247">
        <f t="shared" si="106"/>
        <v>0</v>
      </c>
      <c r="W54" s="142"/>
      <c r="X54" s="143"/>
      <c r="Y54" s="144"/>
      <c r="Z54" s="145">
        <f t="shared" si="107"/>
        <v>0</v>
      </c>
      <c r="AS54" s="18">
        <f t="shared" si="108"/>
        <v>0</v>
      </c>
    </row>
    <row r="55" spans="2:45" ht="19.5" customHeight="1">
      <c r="B55" s="1512">
        <v>7</v>
      </c>
      <c r="C55" s="1513"/>
      <c r="D55" s="834"/>
      <c r="E55" s="503"/>
      <c r="F55" s="1418"/>
      <c r="G55" s="503"/>
      <c r="H55" s="834"/>
      <c r="I55" s="503"/>
      <c r="J55" s="834"/>
      <c r="K55" s="503"/>
      <c r="L55" s="834"/>
      <c r="M55" s="1513"/>
      <c r="N55" s="1520"/>
      <c r="O55" s="1410"/>
      <c r="P55" s="1514">
        <f t="shared" si="103"/>
        <v>0</v>
      </c>
      <c r="Q55" s="1515"/>
      <c r="R55" s="1519">
        <f t="shared" si="104"/>
        <v>0</v>
      </c>
      <c r="S55" s="1517">
        <f t="shared" si="105"/>
        <v>0</v>
      </c>
      <c r="T55" s="247">
        <f t="shared" si="106"/>
        <v>0</v>
      </c>
      <c r="W55" s="142"/>
      <c r="X55" s="143"/>
      <c r="Y55" s="144"/>
      <c r="Z55" s="145">
        <f t="shared" si="107"/>
        <v>0</v>
      </c>
      <c r="AS55" s="18">
        <f t="shared" si="108"/>
        <v>0</v>
      </c>
    </row>
    <row r="56" spans="2:45" ht="19.5" customHeight="1">
      <c r="B56" s="1512">
        <v>8</v>
      </c>
      <c r="C56" s="1513"/>
      <c r="D56" s="834"/>
      <c r="E56" s="503"/>
      <c r="F56" s="834"/>
      <c r="G56" s="503"/>
      <c r="H56" s="834"/>
      <c r="I56" s="503"/>
      <c r="J56" s="834"/>
      <c r="K56" s="503"/>
      <c r="L56" s="834"/>
      <c r="M56" s="1513"/>
      <c r="N56" s="503"/>
      <c r="O56" s="1410"/>
      <c r="P56" s="1514">
        <f t="shared" si="103"/>
        <v>0</v>
      </c>
      <c r="Q56" s="1515"/>
      <c r="R56" s="1519">
        <f t="shared" si="104"/>
        <v>0</v>
      </c>
      <c r="S56" s="1517">
        <f t="shared" si="105"/>
        <v>0</v>
      </c>
      <c r="T56" s="247">
        <f t="shared" si="106"/>
        <v>0</v>
      </c>
      <c r="U56" s="18">
        <f>1718/60</f>
        <v>28.633333333333333</v>
      </c>
      <c r="W56" s="142"/>
      <c r="X56" s="143"/>
      <c r="Y56" s="144"/>
      <c r="Z56" s="145">
        <f t="shared" si="107"/>
        <v>0</v>
      </c>
      <c r="AS56" s="18">
        <f t="shared" si="108"/>
        <v>0</v>
      </c>
    </row>
    <row r="57" spans="2:45" ht="19.5" customHeight="1">
      <c r="B57" s="1512">
        <v>9</v>
      </c>
      <c r="C57" s="1513"/>
      <c r="D57" s="834"/>
      <c r="E57" s="503"/>
      <c r="F57" s="834"/>
      <c r="G57" s="503"/>
      <c r="H57" s="834"/>
      <c r="I57" s="503"/>
      <c r="J57" s="834"/>
      <c r="K57" s="503"/>
      <c r="L57" s="834"/>
      <c r="M57" s="1513"/>
      <c r="N57" s="503"/>
      <c r="O57" s="1410"/>
      <c r="P57" s="1514">
        <f t="shared" si="103"/>
        <v>0</v>
      </c>
      <c r="Q57" s="1515"/>
      <c r="R57" s="1519">
        <f t="shared" si="104"/>
        <v>0</v>
      </c>
      <c r="S57" s="1517">
        <f t="shared" si="105"/>
        <v>0</v>
      </c>
      <c r="T57" s="247">
        <f t="shared" si="106"/>
        <v>0</v>
      </c>
      <c r="W57" s="1195"/>
      <c r="X57" s="143"/>
      <c r="Y57" s="144"/>
      <c r="Z57" s="145">
        <f t="shared" si="107"/>
        <v>0</v>
      </c>
      <c r="AS57" s="18">
        <f t="shared" si="108"/>
        <v>0</v>
      </c>
    </row>
    <row r="58" spans="2:45" ht="19.5" customHeight="1">
      <c r="B58" s="1512">
        <v>10</v>
      </c>
      <c r="C58" s="1513"/>
      <c r="D58" s="834"/>
      <c r="E58" s="503"/>
      <c r="F58" s="834"/>
      <c r="G58" s="503"/>
      <c r="H58" s="834"/>
      <c r="I58" s="503"/>
      <c r="J58" s="834"/>
      <c r="K58" s="503"/>
      <c r="L58" s="834"/>
      <c r="M58" s="1513"/>
      <c r="N58" s="503"/>
      <c r="O58" s="1410"/>
      <c r="P58" s="1514">
        <f t="shared" si="103"/>
        <v>0</v>
      </c>
      <c r="Q58" s="1515"/>
      <c r="R58" s="1519">
        <f t="shared" si="104"/>
        <v>0</v>
      </c>
      <c r="S58" s="1517">
        <f t="shared" si="105"/>
        <v>0</v>
      </c>
      <c r="T58" s="247">
        <f t="shared" si="106"/>
        <v>0</v>
      </c>
      <c r="W58" s="1185"/>
      <c r="X58" s="1186"/>
      <c r="Y58" s="1187"/>
      <c r="Z58" s="1188">
        <f t="shared" si="107"/>
        <v>0</v>
      </c>
      <c r="AS58" s="18">
        <f t="shared" si="108"/>
        <v>0</v>
      </c>
    </row>
    <row r="59" spans="2:45" ht="19.5" customHeight="1">
      <c r="B59" s="1521">
        <v>11</v>
      </c>
      <c r="C59" s="1391"/>
      <c r="D59" s="1392"/>
      <c r="E59" s="1395"/>
      <c r="F59" s="1392"/>
      <c r="G59" s="1395"/>
      <c r="H59" s="1392"/>
      <c r="I59" s="1395"/>
      <c r="J59" s="1392"/>
      <c r="K59" s="1395"/>
      <c r="L59" s="1392"/>
      <c r="M59" s="1391"/>
      <c r="N59" s="1395"/>
      <c r="O59" s="1397"/>
      <c r="P59" s="1522">
        <f t="shared" si="103"/>
        <v>0</v>
      </c>
      <c r="Q59" s="1523"/>
      <c r="R59" s="1524">
        <f t="shared" si="104"/>
        <v>0</v>
      </c>
      <c r="S59" s="1525">
        <f t="shared" si="105"/>
        <v>0</v>
      </c>
      <c r="T59" s="1526">
        <f t="shared" si="106"/>
        <v>0</v>
      </c>
      <c r="U59" s="3047">
        <f>SUM(CN42:DD42)</f>
        <v>0</v>
      </c>
      <c r="V59" s="3047"/>
      <c r="W59" s="1527"/>
      <c r="X59" s="1528">
        <f>V45-U59</f>
        <v>0</v>
      </c>
      <c r="Y59" s="1529"/>
      <c r="Z59" s="1529"/>
      <c r="AS59" s="18">
        <f t="shared" si="108"/>
        <v>0</v>
      </c>
    </row>
    <row r="60" spans="2:45" ht="21.75" customHeight="1">
      <c r="B60" s="791" t="s">
        <v>1271</v>
      </c>
      <c r="C60" s="1530"/>
      <c r="D60" s="1531"/>
      <c r="E60" s="1532"/>
      <c r="F60" s="1533"/>
      <c r="G60" s="1534"/>
      <c r="H60" s="1143"/>
      <c r="I60" s="1143"/>
      <c r="J60" s="1143"/>
      <c r="K60" s="1143"/>
      <c r="L60" s="1143"/>
      <c r="M60" s="1143"/>
      <c r="N60" s="1143"/>
      <c r="O60" s="2803" t="s">
        <v>721</v>
      </c>
      <c r="P60" s="2803"/>
      <c r="Q60" s="1145" t="s">
        <v>1272</v>
      </c>
      <c r="R60" s="351"/>
      <c r="S60" s="1517">
        <f>18+18+75+75+75+75+75+75+75+76+76+76+76+76+76+76+76+76+76+65+65+65+65+65+65+65+65+60+60+25+25</f>
        <v>2011</v>
      </c>
      <c r="AA60" s="18"/>
    </row>
    <row r="61" spans="2:45" ht="21.75" customHeight="1">
      <c r="B61" s="396"/>
      <c r="C61" s="1536"/>
      <c r="D61" s="1537"/>
      <c r="E61" s="1538"/>
      <c r="F61" s="1539"/>
      <c r="G61" s="1533"/>
      <c r="H61" s="1143"/>
      <c r="I61" s="1143"/>
      <c r="J61" s="1143"/>
      <c r="K61" s="1143"/>
      <c r="L61" s="1143"/>
      <c r="M61" s="1540"/>
      <c r="N61" s="1143"/>
      <c r="O61" s="924" t="s">
        <v>1274</v>
      </c>
      <c r="P61" s="925"/>
      <c r="Q61" s="926"/>
      <c r="S61" s="1517">
        <f>46+46+46+46+69+67+67+69+69+69+64+64+64+64+64+64+65+65+65+59+26+26</f>
        <v>1284</v>
      </c>
      <c r="AA61" s="18"/>
    </row>
    <row r="62" spans="2:45" ht="21.75" customHeight="1">
      <c r="B62" s="396"/>
      <c r="C62" s="1536"/>
      <c r="D62" s="1537"/>
      <c r="E62" s="1541"/>
      <c r="F62" s="1542"/>
      <c r="G62" s="1537"/>
      <c r="H62" s="1143"/>
      <c r="I62" s="1143"/>
      <c r="J62" s="1143"/>
      <c r="K62" s="1143"/>
      <c r="L62" s="1543"/>
      <c r="M62" s="1143"/>
      <c r="N62" s="1143"/>
      <c r="O62" s="932" t="s">
        <v>1276</v>
      </c>
      <c r="P62" s="933">
        <f>L70+'06-Walls &amp; Footings'!V15+SUM('06-Walls &amp; Footings'!V15:V26)</f>
        <v>27322.935346106642</v>
      </c>
      <c r="Q62" s="934">
        <f>O70</f>
        <v>0</v>
      </c>
      <c r="S62" s="18">
        <f>54*8.5</f>
        <v>459</v>
      </c>
      <c r="T62" s="1544">
        <f>SUM(S60:S61)*0.85</f>
        <v>2800.75</v>
      </c>
      <c r="AA62" s="18"/>
    </row>
    <row r="63" spans="2:45" ht="21.75" customHeight="1">
      <c r="B63" s="396"/>
      <c r="C63" s="1545"/>
      <c r="D63" s="1537"/>
      <c r="E63" s="1537"/>
      <c r="F63" s="1534"/>
      <c r="G63" s="1537"/>
      <c r="H63" s="1143"/>
      <c r="I63" s="1143"/>
      <c r="J63" s="1143"/>
      <c r="K63" s="1143"/>
      <c r="L63" s="1143"/>
      <c r="M63" s="1143"/>
      <c r="N63" s="1143"/>
      <c r="O63" s="1143"/>
      <c r="P63" s="1546"/>
      <c r="AA63" s="18"/>
    </row>
    <row r="64" spans="2:45" ht="38.25" customHeight="1">
      <c r="B64" s="1547" t="s">
        <v>1280</v>
      </c>
      <c r="C64" s="1163" t="s">
        <v>1281</v>
      </c>
      <c r="D64" s="943"/>
      <c r="E64" s="943"/>
      <c r="F64" s="943"/>
      <c r="G64" s="943"/>
      <c r="H64" s="943"/>
      <c r="I64" s="943"/>
      <c r="J64" s="943"/>
      <c r="K64" s="943" t="s">
        <v>1282</v>
      </c>
      <c r="L64" s="2805" t="str">
        <f>IF(SUM(L65:L69)=Q42,"Good","Missing Concrete!!!")</f>
        <v>Good</v>
      </c>
      <c r="M64" s="2805"/>
      <c r="N64" s="943"/>
      <c r="O64" s="943"/>
      <c r="P64" s="945"/>
      <c r="R64" s="961" t="s">
        <v>1284</v>
      </c>
      <c r="S64" s="946" t="s">
        <v>1283</v>
      </c>
      <c r="T64" s="1098"/>
      <c r="U64" s="818" t="s">
        <v>835</v>
      </c>
      <c r="V64" s="947"/>
      <c r="W64" s="948" t="s">
        <v>518</v>
      </c>
      <c r="X64" s="947"/>
      <c r="Y64" s="949"/>
      <c r="Z64" s="1166"/>
    </row>
    <row r="65" spans="2:47" ht="21.75" customHeight="1">
      <c r="B65" s="1548">
        <v>1</v>
      </c>
      <c r="C65" s="18" t="str">
        <f>IF(B65=1,Pricing!F$2,IF(B65=2,Pricing!G$2,IF(B65=3,Pricing!H$2,IF(B65=4,Pricing!I$2,IF(B65=5,Pricing!J$2,IF(B65=6,Pricing!K$2,IF(B65=7,Pricing!L$2,IF(B65=8,Pricing!M$2,IF(B65=9,Pricing!N$2,IF(B65=10,Pricing!O$2,0))))))))))</f>
        <v>3,000 PSI 5sk /Ash and Air</v>
      </c>
      <c r="D65" s="1549"/>
      <c r="E65" s="1549"/>
      <c r="F65" s="1549"/>
      <c r="G65" s="1550">
        <f>IF(B65=1,Pricing!F$3,IF(B65=2,Pricing!G$3,IF(B65=3,Pricing!H$3,IF(B65=4,Pricing!I$3,IF(B65=5,Pricing!J$3,IF(B65=6,Pricing!K$3,IF(B65=7,Pricing!L$3,IF(B65=8,Pricing!M$3,IF(B65=9,Pricing!N$3,IF(B65=10,Pricing!O$3,0))))))))))</f>
        <v>134</v>
      </c>
      <c r="H65" s="1549" t="s">
        <v>1285</v>
      </c>
      <c r="I65" s="1551"/>
      <c r="J65" s="1552"/>
      <c r="K65" s="3013">
        <v>0.06</v>
      </c>
      <c r="L65" s="2957">
        <f>IF(B65=1,BS$42,IF(B65=2,BT$42,IF(B65=3,BU$42,IF(B65=4,BV$42,IF(B65=5,BW$42,IF(B65=6,BX$42,IF(B65=7,BY$42,IF(B65=8,BZ$42,IF(B65=9,CA$42,IF(B65=10,CB$42))))))))))</f>
        <v>0</v>
      </c>
      <c r="M65" s="2957"/>
      <c r="N65" s="958" t="s">
        <v>1286</v>
      </c>
      <c r="O65" s="2958">
        <f>L65*G65*(IF(W$44="N",1+Y$44,1))</f>
        <v>0</v>
      </c>
      <c r="P65" s="2958"/>
      <c r="R65" s="1038"/>
      <c r="S65" s="859"/>
      <c r="T65" s="1176"/>
      <c r="U65" s="77" t="s">
        <v>1415</v>
      </c>
      <c r="W65" s="1553">
        <v>0.7</v>
      </c>
      <c r="X65" s="1174" t="s">
        <v>1605</v>
      </c>
      <c r="Y65" s="1554">
        <f>IF(I79=0,0,Z110/I79)</f>
        <v>0</v>
      </c>
      <c r="Z65" s="1555"/>
      <c r="AT65" s="626"/>
      <c r="AU65" s="626"/>
    </row>
    <row r="66" spans="2:47" ht="21.75" customHeight="1">
      <c r="B66" s="1556">
        <v>2</v>
      </c>
      <c r="C66" s="18" t="str">
        <f>IF(B66=1,Pricing!F$2,IF(B66=2,Pricing!G$2,IF(B66=3,Pricing!H$2,IF(B66=4,Pricing!I$2,IF(B66=5,Pricing!J$2,IF(B66=6,Pricing!K$2,IF(B66=7,Pricing!L$2,IF(B66=8,Pricing!M$2,IF(B66=9,Pricing!N$2,IF(B66=10,Pricing!O$2,0))))))))))</f>
        <v>3,000 PSI / Ash no Air</v>
      </c>
      <c r="G66" s="1182">
        <f>IF(B66=1,Pricing!F$3,IF(B66=2,Pricing!G$3,IF(B66=3,Pricing!H$3,IF(B66=4,Pricing!I$3,IF(B66=5,Pricing!J$3,IF(B66=6,Pricing!K$3,IF(B66=7,Pricing!L$3,IF(B66=8,Pricing!M$3,IF(B66=9,Pricing!N$3,IF(B66=10,Pricing!O$3,0))))))))))</f>
        <v>145</v>
      </c>
      <c r="H66" s="18" t="s">
        <v>1285</v>
      </c>
      <c r="I66" s="1557"/>
      <c r="J66" s="1558"/>
      <c r="K66" s="3013"/>
      <c r="L66" s="3010">
        <f>IF(B66=1,BS$42,IF(B66=2,BT$42,IF(B66=3,BU$42,IF(B66=4,BV$42,IF(B66=5,BW$42,IF(B66=6,BX$42,IF(B66=7,BY$42,IF(B66=8,BZ$42,IF(B66=9,CA$42,IF(B66=10,CB$42))))))))))</f>
        <v>0</v>
      </c>
      <c r="M66" s="3010"/>
      <c r="N66" s="17" t="s">
        <v>1286</v>
      </c>
      <c r="O66" s="2953">
        <f>L66*G66*(IF(W$44="N",1+Y$44,1))</f>
        <v>0</v>
      </c>
      <c r="P66" s="2953"/>
      <c r="R66" s="961" t="s">
        <v>1069</v>
      </c>
      <c r="S66" s="859" t="s">
        <v>526</v>
      </c>
      <c r="T66" s="77"/>
      <c r="V66" s="1176">
        <f>(V69*3+I83)*W65</f>
        <v>0</v>
      </c>
      <c r="W66" s="77" t="s">
        <v>1259</v>
      </c>
      <c r="X66" s="1174">
        <f>Pricing!Q4</f>
        <v>0.859375</v>
      </c>
      <c r="Y66" s="77" t="s">
        <v>527</v>
      </c>
      <c r="Z66" s="1559">
        <f t="shared" ref="Z66:Z106" si="109">IF(W$44="Y",V66*X66,V66*X66*(1+Y$44))</f>
        <v>0</v>
      </c>
      <c r="AA66" s="351"/>
      <c r="AT66" s="626"/>
      <c r="AU66" s="626"/>
    </row>
    <row r="67" spans="2:47" ht="21.75" customHeight="1">
      <c r="B67" s="1560">
        <v>4</v>
      </c>
      <c r="C67" s="18" t="str">
        <f>IF(B67=1,Pricing!F$2,IF(B67=2,Pricing!G$2,IF(B67=3,Pricing!H$2,IF(B67=4,Pricing!I$2,IF(B67=5,Pricing!J$2,IF(B67=6,Pricing!K$2,IF(B67=7,Pricing!L$2,IF(B67=8,Pricing!M$2,IF(B67=9,Pricing!N$2,IF(B67=10,Pricing!O$2,0))))))))))</f>
        <v>3,500 PSI /Ash No Air</v>
      </c>
      <c r="G67" s="1182">
        <f>IF(B67=1,Pricing!F$3,IF(B67=2,Pricing!G$3,IF(B67=3,Pricing!H$3,IF(B67=4,Pricing!I$3,IF(B67=5,Pricing!J$3,IF(B67=6,Pricing!K$3,IF(B67=7,Pricing!L$3,IF(B67=8,Pricing!M$3,IF(B67=9,Pricing!N$3,IF(B67=10,Pricing!O$3,0))))))))))</f>
        <v>150</v>
      </c>
      <c r="I67" s="1557"/>
      <c r="J67" s="1558"/>
      <c r="K67" s="3013"/>
      <c r="L67" s="3010">
        <f>IF(B67=1,BS$42,IF(B67=2,BT$42,IF(B67=3,BU$42,IF(B67=4,BV$42,IF(B67=5,BW$42,IF(B67=6,BX$42,IF(B67=7,BY$42,IF(B67=8,BZ$42,IF(B67=9,CA$42,IF(B67=10,CB$42))))))))))</f>
        <v>0</v>
      </c>
      <c r="M67" s="3010"/>
      <c r="N67" s="17" t="s">
        <v>1286</v>
      </c>
      <c r="O67" s="2953">
        <f>L67*G67*(IF(W$44="N",1+Y$44,1))</f>
        <v>0</v>
      </c>
      <c r="P67" s="2953"/>
      <c r="R67" s="961"/>
      <c r="S67" s="859"/>
      <c r="T67" s="77"/>
      <c r="V67" s="1176"/>
      <c r="W67" s="77"/>
      <c r="X67" s="1174"/>
      <c r="Y67" s="77"/>
      <c r="Z67" s="1559">
        <f t="shared" si="109"/>
        <v>0</v>
      </c>
      <c r="AA67" s="351"/>
      <c r="AT67" s="626"/>
      <c r="AU67" s="626"/>
    </row>
    <row r="68" spans="2:47" ht="21.75" customHeight="1">
      <c r="B68" s="1560">
        <v>7</v>
      </c>
      <c r="C68" s="18" t="str">
        <f>IF(B68=1,Pricing!F$2,IF(B68=2,Pricing!G$2,IF(B68=3,Pricing!H$2,IF(B68=4,Pricing!I$2,IF(B68=5,Pricing!J$2,IF(B68=6,Pricing!K$2,IF(B68=7,Pricing!L$2,IF(B68=8,Pricing!M$2,IF(B68=9,Pricing!N$2,IF(B68=10,Pricing!O$2,0))))))))))</f>
        <v>4,500 PSI / Ash and Air</v>
      </c>
      <c r="G68" s="1182">
        <f>IF(B68=1,Pricing!F$3,IF(B68=2,Pricing!G$3,IF(B68=3,Pricing!H$3,IF(B68=4,Pricing!I$3,IF(B68=5,Pricing!J$3,IF(B68=6,Pricing!K$3,IF(B68=7,Pricing!L$3,IF(B68=8,Pricing!M$3,IF(B68=9,Pricing!N$3,IF(B68=10,Pricing!O$3,0))))))))))</f>
        <v>160</v>
      </c>
      <c r="I68" s="1557"/>
      <c r="J68" s="1558"/>
      <c r="K68" s="3013"/>
      <c r="L68" s="3010">
        <f>IF(B68=1,BS$42,IF(B68=2,BT$42,IF(B68=3,BU$42,IF(B68=4,BV$42,IF(B68=5,BW$42,IF(B68=6,BX$42,IF(B68=7,BY$42,IF(B68=8,BZ$42,IF(B68=9,CA$42,IF(B68=10,CB$42))))))))))</f>
        <v>0</v>
      </c>
      <c r="M68" s="3010"/>
      <c r="N68" s="17" t="s">
        <v>1286</v>
      </c>
      <c r="O68" s="2953">
        <f>L68*G68*(IF(W$44="N",1+Y$44,1))</f>
        <v>0</v>
      </c>
      <c r="P68" s="2953"/>
      <c r="R68" s="961"/>
      <c r="S68" s="859"/>
      <c r="T68" s="77"/>
      <c r="V68" s="1176"/>
      <c r="W68" s="77"/>
      <c r="X68" s="1174"/>
      <c r="Y68" s="77"/>
      <c r="Z68" s="1559">
        <f t="shared" si="109"/>
        <v>0</v>
      </c>
      <c r="AA68" s="351"/>
      <c r="AT68" s="626"/>
      <c r="AU68" s="626"/>
    </row>
    <row r="69" spans="2:47" ht="21.75" customHeight="1">
      <c r="B69" s="1561">
        <v>8</v>
      </c>
      <c r="C69" s="966" t="str">
        <f>IF(B69=1,Pricing!F$2,IF(B69=2,Pricing!G$2,IF(B69=3,Pricing!H$2,IF(B69=4,Pricing!I$2,IF(B69=5,Pricing!J$2,IF(B69=6,Pricing!K$2,IF(B69=7,Pricing!L$2,IF(B69=8,Pricing!M$2,IF(B69=9,Pricing!N$2,IF(B69=10,Pricing!O$2,0))))))))))</f>
        <v>5,000 PSI / Ash no Air</v>
      </c>
      <c r="D69" s="373"/>
      <c r="E69" s="373"/>
      <c r="F69" s="373"/>
      <c r="G69" s="1180">
        <f>IF(B69=1,Pricing!F$3,IF(B69=2,Pricing!G$3,IF(B69=3,Pricing!H$3,IF(B69=4,Pricing!I$3,IF(B69=5,Pricing!J$3,IF(B69=6,Pricing!K$3,IF(B69=7,Pricing!L$3,IF(B69=8,Pricing!M$3,IF(B69=9,Pricing!N$3,IF(B69=10,Pricing!O$3,0))))))))))</f>
        <v>175</v>
      </c>
      <c r="H69" s="373" t="s">
        <v>1285</v>
      </c>
      <c r="I69" s="1562"/>
      <c r="J69" s="954"/>
      <c r="K69" s="3013"/>
      <c r="L69" s="3010">
        <f>IF(B69=1,BS$42,IF(B69=2,BT$42,IF(B69=3,BU$42,IF(B69=4,BV$42,IF(B69=5,BW$42,IF(B69=6,BX$42,IF(B69=7,BY$42,IF(B69=8,BZ$42,IF(B69=9,CA$42,IF(B69=10,CB$42))))))))))</f>
        <v>0</v>
      </c>
      <c r="M69" s="3010"/>
      <c r="N69" s="967" t="s">
        <v>1286</v>
      </c>
      <c r="O69" s="3048">
        <f>L69*G69*(IF(W$44="N",1+Y$44,1))</f>
        <v>0</v>
      </c>
      <c r="P69" s="3048"/>
      <c r="R69" s="1038" t="s">
        <v>1069</v>
      </c>
      <c r="S69" s="859" t="s">
        <v>534</v>
      </c>
      <c r="T69" s="77"/>
      <c r="V69" s="1176">
        <f>K42*W65</f>
        <v>0</v>
      </c>
      <c r="W69" s="77" t="s">
        <v>1259</v>
      </c>
      <c r="X69" s="1174">
        <f>Pricing!Q5</f>
        <v>1.4453125</v>
      </c>
      <c r="Y69" s="77" t="s">
        <v>527</v>
      </c>
      <c r="Z69" s="1555">
        <f t="shared" si="109"/>
        <v>0</v>
      </c>
      <c r="AT69" s="626"/>
      <c r="AU69" s="626"/>
    </row>
    <row r="70" spans="2:47" ht="21.75" customHeight="1">
      <c r="B70" s="1563" t="str">
        <f>Summary!V60</f>
        <v>Import</v>
      </c>
      <c r="C70" s="1177" t="s">
        <v>1287</v>
      </c>
      <c r="D70" s="1177"/>
      <c r="E70" s="1177"/>
      <c r="F70" s="1177"/>
      <c r="G70" s="969">
        <f>Pricing!D22</f>
        <v>0.6</v>
      </c>
      <c r="H70" s="18" t="s">
        <v>555</v>
      </c>
      <c r="I70" s="793"/>
      <c r="J70" s="1564"/>
      <c r="K70" s="1565">
        <v>0.1</v>
      </c>
      <c r="L70" s="2957">
        <f>SUM(BM10:BM41)+SUM(BO10:BO41)</f>
        <v>0</v>
      </c>
      <c r="M70" s="2957"/>
      <c r="N70" s="18" t="s">
        <v>1288</v>
      </c>
      <c r="O70" s="2958">
        <f>G70*L70*(IF(W44="N",1+Y44,1))</f>
        <v>0</v>
      </c>
      <c r="P70" s="2958"/>
      <c r="R70" s="1038" t="s">
        <v>1069</v>
      </c>
      <c r="S70" s="859" t="s">
        <v>1606</v>
      </c>
      <c r="T70" s="77"/>
      <c r="V70" s="1176">
        <f>SUM(W10:X41)*3</f>
        <v>0</v>
      </c>
      <c r="W70" s="77" t="s">
        <v>1259</v>
      </c>
      <c r="X70" s="1174">
        <f>X66*0.65</f>
        <v>0.55859375</v>
      </c>
      <c r="Y70" s="77" t="s">
        <v>527</v>
      </c>
      <c r="Z70" s="1555">
        <f t="shared" si="109"/>
        <v>0</v>
      </c>
      <c r="AP70" s="626"/>
      <c r="AQ70" s="626"/>
      <c r="AR70" s="626"/>
      <c r="AS70" s="626"/>
      <c r="AT70" s="626"/>
      <c r="AU70" s="626"/>
    </row>
    <row r="71" spans="2:47" ht="21.75" customHeight="1">
      <c r="B71" s="482" t="s">
        <v>598</v>
      </c>
      <c r="C71" s="1177"/>
      <c r="D71" s="1177"/>
      <c r="E71" s="1177"/>
      <c r="F71" s="1177"/>
      <c r="G71" s="1182">
        <f>Pricing!D26</f>
        <v>0.4</v>
      </c>
      <c r="H71" s="18" t="s">
        <v>600</v>
      </c>
      <c r="I71" s="793"/>
      <c r="J71" s="1564"/>
      <c r="K71" s="1184">
        <v>0.1</v>
      </c>
      <c r="L71" s="3049">
        <f>O42</f>
        <v>0</v>
      </c>
      <c r="M71" s="3049"/>
      <c r="N71" s="18" t="s">
        <v>1418</v>
      </c>
      <c r="O71" s="2953">
        <f>G71*L71*(IF(W$44="N",1+Y$44,1))</f>
        <v>0</v>
      </c>
      <c r="P71" s="2953"/>
      <c r="R71" s="1038" t="s">
        <v>1069</v>
      </c>
      <c r="S71" s="859" t="s">
        <v>538</v>
      </c>
      <c r="T71" s="77"/>
      <c r="V71" s="1176">
        <f>CE42*W65*2</f>
        <v>0</v>
      </c>
      <c r="W71" s="77" t="s">
        <v>1259</v>
      </c>
      <c r="X71" s="1174">
        <f>Pricing!Q7</f>
        <v>1.09375</v>
      </c>
      <c r="Y71" s="77" t="s">
        <v>527</v>
      </c>
      <c r="Z71" s="1555">
        <f t="shared" si="109"/>
        <v>0</v>
      </c>
      <c r="AP71" s="626"/>
      <c r="AQ71" s="626"/>
      <c r="AR71" s="626"/>
      <c r="AS71" s="626"/>
      <c r="AT71" s="626"/>
      <c r="AU71" s="626"/>
    </row>
    <row r="72" spans="2:47" ht="21.75" customHeight="1">
      <c r="B72" s="482" t="s">
        <v>1419</v>
      </c>
      <c r="C72" s="3050" t="s">
        <v>1607</v>
      </c>
      <c r="D72" s="3050"/>
      <c r="E72" s="3050" t="s">
        <v>1608</v>
      </c>
      <c r="F72" s="3050"/>
      <c r="G72" s="1182">
        <v>0.85</v>
      </c>
      <c r="H72" s="1035" t="s">
        <v>600</v>
      </c>
      <c r="I72" s="747" t="s">
        <v>1291</v>
      </c>
      <c r="J72" s="3051"/>
      <c r="K72" s="3051"/>
      <c r="L72" s="3052">
        <f>CD42*0.4</f>
        <v>0</v>
      </c>
      <c r="M72" s="3052"/>
      <c r="N72" s="18" t="s">
        <v>1288</v>
      </c>
      <c r="O72" s="2792">
        <f>IF(J72=0,CD42*G72*IF(W44="n",(1+Y44),1),J72)</f>
        <v>0</v>
      </c>
      <c r="P72" s="2792"/>
      <c r="R72" s="1038" t="s">
        <v>1069</v>
      </c>
      <c r="S72" s="859" t="s">
        <v>1292</v>
      </c>
      <c r="T72" s="77"/>
      <c r="V72" s="1176">
        <f>ROUNDUP(SUM(K10:K41)*0.03/16,0)</f>
        <v>0</v>
      </c>
      <c r="W72" s="77" t="s">
        <v>1609</v>
      </c>
      <c r="X72" s="1174">
        <f>Pricing!Q9</f>
        <v>20</v>
      </c>
      <c r="Y72" s="77" t="s">
        <v>1610</v>
      </c>
      <c r="Z72" s="1555">
        <f t="shared" si="109"/>
        <v>0</v>
      </c>
      <c r="AP72" s="626"/>
      <c r="AQ72" s="626"/>
      <c r="AR72" s="626"/>
      <c r="AS72" s="626"/>
      <c r="AT72" s="626"/>
      <c r="AU72" s="626"/>
    </row>
    <row r="73" spans="2:47" ht="21.75" customHeight="1">
      <c r="B73" s="1566" t="s">
        <v>1611</v>
      </c>
      <c r="C73" s="1567"/>
      <c r="D73" s="1567"/>
      <c r="E73" s="1567"/>
      <c r="F73" s="1567"/>
      <c r="G73" s="1180">
        <f>Pricing!D19</f>
        <v>25</v>
      </c>
      <c r="H73" s="373" t="s">
        <v>1285</v>
      </c>
      <c r="I73" s="1568"/>
      <c r="J73" s="1569"/>
      <c r="K73" s="1570"/>
      <c r="L73" s="3053">
        <f>CJ42</f>
        <v>0</v>
      </c>
      <c r="M73" s="3053"/>
      <c r="N73" s="373" t="s">
        <v>1286</v>
      </c>
      <c r="O73" s="3048">
        <f>G73*L73*(IF(W$44="N",1+Y$44,1))</f>
        <v>0</v>
      </c>
      <c r="P73" s="3048"/>
      <c r="R73" s="1038" t="s">
        <v>1069</v>
      </c>
      <c r="S73" s="859" t="s">
        <v>540</v>
      </c>
      <c r="T73" s="77"/>
      <c r="V73" s="1176">
        <f>I83/32*W65*1.1</f>
        <v>0</v>
      </c>
      <c r="W73" s="77" t="s">
        <v>1420</v>
      </c>
      <c r="X73" s="1174">
        <f>Pricing!Q8</f>
        <v>74.75</v>
      </c>
      <c r="Y73" s="77" t="s">
        <v>541</v>
      </c>
      <c r="Z73" s="1555">
        <f t="shared" si="109"/>
        <v>0</v>
      </c>
      <c r="AP73" s="626"/>
      <c r="AQ73" s="626"/>
      <c r="AR73" s="626"/>
      <c r="AS73" s="626"/>
      <c r="AT73" s="626"/>
      <c r="AU73" s="626"/>
    </row>
    <row r="74" spans="2:47" ht="21.75" customHeight="1">
      <c r="B74" s="574" t="s">
        <v>1612</v>
      </c>
      <c r="E74" s="3054" t="s">
        <v>1613</v>
      </c>
      <c r="F74" s="1571"/>
      <c r="G74" s="1572">
        <v>1</v>
      </c>
      <c r="H74" s="18" t="s">
        <v>1259</v>
      </c>
      <c r="I74" s="793"/>
      <c r="J74" s="1564"/>
      <c r="K74" s="1573">
        <v>0.1</v>
      </c>
      <c r="L74" s="3055"/>
      <c r="M74" s="3055"/>
      <c r="N74" s="18" t="s">
        <v>1418</v>
      </c>
      <c r="O74" s="2958">
        <f>L74*G74*(IF(W$44="N",1+Y$44,1))</f>
        <v>0</v>
      </c>
      <c r="P74" s="2958"/>
      <c r="R74" s="1038" t="s">
        <v>1069</v>
      </c>
      <c r="S74" s="859" t="s">
        <v>1298</v>
      </c>
      <c r="T74" s="77"/>
      <c r="V74" s="1176">
        <f>ROUND(V71/25,0)</f>
        <v>0</v>
      </c>
      <c r="W74" s="77" t="s">
        <v>1299</v>
      </c>
      <c r="X74" s="1174">
        <f>Pricing!Q15</f>
        <v>24</v>
      </c>
      <c r="Y74" s="77" t="s">
        <v>1300</v>
      </c>
      <c r="Z74" s="1555">
        <f t="shared" si="109"/>
        <v>0</v>
      </c>
      <c r="AP74" s="626"/>
      <c r="AQ74" s="626"/>
      <c r="AR74" s="626"/>
      <c r="AS74" s="626"/>
      <c r="AT74" s="626"/>
      <c r="AU74" s="626"/>
    </row>
    <row r="75" spans="2:47" ht="23.25" customHeight="1">
      <c r="B75" s="574" t="s">
        <v>1614</v>
      </c>
      <c r="E75" s="3054"/>
      <c r="F75" s="1060" t="s">
        <v>1047</v>
      </c>
      <c r="G75" s="1572">
        <v>1.35</v>
      </c>
      <c r="H75" s="18" t="s">
        <v>600</v>
      </c>
      <c r="K75" s="1574">
        <v>0.1</v>
      </c>
      <c r="L75" s="3056">
        <f>IF(F75="Y",SUM(D$42)*(1+K$75),0)</f>
        <v>0</v>
      </c>
      <c r="M75" s="3056"/>
      <c r="N75" s="18" t="s">
        <v>1418</v>
      </c>
      <c r="O75" s="2953">
        <f>L75*G75*(IF(W$44="N",1+Y$44,1))</f>
        <v>0</v>
      </c>
      <c r="P75" s="2953"/>
      <c r="R75" s="1038" t="s">
        <v>1069</v>
      </c>
      <c r="S75" s="859" t="s">
        <v>561</v>
      </c>
      <c r="T75" s="77"/>
      <c r="V75" s="1176">
        <f>ROUNDUP((SUM(K10:K41))*1.25/500,0)</f>
        <v>0</v>
      </c>
      <c r="W75" s="77" t="s">
        <v>1303</v>
      </c>
      <c r="X75" s="1174">
        <f>Pricing!Q16</f>
        <v>68.2</v>
      </c>
      <c r="Y75" s="77" t="s">
        <v>562</v>
      </c>
      <c r="Z75" s="1555">
        <f t="shared" si="109"/>
        <v>0</v>
      </c>
      <c r="AP75" s="626"/>
      <c r="AQ75" s="626"/>
      <c r="AR75" s="626"/>
      <c r="AS75" s="626"/>
      <c r="AT75" s="626"/>
      <c r="AU75" s="626" t="s">
        <v>860</v>
      </c>
    </row>
    <row r="76" spans="2:47" ht="21.75" customHeight="1">
      <c r="B76" s="574" t="s">
        <v>1615</v>
      </c>
      <c r="E76" s="3054"/>
      <c r="F76" s="1060" t="s">
        <v>1047</v>
      </c>
      <c r="G76" s="1197">
        <v>0.35</v>
      </c>
      <c r="H76" s="18" t="s">
        <v>600</v>
      </c>
      <c r="I76" s="380"/>
      <c r="J76" s="1183"/>
      <c r="K76" s="1574"/>
      <c r="L76" s="3056">
        <f>IF(F76="Y",SUM(D$42)*(1+K$75),0)</f>
        <v>0</v>
      </c>
      <c r="M76" s="3056"/>
      <c r="N76" s="18" t="s">
        <v>1418</v>
      </c>
      <c r="O76" s="2953">
        <f>L76*G76*(IF(W$44="N",1+Y$44,1))</f>
        <v>0</v>
      </c>
      <c r="P76" s="2953"/>
      <c r="R76" s="1038" t="s">
        <v>1069</v>
      </c>
      <c r="S76" s="859" t="s">
        <v>563</v>
      </c>
      <c r="T76" s="77"/>
      <c r="V76" s="1176">
        <f>ROUNDUP((SUM(K11:K42))*1.25/500,0)</f>
        <v>0</v>
      </c>
      <c r="W76" s="77" t="s">
        <v>1303</v>
      </c>
      <c r="X76" s="1174">
        <f>Pricing!Q17</f>
        <v>68.2</v>
      </c>
      <c r="Y76" s="77" t="s">
        <v>562</v>
      </c>
      <c r="Z76" s="1555">
        <f t="shared" si="109"/>
        <v>0</v>
      </c>
      <c r="AP76" s="626"/>
      <c r="AQ76" s="626"/>
      <c r="AR76" s="626"/>
      <c r="AS76" s="626"/>
      <c r="AT76" s="626"/>
      <c r="AU76" s="626"/>
    </row>
    <row r="77" spans="2:47" ht="21.75" customHeight="1">
      <c r="B77" s="1007" t="s">
        <v>1067</v>
      </c>
      <c r="C77" s="802"/>
      <c r="D77" s="802"/>
      <c r="E77" s="802"/>
      <c r="F77" s="1575"/>
      <c r="G77" s="1218">
        <v>20</v>
      </c>
      <c r="H77" s="976" t="s">
        <v>1616</v>
      </c>
      <c r="I77" s="802"/>
      <c r="J77" s="802"/>
      <c r="K77" s="1576">
        <v>0.1</v>
      </c>
      <c r="L77" s="3057">
        <v>0</v>
      </c>
      <c r="M77" s="3057"/>
      <c r="N77" s="976" t="s">
        <v>1463</v>
      </c>
      <c r="O77" s="3058">
        <f>L77*G77*(IF(W$44="N",1+Y$44,1))</f>
        <v>0</v>
      </c>
      <c r="P77" s="3058"/>
      <c r="R77" s="1038" t="s">
        <v>1069</v>
      </c>
      <c r="S77" s="859" t="s">
        <v>1617</v>
      </c>
      <c r="T77" s="77"/>
      <c r="V77" s="1176">
        <f>ROUNDUP((SUM(K12:K47))*1.25/500,0)</f>
        <v>0</v>
      </c>
      <c r="W77" s="77" t="s">
        <v>1303</v>
      </c>
      <c r="X77" s="1174">
        <f>Pricing!Q16</f>
        <v>68.2</v>
      </c>
      <c r="Y77" s="77" t="s">
        <v>562</v>
      </c>
      <c r="Z77" s="1555">
        <f t="shared" si="109"/>
        <v>0</v>
      </c>
      <c r="AP77" s="626"/>
      <c r="AQ77" s="626"/>
      <c r="AR77" s="626"/>
      <c r="AS77" s="626"/>
      <c r="AT77" s="626"/>
      <c r="AU77" s="626"/>
    </row>
    <row r="78" spans="2:47" ht="21.75" customHeight="1">
      <c r="B78" s="1578" t="s">
        <v>1434</v>
      </c>
      <c r="C78" s="1579"/>
      <c r="D78" s="1579" t="s">
        <v>1296</v>
      </c>
      <c r="E78" s="1579"/>
      <c r="F78" s="1579"/>
      <c r="G78" s="1579"/>
      <c r="H78" s="1203"/>
      <c r="I78" s="1579"/>
      <c r="J78" s="1579"/>
      <c r="K78" s="1579"/>
      <c r="L78" s="1579" t="s">
        <v>973</v>
      </c>
      <c r="M78" s="1579"/>
      <c r="N78" s="1579" t="s">
        <v>1297</v>
      </c>
      <c r="O78" s="1579"/>
      <c r="P78" s="1580"/>
      <c r="R78" s="1038" t="s">
        <v>1069</v>
      </c>
      <c r="S78" s="859" t="s">
        <v>1310</v>
      </c>
      <c r="T78" s="77"/>
      <c r="V78" s="1176">
        <f>CE42/150</f>
        <v>0</v>
      </c>
      <c r="W78" s="77" t="s">
        <v>1303</v>
      </c>
      <c r="X78" s="1174">
        <f>Pricing!Q34</f>
        <v>45.239999999999995</v>
      </c>
      <c r="Y78" s="77" t="s">
        <v>562</v>
      </c>
      <c r="Z78" s="1555">
        <f t="shared" si="109"/>
        <v>0</v>
      </c>
      <c r="AP78" s="626"/>
      <c r="AQ78" s="626"/>
      <c r="AR78" s="626"/>
      <c r="AS78" s="626"/>
      <c r="AT78" s="626"/>
      <c r="AU78" s="626"/>
    </row>
    <row r="79" spans="2:47" ht="21.75" customHeight="1">
      <c r="B79" s="1204" t="s">
        <v>1437</v>
      </c>
      <c r="C79" s="663"/>
      <c r="D79" s="982" t="s">
        <v>1302</v>
      </c>
      <c r="E79" s="3059">
        <v>0.45</v>
      </c>
      <c r="F79" s="3059"/>
      <c r="G79" s="983" t="s">
        <v>1618</v>
      </c>
      <c r="H79" s="3060">
        <f>SUM(E79:F82)</f>
        <v>1.9</v>
      </c>
      <c r="I79" s="3061">
        <f>D42</f>
        <v>0</v>
      </c>
      <c r="J79" s="3061"/>
      <c r="K79" s="983" t="s">
        <v>1418</v>
      </c>
      <c r="L79" s="2828">
        <f>IF(D79="N",E79*I$79,0)</f>
        <v>0</v>
      </c>
      <c r="M79" s="2828"/>
      <c r="N79" s="168"/>
      <c r="O79" s="2829">
        <f>IF(D79="y",I$79*E79,0)</f>
        <v>0</v>
      </c>
      <c r="P79" s="2829"/>
      <c r="R79" s="1038" t="s">
        <v>1069</v>
      </c>
      <c r="S79" s="859" t="s">
        <v>571</v>
      </c>
      <c r="T79" s="77"/>
      <c r="V79" s="1176"/>
      <c r="W79" s="77" t="s">
        <v>1259</v>
      </c>
      <c r="X79" s="1174">
        <f>Pricing!Q19</f>
        <v>0.95</v>
      </c>
      <c r="Y79" s="77" t="s">
        <v>527</v>
      </c>
      <c r="Z79" s="1555">
        <f t="shared" si="109"/>
        <v>0</v>
      </c>
      <c r="AP79" s="626"/>
      <c r="AQ79" s="626"/>
      <c r="AR79" s="626"/>
      <c r="AS79" s="626"/>
      <c r="AT79" s="626"/>
      <c r="AU79" s="628"/>
    </row>
    <row r="80" spans="2:47" ht="21.75" customHeight="1">
      <c r="B80" s="482" t="s">
        <v>1619</v>
      </c>
      <c r="C80" s="1581"/>
      <c r="D80" s="984" t="s">
        <v>1302</v>
      </c>
      <c r="E80" s="3062">
        <v>0.7</v>
      </c>
      <c r="F80" s="3062"/>
      <c r="G80" s="18" t="s">
        <v>600</v>
      </c>
      <c r="H80" s="3060"/>
      <c r="I80" s="3061"/>
      <c r="J80" s="3061"/>
      <c r="K80" s="1581" t="s">
        <v>1418</v>
      </c>
      <c r="L80" s="2831">
        <f>IF(D80="N",E80*I$79,0)</f>
        <v>0</v>
      </c>
      <c r="M80" s="2831"/>
      <c r="O80" s="2792">
        <f>IF(D80="y",I$79*E80,0)</f>
        <v>0</v>
      </c>
      <c r="P80" s="2792"/>
      <c r="R80" s="1038" t="s">
        <v>1069</v>
      </c>
      <c r="S80" s="859" t="s">
        <v>576</v>
      </c>
      <c r="T80" s="77"/>
      <c r="V80" s="1176">
        <v>0</v>
      </c>
      <c r="W80" s="77" t="s">
        <v>1259</v>
      </c>
      <c r="X80" s="1174">
        <f>Pricing!Q20</f>
        <v>0.25</v>
      </c>
      <c r="Y80" s="77" t="s">
        <v>527</v>
      </c>
      <c r="Z80" s="1555">
        <f t="shared" si="109"/>
        <v>0</v>
      </c>
      <c r="AP80" s="626"/>
      <c r="AQ80" s="626"/>
      <c r="AR80" s="626"/>
      <c r="AS80" s="626"/>
      <c r="AT80" s="626"/>
      <c r="AU80" s="628"/>
    </row>
    <row r="81" spans="2:26" ht="21.75" customHeight="1">
      <c r="B81" s="482" t="s">
        <v>1442</v>
      </c>
      <c r="C81" s="380"/>
      <c r="D81" s="984" t="s">
        <v>1302</v>
      </c>
      <c r="E81" s="3063">
        <v>0.55000000000000004</v>
      </c>
      <c r="F81" s="3063"/>
      <c r="G81" s="18" t="s">
        <v>1618</v>
      </c>
      <c r="H81" s="3060"/>
      <c r="I81" s="3061"/>
      <c r="J81" s="3061"/>
      <c r="K81" s="18" t="s">
        <v>1418</v>
      </c>
      <c r="L81" s="2831">
        <f>IF(D81="N",E81*I$79,0)</f>
        <v>0</v>
      </c>
      <c r="M81" s="2831"/>
      <c r="O81" s="2792">
        <f>IF(D81="y",I$79*E81,0)</f>
        <v>0</v>
      </c>
      <c r="P81" s="2792"/>
      <c r="R81" s="1038" t="s">
        <v>1069</v>
      </c>
      <c r="S81" s="859" t="s">
        <v>551</v>
      </c>
      <c r="T81" s="77"/>
      <c r="V81" s="1176">
        <v>0</v>
      </c>
      <c r="W81" s="77" t="s">
        <v>1259</v>
      </c>
      <c r="X81" s="1174">
        <f>Pricing!Q12</f>
        <v>1.0631249999999999</v>
      </c>
      <c r="Y81" s="77" t="s">
        <v>527</v>
      </c>
      <c r="Z81" s="1555">
        <f t="shared" si="109"/>
        <v>0</v>
      </c>
    </row>
    <row r="82" spans="2:26" ht="21.75" customHeight="1">
      <c r="B82" s="482" t="s">
        <v>1443</v>
      </c>
      <c r="C82" s="380"/>
      <c r="D82" s="984" t="s">
        <v>1302</v>
      </c>
      <c r="E82" s="3064">
        <v>0.2</v>
      </c>
      <c r="F82" s="3064"/>
      <c r="G82" s="18" t="s">
        <v>1618</v>
      </c>
      <c r="H82" s="3060"/>
      <c r="I82" s="3061"/>
      <c r="J82" s="3061"/>
      <c r="K82" s="18" t="s">
        <v>1418</v>
      </c>
      <c r="L82" s="2831">
        <f>IF(D82="N",E82*I$79,0)</f>
        <v>0</v>
      </c>
      <c r="M82" s="2831"/>
      <c r="O82" s="2792">
        <f>IF(D82="y",I$79*E82,0)</f>
        <v>0</v>
      </c>
      <c r="P82" s="2792"/>
      <c r="R82" s="1038" t="s">
        <v>1069</v>
      </c>
      <c r="S82" s="859" t="s">
        <v>552</v>
      </c>
      <c r="T82" s="77"/>
      <c r="V82" s="1176">
        <v>0</v>
      </c>
      <c r="W82" s="77" t="s">
        <v>1259</v>
      </c>
      <c r="X82" s="1174">
        <f>Pricing!Q13</f>
        <v>1.494375</v>
      </c>
      <c r="Y82" s="77" t="s">
        <v>527</v>
      </c>
      <c r="Z82" s="1555">
        <f t="shared" si="109"/>
        <v>0</v>
      </c>
    </row>
    <row r="83" spans="2:26" ht="21.75" customHeight="1">
      <c r="B83" s="482" t="s">
        <v>1488</v>
      </c>
      <c r="C83" s="380"/>
      <c r="D83" s="984" t="s">
        <v>1302</v>
      </c>
      <c r="E83" s="3065">
        <v>8</v>
      </c>
      <c r="F83" s="3065"/>
      <c r="G83" s="18" t="s">
        <v>1620</v>
      </c>
      <c r="I83" s="3066">
        <f>SUM(T10:T41)</f>
        <v>0</v>
      </c>
      <c r="J83" s="3066"/>
      <c r="K83" s="18" t="s">
        <v>1621</v>
      </c>
      <c r="L83" s="2831">
        <f>IF(D83="N",E83*I$83,0)</f>
        <v>0</v>
      </c>
      <c r="M83" s="2831"/>
      <c r="O83" s="2792">
        <f>IF(D83="y",I$83*E83,0)</f>
        <v>0</v>
      </c>
      <c r="P83" s="2792"/>
      <c r="R83" s="1038" t="s">
        <v>1069</v>
      </c>
      <c r="S83" s="859" t="s">
        <v>1622</v>
      </c>
      <c r="T83" s="77"/>
      <c r="V83" s="1176">
        <v>0</v>
      </c>
      <c r="W83" s="77" t="s">
        <v>1623</v>
      </c>
      <c r="X83" s="1174">
        <v>400</v>
      </c>
      <c r="Y83" s="77" t="s">
        <v>1624</v>
      </c>
      <c r="Z83" s="1555">
        <f t="shared" si="109"/>
        <v>0</v>
      </c>
    </row>
    <row r="84" spans="2:26" ht="21.75" customHeight="1">
      <c r="B84" s="482" t="s">
        <v>1473</v>
      </c>
      <c r="C84" s="380"/>
      <c r="D84" s="984" t="s">
        <v>1302</v>
      </c>
      <c r="E84" s="1582"/>
      <c r="F84" s="1583"/>
      <c r="G84" s="1584"/>
      <c r="H84" s="1585"/>
      <c r="I84" s="1586"/>
      <c r="J84" s="1586"/>
      <c r="K84" s="1584"/>
      <c r="L84" s="1587"/>
      <c r="M84" s="1587"/>
      <c r="N84" s="1585"/>
      <c r="O84" s="2792">
        <f>SUM(CP10:CP41)</f>
        <v>0</v>
      </c>
      <c r="P84" s="2792"/>
      <c r="R84" s="1038" t="s">
        <v>1069</v>
      </c>
      <c r="S84" s="859" t="s">
        <v>1625</v>
      </c>
      <c r="T84" s="77"/>
      <c r="V84" s="1176">
        <v>0</v>
      </c>
      <c r="W84" s="77" t="s">
        <v>1623</v>
      </c>
      <c r="X84" s="1174">
        <v>6.75</v>
      </c>
      <c r="Y84" s="77"/>
      <c r="Z84" s="1555">
        <f t="shared" si="109"/>
        <v>0</v>
      </c>
    </row>
    <row r="85" spans="2:26" ht="21.75" customHeight="1">
      <c r="B85" s="482" t="s">
        <v>1626</v>
      </c>
      <c r="C85" s="380"/>
      <c r="D85" s="984" t="s">
        <v>1302</v>
      </c>
      <c r="E85" s="3065">
        <v>12</v>
      </c>
      <c r="F85" s="3065"/>
      <c r="G85" s="18" t="s">
        <v>1285</v>
      </c>
      <c r="I85" s="3066">
        <f>IF((SUM(L65:M69)-I79/27)&lt;0,0,SUM(L65:M69)-I79/30)</f>
        <v>0</v>
      </c>
      <c r="J85" s="3066"/>
      <c r="K85" s="18" t="s">
        <v>998</v>
      </c>
      <c r="L85" s="2831">
        <f>IF(D85="N",E85*I$85,0)</f>
        <v>0</v>
      </c>
      <c r="M85" s="2831"/>
      <c r="O85" s="2792">
        <f>IF(D85="y",I$85*E85,0)</f>
        <v>0</v>
      </c>
      <c r="P85" s="2792"/>
      <c r="R85" s="1038" t="s">
        <v>1069</v>
      </c>
      <c r="S85" s="859" t="s">
        <v>1627</v>
      </c>
      <c r="T85" s="77"/>
      <c r="V85" s="1176">
        <v>0</v>
      </c>
      <c r="W85" s="77" t="s">
        <v>1623</v>
      </c>
      <c r="X85" s="1174">
        <v>8.5</v>
      </c>
      <c r="Y85" s="77"/>
      <c r="Z85" s="1555">
        <f t="shared" si="109"/>
        <v>0</v>
      </c>
    </row>
    <row r="86" spans="2:26" ht="21.75" customHeight="1">
      <c r="B86" s="482" t="s">
        <v>1628</v>
      </c>
      <c r="C86" s="380"/>
      <c r="D86" s="984" t="s">
        <v>1302</v>
      </c>
      <c r="E86" s="3065">
        <v>100</v>
      </c>
      <c r="F86" s="3065"/>
      <c r="G86" s="18" t="s">
        <v>1624</v>
      </c>
      <c r="I86" s="3067">
        <f>CK42</f>
        <v>0</v>
      </c>
      <c r="J86" s="3067"/>
      <c r="K86" s="18" t="s">
        <v>1000</v>
      </c>
      <c r="L86" s="2831">
        <f>IF(D86="N",E86*I$86,0)</f>
        <v>0</v>
      </c>
      <c r="M86" s="2831"/>
      <c r="O86" s="2792">
        <f>IF(D86="y",I$86*E86,0)</f>
        <v>0</v>
      </c>
      <c r="P86" s="2792"/>
      <c r="R86" s="1038" t="s">
        <v>1069</v>
      </c>
      <c r="S86" s="1208"/>
      <c r="T86" s="1209"/>
      <c r="U86" s="248"/>
      <c r="V86" s="1210"/>
      <c r="W86" s="1209"/>
      <c r="X86" s="1211"/>
      <c r="Y86" s="1209"/>
      <c r="Z86" s="1588">
        <f t="shared" si="109"/>
        <v>0</v>
      </c>
    </row>
    <row r="87" spans="2:26" ht="21.75" customHeight="1">
      <c r="B87" s="482" t="s">
        <v>1307</v>
      </c>
      <c r="C87" s="380"/>
      <c r="D87" s="984" t="s">
        <v>1302</v>
      </c>
      <c r="E87" s="3068">
        <v>450</v>
      </c>
      <c r="F87" s="3068"/>
      <c r="G87" s="18" t="s">
        <v>1308</v>
      </c>
      <c r="I87" s="3067">
        <f>U42/2000</f>
        <v>0</v>
      </c>
      <c r="J87" s="3067"/>
      <c r="K87" s="18" t="s">
        <v>1309</v>
      </c>
      <c r="L87" s="2831">
        <f>IF(D87="N",E87*I$87,0)</f>
        <v>0</v>
      </c>
      <c r="M87" s="2831"/>
      <c r="O87" s="2792">
        <f>IF(D87="y",I87*E87,0)</f>
        <v>0</v>
      </c>
      <c r="P87" s="2792"/>
      <c r="R87" s="961" t="s">
        <v>1077</v>
      </c>
      <c r="S87" s="859" t="s">
        <v>1629</v>
      </c>
      <c r="T87" s="77" t="s">
        <v>1630</v>
      </c>
      <c r="U87" s="53" t="s">
        <v>1047</v>
      </c>
      <c r="V87" s="1176">
        <f>IF(U87="Y",DC47/1900,0)</f>
        <v>0</v>
      </c>
      <c r="W87" s="77" t="s">
        <v>1454</v>
      </c>
      <c r="X87" s="1174">
        <f>82+25</f>
        <v>107</v>
      </c>
      <c r="Y87" s="77" t="s">
        <v>1631</v>
      </c>
      <c r="Z87" s="1555">
        <f t="shared" si="109"/>
        <v>0</v>
      </c>
    </row>
    <row r="88" spans="2:26" ht="21.75" customHeight="1">
      <c r="B88" s="1566" t="s">
        <v>1313</v>
      </c>
      <c r="C88" s="988"/>
      <c r="D88" s="989" t="s">
        <v>1302</v>
      </c>
      <c r="E88" s="3069"/>
      <c r="F88" s="3069"/>
      <c r="G88" s="373"/>
      <c r="H88" s="373"/>
      <c r="I88" s="1589"/>
      <c r="J88" s="1589"/>
      <c r="K88" s="373"/>
      <c r="L88" s="2834">
        <f>IF(D88="N",E88,0)</f>
        <v>0</v>
      </c>
      <c r="M88" s="2834"/>
      <c r="N88" s="248"/>
      <c r="O88" s="2835">
        <f>IF(D88="y",E88,0)</f>
        <v>0</v>
      </c>
      <c r="P88" s="2835"/>
      <c r="R88" s="961" t="s">
        <v>1077</v>
      </c>
      <c r="S88" s="859" t="s">
        <v>1632</v>
      </c>
      <c r="T88" s="77" t="s">
        <v>1633</v>
      </c>
      <c r="U88" s="53" t="s">
        <v>1306</v>
      </c>
      <c r="V88" s="1176">
        <f>IF(U88="Y",DC$47/2940,0)</f>
        <v>0</v>
      </c>
      <c r="W88" s="77" t="s">
        <v>1454</v>
      </c>
      <c r="X88" s="1174">
        <f>Pricing!Q58+30</f>
        <v>340</v>
      </c>
      <c r="Y88" s="77" t="s">
        <v>1631</v>
      </c>
      <c r="Z88" s="1555">
        <f t="shared" si="109"/>
        <v>0</v>
      </c>
    </row>
    <row r="89" spans="2:26" ht="21.75" customHeight="1">
      <c r="B89" s="990" t="s">
        <v>1447</v>
      </c>
      <c r="C89" s="991"/>
      <c r="D89" s="992"/>
      <c r="E89" s="993">
        <f>IF(I79=0,0,(O89-E88+L89)/I79)</f>
        <v>0</v>
      </c>
      <c r="F89" s="1590"/>
      <c r="G89" s="802"/>
      <c r="H89" s="976"/>
      <c r="I89" s="991" t="s">
        <v>980</v>
      </c>
      <c r="J89" s="991"/>
      <c r="K89" s="991"/>
      <c r="L89" s="2838">
        <f>SUM(L79:M88)</f>
        <v>0</v>
      </c>
      <c r="M89" s="2838"/>
      <c r="N89" s="229"/>
      <c r="O89" s="2867">
        <f>SUM(O79:P88)</f>
        <v>0</v>
      </c>
      <c r="P89" s="2867"/>
      <c r="R89" s="961" t="s">
        <v>1077</v>
      </c>
      <c r="S89" s="859" t="s">
        <v>1634</v>
      </c>
      <c r="T89" s="77" t="s">
        <v>1635</v>
      </c>
      <c r="U89" s="53" t="s">
        <v>1047</v>
      </c>
      <c r="V89" s="1176">
        <f>IF(U89="Y",DC$47/1760,0)</f>
        <v>0</v>
      </c>
      <c r="W89" s="77" t="s">
        <v>1454</v>
      </c>
      <c r="X89" s="1174">
        <f>Pricing!U56+45</f>
        <v>415</v>
      </c>
      <c r="Y89" s="77" t="s">
        <v>1631</v>
      </c>
      <c r="Z89" s="1555">
        <f t="shared" si="109"/>
        <v>0</v>
      </c>
    </row>
    <row r="90" spans="2:26" ht="21.75" customHeight="1">
      <c r="B90" s="1202" t="s">
        <v>1449</v>
      </c>
      <c r="C90" s="1591"/>
      <c r="D90" s="1591"/>
      <c r="E90" s="1591"/>
      <c r="F90" s="1591"/>
      <c r="G90" s="1591"/>
      <c r="H90" s="1591"/>
      <c r="I90" s="1591"/>
      <c r="J90" s="1591"/>
      <c r="K90" s="1591"/>
      <c r="L90" s="1591"/>
      <c r="M90" s="1591"/>
      <c r="N90" s="1591"/>
      <c r="O90" s="1591"/>
      <c r="P90" s="1592"/>
      <c r="R90" s="961" t="s">
        <v>1077</v>
      </c>
      <c r="S90" s="1208" t="s">
        <v>1636</v>
      </c>
      <c r="T90" s="1209" t="s">
        <v>1637</v>
      </c>
      <c r="U90" s="470" t="s">
        <v>1047</v>
      </c>
      <c r="V90" s="1210">
        <f>IF(U90="y",DC47/2360,0)</f>
        <v>0</v>
      </c>
      <c r="W90" s="1209" t="s">
        <v>1454</v>
      </c>
      <c r="X90" s="1211"/>
      <c r="Y90" s="1209" t="s">
        <v>1631</v>
      </c>
      <c r="Z90" s="1588">
        <f t="shared" si="109"/>
        <v>0</v>
      </c>
    </row>
    <row r="91" spans="2:26" ht="21.75" customHeight="1">
      <c r="B91" s="1593" t="s">
        <v>1316</v>
      </c>
      <c r="C91" s="983"/>
      <c r="D91" s="998">
        <f>I79/16000</f>
        <v>0</v>
      </c>
      <c r="E91" s="999">
        <f>D91*7</f>
        <v>0</v>
      </c>
      <c r="F91" s="983" t="s">
        <v>1317</v>
      </c>
      <c r="G91" s="1000">
        <v>425</v>
      </c>
      <c r="H91" s="1001" t="s">
        <v>620</v>
      </c>
      <c r="I91" s="983"/>
      <c r="J91" s="983"/>
      <c r="K91" s="983"/>
      <c r="L91" s="983"/>
      <c r="M91" s="3070">
        <f>IF(E45=0,0,(SUM(O91:P93))/E45)</f>
        <v>0</v>
      </c>
      <c r="N91" s="3070"/>
      <c r="O91" s="2829">
        <f>E91*G91</f>
        <v>0</v>
      </c>
      <c r="P91" s="2829"/>
      <c r="R91" s="1038"/>
      <c r="S91" s="859" t="s">
        <v>1638</v>
      </c>
      <c r="T91" s="77" t="s">
        <v>1627</v>
      </c>
      <c r="U91" s="1594">
        <f>19*19/144</f>
        <v>2.5069444444444446</v>
      </c>
      <c r="V91" s="1176"/>
      <c r="W91" s="1212"/>
      <c r="X91" s="1113">
        <f>U91*V85/27</f>
        <v>0</v>
      </c>
      <c r="Y91" s="77" t="s">
        <v>1639</v>
      </c>
      <c r="Z91" s="1555">
        <f t="shared" si="109"/>
        <v>0</v>
      </c>
    </row>
    <row r="92" spans="2:26" ht="21.75" customHeight="1">
      <c r="B92" s="482" t="s">
        <v>1640</v>
      </c>
      <c r="E92" s="1002"/>
      <c r="F92" s="1003" t="s">
        <v>1317</v>
      </c>
      <c r="G92" s="1004">
        <v>250</v>
      </c>
      <c r="H92" s="1035" t="s">
        <v>620</v>
      </c>
      <c r="M92" s="3071">
        <f>SUM(O91:P93)</f>
        <v>0</v>
      </c>
      <c r="N92" s="3071"/>
      <c r="O92" s="2792">
        <f>E92*G92</f>
        <v>0</v>
      </c>
      <c r="P92" s="2792"/>
      <c r="R92" s="1038"/>
      <c r="S92" s="859"/>
      <c r="T92" s="77" t="s">
        <v>1625</v>
      </c>
      <c r="U92" s="1594">
        <f>19*19/144*8.5/12</f>
        <v>1.7757523148148149</v>
      </c>
      <c r="V92" s="1176"/>
      <c r="W92" s="1212"/>
      <c r="X92" s="1113">
        <f>U92*V84/27</f>
        <v>0</v>
      </c>
      <c r="Y92" s="77" t="s">
        <v>1639</v>
      </c>
      <c r="Z92" s="1555">
        <f t="shared" si="109"/>
        <v>0</v>
      </c>
    </row>
    <row r="93" spans="2:26" ht="21.75" customHeight="1">
      <c r="B93" s="482" t="s">
        <v>1320</v>
      </c>
      <c r="E93" s="1002">
        <f>E91</f>
        <v>0</v>
      </c>
      <c r="F93" s="18" t="s">
        <v>1317</v>
      </c>
      <c r="G93" s="1004">
        <v>100</v>
      </c>
      <c r="H93" s="18" t="s">
        <v>620</v>
      </c>
      <c r="O93" s="2792">
        <f>E93*G93</f>
        <v>0</v>
      </c>
      <c r="P93" s="2792"/>
      <c r="R93" s="1172"/>
      <c r="S93" s="859"/>
      <c r="T93" s="77"/>
      <c r="V93" s="1176"/>
      <c r="W93" s="77"/>
      <c r="X93" s="1174"/>
      <c r="Y93" s="77"/>
      <c r="Z93" s="1555">
        <f t="shared" si="109"/>
        <v>0</v>
      </c>
    </row>
    <row r="94" spans="2:26" ht="21.75" customHeight="1">
      <c r="B94" s="1595" t="s">
        <v>1321</v>
      </c>
      <c r="C94" s="976"/>
      <c r="D94" s="976"/>
      <c r="E94" s="1008">
        <f>E91</f>
        <v>0</v>
      </c>
      <c r="F94" s="976"/>
      <c r="G94" s="1020">
        <v>200</v>
      </c>
      <c r="H94" s="976"/>
      <c r="I94" s="976"/>
      <c r="J94" s="976"/>
      <c r="K94" s="976"/>
      <c r="L94" s="976"/>
      <c r="M94" s="2843">
        <f>IF(E45=0,0,O94/E45)</f>
        <v>0</v>
      </c>
      <c r="N94" s="2843"/>
      <c r="O94" s="2792">
        <f>E94*G94</f>
        <v>0</v>
      </c>
      <c r="P94" s="2792"/>
      <c r="R94" s="1172"/>
      <c r="S94" s="859"/>
      <c r="T94" s="77"/>
      <c r="V94" s="1176"/>
      <c r="W94" s="77"/>
      <c r="X94" s="1174"/>
      <c r="Y94" s="77"/>
      <c r="Z94" s="1555">
        <f t="shared" si="109"/>
        <v>0</v>
      </c>
    </row>
    <row r="95" spans="2:26" ht="21.75" customHeight="1">
      <c r="B95" s="1202" t="s">
        <v>1325</v>
      </c>
      <c r="C95" s="1591"/>
      <c r="D95" s="1591"/>
      <c r="E95" s="1591"/>
      <c r="F95" s="1591"/>
      <c r="G95" s="1591"/>
      <c r="H95" s="1591"/>
      <c r="I95" s="1591"/>
      <c r="J95" s="1591"/>
      <c r="K95" s="1591"/>
      <c r="L95" s="1591"/>
      <c r="M95" s="1591"/>
      <c r="N95" s="1591"/>
      <c r="O95" s="1591"/>
      <c r="P95" s="1592"/>
      <c r="R95" s="961" t="s">
        <v>1451</v>
      </c>
      <c r="S95" s="859" t="s">
        <v>1641</v>
      </c>
      <c r="T95" s="77"/>
      <c r="V95" s="1176">
        <f>V88*2.5</f>
        <v>0</v>
      </c>
      <c r="W95" s="77" t="s">
        <v>1454</v>
      </c>
      <c r="X95" s="1174">
        <v>33</v>
      </c>
      <c r="Y95" s="77" t="s">
        <v>1642</v>
      </c>
      <c r="Z95" s="1555">
        <f t="shared" si="109"/>
        <v>0</v>
      </c>
    </row>
    <row r="96" spans="2:26" ht="21.75" customHeight="1">
      <c r="B96" s="1593" t="s">
        <v>1326</v>
      </c>
      <c r="C96" s="1596"/>
      <c r="D96" s="1597"/>
      <c r="E96" s="1012"/>
      <c r="F96" s="983" t="s">
        <v>1327</v>
      </c>
      <c r="G96" s="1000">
        <f>Pricing!D32</f>
        <v>425</v>
      </c>
      <c r="H96" s="983" t="s">
        <v>620</v>
      </c>
      <c r="I96" s="983"/>
      <c r="J96" s="983"/>
      <c r="K96" s="983"/>
      <c r="L96" s="983"/>
      <c r="M96" s="983"/>
      <c r="N96" s="983"/>
      <c r="O96" s="2829">
        <f>((IF(AND(E96&gt;0,E96&lt;4),E96*G96,0)+IF(AND(E96&gt;3,E96&lt;8),G96*3,0)+IF(AND(E96&gt;7,E96&lt;21),E96/7*G96*3,0)+IF(AND(E96&gt;20,E96&lt;30),G96*9,0)+IF(E96&gt;29,E96/30*G96*9,0)))*(1+$Y$44+J$98)</f>
        <v>0</v>
      </c>
      <c r="P96" s="2829"/>
      <c r="R96" s="1038"/>
      <c r="S96" s="859"/>
      <c r="T96" s="77"/>
      <c r="V96" s="1176"/>
      <c r="W96" s="77"/>
      <c r="X96" s="1174"/>
      <c r="Y96" s="77"/>
      <c r="Z96" s="1555">
        <f t="shared" si="109"/>
        <v>0</v>
      </c>
    </row>
    <row r="97" spans="2:26" ht="21.75" customHeight="1">
      <c r="B97" s="482" t="s">
        <v>622</v>
      </c>
      <c r="C97" s="1177"/>
      <c r="D97" s="1598"/>
      <c r="E97" s="1012">
        <f>IF(E$91&gt;0,IF(E$91&lt;=3,E$91,7),0)+IF(E$91&gt;5,IF(E$91&lt;=10,7,0),0)+IF(E$91&gt;10,IF(E$91&lt;=15,14,0),0)+IF(E$91&gt;15,IF(E$91&lt;=20,23,0),0)+IF(E$91&gt;20,IF(E$91&lt;=40,53,0),0)+IF(E$91&gt;40,IF(E$91&lt;=60,83,0),0)+IF(E$91&gt;60,IF(E$91&lt;=80,113,0),0)+IF(E$91&gt;80,IF(E$91&lt;=100,143,0),0)+IF(E$91&gt;100,IF(E$91&lt;=120,163,0),0)+IF(E$91&gt;120,IF(E$91&lt;=140,193,0),0)+IF(E$91&gt;140,IF(E$91&lt;=160,223,0),0)</f>
        <v>0</v>
      </c>
      <c r="F97" s="18" t="s">
        <v>1327</v>
      </c>
      <c r="G97" s="1004">
        <f>Pricing!D33</f>
        <v>475</v>
      </c>
      <c r="H97" s="18" t="s">
        <v>620</v>
      </c>
      <c r="J97" s="2977" t="s">
        <v>1329</v>
      </c>
      <c r="K97" s="2977"/>
      <c r="M97" s="2841">
        <f>IF(E45=0,0,(SUM(O96:P101))/E45)</f>
        <v>0</v>
      </c>
      <c r="N97" s="2841"/>
      <c r="O97" s="3072">
        <f>((IF(AND(E97&gt;0,E97&lt;4),E97*G97,0)+IF(AND(E97&gt;3,E97&lt;8),G97*3,0)+IF(AND(E97&gt;7,E97&lt;21),E97/7*G97*3,0)+IF(AND(E97&gt;20,E97&lt;30),G97*9,0)+IF(E97&gt;29,E97/30*G97*9,0)))*(1+$Y$44+J$98)</f>
        <v>0</v>
      </c>
      <c r="P97" s="3072"/>
      <c r="R97" s="1038"/>
      <c r="S97" s="1208" t="s">
        <v>1643</v>
      </c>
      <c r="T97" s="1209"/>
      <c r="U97" s="373"/>
      <c r="V97" s="1210">
        <f>SUM(L65:M69)/300</f>
        <v>0</v>
      </c>
      <c r="W97" s="1209" t="s">
        <v>1323</v>
      </c>
      <c r="X97" s="1211">
        <v>250</v>
      </c>
      <c r="Y97" s="1209" t="s">
        <v>1324</v>
      </c>
      <c r="Z97" s="1588">
        <f t="shared" si="109"/>
        <v>0</v>
      </c>
    </row>
    <row r="98" spans="2:26" ht="21.75" customHeight="1">
      <c r="B98" s="482" t="s">
        <v>624</v>
      </c>
      <c r="C98" s="1177"/>
      <c r="D98" s="1598"/>
      <c r="E98" s="1012">
        <f>E97</f>
        <v>0</v>
      </c>
      <c r="F98" s="77" t="s">
        <v>1327</v>
      </c>
      <c r="G98" s="1004">
        <f>Pricing!D34</f>
        <v>325</v>
      </c>
      <c r="H98" s="18" t="s">
        <v>620</v>
      </c>
      <c r="J98" s="3073">
        <v>0.5</v>
      </c>
      <c r="K98" s="3073"/>
      <c r="M98" s="2975">
        <f>SUM(O96:P101)</f>
        <v>0</v>
      </c>
      <c r="N98" s="2975"/>
      <c r="O98" s="3072">
        <f>((IF(AND(E98&gt;0,E98&lt;4),E98*G98,0)+IF(AND(E98&gt;3,E98&lt;8),G98*3,0)+IF(AND(E98&gt;7,E98&lt;21),E98/7*G98*3,0)+IF(AND(E98&gt;20,E98&lt;30),G98*9,0)+IF(E98&gt;29,E98/30*G98*9,0)))*(1+$Y$44+J$98)</f>
        <v>0</v>
      </c>
      <c r="P98" s="3072"/>
      <c r="R98" s="961" t="s">
        <v>1073</v>
      </c>
      <c r="S98" s="859" t="s">
        <v>618</v>
      </c>
      <c r="T98" s="77"/>
      <c r="V98" s="1176">
        <f>ROUNDUP(D42/15000,0)</f>
        <v>0</v>
      </c>
      <c r="W98" s="18" t="s">
        <v>1452</v>
      </c>
      <c r="X98" s="1174">
        <f>Pricing!Q31</f>
        <v>27</v>
      </c>
      <c r="Y98" s="18" t="s">
        <v>607</v>
      </c>
      <c r="Z98" s="1555">
        <f t="shared" si="109"/>
        <v>0</v>
      </c>
    </row>
    <row r="99" spans="2:26" ht="21.75" customHeight="1">
      <c r="B99" s="482" t="s">
        <v>626</v>
      </c>
      <c r="C99" s="1177"/>
      <c r="D99" s="1598"/>
      <c r="E99" s="1012">
        <f>IF(E$91&gt;0,IF(E$91&lt;=3,E$91,7),0)+IF(E$91&gt;5,IF(E$91&lt;=10,7,0),0)+IF(E$91&gt;10,IF(E$91&lt;=15,14,0),0)+IF(E$91&gt;15,IF(E$91&lt;=20,23,0),0)+IF(E$91&gt;20,IF(E$91&lt;=40,53,0),0)+IF(E$91&gt;40,IF(E$91&lt;=60,83,0),0)+IF(E$91&gt;60,IF(E$91&lt;=80,113,0),0)+IF(E$91&gt;80,IF(E$91&lt;=100,143,0),0)+IF(E$91&gt;100,IF(E$91&lt;=120,163,0),0)+IF(E$91&gt;120,IF(E$91&lt;=140,193,0),0)+IF(E$91&gt;140,IF(E$91&lt;=160,223,0),0)</f>
        <v>0</v>
      </c>
      <c r="F99" s="18" t="s">
        <v>1327</v>
      </c>
      <c r="G99" s="1004">
        <v>225</v>
      </c>
      <c r="H99" s="18" t="s">
        <v>620</v>
      </c>
      <c r="J99" s="3073"/>
      <c r="K99" s="3073"/>
      <c r="O99" s="2792">
        <f>((IF(AND(E99&gt;0,E99&lt;4),E99*G99,0)+IF(AND(E99&gt;3,E99&lt;8),G99*3,0)+IF(AND(E99&gt;7,E99&lt;21),E99/7*G99*3,0)+IF(AND(E99&gt;20,E99&lt;30),G99*9,0)+IF(E99&gt;29,E99/30*G99*9,0)))*(1+$Y$44+J$98)</f>
        <v>0</v>
      </c>
      <c r="P99" s="2792"/>
      <c r="R99" s="961" t="s">
        <v>1073</v>
      </c>
      <c r="S99" s="859" t="s">
        <v>629</v>
      </c>
      <c r="T99" s="77"/>
      <c r="V99" s="1176">
        <f>I79/15000</f>
        <v>0</v>
      </c>
      <c r="W99" s="18" t="s">
        <v>1644</v>
      </c>
      <c r="X99" s="1174">
        <f>Pricing!Q36</f>
        <v>37.799999999999997</v>
      </c>
      <c r="Y99" s="18" t="s">
        <v>630</v>
      </c>
      <c r="Z99" s="1555">
        <f t="shared" si="109"/>
        <v>0</v>
      </c>
    </row>
    <row r="100" spans="2:26" ht="21.75" customHeight="1">
      <c r="B100" s="482" t="s">
        <v>1333</v>
      </c>
      <c r="C100" s="1177"/>
      <c r="D100" s="1598"/>
      <c r="E100" s="1012">
        <f>IF(E$91&gt;0,IF(E$91&lt;=3,E$91,7),0)+IF(E$91&gt;5,IF(E$91&lt;=10,7,0),0)+IF(E$91&gt;10,IF(E$91&lt;=15,14,0),0)+IF(E$91&gt;15,IF(E$91&lt;=20,23,0),0)+IF(E$91&gt;20,IF(E$91&lt;=40,53,0),0)+IF(E$91&gt;40,IF(E$91&lt;=60,83,0),0)+IF(E$91&gt;60,IF(E$91&lt;=80,113,0),0)+IF(E$91&gt;80,IF(E$91&lt;=100,143,0),0)+IF(E$91&gt;100,IF(E$91&lt;=120,163,0),0)+IF(E$91&gt;120,IF(E$91&lt;=140,193,0),0)+IF(E$91&gt;140,IF(E$91&lt;=160,223,0),0)</f>
        <v>0</v>
      </c>
      <c r="F100" s="18" t="s">
        <v>1327</v>
      </c>
      <c r="G100" s="1004">
        <v>25</v>
      </c>
      <c r="H100" s="18" t="s">
        <v>620</v>
      </c>
      <c r="O100" s="2792">
        <f>((IF(AND(E100&gt;0,E100&lt;4),E100*G100,0)+IF(AND(E100&gt;3,E100&lt;8),G100*3,0)+IF(AND(E100&gt;7,E100&lt;21),E100/7*G100*3,0)+IF(AND(E100&gt;20,E100&lt;30),G100*9,0)+IF(E100&gt;29,E100/30*G100*9,0)))*(1+$Y$44+J$98)</f>
        <v>0</v>
      </c>
      <c r="P100" s="2792"/>
      <c r="R100" s="961" t="s">
        <v>1073</v>
      </c>
      <c r="S100" s="1208" t="s">
        <v>554</v>
      </c>
      <c r="T100" s="1209"/>
      <c r="U100" s="248"/>
      <c r="V100" s="1210">
        <f>L70+(L71*0.75)</f>
        <v>0</v>
      </c>
      <c r="W100" s="373" t="s">
        <v>1288</v>
      </c>
      <c r="X100" s="1211">
        <v>0.02</v>
      </c>
      <c r="Y100" s="373" t="s">
        <v>555</v>
      </c>
      <c r="Z100" s="1588">
        <f t="shared" si="109"/>
        <v>0</v>
      </c>
    </row>
    <row r="101" spans="2:26" ht="21.75" customHeight="1">
      <c r="B101" s="1595" t="s">
        <v>1067</v>
      </c>
      <c r="C101" s="1599"/>
      <c r="D101" s="1600"/>
      <c r="E101" s="1012">
        <f>IF(E$91&gt;0,IF(E$91&lt;=3,E$91,7),0)+IF(E$91&gt;5,IF(E$91&lt;=10,7,0),0)+IF(E$91&gt;10,IF(E$91&lt;=15,14,0),0)+IF(E$91&gt;15,IF(E$91&lt;=20,23,0),0)+IF(E$91&gt;20,IF(E$91&lt;=40,53,0),0)+IF(E$91&gt;40,IF(E$91&lt;=60,83,0),0)+IF(E$91&gt;60,IF(E$91&lt;=80,113,0),0)+IF(E$91&gt;80,IF(E$91&lt;=100,143,0),0)+IF(E$91&gt;100,IF(E$91&lt;=120,163,0),0)+IF(E$91&gt;120,IF(E$91&lt;=140,193,0),0)+IF(E$91&gt;140,IF(E$91&lt;=160,223,0),0)</f>
        <v>0</v>
      </c>
      <c r="F101" s="976" t="s">
        <v>1645</v>
      </c>
      <c r="G101" s="1020">
        <v>55</v>
      </c>
      <c r="H101" s="976" t="s">
        <v>620</v>
      </c>
      <c r="I101" s="976"/>
      <c r="J101" s="976"/>
      <c r="K101" s="976"/>
      <c r="L101" s="976"/>
      <c r="M101" s="1021"/>
      <c r="N101" s="976"/>
      <c r="O101" s="2867">
        <f>((IF(AND(E101&gt;0,E101&lt;4),E101*G101,0)+IF(AND(E101&gt;3,E101&lt;8),G101*3,0)+IF(AND(E101&gt;7,E101&lt;21),E101/7*G101*3,0)+IF(AND(E101&gt;20,E101&lt;30),G101*9,0)+IF(E101&gt;29,E101/30*G101*9,0)))</f>
        <v>0</v>
      </c>
      <c r="P101" s="2867"/>
      <c r="R101" s="961" t="s">
        <v>1078</v>
      </c>
      <c r="S101" s="859" t="s">
        <v>1105</v>
      </c>
      <c r="T101" s="77"/>
      <c r="V101" s="77"/>
      <c r="X101" s="1174"/>
      <c r="Y101" s="18"/>
      <c r="Z101" s="1555">
        <f t="shared" si="109"/>
        <v>0</v>
      </c>
    </row>
    <row r="102" spans="2:26" ht="21.75" customHeight="1">
      <c r="B102" s="1202" t="s">
        <v>1336</v>
      </c>
      <c r="C102" s="1591"/>
      <c r="D102" s="1591"/>
      <c r="E102" s="1591"/>
      <c r="F102" s="1591"/>
      <c r="G102" s="1591"/>
      <c r="H102" s="1591"/>
      <c r="I102" s="1591"/>
      <c r="J102" s="1591"/>
      <c r="K102" s="1591"/>
      <c r="L102" s="1591"/>
      <c r="M102" s="1591"/>
      <c r="N102" s="1591"/>
      <c r="O102" s="1591"/>
      <c r="P102" s="1592"/>
      <c r="R102" s="961" t="s">
        <v>1328</v>
      </c>
      <c r="S102" s="859" t="s">
        <v>1105</v>
      </c>
      <c r="T102" s="77"/>
      <c r="V102" s="77"/>
      <c r="X102" s="1174"/>
      <c r="Y102" s="18"/>
      <c r="Z102" s="1555">
        <f t="shared" si="109"/>
        <v>0</v>
      </c>
    </row>
    <row r="103" spans="2:26" ht="21.75" customHeight="1">
      <c r="B103" s="1593" t="s">
        <v>1646</v>
      </c>
      <c r="C103" s="1596"/>
      <c r="D103" s="1597"/>
      <c r="E103" s="1226"/>
      <c r="F103" s="1027" t="s">
        <v>1510</v>
      </c>
      <c r="G103" s="1601">
        <v>0.2</v>
      </c>
      <c r="H103" s="1602"/>
      <c r="I103" s="983" t="s">
        <v>600</v>
      </c>
      <c r="J103" s="983"/>
      <c r="K103" s="983"/>
      <c r="L103" s="983"/>
      <c r="M103" s="983"/>
      <c r="N103" s="983"/>
      <c r="O103" s="2829">
        <f>E103*G103</f>
        <v>0</v>
      </c>
      <c r="P103" s="2829"/>
      <c r="R103" s="961" t="s">
        <v>1330</v>
      </c>
      <c r="S103" s="1208" t="s">
        <v>1108</v>
      </c>
      <c r="T103" s="1209"/>
      <c r="U103" s="248"/>
      <c r="V103" s="1209"/>
      <c r="W103" s="373"/>
      <c r="X103" s="1211"/>
      <c r="Y103" s="373"/>
      <c r="Z103" s="1588">
        <f t="shared" si="109"/>
        <v>0</v>
      </c>
    </row>
    <row r="104" spans="2:26" ht="21.75" customHeight="1">
      <c r="B104" s="482" t="s">
        <v>1647</v>
      </c>
      <c r="C104" s="1177"/>
      <c r="D104" s="1603" t="s">
        <v>1029</v>
      </c>
      <c r="E104" s="1604">
        <f>IF(D104="Y",(I79*2/L104),0)</f>
        <v>0</v>
      </c>
      <c r="F104" s="18" t="s">
        <v>1618</v>
      </c>
      <c r="G104" s="1605">
        <v>0.65</v>
      </c>
      <c r="H104" s="1606"/>
      <c r="I104" s="18" t="s">
        <v>600</v>
      </c>
      <c r="J104" s="1607" t="s">
        <v>1648</v>
      </c>
      <c r="K104" s="1608"/>
      <c r="L104" s="1609">
        <v>20</v>
      </c>
      <c r="N104" s="500"/>
      <c r="O104" s="2792">
        <f>IF(E104=0,0,E104*G104)</f>
        <v>0</v>
      </c>
      <c r="P104" s="2792"/>
      <c r="R104" s="1038"/>
      <c r="S104" s="859"/>
      <c r="T104" s="77"/>
      <c r="V104" s="77"/>
      <c r="X104" s="1174"/>
      <c r="Y104" s="18"/>
      <c r="Z104" s="1555">
        <f t="shared" si="109"/>
        <v>0</v>
      </c>
    </row>
    <row r="105" spans="2:26" ht="21.75" customHeight="1">
      <c r="B105" s="482" t="s">
        <v>1462</v>
      </c>
      <c r="C105" s="1177"/>
      <c r="D105" s="1603" t="s">
        <v>1029</v>
      </c>
      <c r="E105" s="1610">
        <f>E104</f>
        <v>0</v>
      </c>
      <c r="F105" s="18" t="s">
        <v>1341</v>
      </c>
      <c r="G105" s="1605">
        <v>0.35</v>
      </c>
      <c r="H105" s="1611"/>
      <c r="I105" s="18" t="s">
        <v>1341</v>
      </c>
      <c r="J105" s="1612"/>
      <c r="K105" s="1608"/>
      <c r="L105" s="1609">
        <v>20</v>
      </c>
      <c r="O105" s="2792">
        <f>E105*G105</f>
        <v>0</v>
      </c>
      <c r="P105" s="2792"/>
      <c r="R105" s="961" t="s">
        <v>1342</v>
      </c>
      <c r="S105" s="859" t="s">
        <v>646</v>
      </c>
      <c r="T105" s="77"/>
      <c r="V105" s="1176">
        <f>ROUNDUP(I79/300/55,0)</f>
        <v>0</v>
      </c>
      <c r="W105" s="18" t="s">
        <v>1649</v>
      </c>
      <c r="X105" s="1174">
        <f>Pricing!Q44</f>
        <v>567.5</v>
      </c>
      <c r="Y105" s="18" t="s">
        <v>647</v>
      </c>
      <c r="Z105" s="1555">
        <f t="shared" si="109"/>
        <v>0</v>
      </c>
    </row>
    <row r="106" spans="2:26" ht="21.75" customHeight="1">
      <c r="B106" s="482" t="s">
        <v>1343</v>
      </c>
      <c r="C106" s="1177"/>
      <c r="D106" s="1598"/>
      <c r="E106" s="1233">
        <f>Q42</f>
        <v>0</v>
      </c>
      <c r="F106" s="1035" t="s">
        <v>998</v>
      </c>
      <c r="G106" s="1605">
        <v>10</v>
      </c>
      <c r="H106" s="1611"/>
      <c r="I106" s="18" t="s">
        <v>1285</v>
      </c>
      <c r="O106" s="2792">
        <f>E106*G106</f>
        <v>0</v>
      </c>
      <c r="P106" s="2792"/>
      <c r="R106" s="961" t="s">
        <v>1342</v>
      </c>
      <c r="S106" s="1208" t="s">
        <v>649</v>
      </c>
      <c r="T106" s="1209"/>
      <c r="U106" s="248"/>
      <c r="V106" s="1210">
        <v>0</v>
      </c>
      <c r="W106" s="373" t="s">
        <v>1649</v>
      </c>
      <c r="X106" s="1211">
        <f>Pricing!Q45</f>
        <v>542</v>
      </c>
      <c r="Y106" s="373" t="s">
        <v>647</v>
      </c>
      <c r="Z106" s="1588">
        <f t="shared" si="109"/>
        <v>0</v>
      </c>
    </row>
    <row r="107" spans="2:26" ht="21.75" customHeight="1">
      <c r="B107" s="482" t="s">
        <v>1234</v>
      </c>
      <c r="C107" s="1177"/>
      <c r="D107" s="1598"/>
      <c r="E107" s="1610">
        <f>IF(SUM(DX10:DX41)&lt;0,0,SUM(DX10:DX41)*1.35)</f>
        <v>0</v>
      </c>
      <c r="F107" s="1035" t="s">
        <v>998</v>
      </c>
      <c r="G107" s="1613">
        <v>12.5</v>
      </c>
      <c r="H107" s="1614"/>
      <c r="I107" s="18" t="s">
        <v>1285</v>
      </c>
      <c r="O107" s="2792">
        <f>IF(E107&lt;0,0,E107*G107)</f>
        <v>0</v>
      </c>
      <c r="P107" s="2792"/>
      <c r="R107" s="1038"/>
      <c r="S107" s="859"/>
      <c r="T107" s="77"/>
      <c r="U107" s="77"/>
      <c r="W107" s="77"/>
      <c r="Z107" s="1615"/>
    </row>
    <row r="108" spans="2:26" ht="21.75" customHeight="1">
      <c r="B108" s="482" t="s">
        <v>1346</v>
      </c>
      <c r="C108" s="1177"/>
      <c r="D108" s="1598"/>
      <c r="E108" s="1036"/>
      <c r="F108" s="861" t="s">
        <v>1347</v>
      </c>
      <c r="G108" s="1605">
        <v>200</v>
      </c>
      <c r="H108" s="1616"/>
      <c r="I108" s="18" t="s">
        <v>620</v>
      </c>
      <c r="O108" s="2792">
        <f>E108*G108</f>
        <v>0</v>
      </c>
      <c r="P108" s="2792"/>
      <c r="R108" s="1038"/>
      <c r="S108" s="1617" t="s">
        <v>1349</v>
      </c>
      <c r="T108" s="1618"/>
      <c r="U108" s="1143">
        <v>18</v>
      </c>
      <c r="V108" s="18" t="s">
        <v>1350</v>
      </c>
      <c r="W108" s="77"/>
      <c r="Z108" s="1615"/>
    </row>
    <row r="109" spans="2:26" ht="21.75" customHeight="1">
      <c r="B109" s="1595" t="s">
        <v>1067</v>
      </c>
      <c r="C109" s="1599"/>
      <c r="D109" s="1599"/>
      <c r="E109" s="1008"/>
      <c r="F109" s="976"/>
      <c r="G109" s="1619">
        <v>1000</v>
      </c>
      <c r="H109" s="1620"/>
      <c r="I109" s="976" t="s">
        <v>1348</v>
      </c>
      <c r="J109" s="976"/>
      <c r="K109" s="976"/>
      <c r="L109" s="976"/>
      <c r="M109" s="976"/>
      <c r="N109" s="976"/>
      <c r="O109" s="2867">
        <f>E109*G109</f>
        <v>0</v>
      </c>
      <c r="P109" s="2867"/>
      <c r="R109" s="961" t="s">
        <v>1072</v>
      </c>
      <c r="S109" s="1435" t="s">
        <v>1650</v>
      </c>
      <c r="T109" s="1621"/>
      <c r="U109" s="1621">
        <f>ROUNDUP((V79+V81+V82)*12/U108,0)</f>
        <v>0</v>
      </c>
      <c r="V109" s="976" t="s">
        <v>1354</v>
      </c>
      <c r="W109" s="1622">
        <v>1.65</v>
      </c>
      <c r="X109" s="1622"/>
      <c r="Y109" s="229"/>
      <c r="Z109" s="1555">
        <f>IF(W$44="Y",U109*W109,U109*W109*(1+Y$44))</f>
        <v>0</v>
      </c>
    </row>
    <row r="110" spans="2:26" ht="21.75" customHeight="1">
      <c r="B110" s="3029" t="s">
        <v>1191</v>
      </c>
      <c r="C110" s="3029"/>
      <c r="D110" s="3029"/>
      <c r="E110" s="1237">
        <f>Summary!P60</f>
        <v>0</v>
      </c>
      <c r="F110" s="1238" t="s">
        <v>1465</v>
      </c>
      <c r="G110" s="3074">
        <f>(SUM(O65:P77)+SUM(L79:M88)+SUM(O79:P88)+SUM(O91:P93)+SUM(O96:P101)+SUM(O103:P109))*E110</f>
        <v>0</v>
      </c>
      <c r="H110" s="3074"/>
      <c r="I110" s="1240" t="s">
        <v>1039</v>
      </c>
      <c r="J110" s="1240"/>
      <c r="K110" s="1240"/>
      <c r="L110" s="1240"/>
      <c r="M110" s="1240"/>
      <c r="N110" s="1240"/>
      <c r="O110" s="3030">
        <f>G110</f>
        <v>0</v>
      </c>
      <c r="P110" s="3030"/>
      <c r="Y110" s="18"/>
      <c r="Z110" s="1236">
        <f>SUM(Z66:Z109)</f>
        <v>0</v>
      </c>
    </row>
    <row r="111" spans="2:26" ht="21.75" customHeight="1">
      <c r="B111" s="396"/>
      <c r="C111" s="626"/>
      <c r="D111" s="626"/>
      <c r="E111" s="626"/>
      <c r="F111" s="626"/>
      <c r="G111" s="626"/>
      <c r="H111" s="626"/>
      <c r="I111" s="626"/>
      <c r="J111" s="626"/>
      <c r="K111" s="626"/>
      <c r="L111" s="626"/>
      <c r="M111" s="626"/>
      <c r="N111" s="626"/>
      <c r="O111" s="626"/>
      <c r="P111" s="626"/>
      <c r="Q111" s="1621"/>
      <c r="R111" s="1621"/>
      <c r="S111" s="1621"/>
      <c r="T111" s="1621"/>
      <c r="U111" s="976"/>
      <c r="V111" s="1622"/>
      <c r="W111" s="1622"/>
      <c r="X111" s="229"/>
      <c r="Y111" s="229"/>
      <c r="Z111" s="229"/>
    </row>
    <row r="112" spans="2:26" ht="24" customHeight="1">
      <c r="B112" s="888"/>
      <c r="C112" s="889"/>
      <c r="D112" s="889"/>
      <c r="E112" s="889"/>
      <c r="F112" s="889"/>
      <c r="G112" s="889"/>
      <c r="H112" s="889"/>
      <c r="I112" s="889"/>
      <c r="J112" s="889"/>
      <c r="K112" s="889"/>
      <c r="L112" s="891"/>
      <c r="M112" s="889"/>
      <c r="N112" s="889"/>
      <c r="O112" s="889"/>
      <c r="P112" s="889"/>
      <c r="Q112" s="1474"/>
      <c r="R112" s="1474"/>
      <c r="S112" s="889"/>
      <c r="T112" s="889"/>
      <c r="U112" s="889"/>
      <c r="V112" s="889"/>
      <c r="W112" s="889"/>
      <c r="X112" s="889"/>
      <c r="Y112" s="889"/>
      <c r="Z112" s="894"/>
    </row>
    <row r="113" spans="2:31" ht="30.9">
      <c r="B113" s="1476" t="s">
        <v>1262</v>
      </c>
      <c r="C113" s="1477"/>
      <c r="D113" s="1478"/>
      <c r="E113" s="1476" t="s">
        <v>982</v>
      </c>
      <c r="F113" s="1478"/>
      <c r="G113" s="1476" t="s">
        <v>1263</v>
      </c>
      <c r="H113" s="1477"/>
      <c r="I113" s="1478"/>
      <c r="J113" s="1054" t="s">
        <v>1264</v>
      </c>
      <c r="K113" s="1055"/>
      <c r="L113" s="1056"/>
      <c r="M113" s="1057" t="s">
        <v>1265</v>
      </c>
      <c r="N113" s="1058"/>
      <c r="O113" s="1058"/>
      <c r="P113" s="1059"/>
      <c r="Q113" s="1479"/>
      <c r="R113" s="1479"/>
      <c r="S113" s="895"/>
      <c r="T113" s="574" t="s">
        <v>1266</v>
      </c>
      <c r="V113" s="18" t="s">
        <v>1267</v>
      </c>
      <c r="W113" s="1060" t="str">
        <f>W44</f>
        <v>N</v>
      </c>
      <c r="X113" s="793" t="s">
        <v>1268</v>
      </c>
      <c r="Y113" s="1242">
        <f>Y44</f>
        <v>8.2500000000000004E-2</v>
      </c>
      <c r="Z113" s="898"/>
    </row>
    <row r="114" spans="2:31" ht="15.45">
      <c r="B114" s="899" t="s">
        <v>1269</v>
      </c>
      <c r="C114" s="1483">
        <f>C45</f>
        <v>0</v>
      </c>
      <c r="D114" s="900"/>
      <c r="E114" s="2866">
        <f>E45</f>
        <v>0</v>
      </c>
      <c r="F114" s="2866"/>
      <c r="G114" s="901">
        <f>G45</f>
        <v>0</v>
      </c>
      <c r="H114" s="2867">
        <f>H45</f>
        <v>0</v>
      </c>
      <c r="I114" s="2867"/>
      <c r="J114" s="1485">
        <f>J45</f>
        <v>0</v>
      </c>
      <c r="K114" s="1486"/>
      <c r="L114" s="1487"/>
      <c r="M114" s="1623">
        <f>M45</f>
        <v>0.18</v>
      </c>
      <c r="N114" s="1489"/>
      <c r="O114" s="1489"/>
      <c r="P114" s="1490"/>
      <c r="Q114" s="1479"/>
      <c r="R114" s="1479"/>
      <c r="S114" s="1137"/>
      <c r="T114" s="902" t="s">
        <v>980</v>
      </c>
      <c r="V114" s="2942">
        <f>V45</f>
        <v>0</v>
      </c>
      <c r="W114" s="2942"/>
      <c r="X114" s="903"/>
      <c r="Y114" s="18"/>
      <c r="Z114" s="898"/>
    </row>
    <row r="115" spans="2:31" ht="21.75" customHeight="1">
      <c r="B115" s="1492"/>
      <c r="C115" s="895"/>
      <c r="D115" s="895"/>
      <c r="E115" s="895"/>
      <c r="F115" s="895"/>
      <c r="G115" s="895"/>
      <c r="H115" s="895"/>
      <c r="I115" s="895"/>
      <c r="J115" s="895"/>
      <c r="K115" s="895"/>
      <c r="L115" s="895"/>
      <c r="M115" s="895"/>
      <c r="N115" s="895"/>
      <c r="O115" s="895"/>
      <c r="P115" s="895"/>
      <c r="Q115" s="1479"/>
      <c r="R115" s="1479"/>
      <c r="S115" s="895"/>
      <c r="T115" s="895"/>
      <c r="U115" s="895"/>
      <c r="V115" s="895"/>
      <c r="W115" s="895"/>
      <c r="X115" s="895"/>
      <c r="Y115" s="895"/>
      <c r="Z115" s="898"/>
    </row>
    <row r="116" spans="2:31" customFormat="1" ht="15" customHeight="1"/>
    <row r="117" spans="2:31" customFormat="1" ht="15" customHeight="1">
      <c r="G117" s="1624"/>
      <c r="H117" s="1625" t="s">
        <v>1651</v>
      </c>
      <c r="I117" s="1626">
        <f>SUM(I120:I222)</f>
        <v>0</v>
      </c>
      <c r="J117" s="1627" t="s">
        <v>1093</v>
      </c>
      <c r="K117" s="1626">
        <f>SUM(K120:K222)</f>
        <v>0</v>
      </c>
      <c r="L117" s="1628" t="s">
        <v>1652</v>
      </c>
      <c r="M117" s="1626">
        <f>SUM(M120:M222)</f>
        <v>0</v>
      </c>
      <c r="N117" s="1627" t="s">
        <v>1653</v>
      </c>
      <c r="O117" s="1626">
        <f>SUM(O120:O222)</f>
        <v>0</v>
      </c>
    </row>
    <row r="118" spans="2:31" ht="15" customHeight="1">
      <c r="B118" s="684" t="s">
        <v>1654</v>
      </c>
      <c r="C118" s="1243" t="s">
        <v>1655</v>
      </c>
      <c r="D118" s="686"/>
      <c r="E118" s="689">
        <f>D119-V114</f>
        <v>0</v>
      </c>
      <c r="G118" s="1629"/>
      <c r="H118" s="1465"/>
      <c r="I118" s="699">
        <f>I117-E124</f>
        <v>0</v>
      </c>
      <c r="J118" s="1465"/>
      <c r="K118" s="699">
        <f>K117-E126</f>
        <v>0</v>
      </c>
      <c r="L118" s="1465"/>
      <c r="M118" s="699">
        <f>M117-E127</f>
        <v>0</v>
      </c>
      <c r="N118" s="1465"/>
      <c r="O118" s="699">
        <f>O117-E153</f>
        <v>0</v>
      </c>
      <c r="Z118" s="18"/>
      <c r="AA118" s="18"/>
      <c r="AE118" s="18">
        <f>90000*1.3</f>
        <v>117000</v>
      </c>
    </row>
    <row r="119" spans="2:31" ht="15" customHeight="1">
      <c r="B119" s="700" t="str">
        <f>Summary!T73</f>
        <v>04</v>
      </c>
      <c r="C119" s="702"/>
      <c r="D119" s="2867">
        <f>SUM(E120:E177)-E153-E163</f>
        <v>0</v>
      </c>
      <c r="E119" s="2867"/>
      <c r="G119" s="1630"/>
      <c r="H119" s="1631" t="s">
        <v>1055</v>
      </c>
      <c r="I119" s="1632" t="s">
        <v>721</v>
      </c>
      <c r="J119" s="1633"/>
      <c r="K119" s="1632" t="s">
        <v>1093</v>
      </c>
      <c r="L119" s="1631" t="s">
        <v>1055</v>
      </c>
      <c r="M119" s="1632" t="s">
        <v>738</v>
      </c>
      <c r="N119" s="1631" t="s">
        <v>1055</v>
      </c>
      <c r="O119" s="1632" t="s">
        <v>1146</v>
      </c>
      <c r="AA119" s="18"/>
    </row>
    <row r="120" spans="2:31" ht="15" customHeight="1">
      <c r="B120" s="1244">
        <f>Summary!T74</f>
        <v>40001</v>
      </c>
      <c r="C120" s="707" t="str">
        <f>Summary!U74</f>
        <v>General Requirements</v>
      </c>
      <c r="D120" s="296"/>
      <c r="E120" s="708"/>
      <c r="G120" s="1634">
        <v>1</v>
      </c>
      <c r="H120" s="1635">
        <f t="shared" ref="H120:H151" si="110">40000+(100*G120)+5</f>
        <v>40105</v>
      </c>
      <c r="I120" s="1636">
        <f t="shared" ref="I120:I151" si="111">CO10</f>
        <v>0</v>
      </c>
      <c r="J120" s="1637">
        <f t="shared" ref="J120:J151" si="112">40000+(100*G120)+7</f>
        <v>40107</v>
      </c>
      <c r="K120" s="1636">
        <f t="shared" ref="K120:K151" si="113">DA10</f>
        <v>0</v>
      </c>
      <c r="L120" s="1637">
        <f t="shared" ref="L120:L151" si="114">40000+(100*G120)+8</f>
        <v>40108</v>
      </c>
      <c r="M120" s="1636">
        <f t="shared" ref="M120:M151" si="115">CN10</f>
        <v>0</v>
      </c>
      <c r="N120" s="1637">
        <f t="shared" ref="N120:N151" si="116">40000+(100*G120)+40</f>
        <v>40140</v>
      </c>
      <c r="O120" s="1636">
        <f t="shared" ref="O120:O151" si="117">SUM(CP10:CT10)+DB10</f>
        <v>0</v>
      </c>
      <c r="S120" s="1638"/>
    </row>
    <row r="121" spans="2:31" ht="15" customHeight="1">
      <c r="B121" s="1244">
        <f>Summary!T75</f>
        <v>40002</v>
      </c>
      <c r="C121" s="707" t="str">
        <f>Summary!U75</f>
        <v>Lumber</v>
      </c>
      <c r="D121" s="296"/>
      <c r="E121" s="717">
        <f>SUM(Z66:Z86)+Z109</f>
        <v>0</v>
      </c>
      <c r="G121" s="1634">
        <v>2</v>
      </c>
      <c r="H121" s="1635">
        <f t="shared" si="110"/>
        <v>40205</v>
      </c>
      <c r="I121" s="1639">
        <f t="shared" si="111"/>
        <v>0</v>
      </c>
      <c r="J121" s="1637">
        <f t="shared" si="112"/>
        <v>40207</v>
      </c>
      <c r="K121" s="1639">
        <f t="shared" si="113"/>
        <v>0</v>
      </c>
      <c r="L121" s="1637">
        <f t="shared" si="114"/>
        <v>40208</v>
      </c>
      <c r="M121" s="1639">
        <f t="shared" si="115"/>
        <v>0</v>
      </c>
      <c r="N121" s="1637">
        <f t="shared" si="116"/>
        <v>40240</v>
      </c>
      <c r="O121" s="1636">
        <f t="shared" si="117"/>
        <v>0</v>
      </c>
    </row>
    <row r="122" spans="2:31" ht="15" customHeight="1">
      <c r="B122" s="1244">
        <f>Summary!T76</f>
        <v>40003</v>
      </c>
      <c r="C122" s="707" t="str">
        <f>Summary!U76</f>
        <v>Sand Material</v>
      </c>
      <c r="D122" s="296"/>
      <c r="E122" s="717">
        <f>O73</f>
        <v>0</v>
      </c>
      <c r="G122" s="1634">
        <v>3</v>
      </c>
      <c r="H122" s="1635">
        <f t="shared" si="110"/>
        <v>40305</v>
      </c>
      <c r="I122" s="1639">
        <f t="shared" si="111"/>
        <v>0</v>
      </c>
      <c r="J122" s="1637">
        <f t="shared" si="112"/>
        <v>40307</v>
      </c>
      <c r="K122" s="1639">
        <f t="shared" si="113"/>
        <v>0</v>
      </c>
      <c r="L122" s="1637">
        <f t="shared" si="114"/>
        <v>40308</v>
      </c>
      <c r="M122" s="1639">
        <f t="shared" si="115"/>
        <v>0</v>
      </c>
      <c r="N122" s="1637">
        <f t="shared" si="116"/>
        <v>40340</v>
      </c>
      <c r="O122" s="1636">
        <f t="shared" si="117"/>
        <v>0</v>
      </c>
    </row>
    <row r="123" spans="2:31" ht="15" customHeight="1">
      <c r="B123" s="1244">
        <f>Summary!T77</f>
        <v>40004</v>
      </c>
      <c r="C123" s="707" t="str">
        <f>Summary!U77</f>
        <v>Rock Material</v>
      </c>
      <c r="D123" s="296"/>
      <c r="E123" s="717"/>
      <c r="G123" s="1634">
        <v>4</v>
      </c>
      <c r="H123" s="1635">
        <f t="shared" si="110"/>
        <v>40405</v>
      </c>
      <c r="I123" s="1639">
        <f t="shared" si="111"/>
        <v>0</v>
      </c>
      <c r="J123" s="1637">
        <f t="shared" si="112"/>
        <v>40407</v>
      </c>
      <c r="K123" s="1639">
        <f t="shared" si="113"/>
        <v>0</v>
      </c>
      <c r="L123" s="1637">
        <f t="shared" si="114"/>
        <v>40408</v>
      </c>
      <c r="M123" s="1639">
        <f t="shared" si="115"/>
        <v>0</v>
      </c>
      <c r="N123" s="1637">
        <f t="shared" si="116"/>
        <v>40440</v>
      </c>
      <c r="O123" s="1636">
        <f t="shared" si="117"/>
        <v>0</v>
      </c>
    </row>
    <row r="124" spans="2:31" ht="15" customHeight="1">
      <c r="B124" s="1244">
        <f>Summary!T78</f>
        <v>40005</v>
      </c>
      <c r="C124" s="707" t="str">
        <f>Summary!U78</f>
        <v>Reinforcement Material</v>
      </c>
      <c r="D124" s="296"/>
      <c r="E124" s="717">
        <f>I117+O71</f>
        <v>0</v>
      </c>
      <c r="G124" s="1634">
        <v>5</v>
      </c>
      <c r="H124" s="1635">
        <f t="shared" si="110"/>
        <v>40505</v>
      </c>
      <c r="I124" s="1639">
        <f t="shared" si="111"/>
        <v>0</v>
      </c>
      <c r="J124" s="1637">
        <f t="shared" si="112"/>
        <v>40507</v>
      </c>
      <c r="K124" s="1639">
        <f t="shared" si="113"/>
        <v>0</v>
      </c>
      <c r="L124" s="1637">
        <f t="shared" si="114"/>
        <v>40508</v>
      </c>
      <c r="M124" s="1639">
        <f t="shared" si="115"/>
        <v>0</v>
      </c>
      <c r="N124" s="1637">
        <f t="shared" si="116"/>
        <v>40540</v>
      </c>
      <c r="O124" s="1636">
        <f t="shared" si="117"/>
        <v>0</v>
      </c>
    </row>
    <row r="125" spans="2:31" ht="15" customHeight="1">
      <c r="B125" s="1244">
        <f>Summary!T79</f>
        <v>40006</v>
      </c>
      <c r="C125" s="707" t="str">
        <f>Summary!U79</f>
        <v>Reinforcement Accessories</v>
      </c>
      <c r="D125" s="296"/>
      <c r="E125" s="717">
        <f>SUM(Z98:Z100)</f>
        <v>0</v>
      </c>
      <c r="G125" s="1634">
        <v>6</v>
      </c>
      <c r="H125" s="1635">
        <f t="shared" si="110"/>
        <v>40605</v>
      </c>
      <c r="I125" s="1639">
        <f t="shared" si="111"/>
        <v>0</v>
      </c>
      <c r="J125" s="1637">
        <f t="shared" si="112"/>
        <v>40607</v>
      </c>
      <c r="K125" s="1639">
        <f t="shared" si="113"/>
        <v>0</v>
      </c>
      <c r="L125" s="1637">
        <f t="shared" si="114"/>
        <v>40608</v>
      </c>
      <c r="M125" s="1639">
        <f t="shared" si="115"/>
        <v>0</v>
      </c>
      <c r="N125" s="1637">
        <f t="shared" si="116"/>
        <v>40640</v>
      </c>
      <c r="O125" s="1636">
        <f t="shared" si="117"/>
        <v>0</v>
      </c>
    </row>
    <row r="126" spans="2:31" ht="15" customHeight="1">
      <c r="B126" s="1244">
        <f>Summary!T80</f>
        <v>40007</v>
      </c>
      <c r="C126" s="707" t="str">
        <f>Summary!U80</f>
        <v>PT Cables</v>
      </c>
      <c r="D126" s="296"/>
      <c r="E126" s="717">
        <f>K117</f>
        <v>0</v>
      </c>
      <c r="G126" s="1634">
        <v>7</v>
      </c>
      <c r="H126" s="1635">
        <f t="shared" si="110"/>
        <v>40705</v>
      </c>
      <c r="I126" s="1639">
        <f t="shared" si="111"/>
        <v>0</v>
      </c>
      <c r="J126" s="1637">
        <f t="shared" si="112"/>
        <v>40707</v>
      </c>
      <c r="K126" s="1639">
        <f t="shared" si="113"/>
        <v>0</v>
      </c>
      <c r="L126" s="1637">
        <f t="shared" si="114"/>
        <v>40708</v>
      </c>
      <c r="M126" s="1639">
        <f t="shared" si="115"/>
        <v>0</v>
      </c>
      <c r="N126" s="1637">
        <f t="shared" si="116"/>
        <v>40740</v>
      </c>
      <c r="O126" s="1636">
        <f t="shared" si="117"/>
        <v>0</v>
      </c>
    </row>
    <row r="127" spans="2:31" ht="15" customHeight="1">
      <c r="B127" s="1244">
        <f>Summary!T81</f>
        <v>40008</v>
      </c>
      <c r="C127" s="707" t="str">
        <f>Summary!U81</f>
        <v>Concrete Material</v>
      </c>
      <c r="D127" s="296"/>
      <c r="E127" s="717">
        <f>SUM(O65:P69)</f>
        <v>0</v>
      </c>
      <c r="G127" s="1634">
        <v>8</v>
      </c>
      <c r="H127" s="1635">
        <f t="shared" si="110"/>
        <v>40805</v>
      </c>
      <c r="I127" s="1639">
        <f t="shared" si="111"/>
        <v>0</v>
      </c>
      <c r="J127" s="1637">
        <f t="shared" si="112"/>
        <v>40807</v>
      </c>
      <c r="K127" s="1639">
        <f t="shared" si="113"/>
        <v>0</v>
      </c>
      <c r="L127" s="1637">
        <f t="shared" si="114"/>
        <v>40808</v>
      </c>
      <c r="M127" s="1639">
        <f t="shared" si="115"/>
        <v>0</v>
      </c>
      <c r="N127" s="1637">
        <f t="shared" si="116"/>
        <v>40840</v>
      </c>
      <c r="O127" s="1636">
        <f t="shared" si="117"/>
        <v>0</v>
      </c>
    </row>
    <row r="128" spans="2:31" ht="15" customHeight="1">
      <c r="B128" s="1244">
        <f>Summary!T82</f>
        <v>40009</v>
      </c>
      <c r="C128" s="707" t="str">
        <f>Summary!U82</f>
        <v>Carton Forms</v>
      </c>
      <c r="D128" s="296"/>
      <c r="E128" s="717">
        <f>SUM(O74:P76)</f>
        <v>0</v>
      </c>
      <c r="G128" s="1634">
        <v>9</v>
      </c>
      <c r="H128" s="1635">
        <f t="shared" si="110"/>
        <v>40905</v>
      </c>
      <c r="I128" s="1639">
        <f t="shared" si="111"/>
        <v>0</v>
      </c>
      <c r="J128" s="1637">
        <f t="shared" si="112"/>
        <v>40907</v>
      </c>
      <c r="K128" s="1639">
        <f t="shared" si="113"/>
        <v>0</v>
      </c>
      <c r="L128" s="1637">
        <f t="shared" si="114"/>
        <v>40908</v>
      </c>
      <c r="M128" s="1639">
        <f t="shared" si="115"/>
        <v>0</v>
      </c>
      <c r="N128" s="1637">
        <f t="shared" si="116"/>
        <v>40940</v>
      </c>
      <c r="O128" s="1636">
        <f t="shared" si="117"/>
        <v>0</v>
      </c>
    </row>
    <row r="129" spans="2:15" ht="15" customHeight="1">
      <c r="B129" s="1244">
        <f>Summary!T83</f>
        <v>40010</v>
      </c>
      <c r="C129" s="707" t="str">
        <f>Summary!U83</f>
        <v>Cure/Sealers</v>
      </c>
      <c r="D129" s="296"/>
      <c r="E129" s="717">
        <f>SUM(Z104:Z106)</f>
        <v>0</v>
      </c>
      <c r="G129" s="1634">
        <v>10</v>
      </c>
      <c r="H129" s="1635">
        <f t="shared" si="110"/>
        <v>41005</v>
      </c>
      <c r="I129" s="1639">
        <f t="shared" si="111"/>
        <v>0</v>
      </c>
      <c r="J129" s="1637">
        <f t="shared" si="112"/>
        <v>41007</v>
      </c>
      <c r="K129" s="1639">
        <f t="shared" si="113"/>
        <v>0</v>
      </c>
      <c r="L129" s="1637">
        <f t="shared" si="114"/>
        <v>41008</v>
      </c>
      <c r="M129" s="1639">
        <f t="shared" si="115"/>
        <v>0</v>
      </c>
      <c r="N129" s="1637">
        <f t="shared" si="116"/>
        <v>41040</v>
      </c>
      <c r="O129" s="1636">
        <f t="shared" si="117"/>
        <v>0</v>
      </c>
    </row>
    <row r="130" spans="2:15" ht="15" customHeight="1">
      <c r="B130" s="1244">
        <f>Summary!T84</f>
        <v>40011</v>
      </c>
      <c r="C130" s="707" t="str">
        <f>Summary!U84</f>
        <v>Patch/Grout</v>
      </c>
      <c r="D130" s="296"/>
      <c r="E130" s="717">
        <f>SUM(Z92:Z97)</f>
        <v>0</v>
      </c>
      <c r="G130" s="1634">
        <v>11</v>
      </c>
      <c r="H130" s="1635">
        <f t="shared" si="110"/>
        <v>41105</v>
      </c>
      <c r="I130" s="1639">
        <f t="shared" si="111"/>
        <v>0</v>
      </c>
      <c r="J130" s="1637">
        <f t="shared" si="112"/>
        <v>41107</v>
      </c>
      <c r="K130" s="1639">
        <f t="shared" si="113"/>
        <v>0</v>
      </c>
      <c r="L130" s="1637">
        <f t="shared" si="114"/>
        <v>41108</v>
      </c>
      <c r="M130" s="1639">
        <f t="shared" si="115"/>
        <v>0</v>
      </c>
      <c r="N130" s="1637">
        <f t="shared" si="116"/>
        <v>41140</v>
      </c>
      <c r="O130" s="1636">
        <f t="shared" si="117"/>
        <v>0</v>
      </c>
    </row>
    <row r="131" spans="2:15" ht="15" customHeight="1">
      <c r="B131" s="1244">
        <f>Summary!T85</f>
        <v>40012</v>
      </c>
      <c r="C131" s="707" t="str">
        <f>Summary!U85</f>
        <v>Poly/Vapor Barrier</v>
      </c>
      <c r="D131" s="296"/>
      <c r="E131" s="717">
        <f>SUM(Z87:Z90)</f>
        <v>0</v>
      </c>
      <c r="G131" s="1634">
        <v>12</v>
      </c>
      <c r="H131" s="1635">
        <f t="shared" si="110"/>
        <v>41205</v>
      </c>
      <c r="I131" s="1639">
        <f t="shared" si="111"/>
        <v>0</v>
      </c>
      <c r="J131" s="1637">
        <f t="shared" si="112"/>
        <v>41207</v>
      </c>
      <c r="K131" s="1639">
        <f t="shared" si="113"/>
        <v>0</v>
      </c>
      <c r="L131" s="1637">
        <f t="shared" si="114"/>
        <v>41208</v>
      </c>
      <c r="M131" s="1639">
        <f t="shared" si="115"/>
        <v>0</v>
      </c>
      <c r="N131" s="1637">
        <f t="shared" si="116"/>
        <v>41240</v>
      </c>
      <c r="O131" s="1636">
        <f t="shared" si="117"/>
        <v>0</v>
      </c>
    </row>
    <row r="132" spans="2:15" ht="15" customHeight="1">
      <c r="B132" s="1244">
        <f>Summary!T86</f>
        <v>40013</v>
      </c>
      <c r="C132" s="707" t="str">
        <f>Summary!U86</f>
        <v>Special Material</v>
      </c>
      <c r="D132" s="296"/>
      <c r="E132" s="717">
        <f>Z101</f>
        <v>0</v>
      </c>
      <c r="G132" s="1634">
        <v>13</v>
      </c>
      <c r="H132" s="1635">
        <f t="shared" si="110"/>
        <v>41305</v>
      </c>
      <c r="I132" s="1639">
        <f t="shared" si="111"/>
        <v>0</v>
      </c>
      <c r="J132" s="1637">
        <f t="shared" si="112"/>
        <v>41307</v>
      </c>
      <c r="K132" s="1639">
        <f t="shared" si="113"/>
        <v>0</v>
      </c>
      <c r="L132" s="1637">
        <f t="shared" si="114"/>
        <v>41308</v>
      </c>
      <c r="M132" s="1639">
        <f t="shared" si="115"/>
        <v>0</v>
      </c>
      <c r="N132" s="1637">
        <f t="shared" si="116"/>
        <v>41340</v>
      </c>
      <c r="O132" s="1636">
        <f t="shared" si="117"/>
        <v>0</v>
      </c>
    </row>
    <row r="133" spans="2:15" ht="15" customHeight="1">
      <c r="B133" s="1244">
        <f>Summary!T87</f>
        <v>40014</v>
      </c>
      <c r="C133" s="707" t="str">
        <f>Summary!U87</f>
        <v>Special Material</v>
      </c>
      <c r="D133" s="296"/>
      <c r="E133" s="717">
        <f>Z102</f>
        <v>0</v>
      </c>
      <c r="G133" s="1634">
        <v>14</v>
      </c>
      <c r="H133" s="1635">
        <f t="shared" si="110"/>
        <v>41405</v>
      </c>
      <c r="I133" s="1639">
        <f t="shared" si="111"/>
        <v>0</v>
      </c>
      <c r="J133" s="1637">
        <f t="shared" si="112"/>
        <v>41407</v>
      </c>
      <c r="K133" s="1639">
        <f t="shared" si="113"/>
        <v>0</v>
      </c>
      <c r="L133" s="1637">
        <f t="shared" si="114"/>
        <v>41408</v>
      </c>
      <c r="M133" s="1639">
        <f t="shared" si="115"/>
        <v>0</v>
      </c>
      <c r="N133" s="1637">
        <f t="shared" si="116"/>
        <v>41440</v>
      </c>
      <c r="O133" s="1636">
        <f t="shared" si="117"/>
        <v>0</v>
      </c>
    </row>
    <row r="134" spans="2:15" ht="15" customHeight="1">
      <c r="B134" s="1244">
        <f>Summary!T88</f>
        <v>40015</v>
      </c>
      <c r="C134" s="707" t="str">
        <f>Summary!U88</f>
        <v>PPE/Safety</v>
      </c>
      <c r="D134" s="296"/>
      <c r="E134" s="717">
        <f>Z103</f>
        <v>0</v>
      </c>
      <c r="G134" s="1634">
        <v>15</v>
      </c>
      <c r="H134" s="1635">
        <f t="shared" si="110"/>
        <v>41505</v>
      </c>
      <c r="I134" s="1639">
        <f t="shared" si="111"/>
        <v>0</v>
      </c>
      <c r="J134" s="1637">
        <f t="shared" si="112"/>
        <v>41507</v>
      </c>
      <c r="K134" s="1639">
        <f t="shared" si="113"/>
        <v>0</v>
      </c>
      <c r="L134" s="1637">
        <f t="shared" si="114"/>
        <v>41508</v>
      </c>
      <c r="M134" s="1639">
        <f t="shared" si="115"/>
        <v>0</v>
      </c>
      <c r="N134" s="1637">
        <f t="shared" si="116"/>
        <v>41540</v>
      </c>
      <c r="O134" s="1636">
        <f t="shared" si="117"/>
        <v>0</v>
      </c>
    </row>
    <row r="135" spans="2:15" ht="15" customHeight="1">
      <c r="B135" s="1244">
        <f>Summary!T89</f>
        <v>40020</v>
      </c>
      <c r="C135" s="707" t="str">
        <f>Summary!U89</f>
        <v>Supervision</v>
      </c>
      <c r="D135" s="296"/>
      <c r="E135" s="717">
        <f>SUM(O91:P92)</f>
        <v>0</v>
      </c>
      <c r="G135" s="1634">
        <v>16</v>
      </c>
      <c r="H135" s="1635">
        <f t="shared" si="110"/>
        <v>41605</v>
      </c>
      <c r="I135" s="1639">
        <f t="shared" si="111"/>
        <v>0</v>
      </c>
      <c r="J135" s="1637">
        <f t="shared" si="112"/>
        <v>41607</v>
      </c>
      <c r="K135" s="1639">
        <f t="shared" si="113"/>
        <v>0</v>
      </c>
      <c r="L135" s="1637">
        <f t="shared" si="114"/>
        <v>41608</v>
      </c>
      <c r="M135" s="1639">
        <f t="shared" si="115"/>
        <v>0</v>
      </c>
      <c r="N135" s="1637">
        <f t="shared" si="116"/>
        <v>41640</v>
      </c>
      <c r="O135" s="1636">
        <f t="shared" si="117"/>
        <v>0</v>
      </c>
    </row>
    <row r="136" spans="2:15" ht="15" customHeight="1">
      <c r="B136" s="1244">
        <f>Summary!T90</f>
        <v>40021</v>
      </c>
      <c r="C136" s="707" t="str">
        <f>Summary!U90</f>
        <v>Supervision Expense</v>
      </c>
      <c r="D136" s="296"/>
      <c r="E136" s="717">
        <f>O93</f>
        <v>0</v>
      </c>
      <c r="G136" s="1634">
        <v>17</v>
      </c>
      <c r="H136" s="1635">
        <f t="shared" si="110"/>
        <v>41705</v>
      </c>
      <c r="I136" s="1639">
        <f t="shared" si="111"/>
        <v>0</v>
      </c>
      <c r="J136" s="1637">
        <f t="shared" si="112"/>
        <v>41707</v>
      </c>
      <c r="K136" s="1639">
        <f t="shared" si="113"/>
        <v>0</v>
      </c>
      <c r="L136" s="1637">
        <f t="shared" si="114"/>
        <v>41708</v>
      </c>
      <c r="M136" s="1639">
        <f t="shared" si="115"/>
        <v>0</v>
      </c>
      <c r="N136" s="1637">
        <f t="shared" si="116"/>
        <v>41740</v>
      </c>
      <c r="O136" s="1636">
        <f t="shared" si="117"/>
        <v>0</v>
      </c>
    </row>
    <row r="137" spans="2:15" ht="15" customHeight="1">
      <c r="B137" s="1244">
        <f>Summary!T91</f>
        <v>40022</v>
      </c>
      <c r="C137" s="707" t="str">
        <f>Summary!U91</f>
        <v>Project Management</v>
      </c>
      <c r="D137" s="296"/>
      <c r="E137" s="717">
        <f>O94</f>
        <v>0</v>
      </c>
      <c r="G137" s="1634">
        <v>18</v>
      </c>
      <c r="H137" s="1635">
        <f t="shared" si="110"/>
        <v>41805</v>
      </c>
      <c r="I137" s="1639">
        <f t="shared" si="111"/>
        <v>0</v>
      </c>
      <c r="J137" s="1637">
        <f t="shared" si="112"/>
        <v>41807</v>
      </c>
      <c r="K137" s="1639">
        <f t="shared" si="113"/>
        <v>0</v>
      </c>
      <c r="L137" s="1637">
        <f t="shared" si="114"/>
        <v>41808</v>
      </c>
      <c r="M137" s="1639">
        <f t="shared" si="115"/>
        <v>0</v>
      </c>
      <c r="N137" s="1637">
        <f t="shared" si="116"/>
        <v>41840</v>
      </c>
      <c r="O137" s="1636">
        <f t="shared" si="117"/>
        <v>0</v>
      </c>
    </row>
    <row r="138" spans="2:15" ht="15" customHeight="1">
      <c r="B138" s="1244">
        <f>Summary!T92</f>
        <v>40023</v>
      </c>
      <c r="C138" s="707" t="str">
        <f>Summary!U92</f>
        <v>Labor Grade, Poly, Reinf.</v>
      </c>
      <c r="D138" s="296"/>
      <c r="E138" s="717">
        <f>L80</f>
        <v>0</v>
      </c>
      <c r="G138" s="1634">
        <v>19</v>
      </c>
      <c r="H138" s="1635">
        <f t="shared" si="110"/>
        <v>41905</v>
      </c>
      <c r="I138" s="1639">
        <f t="shared" si="111"/>
        <v>0</v>
      </c>
      <c r="J138" s="1637">
        <f t="shared" si="112"/>
        <v>41907</v>
      </c>
      <c r="K138" s="1639">
        <f t="shared" si="113"/>
        <v>0</v>
      </c>
      <c r="L138" s="1637">
        <f t="shared" si="114"/>
        <v>41908</v>
      </c>
      <c r="M138" s="1639">
        <f t="shared" si="115"/>
        <v>0</v>
      </c>
      <c r="N138" s="1637">
        <f t="shared" si="116"/>
        <v>41940</v>
      </c>
      <c r="O138" s="1636">
        <f t="shared" si="117"/>
        <v>0</v>
      </c>
    </row>
    <row r="139" spans="2:15">
      <c r="B139" s="1244">
        <f>Summary!T93</f>
        <v>40024</v>
      </c>
      <c r="C139" s="707" t="str">
        <f>Summary!U93</f>
        <v>Labor Place &amp; Finish</v>
      </c>
      <c r="D139" s="296"/>
      <c r="E139" s="717">
        <f>L81</f>
        <v>0</v>
      </c>
      <c r="G139" s="1634">
        <v>20</v>
      </c>
      <c r="H139" s="1635">
        <f t="shared" si="110"/>
        <v>42005</v>
      </c>
      <c r="I139" s="1639">
        <f t="shared" si="111"/>
        <v>0</v>
      </c>
      <c r="J139" s="1637">
        <f t="shared" si="112"/>
        <v>42007</v>
      </c>
      <c r="K139" s="1639">
        <f t="shared" si="113"/>
        <v>0</v>
      </c>
      <c r="L139" s="1637">
        <f t="shared" si="114"/>
        <v>42008</v>
      </c>
      <c r="M139" s="1639">
        <f t="shared" si="115"/>
        <v>0</v>
      </c>
      <c r="N139" s="1637">
        <f t="shared" si="116"/>
        <v>42040</v>
      </c>
      <c r="O139" s="1636">
        <f t="shared" si="117"/>
        <v>0</v>
      </c>
    </row>
    <row r="140" spans="2:15">
      <c r="B140" s="1244">
        <f>Summary!T94</f>
        <v>40025</v>
      </c>
      <c r="C140" s="707" t="str">
        <f>Summary!U94</f>
        <v>Labor Drops</v>
      </c>
      <c r="D140" s="296"/>
      <c r="E140" s="717">
        <f>L83</f>
        <v>0</v>
      </c>
      <c r="G140" s="1634">
        <v>21</v>
      </c>
      <c r="H140" s="1635">
        <f t="shared" si="110"/>
        <v>42105</v>
      </c>
      <c r="I140" s="1639">
        <f t="shared" si="111"/>
        <v>0</v>
      </c>
      <c r="J140" s="1637">
        <f t="shared" si="112"/>
        <v>42107</v>
      </c>
      <c r="K140" s="1639">
        <f t="shared" si="113"/>
        <v>0</v>
      </c>
      <c r="L140" s="1637">
        <f t="shared" si="114"/>
        <v>42108</v>
      </c>
      <c r="M140" s="1639">
        <f t="shared" si="115"/>
        <v>0</v>
      </c>
      <c r="N140" s="1637">
        <f t="shared" si="116"/>
        <v>42140</v>
      </c>
      <c r="O140" s="1636">
        <f t="shared" si="117"/>
        <v>0</v>
      </c>
    </row>
    <row r="141" spans="2:15">
      <c r="B141" s="1244">
        <f>Summary!T95</f>
        <v>40026</v>
      </c>
      <c r="C141" s="707" t="str">
        <f>Summary!U95</f>
        <v>Labor Strip Forms</v>
      </c>
      <c r="D141" s="296"/>
      <c r="E141" s="717">
        <f>L82</f>
        <v>0</v>
      </c>
      <c r="G141" s="1634">
        <v>22</v>
      </c>
      <c r="H141" s="1635">
        <f t="shared" si="110"/>
        <v>42205</v>
      </c>
      <c r="I141" s="1639">
        <f t="shared" si="111"/>
        <v>0</v>
      </c>
      <c r="J141" s="1637">
        <f t="shared" si="112"/>
        <v>42207</v>
      </c>
      <c r="K141" s="1639">
        <f t="shared" si="113"/>
        <v>0</v>
      </c>
      <c r="L141" s="1637">
        <f t="shared" si="114"/>
        <v>42208</v>
      </c>
      <c r="M141" s="1639">
        <f t="shared" si="115"/>
        <v>0</v>
      </c>
      <c r="N141" s="1637">
        <f t="shared" si="116"/>
        <v>42240</v>
      </c>
      <c r="O141" s="1636">
        <f t="shared" si="117"/>
        <v>0</v>
      </c>
    </row>
    <row r="142" spans="2:15">
      <c r="B142" s="1244">
        <f>Summary!T96</f>
        <v>40027</v>
      </c>
      <c r="C142" s="707" t="str">
        <f>Summary!U96</f>
        <v>Labor Burden</v>
      </c>
      <c r="D142" s="296"/>
      <c r="E142" s="717">
        <f>L86</f>
        <v>0</v>
      </c>
      <c r="G142" s="1634">
        <v>23</v>
      </c>
      <c r="H142" s="1635">
        <f t="shared" si="110"/>
        <v>42305</v>
      </c>
      <c r="I142" s="1639">
        <f t="shared" si="111"/>
        <v>0</v>
      </c>
      <c r="J142" s="1637">
        <f t="shared" si="112"/>
        <v>42307</v>
      </c>
      <c r="K142" s="1639">
        <f t="shared" si="113"/>
        <v>0</v>
      </c>
      <c r="L142" s="1637">
        <f t="shared" si="114"/>
        <v>42308</v>
      </c>
      <c r="M142" s="1639">
        <f t="shared" si="115"/>
        <v>0</v>
      </c>
      <c r="N142" s="1637">
        <f t="shared" si="116"/>
        <v>42340</v>
      </c>
      <c r="O142" s="1636">
        <f t="shared" si="117"/>
        <v>0</v>
      </c>
    </row>
    <row r="143" spans="2:15">
      <c r="B143" s="1244">
        <f>Summary!T97</f>
        <v>40028</v>
      </c>
      <c r="C143" s="707" t="str">
        <f>Summary!U97</f>
        <v>Surveying</v>
      </c>
      <c r="D143" s="296"/>
      <c r="E143" s="717"/>
      <c r="G143" s="1634">
        <v>24</v>
      </c>
      <c r="H143" s="1635">
        <f t="shared" si="110"/>
        <v>42405</v>
      </c>
      <c r="I143" s="1639">
        <f t="shared" si="111"/>
        <v>0</v>
      </c>
      <c r="J143" s="1637">
        <f t="shared" si="112"/>
        <v>42407</v>
      </c>
      <c r="K143" s="1639">
        <f t="shared" si="113"/>
        <v>0</v>
      </c>
      <c r="L143" s="1637">
        <f t="shared" si="114"/>
        <v>42408</v>
      </c>
      <c r="M143" s="1639">
        <f t="shared" si="115"/>
        <v>0</v>
      </c>
      <c r="N143" s="1637">
        <f t="shared" si="116"/>
        <v>42440</v>
      </c>
      <c r="O143" s="1636">
        <f t="shared" si="117"/>
        <v>0</v>
      </c>
    </row>
    <row r="144" spans="2:15">
      <c r="B144" s="1244">
        <f>Summary!T98</f>
        <v>40030</v>
      </c>
      <c r="C144" s="707" t="str">
        <f>Summary!U98</f>
        <v>Pumping</v>
      </c>
      <c r="D144" s="296"/>
      <c r="E144" s="1640">
        <f>O106</f>
        <v>0</v>
      </c>
      <c r="G144" s="1634">
        <v>25</v>
      </c>
      <c r="H144" s="1635">
        <f t="shared" si="110"/>
        <v>42505</v>
      </c>
      <c r="I144" s="1639">
        <f t="shared" si="111"/>
        <v>0</v>
      </c>
      <c r="J144" s="1637">
        <f t="shared" si="112"/>
        <v>42507</v>
      </c>
      <c r="K144" s="1639">
        <f t="shared" si="113"/>
        <v>0</v>
      </c>
      <c r="L144" s="1637">
        <f t="shared" si="114"/>
        <v>42508</v>
      </c>
      <c r="M144" s="1639">
        <f t="shared" si="115"/>
        <v>0</v>
      </c>
      <c r="N144" s="1637">
        <f t="shared" si="116"/>
        <v>42540</v>
      </c>
      <c r="O144" s="1636">
        <f t="shared" si="117"/>
        <v>0</v>
      </c>
    </row>
    <row r="145" spans="2:17">
      <c r="B145" s="1244">
        <f>Summary!T99</f>
        <v>40031</v>
      </c>
      <c r="C145" s="707" t="str">
        <f>Summary!U99</f>
        <v>Earth Work/Excavation</v>
      </c>
      <c r="D145" s="296"/>
      <c r="E145" s="717"/>
      <c r="G145" s="1634">
        <v>26</v>
      </c>
      <c r="H145" s="1635">
        <f t="shared" si="110"/>
        <v>42605</v>
      </c>
      <c r="I145" s="1639">
        <f t="shared" si="111"/>
        <v>0</v>
      </c>
      <c r="J145" s="1637">
        <f t="shared" si="112"/>
        <v>42607</v>
      </c>
      <c r="K145" s="1639">
        <f t="shared" si="113"/>
        <v>0</v>
      </c>
      <c r="L145" s="1637">
        <f t="shared" si="114"/>
        <v>42608</v>
      </c>
      <c r="M145" s="1639">
        <f t="shared" si="115"/>
        <v>0</v>
      </c>
      <c r="N145" s="1637">
        <f t="shared" si="116"/>
        <v>42640</v>
      </c>
      <c r="O145" s="1636">
        <f t="shared" si="117"/>
        <v>0</v>
      </c>
    </row>
    <row r="146" spans="2:17">
      <c r="B146" s="1244">
        <f>Summary!T100</f>
        <v>40032</v>
      </c>
      <c r="C146" s="707" t="str">
        <f>Summary!U100</f>
        <v>Drilling</v>
      </c>
      <c r="D146" s="296"/>
      <c r="E146" s="717"/>
      <c r="G146" s="1634">
        <v>27</v>
      </c>
      <c r="H146" s="1635">
        <f t="shared" si="110"/>
        <v>42705</v>
      </c>
      <c r="I146" s="1639">
        <f t="shared" si="111"/>
        <v>0</v>
      </c>
      <c r="J146" s="1637">
        <f t="shared" si="112"/>
        <v>42707</v>
      </c>
      <c r="K146" s="1639">
        <f t="shared" si="113"/>
        <v>0</v>
      </c>
      <c r="L146" s="1637">
        <f t="shared" si="114"/>
        <v>42708</v>
      </c>
      <c r="M146" s="1639">
        <f t="shared" si="115"/>
        <v>0</v>
      </c>
      <c r="N146" s="1637">
        <f t="shared" si="116"/>
        <v>42740</v>
      </c>
      <c r="O146" s="1636">
        <f t="shared" si="117"/>
        <v>0</v>
      </c>
    </row>
    <row r="147" spans="2:17">
      <c r="B147" s="1244">
        <f>Summary!T101</f>
        <v>40033</v>
      </c>
      <c r="C147" s="707" t="str">
        <f>Summary!U101</f>
        <v>Haul off</v>
      </c>
      <c r="D147" s="296"/>
      <c r="E147" s="717">
        <f>O107</f>
        <v>0</v>
      </c>
      <c r="G147" s="1634">
        <v>28</v>
      </c>
      <c r="H147" s="1635">
        <f t="shared" si="110"/>
        <v>42805</v>
      </c>
      <c r="I147" s="1639">
        <f t="shared" si="111"/>
        <v>0</v>
      </c>
      <c r="J147" s="1637">
        <f t="shared" si="112"/>
        <v>42807</v>
      </c>
      <c r="K147" s="1639">
        <f t="shared" si="113"/>
        <v>0</v>
      </c>
      <c r="L147" s="1637">
        <f t="shared" si="114"/>
        <v>42808</v>
      </c>
      <c r="M147" s="1639">
        <f t="shared" si="115"/>
        <v>0</v>
      </c>
      <c r="N147" s="1637">
        <f t="shared" si="116"/>
        <v>42840</v>
      </c>
      <c r="O147" s="1636">
        <f t="shared" si="117"/>
        <v>0</v>
      </c>
    </row>
    <row r="148" spans="2:17">
      <c r="B148" s="1244">
        <f>Summary!T102</f>
        <v>40034</v>
      </c>
      <c r="C148" s="707" t="str">
        <f>Summary!U102</f>
        <v>Saw Cutting/Sealing</v>
      </c>
      <c r="D148" s="296"/>
      <c r="E148" s="717">
        <f>O104+O105</f>
        <v>0</v>
      </c>
      <c r="G148" s="1634">
        <v>29</v>
      </c>
      <c r="H148" s="1635">
        <f t="shared" si="110"/>
        <v>42905</v>
      </c>
      <c r="I148" s="1639">
        <f t="shared" si="111"/>
        <v>0</v>
      </c>
      <c r="J148" s="1637">
        <f t="shared" si="112"/>
        <v>42907</v>
      </c>
      <c r="K148" s="1639">
        <f t="shared" si="113"/>
        <v>0</v>
      </c>
      <c r="L148" s="1637">
        <f t="shared" si="114"/>
        <v>42908</v>
      </c>
      <c r="M148" s="1639">
        <f t="shared" si="115"/>
        <v>0</v>
      </c>
      <c r="N148" s="1637">
        <f t="shared" si="116"/>
        <v>42940</v>
      </c>
      <c r="O148" s="1636">
        <f t="shared" si="117"/>
        <v>0</v>
      </c>
    </row>
    <row r="149" spans="2:17">
      <c r="B149" s="1244">
        <f>Summary!T103</f>
        <v>40035</v>
      </c>
      <c r="C149" s="707" t="str">
        <f>Summary!U103</f>
        <v>Demolition</v>
      </c>
      <c r="D149" s="296"/>
      <c r="E149" s="717"/>
      <c r="G149" s="1634">
        <v>30</v>
      </c>
      <c r="H149" s="1635">
        <f t="shared" si="110"/>
        <v>43005</v>
      </c>
      <c r="I149" s="1639">
        <f t="shared" si="111"/>
        <v>0</v>
      </c>
      <c r="J149" s="1637">
        <f t="shared" si="112"/>
        <v>43007</v>
      </c>
      <c r="K149" s="1639">
        <f t="shared" si="113"/>
        <v>0</v>
      </c>
      <c r="L149" s="1637">
        <f t="shared" si="114"/>
        <v>43008</v>
      </c>
      <c r="M149" s="1639">
        <f t="shared" si="115"/>
        <v>0</v>
      </c>
      <c r="N149" s="1637">
        <f t="shared" si="116"/>
        <v>43040</v>
      </c>
      <c r="O149" s="1636">
        <f t="shared" si="117"/>
        <v>0</v>
      </c>
    </row>
    <row r="150" spans="2:17">
      <c r="B150" s="1244">
        <f>Summary!T104</f>
        <v>40037</v>
      </c>
      <c r="C150" s="707" t="str">
        <f>Summary!U104</f>
        <v>Waterproofing</v>
      </c>
      <c r="D150" s="296"/>
      <c r="E150" s="717"/>
      <c r="G150" s="1634">
        <v>31</v>
      </c>
      <c r="H150" s="1635">
        <f t="shared" si="110"/>
        <v>43105</v>
      </c>
      <c r="I150" s="1639">
        <f t="shared" si="111"/>
        <v>0</v>
      </c>
      <c r="J150" s="1637">
        <f t="shared" si="112"/>
        <v>43107</v>
      </c>
      <c r="K150" s="1639">
        <f t="shared" si="113"/>
        <v>0</v>
      </c>
      <c r="L150" s="1637">
        <f t="shared" si="114"/>
        <v>43108</v>
      </c>
      <c r="M150" s="1639">
        <f t="shared" si="115"/>
        <v>0</v>
      </c>
      <c r="N150" s="1637">
        <f t="shared" si="116"/>
        <v>43140</v>
      </c>
      <c r="O150" s="1636">
        <f t="shared" si="117"/>
        <v>0</v>
      </c>
    </row>
    <row r="151" spans="2:17">
      <c r="B151" s="1244">
        <f>Summary!T105</f>
        <v>40038</v>
      </c>
      <c r="C151" s="707" t="str">
        <f>Summary!U105</f>
        <v>Crain/Hoisting</v>
      </c>
      <c r="D151" s="296"/>
      <c r="E151" s="717"/>
      <c r="G151" s="1634">
        <v>32</v>
      </c>
      <c r="H151" s="1635">
        <f t="shared" si="110"/>
        <v>43205</v>
      </c>
      <c r="I151" s="1639">
        <f t="shared" si="111"/>
        <v>0</v>
      </c>
      <c r="J151" s="1637">
        <f t="shared" si="112"/>
        <v>43207</v>
      </c>
      <c r="K151" s="1639">
        <f t="shared" si="113"/>
        <v>0</v>
      </c>
      <c r="L151" s="1637">
        <f t="shared" si="114"/>
        <v>43208</v>
      </c>
      <c r="M151" s="1639">
        <f t="shared" si="115"/>
        <v>0</v>
      </c>
      <c r="N151" s="1637">
        <f t="shared" si="116"/>
        <v>43240</v>
      </c>
      <c r="O151" s="1636">
        <f t="shared" si="117"/>
        <v>0</v>
      </c>
    </row>
    <row r="152" spans="2:17">
      <c r="B152" s="1244">
        <f>Summary!T106</f>
        <v>40039</v>
      </c>
      <c r="C152" s="707" t="str">
        <f>Summary!U106</f>
        <v>Forming Systems</v>
      </c>
      <c r="E152" s="757"/>
      <c r="G152" s="1641"/>
      <c r="H152" s="1642"/>
      <c r="I152" s="351"/>
      <c r="J152" s="1643"/>
      <c r="K152" s="351"/>
      <c r="L152" s="1643"/>
      <c r="M152" s="351"/>
      <c r="N152" s="1643"/>
      <c r="O152" s="351"/>
    </row>
    <row r="153" spans="2:17">
      <c r="B153" s="1644">
        <f>Summary!T107</f>
        <v>40040</v>
      </c>
      <c r="C153" s="1645" t="str">
        <f>Summary!U106</f>
        <v>Forming Systems</v>
      </c>
      <c r="D153" s="1646"/>
      <c r="E153" s="1647">
        <f>O117</f>
        <v>0</v>
      </c>
    </row>
    <row r="154" spans="2:17">
      <c r="B154" s="1244">
        <f>Summary!T108</f>
        <v>40041</v>
      </c>
      <c r="C154" s="707" t="str">
        <f>Summary!U108</f>
        <v>Labor Forming</v>
      </c>
      <c r="D154" s="296"/>
      <c r="E154" s="708">
        <f>O79</f>
        <v>0</v>
      </c>
    </row>
    <row r="155" spans="2:17">
      <c r="B155" s="1244">
        <f>Summary!T109</f>
        <v>40042</v>
      </c>
      <c r="C155" s="707" t="str">
        <f>Summary!U109</f>
        <v>Labor Grade, Poly, Reinf.</v>
      </c>
      <c r="D155" s="296"/>
      <c r="E155" s="717">
        <f>O80+O85</f>
        <v>0</v>
      </c>
      <c r="Q155" s="163" t="s">
        <v>1656</v>
      </c>
    </row>
    <row r="156" spans="2:17">
      <c r="B156" s="1244">
        <f>Summary!T110</f>
        <v>40043</v>
      </c>
      <c r="C156" s="707" t="str">
        <f>Summary!U110</f>
        <v>Labor Place &amp; Finish</v>
      </c>
      <c r="D156" s="296"/>
      <c r="E156" s="717">
        <f>O81</f>
        <v>0</v>
      </c>
      <c r="G156" s="1641"/>
      <c r="H156" s="1642"/>
      <c r="I156" s="351"/>
      <c r="J156" s="351"/>
      <c r="K156" s="351"/>
      <c r="L156" s="351"/>
    </row>
    <row r="157" spans="2:17">
      <c r="B157" s="1244">
        <f>Summary!T111</f>
        <v>40044</v>
      </c>
      <c r="C157" s="707" t="str">
        <f>Summary!U111</f>
        <v>Labor Drops</v>
      </c>
      <c r="D157" s="715"/>
      <c r="E157" s="708">
        <f>O83</f>
        <v>0</v>
      </c>
      <c r="G157" s="1641"/>
      <c r="H157" s="1642"/>
      <c r="I157" s="351"/>
      <c r="J157" s="351"/>
      <c r="K157" s="351"/>
      <c r="L157" s="351"/>
    </row>
    <row r="158" spans="2:17">
      <c r="B158" s="1244">
        <f>Summary!T112</f>
        <v>40045</v>
      </c>
      <c r="C158" s="707" t="str">
        <f>Summary!U112</f>
        <v>Labor Strip Forms</v>
      </c>
      <c r="D158" s="296"/>
      <c r="E158" s="717">
        <f>O82</f>
        <v>0</v>
      </c>
      <c r="G158" s="1641"/>
      <c r="H158" s="1642"/>
      <c r="I158" s="351"/>
      <c r="J158" s="351"/>
      <c r="K158" s="351"/>
      <c r="L158" s="351"/>
    </row>
    <row r="159" spans="2:17">
      <c r="B159" s="1244">
        <f>Summary!T113</f>
        <v>40046</v>
      </c>
      <c r="C159" s="707" t="str">
        <f>Summary!U113</f>
        <v>Labor Burden</v>
      </c>
      <c r="D159" s="296"/>
      <c r="E159" s="717">
        <f>O84</f>
        <v>0</v>
      </c>
      <c r="G159" s="1641"/>
      <c r="H159" s="1642"/>
      <c r="I159" s="351"/>
      <c r="J159" s="351"/>
      <c r="K159" s="351"/>
      <c r="L159" s="351"/>
    </row>
    <row r="160" spans="2:17">
      <c r="B160" s="1244">
        <f>Summary!T114</f>
        <v>40047</v>
      </c>
      <c r="C160" s="707" t="str">
        <f>Summary!U114</f>
        <v>Rebar</v>
      </c>
      <c r="D160" s="715"/>
      <c r="E160" s="708">
        <f>O87</f>
        <v>0</v>
      </c>
      <c r="G160" s="1641"/>
      <c r="H160" s="1642"/>
      <c r="I160" s="351"/>
      <c r="J160" s="351"/>
      <c r="K160" s="351"/>
      <c r="L160" s="351"/>
    </row>
    <row r="161" spans="2:5">
      <c r="B161" s="1648">
        <f>Summary!T115</f>
        <v>40048</v>
      </c>
      <c r="C161" s="518" t="str">
        <f>Summary!U115</f>
        <v>PT Installation</v>
      </c>
      <c r="D161" s="715"/>
      <c r="E161" s="717">
        <f>O86</f>
        <v>0</v>
      </c>
    </row>
    <row r="162" spans="2:5">
      <c r="B162" s="1649">
        <f>Summary!T116</f>
        <v>40049</v>
      </c>
      <c r="C162" s="736" t="str">
        <f>Summary!U116</f>
        <v>Extra Hours</v>
      </c>
      <c r="D162" s="248"/>
      <c r="E162" s="738">
        <f>O88</f>
        <v>0</v>
      </c>
    </row>
    <row r="163" spans="2:5">
      <c r="B163" s="1247">
        <f>Summary!T117</f>
        <v>40060</v>
      </c>
      <c r="C163" s="1248" t="str">
        <f>Summary!U117</f>
        <v>Total Equipment Rental</v>
      </c>
      <c r="D163" s="1249"/>
      <c r="E163" s="1250">
        <f>SUM(E164:E171)</f>
        <v>0</v>
      </c>
    </row>
    <row r="164" spans="2:5">
      <c r="B164" s="1244">
        <f>Summary!T118</f>
        <v>40061</v>
      </c>
      <c r="C164" s="707" t="str">
        <f>Summary!U118</f>
        <v>SkyTrack</v>
      </c>
      <c r="D164" s="296"/>
      <c r="E164" s="708">
        <f>O96/(1+$Y$44+J$98)</f>
        <v>0</v>
      </c>
    </row>
    <row r="165" spans="2:5">
      <c r="B165" s="1244">
        <f>Summary!T119</f>
        <v>40062</v>
      </c>
      <c r="C165" s="707" t="str">
        <f>Summary!U119</f>
        <v>Mini Ex</v>
      </c>
      <c r="D165" s="296"/>
      <c r="E165" s="708">
        <f>O97/(1+$Y$44+J$98)</f>
        <v>0</v>
      </c>
    </row>
    <row r="166" spans="2:5">
      <c r="B166" s="1244">
        <f>Summary!T120</f>
        <v>40063</v>
      </c>
      <c r="C166" s="707" t="str">
        <f>Summary!U120</f>
        <v>Trencher</v>
      </c>
      <c r="D166" s="296"/>
      <c r="E166" s="708">
        <f>O98/(1+$Y$44+J$98)</f>
        <v>0</v>
      </c>
    </row>
    <row r="167" spans="2:5">
      <c r="B167" s="1244">
        <f>Summary!T121</f>
        <v>40064</v>
      </c>
      <c r="C167" s="707" t="str">
        <f>Summary!U121</f>
        <v>Skid Steer</v>
      </c>
      <c r="D167" s="296"/>
      <c r="E167" s="708">
        <f>O99/(1+$Y$44+J$98)</f>
        <v>0</v>
      </c>
    </row>
    <row r="168" spans="2:5">
      <c r="B168" s="1244">
        <f>Summary!T122</f>
        <v>40065</v>
      </c>
      <c r="C168" s="707" t="str">
        <f>Summary!U122</f>
        <v>General Equipment Rental</v>
      </c>
      <c r="D168" s="296"/>
      <c r="E168" s="708">
        <f>(O100+O101)/(1+$Y$44+J$98)</f>
        <v>0</v>
      </c>
    </row>
    <row r="169" spans="2:5">
      <c r="B169" s="1244">
        <f>Summary!T123</f>
        <v>40066</v>
      </c>
      <c r="C169" s="707" t="str">
        <f>Summary!U123</f>
        <v>Fuel</v>
      </c>
      <c r="D169" s="296"/>
      <c r="E169" s="708">
        <f>M98-SUM(E164:E168)</f>
        <v>0</v>
      </c>
    </row>
    <row r="170" spans="2:5">
      <c r="B170" s="1244">
        <f>Summary!T124</f>
        <v>40067</v>
      </c>
      <c r="C170" s="707" t="str">
        <f>Summary!U124</f>
        <v>Purchased Tools</v>
      </c>
      <c r="D170" s="296"/>
      <c r="E170" s="717"/>
    </row>
    <row r="171" spans="2:5">
      <c r="B171" s="1244">
        <f>Summary!T125</f>
        <v>40068</v>
      </c>
      <c r="C171" s="707" t="str">
        <f>Summary!U125</f>
        <v>Stolen/Damaged</v>
      </c>
      <c r="D171" s="715"/>
      <c r="E171" s="717"/>
    </row>
    <row r="172" spans="2:5">
      <c r="B172" s="1244">
        <f>Summary!T126</f>
        <v>40070</v>
      </c>
      <c r="C172" s="707" t="str">
        <f>Summary!U126</f>
        <v>Out of Town Expense</v>
      </c>
      <c r="D172" s="296"/>
      <c r="E172" s="708">
        <f>O108</f>
        <v>0</v>
      </c>
    </row>
    <row r="173" spans="2:5">
      <c r="B173" s="1244">
        <f>Summary!T127</f>
        <v>40071</v>
      </c>
      <c r="C173" s="707" t="str">
        <f>Summary!U127</f>
        <v>Miscellaneous</v>
      </c>
      <c r="D173" s="296"/>
      <c r="E173" s="717">
        <f>O109</f>
        <v>0</v>
      </c>
    </row>
    <row r="174" spans="2:5">
      <c r="B174" s="1244">
        <f>Summary!T128</f>
        <v>40072</v>
      </c>
      <c r="C174" s="707" t="str">
        <f>Summary!U128</f>
        <v>Repairs</v>
      </c>
      <c r="D174" s="296"/>
      <c r="E174" s="717"/>
    </row>
    <row r="175" spans="2:5">
      <c r="B175" s="1244">
        <f>Summary!T129</f>
        <v>40073</v>
      </c>
      <c r="C175" s="707" t="str">
        <f>Summary!U129</f>
        <v>Engineering</v>
      </c>
      <c r="D175" s="296"/>
      <c r="E175" s="717">
        <f>O103</f>
        <v>0</v>
      </c>
    </row>
    <row r="176" spans="2:5">
      <c r="B176" s="1244">
        <f>Summary!T130</f>
        <v>40090</v>
      </c>
      <c r="C176" s="707" t="str">
        <f>Summary!U130</f>
        <v>Not Used</v>
      </c>
      <c r="D176" s="296"/>
      <c r="E176" s="717"/>
    </row>
    <row r="177" spans="2:5">
      <c r="B177" s="1244">
        <f>Summary!T131</f>
        <v>40091</v>
      </c>
      <c r="C177" s="707" t="str">
        <f>Summary!U131</f>
        <v>Margin Contingency</v>
      </c>
      <c r="D177" s="296"/>
      <c r="E177" s="717">
        <f>O110</f>
        <v>0</v>
      </c>
    </row>
  </sheetData>
  <mergeCells count="119">
    <mergeCell ref="E114:F114"/>
    <mergeCell ref="H114:I114"/>
    <mergeCell ref="V114:W114"/>
    <mergeCell ref="D119:E119"/>
    <mergeCell ref="O101:P101"/>
    <mergeCell ref="O103:P103"/>
    <mergeCell ref="O104:P104"/>
    <mergeCell ref="O105:P105"/>
    <mergeCell ref="O106:P106"/>
    <mergeCell ref="O107:P107"/>
    <mergeCell ref="O108:P108"/>
    <mergeCell ref="O109:P109"/>
    <mergeCell ref="B110:D110"/>
    <mergeCell ref="G110:H110"/>
    <mergeCell ref="O110:P110"/>
    <mergeCell ref="O96:P96"/>
    <mergeCell ref="J97:K97"/>
    <mergeCell ref="M97:N97"/>
    <mergeCell ref="O97:P97"/>
    <mergeCell ref="J98:K99"/>
    <mergeCell ref="M98:N98"/>
    <mergeCell ref="O98:P98"/>
    <mergeCell ref="O99:P99"/>
    <mergeCell ref="O100:P100"/>
    <mergeCell ref="L89:M89"/>
    <mergeCell ref="O89:P89"/>
    <mergeCell ref="M91:N91"/>
    <mergeCell ref="O91:P91"/>
    <mergeCell ref="M92:N92"/>
    <mergeCell ref="O92:P92"/>
    <mergeCell ref="O93:P93"/>
    <mergeCell ref="M94:N94"/>
    <mergeCell ref="O94:P94"/>
    <mergeCell ref="E86:F86"/>
    <mergeCell ref="I86:J86"/>
    <mergeCell ref="L86:M86"/>
    <mergeCell ref="O86:P86"/>
    <mergeCell ref="E87:F87"/>
    <mergeCell ref="I87:J87"/>
    <mergeCell ref="L87:M87"/>
    <mergeCell ref="O87:P87"/>
    <mergeCell ref="E88:F88"/>
    <mergeCell ref="L88:M88"/>
    <mergeCell ref="O88:P88"/>
    <mergeCell ref="E83:F83"/>
    <mergeCell ref="I83:J83"/>
    <mergeCell ref="L83:M83"/>
    <mergeCell ref="O83:P83"/>
    <mergeCell ref="O84:P84"/>
    <mergeCell ref="E85:F85"/>
    <mergeCell ref="I85:J85"/>
    <mergeCell ref="L85:M85"/>
    <mergeCell ref="O85:P85"/>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L73:M73"/>
    <mergeCell ref="O73:P73"/>
    <mergeCell ref="E74:E76"/>
    <mergeCell ref="L74:M74"/>
    <mergeCell ref="O74:P74"/>
    <mergeCell ref="L75:M75"/>
    <mergeCell ref="O75:P75"/>
    <mergeCell ref="L76:M76"/>
    <mergeCell ref="O76:P76"/>
    <mergeCell ref="L70:M70"/>
    <mergeCell ref="O70:P70"/>
    <mergeCell ref="L71:M71"/>
    <mergeCell ref="O71:P71"/>
    <mergeCell ref="C72:D72"/>
    <mergeCell ref="E72:F72"/>
    <mergeCell ref="J72:K72"/>
    <mergeCell ref="L72:M72"/>
    <mergeCell ref="O72:P72"/>
    <mergeCell ref="O60:P60"/>
    <mergeCell ref="L64:M64"/>
    <mergeCell ref="K65:K69"/>
    <mergeCell ref="L65:M65"/>
    <mergeCell ref="O65:P65"/>
    <mergeCell ref="L66:M66"/>
    <mergeCell ref="O66:P66"/>
    <mergeCell ref="L67:M67"/>
    <mergeCell ref="O67:P67"/>
    <mergeCell ref="L68:M68"/>
    <mergeCell ref="O68:P68"/>
    <mergeCell ref="L69:M69"/>
    <mergeCell ref="O69:P69"/>
    <mergeCell ref="E46:F46"/>
    <mergeCell ref="G46:H46"/>
    <mergeCell ref="K46:L46"/>
    <mergeCell ref="V46:W46"/>
    <mergeCell ref="U48:V48"/>
    <mergeCell ref="U49:V50"/>
    <mergeCell ref="U51:V51"/>
    <mergeCell ref="U52:V53"/>
    <mergeCell ref="U59:V59"/>
    <mergeCell ref="AR7:BB7"/>
    <mergeCell ref="BC7:BM7"/>
    <mergeCell ref="CM8:DE8"/>
    <mergeCell ref="T9:V9"/>
    <mergeCell ref="D42:E42"/>
    <mergeCell ref="E43:F43"/>
    <mergeCell ref="C45:D45"/>
    <mergeCell ref="E45:F45"/>
    <mergeCell ref="H45:I45"/>
    <mergeCell ref="V45:W45"/>
  </mergeCells>
  <conditionalFormatting sqref="L64:M64">
    <cfRule type="containsText" dxfId="15" priority="2" operator="containsText" text="Missing Concrete">
      <formula>NOT(ISERROR(SEARCH("Missing Concrete",L64)))</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2" manualBreakCount="2">
    <brk id="46" max="16383" man="1"/>
    <brk id="63" max="16383" man="1"/>
  </rowBreaks>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B9CDE5"/>
    <pageSetUpPr fitToPage="1"/>
  </sheetPr>
  <dimension ref="A1:IQ177"/>
  <sheetViews>
    <sheetView zoomScale="70" zoomScaleNormal="70" zoomScalePageLayoutView="70" workbookViewId="0">
      <selection activeCell="Q155" sqref="Q155"/>
    </sheetView>
  </sheetViews>
  <sheetFormatPr defaultColWidth="9.15234375" defaultRowHeight="15"/>
  <cols>
    <col min="1" max="1" width="5.15234375" style="18" customWidth="1"/>
    <col min="2" max="2" width="44.53515625" style="18" customWidth="1"/>
    <col min="3" max="3" width="15.4609375" style="18" customWidth="1"/>
    <col min="4" max="4" width="12.15234375" style="18" customWidth="1"/>
    <col min="5" max="5" width="13" style="18" customWidth="1"/>
    <col min="6" max="6" width="11.53515625" style="18" customWidth="1"/>
    <col min="7" max="7" width="13.53515625" style="18" customWidth="1"/>
    <col min="8" max="13" width="10.84375" style="18" customWidth="1"/>
    <col min="14" max="14" width="12.15234375" style="18" customWidth="1"/>
    <col min="15" max="15" width="12.84375" style="18" customWidth="1"/>
    <col min="16" max="16" width="17.84375" style="18" customWidth="1"/>
    <col min="17" max="17" width="17.4609375" style="18" customWidth="1"/>
    <col min="18" max="18" width="14.84375" style="18" customWidth="1"/>
    <col min="19" max="19" width="20.84375" style="18" customWidth="1"/>
    <col min="20" max="20" width="13.4609375" style="18" customWidth="1"/>
    <col min="21" max="24" width="12.84375" style="18" customWidth="1"/>
    <col min="25" max="25" width="12.84375" customWidth="1"/>
    <col min="26" max="26" width="14.53515625" customWidth="1"/>
    <col min="27" max="27" width="12.84375" customWidth="1"/>
    <col min="28" max="42" width="12.84375" style="18" customWidth="1"/>
    <col min="43" max="58" width="25.84375" style="18" hidden="1" customWidth="1"/>
    <col min="59" max="59" width="25.84375" style="1251" hidden="1" customWidth="1"/>
    <col min="60" max="120" width="25.84375" style="18" hidden="1" customWidth="1"/>
    <col min="121" max="195" width="20.84375" style="18" customWidth="1"/>
    <col min="196" max="215" width="20.84375" customWidth="1"/>
    <col min="252" max="16384" width="9.15234375" style="18"/>
  </cols>
  <sheetData>
    <row r="1" spans="1:120" ht="15.45">
      <c r="B1" s="791" t="s">
        <v>1355</v>
      </c>
      <c r="D1" s="626"/>
      <c r="E1" s="626"/>
      <c r="F1" s="626"/>
      <c r="G1" s="626"/>
      <c r="H1" s="626"/>
      <c r="I1" s="626"/>
      <c r="J1" s="626"/>
      <c r="K1" s="626"/>
      <c r="L1" s="626"/>
      <c r="M1" s="626"/>
      <c r="N1" s="626"/>
      <c r="O1" s="626"/>
      <c r="P1" s="626"/>
      <c r="Q1" s="626"/>
      <c r="R1" s="626"/>
      <c r="S1" s="626"/>
      <c r="T1" s="626"/>
      <c r="U1" s="1252" t="s">
        <v>1193</v>
      </c>
      <c r="V1" s="1252"/>
      <c r="W1" s="1253">
        <v>37456</v>
      </c>
      <c r="X1" s="1253"/>
      <c r="Y1" s="1254"/>
      <c r="Z1" s="1254"/>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1251"/>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626"/>
      <c r="CI1" s="626"/>
      <c r="CJ1" s="626"/>
      <c r="CK1" s="626"/>
      <c r="CL1" s="626"/>
      <c r="CM1" s="626"/>
      <c r="CN1" s="626"/>
      <c r="CO1" s="626"/>
      <c r="CP1" s="626"/>
      <c r="CQ1" s="626"/>
      <c r="CR1" s="626"/>
      <c r="CS1" s="626"/>
      <c r="CT1" s="626"/>
      <c r="CU1" s="626"/>
      <c r="CV1" s="626"/>
      <c r="CW1" s="626"/>
      <c r="CX1" s="626"/>
      <c r="CY1" s="626"/>
      <c r="CZ1" s="626"/>
      <c r="DA1" s="626"/>
      <c r="DB1" s="626"/>
      <c r="DC1" s="626"/>
      <c r="DD1" s="626"/>
      <c r="DE1" s="626"/>
      <c r="DF1" s="626"/>
      <c r="DG1" s="626"/>
      <c r="DH1" s="626"/>
      <c r="DI1" s="626"/>
      <c r="DJ1" s="626"/>
      <c r="DK1" s="626"/>
      <c r="DL1" s="626"/>
      <c r="DM1" s="626"/>
      <c r="DN1" s="626"/>
      <c r="DO1" s="626"/>
      <c r="DP1" s="626"/>
    </row>
    <row r="2" spans="1:120" ht="15.45">
      <c r="B2" s="1255" t="str">
        <f>Summary!C1</f>
        <v>Trammell Crow – LBJ</v>
      </c>
      <c r="C2" s="1256"/>
      <c r="D2" s="1256"/>
      <c r="E2" s="1257"/>
      <c r="F2" s="1258" t="s">
        <v>1466</v>
      </c>
      <c r="G2" s="626"/>
      <c r="H2" s="795"/>
      <c r="I2" s="1259" t="s">
        <v>56</v>
      </c>
      <c r="J2" s="983"/>
      <c r="K2" s="1085" t="s">
        <v>57</v>
      </c>
      <c r="L2" s="983"/>
      <c r="M2" s="983"/>
      <c r="N2" s="983"/>
      <c r="O2" s="1085" t="s">
        <v>1</v>
      </c>
      <c r="P2" s="1085"/>
      <c r="Q2" s="1085" t="s">
        <v>1194</v>
      </c>
      <c r="R2" s="808"/>
      <c r="S2" s="626"/>
      <c r="T2" s="626"/>
      <c r="U2" s="795" t="s">
        <v>957</v>
      </c>
      <c r="V2" s="663"/>
      <c r="W2" s="796">
        <f>Information!C7</f>
        <v>0</v>
      </c>
      <c r="X2" s="797"/>
      <c r="Y2" s="1254"/>
      <c r="Z2" s="1254"/>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1251"/>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626"/>
      <c r="CI2" s="626"/>
      <c r="CJ2" s="626"/>
      <c r="CK2" s="626"/>
      <c r="CL2" s="626"/>
      <c r="CM2" s="626"/>
      <c r="CN2" s="626"/>
      <c r="CO2" s="626"/>
      <c r="CP2" s="626"/>
      <c r="CQ2" s="626"/>
      <c r="CR2" s="626"/>
      <c r="CS2" s="626"/>
      <c r="CT2" s="626"/>
      <c r="CU2" s="626"/>
      <c r="CV2" s="626"/>
      <c r="CW2" s="626"/>
      <c r="CX2" s="626"/>
      <c r="CY2" s="626"/>
      <c r="CZ2" s="626"/>
      <c r="DA2" s="626"/>
      <c r="DB2" s="626"/>
      <c r="DC2" s="626"/>
      <c r="DD2" s="626"/>
      <c r="DE2" s="626"/>
      <c r="DF2" s="626"/>
      <c r="DG2" s="626"/>
      <c r="DH2" s="626"/>
      <c r="DI2" s="626"/>
      <c r="DJ2" s="626"/>
      <c r="DK2" s="626"/>
      <c r="DL2" s="626"/>
      <c r="DM2" s="626"/>
      <c r="DN2" s="626"/>
      <c r="DO2" s="626"/>
      <c r="DP2" s="626"/>
    </row>
    <row r="3" spans="1:120" ht="19.5" customHeight="1">
      <c r="B3" s="1260">
        <f>Summary!C2</f>
        <v>0</v>
      </c>
      <c r="C3" s="1261"/>
      <c r="D3" s="1261"/>
      <c r="E3" s="1262"/>
      <c r="F3" s="1258" t="s">
        <v>1467</v>
      </c>
      <c r="G3" s="626"/>
      <c r="H3" s="574"/>
      <c r="I3" s="793" t="s">
        <v>955</v>
      </c>
      <c r="J3" s="1255">
        <f>Summary!K2</f>
        <v>0</v>
      </c>
      <c r="K3" s="1256"/>
      <c r="L3" s="1256"/>
      <c r="M3" s="1256"/>
      <c r="N3" s="1256"/>
      <c r="O3" s="1263">
        <f>Summary!O2</f>
        <v>0</v>
      </c>
      <c r="P3" s="1263"/>
      <c r="Q3" s="1263">
        <f>Summary!P2</f>
        <v>0</v>
      </c>
      <c r="R3" s="1264"/>
      <c r="S3" s="626"/>
      <c r="T3" s="626"/>
      <c r="U3" s="574"/>
      <c r="X3" s="798"/>
      <c r="Y3" s="1254"/>
      <c r="Z3" s="1254"/>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626"/>
      <c r="BH3" s="1251"/>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6"/>
      <c r="CS3" s="626"/>
      <c r="CT3" s="626"/>
      <c r="CU3" s="626"/>
      <c r="CV3" s="626"/>
      <c r="CW3" s="626"/>
      <c r="CX3" s="626"/>
      <c r="CY3" s="626"/>
      <c r="CZ3" s="626"/>
      <c r="DA3" s="626"/>
      <c r="DB3" s="626"/>
      <c r="DC3" s="626"/>
      <c r="DD3" s="626"/>
      <c r="DE3" s="626"/>
      <c r="DF3" s="626"/>
      <c r="DG3" s="626"/>
      <c r="DH3" s="626"/>
      <c r="DI3" s="626"/>
      <c r="DJ3" s="626"/>
      <c r="DK3" s="626"/>
      <c r="DL3" s="626"/>
      <c r="DM3" s="626"/>
      <c r="DN3" s="626"/>
      <c r="DO3" s="626"/>
      <c r="DP3" s="626"/>
    </row>
    <row r="4" spans="1:120" ht="19.5" customHeight="1">
      <c r="B4" s="1265" t="str">
        <f>Summary!C3</f>
        <v>Dallas, TX</v>
      </c>
      <c r="C4" s="1266"/>
      <c r="D4" s="1266"/>
      <c r="E4" s="1267"/>
      <c r="F4" s="1258" t="s">
        <v>1468</v>
      </c>
      <c r="G4" s="626"/>
      <c r="H4" s="396"/>
      <c r="I4" s="928" t="s">
        <v>71</v>
      </c>
      <c r="J4" s="1260">
        <f>Summary!K3</f>
        <v>0</v>
      </c>
      <c r="K4" s="1261"/>
      <c r="L4" s="1261"/>
      <c r="M4" s="1261"/>
      <c r="N4" s="1261"/>
      <c r="O4" s="1268">
        <f>Summary!O3</f>
        <v>0</v>
      </c>
      <c r="P4" s="1268"/>
      <c r="Q4" s="1268">
        <f>Summary!P3</f>
        <v>0</v>
      </c>
      <c r="R4" s="1269"/>
      <c r="S4" s="626"/>
      <c r="T4" s="626"/>
      <c r="U4" s="574" t="s">
        <v>958</v>
      </c>
      <c r="W4" s="799"/>
      <c r="X4" s="800"/>
      <c r="Y4" s="1254"/>
      <c r="Z4" s="1254"/>
      <c r="AI4" s="626"/>
      <c r="AJ4" s="626"/>
      <c r="AK4" s="626"/>
      <c r="AL4" s="626"/>
      <c r="AM4" s="626"/>
      <c r="AN4" s="626"/>
      <c r="AO4" s="626"/>
      <c r="AP4" s="626"/>
      <c r="AQ4" s="626"/>
      <c r="AR4" s="626"/>
      <c r="AS4" s="626"/>
      <c r="AT4" s="626"/>
      <c r="AU4" s="626"/>
      <c r="AV4" s="626"/>
      <c r="AW4" s="626"/>
      <c r="AX4" s="626"/>
      <c r="AY4" s="626"/>
      <c r="AZ4" s="626"/>
      <c r="BA4" s="626"/>
      <c r="BB4" s="626"/>
      <c r="BC4" s="626"/>
      <c r="BD4" s="626"/>
      <c r="BE4" s="626"/>
      <c r="BF4" s="626"/>
      <c r="BG4" s="626"/>
      <c r="BH4" s="1251"/>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626"/>
      <c r="CI4" s="626"/>
      <c r="CJ4" s="626"/>
      <c r="CK4" s="626"/>
      <c r="CL4" s="626"/>
      <c r="CM4" s="626"/>
      <c r="CN4" s="626"/>
      <c r="CO4" s="626"/>
      <c r="CP4" s="626"/>
      <c r="CQ4" s="626"/>
      <c r="CR4" s="626"/>
      <c r="CS4" s="626"/>
      <c r="CT4" s="626"/>
      <c r="CU4" s="626"/>
      <c r="CV4" s="626"/>
      <c r="CW4" s="626"/>
      <c r="CX4" s="626"/>
      <c r="CY4" s="626"/>
      <c r="CZ4" s="626"/>
      <c r="DA4" s="626"/>
      <c r="DB4" s="626"/>
      <c r="DC4" s="626"/>
      <c r="DD4" s="626"/>
      <c r="DE4" s="626"/>
      <c r="DF4" s="626"/>
      <c r="DG4" s="626"/>
      <c r="DH4" s="626"/>
      <c r="DI4" s="626"/>
      <c r="DJ4" s="626"/>
      <c r="DK4" s="626"/>
      <c r="DL4" s="626"/>
      <c r="DM4" s="626"/>
      <c r="DN4" s="626"/>
      <c r="DO4" s="626"/>
      <c r="DP4" s="626"/>
    </row>
    <row r="5" spans="1:120" ht="19.5" customHeight="1">
      <c r="B5" s="380" t="s">
        <v>0</v>
      </c>
      <c r="D5" s="796" t="s">
        <v>1</v>
      </c>
      <c r="E5" s="796"/>
      <c r="F5" s="626"/>
      <c r="G5" s="626"/>
      <c r="H5" s="396"/>
      <c r="I5" s="928" t="s">
        <v>79</v>
      </c>
      <c r="J5" s="1260">
        <f>Summary!K4</f>
        <v>0</v>
      </c>
      <c r="K5" s="1261"/>
      <c r="L5" s="1261"/>
      <c r="M5" s="1261"/>
      <c r="N5" s="1261"/>
      <c r="O5" s="1268">
        <f>Summary!O4</f>
        <v>0</v>
      </c>
      <c r="P5" s="1268"/>
      <c r="Q5" s="1268">
        <f>Summary!P4</f>
        <v>0</v>
      </c>
      <c r="R5" s="1269"/>
      <c r="S5" s="1270"/>
      <c r="T5" s="626"/>
      <c r="U5" s="574"/>
      <c r="X5" s="798"/>
      <c r="Y5" s="1254"/>
      <c r="Z5" s="1254"/>
      <c r="AI5" s="626"/>
      <c r="AJ5" s="626"/>
      <c r="AK5" s="626"/>
      <c r="AL5" s="626"/>
      <c r="AM5" s="626"/>
      <c r="AN5" s="626"/>
      <c r="AO5" s="626"/>
      <c r="AP5" s="626"/>
      <c r="AQ5" s="626"/>
      <c r="AR5" s="626"/>
      <c r="AS5" s="626"/>
      <c r="AT5" s="626"/>
      <c r="AU5" s="626"/>
      <c r="AV5" s="626"/>
      <c r="AW5" s="626"/>
      <c r="AX5" s="626"/>
      <c r="AY5" s="626"/>
      <c r="AZ5" s="626"/>
      <c r="BA5" s="626"/>
      <c r="BB5" s="626"/>
      <c r="BC5" s="626"/>
      <c r="BD5" s="626"/>
      <c r="BE5" s="626"/>
      <c r="BF5" s="626"/>
      <c r="BG5" s="626"/>
      <c r="BH5" s="1251"/>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626"/>
      <c r="CI5" s="626"/>
      <c r="CJ5" s="626"/>
      <c r="CK5" s="626"/>
      <c r="CL5" s="626"/>
      <c r="CM5" s="626"/>
      <c r="CN5" s="626"/>
      <c r="CO5" s="626"/>
      <c r="CP5" s="626"/>
      <c r="CQ5" s="626"/>
      <c r="CR5" s="626"/>
      <c r="CS5" s="626"/>
      <c r="CT5" s="626"/>
      <c r="CU5" s="626"/>
      <c r="CV5" s="626"/>
      <c r="CW5" s="626"/>
      <c r="CX5" s="626"/>
      <c r="CY5" s="626"/>
      <c r="CZ5" s="626"/>
      <c r="DA5" s="626"/>
      <c r="DB5" s="626"/>
      <c r="DC5" s="626"/>
      <c r="DD5" s="626"/>
      <c r="DE5" s="626"/>
      <c r="DF5" s="626"/>
      <c r="DG5" s="626"/>
      <c r="DH5" s="626"/>
      <c r="DI5" s="626"/>
      <c r="DJ5" s="626"/>
      <c r="DK5" s="626"/>
      <c r="DL5" s="626"/>
      <c r="DM5" s="626"/>
      <c r="DN5" s="626"/>
      <c r="DO5" s="626"/>
      <c r="DP5" s="626"/>
    </row>
    <row r="6" spans="1:120" ht="19.5" customHeight="1">
      <c r="B6" s="804">
        <v>0</v>
      </c>
      <c r="D6" s="1272">
        <v>0</v>
      </c>
      <c r="E6" s="1272"/>
      <c r="F6" s="626"/>
      <c r="G6" s="626"/>
      <c r="H6" s="653"/>
      <c r="I6" s="1090" t="s">
        <v>87</v>
      </c>
      <c r="J6" s="1265">
        <f>Summary!K5</f>
        <v>0</v>
      </c>
      <c r="K6" s="1266"/>
      <c r="L6" s="1266"/>
      <c r="M6" s="1266"/>
      <c r="N6" s="1266"/>
      <c r="O6" s="1273">
        <f>Summary!O5</f>
        <v>0</v>
      </c>
      <c r="P6" s="1273"/>
      <c r="Q6" s="1273">
        <f>Summary!P5</f>
        <v>0</v>
      </c>
      <c r="R6" s="1274"/>
      <c r="S6" s="626"/>
      <c r="T6" s="626"/>
      <c r="U6" s="577" t="s">
        <v>958</v>
      </c>
      <c r="V6" s="802"/>
      <c r="W6" s="802"/>
      <c r="X6" s="803"/>
      <c r="Y6" s="1254"/>
      <c r="Z6" s="1254"/>
      <c r="AI6" s="626"/>
      <c r="AJ6" s="1275"/>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1251"/>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c r="CZ6" s="626"/>
      <c r="DA6" s="626"/>
      <c r="DB6" s="626"/>
      <c r="DC6" s="626"/>
      <c r="DD6" s="626"/>
      <c r="DE6" s="626"/>
      <c r="DF6" s="626"/>
      <c r="DG6" s="626"/>
      <c r="DH6" s="626"/>
      <c r="DI6" s="626"/>
      <c r="DJ6" s="626"/>
      <c r="DK6" s="626"/>
      <c r="DL6" s="626"/>
      <c r="DM6" s="626"/>
      <c r="DN6" s="626"/>
      <c r="DO6" s="626"/>
      <c r="DP6" s="626"/>
    </row>
    <row r="7" spans="1:120" ht="19.5" customHeight="1">
      <c r="B7" s="1276">
        <v>0</v>
      </c>
      <c r="C7" s="1019"/>
      <c r="D7" s="1277">
        <v>0</v>
      </c>
      <c r="E7" s="1278"/>
      <c r="F7" s="693"/>
      <c r="G7" s="1090" t="s">
        <v>1196</v>
      </c>
      <c r="H7" s="928"/>
      <c r="I7" s="928"/>
      <c r="J7" s="17" t="str">
        <f>Pricing!A3</f>
        <v>SRM</v>
      </c>
      <c r="K7" s="17"/>
      <c r="L7" s="17"/>
      <c r="M7" s="17"/>
      <c r="N7" s="17"/>
      <c r="O7" s="626"/>
      <c r="P7" s="626"/>
      <c r="Q7" s="626"/>
      <c r="R7" s="626"/>
      <c r="S7" s="628" t="e">
        <f>S12+S13</f>
        <v>#DIV/0!</v>
      </c>
      <c r="T7" s="626"/>
      <c r="U7" s="626"/>
      <c r="V7" s="626"/>
      <c r="W7" s="626"/>
      <c r="X7" s="626"/>
      <c r="Y7" s="1254"/>
      <c r="Z7" s="1254"/>
      <c r="AI7" s="626"/>
      <c r="AJ7" s="626"/>
      <c r="AK7" s="626"/>
      <c r="AL7" s="381"/>
      <c r="AM7" s="589"/>
      <c r="AN7" s="589"/>
      <c r="AO7" s="589"/>
      <c r="AP7" s="589"/>
      <c r="AQ7" s="589"/>
      <c r="AR7" s="3032" t="s">
        <v>1469</v>
      </c>
      <c r="AS7" s="3032"/>
      <c r="AT7" s="3032"/>
      <c r="AU7" s="3032"/>
      <c r="AV7" s="3032"/>
      <c r="AW7" s="3032"/>
      <c r="AX7" s="3032"/>
      <c r="AY7" s="3032"/>
      <c r="AZ7" s="3032"/>
      <c r="BA7" s="3032"/>
      <c r="BB7" s="3032"/>
      <c r="BC7" s="3032" t="s">
        <v>721</v>
      </c>
      <c r="BD7" s="3032"/>
      <c r="BE7" s="3032"/>
      <c r="BF7" s="3032"/>
      <c r="BG7" s="3032"/>
      <c r="BH7" s="3032"/>
      <c r="BI7" s="3032"/>
      <c r="BJ7" s="3032"/>
      <c r="BK7" s="3032"/>
      <c r="BL7" s="3032"/>
      <c r="BM7" s="3032"/>
      <c r="BN7" s="626"/>
      <c r="BO7" s="626"/>
      <c r="BP7" s="626"/>
      <c r="BQ7" s="626"/>
      <c r="BR7" s="626"/>
      <c r="BS7" s="626"/>
      <c r="BT7" s="626"/>
      <c r="BU7" s="626"/>
      <c r="BV7" s="626"/>
      <c r="BW7" s="626"/>
      <c r="BX7" s="626"/>
      <c r="BY7" s="626"/>
      <c r="BZ7" s="626"/>
      <c r="CA7" s="626"/>
      <c r="CB7" s="626"/>
      <c r="CC7" s="626"/>
      <c r="CD7" s="626"/>
      <c r="CE7" s="628"/>
      <c r="CF7" s="626"/>
      <c r="CG7" s="626"/>
      <c r="CH7" s="626"/>
      <c r="CI7" s="626"/>
      <c r="CJ7" s="626"/>
      <c r="CK7" s="626"/>
      <c r="CL7" s="626"/>
      <c r="CM7" s="626"/>
      <c r="CN7" s="626"/>
      <c r="CO7" s="626"/>
      <c r="CP7" s="626"/>
      <c r="CQ7" s="626"/>
      <c r="CR7" s="626"/>
      <c r="CS7" s="626"/>
      <c r="CT7" s="626"/>
      <c r="CU7" s="626"/>
      <c r="CV7" s="626"/>
      <c r="CW7" s="626"/>
      <c r="CX7" s="626"/>
      <c r="CY7" s="626"/>
      <c r="CZ7" s="626"/>
      <c r="DA7" s="626"/>
      <c r="DB7" s="626"/>
      <c r="DC7" s="626"/>
      <c r="DD7" s="626"/>
      <c r="DE7" s="626"/>
      <c r="DF7" s="626"/>
      <c r="DG7" s="626"/>
      <c r="DH7" s="626"/>
      <c r="DI7" s="626"/>
      <c r="DJ7" s="626"/>
      <c r="DK7" s="626"/>
      <c r="DL7" s="626"/>
      <c r="DM7" s="626"/>
      <c r="DN7" s="626"/>
      <c r="DO7" s="626"/>
      <c r="DP7" s="626"/>
    </row>
    <row r="8" spans="1:120" ht="39" customHeight="1">
      <c r="B8" s="1279" t="s">
        <v>1472</v>
      </c>
      <c r="C8" s="1280" t="s">
        <v>1473</v>
      </c>
      <c r="D8" s="1281" t="s">
        <v>1474</v>
      </c>
      <c r="E8" s="1282"/>
      <c r="F8" s="1283" t="s">
        <v>1475</v>
      </c>
      <c r="G8" s="1284" t="s">
        <v>1476</v>
      </c>
      <c r="H8" s="1285" t="s">
        <v>1477</v>
      </c>
      <c r="I8" s="1286" t="s">
        <v>1209</v>
      </c>
      <c r="J8" s="1283" t="s">
        <v>1478</v>
      </c>
      <c r="K8" s="1283" t="s">
        <v>1479</v>
      </c>
      <c r="L8" s="1287" t="s">
        <v>1480</v>
      </c>
      <c r="M8" s="1288" t="s">
        <v>1481</v>
      </c>
      <c r="N8" s="1289" t="s">
        <v>1482</v>
      </c>
      <c r="O8" s="1289" t="s">
        <v>598</v>
      </c>
      <c r="P8" s="1290" t="s">
        <v>1483</v>
      </c>
      <c r="Q8" s="1291" t="s">
        <v>1219</v>
      </c>
      <c r="R8" s="1292" t="s">
        <v>1484</v>
      </c>
      <c r="S8" s="1293" t="s">
        <v>1485</v>
      </c>
      <c r="T8" s="1294" t="s">
        <v>1486</v>
      </c>
      <c r="U8" s="1295" t="s">
        <v>1487</v>
      </c>
      <c r="V8" s="1293" t="s">
        <v>1250</v>
      </c>
      <c r="W8" s="1296" t="s">
        <v>1488</v>
      </c>
      <c r="X8" s="807"/>
      <c r="Y8" s="1297" t="s">
        <v>1489</v>
      </c>
      <c r="Z8" s="1298"/>
      <c r="AA8" s="1297" t="s">
        <v>1490</v>
      </c>
      <c r="AB8" s="1298"/>
      <c r="AC8" s="1297" t="s">
        <v>1491</v>
      </c>
      <c r="AD8" s="1299"/>
      <c r="AE8" s="1297" t="s">
        <v>1492</v>
      </c>
      <c r="AF8" s="1299"/>
      <c r="AG8" s="1297" t="s">
        <v>1493</v>
      </c>
      <c r="AH8" s="1299"/>
      <c r="AI8" s="1297" t="s">
        <v>1494</v>
      </c>
      <c r="AJ8" s="1299"/>
      <c r="AK8" s="1297" t="s">
        <v>1495</v>
      </c>
      <c r="AL8" s="1299"/>
      <c r="AM8" s="1297" t="s">
        <v>1496</v>
      </c>
      <c r="AN8" s="1299"/>
      <c r="AO8" s="1297" t="s">
        <v>1497</v>
      </c>
      <c r="AP8" s="1299"/>
      <c r="AQ8" s="626"/>
      <c r="AR8" s="1300" t="s">
        <v>1498</v>
      </c>
      <c r="AS8" s="1301" t="s">
        <v>1499</v>
      </c>
      <c r="AT8" s="1301" t="s">
        <v>1499</v>
      </c>
      <c r="AU8" s="1301" t="s">
        <v>1491</v>
      </c>
      <c r="AV8" s="1301" t="s">
        <v>1492</v>
      </c>
      <c r="AW8" s="1301" t="s">
        <v>1500</v>
      </c>
      <c r="AX8" s="1301" t="s">
        <v>1501</v>
      </c>
      <c r="AY8" s="1301" t="s">
        <v>1502</v>
      </c>
      <c r="AZ8" s="1301" t="s">
        <v>1503</v>
      </c>
      <c r="BA8" s="1301" t="s">
        <v>1504</v>
      </c>
      <c r="BB8" s="1302" t="s">
        <v>1505</v>
      </c>
      <c r="BC8" s="1303" t="s">
        <v>1498</v>
      </c>
      <c r="BD8" s="627" t="str">
        <f>Y8</f>
        <v>Vertical Stems</v>
      </c>
      <c r="BE8" s="627" t="str">
        <f>AA8</f>
        <v>Extended Beams</v>
      </c>
      <c r="BF8" s="627" t="s">
        <v>1491</v>
      </c>
      <c r="BG8" s="627" t="s">
        <v>1492</v>
      </c>
      <c r="BH8" s="627" t="s">
        <v>1500</v>
      </c>
      <c r="BI8" s="627" t="s">
        <v>1501</v>
      </c>
      <c r="BJ8" s="627" t="s">
        <v>1502</v>
      </c>
      <c r="BK8" s="627" t="s">
        <v>1503</v>
      </c>
      <c r="BL8" s="627" t="s">
        <v>1504</v>
      </c>
      <c r="BM8" s="1304" t="s">
        <v>1506</v>
      </c>
      <c r="BN8" s="627"/>
      <c r="BO8" s="627"/>
      <c r="BP8" s="627"/>
      <c r="BQ8" s="627"/>
      <c r="BR8" s="1305"/>
      <c r="BS8" s="626"/>
      <c r="BT8" s="626"/>
      <c r="BU8" s="626"/>
      <c r="BV8" s="626"/>
      <c r="BW8" s="626"/>
      <c r="BX8" s="626"/>
      <c r="BY8" s="626"/>
      <c r="BZ8" s="626"/>
      <c r="CA8" s="626"/>
      <c r="CB8" s="626"/>
      <c r="CC8" s="626"/>
      <c r="CD8" s="626"/>
      <c r="CE8" s="626"/>
      <c r="CF8" s="626"/>
      <c r="CG8" s="626"/>
      <c r="CH8" s="626"/>
      <c r="CI8" s="626"/>
      <c r="CJ8" s="626"/>
      <c r="CK8" s="626"/>
      <c r="CL8" s="626"/>
      <c r="CM8" s="3033" t="s">
        <v>1507</v>
      </c>
      <c r="CN8" s="3033"/>
      <c r="CO8" s="3033"/>
      <c r="CP8" s="3033"/>
      <c r="CQ8" s="3033"/>
      <c r="CR8" s="3033"/>
      <c r="CS8" s="3033"/>
      <c r="CT8" s="3033"/>
      <c r="CU8" s="3033"/>
      <c r="CV8" s="3033"/>
      <c r="CW8" s="3033"/>
      <c r="CX8" s="3033"/>
      <c r="CY8" s="3033"/>
      <c r="CZ8" s="3033"/>
      <c r="DA8" s="3033"/>
      <c r="DB8" s="3033"/>
      <c r="DC8" s="3033"/>
      <c r="DD8" s="3033"/>
      <c r="DE8" s="3033"/>
      <c r="DF8" s="1306"/>
      <c r="DG8" s="1306"/>
      <c r="DH8" s="1306"/>
      <c r="DI8" s="1306" t="s">
        <v>1508</v>
      </c>
      <c r="DJ8" s="1306"/>
      <c r="DK8" s="1306"/>
      <c r="DL8" s="1306"/>
      <c r="DM8" s="1306"/>
      <c r="DN8" s="1306"/>
      <c r="DO8" s="1306"/>
      <c r="DP8" s="1307"/>
    </row>
    <row r="9" spans="1:120" ht="19.5" customHeight="1">
      <c r="B9" s="1308"/>
      <c r="C9" s="1309" t="s">
        <v>1510</v>
      </c>
      <c r="D9" s="1310" t="s">
        <v>1511</v>
      </c>
      <c r="E9" s="1311"/>
      <c r="F9" s="1099"/>
      <c r="G9" s="1312" t="s">
        <v>1512</v>
      </c>
      <c r="H9" s="1313"/>
      <c r="I9" s="1314"/>
      <c r="J9" s="1099" t="s">
        <v>1513</v>
      </c>
      <c r="K9" s="1099"/>
      <c r="L9" s="1103" t="s">
        <v>1215</v>
      </c>
      <c r="M9" s="1315" t="s">
        <v>1514</v>
      </c>
      <c r="N9" s="1312" t="s">
        <v>1515</v>
      </c>
      <c r="O9" s="1312" t="s">
        <v>868</v>
      </c>
      <c r="P9" s="1316"/>
      <c r="Q9" s="1317"/>
      <c r="R9" s="1318"/>
      <c r="S9" s="1319"/>
      <c r="T9" s="3034" t="s">
        <v>1516</v>
      </c>
      <c r="U9" s="3034"/>
      <c r="V9" s="3034"/>
      <c r="W9" s="1104" t="s">
        <v>1517</v>
      </c>
      <c r="X9" s="1315" t="s">
        <v>1259</v>
      </c>
      <c r="Y9" s="1320" t="s">
        <v>1208</v>
      </c>
      <c r="Z9" s="1321" t="s">
        <v>1259</v>
      </c>
      <c r="AA9" s="1320" t="s">
        <v>1208</v>
      </c>
      <c r="AB9" s="1321" t="s">
        <v>1259</v>
      </c>
      <c r="AC9" s="1320" t="s">
        <v>1517</v>
      </c>
      <c r="AD9" s="1322" t="s">
        <v>1259</v>
      </c>
      <c r="AE9" s="1323" t="s">
        <v>1517</v>
      </c>
      <c r="AF9" s="1322" t="s">
        <v>1259</v>
      </c>
      <c r="AG9" s="1320" t="s">
        <v>1208</v>
      </c>
      <c r="AH9" s="1322" t="s">
        <v>1259</v>
      </c>
      <c r="AI9" s="1320" t="s">
        <v>1517</v>
      </c>
      <c r="AJ9" s="1322" t="s">
        <v>1259</v>
      </c>
      <c r="AK9" s="1323" t="s">
        <v>1517</v>
      </c>
      <c r="AL9" s="1322" t="s">
        <v>1259</v>
      </c>
      <c r="AM9" s="1320" t="s">
        <v>1208</v>
      </c>
      <c r="AN9" s="1322" t="s">
        <v>1259</v>
      </c>
      <c r="AO9" s="1320" t="s">
        <v>1208</v>
      </c>
      <c r="AP9" s="1322" t="s">
        <v>1259</v>
      </c>
      <c r="AQ9" s="626"/>
      <c r="AR9" s="1324"/>
      <c r="AS9" s="1325"/>
      <c r="AT9" s="1325"/>
      <c r="AU9" s="1325"/>
      <c r="AV9" s="1325"/>
      <c r="AW9" s="1325"/>
      <c r="AX9" s="1325"/>
      <c r="AY9" s="373"/>
      <c r="AZ9" s="1325"/>
      <c r="BA9" s="1325"/>
      <c r="BB9" s="1326"/>
      <c r="BC9" s="1327"/>
      <c r="BD9" s="1328"/>
      <c r="BE9" s="1328"/>
      <c r="BF9" s="1328"/>
      <c r="BG9" s="1328"/>
      <c r="BH9" s="1328"/>
      <c r="BI9" s="1328"/>
      <c r="BJ9" s="988"/>
      <c r="BK9" s="1328"/>
      <c r="BL9" s="1328"/>
      <c r="BM9" s="1329"/>
      <c r="BN9" s="627" t="s">
        <v>1385</v>
      </c>
      <c r="BO9" s="627" t="s">
        <v>1518</v>
      </c>
      <c r="BP9" s="627" t="s">
        <v>1519</v>
      </c>
      <c r="BQ9" s="627" t="s">
        <v>1520</v>
      </c>
      <c r="BR9" s="1305" t="s">
        <v>1521</v>
      </c>
      <c r="BS9" s="1330" t="s">
        <v>1374</v>
      </c>
      <c r="BT9" s="1331" t="s">
        <v>1375</v>
      </c>
      <c r="BU9" s="1331" t="s">
        <v>1376</v>
      </c>
      <c r="BV9" s="1331" t="s">
        <v>1377</v>
      </c>
      <c r="BW9" s="1331" t="s">
        <v>1378</v>
      </c>
      <c r="BX9" s="1331" t="s">
        <v>1522</v>
      </c>
      <c r="BY9" s="1331" t="s">
        <v>1523</v>
      </c>
      <c r="BZ9" s="1331" t="s">
        <v>1524</v>
      </c>
      <c r="CA9" s="1331" t="s">
        <v>1525</v>
      </c>
      <c r="CB9" s="1332" t="s">
        <v>1526</v>
      </c>
      <c r="CC9" s="1333" t="s">
        <v>1527</v>
      </c>
      <c r="CD9" s="1333" t="s">
        <v>1528</v>
      </c>
      <c r="CE9" s="1333" t="s">
        <v>1529</v>
      </c>
      <c r="CF9" s="1333" t="s">
        <v>1530</v>
      </c>
      <c r="CG9" s="1333" t="s">
        <v>1531</v>
      </c>
      <c r="CH9" s="1333" t="s">
        <v>1532</v>
      </c>
      <c r="CI9" s="1333" t="s">
        <v>1533</v>
      </c>
      <c r="CJ9" s="1333" t="s">
        <v>1513</v>
      </c>
      <c r="CK9" s="1333" t="s">
        <v>1534</v>
      </c>
      <c r="CL9" s="1333"/>
      <c r="CM9" s="1334" t="s">
        <v>1535</v>
      </c>
      <c r="CN9" s="1328" t="s">
        <v>1384</v>
      </c>
      <c r="CO9" s="1328" t="s">
        <v>1385</v>
      </c>
      <c r="CP9" s="1335" t="s">
        <v>1536</v>
      </c>
      <c r="CQ9" s="1336" t="s">
        <v>1537</v>
      </c>
      <c r="CR9" s="1336" t="s">
        <v>1538</v>
      </c>
      <c r="CS9" s="1336" t="s">
        <v>1539</v>
      </c>
      <c r="CT9" s="1337" t="s">
        <v>1307</v>
      </c>
      <c r="CU9" s="1338" t="s">
        <v>1159</v>
      </c>
      <c r="CV9" s="1338" t="s">
        <v>1540</v>
      </c>
      <c r="CW9" s="1328" t="s">
        <v>1541</v>
      </c>
      <c r="CX9" s="1328" t="s">
        <v>976</v>
      </c>
      <c r="CY9" s="1328" t="s">
        <v>1542</v>
      </c>
      <c r="CZ9" s="1328" t="s">
        <v>1543</v>
      </c>
      <c r="DA9" s="1328" t="s">
        <v>1544</v>
      </c>
      <c r="DB9" s="1328" t="s">
        <v>1545</v>
      </c>
      <c r="DC9" s="1328" t="s">
        <v>598</v>
      </c>
      <c r="DD9" s="1328" t="s">
        <v>1513</v>
      </c>
      <c r="DE9" s="1329" t="s">
        <v>1255</v>
      </c>
      <c r="DF9" s="749" t="s">
        <v>1486</v>
      </c>
      <c r="DG9" s="1339" t="str">
        <f>Y8</f>
        <v>Vertical Stems</v>
      </c>
      <c r="DH9" s="1339" t="str">
        <f>AA8</f>
        <v>Extended Beams</v>
      </c>
      <c r="DI9" s="1339" t="s">
        <v>1546</v>
      </c>
      <c r="DJ9" s="1339" t="s">
        <v>1547</v>
      </c>
      <c r="DK9" s="1339" t="s">
        <v>1548</v>
      </c>
      <c r="DL9" s="1339" t="s">
        <v>1549</v>
      </c>
      <c r="DM9" s="1339" t="s">
        <v>1550</v>
      </c>
      <c r="DN9" s="1339" t="s">
        <v>1551</v>
      </c>
      <c r="DO9" s="1339" t="s">
        <v>1552</v>
      </c>
      <c r="DP9" s="1340" t="s">
        <v>1418</v>
      </c>
    </row>
    <row r="10" spans="1:120" ht="19.5" customHeight="1">
      <c r="A10" s="18" t="s">
        <v>1068</v>
      </c>
      <c r="B10" s="1341"/>
      <c r="C10" s="1342"/>
      <c r="D10" s="1650"/>
      <c r="E10" s="1651"/>
      <c r="F10" s="1206"/>
      <c r="G10" s="1345"/>
      <c r="H10" s="1206"/>
      <c r="I10" s="1345"/>
      <c r="J10" s="1206"/>
      <c r="K10" s="1346"/>
      <c r="L10" s="1347"/>
      <c r="M10" s="1348"/>
      <c r="N10" s="1349"/>
      <c r="O10" s="1350"/>
      <c r="P10" s="1351">
        <f t="shared" ref="P10:P41" si="0">IF(BQ10=0,0,BN10/BQ10)</f>
        <v>0</v>
      </c>
      <c r="Q10" s="1352">
        <f t="shared" ref="Q10:Q41" si="1">(D10*F10/324)*(1+K$65)+BB10</f>
        <v>0</v>
      </c>
      <c r="R10" s="1353">
        <f t="shared" ref="R10:R41" si="2">IF(D10=0,0,S10/D10)</f>
        <v>0</v>
      </c>
      <c r="S10" s="1354" t="e">
        <f t="shared" ref="S10:S41" si="3">SUM(CM10-DE10)*(1+M$45)</f>
        <v>#DIV/0!</v>
      </c>
      <c r="T10" s="1355">
        <f t="shared" ref="T10:T41" si="4">CF10+CG10+CH10</f>
        <v>0</v>
      </c>
      <c r="U10" s="1356">
        <f t="shared" ref="U10:U41" si="5">IF(P10-(D10*0.35)&lt;0,0,P10-(D10*0.35))</f>
        <v>0</v>
      </c>
      <c r="V10" s="1357">
        <f t="shared" ref="V10:V41" si="6">IF(D10="",0,IF(D10/-30+Q10&lt;1,0,D10/-30+Q10))</f>
        <v>0</v>
      </c>
      <c r="W10" s="1347"/>
      <c r="X10" s="1358"/>
      <c r="Y10" s="1359"/>
      <c r="Z10" s="1360"/>
      <c r="AA10" s="1359"/>
      <c r="AB10" s="1360"/>
      <c r="AC10" s="1421"/>
      <c r="AD10" s="1652"/>
      <c r="AE10" s="503"/>
      <c r="AF10" s="1363"/>
      <c r="AG10" s="1367"/>
      <c r="AH10" s="1363"/>
      <c r="AI10" s="1653"/>
      <c r="AJ10" s="1366"/>
      <c r="AK10" s="1367"/>
      <c r="AL10" s="1363"/>
      <c r="AM10" s="1359"/>
      <c r="AN10" s="1368"/>
      <c r="AO10" s="1359"/>
      <c r="AP10" s="1360"/>
      <c r="AQ10" s="626"/>
      <c r="AR10" s="1369" t="str">
        <f t="shared" ref="AR10:AR41" si="7">IF(W10="","",LOOKUP(W10,$B$49:$B$59,$R$49:$R$59)*X10)</f>
        <v/>
      </c>
      <c r="AS10" s="1270" t="str">
        <f t="shared" ref="AS10:AS41" si="8">IF(Y10="","",LOOKUP(Y10,$B$49:$B$59,$R$49:$R$59)*Z10)</f>
        <v/>
      </c>
      <c r="AT10" s="1370" t="str">
        <f t="shared" ref="AT10:AT41" si="9">IF(AB10="","",LOOKUP(AA10,$B$49:$B$59,$R$49:$R$59)*AB10)</f>
        <v/>
      </c>
      <c r="AU10" s="1270" t="str">
        <f t="shared" ref="AU10:AU41" si="10">IF(AC10="","",LOOKUP(AC10,$B$49:$B$59,$R$49:$R$59)*AD10)</f>
        <v/>
      </c>
      <c r="AV10" s="1270" t="str">
        <f t="shared" ref="AV10:AV41" si="11">IF(AE10="","",LOOKUP(AE10,$B$49:$B$59,$R$49:$R$59)*AF10)</f>
        <v/>
      </c>
      <c r="AW10" s="1270" t="str">
        <f t="shared" ref="AW10:AW41" si="12">IF(AG10="","",LOOKUP(AG10,$B$49:$B$59,$R$49:$R$59)*AH10)</f>
        <v/>
      </c>
      <c r="AX10" s="1270" t="str">
        <f t="shared" ref="AX10:AX41" si="13">IF(AI10="","",LOOKUP(AI10,$B$49:$B$59,$R$49:$R$59)*AJ10)</f>
        <v/>
      </c>
      <c r="AY10" s="1270" t="str">
        <f t="shared" ref="AY10:AY41" si="14">IF(AK10="","",LOOKUP(AK10,$B$49:$B$59,$R$49:$R$59)*AL10)</f>
        <v/>
      </c>
      <c r="AZ10" s="1270" t="str">
        <f t="shared" ref="AZ10:AZ41" si="15">IF(AM10="","",LOOKUP(AM10,$B$49:$B$59,$R$49:$R$59)*AN10)</f>
        <v/>
      </c>
      <c r="BA10" s="1270" t="str">
        <f t="shared" ref="BA10:BA41" si="16">IF(AO10="","",LOOKUP(AO10,$B$49:$B$59,$R$49:$R$59)*AP10)</f>
        <v/>
      </c>
      <c r="BB10" s="1371">
        <f t="shared" ref="BB10:BB41" si="17">SUM(AR10:BA10)</f>
        <v>0</v>
      </c>
      <c r="BC10" s="1369" t="str">
        <f t="shared" ref="BC10:BC41" si="18">IF(W10="","",LOOKUP(W10,$B$49:$B$59,$P$49:$P$59)*X10)</f>
        <v/>
      </c>
      <c r="BD10" s="1270" t="str">
        <f t="shared" ref="BD10:BD41" si="19">IF(Y10="","",LOOKUP(Y10,$B$49:$B$59,$P$49:$P$59)*Z10)</f>
        <v/>
      </c>
      <c r="BE10" s="1270" t="str">
        <f t="shared" ref="BE10:BE41" si="20">IF(AA10="","",LOOKUP(AA10,$B$49:$B$59,$P$49:$P$59)*AB10)</f>
        <v/>
      </c>
      <c r="BF10" s="1270" t="str">
        <f t="shared" ref="BF10:BF41" si="21">IF(AC10="","",LOOKUP(AC10,$B$49:$B$59,$P$49:$P$59)*AD10)</f>
        <v/>
      </c>
      <c r="BG10" s="1270" t="str">
        <f t="shared" ref="BG10:BG41" si="22">IF(AE10="","",LOOKUP(AE10,$B$49:$B$59,$P$49:$P$59)*AF10)</f>
        <v/>
      </c>
      <c r="BH10" s="1270" t="str">
        <f t="shared" ref="BH10:BH41" si="23">IF(AG10="","",LOOKUP(AG10,$B$49:$B$59,$P$49:$P$59)*AH10)</f>
        <v/>
      </c>
      <c r="BI10" s="1270" t="str">
        <f t="shared" ref="BI10:BI41" si="24">IF(AI10="","",LOOKUP(AI10,$B$49:$B$59,$P$49:$P$59)*AJ10)</f>
        <v/>
      </c>
      <c r="BJ10" s="1270" t="str">
        <f t="shared" ref="BJ10:BJ41" si="25">IF(AK10="","",LOOKUP(AK10,$B$49:$B$59,$P$49:$P$59)*AL10)</f>
        <v/>
      </c>
      <c r="BK10" s="1270" t="str">
        <f t="shared" ref="BK10:BK41" si="26">IF(AM10="","",LOOKUP(AM10,$B$49:$B$59,$P$49:$P$59)*AN10)</f>
        <v/>
      </c>
      <c r="BL10" s="1270" t="str">
        <f t="shared" ref="BL10:BL41" si="27">IF(AO10="","",LOOKUP(AO10,$B$49:$B$59,$P$49:$P$59)*AP10)</f>
        <v/>
      </c>
      <c r="BM10" s="1371">
        <f t="shared" ref="BM10:BM41" si="28">SUM(BC10:BL10)*BQ10</f>
        <v>0</v>
      </c>
      <c r="BN10" s="1372">
        <f t="shared" ref="BN10:BN41" si="29">BM10+BO10</f>
        <v>0</v>
      </c>
      <c r="BO10" s="1373">
        <f t="shared" ref="BO10:BO41" si="30">IF(M10=0,0,(M10/12+M10/12)/(M10/12*M10/12)*D10*((L10/16*L10/16)*10.6870159))*(1+K$70)*BQ10</f>
        <v>0</v>
      </c>
      <c r="BP10" s="1372">
        <f t="shared" ref="BP10:BP41" si="31">IF(O10="Y",D10*(1+K$71)*BQ10,0)</f>
        <v>0</v>
      </c>
      <c r="BQ10" s="1374">
        <f t="shared" ref="BQ10:BQ41" si="32">G10</f>
        <v>0</v>
      </c>
      <c r="BR10" s="1251">
        <f t="shared" ref="BR10:BR41" si="33">IF(O10="y",D10,0)</f>
        <v>0</v>
      </c>
      <c r="BS10" s="1375">
        <f t="shared" ref="BS10:BS41" si="34">IF($I10=1,$Q10,0)*BQ10</f>
        <v>0</v>
      </c>
      <c r="BT10" s="1376">
        <f t="shared" ref="BT10:BT41" si="35">IF($I10=2,$Q10,0)*BQ10</f>
        <v>0</v>
      </c>
      <c r="BU10" s="1376">
        <f t="shared" ref="BU10:BU41" si="36">IF($I10=3,$Q10,0)*BQ10</f>
        <v>0</v>
      </c>
      <c r="BV10" s="1376">
        <f t="shared" ref="BV10:BV41" si="37">IF($I10=4,$Q10,0)*BQ10</f>
        <v>0</v>
      </c>
      <c r="BW10" s="1376">
        <f t="shared" ref="BW10:BW41" si="38">IF($I10=5,$Q10,0)*BQ10</f>
        <v>0</v>
      </c>
      <c r="BX10" s="1376">
        <f t="shared" ref="BX10:BX41" si="39">IF($I10=6,$Q10,0)*$BQ10</f>
        <v>0</v>
      </c>
      <c r="BY10" s="1376">
        <f t="shared" ref="BY10:BY41" si="40">IF($I10=7,$Q10,0)*$BQ10</f>
        <v>0</v>
      </c>
      <c r="BZ10" s="1376">
        <f t="shared" ref="BZ10:BZ41" si="41">IF($I10=8,$Q10,0)*$BQ10</f>
        <v>0</v>
      </c>
      <c r="CA10" s="1376">
        <f t="shared" ref="CA10:CA41" si="42">IF($I10=9,$Q10,0)*$BQ10</f>
        <v>0</v>
      </c>
      <c r="CB10" s="1377">
        <f t="shared" ref="CB10:CB41" si="43">IF($I10=10,$Q10,0)*$BQ10</f>
        <v>0</v>
      </c>
      <c r="CC10" s="1374">
        <f>SUM(BS10:BW10)</f>
        <v>0</v>
      </c>
      <c r="CD10" s="1374">
        <f t="shared" ref="CD10:CD41" si="44">IF(H10="N",0,D10)*BQ10</f>
        <v>0</v>
      </c>
      <c r="CE10" s="1374">
        <f t="shared" ref="CE10:CE41" si="45">K10*BQ10</f>
        <v>0</v>
      </c>
      <c r="CF10" s="1378">
        <f t="shared" ref="CF10:CF41" si="46">ROUND(IF(W10="",0,LOOKUP(W10,B$49:B$59,D$49:D$59)*X10/12),0)</f>
        <v>0</v>
      </c>
      <c r="CG10" s="1378">
        <f t="shared" ref="CG10:CG41" si="47">ROUND(IF(Y10="",0,LOOKUP(Y10,B$49:B$59,D$49:D$59)*Z10/12),0)</f>
        <v>0</v>
      </c>
      <c r="CH10" s="1378">
        <f t="shared" ref="CH10:CH41" si="48">ROUND(IF(AA10="",0,LOOKUP(AA10,B$49:B$59,D$49:D$59)*AB10/12),0)</f>
        <v>0</v>
      </c>
      <c r="CI10" s="1374">
        <f t="shared" ref="CI10:CI41" si="49">D10*BQ10</f>
        <v>0</v>
      </c>
      <c r="CJ10" s="1374">
        <f t="shared" ref="CJ10:CJ41" si="50">D10*J10/324*(1+K$73)*G10</f>
        <v>0</v>
      </c>
      <c r="CK10" s="1374" t="str">
        <f t="shared" ref="CK10:CK41" si="51">IF(N10="","",N10)</f>
        <v/>
      </c>
      <c r="CL10" s="1374">
        <f t="shared" ref="CL10:CL41" si="52">P10*BQ10</f>
        <v>0</v>
      </c>
      <c r="CM10" s="1379">
        <f t="shared" ref="CM10:CM41" si="53">IF(BQ10=0,0,SUM(CN10:DE10)/BQ10)</f>
        <v>0</v>
      </c>
      <c r="CN10" s="628">
        <f>(BS10*Pricing!F$3+BT10*Pricing!G$3+BU10*Pricing!H$3+BV10*Pricing!I$3+BW10*Pricing!J$3+BX10*Pricing!K$3+BY10*Pricing!L$3+BZ10*Pricing!M$3+CA10*Pricing!N$3+CB10*Pricing!O$3)*IF(W$44="N",(1+Y$44),1)</f>
        <v>0</v>
      </c>
      <c r="CO10" s="628">
        <f t="shared" ref="CO10:CO41" si="54">BN10*G$70*IF(W$44="n",1+Y$44,1)</f>
        <v>0</v>
      </c>
      <c r="CP10" s="1380">
        <f t="shared" ref="CP10:CP41" si="55">C10*D10</f>
        <v>0</v>
      </c>
      <c r="CQ10" s="628">
        <f t="shared" ref="CQ10:CQ41" si="56">IF(I$79=0,0,D10*(SUM(O$79:P$82)+O$85)/I$79*BQ10)</f>
        <v>0</v>
      </c>
      <c r="CR10" s="628">
        <f t="shared" ref="CR10:CR41" si="57">IF(CF10="",0,CF10*E$83)+IF(CG10="",0,CG10*E$83)+IF(CH10="",0,CH10*E$83)</f>
        <v>0</v>
      </c>
      <c r="CS10" s="628"/>
      <c r="CT10" s="1381">
        <f t="shared" ref="CT10:CT41" si="58">(U10/2000)*E$87</f>
        <v>0</v>
      </c>
      <c r="CU10" s="628">
        <f t="shared" ref="CU10:CU41" si="59">IF(I$79=0,0,D10*(O$88)/I$79*BQ10)</f>
        <v>0</v>
      </c>
      <c r="CV10" s="628">
        <f t="shared" ref="CV10:CV41" si="60">IF(D$42=0,0,SUM(O$91:P$94)/D$42*D10)*BQ10</f>
        <v>0</v>
      </c>
      <c r="CW10" s="628">
        <f t="shared" ref="CW10:CW41" si="61">IF(D$42=0,0,SUM(Z$66:Z$97)/D$42*D10*BQ10)</f>
        <v>0</v>
      </c>
      <c r="CX10" s="628">
        <f t="shared" ref="CX10:CX41" si="62">IF(D$42=0,0,SUM(O$96:P$101)/D$42*D10)*BQ10</f>
        <v>0</v>
      </c>
      <c r="CY10" s="628">
        <f t="shared" ref="CY10:CY41" si="63">IF(D$42=0,0,SUM(O$103:O$109)/D$42)*D10*BQ10</f>
        <v>0</v>
      </c>
      <c r="CZ10" s="628">
        <f t="shared" ref="CZ10:CZ41" si="64">IF(I$79=0,0,IF(I$79=0,0,SUM(Z$98:Z$109)/I$79*D10))</f>
        <v>0</v>
      </c>
      <c r="DA10" s="628">
        <f t="shared" ref="DA10:DA41" si="65">IF(J$72&gt;0,J$72/D$42*D10*G10,CD10*(G$72*IF(W$44="n",(1+Y$44),1)))</f>
        <v>0</v>
      </c>
      <c r="DB10" s="628">
        <f t="shared" ref="DB10:DB41" si="66">IF(CK10="",0,CK10*E$86)</f>
        <v>0</v>
      </c>
      <c r="DC10" s="628">
        <f t="shared" ref="DC10:DC41" si="67">BP10*G$71*IF(W$44="Y",1,1+Y$44)</f>
        <v>0</v>
      </c>
      <c r="DD10" s="628">
        <f t="shared" ref="DD10:DD41" si="68">CJ10*G$73*IF(W$44="Y",1,1+Y$44)</f>
        <v>0</v>
      </c>
      <c r="DE10" s="1382" t="e">
        <f t="shared" ref="DE10:DE41" si="69">O$110/I$79*D10</f>
        <v>#DIV/0!</v>
      </c>
      <c r="DF10" s="1383">
        <f t="shared" ref="DF10:DF41" si="70">IF(W10=1,X10*$AS$49,0)+IF(W10=2,X10*$AS$50,0)+IF(W10=3,X10*$AS$51,0)+IF(W10=4,X10*$AS$52,0)+IF(W10=5,X10*$AS$53,0)+IF(W10=6,X10*$AS$54)+IF(W10=7,X10*$AS$55)+IF(W10=8,X10*$AS$56)+IF(W10=9,X10*$AS$57)+IF(W10=10,X10*$AS$58)+IF(W10=11,X10*$AS$59,0)</f>
        <v>0</v>
      </c>
      <c r="DG10" s="1383">
        <f t="shared" ref="DG10:DG41" si="71">IF(Y10=1,Z10*$AS$49,0)+IF(Y10=2,Z10*$AS$50,0)+IF(Y10=3,Z10*$AS$51,0)+IF(Y10=4,Z10*$AS$52,0)+IF(Y10=5,Z10*$AS$53,0)+IF(Y10=6,Z10*$AS$54)+IF(Y10=7,Z10*$AS$55)+IF(Y10=8,Z10*$AS$56)+IF(Y10=9,Z10*$AS$57)+IF(Y10=10,Z10*$AS$58)+IF(Y10=11,Z10*$AS$59,0)</f>
        <v>0</v>
      </c>
      <c r="DH10" s="1383">
        <f t="shared" ref="DH10:DH41" si="72">IF(AA10=1,AB10*$AS$49,0)+IF(AA10=2,AB10*$AS$50,0)+IF(AA10=3,AB10*$AS$51,0)+IF(AA10=4,AB10*$AS$52,0)+IF(AA10=5,AB10*$AS$53,0)+IF(AA10=6,AB10*$AS$54)+IF(AA10=7,AB10*$AS$55)+IF(AA10=8,AB10*$AS$56)+IF(AA10=9,AB10*$AS$57)+IF(AA10=10,AB10*$AS$58)+IF(AA10=11,AB10*$AS$59,0)</f>
        <v>0</v>
      </c>
      <c r="DI10" s="1383">
        <f t="shared" ref="DI10:DI41" si="73">IF(AC10=1,AD10*$AS$49,0)+IF(AC10=2,AD10*$AS$50,0)+IF(AC10=3,AD10*$AS$51,0)+IF(AC10=4,AD10*$AS$52,0)+IF(AC10=5,AD10*$AS$53,0)+IF(AC10=6,AD10*$AS$54)+IF(AC10=7,AD10*$AS$55)+IF(AC10=8,AD10*$AS$56)+IF(AC10=9,AD10*$AS$57)+IF(AC10=10,AD10*$AS$58)+IF(AC10=11,AD10*$AS$59,0)</f>
        <v>0</v>
      </c>
      <c r="DJ10" s="1383">
        <f t="shared" ref="DJ10:DJ41" si="74">IF(AE10=1,AF10*$AS$49,0)+IF(AE10=2,AF10*$AS$50,0)+IF(AE10=3,AF10*$AS$51,0)+IF(AE10=4,AF10*$AS$52,0)+IF(AE10=5,AF10*$AS$53,0)+IF(AE10=6,AF10*$AS$54)+IF(AE10=7,AF10*$AS$55)+IF(AE10=8,AF10*$AS$56)+IF(AE10=9,AF10*$AS$57)+IF(AE10=10,AF10*$AS$58)+IF(AE10=11,AF10*$AS$59,0)</f>
        <v>0</v>
      </c>
      <c r="DK10" s="1383">
        <f t="shared" ref="DK10:DK41" si="75">IF(AG10=1,AH10*$AS$49,0)+IF(AG10=2,AH10*$AS$50,0)+IF(AG10=3,AH10*$AS$51,0)+IF(AG10=4,AH10*$AS$52,0)+IF(AG10=5,AH10*$AS$53,0)+IF(AG10=6,AH10*$AS$54)+IF(AG10=7,AH10*$AS$55)+IF(AG10=8,AH10*$AS$56)+IF(AG10=9,AH10*$AS$57)+IF(AG10=10,AH10*$AS$58)+IF(AG10=11,AH10*$AS$59,0)</f>
        <v>0</v>
      </c>
      <c r="DL10" s="1383">
        <f t="shared" ref="DL10:DL41" si="76">IF(AI10=1,AJ10*$AS$49,0)+IF(AI10=2,AJ10*$AS$50,0)+IF(AI10=3,AJ10*$AS$51,0)+IF(AI10=4,AJ10*$AS$52,0)+IF(AI10=5,AJ10*$AS$53,0)+IF(AI10=6,AJ10*$AS$54)+IF(AI10=7,AJ10*$AS$55)+IF(AI10=8,AJ10*$AS$56)+IF(AI10=9,AJ10*$AS$57)+IF(AI10=10,AJ10*$AS$58)+IF(AI10=11,AJ10*$AS$59,0)</f>
        <v>0</v>
      </c>
      <c r="DM10" s="1383">
        <f t="shared" ref="DM10:DM41" si="77">IF(AK10=1,AL10*$AS$49,0)+IF(AK10=2,AL10*$AS$50,0)+IF(AK10=3,AL10*$AS$51,0)+IF(AK10=4,AL10*$AS$52,0)+IF(AK10=5,AL10*$AS$53,0)+IF(AK10=6,AL10*$AS$54)+IF(AK10=7,AL10*$AS$55)+IF(AK10=8,AL10*$AS$56)+IF(AK10=9,AL10*$AS$57)+IF(AK10=10,AL10*$AS$58)+IF(AK10=11,AL10*$AS$59,0)</f>
        <v>0</v>
      </c>
      <c r="DN10" s="1383">
        <f t="shared" ref="DN10:DN41" si="78">IF(AM10=1,AN10*$AS$49,0)+IF(AM10=2,AN10*$AS$50,0)+IF(AM10=3,AN10*$AS$51,0)+IF(AM10=4,AN10*$AS$52,0)+IF(AM10=5,AN10*$AS$53,0)+IF(AM10=6,AN10*$AS$54)+IF(AM10=7,AN10*$AS$55)+IF(AM10=8,AN10*$AS$56)+IF(AM10=9,AN10*$AS$57)+IF(AM10=10,AN10*$AS$58)+IF(AM10=11,AN10*$AS$59,0)</f>
        <v>0</v>
      </c>
      <c r="DO10" s="1383">
        <f t="shared" ref="DO10:DO41" si="79">IF(AO10=1,AP10*$AS$49,0)+IF(AO10=2,AP10*$AS$50,0)+IF(AO10=3,AP10*$AS$51,0)+IF(AO10=4,AP10*$AS$52,0)+IF(AO10=5,AP10*$AS$53,0)+IF(AO10=6,AP10*$AS$54)+IF(AO10=7,AP10*$AS$55)+IF(AO10=8,AP10*$AS$56)+IF(AO10=9,AP10*$AS$57)+IF(AO10=10,AP10*$AS$58)+IF(AO10=11,AP10*$AS$59,0)</f>
        <v>0</v>
      </c>
      <c r="DP10" s="1384">
        <f t="shared" ref="DP10:DP41" si="80">D10</f>
        <v>0</v>
      </c>
    </row>
    <row r="11" spans="1:120" ht="19.5" customHeight="1">
      <c r="A11" s="18" t="s">
        <v>1069</v>
      </c>
      <c r="B11" s="1385"/>
      <c r="C11" s="1386"/>
      <c r="D11" s="1654"/>
      <c r="E11" s="1655"/>
      <c r="F11" s="984"/>
      <c r="G11" s="1389"/>
      <c r="H11" s="984"/>
      <c r="I11" s="1389"/>
      <c r="J11" s="984"/>
      <c r="K11" s="1390"/>
      <c r="L11" s="1391"/>
      <c r="M11" s="1392"/>
      <c r="N11" s="1393"/>
      <c r="O11" s="1394"/>
      <c r="P11" s="1351">
        <f t="shared" si="0"/>
        <v>0</v>
      </c>
      <c r="Q11" s="1352">
        <f t="shared" si="1"/>
        <v>0</v>
      </c>
      <c r="R11" s="1353">
        <f t="shared" si="2"/>
        <v>0</v>
      </c>
      <c r="S11" s="1354" t="e">
        <f t="shared" si="3"/>
        <v>#DIV/0!</v>
      </c>
      <c r="T11" s="1355">
        <f t="shared" si="4"/>
        <v>0</v>
      </c>
      <c r="U11" s="1356">
        <f t="shared" si="5"/>
        <v>0</v>
      </c>
      <c r="V11" s="1357">
        <f t="shared" si="6"/>
        <v>0</v>
      </c>
      <c r="W11" s="1395"/>
      <c r="X11" s="1396"/>
      <c r="Y11" s="1395"/>
      <c r="Z11" s="1397"/>
      <c r="AA11" s="1395"/>
      <c r="AB11" s="1397"/>
      <c r="AC11" s="1398"/>
      <c r="AD11" s="1656"/>
      <c r="AE11" s="1395"/>
      <c r="AF11" s="1399"/>
      <c r="AG11" s="1400"/>
      <c r="AH11" s="1399"/>
      <c r="AI11" s="1401"/>
      <c r="AJ11" s="1396"/>
      <c r="AK11" s="1401"/>
      <c r="AL11" s="1399"/>
      <c r="AM11" s="1395"/>
      <c r="AN11" s="1402"/>
      <c r="AO11" s="1395"/>
      <c r="AP11" s="1397"/>
      <c r="AQ11" s="626"/>
      <c r="AR11" s="1369" t="str">
        <f t="shared" si="7"/>
        <v/>
      </c>
      <c r="AS11" s="1270" t="str">
        <f t="shared" si="8"/>
        <v/>
      </c>
      <c r="AT11" s="1270" t="str">
        <f t="shared" si="9"/>
        <v/>
      </c>
      <c r="AU11" s="1270" t="str">
        <f t="shared" si="10"/>
        <v/>
      </c>
      <c r="AV11" s="1270" t="str">
        <f t="shared" si="11"/>
        <v/>
      </c>
      <c r="AW11" s="1270" t="str">
        <f t="shared" si="12"/>
        <v/>
      </c>
      <c r="AX11" s="1270" t="str">
        <f t="shared" si="13"/>
        <v/>
      </c>
      <c r="AY11" s="1270" t="str">
        <f t="shared" si="14"/>
        <v/>
      </c>
      <c r="AZ11" s="1270" t="str">
        <f t="shared" si="15"/>
        <v/>
      </c>
      <c r="BA11" s="1270" t="str">
        <f t="shared" si="16"/>
        <v/>
      </c>
      <c r="BB11" s="1371">
        <f t="shared" si="17"/>
        <v>0</v>
      </c>
      <c r="BC11" s="1369" t="str">
        <f t="shared" si="18"/>
        <v/>
      </c>
      <c r="BD11" s="1270" t="str">
        <f t="shared" si="19"/>
        <v/>
      </c>
      <c r="BE11" s="1270" t="str">
        <f t="shared" si="20"/>
        <v/>
      </c>
      <c r="BF11" s="1270" t="str">
        <f t="shared" si="21"/>
        <v/>
      </c>
      <c r="BG11" s="1270" t="str">
        <f t="shared" si="22"/>
        <v/>
      </c>
      <c r="BH11" s="1270" t="str">
        <f t="shared" si="23"/>
        <v/>
      </c>
      <c r="BI11" s="1270" t="str">
        <f t="shared" si="24"/>
        <v/>
      </c>
      <c r="BJ11" s="1270" t="str">
        <f t="shared" si="25"/>
        <v/>
      </c>
      <c r="BK11" s="1270" t="str">
        <f t="shared" si="26"/>
        <v/>
      </c>
      <c r="BL11" s="1270" t="str">
        <f t="shared" si="27"/>
        <v/>
      </c>
      <c r="BM11" s="1371">
        <f t="shared" si="28"/>
        <v>0</v>
      </c>
      <c r="BN11" s="1372">
        <f t="shared" si="29"/>
        <v>0</v>
      </c>
      <c r="BO11" s="1372">
        <f t="shared" si="30"/>
        <v>0</v>
      </c>
      <c r="BP11" s="1372">
        <f t="shared" si="31"/>
        <v>0</v>
      </c>
      <c r="BQ11" s="1374">
        <f t="shared" si="32"/>
        <v>0</v>
      </c>
      <c r="BR11" s="1251">
        <f t="shared" si="33"/>
        <v>0</v>
      </c>
      <c r="BS11" s="1403">
        <f t="shared" si="34"/>
        <v>0</v>
      </c>
      <c r="BT11" s="1372">
        <f t="shared" si="35"/>
        <v>0</v>
      </c>
      <c r="BU11" s="1372">
        <f t="shared" si="36"/>
        <v>0</v>
      </c>
      <c r="BV11" s="1372">
        <f t="shared" si="37"/>
        <v>0</v>
      </c>
      <c r="BW11" s="1372">
        <f t="shared" si="38"/>
        <v>0</v>
      </c>
      <c r="BX11" s="1372">
        <f t="shared" si="39"/>
        <v>0</v>
      </c>
      <c r="BY11" s="1372">
        <f t="shared" si="40"/>
        <v>0</v>
      </c>
      <c r="BZ11" s="1372">
        <f t="shared" si="41"/>
        <v>0</v>
      </c>
      <c r="CA11" s="1372">
        <f t="shared" si="42"/>
        <v>0</v>
      </c>
      <c r="CB11" s="1404">
        <f t="shared" si="43"/>
        <v>0</v>
      </c>
      <c r="CC11" s="1374">
        <f t="shared" ref="CC11:CC41" si="81">SUM(BS11:BX11)</f>
        <v>0</v>
      </c>
      <c r="CD11" s="1374">
        <f t="shared" si="44"/>
        <v>0</v>
      </c>
      <c r="CE11" s="1374">
        <f t="shared" si="45"/>
        <v>0</v>
      </c>
      <c r="CF11" s="1378">
        <f t="shared" si="46"/>
        <v>0</v>
      </c>
      <c r="CG11" s="1378">
        <f t="shared" si="47"/>
        <v>0</v>
      </c>
      <c r="CH11" s="1378">
        <f t="shared" si="48"/>
        <v>0</v>
      </c>
      <c r="CI11" s="1374">
        <f t="shared" si="49"/>
        <v>0</v>
      </c>
      <c r="CJ11" s="1374">
        <f t="shared" si="50"/>
        <v>0</v>
      </c>
      <c r="CK11" s="1374" t="str">
        <f t="shared" si="51"/>
        <v/>
      </c>
      <c r="CL11" s="1374">
        <f t="shared" si="52"/>
        <v>0</v>
      </c>
      <c r="CM11" s="1379">
        <f t="shared" si="53"/>
        <v>0</v>
      </c>
      <c r="CN11" s="628">
        <f>(BS11*Pricing!F$3+BT11*Pricing!G$3+BU11*Pricing!H$3+BV11*Pricing!I$3+BW11*Pricing!J$3+BX11*Pricing!K$3+BY11*Pricing!L$3+BZ11*Pricing!M$3+CA11*Pricing!N$3+CB11*Pricing!O$3)*IF(W$44="N",(1+Y$44),1)</f>
        <v>0</v>
      </c>
      <c r="CO11" s="628">
        <f t="shared" si="54"/>
        <v>0</v>
      </c>
      <c r="CP11" s="1380">
        <f t="shared" si="55"/>
        <v>0</v>
      </c>
      <c r="CQ11" s="628">
        <f t="shared" si="56"/>
        <v>0</v>
      </c>
      <c r="CR11" s="628">
        <f t="shared" si="57"/>
        <v>0</v>
      </c>
      <c r="CS11" s="628"/>
      <c r="CT11" s="1381">
        <f t="shared" si="58"/>
        <v>0</v>
      </c>
      <c r="CU11" s="628">
        <f t="shared" si="59"/>
        <v>0</v>
      </c>
      <c r="CV11" s="628">
        <f t="shared" si="60"/>
        <v>0</v>
      </c>
      <c r="CW11" s="628">
        <f t="shared" si="61"/>
        <v>0</v>
      </c>
      <c r="CX11" s="628">
        <f t="shared" si="62"/>
        <v>0</v>
      </c>
      <c r="CY11" s="628">
        <f t="shared" si="63"/>
        <v>0</v>
      </c>
      <c r="CZ11" s="628">
        <f t="shared" si="64"/>
        <v>0</v>
      </c>
      <c r="DA11" s="628">
        <f t="shared" si="65"/>
        <v>0</v>
      </c>
      <c r="DB11" s="628">
        <f t="shared" si="66"/>
        <v>0</v>
      </c>
      <c r="DC11" s="628">
        <f t="shared" si="67"/>
        <v>0</v>
      </c>
      <c r="DD11" s="628">
        <f t="shared" si="68"/>
        <v>0</v>
      </c>
      <c r="DE11" s="1382" t="e">
        <f t="shared" si="69"/>
        <v>#DIV/0!</v>
      </c>
      <c r="DF11" s="626">
        <f t="shared" si="70"/>
        <v>0</v>
      </c>
      <c r="DG11" s="626">
        <f t="shared" si="71"/>
        <v>0</v>
      </c>
      <c r="DH11" s="626">
        <f t="shared" si="72"/>
        <v>0</v>
      </c>
      <c r="DI11" s="626">
        <f t="shared" si="73"/>
        <v>0</v>
      </c>
      <c r="DJ11" s="626">
        <f t="shared" si="74"/>
        <v>0</v>
      </c>
      <c r="DK11" s="626">
        <f t="shared" si="75"/>
        <v>0</v>
      </c>
      <c r="DL11" s="626">
        <f t="shared" si="76"/>
        <v>0</v>
      </c>
      <c r="DM11" s="626">
        <f t="shared" si="77"/>
        <v>0</v>
      </c>
      <c r="DN11" s="626">
        <f t="shared" si="78"/>
        <v>0</v>
      </c>
      <c r="DO11" s="626">
        <f t="shared" si="79"/>
        <v>0</v>
      </c>
      <c r="DP11" s="1405">
        <f t="shared" si="80"/>
        <v>0</v>
      </c>
    </row>
    <row r="12" spans="1:120" ht="19.5" customHeight="1">
      <c r="A12" s="18" t="s">
        <v>1070</v>
      </c>
      <c r="B12" s="1341"/>
      <c r="C12" s="1386"/>
      <c r="D12" s="1657"/>
      <c r="E12" s="1658"/>
      <c r="F12" s="984"/>
      <c r="G12" s="1389"/>
      <c r="H12" s="984"/>
      <c r="I12" s="1389"/>
      <c r="J12" s="984"/>
      <c r="K12" s="1390"/>
      <c r="L12" s="1359"/>
      <c r="M12" s="1348"/>
      <c r="N12" s="1406"/>
      <c r="O12" s="1407"/>
      <c r="P12" s="1351">
        <f t="shared" si="0"/>
        <v>0</v>
      </c>
      <c r="Q12" s="1352">
        <f t="shared" si="1"/>
        <v>0</v>
      </c>
      <c r="R12" s="1353">
        <f t="shared" si="2"/>
        <v>0</v>
      </c>
      <c r="S12" s="1354" t="e">
        <f t="shared" si="3"/>
        <v>#DIV/0!</v>
      </c>
      <c r="T12" s="1355">
        <f t="shared" si="4"/>
        <v>0</v>
      </c>
      <c r="U12" s="1356">
        <f t="shared" si="5"/>
        <v>0</v>
      </c>
      <c r="V12" s="1357">
        <f t="shared" si="6"/>
        <v>0</v>
      </c>
      <c r="W12" s="1347"/>
      <c r="X12" s="1366"/>
      <c r="Y12" s="1347"/>
      <c r="Z12" s="1360"/>
      <c r="AA12" s="1347"/>
      <c r="AB12" s="1360"/>
      <c r="AC12" s="1361"/>
      <c r="AD12" s="1366"/>
      <c r="AE12" s="1347"/>
      <c r="AF12" s="1409"/>
      <c r="AG12" s="1364"/>
      <c r="AH12" s="1363"/>
      <c r="AI12" s="1653"/>
      <c r="AJ12" s="1366"/>
      <c r="AK12" s="1408"/>
      <c r="AL12" s="1409"/>
      <c r="AM12" s="1347"/>
      <c r="AN12" s="1368"/>
      <c r="AO12" s="1347"/>
      <c r="AP12" s="1360"/>
      <c r="AQ12" s="626"/>
      <c r="AR12" s="1369" t="str">
        <f t="shared" si="7"/>
        <v/>
      </c>
      <c r="AS12" s="1270" t="str">
        <f t="shared" si="8"/>
        <v/>
      </c>
      <c r="AT12" s="1270" t="str">
        <f t="shared" si="9"/>
        <v/>
      </c>
      <c r="AU12" s="1270" t="str">
        <f t="shared" si="10"/>
        <v/>
      </c>
      <c r="AV12" s="1270" t="str">
        <f t="shared" si="11"/>
        <v/>
      </c>
      <c r="AW12" s="1270" t="str">
        <f t="shared" si="12"/>
        <v/>
      </c>
      <c r="AX12" s="1270" t="str">
        <f t="shared" si="13"/>
        <v/>
      </c>
      <c r="AY12" s="1270" t="str">
        <f t="shared" si="14"/>
        <v/>
      </c>
      <c r="AZ12" s="1270" t="str">
        <f t="shared" si="15"/>
        <v/>
      </c>
      <c r="BA12" s="1270" t="str">
        <f t="shared" si="16"/>
        <v/>
      </c>
      <c r="BB12" s="1371">
        <f t="shared" si="17"/>
        <v>0</v>
      </c>
      <c r="BC12" s="1369" t="str">
        <f t="shared" si="18"/>
        <v/>
      </c>
      <c r="BD12" s="1270" t="str">
        <f t="shared" si="19"/>
        <v/>
      </c>
      <c r="BE12" s="1270" t="str">
        <f t="shared" si="20"/>
        <v/>
      </c>
      <c r="BF12" s="1270" t="str">
        <f t="shared" si="21"/>
        <v/>
      </c>
      <c r="BG12" s="1270" t="str">
        <f t="shared" si="22"/>
        <v/>
      </c>
      <c r="BH12" s="1270" t="str">
        <f t="shared" si="23"/>
        <v/>
      </c>
      <c r="BI12" s="1270" t="str">
        <f t="shared" si="24"/>
        <v/>
      </c>
      <c r="BJ12" s="1270" t="str">
        <f t="shared" si="25"/>
        <v/>
      </c>
      <c r="BK12" s="1270" t="str">
        <f t="shared" si="26"/>
        <v/>
      </c>
      <c r="BL12" s="1270" t="str">
        <f t="shared" si="27"/>
        <v/>
      </c>
      <c r="BM12" s="1371">
        <f t="shared" si="28"/>
        <v>0</v>
      </c>
      <c r="BN12" s="1372">
        <f t="shared" si="29"/>
        <v>0</v>
      </c>
      <c r="BO12" s="1372">
        <f t="shared" si="30"/>
        <v>0</v>
      </c>
      <c r="BP12" s="1372">
        <f t="shared" si="31"/>
        <v>0</v>
      </c>
      <c r="BQ12" s="1374">
        <f t="shared" si="32"/>
        <v>0</v>
      </c>
      <c r="BR12" s="1251">
        <f t="shared" si="33"/>
        <v>0</v>
      </c>
      <c r="BS12" s="1403">
        <f t="shared" si="34"/>
        <v>0</v>
      </c>
      <c r="BT12" s="1372">
        <f t="shared" si="35"/>
        <v>0</v>
      </c>
      <c r="BU12" s="1372">
        <f t="shared" si="36"/>
        <v>0</v>
      </c>
      <c r="BV12" s="1372">
        <f t="shared" si="37"/>
        <v>0</v>
      </c>
      <c r="BW12" s="1372">
        <f t="shared" si="38"/>
        <v>0</v>
      </c>
      <c r="BX12" s="1372">
        <f t="shared" si="39"/>
        <v>0</v>
      </c>
      <c r="BY12" s="1372">
        <f t="shared" si="40"/>
        <v>0</v>
      </c>
      <c r="BZ12" s="1372">
        <f t="shared" si="41"/>
        <v>0</v>
      </c>
      <c r="CA12" s="1372">
        <f t="shared" si="42"/>
        <v>0</v>
      </c>
      <c r="CB12" s="1404">
        <f t="shared" si="43"/>
        <v>0</v>
      </c>
      <c r="CC12" s="1374">
        <f t="shared" si="81"/>
        <v>0</v>
      </c>
      <c r="CD12" s="1374">
        <f t="shared" si="44"/>
        <v>0</v>
      </c>
      <c r="CE12" s="1374">
        <f t="shared" si="45"/>
        <v>0</v>
      </c>
      <c r="CF12" s="1378">
        <f t="shared" si="46"/>
        <v>0</v>
      </c>
      <c r="CG12" s="1378">
        <f t="shared" si="47"/>
        <v>0</v>
      </c>
      <c r="CH12" s="1378">
        <f t="shared" si="48"/>
        <v>0</v>
      </c>
      <c r="CI12" s="1374">
        <f t="shared" si="49"/>
        <v>0</v>
      </c>
      <c r="CJ12" s="1374">
        <f t="shared" si="50"/>
        <v>0</v>
      </c>
      <c r="CK12" s="1374" t="str">
        <f t="shared" si="51"/>
        <v/>
      </c>
      <c r="CL12" s="1374">
        <f t="shared" si="52"/>
        <v>0</v>
      </c>
      <c r="CM12" s="1379">
        <f t="shared" si="53"/>
        <v>0</v>
      </c>
      <c r="CN12" s="628">
        <f>(BS12*Pricing!F$3+BT12*Pricing!G$3+BU12*Pricing!H$3+BV12*Pricing!I$3+BW12*Pricing!J$3+BX12*Pricing!K$3+BY12*Pricing!L$3+BZ12*Pricing!M$3+CA12*Pricing!N$3+CB12*Pricing!O$3)*IF(W$44="N",(1+Y$44),1)</f>
        <v>0</v>
      </c>
      <c r="CO12" s="628">
        <f t="shared" si="54"/>
        <v>0</v>
      </c>
      <c r="CP12" s="1380">
        <f t="shared" si="55"/>
        <v>0</v>
      </c>
      <c r="CQ12" s="628">
        <f t="shared" si="56"/>
        <v>0</v>
      </c>
      <c r="CR12" s="628">
        <f t="shared" si="57"/>
        <v>0</v>
      </c>
      <c r="CS12" s="628"/>
      <c r="CT12" s="1381">
        <f t="shared" si="58"/>
        <v>0</v>
      </c>
      <c r="CU12" s="628">
        <f t="shared" si="59"/>
        <v>0</v>
      </c>
      <c r="CV12" s="628">
        <f t="shared" si="60"/>
        <v>0</v>
      </c>
      <c r="CW12" s="628">
        <f t="shared" si="61"/>
        <v>0</v>
      </c>
      <c r="CX12" s="628">
        <f t="shared" si="62"/>
        <v>0</v>
      </c>
      <c r="CY12" s="628">
        <f t="shared" si="63"/>
        <v>0</v>
      </c>
      <c r="CZ12" s="628">
        <f t="shared" si="64"/>
        <v>0</v>
      </c>
      <c r="DA12" s="628">
        <f t="shared" si="65"/>
        <v>0</v>
      </c>
      <c r="DB12" s="628">
        <f t="shared" si="66"/>
        <v>0</v>
      </c>
      <c r="DC12" s="628">
        <f t="shared" si="67"/>
        <v>0</v>
      </c>
      <c r="DD12" s="628">
        <f t="shared" si="68"/>
        <v>0</v>
      </c>
      <c r="DE12" s="1382" t="e">
        <f t="shared" si="69"/>
        <v>#DIV/0!</v>
      </c>
      <c r="DF12" s="626">
        <f t="shared" si="70"/>
        <v>0</v>
      </c>
      <c r="DG12" s="626">
        <f t="shared" si="71"/>
        <v>0</v>
      </c>
      <c r="DH12" s="626">
        <f t="shared" si="72"/>
        <v>0</v>
      </c>
      <c r="DI12" s="626">
        <f t="shared" si="73"/>
        <v>0</v>
      </c>
      <c r="DJ12" s="626">
        <f t="shared" si="74"/>
        <v>0</v>
      </c>
      <c r="DK12" s="626">
        <f t="shared" si="75"/>
        <v>0</v>
      </c>
      <c r="DL12" s="626">
        <f t="shared" si="76"/>
        <v>0</v>
      </c>
      <c r="DM12" s="626">
        <f t="shared" si="77"/>
        <v>0</v>
      </c>
      <c r="DN12" s="626">
        <f t="shared" si="78"/>
        <v>0</v>
      </c>
      <c r="DO12" s="626">
        <f t="shared" si="79"/>
        <v>0</v>
      </c>
      <c r="DP12" s="1405">
        <f t="shared" si="80"/>
        <v>0</v>
      </c>
    </row>
    <row r="13" spans="1:120" ht="19.5" customHeight="1">
      <c r="A13" s="18" t="s">
        <v>1071</v>
      </c>
      <c r="B13" s="1385"/>
      <c r="C13" s="1386"/>
      <c r="D13" s="1654"/>
      <c r="E13" s="1655"/>
      <c r="F13" s="984"/>
      <c r="G13" s="1389"/>
      <c r="H13" s="984"/>
      <c r="I13" s="1389"/>
      <c r="J13" s="984"/>
      <c r="K13" s="1390"/>
      <c r="L13" s="1391"/>
      <c r="M13" s="1392"/>
      <c r="N13" s="1393"/>
      <c r="O13" s="1394"/>
      <c r="P13" s="1351">
        <f t="shared" si="0"/>
        <v>0</v>
      </c>
      <c r="Q13" s="1352">
        <f t="shared" si="1"/>
        <v>0</v>
      </c>
      <c r="R13" s="1353">
        <f t="shared" si="2"/>
        <v>0</v>
      </c>
      <c r="S13" s="1354" t="e">
        <f t="shared" si="3"/>
        <v>#DIV/0!</v>
      </c>
      <c r="T13" s="1355">
        <f t="shared" si="4"/>
        <v>0</v>
      </c>
      <c r="U13" s="1356">
        <f t="shared" si="5"/>
        <v>0</v>
      </c>
      <c r="V13" s="1357">
        <f t="shared" si="6"/>
        <v>0</v>
      </c>
      <c r="W13" s="1395"/>
      <c r="X13" s="1396"/>
      <c r="Y13" s="1395"/>
      <c r="Z13" s="1397"/>
      <c r="AA13" s="1395"/>
      <c r="AB13" s="1397"/>
      <c r="AC13" s="1398"/>
      <c r="AD13" s="1396"/>
      <c r="AE13" s="1395"/>
      <c r="AF13" s="1399"/>
      <c r="AG13" s="1400"/>
      <c r="AH13" s="1399"/>
      <c r="AI13" s="1401"/>
      <c r="AJ13" s="1396"/>
      <c r="AK13" s="1401"/>
      <c r="AL13" s="1399"/>
      <c r="AM13" s="1395"/>
      <c r="AN13" s="1402"/>
      <c r="AO13" s="1395"/>
      <c r="AP13" s="1397"/>
      <c r="AQ13" s="626"/>
      <c r="AR13" s="1369" t="str">
        <f t="shared" si="7"/>
        <v/>
      </c>
      <c r="AS13" s="1270" t="str">
        <f t="shared" si="8"/>
        <v/>
      </c>
      <c r="AT13" s="1270" t="str">
        <f t="shared" si="9"/>
        <v/>
      </c>
      <c r="AU13" s="1270" t="str">
        <f t="shared" si="10"/>
        <v/>
      </c>
      <c r="AV13" s="1270" t="str">
        <f t="shared" si="11"/>
        <v/>
      </c>
      <c r="AW13" s="1270" t="str">
        <f t="shared" si="12"/>
        <v/>
      </c>
      <c r="AX13" s="1270" t="str">
        <f t="shared" si="13"/>
        <v/>
      </c>
      <c r="AY13" s="1270" t="str">
        <f t="shared" si="14"/>
        <v/>
      </c>
      <c r="AZ13" s="1270" t="str">
        <f t="shared" si="15"/>
        <v/>
      </c>
      <c r="BA13" s="1270" t="str">
        <f t="shared" si="16"/>
        <v/>
      </c>
      <c r="BB13" s="1371">
        <f t="shared" si="17"/>
        <v>0</v>
      </c>
      <c r="BC13" s="1369" t="str">
        <f t="shared" si="18"/>
        <v/>
      </c>
      <c r="BD13" s="1270" t="str">
        <f t="shared" si="19"/>
        <v/>
      </c>
      <c r="BE13" s="1270" t="str">
        <f t="shared" si="20"/>
        <v/>
      </c>
      <c r="BF13" s="1270" t="str">
        <f t="shared" si="21"/>
        <v/>
      </c>
      <c r="BG13" s="1270" t="str">
        <f t="shared" si="22"/>
        <v/>
      </c>
      <c r="BH13" s="1270" t="str">
        <f t="shared" si="23"/>
        <v/>
      </c>
      <c r="BI13" s="1270" t="str">
        <f t="shared" si="24"/>
        <v/>
      </c>
      <c r="BJ13" s="1270" t="str">
        <f t="shared" si="25"/>
        <v/>
      </c>
      <c r="BK13" s="1270" t="str">
        <f t="shared" si="26"/>
        <v/>
      </c>
      <c r="BL13" s="1270" t="str">
        <f t="shared" si="27"/>
        <v/>
      </c>
      <c r="BM13" s="1371">
        <f t="shared" si="28"/>
        <v>0</v>
      </c>
      <c r="BN13" s="1372">
        <f t="shared" si="29"/>
        <v>0</v>
      </c>
      <c r="BO13" s="1372">
        <f t="shared" si="30"/>
        <v>0</v>
      </c>
      <c r="BP13" s="1372">
        <f t="shared" si="31"/>
        <v>0</v>
      </c>
      <c r="BQ13" s="1374">
        <f t="shared" si="32"/>
        <v>0</v>
      </c>
      <c r="BR13" s="1251">
        <f t="shared" si="33"/>
        <v>0</v>
      </c>
      <c r="BS13" s="1403">
        <f t="shared" si="34"/>
        <v>0</v>
      </c>
      <c r="BT13" s="1372">
        <f t="shared" si="35"/>
        <v>0</v>
      </c>
      <c r="BU13" s="1372">
        <f t="shared" si="36"/>
        <v>0</v>
      </c>
      <c r="BV13" s="1372">
        <f t="shared" si="37"/>
        <v>0</v>
      </c>
      <c r="BW13" s="1372">
        <f t="shared" si="38"/>
        <v>0</v>
      </c>
      <c r="BX13" s="1372">
        <f t="shared" si="39"/>
        <v>0</v>
      </c>
      <c r="BY13" s="1372">
        <f t="shared" si="40"/>
        <v>0</v>
      </c>
      <c r="BZ13" s="1372">
        <f t="shared" si="41"/>
        <v>0</v>
      </c>
      <c r="CA13" s="1372">
        <f t="shared" si="42"/>
        <v>0</v>
      </c>
      <c r="CB13" s="1404">
        <f t="shared" si="43"/>
        <v>0</v>
      </c>
      <c r="CC13" s="1374">
        <f t="shared" si="81"/>
        <v>0</v>
      </c>
      <c r="CD13" s="1374">
        <f t="shared" si="44"/>
        <v>0</v>
      </c>
      <c r="CE13" s="1374">
        <f t="shared" si="45"/>
        <v>0</v>
      </c>
      <c r="CF13" s="1378">
        <f t="shared" si="46"/>
        <v>0</v>
      </c>
      <c r="CG13" s="1378">
        <f t="shared" si="47"/>
        <v>0</v>
      </c>
      <c r="CH13" s="1378">
        <f t="shared" si="48"/>
        <v>0</v>
      </c>
      <c r="CI13" s="1374">
        <f t="shared" si="49"/>
        <v>0</v>
      </c>
      <c r="CJ13" s="1374">
        <f t="shared" si="50"/>
        <v>0</v>
      </c>
      <c r="CK13" s="1374" t="str">
        <f t="shared" si="51"/>
        <v/>
      </c>
      <c r="CL13" s="1374">
        <f t="shared" si="52"/>
        <v>0</v>
      </c>
      <c r="CM13" s="1379">
        <f t="shared" si="53"/>
        <v>0</v>
      </c>
      <c r="CN13" s="628">
        <f>(BS13*Pricing!F$3+BT13*Pricing!G$3+BU13*Pricing!H$3+BV13*Pricing!I$3+BW13*Pricing!J$3+BX13*Pricing!K$3+BY13*Pricing!L$3+BZ13*Pricing!M$3+CA13*Pricing!N$3+CB13*Pricing!O$3)*IF(W$44="N",(1+Y$44),1)</f>
        <v>0</v>
      </c>
      <c r="CO13" s="628">
        <f t="shared" si="54"/>
        <v>0</v>
      </c>
      <c r="CP13" s="1380">
        <f t="shared" si="55"/>
        <v>0</v>
      </c>
      <c r="CQ13" s="628">
        <f t="shared" si="56"/>
        <v>0</v>
      </c>
      <c r="CR13" s="628">
        <f t="shared" si="57"/>
        <v>0</v>
      </c>
      <c r="CS13" s="628"/>
      <c r="CT13" s="1381">
        <f t="shared" si="58"/>
        <v>0</v>
      </c>
      <c r="CU13" s="628">
        <f t="shared" si="59"/>
        <v>0</v>
      </c>
      <c r="CV13" s="628">
        <f t="shared" si="60"/>
        <v>0</v>
      </c>
      <c r="CW13" s="628">
        <f t="shared" si="61"/>
        <v>0</v>
      </c>
      <c r="CX13" s="628">
        <f t="shared" si="62"/>
        <v>0</v>
      </c>
      <c r="CY13" s="628">
        <f t="shared" si="63"/>
        <v>0</v>
      </c>
      <c r="CZ13" s="628">
        <f t="shared" si="64"/>
        <v>0</v>
      </c>
      <c r="DA13" s="628">
        <f t="shared" si="65"/>
        <v>0</v>
      </c>
      <c r="DB13" s="628">
        <f t="shared" si="66"/>
        <v>0</v>
      </c>
      <c r="DC13" s="628">
        <f t="shared" si="67"/>
        <v>0</v>
      </c>
      <c r="DD13" s="628">
        <f t="shared" si="68"/>
        <v>0</v>
      </c>
      <c r="DE13" s="1382" t="e">
        <f t="shared" si="69"/>
        <v>#DIV/0!</v>
      </c>
      <c r="DF13" s="626">
        <f t="shared" si="70"/>
        <v>0</v>
      </c>
      <c r="DG13" s="626">
        <f t="shared" si="71"/>
        <v>0</v>
      </c>
      <c r="DH13" s="626">
        <f t="shared" si="72"/>
        <v>0</v>
      </c>
      <c r="DI13" s="626">
        <f t="shared" si="73"/>
        <v>0</v>
      </c>
      <c r="DJ13" s="626">
        <f t="shared" si="74"/>
        <v>0</v>
      </c>
      <c r="DK13" s="626">
        <f t="shared" si="75"/>
        <v>0</v>
      </c>
      <c r="DL13" s="626">
        <f t="shared" si="76"/>
        <v>0</v>
      </c>
      <c r="DM13" s="626">
        <f t="shared" si="77"/>
        <v>0</v>
      </c>
      <c r="DN13" s="626">
        <f t="shared" si="78"/>
        <v>0</v>
      </c>
      <c r="DO13" s="626">
        <f t="shared" si="79"/>
        <v>0</v>
      </c>
      <c r="DP13" s="1405">
        <f t="shared" si="80"/>
        <v>0</v>
      </c>
    </row>
    <row r="14" spans="1:120" ht="19.5" customHeight="1">
      <c r="A14" s="18" t="s">
        <v>1072</v>
      </c>
      <c r="B14" s="1341"/>
      <c r="C14" s="1386"/>
      <c r="D14" s="1657"/>
      <c r="E14" s="1658"/>
      <c r="F14" s="984"/>
      <c r="G14" s="1389"/>
      <c r="H14" s="984"/>
      <c r="I14" s="1389"/>
      <c r="J14" s="984"/>
      <c r="K14" s="1390"/>
      <c r="L14" s="1359"/>
      <c r="M14" s="1348"/>
      <c r="N14" s="1406"/>
      <c r="O14" s="1407"/>
      <c r="P14" s="1351">
        <f t="shared" si="0"/>
        <v>0</v>
      </c>
      <c r="Q14" s="1352">
        <f t="shared" si="1"/>
        <v>0</v>
      </c>
      <c r="R14" s="1353">
        <f t="shared" si="2"/>
        <v>0</v>
      </c>
      <c r="S14" s="1354" t="e">
        <f t="shared" si="3"/>
        <v>#DIV/0!</v>
      </c>
      <c r="T14" s="1355">
        <f t="shared" si="4"/>
        <v>0</v>
      </c>
      <c r="U14" s="1356">
        <f t="shared" si="5"/>
        <v>0</v>
      </c>
      <c r="V14" s="1357">
        <f t="shared" si="6"/>
        <v>0</v>
      </c>
      <c r="W14" s="503"/>
      <c r="X14" s="1362"/>
      <c r="Y14" s="503"/>
      <c r="Z14" s="1410"/>
      <c r="AA14" s="503"/>
      <c r="AB14" s="1410"/>
      <c r="AC14" s="1421"/>
      <c r="AD14" s="1362"/>
      <c r="AE14" s="503"/>
      <c r="AF14" s="1363"/>
      <c r="AG14" s="1367"/>
      <c r="AH14" s="1363"/>
      <c r="AI14" s="1653"/>
      <c r="AJ14" s="1366"/>
      <c r="AK14" s="1367"/>
      <c r="AL14" s="1363"/>
      <c r="AM14" s="503"/>
      <c r="AN14" s="1411"/>
      <c r="AO14" s="503"/>
      <c r="AP14" s="1410"/>
      <c r="AQ14" s="626"/>
      <c r="AR14" s="1369" t="str">
        <f t="shared" si="7"/>
        <v/>
      </c>
      <c r="AS14" s="1270" t="str">
        <f t="shared" si="8"/>
        <v/>
      </c>
      <c r="AT14" s="1270" t="str">
        <f t="shared" si="9"/>
        <v/>
      </c>
      <c r="AU14" s="1270" t="str">
        <f t="shared" si="10"/>
        <v/>
      </c>
      <c r="AV14" s="1270" t="str">
        <f t="shared" si="11"/>
        <v/>
      </c>
      <c r="AW14" s="1270" t="str">
        <f t="shared" si="12"/>
        <v/>
      </c>
      <c r="AX14" s="1270" t="str">
        <f t="shared" si="13"/>
        <v/>
      </c>
      <c r="AY14" s="1270" t="str">
        <f t="shared" si="14"/>
        <v/>
      </c>
      <c r="AZ14" s="1270" t="str">
        <f t="shared" si="15"/>
        <v/>
      </c>
      <c r="BA14" s="1270" t="str">
        <f t="shared" si="16"/>
        <v/>
      </c>
      <c r="BB14" s="1371">
        <f t="shared" si="17"/>
        <v>0</v>
      </c>
      <c r="BC14" s="1369" t="str">
        <f t="shared" si="18"/>
        <v/>
      </c>
      <c r="BD14" s="1270" t="str">
        <f t="shared" si="19"/>
        <v/>
      </c>
      <c r="BE14" s="1270" t="str">
        <f t="shared" si="20"/>
        <v/>
      </c>
      <c r="BF14" s="1270" t="str">
        <f t="shared" si="21"/>
        <v/>
      </c>
      <c r="BG14" s="1270" t="str">
        <f t="shared" si="22"/>
        <v/>
      </c>
      <c r="BH14" s="1270" t="str">
        <f t="shared" si="23"/>
        <v/>
      </c>
      <c r="BI14" s="1270" t="str">
        <f t="shared" si="24"/>
        <v/>
      </c>
      <c r="BJ14" s="1270" t="str">
        <f t="shared" si="25"/>
        <v/>
      </c>
      <c r="BK14" s="1270" t="str">
        <f t="shared" si="26"/>
        <v/>
      </c>
      <c r="BL14" s="1270" t="str">
        <f t="shared" si="27"/>
        <v/>
      </c>
      <c r="BM14" s="1371">
        <f t="shared" si="28"/>
        <v>0</v>
      </c>
      <c r="BN14" s="1372">
        <f t="shared" si="29"/>
        <v>0</v>
      </c>
      <c r="BO14" s="1372">
        <f t="shared" si="30"/>
        <v>0</v>
      </c>
      <c r="BP14" s="1372">
        <f t="shared" si="31"/>
        <v>0</v>
      </c>
      <c r="BQ14" s="1374">
        <f t="shared" si="32"/>
        <v>0</v>
      </c>
      <c r="BR14" s="1251">
        <f t="shared" si="33"/>
        <v>0</v>
      </c>
      <c r="BS14" s="1403">
        <f t="shared" si="34"/>
        <v>0</v>
      </c>
      <c r="BT14" s="1372">
        <f t="shared" si="35"/>
        <v>0</v>
      </c>
      <c r="BU14" s="1372">
        <f t="shared" si="36"/>
        <v>0</v>
      </c>
      <c r="BV14" s="1372">
        <f t="shared" si="37"/>
        <v>0</v>
      </c>
      <c r="BW14" s="1372">
        <f t="shared" si="38"/>
        <v>0</v>
      </c>
      <c r="BX14" s="1372">
        <f t="shared" si="39"/>
        <v>0</v>
      </c>
      <c r="BY14" s="1372">
        <f t="shared" si="40"/>
        <v>0</v>
      </c>
      <c r="BZ14" s="1372">
        <f t="shared" si="41"/>
        <v>0</v>
      </c>
      <c r="CA14" s="1372">
        <f t="shared" si="42"/>
        <v>0</v>
      </c>
      <c r="CB14" s="1404">
        <f t="shared" si="43"/>
        <v>0</v>
      </c>
      <c r="CC14" s="1374">
        <f t="shared" si="81"/>
        <v>0</v>
      </c>
      <c r="CD14" s="1374">
        <f t="shared" si="44"/>
        <v>0</v>
      </c>
      <c r="CE14" s="1374">
        <f t="shared" si="45"/>
        <v>0</v>
      </c>
      <c r="CF14" s="1378">
        <f t="shared" si="46"/>
        <v>0</v>
      </c>
      <c r="CG14" s="1378">
        <f t="shared" si="47"/>
        <v>0</v>
      </c>
      <c r="CH14" s="1378">
        <f t="shared" si="48"/>
        <v>0</v>
      </c>
      <c r="CI14" s="1374">
        <f t="shared" si="49"/>
        <v>0</v>
      </c>
      <c r="CJ14" s="1374">
        <f t="shared" si="50"/>
        <v>0</v>
      </c>
      <c r="CK14" s="1374" t="str">
        <f t="shared" si="51"/>
        <v/>
      </c>
      <c r="CL14" s="1374">
        <f t="shared" si="52"/>
        <v>0</v>
      </c>
      <c r="CM14" s="1379">
        <f t="shared" si="53"/>
        <v>0</v>
      </c>
      <c r="CN14" s="628">
        <f>(BS14*Pricing!F$3+BT14*Pricing!G$3+BU14*Pricing!H$3+BV14*Pricing!I$3+BW14*Pricing!J$3+BX14*Pricing!K$3+BY14*Pricing!L$3+BZ14*Pricing!M$3+CA14*Pricing!N$3+CB14*Pricing!O$3)*IF(W$44="N",(1+Y$44),1)</f>
        <v>0</v>
      </c>
      <c r="CO14" s="628">
        <f t="shared" si="54"/>
        <v>0</v>
      </c>
      <c r="CP14" s="1380">
        <f t="shared" si="55"/>
        <v>0</v>
      </c>
      <c r="CQ14" s="628">
        <f t="shared" si="56"/>
        <v>0</v>
      </c>
      <c r="CR14" s="628">
        <f t="shared" si="57"/>
        <v>0</v>
      </c>
      <c r="CS14" s="628"/>
      <c r="CT14" s="1381">
        <f t="shared" si="58"/>
        <v>0</v>
      </c>
      <c r="CU14" s="628">
        <f t="shared" si="59"/>
        <v>0</v>
      </c>
      <c r="CV14" s="628">
        <f t="shared" si="60"/>
        <v>0</v>
      </c>
      <c r="CW14" s="628">
        <f t="shared" si="61"/>
        <v>0</v>
      </c>
      <c r="CX14" s="628">
        <f t="shared" si="62"/>
        <v>0</v>
      </c>
      <c r="CY14" s="628">
        <f t="shared" si="63"/>
        <v>0</v>
      </c>
      <c r="CZ14" s="628">
        <f t="shared" si="64"/>
        <v>0</v>
      </c>
      <c r="DA14" s="628">
        <f t="shared" si="65"/>
        <v>0</v>
      </c>
      <c r="DB14" s="628">
        <f t="shared" si="66"/>
        <v>0</v>
      </c>
      <c r="DC14" s="628">
        <f t="shared" si="67"/>
        <v>0</v>
      </c>
      <c r="DD14" s="628">
        <f t="shared" si="68"/>
        <v>0</v>
      </c>
      <c r="DE14" s="1382" t="e">
        <f t="shared" si="69"/>
        <v>#DIV/0!</v>
      </c>
      <c r="DF14" s="626">
        <f t="shared" si="70"/>
        <v>0</v>
      </c>
      <c r="DG14" s="626">
        <f t="shared" si="71"/>
        <v>0</v>
      </c>
      <c r="DH14" s="626">
        <f t="shared" si="72"/>
        <v>0</v>
      </c>
      <c r="DI14" s="626">
        <f t="shared" si="73"/>
        <v>0</v>
      </c>
      <c r="DJ14" s="626">
        <f t="shared" si="74"/>
        <v>0</v>
      </c>
      <c r="DK14" s="626">
        <f t="shared" si="75"/>
        <v>0</v>
      </c>
      <c r="DL14" s="626">
        <f t="shared" si="76"/>
        <v>0</v>
      </c>
      <c r="DM14" s="626">
        <f t="shared" si="77"/>
        <v>0</v>
      </c>
      <c r="DN14" s="626">
        <f t="shared" si="78"/>
        <v>0</v>
      </c>
      <c r="DO14" s="626">
        <f t="shared" si="79"/>
        <v>0</v>
      </c>
      <c r="DP14" s="1405">
        <f t="shared" si="80"/>
        <v>0</v>
      </c>
    </row>
    <row r="15" spans="1:120" ht="19.5" customHeight="1">
      <c r="A15" s="18" t="s">
        <v>1073</v>
      </c>
      <c r="B15" s="1385"/>
      <c r="C15" s="1386"/>
      <c r="D15" s="1654"/>
      <c r="E15" s="1655"/>
      <c r="F15" s="984"/>
      <c r="G15" s="1389"/>
      <c r="H15" s="984"/>
      <c r="I15" s="1389"/>
      <c r="J15" s="984"/>
      <c r="K15" s="1390"/>
      <c r="L15" s="1391"/>
      <c r="M15" s="1392"/>
      <c r="N15" s="1393"/>
      <c r="O15" s="1394"/>
      <c r="P15" s="1351">
        <f t="shared" si="0"/>
        <v>0</v>
      </c>
      <c r="Q15" s="1352">
        <f t="shared" si="1"/>
        <v>0</v>
      </c>
      <c r="R15" s="1353">
        <f t="shared" si="2"/>
        <v>0</v>
      </c>
      <c r="S15" s="1354" t="e">
        <f t="shared" si="3"/>
        <v>#DIV/0!</v>
      </c>
      <c r="T15" s="1355">
        <f t="shared" si="4"/>
        <v>0</v>
      </c>
      <c r="U15" s="1356">
        <f t="shared" si="5"/>
        <v>0</v>
      </c>
      <c r="V15" s="1357">
        <f t="shared" si="6"/>
        <v>0</v>
      </c>
      <c r="W15" s="1395"/>
      <c r="X15" s="1396"/>
      <c r="Y15" s="503"/>
      <c r="Z15" s="1410"/>
      <c r="AA15" s="503"/>
      <c r="AB15" s="1410"/>
      <c r="AC15" s="1398"/>
      <c r="AD15" s="1396"/>
      <c r="AE15" s="1395"/>
      <c r="AF15" s="1399"/>
      <c r="AG15" s="1400"/>
      <c r="AH15" s="1399"/>
      <c r="AI15" s="1401"/>
      <c r="AJ15" s="1396"/>
      <c r="AK15" s="1412"/>
      <c r="AL15" s="1399"/>
      <c r="AM15" s="503"/>
      <c r="AN15" s="1411"/>
      <c r="AO15" s="503"/>
      <c r="AP15" s="1410"/>
      <c r="AQ15" s="626"/>
      <c r="AR15" s="1369" t="str">
        <f t="shared" si="7"/>
        <v/>
      </c>
      <c r="AS15" s="1270" t="str">
        <f t="shared" si="8"/>
        <v/>
      </c>
      <c r="AT15" s="1270" t="str">
        <f t="shared" si="9"/>
        <v/>
      </c>
      <c r="AU15" s="1270" t="str">
        <f t="shared" si="10"/>
        <v/>
      </c>
      <c r="AV15" s="1270" t="str">
        <f t="shared" si="11"/>
        <v/>
      </c>
      <c r="AW15" s="1270" t="str">
        <f t="shared" si="12"/>
        <v/>
      </c>
      <c r="AX15" s="1270" t="str">
        <f t="shared" si="13"/>
        <v/>
      </c>
      <c r="AY15" s="1270" t="str">
        <f t="shared" si="14"/>
        <v/>
      </c>
      <c r="AZ15" s="1270" t="str">
        <f t="shared" si="15"/>
        <v/>
      </c>
      <c r="BA15" s="1270" t="str">
        <f t="shared" si="16"/>
        <v/>
      </c>
      <c r="BB15" s="1371">
        <f t="shared" si="17"/>
        <v>0</v>
      </c>
      <c r="BC15" s="1369" t="str">
        <f t="shared" si="18"/>
        <v/>
      </c>
      <c r="BD15" s="1270" t="str">
        <f t="shared" si="19"/>
        <v/>
      </c>
      <c r="BE15" s="1270" t="str">
        <f t="shared" si="20"/>
        <v/>
      </c>
      <c r="BF15" s="1270" t="str">
        <f t="shared" si="21"/>
        <v/>
      </c>
      <c r="BG15" s="1270" t="str">
        <f t="shared" si="22"/>
        <v/>
      </c>
      <c r="BH15" s="1270" t="str">
        <f t="shared" si="23"/>
        <v/>
      </c>
      <c r="BI15" s="1270" t="str">
        <f t="shared" si="24"/>
        <v/>
      </c>
      <c r="BJ15" s="1270" t="str">
        <f t="shared" si="25"/>
        <v/>
      </c>
      <c r="BK15" s="1270" t="str">
        <f t="shared" si="26"/>
        <v/>
      </c>
      <c r="BL15" s="1270" t="str">
        <f t="shared" si="27"/>
        <v/>
      </c>
      <c r="BM15" s="1371">
        <f t="shared" si="28"/>
        <v>0</v>
      </c>
      <c r="BN15" s="1372">
        <f t="shared" si="29"/>
        <v>0</v>
      </c>
      <c r="BO15" s="1372">
        <f t="shared" si="30"/>
        <v>0</v>
      </c>
      <c r="BP15" s="1372">
        <f t="shared" si="31"/>
        <v>0</v>
      </c>
      <c r="BQ15" s="1374">
        <f t="shared" si="32"/>
        <v>0</v>
      </c>
      <c r="BR15" s="1251">
        <f t="shared" si="33"/>
        <v>0</v>
      </c>
      <c r="BS15" s="1403">
        <f t="shared" si="34"/>
        <v>0</v>
      </c>
      <c r="BT15" s="1372">
        <f t="shared" si="35"/>
        <v>0</v>
      </c>
      <c r="BU15" s="1372">
        <f t="shared" si="36"/>
        <v>0</v>
      </c>
      <c r="BV15" s="1372">
        <f t="shared" si="37"/>
        <v>0</v>
      </c>
      <c r="BW15" s="1372">
        <f t="shared" si="38"/>
        <v>0</v>
      </c>
      <c r="BX15" s="1372">
        <f t="shared" si="39"/>
        <v>0</v>
      </c>
      <c r="BY15" s="1372">
        <f t="shared" si="40"/>
        <v>0</v>
      </c>
      <c r="BZ15" s="1372">
        <f t="shared" si="41"/>
        <v>0</v>
      </c>
      <c r="CA15" s="1372">
        <f t="shared" si="42"/>
        <v>0</v>
      </c>
      <c r="CB15" s="1404">
        <f t="shared" si="43"/>
        <v>0</v>
      </c>
      <c r="CC15" s="1374">
        <f t="shared" si="81"/>
        <v>0</v>
      </c>
      <c r="CD15" s="1374">
        <f t="shared" si="44"/>
        <v>0</v>
      </c>
      <c r="CE15" s="1374">
        <f t="shared" si="45"/>
        <v>0</v>
      </c>
      <c r="CF15" s="1378">
        <f t="shared" si="46"/>
        <v>0</v>
      </c>
      <c r="CG15" s="1378">
        <f t="shared" si="47"/>
        <v>0</v>
      </c>
      <c r="CH15" s="1378">
        <f t="shared" si="48"/>
        <v>0</v>
      </c>
      <c r="CI15" s="1374">
        <f t="shared" si="49"/>
        <v>0</v>
      </c>
      <c r="CJ15" s="1374">
        <f t="shared" si="50"/>
        <v>0</v>
      </c>
      <c r="CK15" s="1374" t="str">
        <f t="shared" si="51"/>
        <v/>
      </c>
      <c r="CL15" s="1374">
        <f t="shared" si="52"/>
        <v>0</v>
      </c>
      <c r="CM15" s="1379">
        <f t="shared" si="53"/>
        <v>0</v>
      </c>
      <c r="CN15" s="628">
        <f>(BS15*Pricing!F$3+BT15*Pricing!G$3+BU15*Pricing!H$3+BV15*Pricing!I$3+BW15*Pricing!J$3+BX15*Pricing!K$3+BY15*Pricing!L$3+BZ15*Pricing!M$3+CA15*Pricing!N$3+CB15*Pricing!O$3)*IF(W$44="N",(1+Y$44),1)</f>
        <v>0</v>
      </c>
      <c r="CO15" s="628">
        <f t="shared" si="54"/>
        <v>0</v>
      </c>
      <c r="CP15" s="1380">
        <f t="shared" si="55"/>
        <v>0</v>
      </c>
      <c r="CQ15" s="628">
        <f t="shared" si="56"/>
        <v>0</v>
      </c>
      <c r="CR15" s="628">
        <f t="shared" si="57"/>
        <v>0</v>
      </c>
      <c r="CS15" s="628"/>
      <c r="CT15" s="1381">
        <f t="shared" si="58"/>
        <v>0</v>
      </c>
      <c r="CU15" s="628">
        <f t="shared" si="59"/>
        <v>0</v>
      </c>
      <c r="CV15" s="628">
        <f t="shared" si="60"/>
        <v>0</v>
      </c>
      <c r="CW15" s="628">
        <f t="shared" si="61"/>
        <v>0</v>
      </c>
      <c r="CX15" s="628">
        <f t="shared" si="62"/>
        <v>0</v>
      </c>
      <c r="CY15" s="628">
        <f t="shared" si="63"/>
        <v>0</v>
      </c>
      <c r="CZ15" s="628">
        <f t="shared" si="64"/>
        <v>0</v>
      </c>
      <c r="DA15" s="628">
        <f t="shared" si="65"/>
        <v>0</v>
      </c>
      <c r="DB15" s="628">
        <f t="shared" si="66"/>
        <v>0</v>
      </c>
      <c r="DC15" s="628">
        <f t="shared" si="67"/>
        <v>0</v>
      </c>
      <c r="DD15" s="628">
        <f t="shared" si="68"/>
        <v>0</v>
      </c>
      <c r="DE15" s="1382" t="e">
        <f t="shared" si="69"/>
        <v>#DIV/0!</v>
      </c>
      <c r="DF15" s="626">
        <f t="shared" si="70"/>
        <v>0</v>
      </c>
      <c r="DG15" s="626">
        <f t="shared" si="71"/>
        <v>0</v>
      </c>
      <c r="DH15" s="626">
        <f t="shared" si="72"/>
        <v>0</v>
      </c>
      <c r="DI15" s="626">
        <f t="shared" si="73"/>
        <v>0</v>
      </c>
      <c r="DJ15" s="626">
        <f t="shared" si="74"/>
        <v>0</v>
      </c>
      <c r="DK15" s="626">
        <f t="shared" si="75"/>
        <v>0</v>
      </c>
      <c r="DL15" s="626">
        <f t="shared" si="76"/>
        <v>0</v>
      </c>
      <c r="DM15" s="626">
        <f t="shared" si="77"/>
        <v>0</v>
      </c>
      <c r="DN15" s="626">
        <f t="shared" si="78"/>
        <v>0</v>
      </c>
      <c r="DO15" s="626">
        <f t="shared" si="79"/>
        <v>0</v>
      </c>
      <c r="DP15" s="1405">
        <f t="shared" si="80"/>
        <v>0</v>
      </c>
    </row>
    <row r="16" spans="1:120" ht="18" customHeight="1">
      <c r="A16" s="18" t="s">
        <v>1074</v>
      </c>
      <c r="B16" s="859"/>
      <c r="C16" s="1342"/>
      <c r="D16" s="1657"/>
      <c r="E16" s="1658"/>
      <c r="F16" s="984"/>
      <c r="G16" s="1389"/>
      <c r="H16" s="984"/>
      <c r="I16" s="1389"/>
      <c r="J16" s="984"/>
      <c r="K16" s="1390"/>
      <c r="L16" s="503"/>
      <c r="M16" s="834"/>
      <c r="N16" s="1349"/>
      <c r="O16" s="1350"/>
      <c r="P16" s="1351">
        <f t="shared" si="0"/>
        <v>0</v>
      </c>
      <c r="Q16" s="1352">
        <f t="shared" si="1"/>
        <v>0</v>
      </c>
      <c r="R16" s="1353">
        <f t="shared" si="2"/>
        <v>0</v>
      </c>
      <c r="S16" s="1354" t="e">
        <f t="shared" si="3"/>
        <v>#DIV/0!</v>
      </c>
      <c r="T16" s="1355">
        <f t="shared" si="4"/>
        <v>0</v>
      </c>
      <c r="U16" s="1356">
        <f t="shared" si="5"/>
        <v>0</v>
      </c>
      <c r="V16" s="1357">
        <f t="shared" si="6"/>
        <v>0</v>
      </c>
      <c r="W16" s="503"/>
      <c r="X16" s="1362"/>
      <c r="Y16" s="1347"/>
      <c r="Z16" s="1360"/>
      <c r="AA16" s="1347"/>
      <c r="AB16" s="1360"/>
      <c r="AC16" s="1421"/>
      <c r="AD16" s="1362"/>
      <c r="AE16" s="503"/>
      <c r="AF16" s="1363"/>
      <c r="AG16" s="1367"/>
      <c r="AH16" s="1363"/>
      <c r="AI16" s="1653"/>
      <c r="AJ16" s="1366"/>
      <c r="AK16" s="1367"/>
      <c r="AL16" s="1363"/>
      <c r="AM16" s="1347"/>
      <c r="AN16" s="1368"/>
      <c r="AO16" s="1347"/>
      <c r="AP16" s="1360"/>
      <c r="AQ16" s="626"/>
      <c r="AR16" s="1369" t="str">
        <f t="shared" si="7"/>
        <v/>
      </c>
      <c r="AS16" s="1270" t="str">
        <f t="shared" si="8"/>
        <v/>
      </c>
      <c r="AT16" s="1270" t="str">
        <f t="shared" si="9"/>
        <v/>
      </c>
      <c r="AU16" s="1270" t="str">
        <f t="shared" si="10"/>
        <v/>
      </c>
      <c r="AV16" s="1270" t="str">
        <f t="shared" si="11"/>
        <v/>
      </c>
      <c r="AW16" s="1270" t="str">
        <f t="shared" si="12"/>
        <v/>
      </c>
      <c r="AX16" s="1270" t="str">
        <f t="shared" si="13"/>
        <v/>
      </c>
      <c r="AY16" s="1270" t="str">
        <f t="shared" si="14"/>
        <v/>
      </c>
      <c r="AZ16" s="1270" t="str">
        <f t="shared" si="15"/>
        <v/>
      </c>
      <c r="BA16" s="1270" t="str">
        <f t="shared" si="16"/>
        <v/>
      </c>
      <c r="BB16" s="1371">
        <f t="shared" si="17"/>
        <v>0</v>
      </c>
      <c r="BC16" s="1369" t="str">
        <f t="shared" si="18"/>
        <v/>
      </c>
      <c r="BD16" s="1270" t="str">
        <f t="shared" si="19"/>
        <v/>
      </c>
      <c r="BE16" s="1270" t="str">
        <f t="shared" si="20"/>
        <v/>
      </c>
      <c r="BF16" s="1270" t="str">
        <f t="shared" si="21"/>
        <v/>
      </c>
      <c r="BG16" s="1270" t="str">
        <f t="shared" si="22"/>
        <v/>
      </c>
      <c r="BH16" s="1270" t="str">
        <f t="shared" si="23"/>
        <v/>
      </c>
      <c r="BI16" s="1270" t="str">
        <f t="shared" si="24"/>
        <v/>
      </c>
      <c r="BJ16" s="1270" t="str">
        <f t="shared" si="25"/>
        <v/>
      </c>
      <c r="BK16" s="1270" t="str">
        <f t="shared" si="26"/>
        <v/>
      </c>
      <c r="BL16" s="1270" t="str">
        <f t="shared" si="27"/>
        <v/>
      </c>
      <c r="BM16" s="1371">
        <f t="shared" si="28"/>
        <v>0</v>
      </c>
      <c r="BN16" s="1372">
        <f t="shared" si="29"/>
        <v>0</v>
      </c>
      <c r="BO16" s="1372">
        <f t="shared" si="30"/>
        <v>0</v>
      </c>
      <c r="BP16" s="1372">
        <f t="shared" si="31"/>
        <v>0</v>
      </c>
      <c r="BQ16" s="1374">
        <f t="shared" si="32"/>
        <v>0</v>
      </c>
      <c r="BR16" s="1251">
        <f t="shared" si="33"/>
        <v>0</v>
      </c>
      <c r="BS16" s="1403">
        <f t="shared" si="34"/>
        <v>0</v>
      </c>
      <c r="BT16" s="1372">
        <f t="shared" si="35"/>
        <v>0</v>
      </c>
      <c r="BU16" s="1372">
        <f t="shared" si="36"/>
        <v>0</v>
      </c>
      <c r="BV16" s="1372">
        <f t="shared" si="37"/>
        <v>0</v>
      </c>
      <c r="BW16" s="1372">
        <f t="shared" si="38"/>
        <v>0</v>
      </c>
      <c r="BX16" s="1372">
        <f t="shared" si="39"/>
        <v>0</v>
      </c>
      <c r="BY16" s="1372">
        <f t="shared" si="40"/>
        <v>0</v>
      </c>
      <c r="BZ16" s="1372">
        <f t="shared" si="41"/>
        <v>0</v>
      </c>
      <c r="CA16" s="1372">
        <f t="shared" si="42"/>
        <v>0</v>
      </c>
      <c r="CB16" s="1404">
        <f t="shared" si="43"/>
        <v>0</v>
      </c>
      <c r="CC16" s="1374">
        <f t="shared" si="81"/>
        <v>0</v>
      </c>
      <c r="CD16" s="1374">
        <f t="shared" si="44"/>
        <v>0</v>
      </c>
      <c r="CE16" s="1374">
        <f t="shared" si="45"/>
        <v>0</v>
      </c>
      <c r="CF16" s="1378">
        <f t="shared" si="46"/>
        <v>0</v>
      </c>
      <c r="CG16" s="1378">
        <f t="shared" si="47"/>
        <v>0</v>
      </c>
      <c r="CH16" s="1378">
        <f t="shared" si="48"/>
        <v>0</v>
      </c>
      <c r="CI16" s="1374">
        <f t="shared" si="49"/>
        <v>0</v>
      </c>
      <c r="CJ16" s="1374">
        <f t="shared" si="50"/>
        <v>0</v>
      </c>
      <c r="CK16" s="1374" t="str">
        <f t="shared" si="51"/>
        <v/>
      </c>
      <c r="CL16" s="1374">
        <f t="shared" si="52"/>
        <v>0</v>
      </c>
      <c r="CM16" s="1379">
        <f t="shared" si="53"/>
        <v>0</v>
      </c>
      <c r="CN16" s="628">
        <f>(BS16*Pricing!F$3+BT16*Pricing!G$3+BU16*Pricing!H$3+BV16*Pricing!I$3+BW16*Pricing!J$3+BX16*Pricing!K$3+BY16*Pricing!L$3+BZ16*Pricing!M$3+CA16*Pricing!N$3+CB16*Pricing!O$3)*IF(W$44="N",(1+Y$44),1)</f>
        <v>0</v>
      </c>
      <c r="CO16" s="628">
        <f t="shared" si="54"/>
        <v>0</v>
      </c>
      <c r="CP16" s="1380">
        <f t="shared" si="55"/>
        <v>0</v>
      </c>
      <c r="CQ16" s="628">
        <f t="shared" si="56"/>
        <v>0</v>
      </c>
      <c r="CR16" s="628">
        <f t="shared" si="57"/>
        <v>0</v>
      </c>
      <c r="CS16" s="628"/>
      <c r="CT16" s="1381">
        <f t="shared" si="58"/>
        <v>0</v>
      </c>
      <c r="CU16" s="628">
        <f t="shared" si="59"/>
        <v>0</v>
      </c>
      <c r="CV16" s="628">
        <f t="shared" si="60"/>
        <v>0</v>
      </c>
      <c r="CW16" s="628">
        <f t="shared" si="61"/>
        <v>0</v>
      </c>
      <c r="CX16" s="628">
        <f t="shared" si="62"/>
        <v>0</v>
      </c>
      <c r="CY16" s="628">
        <f t="shared" si="63"/>
        <v>0</v>
      </c>
      <c r="CZ16" s="628">
        <f t="shared" si="64"/>
        <v>0</v>
      </c>
      <c r="DA16" s="628">
        <f t="shared" si="65"/>
        <v>0</v>
      </c>
      <c r="DB16" s="628">
        <f t="shared" si="66"/>
        <v>0</v>
      </c>
      <c r="DC16" s="628">
        <f t="shared" si="67"/>
        <v>0</v>
      </c>
      <c r="DD16" s="628">
        <f t="shared" si="68"/>
        <v>0</v>
      </c>
      <c r="DE16" s="1382" t="e">
        <f t="shared" si="69"/>
        <v>#DIV/0!</v>
      </c>
      <c r="DF16" s="626">
        <f t="shared" si="70"/>
        <v>0</v>
      </c>
      <c r="DG16" s="626">
        <f t="shared" si="71"/>
        <v>0</v>
      </c>
      <c r="DH16" s="626">
        <f t="shared" si="72"/>
        <v>0</v>
      </c>
      <c r="DI16" s="626">
        <f t="shared" si="73"/>
        <v>0</v>
      </c>
      <c r="DJ16" s="626">
        <f t="shared" si="74"/>
        <v>0</v>
      </c>
      <c r="DK16" s="626">
        <f t="shared" si="75"/>
        <v>0</v>
      </c>
      <c r="DL16" s="626">
        <f t="shared" si="76"/>
        <v>0</v>
      </c>
      <c r="DM16" s="626">
        <f t="shared" si="77"/>
        <v>0</v>
      </c>
      <c r="DN16" s="626">
        <f t="shared" si="78"/>
        <v>0</v>
      </c>
      <c r="DO16" s="626">
        <f t="shared" si="79"/>
        <v>0</v>
      </c>
      <c r="DP16" s="1405">
        <f t="shared" si="80"/>
        <v>0</v>
      </c>
    </row>
    <row r="17" spans="1:120" ht="19.5" customHeight="1">
      <c r="A17" s="18" t="s">
        <v>1075</v>
      </c>
      <c r="B17" s="1385"/>
      <c r="C17" s="1386"/>
      <c r="D17" s="1387"/>
      <c r="E17" s="1388"/>
      <c r="F17" s="984"/>
      <c r="G17" s="1389"/>
      <c r="H17" s="984"/>
      <c r="I17" s="1389"/>
      <c r="J17" s="984"/>
      <c r="K17" s="1390"/>
      <c r="L17" s="1395"/>
      <c r="M17" s="1392"/>
      <c r="N17" s="1393"/>
      <c r="O17" s="1394"/>
      <c r="P17" s="1351">
        <f t="shared" si="0"/>
        <v>0</v>
      </c>
      <c r="Q17" s="1352">
        <f t="shared" si="1"/>
        <v>0</v>
      </c>
      <c r="R17" s="1353">
        <f t="shared" si="2"/>
        <v>0</v>
      </c>
      <c r="S17" s="1354" t="e">
        <f t="shared" si="3"/>
        <v>#DIV/0!</v>
      </c>
      <c r="T17" s="1355">
        <f t="shared" si="4"/>
        <v>0</v>
      </c>
      <c r="U17" s="1356">
        <f t="shared" si="5"/>
        <v>0</v>
      </c>
      <c r="V17" s="1357">
        <f t="shared" si="6"/>
        <v>0</v>
      </c>
      <c r="W17" s="1395"/>
      <c r="X17" s="1396"/>
      <c r="Y17" s="1395"/>
      <c r="Z17" s="1397"/>
      <c r="AA17" s="1395"/>
      <c r="AB17" s="1397"/>
      <c r="AC17" s="1659"/>
      <c r="AD17" s="1396"/>
      <c r="AE17" s="1395"/>
      <c r="AF17" s="1399"/>
      <c r="AG17" s="1400"/>
      <c r="AH17" s="1399"/>
      <c r="AI17" s="1401"/>
      <c r="AJ17" s="1396"/>
      <c r="AK17" s="1401"/>
      <c r="AL17" s="1399"/>
      <c r="AM17" s="1395"/>
      <c r="AN17" s="1402"/>
      <c r="AO17" s="1395"/>
      <c r="AP17" s="1397"/>
      <c r="AQ17" s="626"/>
      <c r="AR17" s="1369" t="str">
        <f t="shared" si="7"/>
        <v/>
      </c>
      <c r="AS17" s="1270" t="str">
        <f t="shared" si="8"/>
        <v/>
      </c>
      <c r="AT17" s="1270" t="str">
        <f t="shared" si="9"/>
        <v/>
      </c>
      <c r="AU17" s="1270" t="str">
        <f t="shared" si="10"/>
        <v/>
      </c>
      <c r="AV17" s="1270" t="str">
        <f t="shared" si="11"/>
        <v/>
      </c>
      <c r="AW17" s="1270" t="str">
        <f t="shared" si="12"/>
        <v/>
      </c>
      <c r="AX17" s="1270" t="str">
        <f t="shared" si="13"/>
        <v/>
      </c>
      <c r="AY17" s="1270" t="str">
        <f t="shared" si="14"/>
        <v/>
      </c>
      <c r="AZ17" s="1270" t="str">
        <f t="shared" si="15"/>
        <v/>
      </c>
      <c r="BA17" s="1270" t="str">
        <f t="shared" si="16"/>
        <v/>
      </c>
      <c r="BB17" s="1371">
        <f t="shared" si="17"/>
        <v>0</v>
      </c>
      <c r="BC17" s="1369" t="str">
        <f t="shared" si="18"/>
        <v/>
      </c>
      <c r="BD17" s="1270" t="str">
        <f t="shared" si="19"/>
        <v/>
      </c>
      <c r="BE17" s="1270" t="str">
        <f t="shared" si="20"/>
        <v/>
      </c>
      <c r="BF17" s="1270" t="str">
        <f t="shared" si="21"/>
        <v/>
      </c>
      <c r="BG17" s="1270" t="str">
        <f t="shared" si="22"/>
        <v/>
      </c>
      <c r="BH17" s="1270" t="str">
        <f t="shared" si="23"/>
        <v/>
      </c>
      <c r="BI17" s="1270" t="str">
        <f t="shared" si="24"/>
        <v/>
      </c>
      <c r="BJ17" s="1270" t="str">
        <f t="shared" si="25"/>
        <v/>
      </c>
      <c r="BK17" s="1270" t="str">
        <f t="shared" si="26"/>
        <v/>
      </c>
      <c r="BL17" s="1270" t="str">
        <f t="shared" si="27"/>
        <v/>
      </c>
      <c r="BM17" s="1371">
        <f t="shared" si="28"/>
        <v>0</v>
      </c>
      <c r="BN17" s="1372">
        <f t="shared" si="29"/>
        <v>0</v>
      </c>
      <c r="BO17" s="1372">
        <f t="shared" si="30"/>
        <v>0</v>
      </c>
      <c r="BP17" s="1372">
        <f t="shared" si="31"/>
        <v>0</v>
      </c>
      <c r="BQ17" s="1374">
        <f t="shared" si="32"/>
        <v>0</v>
      </c>
      <c r="BR17" s="1251">
        <f t="shared" si="33"/>
        <v>0</v>
      </c>
      <c r="BS17" s="1403">
        <f t="shared" si="34"/>
        <v>0</v>
      </c>
      <c r="BT17" s="1372">
        <f t="shared" si="35"/>
        <v>0</v>
      </c>
      <c r="BU17" s="1372">
        <f t="shared" si="36"/>
        <v>0</v>
      </c>
      <c r="BV17" s="1372">
        <f t="shared" si="37"/>
        <v>0</v>
      </c>
      <c r="BW17" s="1372">
        <f t="shared" si="38"/>
        <v>0</v>
      </c>
      <c r="BX17" s="1372">
        <f t="shared" si="39"/>
        <v>0</v>
      </c>
      <c r="BY17" s="1372">
        <f t="shared" si="40"/>
        <v>0</v>
      </c>
      <c r="BZ17" s="1372">
        <f t="shared" si="41"/>
        <v>0</v>
      </c>
      <c r="CA17" s="1372">
        <f t="shared" si="42"/>
        <v>0</v>
      </c>
      <c r="CB17" s="1404">
        <f t="shared" si="43"/>
        <v>0</v>
      </c>
      <c r="CC17" s="1374">
        <f t="shared" si="81"/>
        <v>0</v>
      </c>
      <c r="CD17" s="1374">
        <f t="shared" si="44"/>
        <v>0</v>
      </c>
      <c r="CE17" s="1374">
        <f t="shared" si="45"/>
        <v>0</v>
      </c>
      <c r="CF17" s="1378">
        <f t="shared" si="46"/>
        <v>0</v>
      </c>
      <c r="CG17" s="1378">
        <f t="shared" si="47"/>
        <v>0</v>
      </c>
      <c r="CH17" s="1378">
        <f t="shared" si="48"/>
        <v>0</v>
      </c>
      <c r="CI17" s="1374">
        <f t="shared" si="49"/>
        <v>0</v>
      </c>
      <c r="CJ17" s="1374">
        <f t="shared" si="50"/>
        <v>0</v>
      </c>
      <c r="CK17" s="1374" t="str">
        <f t="shared" si="51"/>
        <v/>
      </c>
      <c r="CL17" s="1374">
        <f t="shared" si="52"/>
        <v>0</v>
      </c>
      <c r="CM17" s="1379">
        <f t="shared" si="53"/>
        <v>0</v>
      </c>
      <c r="CN17" s="628">
        <f>(BS17*Pricing!F$3+BT17*Pricing!G$3+BU17*Pricing!H$3+BV17*Pricing!I$3+BW17*Pricing!J$3+BX17*Pricing!K$3+BY17*Pricing!L$3+BZ17*Pricing!M$3+CA17*Pricing!N$3+CB17*Pricing!O$3)*IF(W$44="N",(1+Y$44),1)</f>
        <v>0</v>
      </c>
      <c r="CO17" s="628">
        <f t="shared" si="54"/>
        <v>0</v>
      </c>
      <c r="CP17" s="1380">
        <f t="shared" si="55"/>
        <v>0</v>
      </c>
      <c r="CQ17" s="628">
        <f t="shared" si="56"/>
        <v>0</v>
      </c>
      <c r="CR17" s="628">
        <f t="shared" si="57"/>
        <v>0</v>
      </c>
      <c r="CS17" s="628"/>
      <c r="CT17" s="1381">
        <f t="shared" si="58"/>
        <v>0</v>
      </c>
      <c r="CU17" s="628">
        <f t="shared" si="59"/>
        <v>0</v>
      </c>
      <c r="CV17" s="628">
        <f t="shared" si="60"/>
        <v>0</v>
      </c>
      <c r="CW17" s="628">
        <f t="shared" si="61"/>
        <v>0</v>
      </c>
      <c r="CX17" s="628">
        <f t="shared" si="62"/>
        <v>0</v>
      </c>
      <c r="CY17" s="628">
        <f t="shared" si="63"/>
        <v>0</v>
      </c>
      <c r="CZ17" s="628">
        <f t="shared" si="64"/>
        <v>0</v>
      </c>
      <c r="DA17" s="628">
        <f t="shared" si="65"/>
        <v>0</v>
      </c>
      <c r="DB17" s="628">
        <f t="shared" si="66"/>
        <v>0</v>
      </c>
      <c r="DC17" s="628">
        <f t="shared" si="67"/>
        <v>0</v>
      </c>
      <c r="DD17" s="628">
        <f t="shared" si="68"/>
        <v>0</v>
      </c>
      <c r="DE17" s="1382" t="e">
        <f t="shared" si="69"/>
        <v>#DIV/0!</v>
      </c>
      <c r="DF17" s="626">
        <f t="shared" si="70"/>
        <v>0</v>
      </c>
      <c r="DG17" s="626">
        <f t="shared" si="71"/>
        <v>0</v>
      </c>
      <c r="DH17" s="626">
        <f t="shared" si="72"/>
        <v>0</v>
      </c>
      <c r="DI17" s="626">
        <f t="shared" si="73"/>
        <v>0</v>
      </c>
      <c r="DJ17" s="626">
        <f t="shared" si="74"/>
        <v>0</v>
      </c>
      <c r="DK17" s="626">
        <f t="shared" si="75"/>
        <v>0</v>
      </c>
      <c r="DL17" s="626">
        <f t="shared" si="76"/>
        <v>0</v>
      </c>
      <c r="DM17" s="626">
        <f t="shared" si="77"/>
        <v>0</v>
      </c>
      <c r="DN17" s="626">
        <f t="shared" si="78"/>
        <v>0</v>
      </c>
      <c r="DO17" s="626">
        <f t="shared" si="79"/>
        <v>0</v>
      </c>
      <c r="DP17" s="1405">
        <f t="shared" si="80"/>
        <v>0</v>
      </c>
    </row>
    <row r="18" spans="1:120" ht="19.5" customHeight="1">
      <c r="A18" s="18" t="s">
        <v>1076</v>
      </c>
      <c r="B18" s="859"/>
      <c r="C18" s="1342"/>
      <c r="D18" s="1422"/>
      <c r="E18" s="1423"/>
      <c r="F18" s="984"/>
      <c r="G18" s="1345"/>
      <c r="H18" s="984"/>
      <c r="I18" s="1345"/>
      <c r="J18" s="984"/>
      <c r="K18" s="1346"/>
      <c r="L18" s="503"/>
      <c r="M18" s="834"/>
      <c r="N18" s="1349"/>
      <c r="O18" s="1350"/>
      <c r="P18" s="1351">
        <f t="shared" si="0"/>
        <v>0</v>
      </c>
      <c r="Q18" s="1352">
        <f t="shared" si="1"/>
        <v>0</v>
      </c>
      <c r="R18" s="1353">
        <f t="shared" si="2"/>
        <v>0</v>
      </c>
      <c r="S18" s="1354" t="e">
        <f t="shared" si="3"/>
        <v>#DIV/0!</v>
      </c>
      <c r="T18" s="1355">
        <f t="shared" si="4"/>
        <v>0</v>
      </c>
      <c r="U18" s="1356">
        <f t="shared" si="5"/>
        <v>0</v>
      </c>
      <c r="V18" s="1357">
        <f t="shared" si="6"/>
        <v>0</v>
      </c>
      <c r="W18" s="503"/>
      <c r="X18" s="1362"/>
      <c r="Y18" s="503"/>
      <c r="Z18" s="1410"/>
      <c r="AA18" s="503"/>
      <c r="AB18" s="1410"/>
      <c r="AC18" s="1421"/>
      <c r="AD18" s="1362"/>
      <c r="AE18" s="503"/>
      <c r="AF18" s="1363"/>
      <c r="AG18" s="1367"/>
      <c r="AH18" s="1363"/>
      <c r="AI18" s="1653"/>
      <c r="AJ18" s="1366"/>
      <c r="AK18" s="1367"/>
      <c r="AL18" s="1363"/>
      <c r="AM18" s="503"/>
      <c r="AN18" s="1411"/>
      <c r="AO18" s="503"/>
      <c r="AP18" s="1410"/>
      <c r="AQ18" s="626"/>
      <c r="AR18" s="1369" t="str">
        <f t="shared" si="7"/>
        <v/>
      </c>
      <c r="AS18" s="1270" t="str">
        <f t="shared" si="8"/>
        <v/>
      </c>
      <c r="AT18" s="1270" t="str">
        <f t="shared" si="9"/>
        <v/>
      </c>
      <c r="AU18" s="1270" t="str">
        <f t="shared" si="10"/>
        <v/>
      </c>
      <c r="AV18" s="1270" t="str">
        <f t="shared" si="11"/>
        <v/>
      </c>
      <c r="AW18" s="1270" t="str">
        <f t="shared" si="12"/>
        <v/>
      </c>
      <c r="AX18" s="1270" t="str">
        <f t="shared" si="13"/>
        <v/>
      </c>
      <c r="AY18" s="1270" t="str">
        <f t="shared" si="14"/>
        <v/>
      </c>
      <c r="AZ18" s="1270" t="str">
        <f t="shared" si="15"/>
        <v/>
      </c>
      <c r="BA18" s="1270" t="str">
        <f t="shared" si="16"/>
        <v/>
      </c>
      <c r="BB18" s="1371">
        <f t="shared" si="17"/>
        <v>0</v>
      </c>
      <c r="BC18" s="1369" t="str">
        <f t="shared" si="18"/>
        <v/>
      </c>
      <c r="BD18" s="1270" t="str">
        <f t="shared" si="19"/>
        <v/>
      </c>
      <c r="BE18" s="1270" t="str">
        <f t="shared" si="20"/>
        <v/>
      </c>
      <c r="BF18" s="1270" t="str">
        <f t="shared" si="21"/>
        <v/>
      </c>
      <c r="BG18" s="1270" t="str">
        <f t="shared" si="22"/>
        <v/>
      </c>
      <c r="BH18" s="1270" t="str">
        <f t="shared" si="23"/>
        <v/>
      </c>
      <c r="BI18" s="1270" t="str">
        <f t="shared" si="24"/>
        <v/>
      </c>
      <c r="BJ18" s="1270" t="str">
        <f t="shared" si="25"/>
        <v/>
      </c>
      <c r="BK18" s="1270" t="str">
        <f t="shared" si="26"/>
        <v/>
      </c>
      <c r="BL18" s="1270" t="str">
        <f t="shared" si="27"/>
        <v/>
      </c>
      <c r="BM18" s="1371">
        <f t="shared" si="28"/>
        <v>0</v>
      </c>
      <c r="BN18" s="1372">
        <f t="shared" si="29"/>
        <v>0</v>
      </c>
      <c r="BO18" s="1372">
        <f t="shared" si="30"/>
        <v>0</v>
      </c>
      <c r="BP18" s="1372">
        <f t="shared" si="31"/>
        <v>0</v>
      </c>
      <c r="BQ18" s="1374">
        <f t="shared" si="32"/>
        <v>0</v>
      </c>
      <c r="BR18" s="1251">
        <f t="shared" si="33"/>
        <v>0</v>
      </c>
      <c r="BS18" s="1403">
        <f t="shared" si="34"/>
        <v>0</v>
      </c>
      <c r="BT18" s="1372">
        <f t="shared" si="35"/>
        <v>0</v>
      </c>
      <c r="BU18" s="1372">
        <f t="shared" si="36"/>
        <v>0</v>
      </c>
      <c r="BV18" s="1372">
        <f t="shared" si="37"/>
        <v>0</v>
      </c>
      <c r="BW18" s="1372">
        <f t="shared" si="38"/>
        <v>0</v>
      </c>
      <c r="BX18" s="1372">
        <f t="shared" si="39"/>
        <v>0</v>
      </c>
      <c r="BY18" s="1372">
        <f t="shared" si="40"/>
        <v>0</v>
      </c>
      <c r="BZ18" s="1372">
        <f t="shared" si="41"/>
        <v>0</v>
      </c>
      <c r="CA18" s="1372">
        <f t="shared" si="42"/>
        <v>0</v>
      </c>
      <c r="CB18" s="1404">
        <f t="shared" si="43"/>
        <v>0</v>
      </c>
      <c r="CC18" s="1374">
        <f t="shared" si="81"/>
        <v>0</v>
      </c>
      <c r="CD18" s="1374">
        <f t="shared" si="44"/>
        <v>0</v>
      </c>
      <c r="CE18" s="1374">
        <f t="shared" si="45"/>
        <v>0</v>
      </c>
      <c r="CF18" s="1378">
        <f t="shared" si="46"/>
        <v>0</v>
      </c>
      <c r="CG18" s="1378">
        <f t="shared" si="47"/>
        <v>0</v>
      </c>
      <c r="CH18" s="1378">
        <f t="shared" si="48"/>
        <v>0</v>
      </c>
      <c r="CI18" s="1374">
        <f t="shared" si="49"/>
        <v>0</v>
      </c>
      <c r="CJ18" s="1374">
        <f t="shared" si="50"/>
        <v>0</v>
      </c>
      <c r="CK18" s="1374" t="str">
        <f t="shared" si="51"/>
        <v/>
      </c>
      <c r="CL18" s="1374">
        <f t="shared" si="52"/>
        <v>0</v>
      </c>
      <c r="CM18" s="1379">
        <f t="shared" si="53"/>
        <v>0</v>
      </c>
      <c r="CN18" s="628">
        <f>(BS18*Pricing!F$3+BT18*Pricing!G$3+BU18*Pricing!H$3+BV18*Pricing!I$3+BW18*Pricing!J$3+BX18*Pricing!K$3+BY18*Pricing!L$3+BZ18*Pricing!M$3+CA18*Pricing!N$3+CB18*Pricing!O$3)*IF(W$44="N",(1+Y$44),1)</f>
        <v>0</v>
      </c>
      <c r="CO18" s="628">
        <f t="shared" si="54"/>
        <v>0</v>
      </c>
      <c r="CP18" s="1380">
        <f t="shared" si="55"/>
        <v>0</v>
      </c>
      <c r="CQ18" s="628">
        <f t="shared" si="56"/>
        <v>0</v>
      </c>
      <c r="CR18" s="628">
        <f t="shared" si="57"/>
        <v>0</v>
      </c>
      <c r="CS18" s="628"/>
      <c r="CT18" s="1381">
        <f t="shared" si="58"/>
        <v>0</v>
      </c>
      <c r="CU18" s="628">
        <f t="shared" si="59"/>
        <v>0</v>
      </c>
      <c r="CV18" s="628">
        <f t="shared" si="60"/>
        <v>0</v>
      </c>
      <c r="CW18" s="628">
        <f t="shared" si="61"/>
        <v>0</v>
      </c>
      <c r="CX18" s="628">
        <f t="shared" si="62"/>
        <v>0</v>
      </c>
      <c r="CY18" s="628">
        <f t="shared" si="63"/>
        <v>0</v>
      </c>
      <c r="CZ18" s="628">
        <f t="shared" si="64"/>
        <v>0</v>
      </c>
      <c r="DA18" s="628">
        <f t="shared" si="65"/>
        <v>0</v>
      </c>
      <c r="DB18" s="628">
        <f t="shared" si="66"/>
        <v>0</v>
      </c>
      <c r="DC18" s="628">
        <f t="shared" si="67"/>
        <v>0</v>
      </c>
      <c r="DD18" s="628">
        <f t="shared" si="68"/>
        <v>0</v>
      </c>
      <c r="DE18" s="1382" t="e">
        <f t="shared" si="69"/>
        <v>#DIV/0!</v>
      </c>
      <c r="DF18" s="626">
        <f t="shared" si="70"/>
        <v>0</v>
      </c>
      <c r="DG18" s="626">
        <f t="shared" si="71"/>
        <v>0</v>
      </c>
      <c r="DH18" s="626">
        <f t="shared" si="72"/>
        <v>0</v>
      </c>
      <c r="DI18" s="626">
        <f t="shared" si="73"/>
        <v>0</v>
      </c>
      <c r="DJ18" s="626">
        <f t="shared" si="74"/>
        <v>0</v>
      </c>
      <c r="DK18" s="626">
        <f t="shared" si="75"/>
        <v>0</v>
      </c>
      <c r="DL18" s="626">
        <f t="shared" si="76"/>
        <v>0</v>
      </c>
      <c r="DM18" s="626">
        <f t="shared" si="77"/>
        <v>0</v>
      </c>
      <c r="DN18" s="626">
        <f t="shared" si="78"/>
        <v>0</v>
      </c>
      <c r="DO18" s="626">
        <f t="shared" si="79"/>
        <v>0</v>
      </c>
      <c r="DP18" s="1405">
        <f t="shared" si="80"/>
        <v>0</v>
      </c>
    </row>
    <row r="19" spans="1:120" ht="19.5" customHeight="1">
      <c r="A19" s="18" t="s">
        <v>1342</v>
      </c>
      <c r="B19" s="1385"/>
      <c r="C19" s="1386"/>
      <c r="D19" s="1387"/>
      <c r="E19" s="1388"/>
      <c r="F19" s="984"/>
      <c r="G19" s="1389"/>
      <c r="H19" s="984"/>
      <c r="I19" s="1389"/>
      <c r="J19" s="984"/>
      <c r="K19" s="1390"/>
      <c r="L19" s="1395"/>
      <c r="M19" s="1392"/>
      <c r="N19" s="1393"/>
      <c r="O19" s="1394"/>
      <c r="P19" s="1351">
        <f t="shared" si="0"/>
        <v>0</v>
      </c>
      <c r="Q19" s="1352">
        <f t="shared" si="1"/>
        <v>0</v>
      </c>
      <c r="R19" s="1353">
        <f t="shared" si="2"/>
        <v>0</v>
      </c>
      <c r="S19" s="1354" t="e">
        <f t="shared" si="3"/>
        <v>#DIV/0!</v>
      </c>
      <c r="T19" s="1355">
        <f t="shared" si="4"/>
        <v>0</v>
      </c>
      <c r="U19" s="1356">
        <f t="shared" si="5"/>
        <v>0</v>
      </c>
      <c r="V19" s="1357">
        <f t="shared" si="6"/>
        <v>0</v>
      </c>
      <c r="W19" s="1395"/>
      <c r="X19" s="1396"/>
      <c r="Y19" s="1395"/>
      <c r="Z19" s="1413"/>
      <c r="AA19" s="1395"/>
      <c r="AB19" s="1413"/>
      <c r="AC19" s="1398"/>
      <c r="AD19" s="1396"/>
      <c r="AE19" s="1395"/>
      <c r="AF19" s="1399"/>
      <c r="AG19" s="1400"/>
      <c r="AH19" s="1399"/>
      <c r="AI19" s="1401"/>
      <c r="AJ19" s="1396"/>
      <c r="AK19" s="1401"/>
      <c r="AL19" s="1399"/>
      <c r="AM19" s="1395"/>
      <c r="AN19" s="1414"/>
      <c r="AO19" s="1395"/>
      <c r="AP19" s="1413"/>
      <c r="AQ19" s="626"/>
      <c r="AR19" s="1369" t="str">
        <f t="shared" si="7"/>
        <v/>
      </c>
      <c r="AS19" s="1270" t="str">
        <f t="shared" si="8"/>
        <v/>
      </c>
      <c r="AT19" s="1270" t="str">
        <f t="shared" si="9"/>
        <v/>
      </c>
      <c r="AU19" s="1270" t="str">
        <f t="shared" si="10"/>
        <v/>
      </c>
      <c r="AV19" s="1270" t="str">
        <f t="shared" si="11"/>
        <v/>
      </c>
      <c r="AW19" s="1270" t="str">
        <f t="shared" si="12"/>
        <v/>
      </c>
      <c r="AX19" s="1270" t="str">
        <f t="shared" si="13"/>
        <v/>
      </c>
      <c r="AY19" s="1270" t="str">
        <f t="shared" si="14"/>
        <v/>
      </c>
      <c r="AZ19" s="1270" t="str">
        <f t="shared" si="15"/>
        <v/>
      </c>
      <c r="BA19" s="1270" t="str">
        <f t="shared" si="16"/>
        <v/>
      </c>
      <c r="BB19" s="1371">
        <f t="shared" si="17"/>
        <v>0</v>
      </c>
      <c r="BC19" s="1369" t="str">
        <f t="shared" si="18"/>
        <v/>
      </c>
      <c r="BD19" s="1270" t="str">
        <f t="shared" si="19"/>
        <v/>
      </c>
      <c r="BE19" s="1270" t="str">
        <f t="shared" si="20"/>
        <v/>
      </c>
      <c r="BF19" s="1270" t="str">
        <f t="shared" si="21"/>
        <v/>
      </c>
      <c r="BG19" s="1270" t="str">
        <f t="shared" si="22"/>
        <v/>
      </c>
      <c r="BH19" s="1270" t="str">
        <f t="shared" si="23"/>
        <v/>
      </c>
      <c r="BI19" s="1270" t="str">
        <f t="shared" si="24"/>
        <v/>
      </c>
      <c r="BJ19" s="1270" t="str">
        <f t="shared" si="25"/>
        <v/>
      </c>
      <c r="BK19" s="1270" t="str">
        <f t="shared" si="26"/>
        <v/>
      </c>
      <c r="BL19" s="1270" t="str">
        <f t="shared" si="27"/>
        <v/>
      </c>
      <c r="BM19" s="1371">
        <f t="shared" si="28"/>
        <v>0</v>
      </c>
      <c r="BN19" s="1372">
        <f t="shared" si="29"/>
        <v>0</v>
      </c>
      <c r="BO19" s="1372">
        <f t="shared" si="30"/>
        <v>0</v>
      </c>
      <c r="BP19" s="1372">
        <f t="shared" si="31"/>
        <v>0</v>
      </c>
      <c r="BQ19" s="1374">
        <f t="shared" si="32"/>
        <v>0</v>
      </c>
      <c r="BR19" s="1251">
        <f t="shared" si="33"/>
        <v>0</v>
      </c>
      <c r="BS19" s="1403">
        <f t="shared" si="34"/>
        <v>0</v>
      </c>
      <c r="BT19" s="1372">
        <f t="shared" si="35"/>
        <v>0</v>
      </c>
      <c r="BU19" s="1372">
        <f t="shared" si="36"/>
        <v>0</v>
      </c>
      <c r="BV19" s="1372">
        <f t="shared" si="37"/>
        <v>0</v>
      </c>
      <c r="BW19" s="1372">
        <f t="shared" si="38"/>
        <v>0</v>
      </c>
      <c r="BX19" s="1372">
        <f t="shared" si="39"/>
        <v>0</v>
      </c>
      <c r="BY19" s="1372">
        <f t="shared" si="40"/>
        <v>0</v>
      </c>
      <c r="BZ19" s="1372">
        <f t="shared" si="41"/>
        <v>0</v>
      </c>
      <c r="CA19" s="1372">
        <f t="shared" si="42"/>
        <v>0</v>
      </c>
      <c r="CB19" s="1404">
        <f t="shared" si="43"/>
        <v>0</v>
      </c>
      <c r="CC19" s="1374">
        <f t="shared" si="81"/>
        <v>0</v>
      </c>
      <c r="CD19" s="1374">
        <f t="shared" si="44"/>
        <v>0</v>
      </c>
      <c r="CE19" s="1374">
        <f t="shared" si="45"/>
        <v>0</v>
      </c>
      <c r="CF19" s="1378">
        <f t="shared" si="46"/>
        <v>0</v>
      </c>
      <c r="CG19" s="1378">
        <f t="shared" si="47"/>
        <v>0</v>
      </c>
      <c r="CH19" s="1378">
        <f t="shared" si="48"/>
        <v>0</v>
      </c>
      <c r="CI19" s="1374">
        <f t="shared" si="49"/>
        <v>0</v>
      </c>
      <c r="CJ19" s="1374">
        <f t="shared" si="50"/>
        <v>0</v>
      </c>
      <c r="CK19" s="1374" t="str">
        <f t="shared" si="51"/>
        <v/>
      </c>
      <c r="CL19" s="1374">
        <f t="shared" si="52"/>
        <v>0</v>
      </c>
      <c r="CM19" s="1379">
        <f t="shared" si="53"/>
        <v>0</v>
      </c>
      <c r="CN19" s="628">
        <f>(BS19*Pricing!F$3+BT19*Pricing!G$3+BU19*Pricing!H$3+BV19*Pricing!I$3+BW19*Pricing!J$3+BX19*Pricing!K$3+BY19*Pricing!L$3+BZ19*Pricing!M$3+CA19*Pricing!N$3+CB19*Pricing!O$3)*IF(W$44="N",(1+Y$44),1)</f>
        <v>0</v>
      </c>
      <c r="CO19" s="628">
        <f t="shared" si="54"/>
        <v>0</v>
      </c>
      <c r="CP19" s="1380">
        <f t="shared" si="55"/>
        <v>0</v>
      </c>
      <c r="CQ19" s="628">
        <f t="shared" si="56"/>
        <v>0</v>
      </c>
      <c r="CR19" s="628">
        <f t="shared" si="57"/>
        <v>0</v>
      </c>
      <c r="CS19" s="628"/>
      <c r="CT19" s="1381">
        <f t="shared" si="58"/>
        <v>0</v>
      </c>
      <c r="CU19" s="628">
        <f t="shared" si="59"/>
        <v>0</v>
      </c>
      <c r="CV19" s="628">
        <f t="shared" si="60"/>
        <v>0</v>
      </c>
      <c r="CW19" s="628">
        <f t="shared" si="61"/>
        <v>0</v>
      </c>
      <c r="CX19" s="628">
        <f t="shared" si="62"/>
        <v>0</v>
      </c>
      <c r="CY19" s="628">
        <f t="shared" si="63"/>
        <v>0</v>
      </c>
      <c r="CZ19" s="628">
        <f t="shared" si="64"/>
        <v>0</v>
      </c>
      <c r="DA19" s="628">
        <f t="shared" si="65"/>
        <v>0</v>
      </c>
      <c r="DB19" s="628">
        <f t="shared" si="66"/>
        <v>0</v>
      </c>
      <c r="DC19" s="628">
        <f t="shared" si="67"/>
        <v>0</v>
      </c>
      <c r="DD19" s="628">
        <f t="shared" si="68"/>
        <v>0</v>
      </c>
      <c r="DE19" s="1382" t="e">
        <f t="shared" si="69"/>
        <v>#DIV/0!</v>
      </c>
      <c r="DF19" s="626">
        <f t="shared" si="70"/>
        <v>0</v>
      </c>
      <c r="DG19" s="626">
        <f t="shared" si="71"/>
        <v>0</v>
      </c>
      <c r="DH19" s="626">
        <f t="shared" si="72"/>
        <v>0</v>
      </c>
      <c r="DI19" s="626">
        <f t="shared" si="73"/>
        <v>0</v>
      </c>
      <c r="DJ19" s="626">
        <f t="shared" si="74"/>
        <v>0</v>
      </c>
      <c r="DK19" s="626">
        <f t="shared" si="75"/>
        <v>0</v>
      </c>
      <c r="DL19" s="626">
        <f t="shared" si="76"/>
        <v>0</v>
      </c>
      <c r="DM19" s="626">
        <f t="shared" si="77"/>
        <v>0</v>
      </c>
      <c r="DN19" s="626">
        <f t="shared" si="78"/>
        <v>0</v>
      </c>
      <c r="DO19" s="626">
        <f t="shared" si="79"/>
        <v>0</v>
      </c>
      <c r="DP19" s="1405">
        <f t="shared" si="80"/>
        <v>0</v>
      </c>
    </row>
    <row r="20" spans="1:120" ht="19.5" customHeight="1">
      <c r="A20" s="18" t="s">
        <v>1451</v>
      </c>
      <c r="B20" s="859"/>
      <c r="C20" s="1342"/>
      <c r="D20" s="1422"/>
      <c r="E20" s="1423"/>
      <c r="F20" s="984"/>
      <c r="G20" s="1345"/>
      <c r="H20" s="984"/>
      <c r="I20" s="1345"/>
      <c r="J20" s="984"/>
      <c r="K20" s="1346"/>
      <c r="L20" s="503"/>
      <c r="M20" s="834"/>
      <c r="N20" s="1349"/>
      <c r="O20" s="1350"/>
      <c r="P20" s="1351">
        <f t="shared" si="0"/>
        <v>0</v>
      </c>
      <c r="Q20" s="1352">
        <f t="shared" si="1"/>
        <v>0</v>
      </c>
      <c r="R20" s="1353">
        <f t="shared" si="2"/>
        <v>0</v>
      </c>
      <c r="S20" s="1354" t="e">
        <f t="shared" si="3"/>
        <v>#DIV/0!</v>
      </c>
      <c r="T20" s="1355">
        <f t="shared" si="4"/>
        <v>0</v>
      </c>
      <c r="U20" s="1356">
        <f t="shared" si="5"/>
        <v>0</v>
      </c>
      <c r="V20" s="1357">
        <f t="shared" si="6"/>
        <v>0</v>
      </c>
      <c r="W20" s="503"/>
      <c r="X20" s="1362"/>
      <c r="Y20" s="503"/>
      <c r="Z20" s="1415"/>
      <c r="AA20" s="503"/>
      <c r="AB20" s="1415"/>
      <c r="AC20" s="1361"/>
      <c r="AD20" s="1362"/>
      <c r="AE20" s="1347"/>
      <c r="AF20" s="1363"/>
      <c r="AG20" s="1364"/>
      <c r="AH20" s="1363"/>
      <c r="AI20" s="1653"/>
      <c r="AJ20" s="1366"/>
      <c r="AK20" s="1367"/>
      <c r="AL20" s="1363"/>
      <c r="AM20" s="503"/>
      <c r="AN20" s="1416"/>
      <c r="AO20" s="503"/>
      <c r="AP20" s="1415"/>
      <c r="AQ20" s="626"/>
      <c r="AR20" s="1369" t="str">
        <f t="shared" si="7"/>
        <v/>
      </c>
      <c r="AS20" s="1270" t="str">
        <f t="shared" si="8"/>
        <v/>
      </c>
      <c r="AT20" s="1270" t="str">
        <f t="shared" si="9"/>
        <v/>
      </c>
      <c r="AU20" s="1270" t="str">
        <f t="shared" si="10"/>
        <v/>
      </c>
      <c r="AV20" s="1270" t="str">
        <f t="shared" si="11"/>
        <v/>
      </c>
      <c r="AW20" s="1270" t="str">
        <f t="shared" si="12"/>
        <v/>
      </c>
      <c r="AX20" s="1270" t="str">
        <f t="shared" si="13"/>
        <v/>
      </c>
      <c r="AY20" s="1270" t="str">
        <f t="shared" si="14"/>
        <v/>
      </c>
      <c r="AZ20" s="1270" t="str">
        <f t="shared" si="15"/>
        <v/>
      </c>
      <c r="BA20" s="1270" t="str">
        <f t="shared" si="16"/>
        <v/>
      </c>
      <c r="BB20" s="1371">
        <f t="shared" si="17"/>
        <v>0</v>
      </c>
      <c r="BC20" s="1369" t="str">
        <f t="shared" si="18"/>
        <v/>
      </c>
      <c r="BD20" s="1270" t="str">
        <f t="shared" si="19"/>
        <v/>
      </c>
      <c r="BE20" s="1270" t="str">
        <f t="shared" si="20"/>
        <v/>
      </c>
      <c r="BF20" s="1270" t="str">
        <f t="shared" si="21"/>
        <v/>
      </c>
      <c r="BG20" s="1270" t="str">
        <f t="shared" si="22"/>
        <v/>
      </c>
      <c r="BH20" s="1270" t="str">
        <f t="shared" si="23"/>
        <v/>
      </c>
      <c r="BI20" s="1270" t="str">
        <f t="shared" si="24"/>
        <v/>
      </c>
      <c r="BJ20" s="1270" t="str">
        <f t="shared" si="25"/>
        <v/>
      </c>
      <c r="BK20" s="1270" t="str">
        <f t="shared" si="26"/>
        <v/>
      </c>
      <c r="BL20" s="1270" t="str">
        <f t="shared" si="27"/>
        <v/>
      </c>
      <c r="BM20" s="1371">
        <f t="shared" si="28"/>
        <v>0</v>
      </c>
      <c r="BN20" s="1372">
        <f t="shared" si="29"/>
        <v>0</v>
      </c>
      <c r="BO20" s="1372">
        <f t="shared" si="30"/>
        <v>0</v>
      </c>
      <c r="BP20" s="1372">
        <f t="shared" si="31"/>
        <v>0</v>
      </c>
      <c r="BQ20" s="1374">
        <f t="shared" si="32"/>
        <v>0</v>
      </c>
      <c r="BR20" s="1251">
        <f t="shared" si="33"/>
        <v>0</v>
      </c>
      <c r="BS20" s="1403">
        <f t="shared" si="34"/>
        <v>0</v>
      </c>
      <c r="BT20" s="1372">
        <f t="shared" si="35"/>
        <v>0</v>
      </c>
      <c r="BU20" s="1372">
        <f t="shared" si="36"/>
        <v>0</v>
      </c>
      <c r="BV20" s="1372">
        <f t="shared" si="37"/>
        <v>0</v>
      </c>
      <c r="BW20" s="1372">
        <f t="shared" si="38"/>
        <v>0</v>
      </c>
      <c r="BX20" s="1372">
        <f t="shared" si="39"/>
        <v>0</v>
      </c>
      <c r="BY20" s="1372">
        <f t="shared" si="40"/>
        <v>0</v>
      </c>
      <c r="BZ20" s="1372">
        <f t="shared" si="41"/>
        <v>0</v>
      </c>
      <c r="CA20" s="1372">
        <f t="shared" si="42"/>
        <v>0</v>
      </c>
      <c r="CB20" s="1404">
        <f t="shared" si="43"/>
        <v>0</v>
      </c>
      <c r="CC20" s="1374">
        <f t="shared" si="81"/>
        <v>0</v>
      </c>
      <c r="CD20" s="1374">
        <f t="shared" si="44"/>
        <v>0</v>
      </c>
      <c r="CE20" s="1374">
        <f t="shared" si="45"/>
        <v>0</v>
      </c>
      <c r="CF20" s="1378">
        <f t="shared" si="46"/>
        <v>0</v>
      </c>
      <c r="CG20" s="1378">
        <f t="shared" si="47"/>
        <v>0</v>
      </c>
      <c r="CH20" s="1378">
        <f t="shared" si="48"/>
        <v>0</v>
      </c>
      <c r="CI20" s="1374">
        <f t="shared" si="49"/>
        <v>0</v>
      </c>
      <c r="CJ20" s="1374">
        <f t="shared" si="50"/>
        <v>0</v>
      </c>
      <c r="CK20" s="1374" t="str">
        <f t="shared" si="51"/>
        <v/>
      </c>
      <c r="CL20" s="1374">
        <f t="shared" si="52"/>
        <v>0</v>
      </c>
      <c r="CM20" s="1379">
        <f t="shared" si="53"/>
        <v>0</v>
      </c>
      <c r="CN20" s="628">
        <f>(BS20*Pricing!F$3+BT20*Pricing!G$3+BU20*Pricing!H$3+BV20*Pricing!I$3+BW20*Pricing!J$3+BX20*Pricing!K$3+BY20*Pricing!L$3+BZ20*Pricing!M$3+CA20*Pricing!N$3+CB20*Pricing!O$3)*IF(W$44="N",(1+Y$44),1)</f>
        <v>0</v>
      </c>
      <c r="CO20" s="628">
        <f t="shared" si="54"/>
        <v>0</v>
      </c>
      <c r="CP20" s="1380">
        <f t="shared" si="55"/>
        <v>0</v>
      </c>
      <c r="CQ20" s="628">
        <f t="shared" si="56"/>
        <v>0</v>
      </c>
      <c r="CR20" s="628">
        <f t="shared" si="57"/>
        <v>0</v>
      </c>
      <c r="CS20" s="628"/>
      <c r="CT20" s="1381">
        <f t="shared" si="58"/>
        <v>0</v>
      </c>
      <c r="CU20" s="628">
        <f t="shared" si="59"/>
        <v>0</v>
      </c>
      <c r="CV20" s="628">
        <f t="shared" si="60"/>
        <v>0</v>
      </c>
      <c r="CW20" s="628">
        <f t="shared" si="61"/>
        <v>0</v>
      </c>
      <c r="CX20" s="628">
        <f t="shared" si="62"/>
        <v>0</v>
      </c>
      <c r="CY20" s="628">
        <f t="shared" si="63"/>
        <v>0</v>
      </c>
      <c r="CZ20" s="628">
        <f t="shared" si="64"/>
        <v>0</v>
      </c>
      <c r="DA20" s="628">
        <f t="shared" si="65"/>
        <v>0</v>
      </c>
      <c r="DB20" s="628">
        <f t="shared" si="66"/>
        <v>0</v>
      </c>
      <c r="DC20" s="628">
        <f t="shared" si="67"/>
        <v>0</v>
      </c>
      <c r="DD20" s="628">
        <f t="shared" si="68"/>
        <v>0</v>
      </c>
      <c r="DE20" s="1382" t="e">
        <f t="shared" si="69"/>
        <v>#DIV/0!</v>
      </c>
      <c r="DF20" s="626">
        <f t="shared" si="70"/>
        <v>0</v>
      </c>
      <c r="DG20" s="626">
        <f t="shared" si="71"/>
        <v>0</v>
      </c>
      <c r="DH20" s="626">
        <f t="shared" si="72"/>
        <v>0</v>
      </c>
      <c r="DI20" s="626">
        <f t="shared" si="73"/>
        <v>0</v>
      </c>
      <c r="DJ20" s="626">
        <f t="shared" si="74"/>
        <v>0</v>
      </c>
      <c r="DK20" s="626">
        <f t="shared" si="75"/>
        <v>0</v>
      </c>
      <c r="DL20" s="626">
        <f t="shared" si="76"/>
        <v>0</v>
      </c>
      <c r="DM20" s="626">
        <f t="shared" si="77"/>
        <v>0</v>
      </c>
      <c r="DN20" s="626">
        <f t="shared" si="78"/>
        <v>0</v>
      </c>
      <c r="DO20" s="626">
        <f t="shared" si="79"/>
        <v>0</v>
      </c>
      <c r="DP20" s="1405">
        <f t="shared" si="80"/>
        <v>0</v>
      </c>
    </row>
    <row r="21" spans="1:120" ht="19.5" customHeight="1">
      <c r="A21" s="18" t="s">
        <v>1077</v>
      </c>
      <c r="B21" s="1385"/>
      <c r="C21" s="1386"/>
      <c r="D21" s="1387"/>
      <c r="E21" s="1388"/>
      <c r="F21" s="984"/>
      <c r="G21" s="1389"/>
      <c r="H21" s="984"/>
      <c r="I21" s="1389"/>
      <c r="J21" s="984"/>
      <c r="K21" s="1390"/>
      <c r="L21" s="1391"/>
      <c r="M21" s="1392"/>
      <c r="N21" s="1393"/>
      <c r="O21" s="1394"/>
      <c r="P21" s="1351">
        <f t="shared" si="0"/>
        <v>0</v>
      </c>
      <c r="Q21" s="1352">
        <f t="shared" si="1"/>
        <v>0</v>
      </c>
      <c r="R21" s="1353">
        <f t="shared" si="2"/>
        <v>0</v>
      </c>
      <c r="S21" s="1354" t="e">
        <f t="shared" si="3"/>
        <v>#DIV/0!</v>
      </c>
      <c r="T21" s="1355">
        <f t="shared" si="4"/>
        <v>0</v>
      </c>
      <c r="U21" s="1356">
        <f t="shared" si="5"/>
        <v>0</v>
      </c>
      <c r="V21" s="1357">
        <f t="shared" si="6"/>
        <v>0</v>
      </c>
      <c r="W21" s="1395"/>
      <c r="X21" s="1396"/>
      <c r="Y21" s="1395"/>
      <c r="Z21" s="1413"/>
      <c r="AA21" s="1395"/>
      <c r="AB21" s="1413"/>
      <c r="AC21" s="1398"/>
      <c r="AD21" s="1396"/>
      <c r="AE21" s="1395"/>
      <c r="AF21" s="1399"/>
      <c r="AG21" s="1400"/>
      <c r="AH21" s="1399"/>
      <c r="AI21" s="1401"/>
      <c r="AJ21" s="1396"/>
      <c r="AK21" s="1401"/>
      <c r="AL21" s="1399"/>
      <c r="AM21" s="1395"/>
      <c r="AN21" s="1414"/>
      <c r="AO21" s="1395"/>
      <c r="AP21" s="1413"/>
      <c r="AQ21" s="626"/>
      <c r="AR21" s="1369" t="str">
        <f t="shared" si="7"/>
        <v/>
      </c>
      <c r="AS21" s="1270" t="str">
        <f t="shared" si="8"/>
        <v/>
      </c>
      <c r="AT21" s="1270" t="str">
        <f t="shared" si="9"/>
        <v/>
      </c>
      <c r="AU21" s="1270" t="str">
        <f t="shared" si="10"/>
        <v/>
      </c>
      <c r="AV21" s="1270" t="str">
        <f t="shared" si="11"/>
        <v/>
      </c>
      <c r="AW21" s="1270" t="str">
        <f t="shared" si="12"/>
        <v/>
      </c>
      <c r="AX21" s="1270" t="str">
        <f t="shared" si="13"/>
        <v/>
      </c>
      <c r="AY21" s="1270" t="str">
        <f t="shared" si="14"/>
        <v/>
      </c>
      <c r="AZ21" s="1270" t="str">
        <f t="shared" si="15"/>
        <v/>
      </c>
      <c r="BA21" s="1270" t="str">
        <f t="shared" si="16"/>
        <v/>
      </c>
      <c r="BB21" s="1371">
        <f t="shared" si="17"/>
        <v>0</v>
      </c>
      <c r="BC21" s="1369" t="str">
        <f t="shared" si="18"/>
        <v/>
      </c>
      <c r="BD21" s="1270" t="str">
        <f t="shared" si="19"/>
        <v/>
      </c>
      <c r="BE21" s="1270" t="str">
        <f t="shared" si="20"/>
        <v/>
      </c>
      <c r="BF21" s="1270" t="str">
        <f t="shared" si="21"/>
        <v/>
      </c>
      <c r="BG21" s="1270" t="str">
        <f t="shared" si="22"/>
        <v/>
      </c>
      <c r="BH21" s="1270" t="str">
        <f t="shared" si="23"/>
        <v/>
      </c>
      <c r="BI21" s="1270" t="str">
        <f t="shared" si="24"/>
        <v/>
      </c>
      <c r="BJ21" s="1270" t="str">
        <f t="shared" si="25"/>
        <v/>
      </c>
      <c r="BK21" s="1270" t="str">
        <f t="shared" si="26"/>
        <v/>
      </c>
      <c r="BL21" s="1270" t="str">
        <f t="shared" si="27"/>
        <v/>
      </c>
      <c r="BM21" s="1371">
        <f t="shared" si="28"/>
        <v>0</v>
      </c>
      <c r="BN21" s="1372">
        <f t="shared" si="29"/>
        <v>0</v>
      </c>
      <c r="BO21" s="1372">
        <f t="shared" si="30"/>
        <v>0</v>
      </c>
      <c r="BP21" s="1372">
        <f t="shared" si="31"/>
        <v>0</v>
      </c>
      <c r="BQ21" s="1374">
        <f t="shared" si="32"/>
        <v>0</v>
      </c>
      <c r="BR21" s="1251">
        <f t="shared" si="33"/>
        <v>0</v>
      </c>
      <c r="BS21" s="1403">
        <f t="shared" si="34"/>
        <v>0</v>
      </c>
      <c r="BT21" s="1372">
        <f t="shared" si="35"/>
        <v>0</v>
      </c>
      <c r="BU21" s="1372">
        <f t="shared" si="36"/>
        <v>0</v>
      </c>
      <c r="BV21" s="1372">
        <f t="shared" si="37"/>
        <v>0</v>
      </c>
      <c r="BW21" s="1372">
        <f t="shared" si="38"/>
        <v>0</v>
      </c>
      <c r="BX21" s="1372">
        <f t="shared" si="39"/>
        <v>0</v>
      </c>
      <c r="BY21" s="1372">
        <f t="shared" si="40"/>
        <v>0</v>
      </c>
      <c r="BZ21" s="1372">
        <f t="shared" si="41"/>
        <v>0</v>
      </c>
      <c r="CA21" s="1372">
        <f t="shared" si="42"/>
        <v>0</v>
      </c>
      <c r="CB21" s="1404">
        <f t="shared" si="43"/>
        <v>0</v>
      </c>
      <c r="CC21" s="1374">
        <f t="shared" si="81"/>
        <v>0</v>
      </c>
      <c r="CD21" s="1374">
        <f t="shared" si="44"/>
        <v>0</v>
      </c>
      <c r="CE21" s="1374">
        <f t="shared" si="45"/>
        <v>0</v>
      </c>
      <c r="CF21" s="1378">
        <f t="shared" si="46"/>
        <v>0</v>
      </c>
      <c r="CG21" s="1378">
        <f t="shared" si="47"/>
        <v>0</v>
      </c>
      <c r="CH21" s="1378">
        <f t="shared" si="48"/>
        <v>0</v>
      </c>
      <c r="CI21" s="1374">
        <f t="shared" si="49"/>
        <v>0</v>
      </c>
      <c r="CJ21" s="1374">
        <f t="shared" si="50"/>
        <v>0</v>
      </c>
      <c r="CK21" s="1374" t="str">
        <f t="shared" si="51"/>
        <v/>
      </c>
      <c r="CL21" s="1374">
        <f t="shared" si="52"/>
        <v>0</v>
      </c>
      <c r="CM21" s="1379">
        <f t="shared" si="53"/>
        <v>0</v>
      </c>
      <c r="CN21" s="628">
        <f>(BS21*Pricing!F$3+BT21*Pricing!G$3+BU21*Pricing!H$3+BV21*Pricing!I$3+BW21*Pricing!J$3+BX21*Pricing!K$3+BY21*Pricing!L$3+BZ21*Pricing!M$3+CA21*Pricing!N$3+CB21*Pricing!O$3)*IF(W$44="N",(1+Y$44),1)</f>
        <v>0</v>
      </c>
      <c r="CO21" s="628">
        <f t="shared" si="54"/>
        <v>0</v>
      </c>
      <c r="CP21" s="1380">
        <f t="shared" si="55"/>
        <v>0</v>
      </c>
      <c r="CQ21" s="628">
        <f t="shared" si="56"/>
        <v>0</v>
      </c>
      <c r="CR21" s="628">
        <f t="shared" si="57"/>
        <v>0</v>
      </c>
      <c r="CS21" s="628"/>
      <c r="CT21" s="1381">
        <f t="shared" si="58"/>
        <v>0</v>
      </c>
      <c r="CU21" s="628">
        <f t="shared" si="59"/>
        <v>0</v>
      </c>
      <c r="CV21" s="628">
        <f t="shared" si="60"/>
        <v>0</v>
      </c>
      <c r="CW21" s="628">
        <f t="shared" si="61"/>
        <v>0</v>
      </c>
      <c r="CX21" s="628">
        <f t="shared" si="62"/>
        <v>0</v>
      </c>
      <c r="CY21" s="628">
        <f t="shared" si="63"/>
        <v>0</v>
      </c>
      <c r="CZ21" s="628">
        <f t="shared" si="64"/>
        <v>0</v>
      </c>
      <c r="DA21" s="628">
        <f t="shared" si="65"/>
        <v>0</v>
      </c>
      <c r="DB21" s="628">
        <f t="shared" si="66"/>
        <v>0</v>
      </c>
      <c r="DC21" s="628">
        <f t="shared" si="67"/>
        <v>0</v>
      </c>
      <c r="DD21" s="628">
        <f t="shared" si="68"/>
        <v>0</v>
      </c>
      <c r="DE21" s="1382" t="e">
        <f t="shared" si="69"/>
        <v>#DIV/0!</v>
      </c>
      <c r="DF21" s="626">
        <f t="shared" si="70"/>
        <v>0</v>
      </c>
      <c r="DG21" s="626">
        <f t="shared" si="71"/>
        <v>0</v>
      </c>
      <c r="DH21" s="626">
        <f t="shared" si="72"/>
        <v>0</v>
      </c>
      <c r="DI21" s="626">
        <f t="shared" si="73"/>
        <v>0</v>
      </c>
      <c r="DJ21" s="626">
        <f t="shared" si="74"/>
        <v>0</v>
      </c>
      <c r="DK21" s="626">
        <f t="shared" si="75"/>
        <v>0</v>
      </c>
      <c r="DL21" s="626">
        <f t="shared" si="76"/>
        <v>0</v>
      </c>
      <c r="DM21" s="626">
        <f t="shared" si="77"/>
        <v>0</v>
      </c>
      <c r="DN21" s="626">
        <f t="shared" si="78"/>
        <v>0</v>
      </c>
      <c r="DO21" s="626">
        <f t="shared" si="79"/>
        <v>0</v>
      </c>
      <c r="DP21" s="1405">
        <f t="shared" si="80"/>
        <v>0</v>
      </c>
    </row>
    <row r="22" spans="1:120" ht="19.5" customHeight="1">
      <c r="A22" s="18" t="s">
        <v>1078</v>
      </c>
      <c r="B22" s="859"/>
      <c r="C22" s="1342"/>
      <c r="D22" s="1343"/>
      <c r="E22" s="1344"/>
      <c r="F22" s="984"/>
      <c r="G22" s="1389"/>
      <c r="H22" s="984"/>
      <c r="I22" s="1389"/>
      <c r="J22" s="984"/>
      <c r="K22" s="1419"/>
      <c r="L22" s="503"/>
      <c r="M22" s="834"/>
      <c r="N22" s="1349"/>
      <c r="O22" s="1350"/>
      <c r="P22" s="1351">
        <f t="shared" si="0"/>
        <v>0</v>
      </c>
      <c r="Q22" s="1352">
        <f t="shared" si="1"/>
        <v>0</v>
      </c>
      <c r="R22" s="1353">
        <f t="shared" si="2"/>
        <v>0</v>
      </c>
      <c r="S22" s="1354" t="e">
        <f t="shared" si="3"/>
        <v>#DIV/0!</v>
      </c>
      <c r="T22" s="1355">
        <f t="shared" si="4"/>
        <v>0</v>
      </c>
      <c r="U22" s="1356">
        <f t="shared" si="5"/>
        <v>0</v>
      </c>
      <c r="V22" s="1357">
        <f t="shared" si="6"/>
        <v>0</v>
      </c>
      <c r="W22" s="1347"/>
      <c r="X22" s="1362"/>
      <c r="Y22" s="503"/>
      <c r="Z22" s="1410"/>
      <c r="AA22" s="503"/>
      <c r="AB22" s="1410"/>
      <c r="AC22" s="1421"/>
      <c r="AD22" s="1362"/>
      <c r="AE22" s="503"/>
      <c r="AF22" s="1363"/>
      <c r="AG22" s="1367"/>
      <c r="AH22" s="1363"/>
      <c r="AI22" s="1653"/>
      <c r="AJ22" s="1366"/>
      <c r="AK22" s="1367"/>
      <c r="AL22" s="1363"/>
      <c r="AM22" s="503"/>
      <c r="AN22" s="1411"/>
      <c r="AO22" s="503"/>
      <c r="AP22" s="1410"/>
      <c r="AQ22" s="626"/>
      <c r="AR22" s="1369" t="str">
        <f t="shared" si="7"/>
        <v/>
      </c>
      <c r="AS22" s="1270" t="str">
        <f t="shared" si="8"/>
        <v/>
      </c>
      <c r="AT22" s="1270" t="str">
        <f t="shared" si="9"/>
        <v/>
      </c>
      <c r="AU22" s="1270" t="str">
        <f t="shared" si="10"/>
        <v/>
      </c>
      <c r="AV22" s="1270" t="str">
        <f t="shared" si="11"/>
        <v/>
      </c>
      <c r="AW22" s="1270" t="str">
        <f t="shared" si="12"/>
        <v/>
      </c>
      <c r="AX22" s="1270" t="str">
        <f t="shared" si="13"/>
        <v/>
      </c>
      <c r="AY22" s="1270" t="str">
        <f t="shared" si="14"/>
        <v/>
      </c>
      <c r="AZ22" s="1270" t="str">
        <f t="shared" si="15"/>
        <v/>
      </c>
      <c r="BA22" s="1270" t="str">
        <f t="shared" si="16"/>
        <v/>
      </c>
      <c r="BB22" s="1371">
        <f t="shared" si="17"/>
        <v>0</v>
      </c>
      <c r="BC22" s="1369" t="str">
        <f t="shared" si="18"/>
        <v/>
      </c>
      <c r="BD22" s="1270" t="str">
        <f t="shared" si="19"/>
        <v/>
      </c>
      <c r="BE22" s="1270" t="str">
        <f t="shared" si="20"/>
        <v/>
      </c>
      <c r="BF22" s="1270" t="str">
        <f t="shared" si="21"/>
        <v/>
      </c>
      <c r="BG22" s="1270" t="str">
        <f t="shared" si="22"/>
        <v/>
      </c>
      <c r="BH22" s="1270" t="str">
        <f t="shared" si="23"/>
        <v/>
      </c>
      <c r="BI22" s="1270" t="str">
        <f t="shared" si="24"/>
        <v/>
      </c>
      <c r="BJ22" s="1270" t="str">
        <f t="shared" si="25"/>
        <v/>
      </c>
      <c r="BK22" s="1270" t="str">
        <f t="shared" si="26"/>
        <v/>
      </c>
      <c r="BL22" s="1270" t="str">
        <f t="shared" si="27"/>
        <v/>
      </c>
      <c r="BM22" s="1371">
        <f t="shared" si="28"/>
        <v>0</v>
      </c>
      <c r="BN22" s="1372">
        <f t="shared" si="29"/>
        <v>0</v>
      </c>
      <c r="BO22" s="1372">
        <f t="shared" si="30"/>
        <v>0</v>
      </c>
      <c r="BP22" s="1372">
        <f t="shared" si="31"/>
        <v>0</v>
      </c>
      <c r="BQ22" s="1374">
        <f t="shared" si="32"/>
        <v>0</v>
      </c>
      <c r="BR22" s="1251">
        <f t="shared" si="33"/>
        <v>0</v>
      </c>
      <c r="BS22" s="1403">
        <f t="shared" si="34"/>
        <v>0</v>
      </c>
      <c r="BT22" s="1372">
        <f t="shared" si="35"/>
        <v>0</v>
      </c>
      <c r="BU22" s="1372">
        <f t="shared" si="36"/>
        <v>0</v>
      </c>
      <c r="BV22" s="1372">
        <f t="shared" si="37"/>
        <v>0</v>
      </c>
      <c r="BW22" s="1372">
        <f t="shared" si="38"/>
        <v>0</v>
      </c>
      <c r="BX22" s="1372">
        <f t="shared" si="39"/>
        <v>0</v>
      </c>
      <c r="BY22" s="1372">
        <f t="shared" si="40"/>
        <v>0</v>
      </c>
      <c r="BZ22" s="1372">
        <f t="shared" si="41"/>
        <v>0</v>
      </c>
      <c r="CA22" s="1372">
        <f t="shared" si="42"/>
        <v>0</v>
      </c>
      <c r="CB22" s="1404">
        <f t="shared" si="43"/>
        <v>0</v>
      </c>
      <c r="CC22" s="1374">
        <f t="shared" si="81"/>
        <v>0</v>
      </c>
      <c r="CD22" s="1374">
        <f t="shared" si="44"/>
        <v>0</v>
      </c>
      <c r="CE22" s="1374">
        <f t="shared" si="45"/>
        <v>0</v>
      </c>
      <c r="CF22" s="1378">
        <f t="shared" si="46"/>
        <v>0</v>
      </c>
      <c r="CG22" s="1378">
        <f t="shared" si="47"/>
        <v>0</v>
      </c>
      <c r="CH22" s="1378">
        <f t="shared" si="48"/>
        <v>0</v>
      </c>
      <c r="CI22" s="1374">
        <f t="shared" si="49"/>
        <v>0</v>
      </c>
      <c r="CJ22" s="1374">
        <f t="shared" si="50"/>
        <v>0</v>
      </c>
      <c r="CK22" s="1374" t="str">
        <f t="shared" si="51"/>
        <v/>
      </c>
      <c r="CL22" s="1374">
        <f t="shared" si="52"/>
        <v>0</v>
      </c>
      <c r="CM22" s="1379">
        <f t="shared" si="53"/>
        <v>0</v>
      </c>
      <c r="CN22" s="628">
        <f>(BS22*Pricing!F$3+BT22*Pricing!G$3+BU22*Pricing!H$3+BV22*Pricing!I$3+BW22*Pricing!J$3+BX22*Pricing!K$3+BY22*Pricing!L$3+BZ22*Pricing!M$3+CA22*Pricing!N$3+CB22*Pricing!O$3)*IF(W$44="N",(1+Y$44),1)</f>
        <v>0</v>
      </c>
      <c r="CO22" s="628">
        <f t="shared" si="54"/>
        <v>0</v>
      </c>
      <c r="CP22" s="1380">
        <f t="shared" si="55"/>
        <v>0</v>
      </c>
      <c r="CQ22" s="628">
        <f t="shared" si="56"/>
        <v>0</v>
      </c>
      <c r="CR22" s="628">
        <f t="shared" si="57"/>
        <v>0</v>
      </c>
      <c r="CS22" s="628"/>
      <c r="CT22" s="1381">
        <f t="shared" si="58"/>
        <v>0</v>
      </c>
      <c r="CU22" s="628">
        <f t="shared" si="59"/>
        <v>0</v>
      </c>
      <c r="CV22" s="628">
        <f t="shared" si="60"/>
        <v>0</v>
      </c>
      <c r="CW22" s="628">
        <f t="shared" si="61"/>
        <v>0</v>
      </c>
      <c r="CX22" s="628">
        <f t="shared" si="62"/>
        <v>0</v>
      </c>
      <c r="CY22" s="628">
        <f t="shared" si="63"/>
        <v>0</v>
      </c>
      <c r="CZ22" s="628">
        <f t="shared" si="64"/>
        <v>0</v>
      </c>
      <c r="DA22" s="628">
        <f t="shared" si="65"/>
        <v>0</v>
      </c>
      <c r="DB22" s="628">
        <f t="shared" si="66"/>
        <v>0</v>
      </c>
      <c r="DC22" s="628">
        <f t="shared" si="67"/>
        <v>0</v>
      </c>
      <c r="DD22" s="628">
        <f t="shared" si="68"/>
        <v>0</v>
      </c>
      <c r="DE22" s="1382" t="e">
        <f t="shared" si="69"/>
        <v>#DIV/0!</v>
      </c>
      <c r="DF22" s="626">
        <f t="shared" si="70"/>
        <v>0</v>
      </c>
      <c r="DG22" s="626">
        <f t="shared" si="71"/>
        <v>0</v>
      </c>
      <c r="DH22" s="626">
        <f t="shared" si="72"/>
        <v>0</v>
      </c>
      <c r="DI22" s="626">
        <f t="shared" si="73"/>
        <v>0</v>
      </c>
      <c r="DJ22" s="626">
        <f t="shared" si="74"/>
        <v>0</v>
      </c>
      <c r="DK22" s="626">
        <f t="shared" si="75"/>
        <v>0</v>
      </c>
      <c r="DL22" s="626">
        <f t="shared" si="76"/>
        <v>0</v>
      </c>
      <c r="DM22" s="626">
        <f t="shared" si="77"/>
        <v>0</v>
      </c>
      <c r="DN22" s="626">
        <f t="shared" si="78"/>
        <v>0</v>
      </c>
      <c r="DO22" s="626">
        <f t="shared" si="79"/>
        <v>0</v>
      </c>
      <c r="DP22" s="1405">
        <f t="shared" si="80"/>
        <v>0</v>
      </c>
    </row>
    <row r="23" spans="1:120" ht="19.5" customHeight="1">
      <c r="A23" s="18" t="s">
        <v>1328</v>
      </c>
      <c r="B23" s="1385"/>
      <c r="C23" s="1386"/>
      <c r="D23" s="1387"/>
      <c r="E23" s="1388"/>
      <c r="F23" s="984"/>
      <c r="G23" s="1389"/>
      <c r="H23" s="984"/>
      <c r="I23" s="1389"/>
      <c r="J23" s="984"/>
      <c r="K23" s="1419"/>
      <c r="L23" s="1391"/>
      <c r="M23" s="1392"/>
      <c r="N23" s="1393"/>
      <c r="O23" s="1394"/>
      <c r="P23" s="1351">
        <f t="shared" si="0"/>
        <v>0</v>
      </c>
      <c r="Q23" s="1352">
        <f t="shared" si="1"/>
        <v>0</v>
      </c>
      <c r="R23" s="1353">
        <f t="shared" si="2"/>
        <v>0</v>
      </c>
      <c r="S23" s="1354" t="e">
        <f t="shared" si="3"/>
        <v>#DIV/0!</v>
      </c>
      <c r="T23" s="1355">
        <f t="shared" si="4"/>
        <v>0</v>
      </c>
      <c r="U23" s="1356">
        <f t="shared" si="5"/>
        <v>0</v>
      </c>
      <c r="V23" s="1357">
        <f t="shared" si="6"/>
        <v>0</v>
      </c>
      <c r="W23" s="1395"/>
      <c r="X23" s="1396"/>
      <c r="Y23" s="1395"/>
      <c r="Z23" s="1397"/>
      <c r="AA23" s="1395"/>
      <c r="AB23" s="1397"/>
      <c r="AC23" s="1398"/>
      <c r="AD23" s="1396"/>
      <c r="AE23" s="1395"/>
      <c r="AF23" s="1399"/>
      <c r="AG23" s="1400"/>
      <c r="AH23" s="1399"/>
      <c r="AI23" s="1401"/>
      <c r="AJ23" s="1396"/>
      <c r="AK23" s="1401"/>
      <c r="AL23" s="1417"/>
      <c r="AM23" s="1395"/>
      <c r="AN23" s="1402"/>
      <c r="AO23" s="1395"/>
      <c r="AP23" s="1397"/>
      <c r="AQ23" s="626"/>
      <c r="AR23" s="1369" t="str">
        <f t="shared" si="7"/>
        <v/>
      </c>
      <c r="AS23" s="1270" t="str">
        <f t="shared" si="8"/>
        <v/>
      </c>
      <c r="AT23" s="1270" t="str">
        <f t="shared" si="9"/>
        <v/>
      </c>
      <c r="AU23" s="1270" t="str">
        <f t="shared" si="10"/>
        <v/>
      </c>
      <c r="AV23" s="1270" t="str">
        <f t="shared" si="11"/>
        <v/>
      </c>
      <c r="AW23" s="1270" t="str">
        <f t="shared" si="12"/>
        <v/>
      </c>
      <c r="AX23" s="1270" t="str">
        <f t="shared" si="13"/>
        <v/>
      </c>
      <c r="AY23" s="1270" t="str">
        <f t="shared" si="14"/>
        <v/>
      </c>
      <c r="AZ23" s="1270" t="str">
        <f t="shared" si="15"/>
        <v/>
      </c>
      <c r="BA23" s="1270" t="str">
        <f t="shared" si="16"/>
        <v/>
      </c>
      <c r="BB23" s="1371">
        <f t="shared" si="17"/>
        <v>0</v>
      </c>
      <c r="BC23" s="1369" t="str">
        <f t="shared" si="18"/>
        <v/>
      </c>
      <c r="BD23" s="1270" t="str">
        <f t="shared" si="19"/>
        <v/>
      </c>
      <c r="BE23" s="1270" t="str">
        <f t="shared" si="20"/>
        <v/>
      </c>
      <c r="BF23" s="1270" t="str">
        <f t="shared" si="21"/>
        <v/>
      </c>
      <c r="BG23" s="1270" t="str">
        <f t="shared" si="22"/>
        <v/>
      </c>
      <c r="BH23" s="1270" t="str">
        <f t="shared" si="23"/>
        <v/>
      </c>
      <c r="BI23" s="1270" t="str">
        <f t="shared" si="24"/>
        <v/>
      </c>
      <c r="BJ23" s="1270" t="str">
        <f t="shared" si="25"/>
        <v/>
      </c>
      <c r="BK23" s="1270" t="str">
        <f t="shared" si="26"/>
        <v/>
      </c>
      <c r="BL23" s="1270" t="str">
        <f t="shared" si="27"/>
        <v/>
      </c>
      <c r="BM23" s="1371">
        <f t="shared" si="28"/>
        <v>0</v>
      </c>
      <c r="BN23" s="1372">
        <f t="shared" si="29"/>
        <v>0</v>
      </c>
      <c r="BO23" s="1372">
        <f t="shared" si="30"/>
        <v>0</v>
      </c>
      <c r="BP23" s="1372">
        <f t="shared" si="31"/>
        <v>0</v>
      </c>
      <c r="BQ23" s="1374">
        <f t="shared" si="32"/>
        <v>0</v>
      </c>
      <c r="BR23" s="1251">
        <f t="shared" si="33"/>
        <v>0</v>
      </c>
      <c r="BS23" s="1403">
        <f t="shared" si="34"/>
        <v>0</v>
      </c>
      <c r="BT23" s="1372">
        <f t="shared" si="35"/>
        <v>0</v>
      </c>
      <c r="BU23" s="1372">
        <f t="shared" si="36"/>
        <v>0</v>
      </c>
      <c r="BV23" s="1372">
        <f t="shared" si="37"/>
        <v>0</v>
      </c>
      <c r="BW23" s="1372">
        <f t="shared" si="38"/>
        <v>0</v>
      </c>
      <c r="BX23" s="1372">
        <f t="shared" si="39"/>
        <v>0</v>
      </c>
      <c r="BY23" s="1372">
        <f t="shared" si="40"/>
        <v>0</v>
      </c>
      <c r="BZ23" s="1372">
        <f t="shared" si="41"/>
        <v>0</v>
      </c>
      <c r="CA23" s="1372">
        <f t="shared" si="42"/>
        <v>0</v>
      </c>
      <c r="CB23" s="1404">
        <f t="shared" si="43"/>
        <v>0</v>
      </c>
      <c r="CC23" s="1374">
        <f t="shared" si="81"/>
        <v>0</v>
      </c>
      <c r="CD23" s="1374">
        <f t="shared" si="44"/>
        <v>0</v>
      </c>
      <c r="CE23" s="1374">
        <f t="shared" si="45"/>
        <v>0</v>
      </c>
      <c r="CF23" s="1378">
        <f t="shared" si="46"/>
        <v>0</v>
      </c>
      <c r="CG23" s="1378">
        <f t="shared" si="47"/>
        <v>0</v>
      </c>
      <c r="CH23" s="1378">
        <f t="shared" si="48"/>
        <v>0</v>
      </c>
      <c r="CI23" s="1374">
        <f t="shared" si="49"/>
        <v>0</v>
      </c>
      <c r="CJ23" s="1374">
        <f t="shared" si="50"/>
        <v>0</v>
      </c>
      <c r="CK23" s="1374" t="str">
        <f t="shared" si="51"/>
        <v/>
      </c>
      <c r="CL23" s="1374">
        <f t="shared" si="52"/>
        <v>0</v>
      </c>
      <c r="CM23" s="1379">
        <f t="shared" si="53"/>
        <v>0</v>
      </c>
      <c r="CN23" s="628">
        <f>(BS23*Pricing!F$3+BT23*Pricing!G$3+BU23*Pricing!H$3+BV23*Pricing!I$3+BW23*Pricing!J$3+BX23*Pricing!K$3+BY23*Pricing!L$3+BZ23*Pricing!M$3+CA23*Pricing!N$3+CB23*Pricing!O$3)*IF(W$44="N",(1+Y$44),1)</f>
        <v>0</v>
      </c>
      <c r="CO23" s="628">
        <f t="shared" si="54"/>
        <v>0</v>
      </c>
      <c r="CP23" s="1380">
        <f t="shared" si="55"/>
        <v>0</v>
      </c>
      <c r="CQ23" s="628">
        <f t="shared" si="56"/>
        <v>0</v>
      </c>
      <c r="CR23" s="628">
        <f t="shared" si="57"/>
        <v>0</v>
      </c>
      <c r="CS23" s="628"/>
      <c r="CT23" s="1381">
        <f t="shared" si="58"/>
        <v>0</v>
      </c>
      <c r="CU23" s="628">
        <f t="shared" si="59"/>
        <v>0</v>
      </c>
      <c r="CV23" s="628">
        <f t="shared" si="60"/>
        <v>0</v>
      </c>
      <c r="CW23" s="628">
        <f t="shared" si="61"/>
        <v>0</v>
      </c>
      <c r="CX23" s="628">
        <f t="shared" si="62"/>
        <v>0</v>
      </c>
      <c r="CY23" s="628">
        <f t="shared" si="63"/>
        <v>0</v>
      </c>
      <c r="CZ23" s="628">
        <f t="shared" si="64"/>
        <v>0</v>
      </c>
      <c r="DA23" s="628">
        <f t="shared" si="65"/>
        <v>0</v>
      </c>
      <c r="DB23" s="628">
        <f t="shared" si="66"/>
        <v>0</v>
      </c>
      <c r="DC23" s="628">
        <f t="shared" si="67"/>
        <v>0</v>
      </c>
      <c r="DD23" s="628">
        <f t="shared" si="68"/>
        <v>0</v>
      </c>
      <c r="DE23" s="1382" t="e">
        <f t="shared" si="69"/>
        <v>#DIV/0!</v>
      </c>
      <c r="DF23" s="626">
        <f t="shared" si="70"/>
        <v>0</v>
      </c>
      <c r="DG23" s="626">
        <f t="shared" si="71"/>
        <v>0</v>
      </c>
      <c r="DH23" s="626">
        <f t="shared" si="72"/>
        <v>0</v>
      </c>
      <c r="DI23" s="626">
        <f t="shared" si="73"/>
        <v>0</v>
      </c>
      <c r="DJ23" s="626">
        <f t="shared" si="74"/>
        <v>0</v>
      </c>
      <c r="DK23" s="626">
        <f t="shared" si="75"/>
        <v>0</v>
      </c>
      <c r="DL23" s="626">
        <f t="shared" si="76"/>
        <v>0</v>
      </c>
      <c r="DM23" s="626">
        <f t="shared" si="77"/>
        <v>0</v>
      </c>
      <c r="DN23" s="626">
        <f t="shared" si="78"/>
        <v>0</v>
      </c>
      <c r="DO23" s="626">
        <f t="shared" si="79"/>
        <v>0</v>
      </c>
      <c r="DP23" s="1405">
        <f t="shared" si="80"/>
        <v>0</v>
      </c>
    </row>
    <row r="24" spans="1:120" ht="19.5" customHeight="1">
      <c r="A24" s="18" t="s">
        <v>1330</v>
      </c>
      <c r="B24" s="859"/>
      <c r="C24" s="1342"/>
      <c r="D24" s="1422"/>
      <c r="E24" s="1423"/>
      <c r="F24" s="984"/>
      <c r="G24" s="1389"/>
      <c r="H24" s="984"/>
      <c r="I24" s="1389"/>
      <c r="J24" s="984"/>
      <c r="K24" s="1426"/>
      <c r="L24" s="503"/>
      <c r="M24" s="834"/>
      <c r="N24" s="1349"/>
      <c r="O24" s="1350"/>
      <c r="P24" s="1351">
        <f t="shared" si="0"/>
        <v>0</v>
      </c>
      <c r="Q24" s="1352">
        <f t="shared" si="1"/>
        <v>0</v>
      </c>
      <c r="R24" s="1353">
        <f t="shared" si="2"/>
        <v>0</v>
      </c>
      <c r="S24" s="1354" t="e">
        <f t="shared" si="3"/>
        <v>#DIV/0!</v>
      </c>
      <c r="T24" s="1355">
        <f t="shared" si="4"/>
        <v>0</v>
      </c>
      <c r="U24" s="1356">
        <f t="shared" si="5"/>
        <v>0</v>
      </c>
      <c r="V24" s="1357">
        <f t="shared" si="6"/>
        <v>0</v>
      </c>
      <c r="W24" s="1347"/>
      <c r="X24" s="1362"/>
      <c r="Y24" s="503"/>
      <c r="Z24" s="1410"/>
      <c r="AA24" s="503"/>
      <c r="AB24" s="1410"/>
      <c r="AC24" s="1421"/>
      <c r="AD24" s="1362"/>
      <c r="AE24" s="503"/>
      <c r="AF24" s="1363"/>
      <c r="AG24" s="1367"/>
      <c r="AH24" s="1363"/>
      <c r="AI24" s="1653"/>
      <c r="AJ24" s="1366"/>
      <c r="AK24" s="1367"/>
      <c r="AL24" s="1418"/>
      <c r="AM24" s="503"/>
      <c r="AN24" s="1411"/>
      <c r="AO24" s="503"/>
      <c r="AP24" s="1410"/>
      <c r="AQ24" s="626"/>
      <c r="AR24" s="1369" t="str">
        <f t="shared" si="7"/>
        <v/>
      </c>
      <c r="AS24" s="1270" t="str">
        <f t="shared" si="8"/>
        <v/>
      </c>
      <c r="AT24" s="1270" t="str">
        <f t="shared" si="9"/>
        <v/>
      </c>
      <c r="AU24" s="1270" t="str">
        <f t="shared" si="10"/>
        <v/>
      </c>
      <c r="AV24" s="1270" t="str">
        <f t="shared" si="11"/>
        <v/>
      </c>
      <c r="AW24" s="1270" t="str">
        <f t="shared" si="12"/>
        <v/>
      </c>
      <c r="AX24" s="1270" t="str">
        <f t="shared" si="13"/>
        <v/>
      </c>
      <c r="AY24" s="1270" t="str">
        <f t="shared" si="14"/>
        <v/>
      </c>
      <c r="AZ24" s="1270" t="str">
        <f t="shared" si="15"/>
        <v/>
      </c>
      <c r="BA24" s="1270" t="str">
        <f t="shared" si="16"/>
        <v/>
      </c>
      <c r="BB24" s="1371">
        <f t="shared" si="17"/>
        <v>0</v>
      </c>
      <c r="BC24" s="1369" t="str">
        <f t="shared" si="18"/>
        <v/>
      </c>
      <c r="BD24" s="1270" t="str">
        <f t="shared" si="19"/>
        <v/>
      </c>
      <c r="BE24" s="1270" t="str">
        <f t="shared" si="20"/>
        <v/>
      </c>
      <c r="BF24" s="1270" t="str">
        <f t="shared" si="21"/>
        <v/>
      </c>
      <c r="BG24" s="1270" t="str">
        <f t="shared" si="22"/>
        <v/>
      </c>
      <c r="BH24" s="1270" t="str">
        <f t="shared" si="23"/>
        <v/>
      </c>
      <c r="BI24" s="1270" t="str">
        <f t="shared" si="24"/>
        <v/>
      </c>
      <c r="BJ24" s="1270" t="str">
        <f t="shared" si="25"/>
        <v/>
      </c>
      <c r="BK24" s="1270" t="str">
        <f t="shared" si="26"/>
        <v/>
      </c>
      <c r="BL24" s="1270" t="str">
        <f t="shared" si="27"/>
        <v/>
      </c>
      <c r="BM24" s="1371">
        <f t="shared" si="28"/>
        <v>0</v>
      </c>
      <c r="BN24" s="1372">
        <f t="shared" si="29"/>
        <v>0</v>
      </c>
      <c r="BO24" s="1372">
        <f t="shared" si="30"/>
        <v>0</v>
      </c>
      <c r="BP24" s="1372">
        <f t="shared" si="31"/>
        <v>0</v>
      </c>
      <c r="BQ24" s="1374">
        <f t="shared" si="32"/>
        <v>0</v>
      </c>
      <c r="BR24" s="1251">
        <f t="shared" si="33"/>
        <v>0</v>
      </c>
      <c r="BS24" s="1403">
        <f t="shared" si="34"/>
        <v>0</v>
      </c>
      <c r="BT24" s="1372">
        <f t="shared" si="35"/>
        <v>0</v>
      </c>
      <c r="BU24" s="1372">
        <f t="shared" si="36"/>
        <v>0</v>
      </c>
      <c r="BV24" s="1372">
        <f t="shared" si="37"/>
        <v>0</v>
      </c>
      <c r="BW24" s="1372">
        <f t="shared" si="38"/>
        <v>0</v>
      </c>
      <c r="BX24" s="1372">
        <f t="shared" si="39"/>
        <v>0</v>
      </c>
      <c r="BY24" s="1372">
        <f t="shared" si="40"/>
        <v>0</v>
      </c>
      <c r="BZ24" s="1372">
        <f t="shared" si="41"/>
        <v>0</v>
      </c>
      <c r="CA24" s="1372">
        <f t="shared" si="42"/>
        <v>0</v>
      </c>
      <c r="CB24" s="1404">
        <f t="shared" si="43"/>
        <v>0</v>
      </c>
      <c r="CC24" s="1374">
        <f t="shared" si="81"/>
        <v>0</v>
      </c>
      <c r="CD24" s="1374">
        <f t="shared" si="44"/>
        <v>0</v>
      </c>
      <c r="CE24" s="1374">
        <f t="shared" si="45"/>
        <v>0</v>
      </c>
      <c r="CF24" s="1378">
        <f t="shared" si="46"/>
        <v>0</v>
      </c>
      <c r="CG24" s="1378">
        <f t="shared" si="47"/>
        <v>0</v>
      </c>
      <c r="CH24" s="1378">
        <f t="shared" si="48"/>
        <v>0</v>
      </c>
      <c r="CI24" s="1374">
        <f t="shared" si="49"/>
        <v>0</v>
      </c>
      <c r="CJ24" s="1374">
        <f t="shared" si="50"/>
        <v>0</v>
      </c>
      <c r="CK24" s="1374" t="str">
        <f t="shared" si="51"/>
        <v/>
      </c>
      <c r="CL24" s="1374">
        <f t="shared" si="52"/>
        <v>0</v>
      </c>
      <c r="CM24" s="1379">
        <f t="shared" si="53"/>
        <v>0</v>
      </c>
      <c r="CN24" s="628">
        <f>(BS24*Pricing!F$3+BT24*Pricing!G$3+BU24*Pricing!H$3+BV24*Pricing!I$3+BW24*Pricing!J$3+BX24*Pricing!K$3+BY24*Pricing!L$3+BZ24*Pricing!M$3+CA24*Pricing!N$3+CB24*Pricing!O$3)*IF(W$44="N",(1+Y$44),1)</f>
        <v>0</v>
      </c>
      <c r="CO24" s="628">
        <f t="shared" si="54"/>
        <v>0</v>
      </c>
      <c r="CP24" s="1380">
        <f t="shared" si="55"/>
        <v>0</v>
      </c>
      <c r="CQ24" s="628">
        <f t="shared" si="56"/>
        <v>0</v>
      </c>
      <c r="CR24" s="628">
        <f t="shared" si="57"/>
        <v>0</v>
      </c>
      <c r="CS24" s="628"/>
      <c r="CT24" s="1381">
        <f t="shared" si="58"/>
        <v>0</v>
      </c>
      <c r="CU24" s="628">
        <f t="shared" si="59"/>
        <v>0</v>
      </c>
      <c r="CV24" s="628">
        <f t="shared" si="60"/>
        <v>0</v>
      </c>
      <c r="CW24" s="628">
        <f t="shared" si="61"/>
        <v>0</v>
      </c>
      <c r="CX24" s="628">
        <f t="shared" si="62"/>
        <v>0</v>
      </c>
      <c r="CY24" s="628">
        <f t="shared" si="63"/>
        <v>0</v>
      </c>
      <c r="CZ24" s="628">
        <f t="shared" si="64"/>
        <v>0</v>
      </c>
      <c r="DA24" s="628">
        <f t="shared" si="65"/>
        <v>0</v>
      </c>
      <c r="DB24" s="628">
        <f t="shared" si="66"/>
        <v>0</v>
      </c>
      <c r="DC24" s="628">
        <f t="shared" si="67"/>
        <v>0</v>
      </c>
      <c r="DD24" s="628">
        <f t="shared" si="68"/>
        <v>0</v>
      </c>
      <c r="DE24" s="1382" t="e">
        <f t="shared" si="69"/>
        <v>#DIV/0!</v>
      </c>
      <c r="DF24" s="626">
        <f t="shared" si="70"/>
        <v>0</v>
      </c>
      <c r="DG24" s="626">
        <f t="shared" si="71"/>
        <v>0</v>
      </c>
      <c r="DH24" s="626">
        <f t="shared" si="72"/>
        <v>0</v>
      </c>
      <c r="DI24" s="626">
        <f t="shared" si="73"/>
        <v>0</v>
      </c>
      <c r="DJ24" s="626">
        <f t="shared" si="74"/>
        <v>0</v>
      </c>
      <c r="DK24" s="626">
        <f t="shared" si="75"/>
        <v>0</v>
      </c>
      <c r="DL24" s="626">
        <f t="shared" si="76"/>
        <v>0</v>
      </c>
      <c r="DM24" s="626">
        <f t="shared" si="77"/>
        <v>0</v>
      </c>
      <c r="DN24" s="626">
        <f t="shared" si="78"/>
        <v>0</v>
      </c>
      <c r="DO24" s="626">
        <f t="shared" si="79"/>
        <v>0</v>
      </c>
      <c r="DP24" s="1405">
        <f t="shared" si="80"/>
        <v>0</v>
      </c>
    </row>
    <row r="25" spans="1:120" ht="19.5" customHeight="1">
      <c r="A25" s="18" t="s">
        <v>1568</v>
      </c>
      <c r="B25" s="1385"/>
      <c r="C25" s="1386"/>
      <c r="D25" s="1387"/>
      <c r="E25" s="1388"/>
      <c r="F25" s="984"/>
      <c r="G25" s="1389"/>
      <c r="H25" s="984"/>
      <c r="I25" s="1389"/>
      <c r="J25" s="984"/>
      <c r="K25" s="1419"/>
      <c r="L25" s="1391"/>
      <c r="M25" s="1392"/>
      <c r="N25" s="1393"/>
      <c r="O25" s="1394"/>
      <c r="P25" s="1351">
        <f t="shared" si="0"/>
        <v>0</v>
      </c>
      <c r="Q25" s="1352">
        <f t="shared" si="1"/>
        <v>0</v>
      </c>
      <c r="R25" s="1353">
        <f t="shared" si="2"/>
        <v>0</v>
      </c>
      <c r="S25" s="1354" t="e">
        <f t="shared" si="3"/>
        <v>#DIV/0!</v>
      </c>
      <c r="T25" s="1355">
        <f t="shared" si="4"/>
        <v>0</v>
      </c>
      <c r="U25" s="1356">
        <f t="shared" si="5"/>
        <v>0</v>
      </c>
      <c r="V25" s="1357">
        <f t="shared" si="6"/>
        <v>0</v>
      </c>
      <c r="W25" s="1395"/>
      <c r="X25" s="1396"/>
      <c r="Y25" s="1395"/>
      <c r="Z25" s="1397"/>
      <c r="AA25" s="1395"/>
      <c r="AB25" s="1397"/>
      <c r="AC25" s="1398"/>
      <c r="AD25" s="1396"/>
      <c r="AE25" s="1395"/>
      <c r="AF25" s="1399"/>
      <c r="AG25" s="1400"/>
      <c r="AH25" s="1399"/>
      <c r="AI25" s="1401"/>
      <c r="AJ25" s="1396"/>
      <c r="AK25" s="1401"/>
      <c r="AL25" s="1417"/>
      <c r="AM25" s="1395"/>
      <c r="AN25" s="1402"/>
      <c r="AO25" s="1395"/>
      <c r="AP25" s="1397"/>
      <c r="AQ25" s="626"/>
      <c r="AR25" s="1369" t="str">
        <f t="shared" si="7"/>
        <v/>
      </c>
      <c r="AS25" s="1270" t="str">
        <f t="shared" si="8"/>
        <v/>
      </c>
      <c r="AT25" s="1270" t="str">
        <f t="shared" si="9"/>
        <v/>
      </c>
      <c r="AU25" s="1270" t="str">
        <f t="shared" si="10"/>
        <v/>
      </c>
      <c r="AV25" s="1270" t="str">
        <f t="shared" si="11"/>
        <v/>
      </c>
      <c r="AW25" s="1270" t="str">
        <f t="shared" si="12"/>
        <v/>
      </c>
      <c r="AX25" s="1270" t="str">
        <f t="shared" si="13"/>
        <v/>
      </c>
      <c r="AY25" s="1270" t="str">
        <f t="shared" si="14"/>
        <v/>
      </c>
      <c r="AZ25" s="1270" t="str">
        <f t="shared" si="15"/>
        <v/>
      </c>
      <c r="BA25" s="1270" t="str">
        <f t="shared" si="16"/>
        <v/>
      </c>
      <c r="BB25" s="1371">
        <f t="shared" si="17"/>
        <v>0</v>
      </c>
      <c r="BC25" s="1369" t="str">
        <f t="shared" si="18"/>
        <v/>
      </c>
      <c r="BD25" s="1270" t="str">
        <f t="shared" si="19"/>
        <v/>
      </c>
      <c r="BE25" s="1270" t="str">
        <f t="shared" si="20"/>
        <v/>
      </c>
      <c r="BF25" s="1270" t="str">
        <f t="shared" si="21"/>
        <v/>
      </c>
      <c r="BG25" s="1270" t="str">
        <f t="shared" si="22"/>
        <v/>
      </c>
      <c r="BH25" s="1270" t="str">
        <f t="shared" si="23"/>
        <v/>
      </c>
      <c r="BI25" s="1270" t="str">
        <f t="shared" si="24"/>
        <v/>
      </c>
      <c r="BJ25" s="1270" t="str">
        <f t="shared" si="25"/>
        <v/>
      </c>
      <c r="BK25" s="1270" t="str">
        <f t="shared" si="26"/>
        <v/>
      </c>
      <c r="BL25" s="1270" t="str">
        <f t="shared" si="27"/>
        <v/>
      </c>
      <c r="BM25" s="1371">
        <f t="shared" si="28"/>
        <v>0</v>
      </c>
      <c r="BN25" s="1372">
        <f t="shared" si="29"/>
        <v>0</v>
      </c>
      <c r="BO25" s="1372">
        <f t="shared" si="30"/>
        <v>0</v>
      </c>
      <c r="BP25" s="1372">
        <f t="shared" si="31"/>
        <v>0</v>
      </c>
      <c r="BQ25" s="1374">
        <f t="shared" si="32"/>
        <v>0</v>
      </c>
      <c r="BR25" s="1251">
        <f t="shared" si="33"/>
        <v>0</v>
      </c>
      <c r="BS25" s="1403">
        <f t="shared" si="34"/>
        <v>0</v>
      </c>
      <c r="BT25" s="1372">
        <f t="shared" si="35"/>
        <v>0</v>
      </c>
      <c r="BU25" s="1372">
        <f t="shared" si="36"/>
        <v>0</v>
      </c>
      <c r="BV25" s="1372">
        <f t="shared" si="37"/>
        <v>0</v>
      </c>
      <c r="BW25" s="1372">
        <f t="shared" si="38"/>
        <v>0</v>
      </c>
      <c r="BX25" s="1372">
        <f t="shared" si="39"/>
        <v>0</v>
      </c>
      <c r="BY25" s="1372">
        <f t="shared" si="40"/>
        <v>0</v>
      </c>
      <c r="BZ25" s="1372">
        <f t="shared" si="41"/>
        <v>0</v>
      </c>
      <c r="CA25" s="1372">
        <f t="shared" si="42"/>
        <v>0</v>
      </c>
      <c r="CB25" s="1404">
        <f t="shared" si="43"/>
        <v>0</v>
      </c>
      <c r="CC25" s="1374">
        <f t="shared" si="81"/>
        <v>0</v>
      </c>
      <c r="CD25" s="1374">
        <f t="shared" si="44"/>
        <v>0</v>
      </c>
      <c r="CE25" s="1374">
        <f t="shared" si="45"/>
        <v>0</v>
      </c>
      <c r="CF25" s="1378">
        <f t="shared" si="46"/>
        <v>0</v>
      </c>
      <c r="CG25" s="1378">
        <f t="shared" si="47"/>
        <v>0</v>
      </c>
      <c r="CH25" s="1378">
        <f t="shared" si="48"/>
        <v>0</v>
      </c>
      <c r="CI25" s="1374">
        <f t="shared" si="49"/>
        <v>0</v>
      </c>
      <c r="CJ25" s="1374">
        <f t="shared" si="50"/>
        <v>0</v>
      </c>
      <c r="CK25" s="1374" t="str">
        <f t="shared" si="51"/>
        <v/>
      </c>
      <c r="CL25" s="1374">
        <f t="shared" si="52"/>
        <v>0</v>
      </c>
      <c r="CM25" s="1379">
        <f t="shared" si="53"/>
        <v>0</v>
      </c>
      <c r="CN25" s="628">
        <f>(BS25*Pricing!F$3+BT25*Pricing!G$3+BU25*Pricing!H$3+BV25*Pricing!I$3+BW25*Pricing!J$3+BX25*Pricing!K$3+BY25*Pricing!L$3+BZ25*Pricing!M$3+CA25*Pricing!N$3+CB25*Pricing!O$3)*IF(W$44="N",(1+Y$44),1)</f>
        <v>0</v>
      </c>
      <c r="CO25" s="628">
        <f t="shared" si="54"/>
        <v>0</v>
      </c>
      <c r="CP25" s="1380">
        <f t="shared" si="55"/>
        <v>0</v>
      </c>
      <c r="CQ25" s="628">
        <f t="shared" si="56"/>
        <v>0</v>
      </c>
      <c r="CR25" s="628">
        <f t="shared" si="57"/>
        <v>0</v>
      </c>
      <c r="CS25" s="628"/>
      <c r="CT25" s="1381">
        <f t="shared" si="58"/>
        <v>0</v>
      </c>
      <c r="CU25" s="628">
        <f t="shared" si="59"/>
        <v>0</v>
      </c>
      <c r="CV25" s="628">
        <f t="shared" si="60"/>
        <v>0</v>
      </c>
      <c r="CW25" s="628">
        <f t="shared" si="61"/>
        <v>0</v>
      </c>
      <c r="CX25" s="628">
        <f t="shared" si="62"/>
        <v>0</v>
      </c>
      <c r="CY25" s="628">
        <f t="shared" si="63"/>
        <v>0</v>
      </c>
      <c r="CZ25" s="628">
        <f t="shared" si="64"/>
        <v>0</v>
      </c>
      <c r="DA25" s="628">
        <f t="shared" si="65"/>
        <v>0</v>
      </c>
      <c r="DB25" s="628">
        <f t="shared" si="66"/>
        <v>0</v>
      </c>
      <c r="DC25" s="628">
        <f t="shared" si="67"/>
        <v>0</v>
      </c>
      <c r="DD25" s="628">
        <f t="shared" si="68"/>
        <v>0</v>
      </c>
      <c r="DE25" s="1382" t="e">
        <f t="shared" si="69"/>
        <v>#DIV/0!</v>
      </c>
      <c r="DF25" s="626">
        <f t="shared" si="70"/>
        <v>0</v>
      </c>
      <c r="DG25" s="626">
        <f t="shared" si="71"/>
        <v>0</v>
      </c>
      <c r="DH25" s="626">
        <f t="shared" si="72"/>
        <v>0</v>
      </c>
      <c r="DI25" s="626">
        <f t="shared" si="73"/>
        <v>0</v>
      </c>
      <c r="DJ25" s="626">
        <f t="shared" si="74"/>
        <v>0</v>
      </c>
      <c r="DK25" s="626">
        <f t="shared" si="75"/>
        <v>0</v>
      </c>
      <c r="DL25" s="626">
        <f t="shared" si="76"/>
        <v>0</v>
      </c>
      <c r="DM25" s="626">
        <f t="shared" si="77"/>
        <v>0</v>
      </c>
      <c r="DN25" s="626">
        <f t="shared" si="78"/>
        <v>0</v>
      </c>
      <c r="DO25" s="626">
        <f t="shared" si="79"/>
        <v>0</v>
      </c>
      <c r="DP25" s="1405">
        <f t="shared" si="80"/>
        <v>0</v>
      </c>
    </row>
    <row r="26" spans="1:120" ht="19.5" customHeight="1">
      <c r="A26" s="18" t="s">
        <v>1570</v>
      </c>
      <c r="B26" s="859"/>
      <c r="C26" s="1342"/>
      <c r="D26" s="1343"/>
      <c r="E26" s="1344"/>
      <c r="F26" s="984"/>
      <c r="G26" s="1389"/>
      <c r="H26" s="984"/>
      <c r="I26" s="1389"/>
      <c r="J26" s="984"/>
      <c r="K26" s="1419"/>
      <c r="L26" s="503"/>
      <c r="M26" s="834"/>
      <c r="N26" s="1349"/>
      <c r="O26" s="1350"/>
      <c r="P26" s="1351">
        <f t="shared" si="0"/>
        <v>0</v>
      </c>
      <c r="Q26" s="1352">
        <f t="shared" si="1"/>
        <v>0</v>
      </c>
      <c r="R26" s="1353">
        <f t="shared" si="2"/>
        <v>0</v>
      </c>
      <c r="S26" s="1354" t="e">
        <f t="shared" si="3"/>
        <v>#DIV/0!</v>
      </c>
      <c r="T26" s="1355">
        <f t="shared" si="4"/>
        <v>0</v>
      </c>
      <c r="U26" s="1356">
        <f t="shared" si="5"/>
        <v>0</v>
      </c>
      <c r="V26" s="1357">
        <f t="shared" si="6"/>
        <v>0</v>
      </c>
      <c r="W26" s="1347"/>
      <c r="X26" s="1362"/>
      <c r="Y26" s="503"/>
      <c r="Z26" s="1410"/>
      <c r="AA26" s="503"/>
      <c r="AB26" s="1410"/>
      <c r="AC26" s="1361"/>
      <c r="AD26" s="1362"/>
      <c r="AE26" s="1347"/>
      <c r="AF26" s="1363"/>
      <c r="AG26" s="1364"/>
      <c r="AH26" s="1363"/>
      <c r="AI26" s="1653"/>
      <c r="AJ26" s="1366"/>
      <c r="AK26" s="1367"/>
      <c r="AL26" s="1418"/>
      <c r="AM26" s="503"/>
      <c r="AN26" s="1411"/>
      <c r="AO26" s="503"/>
      <c r="AP26" s="1410"/>
      <c r="AQ26" s="626"/>
      <c r="AR26" s="1369" t="str">
        <f t="shared" si="7"/>
        <v/>
      </c>
      <c r="AS26" s="1270" t="str">
        <f t="shared" si="8"/>
        <v/>
      </c>
      <c r="AT26" s="1270" t="str">
        <f t="shared" si="9"/>
        <v/>
      </c>
      <c r="AU26" s="1270" t="str">
        <f t="shared" si="10"/>
        <v/>
      </c>
      <c r="AV26" s="1270" t="str">
        <f t="shared" si="11"/>
        <v/>
      </c>
      <c r="AW26" s="1270" t="str">
        <f t="shared" si="12"/>
        <v/>
      </c>
      <c r="AX26" s="1270" t="str">
        <f t="shared" si="13"/>
        <v/>
      </c>
      <c r="AY26" s="1270" t="str">
        <f t="shared" si="14"/>
        <v/>
      </c>
      <c r="AZ26" s="1270" t="str">
        <f t="shared" si="15"/>
        <v/>
      </c>
      <c r="BA26" s="1270" t="str">
        <f t="shared" si="16"/>
        <v/>
      </c>
      <c r="BB26" s="1371">
        <f t="shared" si="17"/>
        <v>0</v>
      </c>
      <c r="BC26" s="1369" t="str">
        <f t="shared" si="18"/>
        <v/>
      </c>
      <c r="BD26" s="626" t="str">
        <f t="shared" si="19"/>
        <v/>
      </c>
      <c r="BE26" s="1270" t="str">
        <f t="shared" si="20"/>
        <v/>
      </c>
      <c r="BF26" s="626" t="str">
        <f t="shared" si="21"/>
        <v/>
      </c>
      <c r="BG26" s="626" t="str">
        <f t="shared" si="22"/>
        <v/>
      </c>
      <c r="BH26" s="626" t="str">
        <f t="shared" si="23"/>
        <v/>
      </c>
      <c r="BI26" s="626" t="str">
        <f t="shared" si="24"/>
        <v/>
      </c>
      <c r="BJ26" s="626" t="str">
        <f t="shared" si="25"/>
        <v/>
      </c>
      <c r="BK26" s="626" t="str">
        <f t="shared" si="26"/>
        <v/>
      </c>
      <c r="BL26" s="626" t="str">
        <f t="shared" si="27"/>
        <v/>
      </c>
      <c r="BM26" s="1420">
        <f t="shared" si="28"/>
        <v>0</v>
      </c>
      <c r="BN26" s="1372">
        <f t="shared" si="29"/>
        <v>0</v>
      </c>
      <c r="BO26" s="1372">
        <f t="shared" si="30"/>
        <v>0</v>
      </c>
      <c r="BP26" s="1372">
        <f t="shared" si="31"/>
        <v>0</v>
      </c>
      <c r="BQ26" s="1374">
        <f t="shared" si="32"/>
        <v>0</v>
      </c>
      <c r="BR26" s="1251">
        <f t="shared" si="33"/>
        <v>0</v>
      </c>
      <c r="BS26" s="1403">
        <f t="shared" si="34"/>
        <v>0</v>
      </c>
      <c r="BT26" s="1372">
        <f t="shared" si="35"/>
        <v>0</v>
      </c>
      <c r="BU26" s="1372">
        <f t="shared" si="36"/>
        <v>0</v>
      </c>
      <c r="BV26" s="1372">
        <f t="shared" si="37"/>
        <v>0</v>
      </c>
      <c r="BW26" s="1372">
        <f t="shared" si="38"/>
        <v>0</v>
      </c>
      <c r="BX26" s="1372">
        <f t="shared" si="39"/>
        <v>0</v>
      </c>
      <c r="BY26" s="1372">
        <f t="shared" si="40"/>
        <v>0</v>
      </c>
      <c r="BZ26" s="1372">
        <f t="shared" si="41"/>
        <v>0</v>
      </c>
      <c r="CA26" s="1372">
        <f t="shared" si="42"/>
        <v>0</v>
      </c>
      <c r="CB26" s="1404">
        <f t="shared" si="43"/>
        <v>0</v>
      </c>
      <c r="CC26" s="1374">
        <f t="shared" si="81"/>
        <v>0</v>
      </c>
      <c r="CD26" s="1374">
        <f t="shared" si="44"/>
        <v>0</v>
      </c>
      <c r="CE26" s="1374">
        <f t="shared" si="45"/>
        <v>0</v>
      </c>
      <c r="CF26" s="1378">
        <f t="shared" si="46"/>
        <v>0</v>
      </c>
      <c r="CG26" s="1378">
        <f t="shared" si="47"/>
        <v>0</v>
      </c>
      <c r="CH26" s="1378">
        <f t="shared" si="48"/>
        <v>0</v>
      </c>
      <c r="CI26" s="1374">
        <f t="shared" si="49"/>
        <v>0</v>
      </c>
      <c r="CJ26" s="1374">
        <f t="shared" si="50"/>
        <v>0</v>
      </c>
      <c r="CK26" s="1374" t="str">
        <f t="shared" si="51"/>
        <v/>
      </c>
      <c r="CL26" s="1374">
        <f t="shared" si="52"/>
        <v>0</v>
      </c>
      <c r="CM26" s="1379">
        <f t="shared" si="53"/>
        <v>0</v>
      </c>
      <c r="CN26" s="628">
        <f>(BS26*Pricing!F$3+BT26*Pricing!G$3+BU26*Pricing!H$3+BV26*Pricing!I$3+BW26*Pricing!J$3+BX26*Pricing!K$3+BY26*Pricing!L$3+BZ26*Pricing!M$3+CA26*Pricing!N$3+CB26*Pricing!O$3)*IF(W$44="N",(1+Y$44),1)</f>
        <v>0</v>
      </c>
      <c r="CO26" s="628">
        <f t="shared" si="54"/>
        <v>0</v>
      </c>
      <c r="CP26" s="1380">
        <f t="shared" si="55"/>
        <v>0</v>
      </c>
      <c r="CQ26" s="628">
        <f t="shared" si="56"/>
        <v>0</v>
      </c>
      <c r="CR26" s="628">
        <f t="shared" si="57"/>
        <v>0</v>
      </c>
      <c r="CS26" s="628"/>
      <c r="CT26" s="1381">
        <f t="shared" si="58"/>
        <v>0</v>
      </c>
      <c r="CU26" s="628">
        <f t="shared" si="59"/>
        <v>0</v>
      </c>
      <c r="CV26" s="628">
        <f t="shared" si="60"/>
        <v>0</v>
      </c>
      <c r="CW26" s="628">
        <f t="shared" si="61"/>
        <v>0</v>
      </c>
      <c r="CX26" s="628">
        <f t="shared" si="62"/>
        <v>0</v>
      </c>
      <c r="CY26" s="628">
        <f t="shared" si="63"/>
        <v>0</v>
      </c>
      <c r="CZ26" s="628">
        <f t="shared" si="64"/>
        <v>0</v>
      </c>
      <c r="DA26" s="628">
        <f t="shared" si="65"/>
        <v>0</v>
      </c>
      <c r="DB26" s="628">
        <f t="shared" si="66"/>
        <v>0</v>
      </c>
      <c r="DC26" s="628">
        <f t="shared" si="67"/>
        <v>0</v>
      </c>
      <c r="DD26" s="628">
        <f t="shared" si="68"/>
        <v>0</v>
      </c>
      <c r="DE26" s="1382" t="e">
        <f t="shared" si="69"/>
        <v>#DIV/0!</v>
      </c>
      <c r="DF26" s="626">
        <f t="shared" si="70"/>
        <v>0</v>
      </c>
      <c r="DG26" s="626">
        <f t="shared" si="71"/>
        <v>0</v>
      </c>
      <c r="DH26" s="626">
        <f t="shared" si="72"/>
        <v>0</v>
      </c>
      <c r="DI26" s="626">
        <f t="shared" si="73"/>
        <v>0</v>
      </c>
      <c r="DJ26" s="626">
        <f t="shared" si="74"/>
        <v>0</v>
      </c>
      <c r="DK26" s="626">
        <f t="shared" si="75"/>
        <v>0</v>
      </c>
      <c r="DL26" s="626">
        <f t="shared" si="76"/>
        <v>0</v>
      </c>
      <c r="DM26" s="626">
        <f t="shared" si="77"/>
        <v>0</v>
      </c>
      <c r="DN26" s="626">
        <f t="shared" si="78"/>
        <v>0</v>
      </c>
      <c r="DO26" s="626">
        <f t="shared" si="79"/>
        <v>0</v>
      </c>
      <c r="DP26" s="1405">
        <f t="shared" si="80"/>
        <v>0</v>
      </c>
    </row>
    <row r="27" spans="1:120" ht="19.5" customHeight="1">
      <c r="A27" s="18" t="s">
        <v>1571</v>
      </c>
      <c r="B27" s="1385"/>
      <c r="C27" s="1386"/>
      <c r="D27" s="1387"/>
      <c r="E27" s="1388"/>
      <c r="F27" s="984"/>
      <c r="G27" s="1389"/>
      <c r="H27" s="984"/>
      <c r="I27" s="1389"/>
      <c r="J27" s="984"/>
      <c r="K27" s="1419"/>
      <c r="L27" s="1391"/>
      <c r="M27" s="1392"/>
      <c r="N27" s="1393"/>
      <c r="O27" s="1394"/>
      <c r="P27" s="1351">
        <f t="shared" si="0"/>
        <v>0</v>
      </c>
      <c r="Q27" s="1352">
        <f t="shared" si="1"/>
        <v>0</v>
      </c>
      <c r="R27" s="1353">
        <f t="shared" si="2"/>
        <v>0</v>
      </c>
      <c r="S27" s="1354" t="e">
        <f t="shared" si="3"/>
        <v>#DIV/0!</v>
      </c>
      <c r="T27" s="1355">
        <f t="shared" si="4"/>
        <v>0</v>
      </c>
      <c r="U27" s="1356">
        <f t="shared" si="5"/>
        <v>0</v>
      </c>
      <c r="V27" s="1357">
        <f t="shared" si="6"/>
        <v>0</v>
      </c>
      <c r="W27" s="1395"/>
      <c r="X27" s="1396"/>
      <c r="Y27" s="1395"/>
      <c r="Z27" s="1397"/>
      <c r="AA27" s="1395"/>
      <c r="AB27" s="1397"/>
      <c r="AC27" s="1398"/>
      <c r="AD27" s="1396"/>
      <c r="AE27" s="1395"/>
      <c r="AF27" s="1399"/>
      <c r="AG27" s="1400"/>
      <c r="AH27" s="1399"/>
      <c r="AI27" s="1401"/>
      <c r="AJ27" s="1396"/>
      <c r="AK27" s="1401"/>
      <c r="AL27" s="1417"/>
      <c r="AM27" s="1395"/>
      <c r="AN27" s="1402"/>
      <c r="AO27" s="1395"/>
      <c r="AP27" s="1397"/>
      <c r="AQ27" s="626"/>
      <c r="AR27" s="1369" t="str">
        <f t="shared" si="7"/>
        <v/>
      </c>
      <c r="AS27" s="1270" t="str">
        <f t="shared" si="8"/>
        <v/>
      </c>
      <c r="AT27" s="1270" t="str">
        <f t="shared" si="9"/>
        <v/>
      </c>
      <c r="AU27" s="1270" t="str">
        <f t="shared" si="10"/>
        <v/>
      </c>
      <c r="AV27" s="1270" t="str">
        <f t="shared" si="11"/>
        <v/>
      </c>
      <c r="AW27" s="1270" t="str">
        <f t="shared" si="12"/>
        <v/>
      </c>
      <c r="AX27" s="1270" t="str">
        <f t="shared" si="13"/>
        <v/>
      </c>
      <c r="AY27" s="1270" t="str">
        <f t="shared" si="14"/>
        <v/>
      </c>
      <c r="AZ27" s="1270" t="str">
        <f t="shared" si="15"/>
        <v/>
      </c>
      <c r="BA27" s="1270" t="str">
        <f t="shared" si="16"/>
        <v/>
      </c>
      <c r="BB27" s="1371">
        <f t="shared" si="17"/>
        <v>0</v>
      </c>
      <c r="BC27" s="1369" t="str">
        <f t="shared" si="18"/>
        <v/>
      </c>
      <c r="BD27" s="626" t="str">
        <f t="shared" si="19"/>
        <v/>
      </c>
      <c r="BE27" s="1270" t="str">
        <f t="shared" si="20"/>
        <v/>
      </c>
      <c r="BF27" s="626" t="str">
        <f t="shared" si="21"/>
        <v/>
      </c>
      <c r="BG27" s="626" t="str">
        <f t="shared" si="22"/>
        <v/>
      </c>
      <c r="BH27" s="626" t="str">
        <f t="shared" si="23"/>
        <v/>
      </c>
      <c r="BI27" s="626" t="str">
        <f t="shared" si="24"/>
        <v/>
      </c>
      <c r="BJ27" s="626" t="str">
        <f t="shared" si="25"/>
        <v/>
      </c>
      <c r="BK27" s="626" t="str">
        <f t="shared" si="26"/>
        <v/>
      </c>
      <c r="BL27" s="626" t="str">
        <f t="shared" si="27"/>
        <v/>
      </c>
      <c r="BM27" s="1420">
        <f t="shared" si="28"/>
        <v>0</v>
      </c>
      <c r="BN27" s="1372">
        <f t="shared" si="29"/>
        <v>0</v>
      </c>
      <c r="BO27" s="1372">
        <f t="shared" si="30"/>
        <v>0</v>
      </c>
      <c r="BP27" s="1372">
        <f t="shared" si="31"/>
        <v>0</v>
      </c>
      <c r="BQ27" s="1374">
        <f t="shared" si="32"/>
        <v>0</v>
      </c>
      <c r="BR27" s="1251">
        <f t="shared" si="33"/>
        <v>0</v>
      </c>
      <c r="BS27" s="1403">
        <f t="shared" si="34"/>
        <v>0</v>
      </c>
      <c r="BT27" s="1372">
        <f t="shared" si="35"/>
        <v>0</v>
      </c>
      <c r="BU27" s="1372">
        <f t="shared" si="36"/>
        <v>0</v>
      </c>
      <c r="BV27" s="1372">
        <f t="shared" si="37"/>
        <v>0</v>
      </c>
      <c r="BW27" s="1372">
        <f t="shared" si="38"/>
        <v>0</v>
      </c>
      <c r="BX27" s="1372">
        <f t="shared" si="39"/>
        <v>0</v>
      </c>
      <c r="BY27" s="1372">
        <f t="shared" si="40"/>
        <v>0</v>
      </c>
      <c r="BZ27" s="1372">
        <f t="shared" si="41"/>
        <v>0</v>
      </c>
      <c r="CA27" s="1372">
        <f t="shared" si="42"/>
        <v>0</v>
      </c>
      <c r="CB27" s="1404">
        <f t="shared" si="43"/>
        <v>0</v>
      </c>
      <c r="CC27" s="1374">
        <f t="shared" si="81"/>
        <v>0</v>
      </c>
      <c r="CD27" s="1374">
        <f t="shared" si="44"/>
        <v>0</v>
      </c>
      <c r="CE27" s="1374">
        <f t="shared" si="45"/>
        <v>0</v>
      </c>
      <c r="CF27" s="1378">
        <f t="shared" si="46"/>
        <v>0</v>
      </c>
      <c r="CG27" s="1378">
        <f t="shared" si="47"/>
        <v>0</v>
      </c>
      <c r="CH27" s="1378">
        <f t="shared" si="48"/>
        <v>0</v>
      </c>
      <c r="CI27" s="1374">
        <f t="shared" si="49"/>
        <v>0</v>
      </c>
      <c r="CJ27" s="1374">
        <f t="shared" si="50"/>
        <v>0</v>
      </c>
      <c r="CK27" s="1374" t="str">
        <f t="shared" si="51"/>
        <v/>
      </c>
      <c r="CL27" s="1374">
        <f t="shared" si="52"/>
        <v>0</v>
      </c>
      <c r="CM27" s="1379">
        <f t="shared" si="53"/>
        <v>0</v>
      </c>
      <c r="CN27" s="628">
        <f>(BS27*Pricing!F$3+BT27*Pricing!G$3+BU27*Pricing!H$3+BV27*Pricing!I$3+BW27*Pricing!J$3+BX27*Pricing!K$3+BY27*Pricing!L$3+BZ27*Pricing!M$3+CA27*Pricing!N$3+CB27*Pricing!O$3)*IF(W$44="N",(1+Y$44),1)</f>
        <v>0</v>
      </c>
      <c r="CO27" s="628">
        <f t="shared" si="54"/>
        <v>0</v>
      </c>
      <c r="CP27" s="1380">
        <f t="shared" si="55"/>
        <v>0</v>
      </c>
      <c r="CQ27" s="628">
        <f t="shared" si="56"/>
        <v>0</v>
      </c>
      <c r="CR27" s="628">
        <f t="shared" si="57"/>
        <v>0</v>
      </c>
      <c r="CS27" s="628"/>
      <c r="CT27" s="1381">
        <f t="shared" si="58"/>
        <v>0</v>
      </c>
      <c r="CU27" s="628">
        <f t="shared" si="59"/>
        <v>0</v>
      </c>
      <c r="CV27" s="628">
        <f t="shared" si="60"/>
        <v>0</v>
      </c>
      <c r="CW27" s="628">
        <f t="shared" si="61"/>
        <v>0</v>
      </c>
      <c r="CX27" s="628">
        <f t="shared" si="62"/>
        <v>0</v>
      </c>
      <c r="CY27" s="628">
        <f t="shared" si="63"/>
        <v>0</v>
      </c>
      <c r="CZ27" s="628">
        <f t="shared" si="64"/>
        <v>0</v>
      </c>
      <c r="DA27" s="628">
        <f t="shared" si="65"/>
        <v>0</v>
      </c>
      <c r="DB27" s="628">
        <f t="shared" si="66"/>
        <v>0</v>
      </c>
      <c r="DC27" s="628">
        <f t="shared" si="67"/>
        <v>0</v>
      </c>
      <c r="DD27" s="628">
        <f t="shared" si="68"/>
        <v>0</v>
      </c>
      <c r="DE27" s="1382" t="e">
        <f t="shared" si="69"/>
        <v>#DIV/0!</v>
      </c>
      <c r="DF27" s="626">
        <f t="shared" si="70"/>
        <v>0</v>
      </c>
      <c r="DG27" s="626">
        <f t="shared" si="71"/>
        <v>0</v>
      </c>
      <c r="DH27" s="626">
        <f t="shared" si="72"/>
        <v>0</v>
      </c>
      <c r="DI27" s="626">
        <f t="shared" si="73"/>
        <v>0</v>
      </c>
      <c r="DJ27" s="626">
        <f t="shared" si="74"/>
        <v>0</v>
      </c>
      <c r="DK27" s="626">
        <f t="shared" si="75"/>
        <v>0</v>
      </c>
      <c r="DL27" s="626">
        <f t="shared" si="76"/>
        <v>0</v>
      </c>
      <c r="DM27" s="626">
        <f t="shared" si="77"/>
        <v>0</v>
      </c>
      <c r="DN27" s="626">
        <f t="shared" si="78"/>
        <v>0</v>
      </c>
      <c r="DO27" s="626">
        <f t="shared" si="79"/>
        <v>0</v>
      </c>
      <c r="DP27" s="1405">
        <f t="shared" si="80"/>
        <v>0</v>
      </c>
    </row>
    <row r="28" spans="1:120" ht="19.5" customHeight="1">
      <c r="A28" s="18" t="s">
        <v>1572</v>
      </c>
      <c r="B28" s="859"/>
      <c r="C28" s="1342"/>
      <c r="D28" s="1343"/>
      <c r="E28" s="1344"/>
      <c r="F28" s="984"/>
      <c r="G28" s="1389"/>
      <c r="H28" s="984"/>
      <c r="I28" s="1389"/>
      <c r="J28" s="984"/>
      <c r="K28" s="1419"/>
      <c r="L28" s="503"/>
      <c r="M28" s="834"/>
      <c r="N28" s="1349"/>
      <c r="O28" s="1350"/>
      <c r="P28" s="1351">
        <f t="shared" si="0"/>
        <v>0</v>
      </c>
      <c r="Q28" s="1352">
        <f t="shared" si="1"/>
        <v>0</v>
      </c>
      <c r="R28" s="1353">
        <f t="shared" si="2"/>
        <v>0</v>
      </c>
      <c r="S28" s="1354" t="e">
        <f t="shared" si="3"/>
        <v>#DIV/0!</v>
      </c>
      <c r="T28" s="1355">
        <f t="shared" si="4"/>
        <v>0</v>
      </c>
      <c r="U28" s="1356">
        <f t="shared" si="5"/>
        <v>0</v>
      </c>
      <c r="V28" s="1357">
        <f t="shared" si="6"/>
        <v>0</v>
      </c>
      <c r="W28" s="503"/>
      <c r="X28" s="1362"/>
      <c r="Y28" s="503"/>
      <c r="Z28" s="1410"/>
      <c r="AA28" s="503"/>
      <c r="AB28" s="1410"/>
      <c r="AC28" s="1421"/>
      <c r="AD28" s="1362"/>
      <c r="AE28" s="503"/>
      <c r="AF28" s="1363"/>
      <c r="AG28" s="1367"/>
      <c r="AH28" s="1363"/>
      <c r="AI28" s="1653"/>
      <c r="AJ28" s="1366"/>
      <c r="AK28" s="1367"/>
      <c r="AL28" s="1418"/>
      <c r="AM28" s="503"/>
      <c r="AN28" s="1411"/>
      <c r="AO28" s="503"/>
      <c r="AP28" s="1410"/>
      <c r="AQ28" s="626"/>
      <c r="AR28" s="1369" t="str">
        <f t="shared" si="7"/>
        <v/>
      </c>
      <c r="AS28" s="1270" t="str">
        <f t="shared" si="8"/>
        <v/>
      </c>
      <c r="AT28" s="1270" t="str">
        <f t="shared" si="9"/>
        <v/>
      </c>
      <c r="AU28" s="1270" t="str">
        <f t="shared" si="10"/>
        <v/>
      </c>
      <c r="AV28" s="1270" t="str">
        <f t="shared" si="11"/>
        <v/>
      </c>
      <c r="AW28" s="1270" t="str">
        <f t="shared" si="12"/>
        <v/>
      </c>
      <c r="AX28" s="1270" t="str">
        <f t="shared" si="13"/>
        <v/>
      </c>
      <c r="AY28" s="1270" t="str">
        <f t="shared" si="14"/>
        <v/>
      </c>
      <c r="AZ28" s="1270" t="str">
        <f t="shared" si="15"/>
        <v/>
      </c>
      <c r="BA28" s="1270" t="str">
        <f t="shared" si="16"/>
        <v/>
      </c>
      <c r="BB28" s="1371">
        <f t="shared" si="17"/>
        <v>0</v>
      </c>
      <c r="BC28" s="1369" t="str">
        <f t="shared" si="18"/>
        <v/>
      </c>
      <c r="BD28" s="626" t="str">
        <f t="shared" si="19"/>
        <v/>
      </c>
      <c r="BE28" s="1270" t="str">
        <f t="shared" si="20"/>
        <v/>
      </c>
      <c r="BF28" s="626" t="str">
        <f t="shared" si="21"/>
        <v/>
      </c>
      <c r="BG28" s="626" t="str">
        <f t="shared" si="22"/>
        <v/>
      </c>
      <c r="BH28" s="626" t="str">
        <f t="shared" si="23"/>
        <v/>
      </c>
      <c r="BI28" s="626" t="str">
        <f t="shared" si="24"/>
        <v/>
      </c>
      <c r="BJ28" s="626" t="str">
        <f t="shared" si="25"/>
        <v/>
      </c>
      <c r="BK28" s="626" t="str">
        <f t="shared" si="26"/>
        <v/>
      </c>
      <c r="BL28" s="626" t="str">
        <f t="shared" si="27"/>
        <v/>
      </c>
      <c r="BM28" s="1420">
        <f t="shared" si="28"/>
        <v>0</v>
      </c>
      <c r="BN28" s="1372">
        <f t="shared" si="29"/>
        <v>0</v>
      </c>
      <c r="BO28" s="1372">
        <f t="shared" si="30"/>
        <v>0</v>
      </c>
      <c r="BP28" s="1372">
        <f t="shared" si="31"/>
        <v>0</v>
      </c>
      <c r="BQ28" s="1374">
        <f t="shared" si="32"/>
        <v>0</v>
      </c>
      <c r="BR28" s="1251">
        <f t="shared" si="33"/>
        <v>0</v>
      </c>
      <c r="BS28" s="1403">
        <f t="shared" si="34"/>
        <v>0</v>
      </c>
      <c r="BT28" s="1372">
        <f t="shared" si="35"/>
        <v>0</v>
      </c>
      <c r="BU28" s="1372">
        <f t="shared" si="36"/>
        <v>0</v>
      </c>
      <c r="BV28" s="1372">
        <f t="shared" si="37"/>
        <v>0</v>
      </c>
      <c r="BW28" s="1372">
        <f t="shared" si="38"/>
        <v>0</v>
      </c>
      <c r="BX28" s="1372">
        <f t="shared" si="39"/>
        <v>0</v>
      </c>
      <c r="BY28" s="1372">
        <f t="shared" si="40"/>
        <v>0</v>
      </c>
      <c r="BZ28" s="1372">
        <f t="shared" si="41"/>
        <v>0</v>
      </c>
      <c r="CA28" s="1372">
        <f t="shared" si="42"/>
        <v>0</v>
      </c>
      <c r="CB28" s="1404">
        <f t="shared" si="43"/>
        <v>0</v>
      </c>
      <c r="CC28" s="1374">
        <f t="shared" si="81"/>
        <v>0</v>
      </c>
      <c r="CD28" s="1374">
        <f t="shared" si="44"/>
        <v>0</v>
      </c>
      <c r="CE28" s="1374">
        <f t="shared" si="45"/>
        <v>0</v>
      </c>
      <c r="CF28" s="1378">
        <f t="shared" si="46"/>
        <v>0</v>
      </c>
      <c r="CG28" s="1378">
        <f t="shared" si="47"/>
        <v>0</v>
      </c>
      <c r="CH28" s="1378">
        <f t="shared" si="48"/>
        <v>0</v>
      </c>
      <c r="CI28" s="1374">
        <f t="shared" si="49"/>
        <v>0</v>
      </c>
      <c r="CJ28" s="1374">
        <f t="shared" si="50"/>
        <v>0</v>
      </c>
      <c r="CK28" s="1374" t="str">
        <f t="shared" si="51"/>
        <v/>
      </c>
      <c r="CL28" s="1374">
        <f t="shared" si="52"/>
        <v>0</v>
      </c>
      <c r="CM28" s="1379">
        <f t="shared" si="53"/>
        <v>0</v>
      </c>
      <c r="CN28" s="628">
        <f>(BS28*Pricing!F$3+BT28*Pricing!G$3+BU28*Pricing!H$3+BV28*Pricing!I$3+BW28*Pricing!J$3+BX28*Pricing!K$3+BY28*Pricing!L$3+BZ28*Pricing!M$3+CA28*Pricing!N$3+CB28*Pricing!O$3)*IF(W$44="N",(1+Y$44),1)</f>
        <v>0</v>
      </c>
      <c r="CO28" s="628">
        <f t="shared" si="54"/>
        <v>0</v>
      </c>
      <c r="CP28" s="1380">
        <f t="shared" si="55"/>
        <v>0</v>
      </c>
      <c r="CQ28" s="628">
        <f t="shared" si="56"/>
        <v>0</v>
      </c>
      <c r="CR28" s="628">
        <f t="shared" si="57"/>
        <v>0</v>
      </c>
      <c r="CS28" s="628"/>
      <c r="CT28" s="1381">
        <f t="shared" si="58"/>
        <v>0</v>
      </c>
      <c r="CU28" s="628">
        <f t="shared" si="59"/>
        <v>0</v>
      </c>
      <c r="CV28" s="628">
        <f t="shared" si="60"/>
        <v>0</v>
      </c>
      <c r="CW28" s="628">
        <f t="shared" si="61"/>
        <v>0</v>
      </c>
      <c r="CX28" s="628">
        <f t="shared" si="62"/>
        <v>0</v>
      </c>
      <c r="CY28" s="628">
        <f t="shared" si="63"/>
        <v>0</v>
      </c>
      <c r="CZ28" s="628">
        <f t="shared" si="64"/>
        <v>0</v>
      </c>
      <c r="DA28" s="628">
        <f t="shared" si="65"/>
        <v>0</v>
      </c>
      <c r="DB28" s="628">
        <f t="shared" si="66"/>
        <v>0</v>
      </c>
      <c r="DC28" s="628">
        <f t="shared" si="67"/>
        <v>0</v>
      </c>
      <c r="DD28" s="628">
        <f t="shared" si="68"/>
        <v>0</v>
      </c>
      <c r="DE28" s="1382" t="e">
        <f t="shared" si="69"/>
        <v>#DIV/0!</v>
      </c>
      <c r="DF28" s="626">
        <f t="shared" si="70"/>
        <v>0</v>
      </c>
      <c r="DG28" s="626">
        <f t="shared" si="71"/>
        <v>0</v>
      </c>
      <c r="DH28" s="626">
        <f t="shared" si="72"/>
        <v>0</v>
      </c>
      <c r="DI28" s="626">
        <f t="shared" si="73"/>
        <v>0</v>
      </c>
      <c r="DJ28" s="626">
        <f t="shared" si="74"/>
        <v>0</v>
      </c>
      <c r="DK28" s="626">
        <f t="shared" si="75"/>
        <v>0</v>
      </c>
      <c r="DL28" s="626">
        <f t="shared" si="76"/>
        <v>0</v>
      </c>
      <c r="DM28" s="626">
        <f t="shared" si="77"/>
        <v>0</v>
      </c>
      <c r="DN28" s="626">
        <f t="shared" si="78"/>
        <v>0</v>
      </c>
      <c r="DO28" s="626">
        <f t="shared" si="79"/>
        <v>0</v>
      </c>
      <c r="DP28" s="1405">
        <f t="shared" si="80"/>
        <v>0</v>
      </c>
    </row>
    <row r="29" spans="1:120" ht="19.5" customHeight="1">
      <c r="A29" s="18" t="s">
        <v>1573</v>
      </c>
      <c r="B29" s="1385"/>
      <c r="C29" s="1386"/>
      <c r="D29" s="1387"/>
      <c r="E29" s="1388"/>
      <c r="F29" s="984"/>
      <c r="G29" s="1389"/>
      <c r="H29" s="984"/>
      <c r="I29" s="1389"/>
      <c r="J29" s="984"/>
      <c r="K29" s="1419"/>
      <c r="L29" s="1391"/>
      <c r="M29" s="1392"/>
      <c r="N29" s="1393"/>
      <c r="O29" s="1394"/>
      <c r="P29" s="1351">
        <f t="shared" si="0"/>
        <v>0</v>
      </c>
      <c r="Q29" s="1352">
        <f t="shared" si="1"/>
        <v>0</v>
      </c>
      <c r="R29" s="1353">
        <f t="shared" si="2"/>
        <v>0</v>
      </c>
      <c r="S29" s="1354" t="e">
        <f t="shared" si="3"/>
        <v>#DIV/0!</v>
      </c>
      <c r="T29" s="1355">
        <f t="shared" si="4"/>
        <v>0</v>
      </c>
      <c r="U29" s="1356">
        <f t="shared" si="5"/>
        <v>0</v>
      </c>
      <c r="V29" s="1357">
        <f t="shared" si="6"/>
        <v>0</v>
      </c>
      <c r="W29" s="1395"/>
      <c r="X29" s="1396"/>
      <c r="Y29" s="1395"/>
      <c r="Z29" s="1397"/>
      <c r="AA29" s="1395"/>
      <c r="AB29" s="1397"/>
      <c r="AC29" s="1398"/>
      <c r="AD29" s="1396"/>
      <c r="AE29" s="1395"/>
      <c r="AF29" s="1399"/>
      <c r="AG29" s="1400"/>
      <c r="AH29" s="1399"/>
      <c r="AI29" s="1401"/>
      <c r="AJ29" s="1396"/>
      <c r="AK29" s="1401"/>
      <c r="AL29" s="1417"/>
      <c r="AM29" s="1395"/>
      <c r="AN29" s="1402"/>
      <c r="AO29" s="1395"/>
      <c r="AP29" s="1397"/>
      <c r="AQ29" s="626"/>
      <c r="AR29" s="1369" t="str">
        <f t="shared" si="7"/>
        <v/>
      </c>
      <c r="AS29" s="1270" t="str">
        <f t="shared" si="8"/>
        <v/>
      </c>
      <c r="AT29" s="1270" t="str">
        <f t="shared" si="9"/>
        <v/>
      </c>
      <c r="AU29" s="1270" t="str">
        <f t="shared" si="10"/>
        <v/>
      </c>
      <c r="AV29" s="1270" t="str">
        <f t="shared" si="11"/>
        <v/>
      </c>
      <c r="AW29" s="1270" t="str">
        <f t="shared" si="12"/>
        <v/>
      </c>
      <c r="AX29" s="1270" t="str">
        <f t="shared" si="13"/>
        <v/>
      </c>
      <c r="AY29" s="1270" t="str">
        <f t="shared" si="14"/>
        <v/>
      </c>
      <c r="AZ29" s="1270" t="str">
        <f t="shared" si="15"/>
        <v/>
      </c>
      <c r="BA29" s="1270" t="str">
        <f t="shared" si="16"/>
        <v/>
      </c>
      <c r="BB29" s="1371">
        <f t="shared" si="17"/>
        <v>0</v>
      </c>
      <c r="BC29" s="1369" t="str">
        <f t="shared" si="18"/>
        <v/>
      </c>
      <c r="BD29" s="626" t="str">
        <f t="shared" si="19"/>
        <v/>
      </c>
      <c r="BE29" s="1270" t="str">
        <f t="shared" si="20"/>
        <v/>
      </c>
      <c r="BF29" s="626" t="str">
        <f t="shared" si="21"/>
        <v/>
      </c>
      <c r="BG29" s="626" t="str">
        <f t="shared" si="22"/>
        <v/>
      </c>
      <c r="BH29" s="626" t="str">
        <f t="shared" si="23"/>
        <v/>
      </c>
      <c r="BI29" s="626" t="str">
        <f t="shared" si="24"/>
        <v/>
      </c>
      <c r="BJ29" s="626" t="str">
        <f t="shared" si="25"/>
        <v/>
      </c>
      <c r="BK29" s="626" t="str">
        <f t="shared" si="26"/>
        <v/>
      </c>
      <c r="BL29" s="626" t="str">
        <f t="shared" si="27"/>
        <v/>
      </c>
      <c r="BM29" s="1420">
        <f t="shared" si="28"/>
        <v>0</v>
      </c>
      <c r="BN29" s="1372">
        <f t="shared" si="29"/>
        <v>0</v>
      </c>
      <c r="BO29" s="1372">
        <f t="shared" si="30"/>
        <v>0</v>
      </c>
      <c r="BP29" s="1372">
        <f t="shared" si="31"/>
        <v>0</v>
      </c>
      <c r="BQ29" s="1374">
        <f t="shared" si="32"/>
        <v>0</v>
      </c>
      <c r="BR29" s="1251">
        <f t="shared" si="33"/>
        <v>0</v>
      </c>
      <c r="BS29" s="1403">
        <f t="shared" si="34"/>
        <v>0</v>
      </c>
      <c r="BT29" s="1372">
        <f t="shared" si="35"/>
        <v>0</v>
      </c>
      <c r="BU29" s="1372">
        <f t="shared" si="36"/>
        <v>0</v>
      </c>
      <c r="BV29" s="1372">
        <f t="shared" si="37"/>
        <v>0</v>
      </c>
      <c r="BW29" s="1372">
        <f t="shared" si="38"/>
        <v>0</v>
      </c>
      <c r="BX29" s="1372">
        <f t="shared" si="39"/>
        <v>0</v>
      </c>
      <c r="BY29" s="1372">
        <f t="shared" si="40"/>
        <v>0</v>
      </c>
      <c r="BZ29" s="1372">
        <f t="shared" si="41"/>
        <v>0</v>
      </c>
      <c r="CA29" s="1372">
        <f t="shared" si="42"/>
        <v>0</v>
      </c>
      <c r="CB29" s="1404">
        <f t="shared" si="43"/>
        <v>0</v>
      </c>
      <c r="CC29" s="1374">
        <f t="shared" si="81"/>
        <v>0</v>
      </c>
      <c r="CD29" s="1374">
        <f t="shared" si="44"/>
        <v>0</v>
      </c>
      <c r="CE29" s="1374">
        <f t="shared" si="45"/>
        <v>0</v>
      </c>
      <c r="CF29" s="1378">
        <f t="shared" si="46"/>
        <v>0</v>
      </c>
      <c r="CG29" s="1378">
        <f t="shared" si="47"/>
        <v>0</v>
      </c>
      <c r="CH29" s="1378">
        <f t="shared" si="48"/>
        <v>0</v>
      </c>
      <c r="CI29" s="1374">
        <f t="shared" si="49"/>
        <v>0</v>
      </c>
      <c r="CJ29" s="1374">
        <f t="shared" si="50"/>
        <v>0</v>
      </c>
      <c r="CK29" s="1374" t="str">
        <f t="shared" si="51"/>
        <v/>
      </c>
      <c r="CL29" s="1374">
        <f t="shared" si="52"/>
        <v>0</v>
      </c>
      <c r="CM29" s="1379">
        <f t="shared" si="53"/>
        <v>0</v>
      </c>
      <c r="CN29" s="628">
        <f>(BS29*Pricing!F$3+BT29*Pricing!G$3+BU29*Pricing!H$3+BV29*Pricing!I$3+BW29*Pricing!J$3+BX29*Pricing!K$3+BY29*Pricing!L$3+BZ29*Pricing!M$3+CA29*Pricing!N$3+CB29*Pricing!O$3)*IF(W$44="N",(1+Y$44),1)</f>
        <v>0</v>
      </c>
      <c r="CO29" s="628">
        <f t="shared" si="54"/>
        <v>0</v>
      </c>
      <c r="CP29" s="1380">
        <f t="shared" si="55"/>
        <v>0</v>
      </c>
      <c r="CQ29" s="628">
        <f t="shared" si="56"/>
        <v>0</v>
      </c>
      <c r="CR29" s="628">
        <f t="shared" si="57"/>
        <v>0</v>
      </c>
      <c r="CS29" s="628"/>
      <c r="CT29" s="1381">
        <f t="shared" si="58"/>
        <v>0</v>
      </c>
      <c r="CU29" s="628">
        <f t="shared" si="59"/>
        <v>0</v>
      </c>
      <c r="CV29" s="628">
        <f t="shared" si="60"/>
        <v>0</v>
      </c>
      <c r="CW29" s="628">
        <f t="shared" si="61"/>
        <v>0</v>
      </c>
      <c r="CX29" s="628">
        <f t="shared" si="62"/>
        <v>0</v>
      </c>
      <c r="CY29" s="628">
        <f t="shared" si="63"/>
        <v>0</v>
      </c>
      <c r="CZ29" s="628">
        <f t="shared" si="64"/>
        <v>0</v>
      </c>
      <c r="DA29" s="628">
        <f t="shared" si="65"/>
        <v>0</v>
      </c>
      <c r="DB29" s="628">
        <f t="shared" si="66"/>
        <v>0</v>
      </c>
      <c r="DC29" s="628">
        <f t="shared" si="67"/>
        <v>0</v>
      </c>
      <c r="DD29" s="628">
        <f t="shared" si="68"/>
        <v>0</v>
      </c>
      <c r="DE29" s="1382" t="e">
        <f t="shared" si="69"/>
        <v>#DIV/0!</v>
      </c>
      <c r="DF29" s="626">
        <f t="shared" si="70"/>
        <v>0</v>
      </c>
      <c r="DG29" s="626">
        <f t="shared" si="71"/>
        <v>0</v>
      </c>
      <c r="DH29" s="626">
        <f t="shared" si="72"/>
        <v>0</v>
      </c>
      <c r="DI29" s="626">
        <f t="shared" si="73"/>
        <v>0</v>
      </c>
      <c r="DJ29" s="626">
        <f t="shared" si="74"/>
        <v>0</v>
      </c>
      <c r="DK29" s="626">
        <f t="shared" si="75"/>
        <v>0</v>
      </c>
      <c r="DL29" s="626">
        <f t="shared" si="76"/>
        <v>0</v>
      </c>
      <c r="DM29" s="626">
        <f t="shared" si="77"/>
        <v>0</v>
      </c>
      <c r="DN29" s="626">
        <f t="shared" si="78"/>
        <v>0</v>
      </c>
      <c r="DO29" s="626">
        <f t="shared" si="79"/>
        <v>0</v>
      </c>
      <c r="DP29" s="1405">
        <f t="shared" si="80"/>
        <v>0</v>
      </c>
    </row>
    <row r="30" spans="1:120" ht="19.5" customHeight="1">
      <c r="A30" s="18" t="s">
        <v>1574</v>
      </c>
      <c r="B30" s="859"/>
      <c r="C30" s="1342"/>
      <c r="D30" s="1343"/>
      <c r="E30" s="1344"/>
      <c r="F30" s="984"/>
      <c r="G30" s="1389"/>
      <c r="H30" s="984"/>
      <c r="I30" s="1389"/>
      <c r="J30" s="984"/>
      <c r="K30" s="1419"/>
      <c r="L30" s="503"/>
      <c r="M30" s="834"/>
      <c r="N30" s="1349"/>
      <c r="O30" s="1350"/>
      <c r="P30" s="1351">
        <f t="shared" si="0"/>
        <v>0</v>
      </c>
      <c r="Q30" s="1352">
        <f t="shared" si="1"/>
        <v>0</v>
      </c>
      <c r="R30" s="1353">
        <f t="shared" si="2"/>
        <v>0</v>
      </c>
      <c r="S30" s="1354" t="e">
        <f t="shared" si="3"/>
        <v>#DIV/0!</v>
      </c>
      <c r="T30" s="1355">
        <f t="shared" si="4"/>
        <v>0</v>
      </c>
      <c r="U30" s="1356">
        <f t="shared" si="5"/>
        <v>0</v>
      </c>
      <c r="V30" s="1357">
        <f t="shared" si="6"/>
        <v>0</v>
      </c>
      <c r="W30" s="503"/>
      <c r="X30" s="1362"/>
      <c r="Y30" s="1347"/>
      <c r="Z30" s="1360"/>
      <c r="AA30" s="1347"/>
      <c r="AB30" s="1360"/>
      <c r="AC30" s="1361"/>
      <c r="AD30" s="1362"/>
      <c r="AE30" s="1347"/>
      <c r="AF30" s="1363"/>
      <c r="AG30" s="1364"/>
      <c r="AH30" s="1363"/>
      <c r="AI30" s="1653"/>
      <c r="AJ30" s="1362"/>
      <c r="AK30" s="1408"/>
      <c r="AL30" s="1409"/>
      <c r="AM30" s="1347"/>
      <c r="AN30" s="1368"/>
      <c r="AO30" s="1347"/>
      <c r="AP30" s="1360"/>
      <c r="AQ30" s="626"/>
      <c r="AR30" s="1369" t="str">
        <f t="shared" si="7"/>
        <v/>
      </c>
      <c r="AS30" s="1270" t="str">
        <f t="shared" si="8"/>
        <v/>
      </c>
      <c r="AT30" s="1270" t="str">
        <f t="shared" si="9"/>
        <v/>
      </c>
      <c r="AU30" s="1270" t="str">
        <f t="shared" si="10"/>
        <v/>
      </c>
      <c r="AV30" s="1270" t="str">
        <f t="shared" si="11"/>
        <v/>
      </c>
      <c r="AW30" s="1270" t="str">
        <f t="shared" si="12"/>
        <v/>
      </c>
      <c r="AX30" s="1270" t="str">
        <f t="shared" si="13"/>
        <v/>
      </c>
      <c r="AY30" s="1270" t="str">
        <f t="shared" si="14"/>
        <v/>
      </c>
      <c r="AZ30" s="1270" t="str">
        <f t="shared" si="15"/>
        <v/>
      </c>
      <c r="BA30" s="1270" t="str">
        <f t="shared" si="16"/>
        <v/>
      </c>
      <c r="BB30" s="1371">
        <f t="shared" si="17"/>
        <v>0</v>
      </c>
      <c r="BC30" s="1369" t="str">
        <f t="shared" si="18"/>
        <v/>
      </c>
      <c r="BD30" s="626" t="str">
        <f t="shared" si="19"/>
        <v/>
      </c>
      <c r="BE30" s="1270" t="str">
        <f t="shared" si="20"/>
        <v/>
      </c>
      <c r="BF30" s="626" t="str">
        <f t="shared" si="21"/>
        <v/>
      </c>
      <c r="BG30" s="626" t="str">
        <f t="shared" si="22"/>
        <v/>
      </c>
      <c r="BH30" s="626" t="str">
        <f t="shared" si="23"/>
        <v/>
      </c>
      <c r="BI30" s="626" t="str">
        <f t="shared" si="24"/>
        <v/>
      </c>
      <c r="BJ30" s="626" t="str">
        <f t="shared" si="25"/>
        <v/>
      </c>
      <c r="BK30" s="626" t="str">
        <f t="shared" si="26"/>
        <v/>
      </c>
      <c r="BL30" s="626" t="str">
        <f t="shared" si="27"/>
        <v/>
      </c>
      <c r="BM30" s="1420">
        <f t="shared" si="28"/>
        <v>0</v>
      </c>
      <c r="BN30" s="1372">
        <f t="shared" si="29"/>
        <v>0</v>
      </c>
      <c r="BO30" s="1372">
        <f t="shared" si="30"/>
        <v>0</v>
      </c>
      <c r="BP30" s="1372">
        <f t="shared" si="31"/>
        <v>0</v>
      </c>
      <c r="BQ30" s="1374">
        <f t="shared" si="32"/>
        <v>0</v>
      </c>
      <c r="BR30" s="1251">
        <f t="shared" si="33"/>
        <v>0</v>
      </c>
      <c r="BS30" s="1403">
        <f t="shared" si="34"/>
        <v>0</v>
      </c>
      <c r="BT30" s="1372">
        <f t="shared" si="35"/>
        <v>0</v>
      </c>
      <c r="BU30" s="1372">
        <f t="shared" si="36"/>
        <v>0</v>
      </c>
      <c r="BV30" s="1372">
        <f t="shared" si="37"/>
        <v>0</v>
      </c>
      <c r="BW30" s="1372">
        <f t="shared" si="38"/>
        <v>0</v>
      </c>
      <c r="BX30" s="1372">
        <f t="shared" si="39"/>
        <v>0</v>
      </c>
      <c r="BY30" s="1372">
        <f t="shared" si="40"/>
        <v>0</v>
      </c>
      <c r="BZ30" s="1372">
        <f t="shared" si="41"/>
        <v>0</v>
      </c>
      <c r="CA30" s="1372">
        <f t="shared" si="42"/>
        <v>0</v>
      </c>
      <c r="CB30" s="1404">
        <f t="shared" si="43"/>
        <v>0</v>
      </c>
      <c r="CC30" s="1374">
        <f t="shared" si="81"/>
        <v>0</v>
      </c>
      <c r="CD30" s="1374">
        <f t="shared" si="44"/>
        <v>0</v>
      </c>
      <c r="CE30" s="1374">
        <f t="shared" si="45"/>
        <v>0</v>
      </c>
      <c r="CF30" s="1378">
        <f t="shared" si="46"/>
        <v>0</v>
      </c>
      <c r="CG30" s="1378">
        <f t="shared" si="47"/>
        <v>0</v>
      </c>
      <c r="CH30" s="1378">
        <f t="shared" si="48"/>
        <v>0</v>
      </c>
      <c r="CI30" s="1374">
        <f t="shared" si="49"/>
        <v>0</v>
      </c>
      <c r="CJ30" s="1374">
        <f t="shared" si="50"/>
        <v>0</v>
      </c>
      <c r="CK30" s="1374" t="str">
        <f t="shared" si="51"/>
        <v/>
      </c>
      <c r="CL30" s="1374">
        <f t="shared" si="52"/>
        <v>0</v>
      </c>
      <c r="CM30" s="1379">
        <f t="shared" si="53"/>
        <v>0</v>
      </c>
      <c r="CN30" s="628">
        <f>(BS30*Pricing!F$3+BT30*Pricing!G$3+BU30*Pricing!H$3+BV30*Pricing!I$3+BW30*Pricing!J$3+BX30*Pricing!K$3+BY30*Pricing!L$3+BZ30*Pricing!M$3+CA30*Pricing!N$3+CB30*Pricing!O$3)*IF(W$44="N",(1+Y$44),1)</f>
        <v>0</v>
      </c>
      <c r="CO30" s="628">
        <f t="shared" si="54"/>
        <v>0</v>
      </c>
      <c r="CP30" s="1380">
        <f t="shared" si="55"/>
        <v>0</v>
      </c>
      <c r="CQ30" s="628">
        <f t="shared" si="56"/>
        <v>0</v>
      </c>
      <c r="CR30" s="628">
        <f t="shared" si="57"/>
        <v>0</v>
      </c>
      <c r="CS30" s="628"/>
      <c r="CT30" s="1381">
        <f t="shared" si="58"/>
        <v>0</v>
      </c>
      <c r="CU30" s="628">
        <f t="shared" si="59"/>
        <v>0</v>
      </c>
      <c r="CV30" s="628">
        <f t="shared" si="60"/>
        <v>0</v>
      </c>
      <c r="CW30" s="628">
        <f t="shared" si="61"/>
        <v>0</v>
      </c>
      <c r="CX30" s="628">
        <f t="shared" si="62"/>
        <v>0</v>
      </c>
      <c r="CY30" s="628">
        <f t="shared" si="63"/>
        <v>0</v>
      </c>
      <c r="CZ30" s="628">
        <f t="shared" si="64"/>
        <v>0</v>
      </c>
      <c r="DA30" s="628">
        <f t="shared" si="65"/>
        <v>0</v>
      </c>
      <c r="DB30" s="628">
        <f t="shared" si="66"/>
        <v>0</v>
      </c>
      <c r="DC30" s="628">
        <f t="shared" si="67"/>
        <v>0</v>
      </c>
      <c r="DD30" s="628">
        <f t="shared" si="68"/>
        <v>0</v>
      </c>
      <c r="DE30" s="1382" t="e">
        <f t="shared" si="69"/>
        <v>#DIV/0!</v>
      </c>
      <c r="DF30" s="626">
        <f t="shared" si="70"/>
        <v>0</v>
      </c>
      <c r="DG30" s="626">
        <f t="shared" si="71"/>
        <v>0</v>
      </c>
      <c r="DH30" s="626">
        <f t="shared" si="72"/>
        <v>0</v>
      </c>
      <c r="DI30" s="626">
        <f t="shared" si="73"/>
        <v>0</v>
      </c>
      <c r="DJ30" s="626">
        <f t="shared" si="74"/>
        <v>0</v>
      </c>
      <c r="DK30" s="626">
        <f t="shared" si="75"/>
        <v>0</v>
      </c>
      <c r="DL30" s="626">
        <f t="shared" si="76"/>
        <v>0</v>
      </c>
      <c r="DM30" s="626">
        <f t="shared" si="77"/>
        <v>0</v>
      </c>
      <c r="DN30" s="626">
        <f t="shared" si="78"/>
        <v>0</v>
      </c>
      <c r="DO30" s="626">
        <f t="shared" si="79"/>
        <v>0</v>
      </c>
      <c r="DP30" s="1405">
        <f t="shared" si="80"/>
        <v>0</v>
      </c>
    </row>
    <row r="31" spans="1:120" ht="19.5" customHeight="1">
      <c r="A31" s="18" t="s">
        <v>1575</v>
      </c>
      <c r="B31" s="1385"/>
      <c r="C31" s="1386"/>
      <c r="D31" s="1387"/>
      <c r="E31" s="1388"/>
      <c r="F31" s="984"/>
      <c r="G31" s="1389"/>
      <c r="H31" s="984"/>
      <c r="I31" s="1389"/>
      <c r="J31" s="984"/>
      <c r="K31" s="1419"/>
      <c r="L31" s="1395"/>
      <c r="M31" s="1392"/>
      <c r="N31" s="1393"/>
      <c r="O31" s="1394"/>
      <c r="P31" s="1351">
        <f t="shared" si="0"/>
        <v>0</v>
      </c>
      <c r="Q31" s="1352">
        <f t="shared" si="1"/>
        <v>0</v>
      </c>
      <c r="R31" s="1353">
        <f t="shared" si="2"/>
        <v>0</v>
      </c>
      <c r="S31" s="1354" t="e">
        <f t="shared" si="3"/>
        <v>#DIV/0!</v>
      </c>
      <c r="T31" s="1355">
        <f t="shared" si="4"/>
        <v>0</v>
      </c>
      <c r="U31" s="1356">
        <f t="shared" si="5"/>
        <v>0</v>
      </c>
      <c r="V31" s="1357">
        <f t="shared" si="6"/>
        <v>0</v>
      </c>
      <c r="W31" s="1395"/>
      <c r="X31" s="1396"/>
      <c r="Y31" s="1395"/>
      <c r="Z31" s="1397"/>
      <c r="AA31" s="1395"/>
      <c r="AB31" s="1397"/>
      <c r="AC31" s="1398"/>
      <c r="AD31" s="1396"/>
      <c r="AE31" s="1395"/>
      <c r="AF31" s="1399"/>
      <c r="AG31" s="1400"/>
      <c r="AH31" s="1399"/>
      <c r="AI31" s="1401"/>
      <c r="AJ31" s="1396"/>
      <c r="AK31" s="1401"/>
      <c r="AL31" s="1417"/>
      <c r="AM31" s="1395"/>
      <c r="AN31" s="1402"/>
      <c r="AO31" s="1395"/>
      <c r="AP31" s="1397"/>
      <c r="AQ31" s="626"/>
      <c r="AR31" s="1369" t="str">
        <f t="shared" si="7"/>
        <v/>
      </c>
      <c r="AS31" s="1270" t="str">
        <f t="shared" si="8"/>
        <v/>
      </c>
      <c r="AT31" s="1270" t="str">
        <f t="shared" si="9"/>
        <v/>
      </c>
      <c r="AU31" s="1270" t="str">
        <f t="shared" si="10"/>
        <v/>
      </c>
      <c r="AV31" s="1270" t="str">
        <f t="shared" si="11"/>
        <v/>
      </c>
      <c r="AW31" s="1270" t="str">
        <f t="shared" si="12"/>
        <v/>
      </c>
      <c r="AX31" s="1270" t="str">
        <f t="shared" si="13"/>
        <v/>
      </c>
      <c r="AY31" s="1270" t="str">
        <f t="shared" si="14"/>
        <v/>
      </c>
      <c r="AZ31" s="1270" t="str">
        <f t="shared" si="15"/>
        <v/>
      </c>
      <c r="BA31" s="1270" t="str">
        <f t="shared" si="16"/>
        <v/>
      </c>
      <c r="BB31" s="1371">
        <f t="shared" si="17"/>
        <v>0</v>
      </c>
      <c r="BC31" s="1369" t="str">
        <f t="shared" si="18"/>
        <v/>
      </c>
      <c r="BD31" s="626" t="str">
        <f t="shared" si="19"/>
        <v/>
      </c>
      <c r="BE31" s="1270" t="str">
        <f t="shared" si="20"/>
        <v/>
      </c>
      <c r="BF31" s="626" t="str">
        <f t="shared" si="21"/>
        <v/>
      </c>
      <c r="BG31" s="626" t="str">
        <f t="shared" si="22"/>
        <v/>
      </c>
      <c r="BH31" s="626" t="str">
        <f t="shared" si="23"/>
        <v/>
      </c>
      <c r="BI31" s="626" t="str">
        <f t="shared" si="24"/>
        <v/>
      </c>
      <c r="BJ31" s="626" t="str">
        <f t="shared" si="25"/>
        <v/>
      </c>
      <c r="BK31" s="626" t="str">
        <f t="shared" si="26"/>
        <v/>
      </c>
      <c r="BL31" s="626" t="str">
        <f t="shared" si="27"/>
        <v/>
      </c>
      <c r="BM31" s="1420">
        <f t="shared" si="28"/>
        <v>0</v>
      </c>
      <c r="BN31" s="1372">
        <f t="shared" si="29"/>
        <v>0</v>
      </c>
      <c r="BO31" s="1372">
        <f t="shared" si="30"/>
        <v>0</v>
      </c>
      <c r="BP31" s="1372">
        <f t="shared" si="31"/>
        <v>0</v>
      </c>
      <c r="BQ31" s="1374">
        <f t="shared" si="32"/>
        <v>0</v>
      </c>
      <c r="BR31" s="1251">
        <f t="shared" si="33"/>
        <v>0</v>
      </c>
      <c r="BS31" s="1403">
        <f t="shared" si="34"/>
        <v>0</v>
      </c>
      <c r="BT31" s="1372">
        <f t="shared" si="35"/>
        <v>0</v>
      </c>
      <c r="BU31" s="1372">
        <f t="shared" si="36"/>
        <v>0</v>
      </c>
      <c r="BV31" s="1372">
        <f t="shared" si="37"/>
        <v>0</v>
      </c>
      <c r="BW31" s="1372">
        <f t="shared" si="38"/>
        <v>0</v>
      </c>
      <c r="BX31" s="1372">
        <f t="shared" si="39"/>
        <v>0</v>
      </c>
      <c r="BY31" s="1372">
        <f t="shared" si="40"/>
        <v>0</v>
      </c>
      <c r="BZ31" s="1372">
        <f t="shared" si="41"/>
        <v>0</v>
      </c>
      <c r="CA31" s="1372">
        <f t="shared" si="42"/>
        <v>0</v>
      </c>
      <c r="CB31" s="1404">
        <f t="shared" si="43"/>
        <v>0</v>
      </c>
      <c r="CC31" s="1374">
        <f t="shared" si="81"/>
        <v>0</v>
      </c>
      <c r="CD31" s="1374">
        <f t="shared" si="44"/>
        <v>0</v>
      </c>
      <c r="CE31" s="1374">
        <f t="shared" si="45"/>
        <v>0</v>
      </c>
      <c r="CF31" s="1378">
        <f t="shared" si="46"/>
        <v>0</v>
      </c>
      <c r="CG31" s="1378">
        <f t="shared" si="47"/>
        <v>0</v>
      </c>
      <c r="CH31" s="1378">
        <f t="shared" si="48"/>
        <v>0</v>
      </c>
      <c r="CI31" s="1374">
        <f t="shared" si="49"/>
        <v>0</v>
      </c>
      <c r="CJ31" s="1374">
        <f t="shared" si="50"/>
        <v>0</v>
      </c>
      <c r="CK31" s="1374" t="str">
        <f t="shared" si="51"/>
        <v/>
      </c>
      <c r="CL31" s="1374">
        <f t="shared" si="52"/>
        <v>0</v>
      </c>
      <c r="CM31" s="1379">
        <f t="shared" si="53"/>
        <v>0</v>
      </c>
      <c r="CN31" s="628">
        <f>(BS31*Pricing!F$3+BT31*Pricing!G$3+BU31*Pricing!H$3+BV31*Pricing!I$3+BW31*Pricing!J$3+BX31*Pricing!K$3+BY31*Pricing!L$3+BZ31*Pricing!M$3+CA31*Pricing!N$3+CB31*Pricing!O$3)*IF(W$44="N",(1+Y$44),1)</f>
        <v>0</v>
      </c>
      <c r="CO31" s="628">
        <f t="shared" si="54"/>
        <v>0</v>
      </c>
      <c r="CP31" s="1380">
        <f t="shared" si="55"/>
        <v>0</v>
      </c>
      <c r="CQ31" s="628">
        <f t="shared" si="56"/>
        <v>0</v>
      </c>
      <c r="CR31" s="628">
        <f t="shared" si="57"/>
        <v>0</v>
      </c>
      <c r="CS31" s="628"/>
      <c r="CT31" s="1381">
        <f t="shared" si="58"/>
        <v>0</v>
      </c>
      <c r="CU31" s="628">
        <f t="shared" si="59"/>
        <v>0</v>
      </c>
      <c r="CV31" s="628">
        <f t="shared" si="60"/>
        <v>0</v>
      </c>
      <c r="CW31" s="628">
        <f t="shared" si="61"/>
        <v>0</v>
      </c>
      <c r="CX31" s="628">
        <f t="shared" si="62"/>
        <v>0</v>
      </c>
      <c r="CY31" s="628">
        <f t="shared" si="63"/>
        <v>0</v>
      </c>
      <c r="CZ31" s="628">
        <f t="shared" si="64"/>
        <v>0</v>
      </c>
      <c r="DA31" s="628">
        <f t="shared" si="65"/>
        <v>0</v>
      </c>
      <c r="DB31" s="628">
        <f t="shared" si="66"/>
        <v>0</v>
      </c>
      <c r="DC31" s="628">
        <f t="shared" si="67"/>
        <v>0</v>
      </c>
      <c r="DD31" s="628">
        <f t="shared" si="68"/>
        <v>0</v>
      </c>
      <c r="DE31" s="1382" t="e">
        <f t="shared" si="69"/>
        <v>#DIV/0!</v>
      </c>
      <c r="DF31" s="626">
        <f t="shared" si="70"/>
        <v>0</v>
      </c>
      <c r="DG31" s="626">
        <f t="shared" si="71"/>
        <v>0</v>
      </c>
      <c r="DH31" s="626">
        <f t="shared" si="72"/>
        <v>0</v>
      </c>
      <c r="DI31" s="626">
        <f t="shared" si="73"/>
        <v>0</v>
      </c>
      <c r="DJ31" s="626">
        <f t="shared" si="74"/>
        <v>0</v>
      </c>
      <c r="DK31" s="626">
        <f t="shared" si="75"/>
        <v>0</v>
      </c>
      <c r="DL31" s="626">
        <f t="shared" si="76"/>
        <v>0</v>
      </c>
      <c r="DM31" s="626">
        <f t="shared" si="77"/>
        <v>0</v>
      </c>
      <c r="DN31" s="626">
        <f t="shared" si="78"/>
        <v>0</v>
      </c>
      <c r="DO31" s="626">
        <f t="shared" si="79"/>
        <v>0</v>
      </c>
      <c r="DP31" s="1405">
        <f t="shared" si="80"/>
        <v>0</v>
      </c>
    </row>
    <row r="32" spans="1:120" ht="19.5" customHeight="1">
      <c r="A32" s="18" t="s">
        <v>1576</v>
      </c>
      <c r="B32" s="859"/>
      <c r="C32" s="1342"/>
      <c r="D32" s="1422"/>
      <c r="E32" s="1423"/>
      <c r="F32" s="984"/>
      <c r="G32" s="1345"/>
      <c r="H32" s="984"/>
      <c r="I32" s="1345"/>
      <c r="J32" s="984"/>
      <c r="K32" s="1424"/>
      <c r="L32" s="503"/>
      <c r="M32" s="834"/>
      <c r="N32" s="1349"/>
      <c r="O32" s="1350"/>
      <c r="P32" s="1351">
        <f t="shared" si="0"/>
        <v>0</v>
      </c>
      <c r="Q32" s="1352">
        <f t="shared" si="1"/>
        <v>0</v>
      </c>
      <c r="R32" s="1353">
        <f t="shared" si="2"/>
        <v>0</v>
      </c>
      <c r="S32" s="1354" t="e">
        <f t="shared" si="3"/>
        <v>#DIV/0!</v>
      </c>
      <c r="T32" s="1355">
        <f t="shared" si="4"/>
        <v>0</v>
      </c>
      <c r="U32" s="1356">
        <f t="shared" si="5"/>
        <v>0</v>
      </c>
      <c r="V32" s="1357">
        <f t="shared" si="6"/>
        <v>0</v>
      </c>
      <c r="W32" s="503"/>
      <c r="X32" s="1362"/>
      <c r="Y32" s="1347"/>
      <c r="Z32" s="1360"/>
      <c r="AA32" s="1347"/>
      <c r="AB32" s="1360"/>
      <c r="AC32" s="1421"/>
      <c r="AD32" s="1362"/>
      <c r="AE32" s="503"/>
      <c r="AF32" s="1363"/>
      <c r="AG32" s="1367"/>
      <c r="AH32" s="1363"/>
      <c r="AI32" s="1367"/>
      <c r="AJ32" s="1425"/>
      <c r="AK32" s="1367"/>
      <c r="AL32" s="1363"/>
      <c r="AM32" s="1347"/>
      <c r="AN32" s="1368"/>
      <c r="AO32" s="1347"/>
      <c r="AP32" s="1360"/>
      <c r="AQ32" s="626"/>
      <c r="AR32" s="1369" t="str">
        <f t="shared" si="7"/>
        <v/>
      </c>
      <c r="AS32" s="1270" t="str">
        <f t="shared" si="8"/>
        <v/>
      </c>
      <c r="AT32" s="1270" t="str">
        <f t="shared" si="9"/>
        <v/>
      </c>
      <c r="AU32" s="1270" t="str">
        <f t="shared" si="10"/>
        <v/>
      </c>
      <c r="AV32" s="1270" t="str">
        <f t="shared" si="11"/>
        <v/>
      </c>
      <c r="AW32" s="1270" t="str">
        <f t="shared" si="12"/>
        <v/>
      </c>
      <c r="AX32" s="1270" t="str">
        <f t="shared" si="13"/>
        <v/>
      </c>
      <c r="AY32" s="1270" t="str">
        <f t="shared" si="14"/>
        <v/>
      </c>
      <c r="AZ32" s="1270" t="str">
        <f t="shared" si="15"/>
        <v/>
      </c>
      <c r="BA32" s="1270" t="str">
        <f t="shared" si="16"/>
        <v/>
      </c>
      <c r="BB32" s="1371">
        <f t="shared" si="17"/>
        <v>0</v>
      </c>
      <c r="BC32" s="1369" t="str">
        <f t="shared" si="18"/>
        <v/>
      </c>
      <c r="BD32" s="626" t="str">
        <f t="shared" si="19"/>
        <v/>
      </c>
      <c r="BE32" s="1270" t="str">
        <f t="shared" si="20"/>
        <v/>
      </c>
      <c r="BF32" s="626" t="str">
        <f t="shared" si="21"/>
        <v/>
      </c>
      <c r="BG32" s="626" t="str">
        <f t="shared" si="22"/>
        <v/>
      </c>
      <c r="BH32" s="626" t="str">
        <f t="shared" si="23"/>
        <v/>
      </c>
      <c r="BI32" s="626" t="str">
        <f t="shared" si="24"/>
        <v/>
      </c>
      <c r="BJ32" s="626" t="str">
        <f t="shared" si="25"/>
        <v/>
      </c>
      <c r="BK32" s="626" t="str">
        <f t="shared" si="26"/>
        <v/>
      </c>
      <c r="BL32" s="626" t="str">
        <f t="shared" si="27"/>
        <v/>
      </c>
      <c r="BM32" s="1420">
        <f t="shared" si="28"/>
        <v>0</v>
      </c>
      <c r="BN32" s="1372">
        <f t="shared" si="29"/>
        <v>0</v>
      </c>
      <c r="BO32" s="1372">
        <f t="shared" si="30"/>
        <v>0</v>
      </c>
      <c r="BP32" s="1372">
        <f t="shared" si="31"/>
        <v>0</v>
      </c>
      <c r="BQ32" s="1374">
        <f t="shared" si="32"/>
        <v>0</v>
      </c>
      <c r="BR32" s="1251">
        <f t="shared" si="33"/>
        <v>0</v>
      </c>
      <c r="BS32" s="1403">
        <f t="shared" si="34"/>
        <v>0</v>
      </c>
      <c r="BT32" s="1372">
        <f t="shared" si="35"/>
        <v>0</v>
      </c>
      <c r="BU32" s="1372">
        <f t="shared" si="36"/>
        <v>0</v>
      </c>
      <c r="BV32" s="1372">
        <f t="shared" si="37"/>
        <v>0</v>
      </c>
      <c r="BW32" s="1372">
        <f t="shared" si="38"/>
        <v>0</v>
      </c>
      <c r="BX32" s="1372">
        <f t="shared" si="39"/>
        <v>0</v>
      </c>
      <c r="BY32" s="1372">
        <f t="shared" si="40"/>
        <v>0</v>
      </c>
      <c r="BZ32" s="1372">
        <f t="shared" si="41"/>
        <v>0</v>
      </c>
      <c r="CA32" s="1372">
        <f t="shared" si="42"/>
        <v>0</v>
      </c>
      <c r="CB32" s="1404">
        <f t="shared" si="43"/>
        <v>0</v>
      </c>
      <c r="CC32" s="1374">
        <f t="shared" si="81"/>
        <v>0</v>
      </c>
      <c r="CD32" s="1374">
        <f t="shared" si="44"/>
        <v>0</v>
      </c>
      <c r="CE32" s="1374">
        <f t="shared" si="45"/>
        <v>0</v>
      </c>
      <c r="CF32" s="1378">
        <f t="shared" si="46"/>
        <v>0</v>
      </c>
      <c r="CG32" s="1378">
        <f t="shared" si="47"/>
        <v>0</v>
      </c>
      <c r="CH32" s="1378">
        <f t="shared" si="48"/>
        <v>0</v>
      </c>
      <c r="CI32" s="1374">
        <f t="shared" si="49"/>
        <v>0</v>
      </c>
      <c r="CJ32" s="1374">
        <f t="shared" si="50"/>
        <v>0</v>
      </c>
      <c r="CK32" s="1374" t="str">
        <f t="shared" si="51"/>
        <v/>
      </c>
      <c r="CL32" s="1374">
        <f t="shared" si="52"/>
        <v>0</v>
      </c>
      <c r="CM32" s="1379">
        <f t="shared" si="53"/>
        <v>0</v>
      </c>
      <c r="CN32" s="628">
        <f>(BS32*Pricing!F$3+BT32*Pricing!G$3+BU32*Pricing!H$3+BV32*Pricing!I$3+BW32*Pricing!J$3+BX32*Pricing!K$3+BY32*Pricing!L$3+BZ32*Pricing!M$3+CA32*Pricing!N$3+CB32*Pricing!O$3)*IF(W$44="N",(1+Y$44),1)</f>
        <v>0</v>
      </c>
      <c r="CO32" s="628">
        <f t="shared" si="54"/>
        <v>0</v>
      </c>
      <c r="CP32" s="1380">
        <f t="shared" si="55"/>
        <v>0</v>
      </c>
      <c r="CQ32" s="628">
        <f t="shared" si="56"/>
        <v>0</v>
      </c>
      <c r="CR32" s="628">
        <f t="shared" si="57"/>
        <v>0</v>
      </c>
      <c r="CS32" s="628"/>
      <c r="CT32" s="1381">
        <f t="shared" si="58"/>
        <v>0</v>
      </c>
      <c r="CU32" s="628">
        <f t="shared" si="59"/>
        <v>0</v>
      </c>
      <c r="CV32" s="628">
        <f t="shared" si="60"/>
        <v>0</v>
      </c>
      <c r="CW32" s="628">
        <f t="shared" si="61"/>
        <v>0</v>
      </c>
      <c r="CX32" s="628">
        <f t="shared" si="62"/>
        <v>0</v>
      </c>
      <c r="CY32" s="628">
        <f t="shared" si="63"/>
        <v>0</v>
      </c>
      <c r="CZ32" s="628">
        <f t="shared" si="64"/>
        <v>0</v>
      </c>
      <c r="DA32" s="628">
        <f t="shared" si="65"/>
        <v>0</v>
      </c>
      <c r="DB32" s="628">
        <f t="shared" si="66"/>
        <v>0</v>
      </c>
      <c r="DC32" s="628">
        <f t="shared" si="67"/>
        <v>0</v>
      </c>
      <c r="DD32" s="628">
        <f t="shared" si="68"/>
        <v>0</v>
      </c>
      <c r="DE32" s="1382" t="e">
        <f t="shared" si="69"/>
        <v>#DIV/0!</v>
      </c>
      <c r="DF32" s="626">
        <f t="shared" si="70"/>
        <v>0</v>
      </c>
      <c r="DG32" s="626">
        <f t="shared" si="71"/>
        <v>0</v>
      </c>
      <c r="DH32" s="626">
        <f t="shared" si="72"/>
        <v>0</v>
      </c>
      <c r="DI32" s="626">
        <f t="shared" si="73"/>
        <v>0</v>
      </c>
      <c r="DJ32" s="626">
        <f t="shared" si="74"/>
        <v>0</v>
      </c>
      <c r="DK32" s="626">
        <f t="shared" si="75"/>
        <v>0</v>
      </c>
      <c r="DL32" s="626">
        <f t="shared" si="76"/>
        <v>0</v>
      </c>
      <c r="DM32" s="626">
        <f t="shared" si="77"/>
        <v>0</v>
      </c>
      <c r="DN32" s="626">
        <f t="shared" si="78"/>
        <v>0</v>
      </c>
      <c r="DO32" s="626">
        <f t="shared" si="79"/>
        <v>0</v>
      </c>
      <c r="DP32" s="1405">
        <f t="shared" si="80"/>
        <v>0</v>
      </c>
    </row>
    <row r="33" spans="1:120" ht="19.5" customHeight="1">
      <c r="A33" s="18" t="s">
        <v>1577</v>
      </c>
      <c r="B33" s="1385"/>
      <c r="C33" s="1386"/>
      <c r="D33" s="1387"/>
      <c r="E33" s="1388"/>
      <c r="F33" s="984"/>
      <c r="G33" s="1389"/>
      <c r="H33" s="984"/>
      <c r="I33" s="1389"/>
      <c r="J33" s="984"/>
      <c r="K33" s="1419"/>
      <c r="L33" s="1395"/>
      <c r="M33" s="1392"/>
      <c r="N33" s="1393"/>
      <c r="O33" s="1394"/>
      <c r="P33" s="1351">
        <f t="shared" si="0"/>
        <v>0</v>
      </c>
      <c r="Q33" s="1352">
        <f t="shared" si="1"/>
        <v>0</v>
      </c>
      <c r="R33" s="1353">
        <f t="shared" si="2"/>
        <v>0</v>
      </c>
      <c r="S33" s="1354" t="e">
        <f t="shared" si="3"/>
        <v>#DIV/0!</v>
      </c>
      <c r="T33" s="1355">
        <f t="shared" si="4"/>
        <v>0</v>
      </c>
      <c r="U33" s="1356">
        <f t="shared" si="5"/>
        <v>0</v>
      </c>
      <c r="V33" s="1357">
        <f t="shared" si="6"/>
        <v>0</v>
      </c>
      <c r="W33" s="1395"/>
      <c r="X33" s="1396"/>
      <c r="Y33" s="1395"/>
      <c r="Z33" s="1397"/>
      <c r="AA33" s="1395"/>
      <c r="AB33" s="1397"/>
      <c r="AC33" s="1398"/>
      <c r="AD33" s="1396"/>
      <c r="AE33" s="1395"/>
      <c r="AF33" s="1399"/>
      <c r="AG33" s="1400"/>
      <c r="AH33" s="1399"/>
      <c r="AI33" s="1401"/>
      <c r="AJ33" s="1417"/>
      <c r="AK33" s="1401"/>
      <c r="AL33" s="1417"/>
      <c r="AM33" s="1395"/>
      <c r="AN33" s="1397"/>
      <c r="AO33" s="1395"/>
      <c r="AP33" s="1397"/>
      <c r="AQ33" s="626"/>
      <c r="AR33" s="1369" t="str">
        <f t="shared" si="7"/>
        <v/>
      </c>
      <c r="AS33" s="1270" t="str">
        <f t="shared" si="8"/>
        <v/>
      </c>
      <c r="AT33" s="1270" t="str">
        <f t="shared" si="9"/>
        <v/>
      </c>
      <c r="AU33" s="1270" t="str">
        <f t="shared" si="10"/>
        <v/>
      </c>
      <c r="AV33" s="1270" t="str">
        <f t="shared" si="11"/>
        <v/>
      </c>
      <c r="AW33" s="1270" t="str">
        <f t="shared" si="12"/>
        <v/>
      </c>
      <c r="AX33" s="1270" t="str">
        <f t="shared" si="13"/>
        <v/>
      </c>
      <c r="AY33" s="1270" t="str">
        <f t="shared" si="14"/>
        <v/>
      </c>
      <c r="AZ33" s="1270" t="str">
        <f t="shared" si="15"/>
        <v/>
      </c>
      <c r="BA33" s="1270" t="str">
        <f t="shared" si="16"/>
        <v/>
      </c>
      <c r="BB33" s="1371">
        <f t="shared" si="17"/>
        <v>0</v>
      </c>
      <c r="BC33" s="1369" t="str">
        <f t="shared" si="18"/>
        <v/>
      </c>
      <c r="BD33" s="626" t="str">
        <f t="shared" si="19"/>
        <v/>
      </c>
      <c r="BE33" s="1270" t="str">
        <f t="shared" si="20"/>
        <v/>
      </c>
      <c r="BF33" s="626" t="str">
        <f t="shared" si="21"/>
        <v/>
      </c>
      <c r="BG33" s="626" t="str">
        <f t="shared" si="22"/>
        <v/>
      </c>
      <c r="BH33" s="626" t="str">
        <f t="shared" si="23"/>
        <v/>
      </c>
      <c r="BI33" s="626" t="str">
        <f t="shared" si="24"/>
        <v/>
      </c>
      <c r="BJ33" s="626" t="str">
        <f t="shared" si="25"/>
        <v/>
      </c>
      <c r="BK33" s="626" t="str">
        <f t="shared" si="26"/>
        <v/>
      </c>
      <c r="BL33" s="626" t="str">
        <f t="shared" si="27"/>
        <v/>
      </c>
      <c r="BM33" s="1420">
        <f t="shared" si="28"/>
        <v>0</v>
      </c>
      <c r="BN33" s="1372">
        <f t="shared" si="29"/>
        <v>0</v>
      </c>
      <c r="BO33" s="1372">
        <f t="shared" si="30"/>
        <v>0</v>
      </c>
      <c r="BP33" s="1372">
        <f t="shared" si="31"/>
        <v>0</v>
      </c>
      <c r="BQ33" s="1374">
        <f t="shared" si="32"/>
        <v>0</v>
      </c>
      <c r="BR33" s="1251">
        <f t="shared" si="33"/>
        <v>0</v>
      </c>
      <c r="BS33" s="1403">
        <f t="shared" si="34"/>
        <v>0</v>
      </c>
      <c r="BT33" s="1372">
        <f t="shared" si="35"/>
        <v>0</v>
      </c>
      <c r="BU33" s="1372">
        <f t="shared" si="36"/>
        <v>0</v>
      </c>
      <c r="BV33" s="1372">
        <f t="shared" si="37"/>
        <v>0</v>
      </c>
      <c r="BW33" s="1372">
        <f t="shared" si="38"/>
        <v>0</v>
      </c>
      <c r="BX33" s="1372">
        <f t="shared" si="39"/>
        <v>0</v>
      </c>
      <c r="BY33" s="1372">
        <f t="shared" si="40"/>
        <v>0</v>
      </c>
      <c r="BZ33" s="1372">
        <f t="shared" si="41"/>
        <v>0</v>
      </c>
      <c r="CA33" s="1372">
        <f t="shared" si="42"/>
        <v>0</v>
      </c>
      <c r="CB33" s="1404">
        <f t="shared" si="43"/>
        <v>0</v>
      </c>
      <c r="CC33" s="1374">
        <f t="shared" si="81"/>
        <v>0</v>
      </c>
      <c r="CD33" s="1374">
        <f t="shared" si="44"/>
        <v>0</v>
      </c>
      <c r="CE33" s="1374">
        <f t="shared" si="45"/>
        <v>0</v>
      </c>
      <c r="CF33" s="1378">
        <f t="shared" si="46"/>
        <v>0</v>
      </c>
      <c r="CG33" s="1378">
        <f t="shared" si="47"/>
        <v>0</v>
      </c>
      <c r="CH33" s="1378">
        <f t="shared" si="48"/>
        <v>0</v>
      </c>
      <c r="CI33" s="1374">
        <f t="shared" si="49"/>
        <v>0</v>
      </c>
      <c r="CJ33" s="1374">
        <f t="shared" si="50"/>
        <v>0</v>
      </c>
      <c r="CK33" s="1374" t="str">
        <f t="shared" si="51"/>
        <v/>
      </c>
      <c r="CL33" s="1374">
        <f t="shared" si="52"/>
        <v>0</v>
      </c>
      <c r="CM33" s="1379">
        <f t="shared" si="53"/>
        <v>0</v>
      </c>
      <c r="CN33" s="628">
        <f>(BS33*Pricing!F$3+BT33*Pricing!G$3+BU33*Pricing!H$3+BV33*Pricing!I$3+BW33*Pricing!J$3+BX33*Pricing!K$3+BY33*Pricing!L$3+BZ33*Pricing!M$3+CA33*Pricing!N$3+CB33*Pricing!O$3)*IF(W$44="N",(1+Y$44),1)</f>
        <v>0</v>
      </c>
      <c r="CO33" s="628">
        <f t="shared" si="54"/>
        <v>0</v>
      </c>
      <c r="CP33" s="1380">
        <f t="shared" si="55"/>
        <v>0</v>
      </c>
      <c r="CQ33" s="628">
        <f t="shared" si="56"/>
        <v>0</v>
      </c>
      <c r="CR33" s="628">
        <f t="shared" si="57"/>
        <v>0</v>
      </c>
      <c r="CS33" s="628"/>
      <c r="CT33" s="1381">
        <f t="shared" si="58"/>
        <v>0</v>
      </c>
      <c r="CU33" s="628">
        <f t="shared" si="59"/>
        <v>0</v>
      </c>
      <c r="CV33" s="628">
        <f t="shared" si="60"/>
        <v>0</v>
      </c>
      <c r="CW33" s="628">
        <f t="shared" si="61"/>
        <v>0</v>
      </c>
      <c r="CX33" s="628">
        <f t="shared" si="62"/>
        <v>0</v>
      </c>
      <c r="CY33" s="628">
        <f t="shared" si="63"/>
        <v>0</v>
      </c>
      <c r="CZ33" s="628">
        <f t="shared" si="64"/>
        <v>0</v>
      </c>
      <c r="DA33" s="628">
        <f t="shared" si="65"/>
        <v>0</v>
      </c>
      <c r="DB33" s="628">
        <f t="shared" si="66"/>
        <v>0</v>
      </c>
      <c r="DC33" s="628">
        <f t="shared" si="67"/>
        <v>0</v>
      </c>
      <c r="DD33" s="628">
        <f t="shared" si="68"/>
        <v>0</v>
      </c>
      <c r="DE33" s="1382" t="e">
        <f t="shared" si="69"/>
        <v>#DIV/0!</v>
      </c>
      <c r="DF33" s="626">
        <f t="shared" si="70"/>
        <v>0</v>
      </c>
      <c r="DG33" s="626">
        <f t="shared" si="71"/>
        <v>0</v>
      </c>
      <c r="DH33" s="626">
        <f t="shared" si="72"/>
        <v>0</v>
      </c>
      <c r="DI33" s="626">
        <f t="shared" si="73"/>
        <v>0</v>
      </c>
      <c r="DJ33" s="626">
        <f t="shared" si="74"/>
        <v>0</v>
      </c>
      <c r="DK33" s="626">
        <f t="shared" si="75"/>
        <v>0</v>
      </c>
      <c r="DL33" s="626">
        <f t="shared" si="76"/>
        <v>0</v>
      </c>
      <c r="DM33" s="626">
        <f t="shared" si="77"/>
        <v>0</v>
      </c>
      <c r="DN33" s="626">
        <f t="shared" si="78"/>
        <v>0</v>
      </c>
      <c r="DO33" s="626">
        <f t="shared" si="79"/>
        <v>0</v>
      </c>
      <c r="DP33" s="1405">
        <f t="shared" si="80"/>
        <v>0</v>
      </c>
    </row>
    <row r="34" spans="1:120" ht="19.5" customHeight="1">
      <c r="A34" s="18" t="s">
        <v>1578</v>
      </c>
      <c r="B34" s="859"/>
      <c r="C34" s="1342"/>
      <c r="D34" s="1422"/>
      <c r="E34" s="1423"/>
      <c r="F34" s="984"/>
      <c r="G34" s="1389"/>
      <c r="H34" s="984"/>
      <c r="I34" s="1389"/>
      <c r="J34" s="984"/>
      <c r="K34" s="1426"/>
      <c r="L34" s="503"/>
      <c r="M34" s="834"/>
      <c r="N34" s="1349"/>
      <c r="O34" s="1350"/>
      <c r="P34" s="1351">
        <f t="shared" si="0"/>
        <v>0</v>
      </c>
      <c r="Q34" s="1352">
        <f t="shared" si="1"/>
        <v>0</v>
      </c>
      <c r="R34" s="1353">
        <f t="shared" si="2"/>
        <v>0</v>
      </c>
      <c r="S34" s="1354" t="e">
        <f t="shared" si="3"/>
        <v>#DIV/0!</v>
      </c>
      <c r="T34" s="1355">
        <f t="shared" si="4"/>
        <v>0</v>
      </c>
      <c r="U34" s="1356">
        <f t="shared" si="5"/>
        <v>0</v>
      </c>
      <c r="V34" s="1357">
        <f t="shared" si="6"/>
        <v>0</v>
      </c>
      <c r="W34" s="503"/>
      <c r="X34" s="1427"/>
      <c r="Y34" s="1347"/>
      <c r="Z34" s="1360"/>
      <c r="AA34" s="1347"/>
      <c r="AB34" s="1360"/>
      <c r="AC34" s="1361"/>
      <c r="AD34" s="1427"/>
      <c r="AE34" s="1347"/>
      <c r="AF34" s="1428"/>
      <c r="AG34" s="1429"/>
      <c r="AH34" s="1348"/>
      <c r="AI34" s="503"/>
      <c r="AJ34" s="1427"/>
      <c r="AK34" s="503"/>
      <c r="AL34" s="1428"/>
      <c r="AM34" s="1347"/>
      <c r="AN34" s="1360"/>
      <c r="AO34" s="1347"/>
      <c r="AP34" s="1360"/>
      <c r="AQ34" s="626"/>
      <c r="AR34" s="1369" t="str">
        <f t="shared" si="7"/>
        <v/>
      </c>
      <c r="AS34" s="1270" t="str">
        <f t="shared" si="8"/>
        <v/>
      </c>
      <c r="AT34" s="1270" t="str">
        <f t="shared" si="9"/>
        <v/>
      </c>
      <c r="AU34" s="1270" t="str">
        <f t="shared" si="10"/>
        <v/>
      </c>
      <c r="AV34" s="1270" t="str">
        <f t="shared" si="11"/>
        <v/>
      </c>
      <c r="AW34" s="1270" t="str">
        <f t="shared" si="12"/>
        <v/>
      </c>
      <c r="AX34" s="1270" t="str">
        <f t="shared" si="13"/>
        <v/>
      </c>
      <c r="AY34" s="1270" t="str">
        <f t="shared" si="14"/>
        <v/>
      </c>
      <c r="AZ34" s="1270" t="str">
        <f t="shared" si="15"/>
        <v/>
      </c>
      <c r="BA34" s="1270" t="str">
        <f t="shared" si="16"/>
        <v/>
      </c>
      <c r="BB34" s="1371">
        <f t="shared" si="17"/>
        <v>0</v>
      </c>
      <c r="BC34" s="1369" t="str">
        <f t="shared" si="18"/>
        <v/>
      </c>
      <c r="BD34" s="626" t="str">
        <f t="shared" si="19"/>
        <v/>
      </c>
      <c r="BE34" s="1270" t="str">
        <f t="shared" si="20"/>
        <v/>
      </c>
      <c r="BF34" s="626" t="str">
        <f t="shared" si="21"/>
        <v/>
      </c>
      <c r="BG34" s="626" t="str">
        <f t="shared" si="22"/>
        <v/>
      </c>
      <c r="BH34" s="626" t="str">
        <f t="shared" si="23"/>
        <v/>
      </c>
      <c r="BI34" s="626" t="str">
        <f t="shared" si="24"/>
        <v/>
      </c>
      <c r="BJ34" s="626" t="str">
        <f t="shared" si="25"/>
        <v/>
      </c>
      <c r="BK34" s="626" t="str">
        <f t="shared" si="26"/>
        <v/>
      </c>
      <c r="BL34" s="626" t="str">
        <f t="shared" si="27"/>
        <v/>
      </c>
      <c r="BM34" s="1420">
        <f t="shared" si="28"/>
        <v>0</v>
      </c>
      <c r="BN34" s="1372">
        <f t="shared" si="29"/>
        <v>0</v>
      </c>
      <c r="BO34" s="1372">
        <f t="shared" si="30"/>
        <v>0</v>
      </c>
      <c r="BP34" s="1372">
        <f t="shared" si="31"/>
        <v>0</v>
      </c>
      <c r="BQ34" s="1374">
        <f t="shared" si="32"/>
        <v>0</v>
      </c>
      <c r="BR34" s="1251">
        <f t="shared" si="33"/>
        <v>0</v>
      </c>
      <c r="BS34" s="1403">
        <f t="shared" si="34"/>
        <v>0</v>
      </c>
      <c r="BT34" s="1372">
        <f t="shared" si="35"/>
        <v>0</v>
      </c>
      <c r="BU34" s="1372">
        <f t="shared" si="36"/>
        <v>0</v>
      </c>
      <c r="BV34" s="1372">
        <f t="shared" si="37"/>
        <v>0</v>
      </c>
      <c r="BW34" s="1372">
        <f t="shared" si="38"/>
        <v>0</v>
      </c>
      <c r="BX34" s="1372">
        <f t="shared" si="39"/>
        <v>0</v>
      </c>
      <c r="BY34" s="1372">
        <f t="shared" si="40"/>
        <v>0</v>
      </c>
      <c r="BZ34" s="1372">
        <f t="shared" si="41"/>
        <v>0</v>
      </c>
      <c r="CA34" s="1372">
        <f t="shared" si="42"/>
        <v>0</v>
      </c>
      <c r="CB34" s="1404">
        <f t="shared" si="43"/>
        <v>0</v>
      </c>
      <c r="CC34" s="1374">
        <f t="shared" si="81"/>
        <v>0</v>
      </c>
      <c r="CD34" s="1374">
        <f t="shared" si="44"/>
        <v>0</v>
      </c>
      <c r="CE34" s="1374">
        <f t="shared" si="45"/>
        <v>0</v>
      </c>
      <c r="CF34" s="1378">
        <f t="shared" si="46"/>
        <v>0</v>
      </c>
      <c r="CG34" s="1378">
        <f t="shared" si="47"/>
        <v>0</v>
      </c>
      <c r="CH34" s="1378">
        <f t="shared" si="48"/>
        <v>0</v>
      </c>
      <c r="CI34" s="1374">
        <f t="shared" si="49"/>
        <v>0</v>
      </c>
      <c r="CJ34" s="1374">
        <f t="shared" si="50"/>
        <v>0</v>
      </c>
      <c r="CK34" s="1374" t="str">
        <f t="shared" si="51"/>
        <v/>
      </c>
      <c r="CL34" s="1374">
        <f t="shared" si="52"/>
        <v>0</v>
      </c>
      <c r="CM34" s="1379">
        <f t="shared" si="53"/>
        <v>0</v>
      </c>
      <c r="CN34" s="628">
        <f>(BS34*Pricing!F$3+BT34*Pricing!G$3+BU34*Pricing!H$3+BV34*Pricing!I$3+BW34*Pricing!J$3+BX34*Pricing!K$3+BY34*Pricing!L$3+BZ34*Pricing!M$3+CA34*Pricing!N$3+CB34*Pricing!O$3)*IF(W$44="N",(1+Y$44),1)</f>
        <v>0</v>
      </c>
      <c r="CO34" s="628">
        <f t="shared" si="54"/>
        <v>0</v>
      </c>
      <c r="CP34" s="1380">
        <f t="shared" si="55"/>
        <v>0</v>
      </c>
      <c r="CQ34" s="628">
        <f t="shared" si="56"/>
        <v>0</v>
      </c>
      <c r="CR34" s="628">
        <f t="shared" si="57"/>
        <v>0</v>
      </c>
      <c r="CS34" s="628"/>
      <c r="CT34" s="1381">
        <f t="shared" si="58"/>
        <v>0</v>
      </c>
      <c r="CU34" s="628">
        <f t="shared" si="59"/>
        <v>0</v>
      </c>
      <c r="CV34" s="628">
        <f t="shared" si="60"/>
        <v>0</v>
      </c>
      <c r="CW34" s="628">
        <f t="shared" si="61"/>
        <v>0</v>
      </c>
      <c r="CX34" s="628">
        <f t="shared" si="62"/>
        <v>0</v>
      </c>
      <c r="CY34" s="628">
        <f t="shared" si="63"/>
        <v>0</v>
      </c>
      <c r="CZ34" s="628">
        <f t="shared" si="64"/>
        <v>0</v>
      </c>
      <c r="DA34" s="628">
        <f t="shared" si="65"/>
        <v>0</v>
      </c>
      <c r="DB34" s="628">
        <f t="shared" si="66"/>
        <v>0</v>
      </c>
      <c r="DC34" s="628">
        <f t="shared" si="67"/>
        <v>0</v>
      </c>
      <c r="DD34" s="628">
        <f t="shared" si="68"/>
        <v>0</v>
      </c>
      <c r="DE34" s="1382" t="e">
        <f t="shared" si="69"/>
        <v>#DIV/0!</v>
      </c>
      <c r="DF34" s="626">
        <f t="shared" si="70"/>
        <v>0</v>
      </c>
      <c r="DG34" s="626">
        <f t="shared" si="71"/>
        <v>0</v>
      </c>
      <c r="DH34" s="626">
        <f t="shared" si="72"/>
        <v>0</v>
      </c>
      <c r="DI34" s="626">
        <f t="shared" si="73"/>
        <v>0</v>
      </c>
      <c r="DJ34" s="626">
        <f t="shared" si="74"/>
        <v>0</v>
      </c>
      <c r="DK34" s="626">
        <f t="shared" si="75"/>
        <v>0</v>
      </c>
      <c r="DL34" s="626">
        <f t="shared" si="76"/>
        <v>0</v>
      </c>
      <c r="DM34" s="626">
        <f t="shared" si="77"/>
        <v>0</v>
      </c>
      <c r="DN34" s="626">
        <f t="shared" si="78"/>
        <v>0</v>
      </c>
      <c r="DO34" s="626">
        <f t="shared" si="79"/>
        <v>0</v>
      </c>
      <c r="DP34" s="1405">
        <f t="shared" si="80"/>
        <v>0</v>
      </c>
    </row>
    <row r="35" spans="1:120" ht="19.5" customHeight="1">
      <c r="A35" s="18" t="s">
        <v>1580</v>
      </c>
      <c r="B35" s="1385"/>
      <c r="C35" s="1386"/>
      <c r="D35" s="1387"/>
      <c r="E35" s="1388"/>
      <c r="F35" s="984"/>
      <c r="G35" s="1389"/>
      <c r="H35" s="984"/>
      <c r="I35" s="1389"/>
      <c r="J35" s="984"/>
      <c r="K35" s="1419"/>
      <c r="L35" s="1395"/>
      <c r="M35" s="1392"/>
      <c r="N35" s="1393"/>
      <c r="O35" s="1394"/>
      <c r="P35" s="1351">
        <f t="shared" si="0"/>
        <v>0</v>
      </c>
      <c r="Q35" s="1352">
        <f t="shared" si="1"/>
        <v>0</v>
      </c>
      <c r="R35" s="1353">
        <f t="shared" si="2"/>
        <v>0</v>
      </c>
      <c r="S35" s="1354" t="e">
        <f t="shared" si="3"/>
        <v>#DIV/0!</v>
      </c>
      <c r="T35" s="1355">
        <f t="shared" si="4"/>
        <v>0</v>
      </c>
      <c r="U35" s="1356">
        <f t="shared" si="5"/>
        <v>0</v>
      </c>
      <c r="V35" s="1357">
        <f t="shared" si="6"/>
        <v>0</v>
      </c>
      <c r="W35" s="1395"/>
      <c r="X35" s="1430"/>
      <c r="Y35" s="1395"/>
      <c r="Z35" s="1397"/>
      <c r="AA35" s="1395"/>
      <c r="AB35" s="1397"/>
      <c r="AC35" s="1398"/>
      <c r="AD35" s="1430"/>
      <c r="AE35" s="1395"/>
      <c r="AF35" s="1392"/>
      <c r="AG35" s="1431"/>
      <c r="AH35" s="1392"/>
      <c r="AI35" s="1395"/>
      <c r="AJ35" s="1392"/>
      <c r="AK35" s="1395"/>
      <c r="AL35" s="1392"/>
      <c r="AM35" s="1395"/>
      <c r="AN35" s="1397"/>
      <c r="AO35" s="1395"/>
      <c r="AP35" s="1397"/>
      <c r="AQ35" s="626"/>
      <c r="AR35" s="1369" t="str">
        <f t="shared" si="7"/>
        <v/>
      </c>
      <c r="AS35" s="1270" t="str">
        <f t="shared" si="8"/>
        <v/>
      </c>
      <c r="AT35" s="1270" t="str">
        <f t="shared" si="9"/>
        <v/>
      </c>
      <c r="AU35" s="1270" t="str">
        <f t="shared" si="10"/>
        <v/>
      </c>
      <c r="AV35" s="1270" t="str">
        <f t="shared" si="11"/>
        <v/>
      </c>
      <c r="AW35" s="1270" t="str">
        <f t="shared" si="12"/>
        <v/>
      </c>
      <c r="AX35" s="1270" t="str">
        <f t="shared" si="13"/>
        <v/>
      </c>
      <c r="AY35" s="1270" t="str">
        <f t="shared" si="14"/>
        <v/>
      </c>
      <c r="AZ35" s="1270" t="str">
        <f t="shared" si="15"/>
        <v/>
      </c>
      <c r="BA35" s="1270" t="str">
        <f t="shared" si="16"/>
        <v/>
      </c>
      <c r="BB35" s="1371">
        <f t="shared" si="17"/>
        <v>0</v>
      </c>
      <c r="BC35" s="1369" t="str">
        <f t="shared" si="18"/>
        <v/>
      </c>
      <c r="BD35" s="626" t="str">
        <f t="shared" si="19"/>
        <v/>
      </c>
      <c r="BE35" s="1270" t="str">
        <f t="shared" si="20"/>
        <v/>
      </c>
      <c r="BF35" s="626" t="str">
        <f t="shared" si="21"/>
        <v/>
      </c>
      <c r="BG35" s="626" t="str">
        <f t="shared" si="22"/>
        <v/>
      </c>
      <c r="BH35" s="626" t="str">
        <f t="shared" si="23"/>
        <v/>
      </c>
      <c r="BI35" s="626" t="str">
        <f t="shared" si="24"/>
        <v/>
      </c>
      <c r="BJ35" s="626" t="str">
        <f t="shared" si="25"/>
        <v/>
      </c>
      <c r="BK35" s="626" t="str">
        <f t="shared" si="26"/>
        <v/>
      </c>
      <c r="BL35" s="626" t="str">
        <f t="shared" si="27"/>
        <v/>
      </c>
      <c r="BM35" s="1420">
        <f t="shared" si="28"/>
        <v>0</v>
      </c>
      <c r="BN35" s="1372">
        <f t="shared" si="29"/>
        <v>0</v>
      </c>
      <c r="BO35" s="1372">
        <f t="shared" si="30"/>
        <v>0</v>
      </c>
      <c r="BP35" s="1372">
        <f t="shared" si="31"/>
        <v>0</v>
      </c>
      <c r="BQ35" s="1374">
        <f t="shared" si="32"/>
        <v>0</v>
      </c>
      <c r="BR35" s="1251">
        <f t="shared" si="33"/>
        <v>0</v>
      </c>
      <c r="BS35" s="1403">
        <f t="shared" si="34"/>
        <v>0</v>
      </c>
      <c r="BT35" s="1372">
        <f t="shared" si="35"/>
        <v>0</v>
      </c>
      <c r="BU35" s="1372">
        <f t="shared" si="36"/>
        <v>0</v>
      </c>
      <c r="BV35" s="1372">
        <f t="shared" si="37"/>
        <v>0</v>
      </c>
      <c r="BW35" s="1372">
        <f t="shared" si="38"/>
        <v>0</v>
      </c>
      <c r="BX35" s="1372">
        <f t="shared" si="39"/>
        <v>0</v>
      </c>
      <c r="BY35" s="1372">
        <f t="shared" si="40"/>
        <v>0</v>
      </c>
      <c r="BZ35" s="1372">
        <f t="shared" si="41"/>
        <v>0</v>
      </c>
      <c r="CA35" s="1372">
        <f t="shared" si="42"/>
        <v>0</v>
      </c>
      <c r="CB35" s="1404">
        <f t="shared" si="43"/>
        <v>0</v>
      </c>
      <c r="CC35" s="1374">
        <f t="shared" si="81"/>
        <v>0</v>
      </c>
      <c r="CD35" s="1374">
        <f t="shared" si="44"/>
        <v>0</v>
      </c>
      <c r="CE35" s="1374">
        <f t="shared" si="45"/>
        <v>0</v>
      </c>
      <c r="CF35" s="1378">
        <f t="shared" si="46"/>
        <v>0</v>
      </c>
      <c r="CG35" s="1378">
        <f t="shared" si="47"/>
        <v>0</v>
      </c>
      <c r="CH35" s="1378">
        <f t="shared" si="48"/>
        <v>0</v>
      </c>
      <c r="CI35" s="1374">
        <f t="shared" si="49"/>
        <v>0</v>
      </c>
      <c r="CJ35" s="1374">
        <f t="shared" si="50"/>
        <v>0</v>
      </c>
      <c r="CK35" s="1374" t="str">
        <f t="shared" si="51"/>
        <v/>
      </c>
      <c r="CL35" s="1374">
        <f t="shared" si="52"/>
        <v>0</v>
      </c>
      <c r="CM35" s="1379">
        <f t="shared" si="53"/>
        <v>0</v>
      </c>
      <c r="CN35" s="628">
        <f>(BS35*Pricing!F$3+BT35*Pricing!G$3+BU35*Pricing!H$3+BV35*Pricing!I$3+BW35*Pricing!J$3+BX35*Pricing!K$3+BY35*Pricing!L$3+BZ35*Pricing!M$3+CA35*Pricing!N$3+CB35*Pricing!O$3)*IF(W$44="N",(1+Y$44),1)</f>
        <v>0</v>
      </c>
      <c r="CO35" s="628">
        <f t="shared" si="54"/>
        <v>0</v>
      </c>
      <c r="CP35" s="1380">
        <f t="shared" si="55"/>
        <v>0</v>
      </c>
      <c r="CQ35" s="628">
        <f t="shared" si="56"/>
        <v>0</v>
      </c>
      <c r="CR35" s="628">
        <f t="shared" si="57"/>
        <v>0</v>
      </c>
      <c r="CS35" s="628"/>
      <c r="CT35" s="1381">
        <f t="shared" si="58"/>
        <v>0</v>
      </c>
      <c r="CU35" s="628">
        <f t="shared" si="59"/>
        <v>0</v>
      </c>
      <c r="CV35" s="628">
        <f t="shared" si="60"/>
        <v>0</v>
      </c>
      <c r="CW35" s="628">
        <f t="shared" si="61"/>
        <v>0</v>
      </c>
      <c r="CX35" s="628">
        <f t="shared" si="62"/>
        <v>0</v>
      </c>
      <c r="CY35" s="628">
        <f t="shared" si="63"/>
        <v>0</v>
      </c>
      <c r="CZ35" s="628">
        <f t="shared" si="64"/>
        <v>0</v>
      </c>
      <c r="DA35" s="628">
        <f t="shared" si="65"/>
        <v>0</v>
      </c>
      <c r="DB35" s="628">
        <f t="shared" si="66"/>
        <v>0</v>
      </c>
      <c r="DC35" s="628">
        <f t="shared" si="67"/>
        <v>0</v>
      </c>
      <c r="DD35" s="628">
        <f t="shared" si="68"/>
        <v>0</v>
      </c>
      <c r="DE35" s="1382" t="e">
        <f t="shared" si="69"/>
        <v>#DIV/0!</v>
      </c>
      <c r="DF35" s="626">
        <f t="shared" si="70"/>
        <v>0</v>
      </c>
      <c r="DG35" s="626">
        <f t="shared" si="71"/>
        <v>0</v>
      </c>
      <c r="DH35" s="626">
        <f t="shared" si="72"/>
        <v>0</v>
      </c>
      <c r="DI35" s="626">
        <f t="shared" si="73"/>
        <v>0</v>
      </c>
      <c r="DJ35" s="626">
        <f t="shared" si="74"/>
        <v>0</v>
      </c>
      <c r="DK35" s="626">
        <f t="shared" si="75"/>
        <v>0</v>
      </c>
      <c r="DL35" s="626">
        <f t="shared" si="76"/>
        <v>0</v>
      </c>
      <c r="DM35" s="626">
        <f t="shared" si="77"/>
        <v>0</v>
      </c>
      <c r="DN35" s="626">
        <f t="shared" si="78"/>
        <v>0</v>
      </c>
      <c r="DO35" s="626">
        <f t="shared" si="79"/>
        <v>0</v>
      </c>
      <c r="DP35" s="1405">
        <f t="shared" si="80"/>
        <v>0</v>
      </c>
    </row>
    <row r="36" spans="1:120" ht="19.5" customHeight="1">
      <c r="A36" s="18" t="s">
        <v>1581</v>
      </c>
      <c r="B36" s="859"/>
      <c r="C36" s="1342"/>
      <c r="D36" s="1343"/>
      <c r="E36" s="1344"/>
      <c r="F36" s="984"/>
      <c r="G36" s="1389"/>
      <c r="H36" s="984"/>
      <c r="I36" s="1389"/>
      <c r="J36" s="984"/>
      <c r="K36" s="1390"/>
      <c r="L36" s="503"/>
      <c r="M36" s="834"/>
      <c r="N36" s="1349"/>
      <c r="O36" s="1350"/>
      <c r="P36" s="1351">
        <f t="shared" si="0"/>
        <v>0</v>
      </c>
      <c r="Q36" s="1352">
        <f t="shared" si="1"/>
        <v>0</v>
      </c>
      <c r="R36" s="1353">
        <f t="shared" si="2"/>
        <v>0</v>
      </c>
      <c r="S36" s="1354" t="e">
        <f t="shared" si="3"/>
        <v>#DIV/0!</v>
      </c>
      <c r="T36" s="1355">
        <f t="shared" si="4"/>
        <v>0</v>
      </c>
      <c r="U36" s="1356">
        <f t="shared" si="5"/>
        <v>0</v>
      </c>
      <c r="V36" s="1357">
        <f t="shared" si="6"/>
        <v>0</v>
      </c>
      <c r="W36" s="1347"/>
      <c r="X36" s="1427"/>
      <c r="Y36" s="1347"/>
      <c r="Z36" s="1360"/>
      <c r="AA36" s="1347"/>
      <c r="AB36" s="1360"/>
      <c r="AC36" s="1421"/>
      <c r="AD36" s="1427"/>
      <c r="AE36" s="503"/>
      <c r="AF36" s="1428"/>
      <c r="AG36" s="503"/>
      <c r="AH36" s="1348"/>
      <c r="AI36" s="1347"/>
      <c r="AJ36" s="1348"/>
      <c r="AK36" s="1347"/>
      <c r="AL36" s="1348"/>
      <c r="AM36" s="1347"/>
      <c r="AN36" s="1360"/>
      <c r="AO36" s="1347"/>
      <c r="AP36" s="1360"/>
      <c r="AQ36" s="626"/>
      <c r="AR36" s="1369" t="str">
        <f t="shared" si="7"/>
        <v/>
      </c>
      <c r="AS36" s="1270" t="str">
        <f t="shared" si="8"/>
        <v/>
      </c>
      <c r="AT36" s="1270" t="str">
        <f t="shared" si="9"/>
        <v/>
      </c>
      <c r="AU36" s="1270" t="str">
        <f t="shared" si="10"/>
        <v/>
      </c>
      <c r="AV36" s="1270" t="str">
        <f t="shared" si="11"/>
        <v/>
      </c>
      <c r="AW36" s="1270" t="str">
        <f t="shared" si="12"/>
        <v/>
      </c>
      <c r="AX36" s="1270" t="str">
        <f t="shared" si="13"/>
        <v/>
      </c>
      <c r="AY36" s="1270" t="str">
        <f t="shared" si="14"/>
        <v/>
      </c>
      <c r="AZ36" s="1270" t="str">
        <f t="shared" si="15"/>
        <v/>
      </c>
      <c r="BA36" s="1270" t="str">
        <f t="shared" si="16"/>
        <v/>
      </c>
      <c r="BB36" s="1371">
        <f t="shared" si="17"/>
        <v>0</v>
      </c>
      <c r="BC36" s="1369" t="str">
        <f t="shared" si="18"/>
        <v/>
      </c>
      <c r="BD36" s="626" t="str">
        <f t="shared" si="19"/>
        <v/>
      </c>
      <c r="BE36" s="1270" t="str">
        <f t="shared" si="20"/>
        <v/>
      </c>
      <c r="BF36" s="626" t="str">
        <f t="shared" si="21"/>
        <v/>
      </c>
      <c r="BG36" s="626" t="str">
        <f t="shared" si="22"/>
        <v/>
      </c>
      <c r="BH36" s="626" t="str">
        <f t="shared" si="23"/>
        <v/>
      </c>
      <c r="BI36" s="626" t="str">
        <f t="shared" si="24"/>
        <v/>
      </c>
      <c r="BJ36" s="626" t="str">
        <f t="shared" si="25"/>
        <v/>
      </c>
      <c r="BK36" s="626" t="str">
        <f t="shared" si="26"/>
        <v/>
      </c>
      <c r="BL36" s="626" t="str">
        <f t="shared" si="27"/>
        <v/>
      </c>
      <c r="BM36" s="1420">
        <f t="shared" si="28"/>
        <v>0</v>
      </c>
      <c r="BN36" s="1372">
        <f t="shared" si="29"/>
        <v>0</v>
      </c>
      <c r="BO36" s="1372">
        <f t="shared" si="30"/>
        <v>0</v>
      </c>
      <c r="BP36" s="1372">
        <f t="shared" si="31"/>
        <v>0</v>
      </c>
      <c r="BQ36" s="1374">
        <f t="shared" si="32"/>
        <v>0</v>
      </c>
      <c r="BR36" s="1251">
        <f t="shared" si="33"/>
        <v>0</v>
      </c>
      <c r="BS36" s="1403">
        <f t="shared" si="34"/>
        <v>0</v>
      </c>
      <c r="BT36" s="1372">
        <f t="shared" si="35"/>
        <v>0</v>
      </c>
      <c r="BU36" s="1372">
        <f t="shared" si="36"/>
        <v>0</v>
      </c>
      <c r="BV36" s="1372">
        <f t="shared" si="37"/>
        <v>0</v>
      </c>
      <c r="BW36" s="1372">
        <f t="shared" si="38"/>
        <v>0</v>
      </c>
      <c r="BX36" s="1372">
        <f t="shared" si="39"/>
        <v>0</v>
      </c>
      <c r="BY36" s="1372">
        <f t="shared" si="40"/>
        <v>0</v>
      </c>
      <c r="BZ36" s="1372">
        <f t="shared" si="41"/>
        <v>0</v>
      </c>
      <c r="CA36" s="1372">
        <f t="shared" si="42"/>
        <v>0</v>
      </c>
      <c r="CB36" s="1404">
        <f t="shared" si="43"/>
        <v>0</v>
      </c>
      <c r="CC36" s="1374">
        <f t="shared" si="81"/>
        <v>0</v>
      </c>
      <c r="CD36" s="1374">
        <f t="shared" si="44"/>
        <v>0</v>
      </c>
      <c r="CE36" s="1374">
        <f t="shared" si="45"/>
        <v>0</v>
      </c>
      <c r="CF36" s="1378">
        <f t="shared" si="46"/>
        <v>0</v>
      </c>
      <c r="CG36" s="1378">
        <f t="shared" si="47"/>
        <v>0</v>
      </c>
      <c r="CH36" s="1378">
        <f t="shared" si="48"/>
        <v>0</v>
      </c>
      <c r="CI36" s="1374">
        <f t="shared" si="49"/>
        <v>0</v>
      </c>
      <c r="CJ36" s="1374">
        <f t="shared" si="50"/>
        <v>0</v>
      </c>
      <c r="CK36" s="1374" t="str">
        <f t="shared" si="51"/>
        <v/>
      </c>
      <c r="CL36" s="1374">
        <f t="shared" si="52"/>
        <v>0</v>
      </c>
      <c r="CM36" s="1379">
        <f t="shared" si="53"/>
        <v>0</v>
      </c>
      <c r="CN36" s="628">
        <f>(BS36*Pricing!F$3+BT36*Pricing!G$3+BU36*Pricing!H$3+BV36*Pricing!I$3+BW36*Pricing!J$3+BX36*Pricing!K$3+BY36*Pricing!L$3+BZ36*Pricing!M$3+CA36*Pricing!N$3+CB36*Pricing!O$3)*IF(W$44="N",(1+Y$44),1)</f>
        <v>0</v>
      </c>
      <c r="CO36" s="628">
        <f t="shared" si="54"/>
        <v>0</v>
      </c>
      <c r="CP36" s="1380">
        <f t="shared" si="55"/>
        <v>0</v>
      </c>
      <c r="CQ36" s="628">
        <f t="shared" si="56"/>
        <v>0</v>
      </c>
      <c r="CR36" s="628">
        <f t="shared" si="57"/>
        <v>0</v>
      </c>
      <c r="CS36" s="628"/>
      <c r="CT36" s="1381">
        <f t="shared" si="58"/>
        <v>0</v>
      </c>
      <c r="CU36" s="628">
        <f t="shared" si="59"/>
        <v>0</v>
      </c>
      <c r="CV36" s="628">
        <f t="shared" si="60"/>
        <v>0</v>
      </c>
      <c r="CW36" s="628">
        <f t="shared" si="61"/>
        <v>0</v>
      </c>
      <c r="CX36" s="628">
        <f t="shared" si="62"/>
        <v>0</v>
      </c>
      <c r="CY36" s="628">
        <f t="shared" si="63"/>
        <v>0</v>
      </c>
      <c r="CZ36" s="628">
        <f t="shared" si="64"/>
        <v>0</v>
      </c>
      <c r="DA36" s="628">
        <f t="shared" si="65"/>
        <v>0</v>
      </c>
      <c r="DB36" s="628">
        <f t="shared" si="66"/>
        <v>0</v>
      </c>
      <c r="DC36" s="628">
        <f t="shared" si="67"/>
        <v>0</v>
      </c>
      <c r="DD36" s="628">
        <f t="shared" si="68"/>
        <v>0</v>
      </c>
      <c r="DE36" s="1382" t="e">
        <f t="shared" si="69"/>
        <v>#DIV/0!</v>
      </c>
      <c r="DF36" s="626">
        <f t="shared" si="70"/>
        <v>0</v>
      </c>
      <c r="DG36" s="626">
        <f t="shared" si="71"/>
        <v>0</v>
      </c>
      <c r="DH36" s="626">
        <f t="shared" si="72"/>
        <v>0</v>
      </c>
      <c r="DI36" s="626">
        <f t="shared" si="73"/>
        <v>0</v>
      </c>
      <c r="DJ36" s="626">
        <f t="shared" si="74"/>
        <v>0</v>
      </c>
      <c r="DK36" s="626">
        <f t="shared" si="75"/>
        <v>0</v>
      </c>
      <c r="DL36" s="626">
        <f t="shared" si="76"/>
        <v>0</v>
      </c>
      <c r="DM36" s="626">
        <f t="shared" si="77"/>
        <v>0</v>
      </c>
      <c r="DN36" s="626">
        <f t="shared" si="78"/>
        <v>0</v>
      </c>
      <c r="DO36" s="626">
        <f t="shared" si="79"/>
        <v>0</v>
      </c>
      <c r="DP36" s="1405">
        <f t="shared" si="80"/>
        <v>0</v>
      </c>
    </row>
    <row r="37" spans="1:120" ht="19.5" customHeight="1">
      <c r="A37" s="18" t="s">
        <v>1582</v>
      </c>
      <c r="B37" s="1385"/>
      <c r="C37" s="1386"/>
      <c r="D37" s="1387"/>
      <c r="E37" s="1388"/>
      <c r="F37" s="984"/>
      <c r="G37" s="1389"/>
      <c r="H37" s="984"/>
      <c r="I37" s="1389"/>
      <c r="J37" s="984"/>
      <c r="K37" s="1419"/>
      <c r="L37" s="1395"/>
      <c r="M37" s="1392"/>
      <c r="N37" s="1393"/>
      <c r="O37" s="1394"/>
      <c r="P37" s="1351">
        <f t="shared" si="0"/>
        <v>0</v>
      </c>
      <c r="Q37" s="1352">
        <f t="shared" si="1"/>
        <v>0</v>
      </c>
      <c r="R37" s="1353">
        <f t="shared" si="2"/>
        <v>0</v>
      </c>
      <c r="S37" s="1354" t="e">
        <f t="shared" si="3"/>
        <v>#DIV/0!</v>
      </c>
      <c r="T37" s="1355">
        <f t="shared" si="4"/>
        <v>0</v>
      </c>
      <c r="U37" s="1356">
        <f t="shared" si="5"/>
        <v>0</v>
      </c>
      <c r="V37" s="1357">
        <f t="shared" si="6"/>
        <v>0</v>
      </c>
      <c r="W37" s="1395"/>
      <c r="X37" s="1430"/>
      <c r="Y37" s="1395"/>
      <c r="Z37" s="1397"/>
      <c r="AA37" s="1395"/>
      <c r="AB37" s="1397"/>
      <c r="AC37" s="1398"/>
      <c r="AD37" s="1430"/>
      <c r="AE37" s="1395"/>
      <c r="AF37" s="1392"/>
      <c r="AG37" s="1431"/>
      <c r="AH37" s="1392"/>
      <c r="AI37" s="1395"/>
      <c r="AJ37" s="1392"/>
      <c r="AK37" s="1395"/>
      <c r="AL37" s="1392"/>
      <c r="AM37" s="1395"/>
      <c r="AN37" s="1397"/>
      <c r="AO37" s="1395"/>
      <c r="AP37" s="1397"/>
      <c r="AQ37" s="626"/>
      <c r="AR37" s="1369" t="str">
        <f t="shared" si="7"/>
        <v/>
      </c>
      <c r="AS37" s="1270" t="str">
        <f t="shared" si="8"/>
        <v/>
      </c>
      <c r="AT37" s="1270" t="str">
        <f t="shared" si="9"/>
        <v/>
      </c>
      <c r="AU37" s="1270" t="str">
        <f t="shared" si="10"/>
        <v/>
      </c>
      <c r="AV37" s="1270" t="str">
        <f t="shared" si="11"/>
        <v/>
      </c>
      <c r="AW37" s="1270" t="str">
        <f t="shared" si="12"/>
        <v/>
      </c>
      <c r="AX37" s="1270" t="str">
        <f t="shared" si="13"/>
        <v/>
      </c>
      <c r="AY37" s="1270" t="str">
        <f t="shared" si="14"/>
        <v/>
      </c>
      <c r="AZ37" s="1270" t="str">
        <f t="shared" si="15"/>
        <v/>
      </c>
      <c r="BA37" s="1270" t="str">
        <f t="shared" si="16"/>
        <v/>
      </c>
      <c r="BB37" s="1371">
        <f t="shared" si="17"/>
        <v>0</v>
      </c>
      <c r="BC37" s="1369" t="str">
        <f t="shared" si="18"/>
        <v/>
      </c>
      <c r="BD37" s="626" t="str">
        <f t="shared" si="19"/>
        <v/>
      </c>
      <c r="BE37" s="1270" t="str">
        <f t="shared" si="20"/>
        <v/>
      </c>
      <c r="BF37" s="626" t="str">
        <f t="shared" si="21"/>
        <v/>
      </c>
      <c r="BG37" s="626" t="str">
        <f t="shared" si="22"/>
        <v/>
      </c>
      <c r="BH37" s="626" t="str">
        <f t="shared" si="23"/>
        <v/>
      </c>
      <c r="BI37" s="626" t="str">
        <f t="shared" si="24"/>
        <v/>
      </c>
      <c r="BJ37" s="626" t="str">
        <f t="shared" si="25"/>
        <v/>
      </c>
      <c r="BK37" s="626" t="str">
        <f t="shared" si="26"/>
        <v/>
      </c>
      <c r="BL37" s="626" t="str">
        <f t="shared" si="27"/>
        <v/>
      </c>
      <c r="BM37" s="1420">
        <f t="shared" si="28"/>
        <v>0</v>
      </c>
      <c r="BN37" s="1372">
        <f t="shared" si="29"/>
        <v>0</v>
      </c>
      <c r="BO37" s="1372">
        <f t="shared" si="30"/>
        <v>0</v>
      </c>
      <c r="BP37" s="1372">
        <f t="shared" si="31"/>
        <v>0</v>
      </c>
      <c r="BQ37" s="1374">
        <f t="shared" si="32"/>
        <v>0</v>
      </c>
      <c r="BR37" s="1251">
        <f t="shared" si="33"/>
        <v>0</v>
      </c>
      <c r="BS37" s="1403">
        <f t="shared" si="34"/>
        <v>0</v>
      </c>
      <c r="BT37" s="1372">
        <f t="shared" si="35"/>
        <v>0</v>
      </c>
      <c r="BU37" s="1372">
        <f t="shared" si="36"/>
        <v>0</v>
      </c>
      <c r="BV37" s="1372">
        <f t="shared" si="37"/>
        <v>0</v>
      </c>
      <c r="BW37" s="1372">
        <f t="shared" si="38"/>
        <v>0</v>
      </c>
      <c r="BX37" s="1372">
        <f t="shared" si="39"/>
        <v>0</v>
      </c>
      <c r="BY37" s="1372">
        <f t="shared" si="40"/>
        <v>0</v>
      </c>
      <c r="BZ37" s="1372">
        <f t="shared" si="41"/>
        <v>0</v>
      </c>
      <c r="CA37" s="1372">
        <f t="shared" si="42"/>
        <v>0</v>
      </c>
      <c r="CB37" s="1404">
        <f t="shared" si="43"/>
        <v>0</v>
      </c>
      <c r="CC37" s="1374">
        <f t="shared" si="81"/>
        <v>0</v>
      </c>
      <c r="CD37" s="1374">
        <f t="shared" si="44"/>
        <v>0</v>
      </c>
      <c r="CE37" s="1374">
        <f t="shared" si="45"/>
        <v>0</v>
      </c>
      <c r="CF37" s="1378">
        <f t="shared" si="46"/>
        <v>0</v>
      </c>
      <c r="CG37" s="1378">
        <f t="shared" si="47"/>
        <v>0</v>
      </c>
      <c r="CH37" s="1378">
        <f t="shared" si="48"/>
        <v>0</v>
      </c>
      <c r="CI37" s="1374">
        <f t="shared" si="49"/>
        <v>0</v>
      </c>
      <c r="CJ37" s="1374">
        <f t="shared" si="50"/>
        <v>0</v>
      </c>
      <c r="CK37" s="1374" t="str">
        <f t="shared" si="51"/>
        <v/>
      </c>
      <c r="CL37" s="1374">
        <f t="shared" si="52"/>
        <v>0</v>
      </c>
      <c r="CM37" s="1379">
        <f t="shared" si="53"/>
        <v>0</v>
      </c>
      <c r="CN37" s="628">
        <f>(BS37*Pricing!F$3+BT37*Pricing!G$3+BU37*Pricing!H$3+BV37*Pricing!I$3+BW37*Pricing!J$3+BX37*Pricing!K$3+BY37*Pricing!L$3+BZ37*Pricing!M$3+CA37*Pricing!N$3+CB37*Pricing!O$3)*IF(W$44="N",(1+Y$44),1)</f>
        <v>0</v>
      </c>
      <c r="CO37" s="628">
        <f t="shared" si="54"/>
        <v>0</v>
      </c>
      <c r="CP37" s="1380">
        <f t="shared" si="55"/>
        <v>0</v>
      </c>
      <c r="CQ37" s="628">
        <f t="shared" si="56"/>
        <v>0</v>
      </c>
      <c r="CR37" s="628">
        <f t="shared" si="57"/>
        <v>0</v>
      </c>
      <c r="CS37" s="628"/>
      <c r="CT37" s="1381">
        <f t="shared" si="58"/>
        <v>0</v>
      </c>
      <c r="CU37" s="628">
        <f t="shared" si="59"/>
        <v>0</v>
      </c>
      <c r="CV37" s="628">
        <f t="shared" si="60"/>
        <v>0</v>
      </c>
      <c r="CW37" s="628">
        <f t="shared" si="61"/>
        <v>0</v>
      </c>
      <c r="CX37" s="628">
        <f t="shared" si="62"/>
        <v>0</v>
      </c>
      <c r="CY37" s="628">
        <f t="shared" si="63"/>
        <v>0</v>
      </c>
      <c r="CZ37" s="628">
        <f t="shared" si="64"/>
        <v>0</v>
      </c>
      <c r="DA37" s="628">
        <f t="shared" si="65"/>
        <v>0</v>
      </c>
      <c r="DB37" s="628">
        <f t="shared" si="66"/>
        <v>0</v>
      </c>
      <c r="DC37" s="628">
        <f t="shared" si="67"/>
        <v>0</v>
      </c>
      <c r="DD37" s="628">
        <f t="shared" si="68"/>
        <v>0</v>
      </c>
      <c r="DE37" s="1382" t="e">
        <f t="shared" si="69"/>
        <v>#DIV/0!</v>
      </c>
      <c r="DF37" s="626">
        <f t="shared" si="70"/>
        <v>0</v>
      </c>
      <c r="DG37" s="626">
        <f t="shared" si="71"/>
        <v>0</v>
      </c>
      <c r="DH37" s="626">
        <f t="shared" si="72"/>
        <v>0</v>
      </c>
      <c r="DI37" s="626">
        <f t="shared" si="73"/>
        <v>0</v>
      </c>
      <c r="DJ37" s="626">
        <f t="shared" si="74"/>
        <v>0</v>
      </c>
      <c r="DK37" s="626">
        <f t="shared" si="75"/>
        <v>0</v>
      </c>
      <c r="DL37" s="626">
        <f t="shared" si="76"/>
        <v>0</v>
      </c>
      <c r="DM37" s="626">
        <f t="shared" si="77"/>
        <v>0</v>
      </c>
      <c r="DN37" s="626">
        <f t="shared" si="78"/>
        <v>0</v>
      </c>
      <c r="DO37" s="626">
        <f t="shared" si="79"/>
        <v>0</v>
      </c>
      <c r="DP37" s="1405">
        <f t="shared" si="80"/>
        <v>0</v>
      </c>
    </row>
    <row r="38" spans="1:120" ht="19.5" customHeight="1">
      <c r="A38" s="18" t="s">
        <v>1583</v>
      </c>
      <c r="B38" s="859"/>
      <c r="C38" s="1386"/>
      <c r="D38" s="1343"/>
      <c r="E38" s="1344"/>
      <c r="F38" s="984"/>
      <c r="G38" s="1389"/>
      <c r="H38" s="984"/>
      <c r="I38" s="1389"/>
      <c r="J38" s="984"/>
      <c r="K38" s="1419"/>
      <c r="L38" s="1347"/>
      <c r="M38" s="1348"/>
      <c r="N38" s="1349"/>
      <c r="O38" s="1350"/>
      <c r="P38" s="1351">
        <f t="shared" si="0"/>
        <v>0</v>
      </c>
      <c r="Q38" s="1352">
        <f t="shared" si="1"/>
        <v>0</v>
      </c>
      <c r="R38" s="1353">
        <f t="shared" si="2"/>
        <v>0</v>
      </c>
      <c r="S38" s="1354" t="e">
        <f t="shared" si="3"/>
        <v>#DIV/0!</v>
      </c>
      <c r="T38" s="1355">
        <f t="shared" si="4"/>
        <v>0</v>
      </c>
      <c r="U38" s="1356">
        <f t="shared" si="5"/>
        <v>0</v>
      </c>
      <c r="V38" s="1357">
        <f t="shared" si="6"/>
        <v>0</v>
      </c>
      <c r="W38" s="1347"/>
      <c r="X38" s="1432"/>
      <c r="Y38" s="1347"/>
      <c r="Z38" s="1360"/>
      <c r="AA38" s="1347"/>
      <c r="AB38" s="1360"/>
      <c r="AC38" s="1361"/>
      <c r="AD38" s="1432"/>
      <c r="AE38" s="1347"/>
      <c r="AF38" s="1348"/>
      <c r="AG38" s="1429"/>
      <c r="AH38" s="1348"/>
      <c r="AI38" s="1347"/>
      <c r="AJ38" s="1348"/>
      <c r="AK38" s="1347"/>
      <c r="AL38" s="1348"/>
      <c r="AM38" s="1347"/>
      <c r="AN38" s="1360"/>
      <c r="AO38" s="1347"/>
      <c r="AP38" s="1360"/>
      <c r="AQ38" s="626"/>
      <c r="AR38" s="1369" t="str">
        <f t="shared" si="7"/>
        <v/>
      </c>
      <c r="AS38" s="1270" t="str">
        <f t="shared" si="8"/>
        <v/>
      </c>
      <c r="AT38" s="1270" t="str">
        <f t="shared" si="9"/>
        <v/>
      </c>
      <c r="AU38" s="1270" t="str">
        <f t="shared" si="10"/>
        <v/>
      </c>
      <c r="AV38" s="1270" t="str">
        <f t="shared" si="11"/>
        <v/>
      </c>
      <c r="AW38" s="1270" t="str">
        <f t="shared" si="12"/>
        <v/>
      </c>
      <c r="AX38" s="1270" t="str">
        <f t="shared" si="13"/>
        <v/>
      </c>
      <c r="AY38" s="1270" t="str">
        <f t="shared" si="14"/>
        <v/>
      </c>
      <c r="AZ38" s="1270" t="str">
        <f t="shared" si="15"/>
        <v/>
      </c>
      <c r="BA38" s="1270" t="str">
        <f t="shared" si="16"/>
        <v/>
      </c>
      <c r="BB38" s="1371">
        <f t="shared" si="17"/>
        <v>0</v>
      </c>
      <c r="BC38" s="1369" t="str">
        <f t="shared" si="18"/>
        <v/>
      </c>
      <c r="BD38" s="626" t="str">
        <f t="shared" si="19"/>
        <v/>
      </c>
      <c r="BE38" s="1270" t="str">
        <f t="shared" si="20"/>
        <v/>
      </c>
      <c r="BF38" s="626" t="str">
        <f t="shared" si="21"/>
        <v/>
      </c>
      <c r="BG38" s="626" t="str">
        <f t="shared" si="22"/>
        <v/>
      </c>
      <c r="BH38" s="626" t="str">
        <f t="shared" si="23"/>
        <v/>
      </c>
      <c r="BI38" s="626" t="str">
        <f t="shared" si="24"/>
        <v/>
      </c>
      <c r="BJ38" s="626" t="str">
        <f t="shared" si="25"/>
        <v/>
      </c>
      <c r="BK38" s="626" t="str">
        <f t="shared" si="26"/>
        <v/>
      </c>
      <c r="BL38" s="626" t="str">
        <f t="shared" si="27"/>
        <v/>
      </c>
      <c r="BM38" s="1420">
        <f t="shared" si="28"/>
        <v>0</v>
      </c>
      <c r="BN38" s="1372">
        <f t="shared" si="29"/>
        <v>0</v>
      </c>
      <c r="BO38" s="1372">
        <f t="shared" si="30"/>
        <v>0</v>
      </c>
      <c r="BP38" s="1372">
        <f t="shared" si="31"/>
        <v>0</v>
      </c>
      <c r="BQ38" s="1374">
        <f t="shared" si="32"/>
        <v>0</v>
      </c>
      <c r="BR38" s="1251">
        <f t="shared" si="33"/>
        <v>0</v>
      </c>
      <c r="BS38" s="1403">
        <f t="shared" si="34"/>
        <v>0</v>
      </c>
      <c r="BT38" s="1372">
        <f t="shared" si="35"/>
        <v>0</v>
      </c>
      <c r="BU38" s="1372">
        <f t="shared" si="36"/>
        <v>0</v>
      </c>
      <c r="BV38" s="1372">
        <f t="shared" si="37"/>
        <v>0</v>
      </c>
      <c r="BW38" s="1372">
        <f t="shared" si="38"/>
        <v>0</v>
      </c>
      <c r="BX38" s="1372">
        <f t="shared" si="39"/>
        <v>0</v>
      </c>
      <c r="BY38" s="1372">
        <f t="shared" si="40"/>
        <v>0</v>
      </c>
      <c r="BZ38" s="1372">
        <f t="shared" si="41"/>
        <v>0</v>
      </c>
      <c r="CA38" s="1372">
        <f t="shared" si="42"/>
        <v>0</v>
      </c>
      <c r="CB38" s="1404">
        <f t="shared" si="43"/>
        <v>0</v>
      </c>
      <c r="CC38" s="1374">
        <f t="shared" si="81"/>
        <v>0</v>
      </c>
      <c r="CD38" s="1374">
        <f t="shared" si="44"/>
        <v>0</v>
      </c>
      <c r="CE38" s="1374">
        <f t="shared" si="45"/>
        <v>0</v>
      </c>
      <c r="CF38" s="1378">
        <f t="shared" si="46"/>
        <v>0</v>
      </c>
      <c r="CG38" s="1378">
        <f t="shared" si="47"/>
        <v>0</v>
      </c>
      <c r="CH38" s="1378">
        <f t="shared" si="48"/>
        <v>0</v>
      </c>
      <c r="CI38" s="1374">
        <f t="shared" si="49"/>
        <v>0</v>
      </c>
      <c r="CJ38" s="1374">
        <f t="shared" si="50"/>
        <v>0</v>
      </c>
      <c r="CK38" s="1374" t="str">
        <f t="shared" si="51"/>
        <v/>
      </c>
      <c r="CL38" s="1374">
        <f t="shared" si="52"/>
        <v>0</v>
      </c>
      <c r="CM38" s="1379">
        <f t="shared" si="53"/>
        <v>0</v>
      </c>
      <c r="CN38" s="628">
        <f>(BS38*Pricing!F$3+BT38*Pricing!G$3+BU38*Pricing!H$3+BV38*Pricing!I$3+BW38*Pricing!J$3+BX38*Pricing!K$3+BY38*Pricing!L$3+BZ38*Pricing!M$3+CA38*Pricing!N$3+CB38*Pricing!O$3)*IF(W$44="N",(1+Y$44),1)</f>
        <v>0</v>
      </c>
      <c r="CO38" s="628">
        <f t="shared" si="54"/>
        <v>0</v>
      </c>
      <c r="CP38" s="1380">
        <f t="shared" si="55"/>
        <v>0</v>
      </c>
      <c r="CQ38" s="628">
        <f t="shared" si="56"/>
        <v>0</v>
      </c>
      <c r="CR38" s="628">
        <f t="shared" si="57"/>
        <v>0</v>
      </c>
      <c r="CS38" s="628"/>
      <c r="CT38" s="1381">
        <f t="shared" si="58"/>
        <v>0</v>
      </c>
      <c r="CU38" s="628">
        <f t="shared" si="59"/>
        <v>0</v>
      </c>
      <c r="CV38" s="628">
        <f t="shared" si="60"/>
        <v>0</v>
      </c>
      <c r="CW38" s="628">
        <f t="shared" si="61"/>
        <v>0</v>
      </c>
      <c r="CX38" s="628">
        <f t="shared" si="62"/>
        <v>0</v>
      </c>
      <c r="CY38" s="628">
        <f t="shared" si="63"/>
        <v>0</v>
      </c>
      <c r="CZ38" s="628">
        <f t="shared" si="64"/>
        <v>0</v>
      </c>
      <c r="DA38" s="628">
        <f t="shared" si="65"/>
        <v>0</v>
      </c>
      <c r="DB38" s="628">
        <f t="shared" si="66"/>
        <v>0</v>
      </c>
      <c r="DC38" s="628">
        <f t="shared" si="67"/>
        <v>0</v>
      </c>
      <c r="DD38" s="628">
        <f t="shared" si="68"/>
        <v>0</v>
      </c>
      <c r="DE38" s="1382" t="e">
        <f t="shared" si="69"/>
        <v>#DIV/0!</v>
      </c>
      <c r="DF38" s="626">
        <f t="shared" si="70"/>
        <v>0</v>
      </c>
      <c r="DG38" s="626">
        <f t="shared" si="71"/>
        <v>0</v>
      </c>
      <c r="DH38" s="626">
        <f t="shared" si="72"/>
        <v>0</v>
      </c>
      <c r="DI38" s="626">
        <f t="shared" si="73"/>
        <v>0</v>
      </c>
      <c r="DJ38" s="626">
        <f t="shared" si="74"/>
        <v>0</v>
      </c>
      <c r="DK38" s="626">
        <f t="shared" si="75"/>
        <v>0</v>
      </c>
      <c r="DL38" s="626">
        <f t="shared" si="76"/>
        <v>0</v>
      </c>
      <c r="DM38" s="626">
        <f t="shared" si="77"/>
        <v>0</v>
      </c>
      <c r="DN38" s="626">
        <f t="shared" si="78"/>
        <v>0</v>
      </c>
      <c r="DO38" s="626">
        <f t="shared" si="79"/>
        <v>0</v>
      </c>
      <c r="DP38" s="1405">
        <f t="shared" si="80"/>
        <v>0</v>
      </c>
    </row>
    <row r="39" spans="1:120" ht="19.5" customHeight="1">
      <c r="A39" s="18" t="s">
        <v>1584</v>
      </c>
      <c r="B39" s="1385"/>
      <c r="C39" s="1386"/>
      <c r="D39" s="1387"/>
      <c r="E39" s="1388"/>
      <c r="F39" s="984"/>
      <c r="G39" s="1389"/>
      <c r="H39" s="984"/>
      <c r="I39" s="1389"/>
      <c r="J39" s="1433"/>
      <c r="K39" s="1419"/>
      <c r="L39" s="1395"/>
      <c r="M39" s="1392"/>
      <c r="N39" s="1393"/>
      <c r="O39" s="1394"/>
      <c r="P39" s="1351">
        <f t="shared" si="0"/>
        <v>0</v>
      </c>
      <c r="Q39" s="1352">
        <f t="shared" si="1"/>
        <v>0</v>
      </c>
      <c r="R39" s="1353">
        <f t="shared" si="2"/>
        <v>0</v>
      </c>
      <c r="S39" s="1354" t="e">
        <f t="shared" si="3"/>
        <v>#DIV/0!</v>
      </c>
      <c r="T39" s="1355">
        <f t="shared" si="4"/>
        <v>0</v>
      </c>
      <c r="U39" s="1356">
        <f t="shared" si="5"/>
        <v>0</v>
      </c>
      <c r="V39" s="1357">
        <f t="shared" si="6"/>
        <v>0</v>
      </c>
      <c r="W39" s="1395"/>
      <c r="X39" s="1430"/>
      <c r="Y39" s="1395"/>
      <c r="Z39" s="1397"/>
      <c r="AA39" s="1395"/>
      <c r="AB39" s="1397"/>
      <c r="AC39" s="1431"/>
      <c r="AD39" s="1430"/>
      <c r="AE39" s="1395"/>
      <c r="AF39" s="1392"/>
      <c r="AG39" s="1431"/>
      <c r="AH39" s="1392"/>
      <c r="AI39" s="1395"/>
      <c r="AJ39" s="1392"/>
      <c r="AK39" s="1395"/>
      <c r="AL39" s="1392"/>
      <c r="AM39" s="1395"/>
      <c r="AN39" s="1397"/>
      <c r="AO39" s="1395"/>
      <c r="AP39" s="1397"/>
      <c r="AQ39" s="626"/>
      <c r="AR39" s="1369" t="str">
        <f t="shared" si="7"/>
        <v/>
      </c>
      <c r="AS39" s="1270" t="str">
        <f t="shared" si="8"/>
        <v/>
      </c>
      <c r="AT39" s="1270" t="str">
        <f t="shared" si="9"/>
        <v/>
      </c>
      <c r="AU39" s="1270" t="str">
        <f t="shared" si="10"/>
        <v/>
      </c>
      <c r="AV39" s="1270" t="str">
        <f t="shared" si="11"/>
        <v/>
      </c>
      <c r="AW39" s="1270" t="str">
        <f t="shared" si="12"/>
        <v/>
      </c>
      <c r="AX39" s="1270" t="str">
        <f t="shared" si="13"/>
        <v/>
      </c>
      <c r="AY39" s="1270" t="str">
        <f t="shared" si="14"/>
        <v/>
      </c>
      <c r="AZ39" s="1270" t="str">
        <f t="shared" si="15"/>
        <v/>
      </c>
      <c r="BA39" s="1270" t="str">
        <f t="shared" si="16"/>
        <v/>
      </c>
      <c r="BB39" s="1371">
        <f t="shared" si="17"/>
        <v>0</v>
      </c>
      <c r="BC39" s="1369" t="str">
        <f t="shared" si="18"/>
        <v/>
      </c>
      <c r="BD39" s="626" t="str">
        <f t="shared" si="19"/>
        <v/>
      </c>
      <c r="BE39" s="1270" t="str">
        <f t="shared" si="20"/>
        <v/>
      </c>
      <c r="BF39" s="626" t="str">
        <f t="shared" si="21"/>
        <v/>
      </c>
      <c r="BG39" s="626" t="str">
        <f t="shared" si="22"/>
        <v/>
      </c>
      <c r="BH39" s="626" t="str">
        <f t="shared" si="23"/>
        <v/>
      </c>
      <c r="BI39" s="626" t="str">
        <f t="shared" si="24"/>
        <v/>
      </c>
      <c r="BJ39" s="626" t="str">
        <f t="shared" si="25"/>
        <v/>
      </c>
      <c r="BK39" s="626" t="str">
        <f t="shared" si="26"/>
        <v/>
      </c>
      <c r="BL39" s="626" t="str">
        <f t="shared" si="27"/>
        <v/>
      </c>
      <c r="BM39" s="1420">
        <f t="shared" si="28"/>
        <v>0</v>
      </c>
      <c r="BN39" s="1372">
        <f t="shared" si="29"/>
        <v>0</v>
      </c>
      <c r="BO39" s="1372">
        <f t="shared" si="30"/>
        <v>0</v>
      </c>
      <c r="BP39" s="1372">
        <f t="shared" si="31"/>
        <v>0</v>
      </c>
      <c r="BQ39" s="1374">
        <f t="shared" si="32"/>
        <v>0</v>
      </c>
      <c r="BR39" s="1251">
        <f t="shared" si="33"/>
        <v>0</v>
      </c>
      <c r="BS39" s="1403">
        <f t="shared" si="34"/>
        <v>0</v>
      </c>
      <c r="BT39" s="1372">
        <f t="shared" si="35"/>
        <v>0</v>
      </c>
      <c r="BU39" s="1372">
        <f t="shared" si="36"/>
        <v>0</v>
      </c>
      <c r="BV39" s="1372">
        <f t="shared" si="37"/>
        <v>0</v>
      </c>
      <c r="BW39" s="1372">
        <f t="shared" si="38"/>
        <v>0</v>
      </c>
      <c r="BX39" s="1372">
        <f t="shared" si="39"/>
        <v>0</v>
      </c>
      <c r="BY39" s="1372">
        <f t="shared" si="40"/>
        <v>0</v>
      </c>
      <c r="BZ39" s="1372">
        <f t="shared" si="41"/>
        <v>0</v>
      </c>
      <c r="CA39" s="1372">
        <f t="shared" si="42"/>
        <v>0</v>
      </c>
      <c r="CB39" s="1404">
        <f t="shared" si="43"/>
        <v>0</v>
      </c>
      <c r="CC39" s="1374">
        <f t="shared" si="81"/>
        <v>0</v>
      </c>
      <c r="CD39" s="1374">
        <f t="shared" si="44"/>
        <v>0</v>
      </c>
      <c r="CE39" s="1374">
        <f t="shared" si="45"/>
        <v>0</v>
      </c>
      <c r="CF39" s="1378">
        <f t="shared" si="46"/>
        <v>0</v>
      </c>
      <c r="CG39" s="1378">
        <f t="shared" si="47"/>
        <v>0</v>
      </c>
      <c r="CH39" s="1378">
        <f t="shared" si="48"/>
        <v>0</v>
      </c>
      <c r="CI39" s="1374">
        <f t="shared" si="49"/>
        <v>0</v>
      </c>
      <c r="CJ39" s="1374">
        <f t="shared" si="50"/>
        <v>0</v>
      </c>
      <c r="CK39" s="1374" t="str">
        <f t="shared" si="51"/>
        <v/>
      </c>
      <c r="CL39" s="1374">
        <f t="shared" si="52"/>
        <v>0</v>
      </c>
      <c r="CM39" s="1379">
        <f t="shared" si="53"/>
        <v>0</v>
      </c>
      <c r="CN39" s="628">
        <f>(BS39*Pricing!F$3+BT39*Pricing!G$3+BU39*Pricing!H$3+BV39*Pricing!I$3+BW39*Pricing!J$3+BX39*Pricing!K$3+BY39*Pricing!L$3+BZ39*Pricing!M$3+CA39*Pricing!N$3+CB39*Pricing!O$3)*IF(W$44="N",(1+Y$44),1)</f>
        <v>0</v>
      </c>
      <c r="CO39" s="628">
        <f t="shared" si="54"/>
        <v>0</v>
      </c>
      <c r="CP39" s="1380">
        <f t="shared" si="55"/>
        <v>0</v>
      </c>
      <c r="CQ39" s="628">
        <f t="shared" si="56"/>
        <v>0</v>
      </c>
      <c r="CR39" s="628">
        <f t="shared" si="57"/>
        <v>0</v>
      </c>
      <c r="CS39" s="628"/>
      <c r="CT39" s="1381">
        <f t="shared" si="58"/>
        <v>0</v>
      </c>
      <c r="CU39" s="628">
        <f t="shared" si="59"/>
        <v>0</v>
      </c>
      <c r="CV39" s="628">
        <f t="shared" si="60"/>
        <v>0</v>
      </c>
      <c r="CW39" s="628">
        <f t="shared" si="61"/>
        <v>0</v>
      </c>
      <c r="CX39" s="628">
        <f t="shared" si="62"/>
        <v>0</v>
      </c>
      <c r="CY39" s="628">
        <f t="shared" si="63"/>
        <v>0</v>
      </c>
      <c r="CZ39" s="628">
        <f t="shared" si="64"/>
        <v>0</v>
      </c>
      <c r="DA39" s="628">
        <f t="shared" si="65"/>
        <v>0</v>
      </c>
      <c r="DB39" s="628">
        <f t="shared" si="66"/>
        <v>0</v>
      </c>
      <c r="DC39" s="628">
        <f t="shared" si="67"/>
        <v>0</v>
      </c>
      <c r="DD39" s="628">
        <f t="shared" si="68"/>
        <v>0</v>
      </c>
      <c r="DE39" s="1382" t="e">
        <f t="shared" si="69"/>
        <v>#DIV/0!</v>
      </c>
      <c r="DF39" s="626">
        <f t="shared" si="70"/>
        <v>0</v>
      </c>
      <c r="DG39" s="626">
        <f t="shared" si="71"/>
        <v>0</v>
      </c>
      <c r="DH39" s="626">
        <f t="shared" si="72"/>
        <v>0</v>
      </c>
      <c r="DI39" s="626">
        <f t="shared" si="73"/>
        <v>0</v>
      </c>
      <c r="DJ39" s="626">
        <f t="shared" si="74"/>
        <v>0</v>
      </c>
      <c r="DK39" s="626">
        <f t="shared" si="75"/>
        <v>0</v>
      </c>
      <c r="DL39" s="626">
        <f t="shared" si="76"/>
        <v>0</v>
      </c>
      <c r="DM39" s="626">
        <f t="shared" si="77"/>
        <v>0</v>
      </c>
      <c r="DN39" s="626">
        <f t="shared" si="78"/>
        <v>0</v>
      </c>
      <c r="DO39" s="626">
        <f t="shared" si="79"/>
        <v>0</v>
      </c>
      <c r="DP39" s="1405">
        <f t="shared" si="80"/>
        <v>0</v>
      </c>
    </row>
    <row r="40" spans="1:120" ht="19.5" customHeight="1">
      <c r="A40" s="18" t="s">
        <v>1585</v>
      </c>
      <c r="B40" s="859"/>
      <c r="C40" s="1386"/>
      <c r="D40" s="1422"/>
      <c r="E40" s="1423"/>
      <c r="F40" s="984"/>
      <c r="G40" s="1389"/>
      <c r="H40" s="984"/>
      <c r="I40" s="1389"/>
      <c r="J40" s="1433"/>
      <c r="K40" s="1419"/>
      <c r="L40" s="503"/>
      <c r="M40" s="834"/>
      <c r="N40" s="1349"/>
      <c r="O40" s="1350"/>
      <c r="P40" s="1351">
        <f t="shared" si="0"/>
        <v>0</v>
      </c>
      <c r="Q40" s="1352">
        <f t="shared" si="1"/>
        <v>0</v>
      </c>
      <c r="R40" s="1353">
        <f t="shared" si="2"/>
        <v>0</v>
      </c>
      <c r="S40" s="1354" t="e">
        <f t="shared" si="3"/>
        <v>#DIV/0!</v>
      </c>
      <c r="T40" s="1355">
        <f t="shared" si="4"/>
        <v>0</v>
      </c>
      <c r="U40" s="1356">
        <f t="shared" si="5"/>
        <v>0</v>
      </c>
      <c r="V40" s="1357">
        <f t="shared" si="6"/>
        <v>0</v>
      </c>
      <c r="W40" s="503"/>
      <c r="X40" s="834"/>
      <c r="Y40" s="503"/>
      <c r="Z40" s="1410"/>
      <c r="AA40" s="503"/>
      <c r="AB40" s="1410"/>
      <c r="AC40" s="1429"/>
      <c r="AD40" s="1427"/>
      <c r="AE40" s="503"/>
      <c r="AF40" s="834"/>
      <c r="AG40" s="1429"/>
      <c r="AH40" s="834"/>
      <c r="AI40" s="503"/>
      <c r="AJ40" s="834"/>
      <c r="AK40" s="503"/>
      <c r="AL40" s="834"/>
      <c r="AM40" s="503"/>
      <c r="AN40" s="1410"/>
      <c r="AO40" s="503"/>
      <c r="AP40" s="1410"/>
      <c r="AQ40" s="626"/>
      <c r="AR40" s="1369" t="str">
        <f t="shared" si="7"/>
        <v/>
      </c>
      <c r="AS40" s="1270" t="str">
        <f t="shared" si="8"/>
        <v/>
      </c>
      <c r="AT40" s="1270" t="str">
        <f t="shared" si="9"/>
        <v/>
      </c>
      <c r="AU40" s="1270" t="str">
        <f t="shared" si="10"/>
        <v/>
      </c>
      <c r="AV40" s="1270" t="str">
        <f t="shared" si="11"/>
        <v/>
      </c>
      <c r="AW40" s="1270" t="str">
        <f t="shared" si="12"/>
        <v/>
      </c>
      <c r="AX40" s="1270" t="str">
        <f t="shared" si="13"/>
        <v/>
      </c>
      <c r="AY40" s="1270" t="str">
        <f t="shared" si="14"/>
        <v/>
      </c>
      <c r="AZ40" s="1270" t="str">
        <f t="shared" si="15"/>
        <v/>
      </c>
      <c r="BA40" s="1270" t="str">
        <f t="shared" si="16"/>
        <v/>
      </c>
      <c r="BB40" s="1371">
        <f t="shared" si="17"/>
        <v>0</v>
      </c>
      <c r="BC40" s="1369" t="str">
        <f t="shared" si="18"/>
        <v/>
      </c>
      <c r="BD40" s="626" t="str">
        <f t="shared" si="19"/>
        <v/>
      </c>
      <c r="BE40" s="1270" t="str">
        <f t="shared" si="20"/>
        <v/>
      </c>
      <c r="BF40" s="626" t="str">
        <f t="shared" si="21"/>
        <v/>
      </c>
      <c r="BG40" s="626" t="str">
        <f t="shared" si="22"/>
        <v/>
      </c>
      <c r="BH40" s="626" t="str">
        <f t="shared" si="23"/>
        <v/>
      </c>
      <c r="BI40" s="626" t="str">
        <f t="shared" si="24"/>
        <v/>
      </c>
      <c r="BJ40" s="626" t="str">
        <f t="shared" si="25"/>
        <v/>
      </c>
      <c r="BK40" s="626" t="str">
        <f t="shared" si="26"/>
        <v/>
      </c>
      <c r="BL40" s="626" t="str">
        <f t="shared" si="27"/>
        <v/>
      </c>
      <c r="BM40" s="1420">
        <f t="shared" si="28"/>
        <v>0</v>
      </c>
      <c r="BN40" s="1372">
        <f t="shared" si="29"/>
        <v>0</v>
      </c>
      <c r="BO40" s="1372">
        <f t="shared" si="30"/>
        <v>0</v>
      </c>
      <c r="BP40" s="1372">
        <f t="shared" si="31"/>
        <v>0</v>
      </c>
      <c r="BQ40" s="1374">
        <f t="shared" si="32"/>
        <v>0</v>
      </c>
      <c r="BR40" s="1251">
        <f t="shared" si="33"/>
        <v>0</v>
      </c>
      <c r="BS40" s="1403">
        <f t="shared" si="34"/>
        <v>0</v>
      </c>
      <c r="BT40" s="1372">
        <f t="shared" si="35"/>
        <v>0</v>
      </c>
      <c r="BU40" s="1372">
        <f t="shared" si="36"/>
        <v>0</v>
      </c>
      <c r="BV40" s="1372">
        <f t="shared" si="37"/>
        <v>0</v>
      </c>
      <c r="BW40" s="1372">
        <f t="shared" si="38"/>
        <v>0</v>
      </c>
      <c r="BX40" s="1372">
        <f t="shared" si="39"/>
        <v>0</v>
      </c>
      <c r="BY40" s="1372">
        <f t="shared" si="40"/>
        <v>0</v>
      </c>
      <c r="BZ40" s="1372">
        <f t="shared" si="41"/>
        <v>0</v>
      </c>
      <c r="CA40" s="1372">
        <f t="shared" si="42"/>
        <v>0</v>
      </c>
      <c r="CB40" s="1404">
        <f t="shared" si="43"/>
        <v>0</v>
      </c>
      <c r="CC40" s="1374">
        <f t="shared" si="81"/>
        <v>0</v>
      </c>
      <c r="CD40" s="1374">
        <f t="shared" si="44"/>
        <v>0</v>
      </c>
      <c r="CE40" s="1374">
        <f t="shared" si="45"/>
        <v>0</v>
      </c>
      <c r="CF40" s="1378">
        <f t="shared" si="46"/>
        <v>0</v>
      </c>
      <c r="CG40" s="1378">
        <f t="shared" si="47"/>
        <v>0</v>
      </c>
      <c r="CH40" s="1378">
        <f t="shared" si="48"/>
        <v>0</v>
      </c>
      <c r="CI40" s="1374">
        <f t="shared" si="49"/>
        <v>0</v>
      </c>
      <c r="CJ40" s="1374">
        <f t="shared" si="50"/>
        <v>0</v>
      </c>
      <c r="CK40" s="1374" t="str">
        <f t="shared" si="51"/>
        <v/>
      </c>
      <c r="CL40" s="1374">
        <f t="shared" si="52"/>
        <v>0</v>
      </c>
      <c r="CM40" s="1379">
        <f t="shared" si="53"/>
        <v>0</v>
      </c>
      <c r="CN40" s="628">
        <f>(BS40*Pricing!F$3+BT40*Pricing!G$3+BU40*Pricing!H$3+BV40*Pricing!I$3+BW40*Pricing!J$3+BX40*Pricing!K$3+BY40*Pricing!L$3+BZ40*Pricing!M$3+CA40*Pricing!N$3+CB40*Pricing!O$3)*IF(W$44="N",(1+Y$44),1)</f>
        <v>0</v>
      </c>
      <c r="CO40" s="628">
        <f t="shared" si="54"/>
        <v>0</v>
      </c>
      <c r="CP40" s="1380">
        <f t="shared" si="55"/>
        <v>0</v>
      </c>
      <c r="CQ40" s="628">
        <f t="shared" si="56"/>
        <v>0</v>
      </c>
      <c r="CR40" s="628">
        <f t="shared" si="57"/>
        <v>0</v>
      </c>
      <c r="CS40" s="628"/>
      <c r="CT40" s="1381">
        <f t="shared" si="58"/>
        <v>0</v>
      </c>
      <c r="CU40" s="628">
        <f t="shared" si="59"/>
        <v>0</v>
      </c>
      <c r="CV40" s="628">
        <f t="shared" si="60"/>
        <v>0</v>
      </c>
      <c r="CW40" s="628">
        <f t="shared" si="61"/>
        <v>0</v>
      </c>
      <c r="CX40" s="628">
        <f t="shared" si="62"/>
        <v>0</v>
      </c>
      <c r="CY40" s="628">
        <f t="shared" si="63"/>
        <v>0</v>
      </c>
      <c r="CZ40" s="628">
        <f t="shared" si="64"/>
        <v>0</v>
      </c>
      <c r="DA40" s="628">
        <f t="shared" si="65"/>
        <v>0</v>
      </c>
      <c r="DB40" s="628">
        <f t="shared" si="66"/>
        <v>0</v>
      </c>
      <c r="DC40" s="628">
        <f t="shared" si="67"/>
        <v>0</v>
      </c>
      <c r="DD40" s="628">
        <f t="shared" si="68"/>
        <v>0</v>
      </c>
      <c r="DE40" s="1382" t="e">
        <f t="shared" si="69"/>
        <v>#DIV/0!</v>
      </c>
      <c r="DF40" s="626">
        <f t="shared" si="70"/>
        <v>0</v>
      </c>
      <c r="DG40" s="626">
        <f t="shared" si="71"/>
        <v>0</v>
      </c>
      <c r="DH40" s="626">
        <f t="shared" si="72"/>
        <v>0</v>
      </c>
      <c r="DI40" s="626">
        <f t="shared" si="73"/>
        <v>0</v>
      </c>
      <c r="DJ40" s="626">
        <f t="shared" si="74"/>
        <v>0</v>
      </c>
      <c r="DK40" s="626">
        <f t="shared" si="75"/>
        <v>0</v>
      </c>
      <c r="DL40" s="626">
        <f t="shared" si="76"/>
        <v>0</v>
      </c>
      <c r="DM40" s="626">
        <f t="shared" si="77"/>
        <v>0</v>
      </c>
      <c r="DN40" s="626">
        <f t="shared" si="78"/>
        <v>0</v>
      </c>
      <c r="DO40" s="626">
        <f t="shared" si="79"/>
        <v>0</v>
      </c>
      <c r="DP40" s="1405">
        <f t="shared" si="80"/>
        <v>0</v>
      </c>
    </row>
    <row r="41" spans="1:120" ht="19.5" customHeight="1">
      <c r="A41" s="18" t="s">
        <v>1586</v>
      </c>
      <c r="B41" s="1435"/>
      <c r="C41" s="1436"/>
      <c r="D41" s="1437"/>
      <c r="E41" s="1438"/>
      <c r="F41" s="1439"/>
      <c r="G41" s="1440"/>
      <c r="H41" s="1441"/>
      <c r="I41" s="1442"/>
      <c r="J41" s="1443"/>
      <c r="K41" s="1444"/>
      <c r="L41" s="1441"/>
      <c r="M41" s="1445"/>
      <c r="N41" s="1446"/>
      <c r="O41" s="1447"/>
      <c r="P41" s="1448">
        <f t="shared" si="0"/>
        <v>0</v>
      </c>
      <c r="Q41" s="1449">
        <f t="shared" si="1"/>
        <v>0</v>
      </c>
      <c r="R41" s="1450">
        <f t="shared" si="2"/>
        <v>0</v>
      </c>
      <c r="S41" s="1354" t="e">
        <f t="shared" si="3"/>
        <v>#DIV/0!</v>
      </c>
      <c r="T41" s="1355">
        <f t="shared" si="4"/>
        <v>0</v>
      </c>
      <c r="U41" s="1356">
        <f t="shared" si="5"/>
        <v>0</v>
      </c>
      <c r="V41" s="1357">
        <f t="shared" si="6"/>
        <v>0</v>
      </c>
      <c r="W41" s="1441"/>
      <c r="X41" s="1445"/>
      <c r="Y41" s="1441"/>
      <c r="Z41" s="1451"/>
      <c r="AA41" s="1441"/>
      <c r="AB41" s="1451"/>
      <c r="AC41" s="1441"/>
      <c r="AD41" s="1445"/>
      <c r="AE41" s="1441"/>
      <c r="AF41" s="1445"/>
      <c r="AG41" s="1441"/>
      <c r="AH41" s="1445"/>
      <c r="AI41" s="1441"/>
      <c r="AJ41" s="1445"/>
      <c r="AK41" s="1441"/>
      <c r="AL41" s="1445"/>
      <c r="AM41" s="1441"/>
      <c r="AN41" s="1451"/>
      <c r="AO41" s="1441"/>
      <c r="AP41" s="1451"/>
      <c r="AQ41" s="626"/>
      <c r="AR41" s="1369" t="str">
        <f t="shared" si="7"/>
        <v/>
      </c>
      <c r="AS41" s="1452" t="str">
        <f t="shared" si="8"/>
        <v/>
      </c>
      <c r="AT41" s="1452" t="str">
        <f t="shared" si="9"/>
        <v/>
      </c>
      <c r="AU41" s="1452" t="str">
        <f t="shared" si="10"/>
        <v/>
      </c>
      <c r="AV41" s="1452" t="str">
        <f t="shared" si="11"/>
        <v/>
      </c>
      <c r="AW41" s="1452" t="str">
        <f t="shared" si="12"/>
        <v/>
      </c>
      <c r="AX41" s="1452" t="str">
        <f t="shared" si="13"/>
        <v/>
      </c>
      <c r="AY41" s="1452" t="str">
        <f t="shared" si="14"/>
        <v/>
      </c>
      <c r="AZ41" s="1452" t="str">
        <f t="shared" si="15"/>
        <v/>
      </c>
      <c r="BA41" s="1452" t="str">
        <f t="shared" si="16"/>
        <v/>
      </c>
      <c r="BB41" s="1453">
        <f t="shared" si="17"/>
        <v>0</v>
      </c>
      <c r="BC41" s="1454" t="str">
        <f t="shared" si="18"/>
        <v/>
      </c>
      <c r="BD41" s="693" t="str">
        <f t="shared" si="19"/>
        <v/>
      </c>
      <c r="BE41" s="1452" t="str">
        <f t="shared" si="20"/>
        <v/>
      </c>
      <c r="BF41" s="693" t="str">
        <f t="shared" si="21"/>
        <v/>
      </c>
      <c r="BG41" s="693" t="str">
        <f t="shared" si="22"/>
        <v/>
      </c>
      <c r="BH41" s="693" t="str">
        <f t="shared" si="23"/>
        <v/>
      </c>
      <c r="BI41" s="693" t="str">
        <f t="shared" si="24"/>
        <v/>
      </c>
      <c r="BJ41" s="693" t="str">
        <f t="shared" si="25"/>
        <v/>
      </c>
      <c r="BK41" s="693" t="str">
        <f t="shared" si="26"/>
        <v/>
      </c>
      <c r="BL41" s="693" t="str">
        <f t="shared" si="27"/>
        <v/>
      </c>
      <c r="BM41" s="1455">
        <f t="shared" si="28"/>
        <v>0</v>
      </c>
      <c r="BN41" s="1372">
        <f t="shared" si="29"/>
        <v>0</v>
      </c>
      <c r="BO41" s="1372">
        <f t="shared" si="30"/>
        <v>0</v>
      </c>
      <c r="BP41" s="1372">
        <f t="shared" si="31"/>
        <v>0</v>
      </c>
      <c r="BQ41" s="1374">
        <f t="shared" si="32"/>
        <v>0</v>
      </c>
      <c r="BR41" s="1251">
        <f t="shared" si="33"/>
        <v>0</v>
      </c>
      <c r="BS41" s="1456">
        <f t="shared" si="34"/>
        <v>0</v>
      </c>
      <c r="BT41" s="1457">
        <f t="shared" si="35"/>
        <v>0</v>
      </c>
      <c r="BU41" s="1457">
        <f t="shared" si="36"/>
        <v>0</v>
      </c>
      <c r="BV41" s="1457">
        <f t="shared" si="37"/>
        <v>0</v>
      </c>
      <c r="BW41" s="1457">
        <f t="shared" si="38"/>
        <v>0</v>
      </c>
      <c r="BX41" s="1457">
        <f t="shared" si="39"/>
        <v>0</v>
      </c>
      <c r="BY41" s="1457">
        <f t="shared" si="40"/>
        <v>0</v>
      </c>
      <c r="BZ41" s="1457">
        <f t="shared" si="41"/>
        <v>0</v>
      </c>
      <c r="CA41" s="1457">
        <f t="shared" si="42"/>
        <v>0</v>
      </c>
      <c r="CB41" s="1458">
        <f t="shared" si="43"/>
        <v>0</v>
      </c>
      <c r="CC41" s="1374">
        <f t="shared" si="81"/>
        <v>0</v>
      </c>
      <c r="CD41" s="1374">
        <f t="shared" si="44"/>
        <v>0</v>
      </c>
      <c r="CE41" s="1374">
        <f t="shared" si="45"/>
        <v>0</v>
      </c>
      <c r="CF41" s="1378">
        <f t="shared" si="46"/>
        <v>0</v>
      </c>
      <c r="CG41" s="1378">
        <f t="shared" si="47"/>
        <v>0</v>
      </c>
      <c r="CH41" s="1378">
        <f t="shared" si="48"/>
        <v>0</v>
      </c>
      <c r="CI41" s="1374">
        <f t="shared" si="49"/>
        <v>0</v>
      </c>
      <c r="CJ41" s="1374">
        <f t="shared" si="50"/>
        <v>0</v>
      </c>
      <c r="CK41" s="1374" t="str">
        <f t="shared" si="51"/>
        <v/>
      </c>
      <c r="CL41" s="1374">
        <f t="shared" si="52"/>
        <v>0</v>
      </c>
      <c r="CM41" s="1379">
        <f t="shared" si="53"/>
        <v>0</v>
      </c>
      <c r="CN41" s="628">
        <f>(BS41*Pricing!F$3+BT41*Pricing!G$3+BU41*Pricing!H$3+BV41*Pricing!I$3+BW41*Pricing!J$3+BX41*Pricing!K$3+BY41*Pricing!L$3+BZ41*Pricing!M$3+CA41*Pricing!N$3+CB41*Pricing!O$3)*IF(W$44="N",(1+Y$44),1)</f>
        <v>0</v>
      </c>
      <c r="CO41" s="628">
        <f t="shared" si="54"/>
        <v>0</v>
      </c>
      <c r="CP41" s="1380">
        <f t="shared" si="55"/>
        <v>0</v>
      </c>
      <c r="CQ41" s="628">
        <f t="shared" si="56"/>
        <v>0</v>
      </c>
      <c r="CR41" s="628">
        <f t="shared" si="57"/>
        <v>0</v>
      </c>
      <c r="CS41" s="628"/>
      <c r="CT41" s="1381">
        <f t="shared" si="58"/>
        <v>0</v>
      </c>
      <c r="CU41" s="628">
        <f t="shared" si="59"/>
        <v>0</v>
      </c>
      <c r="CV41" s="628">
        <f t="shared" si="60"/>
        <v>0</v>
      </c>
      <c r="CW41" s="628">
        <f t="shared" si="61"/>
        <v>0</v>
      </c>
      <c r="CX41" s="628">
        <f t="shared" si="62"/>
        <v>0</v>
      </c>
      <c r="CY41" s="628">
        <f t="shared" si="63"/>
        <v>0</v>
      </c>
      <c r="CZ41" s="628">
        <f t="shared" si="64"/>
        <v>0</v>
      </c>
      <c r="DA41" s="628">
        <f t="shared" si="65"/>
        <v>0</v>
      </c>
      <c r="DB41" s="628">
        <f t="shared" si="66"/>
        <v>0</v>
      </c>
      <c r="DC41" s="628">
        <f t="shared" si="67"/>
        <v>0</v>
      </c>
      <c r="DD41" s="628">
        <f t="shared" si="68"/>
        <v>0</v>
      </c>
      <c r="DE41" s="1382" t="e">
        <f t="shared" si="69"/>
        <v>#DIV/0!</v>
      </c>
      <c r="DF41" s="626">
        <f t="shared" si="70"/>
        <v>0</v>
      </c>
      <c r="DG41" s="626">
        <f t="shared" si="71"/>
        <v>0</v>
      </c>
      <c r="DH41" s="626">
        <f t="shared" si="72"/>
        <v>0</v>
      </c>
      <c r="DI41" s="626">
        <f t="shared" si="73"/>
        <v>0</v>
      </c>
      <c r="DJ41" s="626">
        <f t="shared" si="74"/>
        <v>0</v>
      </c>
      <c r="DK41" s="626">
        <f t="shared" si="75"/>
        <v>0</v>
      </c>
      <c r="DL41" s="626">
        <f t="shared" si="76"/>
        <v>0</v>
      </c>
      <c r="DM41" s="626">
        <f t="shared" si="77"/>
        <v>0</v>
      </c>
      <c r="DN41" s="626">
        <f t="shared" si="78"/>
        <v>0</v>
      </c>
      <c r="DO41" s="626">
        <f t="shared" si="79"/>
        <v>0</v>
      </c>
      <c r="DP41" s="1405">
        <f t="shared" si="80"/>
        <v>0</v>
      </c>
    </row>
    <row r="42" spans="1:120" ht="34.5" customHeight="1">
      <c r="B42" s="844">
        <f>(C45-9.95)*D42</f>
        <v>0</v>
      </c>
      <c r="C42" s="7" t="s">
        <v>1587</v>
      </c>
      <c r="D42" s="3035">
        <f>SUM(CI42)</f>
        <v>0</v>
      </c>
      <c r="E42" s="3035"/>
      <c r="G42" s="380">
        <f>SUM(G10:G41)</f>
        <v>0</v>
      </c>
      <c r="H42" s="626"/>
      <c r="I42" s="626"/>
      <c r="J42" s="626"/>
      <c r="K42" s="1459">
        <f>SUM(K10:K41)</f>
        <v>0</v>
      </c>
      <c r="L42" s="626"/>
      <c r="M42" s="626"/>
      <c r="N42" s="626"/>
      <c r="O42" s="626"/>
      <c r="P42" s="626"/>
      <c r="Q42" s="1460">
        <f>SUM(Q10:Q41)</f>
        <v>0</v>
      </c>
      <c r="R42" s="1461" t="e">
        <f>S42-E45</f>
        <v>#DIV/0!</v>
      </c>
      <c r="S42" s="628" t="e">
        <f>SUM(S10:S41)</f>
        <v>#DIV/0!</v>
      </c>
      <c r="T42" s="628"/>
      <c r="U42" s="1462">
        <f>SUM(U10:U41)</f>
        <v>0</v>
      </c>
      <c r="V42" s="628"/>
      <c r="W42" s="1254"/>
      <c r="X42" s="1463" t="s">
        <v>1588</v>
      </c>
      <c r="Y42" s="1464"/>
      <c r="Z42" s="1373"/>
      <c r="AA42" s="1254"/>
      <c r="AB42" s="1254"/>
      <c r="AC42" s="627"/>
      <c r="AD42" s="1465"/>
      <c r="AE42" s="229"/>
      <c r="AF42" s="229"/>
      <c r="AG42" s="976"/>
      <c r="AH42" s="976"/>
      <c r="AI42" s="976"/>
      <c r="AJ42" s="976"/>
      <c r="AK42" s="976"/>
      <c r="AL42" s="693"/>
      <c r="AM42" s="1132"/>
      <c r="AN42" s="626"/>
      <c r="AO42" s="626"/>
      <c r="AP42" s="626"/>
      <c r="AQ42" s="626"/>
      <c r="AR42" s="626"/>
      <c r="AS42" s="626"/>
      <c r="AT42" s="626"/>
      <c r="AU42" s="626"/>
      <c r="AV42" s="626"/>
      <c r="AW42" s="626"/>
      <c r="AX42" s="626"/>
      <c r="AY42" s="626"/>
      <c r="AZ42" s="626"/>
      <c r="BA42" s="626"/>
      <c r="BB42" s="1372">
        <f>SUM(BB10:BB41)</f>
        <v>0</v>
      </c>
      <c r="BC42" s="626"/>
      <c r="BD42" s="626"/>
      <c r="BE42" s="626"/>
      <c r="BF42" s="626"/>
      <c r="BG42" s="626"/>
      <c r="BH42" s="626"/>
      <c r="BI42" s="626"/>
      <c r="BJ42" s="626"/>
      <c r="BK42" s="626"/>
      <c r="BL42" s="626"/>
      <c r="BM42" s="1372">
        <f>SUM(BM10:BM41)</f>
        <v>0</v>
      </c>
      <c r="BN42" s="1373">
        <f>SUM(BN10:BN41)</f>
        <v>0</v>
      </c>
      <c r="BO42" s="1372">
        <f>SUM(BO10:BO41)</f>
        <v>0</v>
      </c>
      <c r="BP42" s="626">
        <f>SUM(BP10:BP41)</f>
        <v>0</v>
      </c>
      <c r="BQ42" s="1374">
        <f>SUM(BQ10:BQ41)/2</f>
        <v>0</v>
      </c>
      <c r="BR42" s="1374">
        <f t="shared" ref="BR42:DC42" si="82">SUM(BR10:BR41)</f>
        <v>0</v>
      </c>
      <c r="BS42" s="1270">
        <f t="shared" si="82"/>
        <v>0</v>
      </c>
      <c r="BT42" s="1270">
        <f t="shared" si="82"/>
        <v>0</v>
      </c>
      <c r="BU42" s="1270">
        <f t="shared" si="82"/>
        <v>0</v>
      </c>
      <c r="BV42" s="1270">
        <f t="shared" si="82"/>
        <v>0</v>
      </c>
      <c r="BW42" s="1270">
        <f t="shared" si="82"/>
        <v>0</v>
      </c>
      <c r="BX42" s="1270">
        <f t="shared" si="82"/>
        <v>0</v>
      </c>
      <c r="BY42" s="1270">
        <f t="shared" si="82"/>
        <v>0</v>
      </c>
      <c r="BZ42" s="1270">
        <f t="shared" si="82"/>
        <v>0</v>
      </c>
      <c r="CA42" s="1270">
        <f t="shared" si="82"/>
        <v>0</v>
      </c>
      <c r="CB42" s="1270">
        <f t="shared" si="82"/>
        <v>0</v>
      </c>
      <c r="CC42" s="1270">
        <f t="shared" si="82"/>
        <v>0</v>
      </c>
      <c r="CD42" s="1270">
        <f t="shared" si="82"/>
        <v>0</v>
      </c>
      <c r="CE42" s="1270">
        <f t="shared" si="82"/>
        <v>0</v>
      </c>
      <c r="CF42" s="1270">
        <f t="shared" si="82"/>
        <v>0</v>
      </c>
      <c r="CG42" s="1270">
        <f t="shared" si="82"/>
        <v>0</v>
      </c>
      <c r="CH42" s="1373">
        <f t="shared" si="82"/>
        <v>0</v>
      </c>
      <c r="CI42" s="1373">
        <f t="shared" si="82"/>
        <v>0</v>
      </c>
      <c r="CJ42" s="1373">
        <f t="shared" si="82"/>
        <v>0</v>
      </c>
      <c r="CK42" s="1373">
        <f t="shared" si="82"/>
        <v>0</v>
      </c>
      <c r="CL42" s="1373">
        <f t="shared" si="82"/>
        <v>0</v>
      </c>
      <c r="CM42" s="1466">
        <f t="shared" si="82"/>
        <v>0</v>
      </c>
      <c r="CN42" s="1467">
        <f t="shared" si="82"/>
        <v>0</v>
      </c>
      <c r="CO42" s="1467">
        <f t="shared" si="82"/>
        <v>0</v>
      </c>
      <c r="CP42" s="1468">
        <f t="shared" si="82"/>
        <v>0</v>
      </c>
      <c r="CQ42" s="1469">
        <f t="shared" si="82"/>
        <v>0</v>
      </c>
      <c r="CR42" s="1469">
        <f t="shared" si="82"/>
        <v>0</v>
      </c>
      <c r="CS42" s="1469">
        <f t="shared" si="82"/>
        <v>0</v>
      </c>
      <c r="CT42" s="1470">
        <f t="shared" si="82"/>
        <v>0</v>
      </c>
      <c r="CU42" s="1470">
        <f t="shared" si="82"/>
        <v>0</v>
      </c>
      <c r="CV42" s="1467">
        <f t="shared" si="82"/>
        <v>0</v>
      </c>
      <c r="CW42" s="1467">
        <f t="shared" si="82"/>
        <v>0</v>
      </c>
      <c r="CX42" s="1467">
        <f t="shared" si="82"/>
        <v>0</v>
      </c>
      <c r="CY42" s="1467">
        <f t="shared" si="82"/>
        <v>0</v>
      </c>
      <c r="CZ42" s="1467">
        <f t="shared" si="82"/>
        <v>0</v>
      </c>
      <c r="DA42" s="1467">
        <f t="shared" si="82"/>
        <v>0</v>
      </c>
      <c r="DB42" s="1467">
        <f t="shared" si="82"/>
        <v>0</v>
      </c>
      <c r="DC42" s="1467">
        <f t="shared" si="82"/>
        <v>0</v>
      </c>
      <c r="DD42" s="1467">
        <f>SUM(DC10:DD41)</f>
        <v>0</v>
      </c>
      <c r="DE42" s="1471" t="e">
        <f>SUM(DE10:DE41)</f>
        <v>#DIV/0!</v>
      </c>
      <c r="DF42" s="1472">
        <f>SUM(DF10:DF41)</f>
        <v>0</v>
      </c>
      <c r="DG42" s="1472">
        <f>SUM(DG10:DG41)</f>
        <v>0</v>
      </c>
      <c r="DH42" s="1472"/>
      <c r="DI42" s="1472">
        <f t="shared" ref="DI42:DP42" si="83">SUM(DI10:DI41)</f>
        <v>0</v>
      </c>
      <c r="DJ42" s="1472">
        <f t="shared" si="83"/>
        <v>0</v>
      </c>
      <c r="DK42" s="1472">
        <f t="shared" si="83"/>
        <v>0</v>
      </c>
      <c r="DL42" s="1472">
        <f t="shared" si="83"/>
        <v>0</v>
      </c>
      <c r="DM42" s="1472">
        <f t="shared" si="83"/>
        <v>0</v>
      </c>
      <c r="DN42" s="1472">
        <f t="shared" si="83"/>
        <v>0</v>
      </c>
      <c r="DO42" s="1472">
        <f t="shared" si="83"/>
        <v>0</v>
      </c>
      <c r="DP42" s="1473">
        <f t="shared" si="83"/>
        <v>0</v>
      </c>
    </row>
    <row r="43" spans="1:120" ht="19.5" customHeight="1">
      <c r="B43" s="888"/>
      <c r="C43" s="889"/>
      <c r="D43" s="890" t="s">
        <v>1261</v>
      </c>
      <c r="E43" s="3036"/>
      <c r="F43" s="3036"/>
      <c r="G43" s="889"/>
      <c r="H43" s="889"/>
      <c r="I43" s="889"/>
      <c r="J43" s="889"/>
      <c r="K43" s="889"/>
      <c r="L43" s="891"/>
      <c r="M43" s="889"/>
      <c r="N43" s="889"/>
      <c r="O43" s="889"/>
      <c r="P43" s="889"/>
      <c r="Q43" s="1474"/>
      <c r="R43" s="1474"/>
      <c r="S43" s="889"/>
      <c r="T43" s="889"/>
      <c r="U43" s="889"/>
      <c r="V43" s="889"/>
      <c r="W43" s="889"/>
      <c r="X43" s="889"/>
      <c r="Y43" s="889"/>
      <c r="Z43" s="1475"/>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H43" s="626"/>
      <c r="BI43" s="626"/>
      <c r="BJ43" s="626"/>
      <c r="BK43" s="626"/>
      <c r="BL43" s="626"/>
      <c r="BM43" s="626"/>
      <c r="BN43" s="626"/>
      <c r="BO43" s="626"/>
      <c r="BP43" s="626"/>
      <c r="BQ43" s="626"/>
      <c r="BR43" s="626"/>
      <c r="BS43" s="626"/>
      <c r="BT43" s="626"/>
      <c r="BU43" s="626"/>
      <c r="BV43" s="626"/>
      <c r="BW43" s="626"/>
      <c r="BX43" s="626"/>
      <c r="BY43" s="626"/>
      <c r="BZ43" s="626"/>
      <c r="CA43" s="626"/>
      <c r="CB43" s="626"/>
      <c r="CC43" s="626"/>
      <c r="CD43" s="626"/>
      <c r="CE43" s="626"/>
      <c r="CF43" s="626"/>
      <c r="CG43" s="626"/>
      <c r="CH43" s="626"/>
      <c r="CI43" s="626"/>
      <c r="CJ43" s="626"/>
      <c r="CK43" s="626"/>
      <c r="CL43" s="626"/>
      <c r="CM43" s="927">
        <f>SUM(CN43:DE43)</f>
        <v>0</v>
      </c>
      <c r="CN43" s="927">
        <f>O65+O66+O69</f>
        <v>0</v>
      </c>
      <c r="CO43" s="927">
        <f>O70</f>
        <v>0</v>
      </c>
      <c r="CP43" s="927">
        <f>O84</f>
        <v>0</v>
      </c>
      <c r="CQ43" s="927">
        <f>SUM(O79:P85)-O83-O84+O88</f>
        <v>0</v>
      </c>
      <c r="CR43" s="927">
        <f>O83</f>
        <v>0</v>
      </c>
      <c r="CS43" s="927"/>
      <c r="CT43" s="927">
        <f>O87</f>
        <v>0</v>
      </c>
      <c r="CU43" s="927"/>
      <c r="CV43" s="927">
        <f>M92+O94</f>
        <v>0</v>
      </c>
      <c r="CW43" s="927">
        <f>SUM(Z66:Z97)</f>
        <v>0</v>
      </c>
      <c r="CX43" s="927">
        <f>SUM(O96:P101)</f>
        <v>0</v>
      </c>
      <c r="CY43" s="927">
        <f>SUM(O103:P109)</f>
        <v>0</v>
      </c>
      <c r="CZ43" s="927">
        <f>Z98+Z99+Z100+Z105+Z109</f>
        <v>0</v>
      </c>
      <c r="DA43" s="927">
        <f>O72</f>
        <v>0</v>
      </c>
      <c r="DB43" s="927">
        <f>O86</f>
        <v>0</v>
      </c>
      <c r="DC43" s="927">
        <f>O71</f>
        <v>0</v>
      </c>
      <c r="DD43" s="927">
        <f>O73</f>
        <v>0</v>
      </c>
      <c r="DE43" s="927">
        <f>O110</f>
        <v>0</v>
      </c>
      <c r="DF43" s="626">
        <f>AB69</f>
        <v>0</v>
      </c>
      <c r="DG43" s="626"/>
      <c r="DH43" s="626"/>
      <c r="DI43" s="626"/>
      <c r="DJ43" s="626"/>
      <c r="DK43" s="626"/>
      <c r="DL43" s="626"/>
      <c r="DM43" s="626"/>
      <c r="DN43" s="626"/>
      <c r="DO43" s="626"/>
    </row>
    <row r="44" spans="1:120" ht="18" customHeight="1">
      <c r="B44" s="1476" t="s">
        <v>1262</v>
      </c>
      <c r="C44" s="1477"/>
      <c r="D44" s="1477"/>
      <c r="E44" s="1476" t="s">
        <v>982</v>
      </c>
      <c r="F44" s="1478"/>
      <c r="G44" s="1477" t="s">
        <v>1263</v>
      </c>
      <c r="H44" s="1477"/>
      <c r="I44" s="1478"/>
      <c r="J44" s="1054" t="s">
        <v>1264</v>
      </c>
      <c r="K44" s="1055"/>
      <c r="L44" s="1056"/>
      <c r="M44" s="1057" t="s">
        <v>1265</v>
      </c>
      <c r="N44" s="1058"/>
      <c r="O44" s="1058"/>
      <c r="P44" s="1059"/>
      <c r="Q44" s="1479"/>
      <c r="R44" s="1479"/>
      <c r="S44" s="895"/>
      <c r="T44" s="574" t="s">
        <v>1266</v>
      </c>
      <c r="V44" s="18" t="s">
        <v>1267</v>
      </c>
      <c r="W44" s="896" t="str">
        <f>Summary!P62</f>
        <v>N</v>
      </c>
      <c r="X44" s="793" t="s">
        <v>1268</v>
      </c>
      <c r="Y44" s="897">
        <f>Summary!R62</f>
        <v>8.2500000000000004E-2</v>
      </c>
      <c r="Z44" s="898"/>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H44" s="626"/>
      <c r="BI44" s="626"/>
      <c r="BJ44" s="626"/>
      <c r="BK44" s="626"/>
      <c r="BL44" s="626"/>
      <c r="BM44" s="626"/>
      <c r="BN44" s="626"/>
      <c r="BO44" s="626"/>
      <c r="BP44" s="626"/>
      <c r="BQ44" s="626"/>
      <c r="BR44" s="626"/>
      <c r="BS44" s="626"/>
      <c r="BT44" s="626"/>
      <c r="BU44" s="626"/>
      <c r="BV44" s="626"/>
      <c r="BW44" s="626"/>
      <c r="BX44" s="626"/>
      <c r="BY44" s="626"/>
      <c r="BZ44" s="626"/>
      <c r="CA44" s="626"/>
      <c r="CB44" s="626"/>
      <c r="CC44" s="626"/>
      <c r="CD44" s="626"/>
      <c r="CE44" s="626"/>
      <c r="CF44" s="626"/>
      <c r="CG44" s="626"/>
      <c r="CH44" s="626"/>
      <c r="CI44" s="626"/>
      <c r="CJ44" s="626"/>
      <c r="CK44" s="626"/>
      <c r="CL44" s="626"/>
      <c r="CM44" s="1482">
        <f t="shared" ref="CM44:CT44" si="84">CM42-CM43</f>
        <v>0</v>
      </c>
      <c r="CN44" s="1482">
        <f t="shared" si="84"/>
        <v>0</v>
      </c>
      <c r="CO44" s="1482">
        <f t="shared" si="84"/>
        <v>0</v>
      </c>
      <c r="CP44" s="1482">
        <f t="shared" si="84"/>
        <v>0</v>
      </c>
      <c r="CQ44" s="1482">
        <f t="shared" si="84"/>
        <v>0</v>
      </c>
      <c r="CR44" s="1482">
        <f t="shared" si="84"/>
        <v>0</v>
      </c>
      <c r="CS44" s="1482">
        <f t="shared" si="84"/>
        <v>0</v>
      </c>
      <c r="CT44" s="1482">
        <f t="shared" si="84"/>
        <v>0</v>
      </c>
      <c r="CU44" s="1482"/>
      <c r="CV44" s="1482">
        <f t="shared" ref="CV44:DE44" si="85">CV42-CV43</f>
        <v>0</v>
      </c>
      <c r="CW44" s="1482">
        <f t="shared" si="85"/>
        <v>0</v>
      </c>
      <c r="CX44" s="1482">
        <f t="shared" si="85"/>
        <v>0</v>
      </c>
      <c r="CY44" s="1482">
        <f t="shared" si="85"/>
        <v>0</v>
      </c>
      <c r="CZ44" s="1482">
        <f t="shared" si="85"/>
        <v>0</v>
      </c>
      <c r="DA44" s="1482">
        <f t="shared" si="85"/>
        <v>0</v>
      </c>
      <c r="DB44" s="1482">
        <f t="shared" si="85"/>
        <v>0</v>
      </c>
      <c r="DC44" s="1482">
        <f t="shared" si="85"/>
        <v>0</v>
      </c>
      <c r="DD44" s="1482">
        <f t="shared" si="85"/>
        <v>0</v>
      </c>
      <c r="DE44" s="1482" t="e">
        <f t="shared" si="85"/>
        <v>#DIV/0!</v>
      </c>
      <c r="DF44" s="626"/>
      <c r="DG44" s="626"/>
      <c r="DH44" s="626"/>
      <c r="DI44" s="626"/>
      <c r="DJ44" s="626"/>
      <c r="DK44" s="626"/>
      <c r="DL44" s="626"/>
      <c r="DM44" s="626"/>
      <c r="DN44" s="626"/>
      <c r="DO44" s="626"/>
    </row>
    <row r="45" spans="1:120" ht="18" customHeight="1">
      <c r="B45" s="899" t="s">
        <v>1269</v>
      </c>
      <c r="C45" s="3037">
        <f>IF(I79=0,0,E45/I79)</f>
        <v>0</v>
      </c>
      <c r="D45" s="3037"/>
      <c r="E45" s="2866">
        <f>(V45-O110)*(1+M45)</f>
        <v>0</v>
      </c>
      <c r="F45" s="2866"/>
      <c r="G45" s="1484">
        <f>IF(H45=0,0,H45/E45)</f>
        <v>0</v>
      </c>
      <c r="H45" s="2867">
        <f>(E45-V45)</f>
        <v>0</v>
      </c>
      <c r="I45" s="2867"/>
      <c r="J45" s="1485">
        <f>IF(D42=0,0,V45/D42)</f>
        <v>0</v>
      </c>
      <c r="K45" s="1486"/>
      <c r="L45" s="1487"/>
      <c r="M45" s="1488">
        <f>Summary!P59</f>
        <v>0.18</v>
      </c>
      <c r="N45" s="1489"/>
      <c r="O45" s="1489"/>
      <c r="P45" s="1490"/>
      <c r="Q45" s="1479"/>
      <c r="R45" s="1480"/>
      <c r="S45" s="895"/>
      <c r="T45" s="902" t="s">
        <v>980</v>
      </c>
      <c r="V45" s="3038">
        <f>SUM(O65:P77)+SUM(O79:P88)+SUM(L79:M88)+SUM(O91:P93)+SUM(O96:P101)+SUM(O103:P110)+Z110+O94</f>
        <v>0</v>
      </c>
      <c r="W45" s="3038"/>
      <c r="X45" s="903"/>
      <c r="Y45" s="18"/>
      <c r="Z45" s="898"/>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H45" s="626"/>
      <c r="BI45" s="626"/>
      <c r="BJ45" s="626"/>
      <c r="BK45" s="626"/>
      <c r="BL45" s="626"/>
      <c r="BM45" s="626"/>
      <c r="BN45" s="626"/>
      <c r="BO45" s="626"/>
      <c r="BP45" s="626"/>
      <c r="BQ45" s="626"/>
      <c r="BR45" s="626"/>
      <c r="BS45" s="626"/>
      <c r="BT45" s="626"/>
      <c r="BU45" s="626"/>
      <c r="BV45" s="626"/>
      <c r="BW45" s="626"/>
      <c r="BX45" s="626"/>
      <c r="BY45" s="626"/>
      <c r="BZ45" s="626"/>
      <c r="CA45" s="626"/>
      <c r="CB45" s="626"/>
      <c r="CC45" s="626"/>
      <c r="CD45" s="626"/>
      <c r="CE45" s="626"/>
      <c r="CF45" s="626"/>
      <c r="CG45" s="626"/>
      <c r="CH45" s="626"/>
      <c r="CI45" s="626"/>
      <c r="CJ45" s="626"/>
      <c r="CK45" s="626"/>
      <c r="CL45" s="626"/>
      <c r="CM45" s="927">
        <f>CM42*(1+M45)</f>
        <v>0</v>
      </c>
      <c r="CN45" s="626"/>
      <c r="CO45" s="626"/>
      <c r="CP45" s="626"/>
      <c r="CQ45" s="626"/>
      <c r="CR45" s="626"/>
      <c r="CS45" s="626"/>
      <c r="CT45" s="626"/>
      <c r="CU45" s="626"/>
      <c r="CV45" s="626"/>
      <c r="CW45" s="626"/>
      <c r="CX45" s="626"/>
      <c r="CY45" s="626"/>
      <c r="CZ45" s="626"/>
      <c r="DA45" s="626"/>
      <c r="DB45" s="626"/>
      <c r="DC45" s="626"/>
      <c r="DD45" s="626"/>
      <c r="DE45" s="626"/>
      <c r="DF45" s="626"/>
      <c r="DG45" s="626"/>
      <c r="DH45" s="626"/>
      <c r="DI45" s="626"/>
      <c r="DJ45" s="626"/>
      <c r="DK45" s="626"/>
      <c r="DL45" s="626"/>
      <c r="DM45" s="626"/>
      <c r="DN45" s="626"/>
      <c r="DO45" s="626"/>
    </row>
    <row r="46" spans="1:120" ht="18" customHeight="1">
      <c r="B46" s="1492"/>
      <c r="C46" s="892"/>
      <c r="D46" s="1493" t="str">
        <f>IF(ROUND(E46,0)=0,"BINGO!!",IF(ROUND(E46,0)&lt;0,"To Low","T0 High"))</f>
        <v>BINGO!!</v>
      </c>
      <c r="E46" s="3039">
        <f>E45-E43</f>
        <v>0</v>
      </c>
      <c r="F46" s="3039"/>
      <c r="G46" s="3040"/>
      <c r="H46" s="3040"/>
      <c r="I46" s="907" t="s">
        <v>1270</v>
      </c>
      <c r="J46" s="908"/>
      <c r="K46" s="3041"/>
      <c r="L46" s="3041"/>
      <c r="M46" s="909"/>
      <c r="N46" s="910">
        <f>IF(K46&gt;0,(K46-E45)/(1+M45),0)</f>
        <v>0</v>
      </c>
      <c r="O46" s="1494"/>
      <c r="P46" s="895"/>
      <c r="Q46" s="1479"/>
      <c r="R46" s="1479"/>
      <c r="S46" s="1137"/>
      <c r="T46" s="1495"/>
      <c r="U46" s="895"/>
      <c r="V46" s="3042">
        <f>D119</f>
        <v>0</v>
      </c>
      <c r="W46" s="3042"/>
      <c r="X46" s="1496">
        <f>V45-V46</f>
        <v>0</v>
      </c>
      <c r="Y46" s="895"/>
      <c r="Z46" s="898"/>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H46" s="626"/>
      <c r="BI46" s="626"/>
      <c r="BJ46" s="626"/>
      <c r="BK46" s="626"/>
      <c r="BL46" s="626"/>
      <c r="BM46" s="626"/>
      <c r="BN46" s="626"/>
      <c r="BO46" s="626"/>
      <c r="BP46" s="626"/>
      <c r="BQ46" s="626"/>
      <c r="BR46" s="626"/>
      <c r="BS46" s="626"/>
      <c r="BT46" s="626"/>
      <c r="BU46" s="626"/>
      <c r="BV46" s="626"/>
      <c r="BW46" s="626"/>
      <c r="BX46" s="626"/>
      <c r="BY46" s="626"/>
      <c r="BZ46" s="626"/>
      <c r="CA46" s="626"/>
      <c r="CB46" s="626"/>
      <c r="CC46" s="626"/>
      <c r="CD46" s="626"/>
      <c r="CE46" s="626"/>
      <c r="CF46" s="626"/>
      <c r="CG46" s="626"/>
      <c r="CH46" s="626"/>
      <c r="CI46" s="626"/>
      <c r="CJ46" s="626"/>
      <c r="CK46" s="626"/>
      <c r="CL46" s="626"/>
      <c r="CM46" s="626"/>
      <c r="CN46" s="626"/>
      <c r="CO46" s="626"/>
      <c r="CP46" s="626"/>
      <c r="CQ46" s="626"/>
      <c r="CR46" s="626"/>
      <c r="CS46" s="626"/>
      <c r="CT46" s="626"/>
      <c r="CU46" s="626"/>
      <c r="CV46" s="626"/>
      <c r="CW46" s="626"/>
      <c r="CX46" s="626"/>
      <c r="CY46" s="626"/>
      <c r="CZ46" s="626"/>
      <c r="DA46" s="626"/>
      <c r="DB46" s="626"/>
      <c r="DC46" s="626"/>
      <c r="DD46" s="626"/>
      <c r="DE46" s="626"/>
      <c r="DF46" s="626"/>
      <c r="DG46" s="626"/>
      <c r="DH46" s="626"/>
      <c r="DI46" s="626"/>
      <c r="DJ46" s="626"/>
      <c r="DK46" s="626"/>
      <c r="DL46" s="626"/>
      <c r="DM46" s="626"/>
      <c r="DN46" s="626"/>
      <c r="DO46" s="626"/>
    </row>
    <row r="47" spans="1:120" ht="29.25" customHeight="1">
      <c r="B47" s="1497"/>
      <c r="C47" s="983" t="s">
        <v>1356</v>
      </c>
      <c r="D47" s="983"/>
      <c r="E47" s="1498" t="s">
        <v>1357</v>
      </c>
      <c r="F47" s="1499"/>
      <c r="G47" s="1498" t="s">
        <v>1590</v>
      </c>
      <c r="H47" s="1499"/>
      <c r="I47" s="1498" t="s">
        <v>1359</v>
      </c>
      <c r="J47" s="1499"/>
      <c r="K47" s="1498" t="s">
        <v>1360</v>
      </c>
      <c r="L47" s="1499"/>
      <c r="M47" s="1498" t="s">
        <v>1361</v>
      </c>
      <c r="N47" s="1085"/>
      <c r="O47" s="808"/>
      <c r="P47" s="1291" t="s">
        <v>1591</v>
      </c>
      <c r="Q47" s="1500"/>
      <c r="R47" s="1291" t="s">
        <v>1592</v>
      </c>
      <c r="S47" s="1501"/>
      <c r="U47" s="1502">
        <f>IF(I79=0,0,I79/SUM(L65:L69))</f>
        <v>0</v>
      </c>
      <c r="V47" s="1503" t="s">
        <v>1593</v>
      </c>
      <c r="W47" s="1275">
        <f>SUM(Z49:Z58)*(1+K70)</f>
        <v>0</v>
      </c>
      <c r="X47" s="626" t="s">
        <v>612</v>
      </c>
      <c r="Y47" s="1254"/>
      <c r="Z47" s="1254"/>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H47" s="626"/>
      <c r="BI47" s="626"/>
      <c r="BJ47" s="626"/>
      <c r="BK47" s="626"/>
      <c r="BL47" s="626"/>
      <c r="BM47" s="626"/>
      <c r="BN47" s="626"/>
      <c r="BO47" s="626"/>
      <c r="BP47" s="626"/>
      <c r="BQ47" s="626"/>
      <c r="BR47" s="626"/>
      <c r="BS47" s="626"/>
      <c r="BT47" s="626"/>
      <c r="BU47" s="626"/>
      <c r="BV47" s="626"/>
      <c r="BW47" s="628"/>
      <c r="BX47" s="628"/>
      <c r="BY47" s="628"/>
      <c r="BZ47" s="628"/>
      <c r="CA47" s="628"/>
      <c r="CB47" s="628"/>
      <c r="CC47" s="628"/>
      <c r="CD47" s="628"/>
      <c r="CE47" s="626"/>
      <c r="CF47" s="626"/>
      <c r="CG47" s="626"/>
      <c r="CH47" s="626"/>
      <c r="CI47" s="628"/>
      <c r="CJ47" s="628"/>
      <c r="CK47" s="628"/>
      <c r="CL47" s="628"/>
      <c r="CM47" s="628"/>
      <c r="CN47" s="628"/>
      <c r="CO47" s="626"/>
      <c r="CP47" s="626"/>
      <c r="CQ47" s="626"/>
      <c r="CR47" s="628"/>
      <c r="CS47" s="626"/>
      <c r="CT47" s="1270"/>
      <c r="CU47" s="1270"/>
      <c r="CV47" s="1270"/>
      <c r="CW47" s="1270"/>
      <c r="CX47" s="1270"/>
      <c r="CY47" s="1504"/>
      <c r="CZ47" s="1306"/>
      <c r="DA47" s="1306"/>
      <c r="DB47" s="1306" t="s">
        <v>1594</v>
      </c>
      <c r="DC47" s="1505">
        <f>SUM(DF42:DP42)</f>
        <v>0</v>
      </c>
      <c r="DD47" s="1306" t="s">
        <v>1418</v>
      </c>
      <c r="DE47" s="1306"/>
      <c r="DF47" s="1306"/>
      <c r="DG47" s="1306"/>
      <c r="DH47" s="1307"/>
      <c r="DI47" s="626"/>
      <c r="DJ47" s="626"/>
      <c r="DK47" s="626"/>
      <c r="DL47" s="626"/>
      <c r="DM47" s="626"/>
      <c r="DN47" s="626"/>
      <c r="DO47" s="626"/>
    </row>
    <row r="48" spans="1:120" ht="42.75" customHeight="1">
      <c r="B48" s="1506" t="s">
        <v>1595</v>
      </c>
      <c r="C48" s="1100" t="s">
        <v>1367</v>
      </c>
      <c r="D48" s="1099" t="s">
        <v>1596</v>
      </c>
      <c r="E48" s="1100" t="s">
        <v>1369</v>
      </c>
      <c r="F48" s="1099" t="s">
        <v>1215</v>
      </c>
      <c r="G48" s="1100" t="s">
        <v>1369</v>
      </c>
      <c r="H48" s="1099" t="s">
        <v>1215</v>
      </c>
      <c r="I48" s="1100" t="s">
        <v>1369</v>
      </c>
      <c r="J48" s="1099" t="s">
        <v>1215</v>
      </c>
      <c r="K48" s="1100" t="s">
        <v>1215</v>
      </c>
      <c r="L48" s="1507" t="s">
        <v>1216</v>
      </c>
      <c r="M48" s="1100" t="s">
        <v>1215</v>
      </c>
      <c r="N48" s="1101" t="s">
        <v>1597</v>
      </c>
      <c r="O48" s="1508" t="s">
        <v>1598</v>
      </c>
      <c r="P48" s="1317" t="s">
        <v>1599</v>
      </c>
      <c r="Q48" s="1509"/>
      <c r="R48" s="1317" t="s">
        <v>998</v>
      </c>
      <c r="S48" s="1510"/>
      <c r="U48" s="3043" t="s">
        <v>1602</v>
      </c>
      <c r="V48" s="3043"/>
      <c r="W48" s="1168" t="s">
        <v>1259</v>
      </c>
      <c r="X48" s="1169" t="s">
        <v>1215</v>
      </c>
      <c r="Y48" s="1170" t="s">
        <v>1369</v>
      </c>
      <c r="Z48" s="1171" t="s">
        <v>1414</v>
      </c>
      <c r="AS48" s="18" t="s">
        <v>1603</v>
      </c>
      <c r="AT48" s="626"/>
      <c r="AU48" s="626"/>
      <c r="AV48" s="626"/>
      <c r="AW48" s="626"/>
      <c r="AX48" s="626"/>
      <c r="AY48" s="626"/>
      <c r="AZ48" s="626"/>
      <c r="BA48" s="626"/>
      <c r="BB48" s="626"/>
      <c r="BC48" s="626"/>
      <c r="BD48" s="626"/>
      <c r="BE48" s="626"/>
      <c r="BF48" s="626"/>
      <c r="BG48" s="626"/>
      <c r="BH48" s="626"/>
      <c r="BI48" s="626"/>
      <c r="BJ48" s="626"/>
      <c r="BK48" s="626"/>
      <c r="BL48" s="626"/>
      <c r="BM48" s="626"/>
      <c r="BN48" s="626"/>
      <c r="BO48" s="626"/>
      <c r="BP48" s="626"/>
      <c r="BQ48" s="626"/>
      <c r="BR48" s="626"/>
      <c r="BS48" s="1251"/>
      <c r="BT48" s="626"/>
      <c r="BU48" s="626"/>
      <c r="BV48" s="626"/>
      <c r="BW48" s="626"/>
      <c r="BX48" s="626"/>
      <c r="BY48" s="626"/>
      <c r="BZ48" s="626"/>
      <c r="CA48" s="626"/>
      <c r="CB48" s="626"/>
      <c r="CC48" s="626"/>
      <c r="CD48" s="626"/>
      <c r="CE48" s="626"/>
      <c r="CF48" s="626"/>
      <c r="CG48" s="626"/>
      <c r="CH48" s="626"/>
      <c r="CI48" s="626"/>
      <c r="CJ48" s="626"/>
      <c r="CK48" s="626"/>
      <c r="CL48" s="626"/>
      <c r="CM48" s="626"/>
      <c r="CN48" s="626"/>
      <c r="CO48" s="626"/>
      <c r="CP48" s="626"/>
      <c r="CQ48" s="1372">
        <f>CO42-CC47</f>
        <v>0</v>
      </c>
      <c r="CR48" s="626"/>
      <c r="CS48" s="626"/>
      <c r="CT48" s="626"/>
      <c r="CU48" s="626"/>
      <c r="CV48" s="626"/>
      <c r="CW48" s="626"/>
      <c r="CX48" s="626"/>
      <c r="CY48" s="626"/>
      <c r="CZ48" s="626"/>
      <c r="DA48" s="626"/>
      <c r="DB48" s="626"/>
      <c r="DC48" s="626"/>
      <c r="DD48" s="626"/>
      <c r="DE48" s="626"/>
      <c r="DF48" s="626"/>
      <c r="DG48" s="626"/>
      <c r="DH48" s="626"/>
      <c r="DI48" s="626"/>
      <c r="DJ48" s="626"/>
      <c r="DK48" s="626"/>
      <c r="DL48" s="626"/>
      <c r="DM48" s="626"/>
      <c r="DN48" s="626"/>
      <c r="DO48" s="626"/>
      <c r="DP48" s="626"/>
    </row>
    <row r="49" spans="2:45" ht="19.5" customHeight="1">
      <c r="B49" s="1512">
        <v>1</v>
      </c>
      <c r="C49" s="1660"/>
      <c r="D49" s="1661"/>
      <c r="E49" s="503"/>
      <c r="F49" s="1418"/>
      <c r="G49" s="1513"/>
      <c r="H49" s="1661"/>
      <c r="I49" s="503"/>
      <c r="J49" s="1661"/>
      <c r="K49" s="503"/>
      <c r="L49" s="1661"/>
      <c r="M49" s="1513"/>
      <c r="N49" s="503"/>
      <c r="O49" s="1411"/>
      <c r="P49" s="1514">
        <f t="shared" ref="P49:P59" si="86">IF(C49=0,0,(E49*F49/16*F49/16*10.680159)+((G49*H49/16*H49/16*10.680159)+(I49*2*J49/16*J49/16*10.680159)+IF(L49=0,0,((K49/16*K49/16)*3.145*0.2836*((((C49*2))+(D49*2))*12/L49))))+(M49/16*M49/16*10.680159*(12/IF(N49=0,1,N49))*O49))*(1+K$70)</f>
        <v>0</v>
      </c>
      <c r="Q49" s="1515"/>
      <c r="R49" s="1516">
        <f t="shared" ref="R49:R59" si="87">(C49/12*D49/324)*(1+K$65)</f>
        <v>0</v>
      </c>
      <c r="S49" s="1517"/>
      <c r="U49" s="3044">
        <f>IF(I79=0,0,L70/I79)</f>
        <v>0</v>
      </c>
      <c r="V49" s="3044"/>
      <c r="W49" s="142"/>
      <c r="X49" s="143"/>
      <c r="Y49" s="144"/>
      <c r="Z49" s="145">
        <f t="shared" ref="Z49:Z58" si="88">W49*(X49*X49*0.04180884375)*Y49</f>
        <v>0</v>
      </c>
      <c r="AA49" s="338">
        <f>SUM(Z49:Z58)*1.1</f>
        <v>0</v>
      </c>
      <c r="AS49" s="18">
        <f t="shared" ref="AS49:AS59" si="89">D49*2/12</f>
        <v>0</v>
      </c>
    </row>
    <row r="50" spans="2:45" ht="19.5" customHeight="1">
      <c r="B50" s="1518">
        <v>2</v>
      </c>
      <c r="C50" s="1513"/>
      <c r="D50" s="834"/>
      <c r="E50" s="503"/>
      <c r="F50" s="1418"/>
      <c r="G50" s="503"/>
      <c r="H50" s="834"/>
      <c r="I50" s="503"/>
      <c r="J50" s="834"/>
      <c r="K50" s="503"/>
      <c r="L50" s="834"/>
      <c r="M50" s="1513"/>
      <c r="N50" s="503"/>
      <c r="O50" s="1410"/>
      <c r="P50" s="1514">
        <f t="shared" si="86"/>
        <v>0</v>
      </c>
      <c r="Q50" s="1515"/>
      <c r="R50" s="1519">
        <f t="shared" si="87"/>
        <v>0</v>
      </c>
      <c r="S50" s="1517"/>
      <c r="U50" s="3044"/>
      <c r="V50" s="3044"/>
      <c r="W50" s="142"/>
      <c r="X50" s="143"/>
      <c r="Y50" s="144"/>
      <c r="Z50" s="145">
        <f t="shared" si="88"/>
        <v>0</v>
      </c>
      <c r="AS50" s="18">
        <f t="shared" si="89"/>
        <v>0</v>
      </c>
    </row>
    <row r="51" spans="2:45" ht="19.5" customHeight="1">
      <c r="B51" s="1512">
        <v>3</v>
      </c>
      <c r="C51" s="1513"/>
      <c r="D51" s="834"/>
      <c r="E51" s="503"/>
      <c r="F51" s="834"/>
      <c r="G51" s="503"/>
      <c r="H51" s="834"/>
      <c r="I51" s="503"/>
      <c r="J51" s="834"/>
      <c r="K51" s="503"/>
      <c r="L51" s="834"/>
      <c r="M51" s="1513"/>
      <c r="N51" s="503"/>
      <c r="O51" s="1410"/>
      <c r="P51" s="1514">
        <f t="shared" si="86"/>
        <v>0</v>
      </c>
      <c r="Q51" s="1515"/>
      <c r="R51" s="1519">
        <f t="shared" si="87"/>
        <v>0</v>
      </c>
      <c r="S51" s="1517"/>
      <c r="U51" s="3045" t="s">
        <v>1604</v>
      </c>
      <c r="V51" s="3045"/>
      <c r="W51" s="142"/>
      <c r="X51" s="143"/>
      <c r="Y51" s="144"/>
      <c r="Z51" s="145">
        <f t="shared" si="88"/>
        <v>0</v>
      </c>
      <c r="AS51" s="18">
        <f t="shared" si="89"/>
        <v>0</v>
      </c>
    </row>
    <row r="52" spans="2:45" ht="19.5" customHeight="1">
      <c r="B52" s="1512">
        <v>4</v>
      </c>
      <c r="C52" s="1513"/>
      <c r="D52" s="834"/>
      <c r="E52" s="503"/>
      <c r="F52" s="834"/>
      <c r="G52" s="503"/>
      <c r="H52" s="834"/>
      <c r="I52" s="503"/>
      <c r="J52" s="834"/>
      <c r="K52" s="503"/>
      <c r="L52" s="834"/>
      <c r="M52" s="1513">
        <v>5</v>
      </c>
      <c r="N52" s="503">
        <v>18</v>
      </c>
      <c r="O52" s="1410">
        <v>5</v>
      </c>
      <c r="P52" s="1514">
        <f t="shared" si="86"/>
        <v>0</v>
      </c>
      <c r="Q52" s="1515"/>
      <c r="R52" s="1519">
        <f t="shared" si="87"/>
        <v>0</v>
      </c>
      <c r="S52" s="1517"/>
      <c r="U52" s="3046">
        <f>Summary!M16</f>
        <v>5.099798894841971</v>
      </c>
      <c r="V52" s="3046"/>
      <c r="W52" s="142"/>
      <c r="X52" s="143"/>
      <c r="Y52" s="144"/>
      <c r="Z52" s="145">
        <f t="shared" si="88"/>
        <v>0</v>
      </c>
      <c r="AS52" s="18">
        <f t="shared" si="89"/>
        <v>0</v>
      </c>
    </row>
    <row r="53" spans="2:45" ht="19.5" customHeight="1">
      <c r="B53" s="1512">
        <v>5</v>
      </c>
      <c r="C53" s="1513"/>
      <c r="D53" s="834"/>
      <c r="E53" s="503"/>
      <c r="F53" s="834"/>
      <c r="G53" s="503"/>
      <c r="H53" s="834"/>
      <c r="I53" s="503"/>
      <c r="J53" s="834"/>
      <c r="K53" s="503"/>
      <c r="L53" s="834"/>
      <c r="M53" s="1513"/>
      <c r="N53" s="503"/>
      <c r="O53" s="1410"/>
      <c r="P53" s="1514">
        <f t="shared" si="86"/>
        <v>0</v>
      </c>
      <c r="Q53" s="1515"/>
      <c r="R53" s="1519">
        <f t="shared" si="87"/>
        <v>0</v>
      </c>
      <c r="S53" s="1517"/>
      <c r="U53" s="3046"/>
      <c r="V53" s="3046"/>
      <c r="W53" s="1185"/>
      <c r="X53" s="1186"/>
      <c r="Y53" s="1187"/>
      <c r="Z53" s="1188">
        <f t="shared" si="88"/>
        <v>0</v>
      </c>
      <c r="AS53" s="18">
        <f t="shared" si="89"/>
        <v>0</v>
      </c>
    </row>
    <row r="54" spans="2:45" ht="19.5" customHeight="1">
      <c r="B54" s="1512">
        <v>6</v>
      </c>
      <c r="C54" s="1513"/>
      <c r="D54" s="834"/>
      <c r="E54" s="503"/>
      <c r="F54" s="1418"/>
      <c r="G54" s="1513"/>
      <c r="H54" s="834"/>
      <c r="I54" s="503"/>
      <c r="J54" s="834"/>
      <c r="K54" s="503"/>
      <c r="L54" s="834"/>
      <c r="M54" s="1513"/>
      <c r="N54" s="1520"/>
      <c r="O54" s="1410"/>
      <c r="P54" s="1514">
        <f t="shared" si="86"/>
        <v>0</v>
      </c>
      <c r="Q54" s="1515"/>
      <c r="R54" s="1519">
        <f t="shared" si="87"/>
        <v>0</v>
      </c>
      <c r="S54" s="1517"/>
      <c r="W54" s="142"/>
      <c r="X54" s="143"/>
      <c r="Y54" s="144"/>
      <c r="Z54" s="145">
        <f t="shared" si="88"/>
        <v>0</v>
      </c>
      <c r="AS54" s="18">
        <f t="shared" si="89"/>
        <v>0</v>
      </c>
    </row>
    <row r="55" spans="2:45" ht="19.5" customHeight="1">
      <c r="B55" s="1512">
        <v>7</v>
      </c>
      <c r="C55" s="1513"/>
      <c r="D55" s="834"/>
      <c r="E55" s="503"/>
      <c r="F55" s="1418"/>
      <c r="G55" s="503"/>
      <c r="H55" s="834"/>
      <c r="I55" s="503"/>
      <c r="J55" s="834"/>
      <c r="K55" s="503"/>
      <c r="L55" s="834"/>
      <c r="M55" s="1513"/>
      <c r="N55" s="1520"/>
      <c r="O55" s="1410"/>
      <c r="P55" s="1514">
        <f t="shared" si="86"/>
        <v>0</v>
      </c>
      <c r="Q55" s="1515"/>
      <c r="R55" s="1519">
        <f t="shared" si="87"/>
        <v>0</v>
      </c>
      <c r="S55" s="1517"/>
      <c r="W55" s="142"/>
      <c r="X55" s="143"/>
      <c r="Y55" s="144"/>
      <c r="Z55" s="145">
        <f t="shared" si="88"/>
        <v>0</v>
      </c>
      <c r="AS55" s="18">
        <f t="shared" si="89"/>
        <v>0</v>
      </c>
    </row>
    <row r="56" spans="2:45" ht="19.5" customHeight="1">
      <c r="B56" s="1512">
        <v>8</v>
      </c>
      <c r="C56" s="1513"/>
      <c r="D56" s="834"/>
      <c r="E56" s="503"/>
      <c r="F56" s="834"/>
      <c r="G56" s="503"/>
      <c r="H56" s="834"/>
      <c r="I56" s="503"/>
      <c r="J56" s="834"/>
      <c r="K56" s="503"/>
      <c r="L56" s="834"/>
      <c r="M56" s="1513"/>
      <c r="N56" s="503"/>
      <c r="O56" s="1410"/>
      <c r="P56" s="1514">
        <f t="shared" si="86"/>
        <v>0</v>
      </c>
      <c r="Q56" s="1515"/>
      <c r="R56" s="1519">
        <f t="shared" si="87"/>
        <v>0</v>
      </c>
      <c r="S56" s="1517"/>
      <c r="U56" s="18">
        <f>1718/60</f>
        <v>28.633333333333333</v>
      </c>
      <c r="W56" s="142"/>
      <c r="X56" s="143"/>
      <c r="Y56" s="144"/>
      <c r="Z56" s="145">
        <f t="shared" si="88"/>
        <v>0</v>
      </c>
      <c r="AS56" s="18">
        <f t="shared" si="89"/>
        <v>0</v>
      </c>
    </row>
    <row r="57" spans="2:45" ht="19.5" customHeight="1">
      <c r="B57" s="1512">
        <v>9</v>
      </c>
      <c r="C57" s="1513"/>
      <c r="D57" s="834"/>
      <c r="E57" s="503"/>
      <c r="F57" s="834"/>
      <c r="G57" s="503"/>
      <c r="H57" s="834"/>
      <c r="I57" s="503"/>
      <c r="J57" s="834"/>
      <c r="K57" s="503"/>
      <c r="L57" s="834"/>
      <c r="M57" s="1513"/>
      <c r="N57" s="503"/>
      <c r="O57" s="1410"/>
      <c r="P57" s="1514">
        <f t="shared" si="86"/>
        <v>0</v>
      </c>
      <c r="Q57" s="1515"/>
      <c r="R57" s="1519">
        <f t="shared" si="87"/>
        <v>0</v>
      </c>
      <c r="S57" s="1517"/>
      <c r="W57" s="1195"/>
      <c r="X57" s="143"/>
      <c r="Y57" s="144"/>
      <c r="Z57" s="145">
        <f t="shared" si="88"/>
        <v>0</v>
      </c>
      <c r="AS57" s="18">
        <f t="shared" si="89"/>
        <v>0</v>
      </c>
    </row>
    <row r="58" spans="2:45" ht="19.5" customHeight="1">
      <c r="B58" s="1512">
        <v>10</v>
      </c>
      <c r="C58" s="1513"/>
      <c r="D58" s="834"/>
      <c r="E58" s="503"/>
      <c r="F58" s="834"/>
      <c r="G58" s="503"/>
      <c r="H58" s="834"/>
      <c r="I58" s="503"/>
      <c r="J58" s="834"/>
      <c r="K58" s="503"/>
      <c r="L58" s="834"/>
      <c r="M58" s="1513"/>
      <c r="N58" s="503"/>
      <c r="O58" s="1410"/>
      <c r="P58" s="1514">
        <f t="shared" si="86"/>
        <v>0</v>
      </c>
      <c r="Q58" s="1515"/>
      <c r="R58" s="1519">
        <f t="shared" si="87"/>
        <v>0</v>
      </c>
      <c r="S58" s="1517"/>
      <c r="W58" s="1185"/>
      <c r="X58" s="1186"/>
      <c r="Y58" s="1187"/>
      <c r="Z58" s="1188">
        <f t="shared" si="88"/>
        <v>0</v>
      </c>
      <c r="AS58" s="18">
        <f t="shared" si="89"/>
        <v>0</v>
      </c>
    </row>
    <row r="59" spans="2:45" ht="19.5" customHeight="1">
      <c r="B59" s="1521">
        <v>11</v>
      </c>
      <c r="C59" s="1391"/>
      <c r="D59" s="1392"/>
      <c r="E59" s="1395"/>
      <c r="F59" s="1392"/>
      <c r="G59" s="1395"/>
      <c r="H59" s="1392"/>
      <c r="I59" s="1395"/>
      <c r="J59" s="1392"/>
      <c r="K59" s="1395"/>
      <c r="L59" s="1392"/>
      <c r="M59" s="1391"/>
      <c r="N59" s="1395"/>
      <c r="O59" s="1397"/>
      <c r="P59" s="1522">
        <f t="shared" si="86"/>
        <v>0</v>
      </c>
      <c r="Q59" s="1523"/>
      <c r="R59" s="1524">
        <f t="shared" si="87"/>
        <v>0</v>
      </c>
      <c r="S59" s="1662"/>
      <c r="U59" s="3047">
        <f>SUM(CN42:DD42)</f>
        <v>0</v>
      </c>
      <c r="V59" s="3047"/>
      <c r="W59" s="1527"/>
      <c r="X59" s="1528">
        <f>V45-U59</f>
        <v>0</v>
      </c>
      <c r="Y59" s="1529"/>
      <c r="Z59" s="1529"/>
      <c r="AS59" s="18">
        <f t="shared" si="89"/>
        <v>0</v>
      </c>
    </row>
    <row r="60" spans="2:45" ht="21.75" customHeight="1">
      <c r="B60" s="1663" t="s">
        <v>1271</v>
      </c>
      <c r="C60" s="1534"/>
      <c r="D60" s="1534"/>
      <c r="E60" s="1532"/>
      <c r="F60" s="1533"/>
      <c r="G60" s="1534"/>
      <c r="H60" s="1143"/>
      <c r="I60" s="1143"/>
      <c r="J60" s="1143"/>
      <c r="K60" s="1143"/>
      <c r="L60" s="1143"/>
      <c r="M60" s="1143"/>
      <c r="N60" s="1143"/>
      <c r="O60" s="2803" t="s">
        <v>721</v>
      </c>
      <c r="P60" s="2803"/>
      <c r="Q60" s="1145" t="s">
        <v>1272</v>
      </c>
      <c r="R60" s="351"/>
      <c r="AA60" s="18"/>
    </row>
    <row r="61" spans="2:45" ht="21.75" customHeight="1">
      <c r="B61" s="396"/>
      <c r="C61" s="1536"/>
      <c r="D61" s="1537"/>
      <c r="E61" s="1538"/>
      <c r="F61" s="1539"/>
      <c r="G61" s="1533"/>
      <c r="H61" s="1143"/>
      <c r="I61" s="1143"/>
      <c r="J61" s="1143"/>
      <c r="K61" s="1143"/>
      <c r="L61" s="1143"/>
      <c r="M61" s="1540"/>
      <c r="N61" s="1143"/>
      <c r="O61" s="924" t="s">
        <v>1274</v>
      </c>
      <c r="P61" s="925"/>
      <c r="Q61" s="926"/>
      <c r="AA61" s="18"/>
    </row>
    <row r="62" spans="2:45" ht="21.75" customHeight="1">
      <c r="B62" s="396"/>
      <c r="C62" s="1536"/>
      <c r="D62" s="1537"/>
      <c r="E62" s="1541"/>
      <c r="F62" s="1542"/>
      <c r="G62" s="1537"/>
      <c r="H62" s="1143"/>
      <c r="I62" s="1143"/>
      <c r="J62" s="1143"/>
      <c r="K62" s="1143"/>
      <c r="L62" s="1143"/>
      <c r="M62" s="1143"/>
      <c r="N62" s="1143"/>
      <c r="O62" s="932" t="s">
        <v>1276</v>
      </c>
      <c r="P62" s="933">
        <f>L70</f>
        <v>0</v>
      </c>
      <c r="Q62" s="934">
        <f>O70</f>
        <v>0</v>
      </c>
      <c r="AA62" s="18"/>
    </row>
    <row r="63" spans="2:45" ht="21.75" customHeight="1">
      <c r="B63" s="396"/>
      <c r="C63" s="1545"/>
      <c r="D63" s="1537"/>
      <c r="E63" s="1537"/>
      <c r="F63" s="1534"/>
      <c r="G63" s="1537"/>
      <c r="H63" s="1143"/>
      <c r="I63" s="1143"/>
      <c r="J63" s="1143"/>
      <c r="K63" s="1143"/>
      <c r="L63" s="1143"/>
      <c r="M63" s="1143"/>
      <c r="N63" s="1143"/>
      <c r="O63" s="1143"/>
      <c r="P63" s="1546"/>
      <c r="AA63" s="18"/>
    </row>
    <row r="64" spans="2:45" ht="31.5" customHeight="1">
      <c r="B64" s="1547" t="s">
        <v>1280</v>
      </c>
      <c r="C64" s="1163" t="s">
        <v>1281</v>
      </c>
      <c r="D64" s="943"/>
      <c r="E64" s="943"/>
      <c r="F64" s="943"/>
      <c r="G64" s="943"/>
      <c r="H64" s="943"/>
      <c r="I64" s="943"/>
      <c r="J64" s="943"/>
      <c r="K64" s="943" t="s">
        <v>1282</v>
      </c>
      <c r="L64" s="3009" t="str">
        <f>IF(SUM(L65:L69)=Q42,"Good","Missing Concrete!!!")</f>
        <v>Good</v>
      </c>
      <c r="M64" s="3009"/>
      <c r="N64" s="943"/>
      <c r="O64" s="943"/>
      <c r="P64" s="945"/>
      <c r="R64" s="961" t="s">
        <v>1284</v>
      </c>
      <c r="S64" s="946" t="s">
        <v>1283</v>
      </c>
      <c r="T64" s="1098"/>
      <c r="U64" s="818" t="s">
        <v>835</v>
      </c>
      <c r="V64" s="947"/>
      <c r="W64" s="948" t="s">
        <v>518</v>
      </c>
      <c r="X64" s="947"/>
      <c r="Y64" s="949"/>
      <c r="Z64" s="1166"/>
    </row>
    <row r="65" spans="2:47" ht="21.75" customHeight="1">
      <c r="B65" s="1548">
        <v>1</v>
      </c>
      <c r="C65" s="18" t="str">
        <f>IF(B65=1,Pricing!F$2,IF(B65=2,Pricing!G$2,IF(B65=3,Pricing!H$2,IF(B65=4,Pricing!I$2,IF(B65=5,Pricing!J$2,IF(B65=6,Pricing!K$2,IF(B65=7,Pricing!L$2,IF(B65=8,Pricing!M$2,IF(B65=9,Pricing!N$2,IF(B65=10,Pricing!O$2,0))))))))))</f>
        <v>3,000 PSI 5sk /Ash and Air</v>
      </c>
      <c r="D65" s="1549"/>
      <c r="E65" s="1549"/>
      <c r="F65" s="1549"/>
      <c r="G65" s="1550">
        <f>IF(B65=1,Pricing!F$3,IF(B65=2,Pricing!G$3,IF(B65=3,Pricing!H$3,IF(B65=4,Pricing!I$3,IF(B65=5,Pricing!J$3,IF(B65=6,Pricing!K$3,IF(B65=7,Pricing!L$3,IF(B65=8,Pricing!M$3,IF(B65=9,Pricing!N$3,IF(B65=10,Pricing!O$3,0))))))))))</f>
        <v>134</v>
      </c>
      <c r="H65" s="1549" t="s">
        <v>1285</v>
      </c>
      <c r="I65" s="1551"/>
      <c r="J65" s="1552"/>
      <c r="K65" s="3013">
        <v>0.06</v>
      </c>
      <c r="L65" s="2957">
        <f>IF(B65=1,BS$42,IF(B65=2,BT$42,IF(B65=3,BU$42,IF(B65=4,BV$42,IF(B65=5,BW$42,IF(B65=6,BX$42,IF(B65=7,BY$42,IF(B65=8,BZ$42,IF(B65=9,CA$42,IF(B65=10,CB$42))))))))))</f>
        <v>0</v>
      </c>
      <c r="M65" s="2957"/>
      <c r="N65" s="958" t="s">
        <v>1286</v>
      </c>
      <c r="O65" s="2958">
        <f>L65*G65*(IF(W$44="N",1+Y$44,1))</f>
        <v>0</v>
      </c>
      <c r="P65" s="2958"/>
      <c r="R65" s="1038"/>
      <c r="S65" s="859"/>
      <c r="T65" s="1176"/>
      <c r="U65" s="77" t="s">
        <v>1415</v>
      </c>
      <c r="W65" s="1553">
        <v>1</v>
      </c>
      <c r="X65" s="1174" t="s">
        <v>1605</v>
      </c>
      <c r="Y65" s="1554">
        <f>IF(I79=0,0,Z110/I79)</f>
        <v>0</v>
      </c>
      <c r="Z65" s="1555"/>
      <c r="AT65" s="626"/>
      <c r="AU65" s="626"/>
    </row>
    <row r="66" spans="2:47" ht="21.75" customHeight="1">
      <c r="B66" s="1556">
        <v>3</v>
      </c>
      <c r="C66" s="18" t="str">
        <f>IF(B66=1,Pricing!F$2,IF(B66=2,Pricing!G$2,IF(B66=3,Pricing!H$2,IF(B66=4,Pricing!I$2,IF(B66=5,Pricing!J$2,IF(B66=6,Pricing!K$2,IF(B66=7,Pricing!L$2,IF(B66=8,Pricing!M$2,IF(B66=9,Pricing!N$2,IF(B66=10,Pricing!O$2,0))))))))))</f>
        <v>3,500 PSI 5.5sk /Ash and Air</v>
      </c>
      <c r="G66" s="1182">
        <f>IF(B66=1,Pricing!F$3,IF(B66=2,Pricing!G$3,IF(B66=3,Pricing!H$3,IF(B66=4,Pricing!I$3,IF(B66=5,Pricing!J$3,IF(B66=6,Pricing!K$3,IF(B66=7,Pricing!L$3,IF(B66=8,Pricing!M$3,IF(B66=9,Pricing!N$3,IF(B66=10,Pricing!O$3,0))))))))))</f>
        <v>150</v>
      </c>
      <c r="H66" s="18" t="s">
        <v>1285</v>
      </c>
      <c r="I66" s="1557"/>
      <c r="J66" s="1558"/>
      <c r="K66" s="3013"/>
      <c r="L66" s="3010">
        <f>IF(B66=1,BS$42,IF(B66=2,BT$42,IF(B66=3,BU$42,IF(B66=4,BV$42,IF(B66=5,BW$42,IF(B66=6,BX$42,IF(B66=7,BY$42,IF(B66=8,BZ$42,IF(B66=9,CA$42,IF(B66=10,CB$42))))))))))</f>
        <v>0</v>
      </c>
      <c r="M66" s="3010"/>
      <c r="N66" s="17" t="s">
        <v>1286</v>
      </c>
      <c r="O66" s="2953">
        <f>L66*G66*(IF(W$44="N",1+Y$44,1))</f>
        <v>0</v>
      </c>
      <c r="P66" s="2953"/>
      <c r="R66" s="961" t="s">
        <v>1069</v>
      </c>
      <c r="S66" s="859" t="s">
        <v>526</v>
      </c>
      <c r="T66" s="77"/>
      <c r="V66" s="1176">
        <f>(V69*3+I83)*W65</f>
        <v>0</v>
      </c>
      <c r="W66" s="77" t="s">
        <v>1259</v>
      </c>
      <c r="X66" s="1174">
        <f>Pricing!Q4</f>
        <v>0.859375</v>
      </c>
      <c r="Y66" s="77" t="s">
        <v>527</v>
      </c>
      <c r="Z66" s="1559">
        <f t="shared" ref="Z66:Z106" si="90">IF(W$44="Y",V66*X66,V66*X66*(1+Y$44))</f>
        <v>0</v>
      </c>
      <c r="AA66" s="351"/>
      <c r="AT66" s="626"/>
      <c r="AU66" s="626"/>
    </row>
    <row r="67" spans="2:47" ht="21.75" customHeight="1">
      <c r="B67" s="1560">
        <v>4</v>
      </c>
      <c r="C67" s="18" t="str">
        <f>IF(B67=1,Pricing!F$2,IF(B67=2,Pricing!G$2,IF(B67=3,Pricing!H$2,IF(B67=4,Pricing!I$2,IF(B67=5,Pricing!J$2,IF(B67=6,Pricing!K$2,IF(B67=7,Pricing!L$2,IF(B67=8,Pricing!M$2,IF(B67=9,Pricing!N$2,IF(B67=10,Pricing!O$2,0))))))))))</f>
        <v>3,500 PSI /Ash No Air</v>
      </c>
      <c r="G67" s="1182">
        <f>IF(B67=1,Pricing!F$3,IF(B67=2,Pricing!G$3,IF(B67=3,Pricing!H$3,IF(B67=4,Pricing!I$3,IF(B67=5,Pricing!J$3,IF(B67=6,Pricing!K$3,IF(B67=7,Pricing!L$3,IF(B67=8,Pricing!M$3,IF(B67=9,Pricing!N$3,IF(B67=10,Pricing!O$3,0))))))))))</f>
        <v>150</v>
      </c>
      <c r="I67" s="1557"/>
      <c r="J67" s="1558"/>
      <c r="K67" s="3013"/>
      <c r="L67" s="3010">
        <f>IF(B67=1,BS$42,IF(B67=2,BT$42,IF(B67=3,BU$42,IF(B67=4,BV$42,IF(B67=5,BW$42,IF(B67=6,BX$42,IF(B67=7,BY$42,IF(B67=8,BZ$42,IF(B67=9,CA$42,IF(B67=10,CB$42))))))))))</f>
        <v>0</v>
      </c>
      <c r="M67" s="3010"/>
      <c r="N67" s="17" t="s">
        <v>1286</v>
      </c>
      <c r="O67" s="2953">
        <f>L67*G67*(IF(W$44="N",1+Y$44,1))</f>
        <v>0</v>
      </c>
      <c r="P67" s="2953"/>
      <c r="R67" s="961"/>
      <c r="S67" s="859"/>
      <c r="T67" s="77"/>
      <c r="V67" s="1176"/>
      <c r="W67" s="77"/>
      <c r="X67" s="1174"/>
      <c r="Y67" s="77"/>
      <c r="Z67" s="1559">
        <f t="shared" si="90"/>
        <v>0</v>
      </c>
      <c r="AA67" s="351"/>
      <c r="AT67" s="626"/>
      <c r="AU67" s="626"/>
    </row>
    <row r="68" spans="2:47" ht="21.75" customHeight="1">
      <c r="B68" s="1560">
        <v>7</v>
      </c>
      <c r="C68" s="18" t="str">
        <f>IF(B68=1,Pricing!F$2,IF(B68=2,Pricing!G$2,IF(B68=3,Pricing!H$2,IF(B68=4,Pricing!I$2,IF(B68=5,Pricing!J$2,IF(B68=6,Pricing!K$2,IF(B68=7,Pricing!L$2,IF(B68=8,Pricing!M$2,IF(B68=9,Pricing!N$2,IF(B68=10,Pricing!O$2,0))))))))))</f>
        <v>4,500 PSI / Ash and Air</v>
      </c>
      <c r="G68" s="1182">
        <f>IF(B68=1,Pricing!F$3,IF(B68=2,Pricing!G$3,IF(B68=3,Pricing!H$3,IF(B68=4,Pricing!I$3,IF(B68=5,Pricing!J$3,IF(B68=6,Pricing!K$3,IF(B68=7,Pricing!L$3,IF(B68=8,Pricing!M$3,IF(B68=9,Pricing!N$3,IF(B68=10,Pricing!O$3,0))))))))))</f>
        <v>160</v>
      </c>
      <c r="I68" s="1557"/>
      <c r="J68" s="1558"/>
      <c r="K68" s="3013"/>
      <c r="L68" s="3010">
        <f>IF(B68=1,BS$42,IF(B68=2,BT$42,IF(B68=3,BU$42,IF(B68=4,BV$42,IF(B68=5,BW$42,IF(B68=6,BX$42,IF(B68=7,BY$42,IF(B68=8,BZ$42,IF(B68=9,CA$42,IF(B68=10,CB$42))))))))))</f>
        <v>0</v>
      </c>
      <c r="M68" s="3010"/>
      <c r="N68" s="17" t="s">
        <v>1286</v>
      </c>
      <c r="O68" s="2953">
        <f>L68*G68*(IF(W$44="N",1+Y$44,1))</f>
        <v>0</v>
      </c>
      <c r="P68" s="2953"/>
      <c r="R68" s="961"/>
      <c r="S68" s="859"/>
      <c r="T68" s="77"/>
      <c r="V68" s="1176"/>
      <c r="W68" s="77"/>
      <c r="X68" s="1174"/>
      <c r="Y68" s="77"/>
      <c r="Z68" s="1559">
        <f t="shared" si="90"/>
        <v>0</v>
      </c>
      <c r="AA68" s="351"/>
      <c r="AT68" s="626"/>
      <c r="AU68" s="626"/>
    </row>
    <row r="69" spans="2:47" ht="21.75" customHeight="1">
      <c r="B69" s="1561">
        <v>8</v>
      </c>
      <c r="C69" s="966" t="str">
        <f>IF(B69=1,Pricing!F$2,IF(B69=2,Pricing!G$2,IF(B69=3,Pricing!H$2,IF(B69=4,Pricing!I$2,IF(B69=5,Pricing!J$2,IF(B69=6,Pricing!K$2,IF(B69=7,Pricing!L$2,IF(B69=8,Pricing!M$2,IF(B69=9,Pricing!N$2,IF(B69=10,Pricing!O$2,0))))))))))</f>
        <v>5,000 PSI / Ash no Air</v>
      </c>
      <c r="D69" s="373"/>
      <c r="E69" s="373"/>
      <c r="F69" s="373"/>
      <c r="G69" s="1180">
        <f>IF(B69=1,Pricing!F$3,IF(B69=2,Pricing!G$3,IF(B69=3,Pricing!H$3,IF(B69=4,Pricing!I$3,IF(B69=5,Pricing!J$3,IF(B69=6,Pricing!K$3,IF(B69=7,Pricing!L$3,IF(B69=8,Pricing!M$3,IF(B69=9,Pricing!N$3,IF(B69=10,Pricing!O$3,0))))))))))</f>
        <v>175</v>
      </c>
      <c r="H69" s="373" t="s">
        <v>1285</v>
      </c>
      <c r="I69" s="1562"/>
      <c r="J69" s="954"/>
      <c r="K69" s="3013"/>
      <c r="L69" s="3010">
        <f>IF(B69=1,BS$42,IF(B69=2,BT$42,IF(B69=3,BU$42,IF(B69=4,BV$42,IF(B69=5,BW$42,IF(B69=6,BX$42,IF(B69=7,BY$42,IF(B69=8,BZ$42,IF(B69=9,CA$42,IF(B69=10,CB$42))))))))))</f>
        <v>0</v>
      </c>
      <c r="M69" s="3010"/>
      <c r="N69" s="967" t="s">
        <v>1286</v>
      </c>
      <c r="O69" s="3048">
        <f>L69*G69*(IF(W$44="N",1+Y$44,1))</f>
        <v>0</v>
      </c>
      <c r="P69" s="3048"/>
      <c r="R69" s="1038" t="s">
        <v>1069</v>
      </c>
      <c r="S69" s="859" t="s">
        <v>534</v>
      </c>
      <c r="T69" s="77"/>
      <c r="V69" s="1176">
        <f>K42*W65</f>
        <v>0</v>
      </c>
      <c r="W69" s="77" t="s">
        <v>1259</v>
      </c>
      <c r="X69" s="1174">
        <f>Pricing!Q5</f>
        <v>1.4453125</v>
      </c>
      <c r="Y69" s="77" t="s">
        <v>527</v>
      </c>
      <c r="Z69" s="1555">
        <f t="shared" si="90"/>
        <v>0</v>
      </c>
      <c r="AT69" s="626"/>
      <c r="AU69" s="626"/>
    </row>
    <row r="70" spans="2:47" ht="21.75" customHeight="1">
      <c r="B70" s="1563" t="str">
        <f>Summary!V60</f>
        <v>Import</v>
      </c>
      <c r="C70" s="1177" t="s">
        <v>1287</v>
      </c>
      <c r="D70" s="1177"/>
      <c r="E70" s="1177"/>
      <c r="F70" s="1177"/>
      <c r="G70" s="969">
        <f>Pricing!D23</f>
        <v>0.65</v>
      </c>
      <c r="H70" s="18" t="s">
        <v>555</v>
      </c>
      <c r="I70" s="793"/>
      <c r="J70" s="1564"/>
      <c r="K70" s="1565">
        <v>0.1</v>
      </c>
      <c r="L70" s="2957">
        <f>SUM(BM10:BM41)+SUM(BO10:BO41)</f>
        <v>0</v>
      </c>
      <c r="M70" s="2957"/>
      <c r="N70" s="18" t="s">
        <v>1288</v>
      </c>
      <c r="O70" s="2958">
        <f>G70*L70*(IF(W44="N",1+Y44,1))</f>
        <v>0</v>
      </c>
      <c r="P70" s="2958"/>
      <c r="R70" s="1038" t="s">
        <v>1069</v>
      </c>
      <c r="S70" s="859" t="s">
        <v>1606</v>
      </c>
      <c r="T70" s="77"/>
      <c r="V70" s="1176">
        <f>SUM(W10:X41)*3</f>
        <v>0</v>
      </c>
      <c r="W70" s="77" t="s">
        <v>1259</v>
      </c>
      <c r="X70" s="1174">
        <f>X66*0.65</f>
        <v>0.55859375</v>
      </c>
      <c r="Y70" s="77" t="s">
        <v>527</v>
      </c>
      <c r="Z70" s="1555">
        <f t="shared" si="90"/>
        <v>0</v>
      </c>
      <c r="AP70" s="626"/>
      <c r="AQ70" s="626"/>
      <c r="AR70" s="626"/>
      <c r="AS70" s="626"/>
      <c r="AT70" s="626"/>
      <c r="AU70" s="626"/>
    </row>
    <row r="71" spans="2:47" ht="21.75" customHeight="1">
      <c r="B71" s="482" t="s">
        <v>598</v>
      </c>
      <c r="C71" s="1177"/>
      <c r="D71" s="1177"/>
      <c r="E71" s="1177"/>
      <c r="F71" s="1177"/>
      <c r="G71" s="1182">
        <v>0.26</v>
      </c>
      <c r="H71" s="18" t="s">
        <v>600</v>
      </c>
      <c r="I71" s="793"/>
      <c r="J71" s="1564"/>
      <c r="K71" s="1184">
        <v>0.1</v>
      </c>
      <c r="L71" s="3049">
        <f>BR42*(1*1+K71)</f>
        <v>0</v>
      </c>
      <c r="M71" s="3049"/>
      <c r="N71" s="18" t="s">
        <v>1418</v>
      </c>
      <c r="O71" s="2953">
        <f>G71*L71*(IF(W$44="N",1+Y$44,1))</f>
        <v>0</v>
      </c>
      <c r="P71" s="2953"/>
      <c r="R71" s="1038" t="s">
        <v>1069</v>
      </c>
      <c r="S71" s="859" t="s">
        <v>538</v>
      </c>
      <c r="T71" s="77"/>
      <c r="V71" s="1176">
        <f>CE42*W65</f>
        <v>0</v>
      </c>
      <c r="W71" s="77" t="s">
        <v>1259</v>
      </c>
      <c r="X71" s="1174">
        <f>Pricing!Q7</f>
        <v>1.09375</v>
      </c>
      <c r="Y71" s="77" t="s">
        <v>527</v>
      </c>
      <c r="Z71" s="1555">
        <f t="shared" si="90"/>
        <v>0</v>
      </c>
      <c r="AP71" s="626"/>
      <c r="AQ71" s="626"/>
      <c r="AR71" s="626"/>
      <c r="AS71" s="626"/>
      <c r="AT71" s="626"/>
      <c r="AU71" s="626"/>
    </row>
    <row r="72" spans="2:47" ht="21.75" customHeight="1">
      <c r="B72" s="482" t="s">
        <v>1419</v>
      </c>
      <c r="C72" s="3050" t="s">
        <v>1607</v>
      </c>
      <c r="D72" s="3050"/>
      <c r="E72" s="3050" t="s">
        <v>1608</v>
      </c>
      <c r="F72" s="3050"/>
      <c r="G72" s="1182">
        <v>0.7</v>
      </c>
      <c r="H72" s="1035" t="s">
        <v>600</v>
      </c>
      <c r="I72" s="747" t="s">
        <v>1291</v>
      </c>
      <c r="J72" s="3051"/>
      <c r="K72" s="3051"/>
      <c r="L72" s="3052">
        <f>CD42*0.4</f>
        <v>0</v>
      </c>
      <c r="M72" s="3052"/>
      <c r="N72" s="18" t="s">
        <v>1288</v>
      </c>
      <c r="O72" s="2792">
        <f>IF(J72=0,CD42*G72*IF(W44="n",(1+Y44),1),J72)</f>
        <v>0</v>
      </c>
      <c r="P72" s="2792"/>
      <c r="R72" s="1038" t="s">
        <v>1069</v>
      </c>
      <c r="S72" s="859" t="s">
        <v>1292</v>
      </c>
      <c r="T72" s="77"/>
      <c r="V72" s="1176">
        <f>ROUNDUP(SUM(K10:K41)*0.03/16,0)</f>
        <v>0</v>
      </c>
      <c r="W72" s="77" t="s">
        <v>1609</v>
      </c>
      <c r="X72" s="1174">
        <f>Pricing!Q9</f>
        <v>20</v>
      </c>
      <c r="Y72" s="77" t="s">
        <v>1610</v>
      </c>
      <c r="Z72" s="1555">
        <f t="shared" si="90"/>
        <v>0</v>
      </c>
      <c r="AP72" s="626"/>
      <c r="AQ72" s="626"/>
      <c r="AR72" s="626"/>
      <c r="AS72" s="626"/>
      <c r="AT72" s="626"/>
      <c r="AU72" s="626"/>
    </row>
    <row r="73" spans="2:47" ht="21.75" customHeight="1">
      <c r="B73" s="1566" t="s">
        <v>1611</v>
      </c>
      <c r="C73" s="1567"/>
      <c r="D73" s="1567"/>
      <c r="E73" s="1567"/>
      <c r="F73" s="1567"/>
      <c r="G73" s="1180">
        <v>14</v>
      </c>
      <c r="H73" s="373" t="s">
        <v>1285</v>
      </c>
      <c r="I73" s="1568"/>
      <c r="J73" s="1569"/>
      <c r="K73" s="1570"/>
      <c r="L73" s="3053">
        <f>CJ42</f>
        <v>0</v>
      </c>
      <c r="M73" s="3053"/>
      <c r="N73" s="373" t="s">
        <v>1286</v>
      </c>
      <c r="O73" s="3048">
        <f>G73*L73*(IF(W$44="N",1+Y$44,1))</f>
        <v>0</v>
      </c>
      <c r="P73" s="3048"/>
      <c r="R73" s="1038" t="s">
        <v>1069</v>
      </c>
      <c r="S73" s="859" t="s">
        <v>540</v>
      </c>
      <c r="T73" s="77"/>
      <c r="V73" s="1176">
        <f>I83/32*W65*1.1</f>
        <v>0</v>
      </c>
      <c r="W73" s="77" t="s">
        <v>1420</v>
      </c>
      <c r="X73" s="1174">
        <f>Pricing!Q8</f>
        <v>74.75</v>
      </c>
      <c r="Y73" s="77" t="s">
        <v>541</v>
      </c>
      <c r="Z73" s="1555">
        <f t="shared" si="90"/>
        <v>0</v>
      </c>
      <c r="AP73" s="626"/>
      <c r="AQ73" s="626"/>
      <c r="AR73" s="626"/>
      <c r="AS73" s="626"/>
      <c r="AT73" s="626"/>
      <c r="AU73" s="626"/>
    </row>
    <row r="74" spans="2:47" ht="21.75" customHeight="1">
      <c r="B74" s="574" t="s">
        <v>1612</v>
      </c>
      <c r="E74" s="3054" t="s">
        <v>1613</v>
      </c>
      <c r="F74" s="1571"/>
      <c r="G74" s="1572">
        <v>1</v>
      </c>
      <c r="H74" s="18" t="s">
        <v>1259</v>
      </c>
      <c r="I74" s="793"/>
      <c r="J74" s="1564"/>
      <c r="K74" s="1573">
        <v>0.1</v>
      </c>
      <c r="L74" s="3055"/>
      <c r="M74" s="3055"/>
      <c r="N74" s="18" t="s">
        <v>1418</v>
      </c>
      <c r="O74" s="2958">
        <f>L74*G74*(IF(W$44="N",1+Y$44,1))</f>
        <v>0</v>
      </c>
      <c r="P74" s="2958"/>
      <c r="R74" s="1038" t="s">
        <v>1069</v>
      </c>
      <c r="S74" s="859" t="s">
        <v>1298</v>
      </c>
      <c r="T74" s="77"/>
      <c r="V74" s="1176">
        <f>ROUND(V71/25,0)</f>
        <v>0</v>
      </c>
      <c r="W74" s="77" t="s">
        <v>1299</v>
      </c>
      <c r="X74" s="1174">
        <f>Pricing!Q15</f>
        <v>24</v>
      </c>
      <c r="Y74" s="77" t="s">
        <v>1300</v>
      </c>
      <c r="Z74" s="1555">
        <f t="shared" si="90"/>
        <v>0</v>
      </c>
      <c r="AP74" s="626"/>
      <c r="AQ74" s="626"/>
      <c r="AR74" s="626"/>
      <c r="AS74" s="626"/>
      <c r="AT74" s="626"/>
      <c r="AU74" s="626"/>
    </row>
    <row r="75" spans="2:47" ht="23.25" customHeight="1">
      <c r="B75" s="574" t="s">
        <v>1614</v>
      </c>
      <c r="E75" s="3054"/>
      <c r="F75" s="1060" t="s">
        <v>1047</v>
      </c>
      <c r="G75" s="1572">
        <v>1.35</v>
      </c>
      <c r="H75" s="18" t="s">
        <v>600</v>
      </c>
      <c r="K75" s="1574">
        <v>0.1</v>
      </c>
      <c r="L75" s="3056">
        <f>IF(F75="Y",SUM(D$42)*(1+K$75),0)</f>
        <v>0</v>
      </c>
      <c r="M75" s="3056"/>
      <c r="N75" s="18" t="s">
        <v>1418</v>
      </c>
      <c r="O75" s="2953">
        <f>L75*G75*(IF(W$44="N",1+Y$44,1))</f>
        <v>0</v>
      </c>
      <c r="P75" s="2953"/>
      <c r="R75" s="1038" t="s">
        <v>1069</v>
      </c>
      <c r="S75" s="859" t="s">
        <v>561</v>
      </c>
      <c r="T75" s="77"/>
      <c r="V75" s="1176">
        <f>ROUNDUP((SUM(K10:K41))*1.25/500,0)</f>
        <v>0</v>
      </c>
      <c r="W75" s="77" t="s">
        <v>1303</v>
      </c>
      <c r="X75" s="1174">
        <f>Pricing!Q16</f>
        <v>68.2</v>
      </c>
      <c r="Y75" s="77" t="s">
        <v>562</v>
      </c>
      <c r="Z75" s="1555">
        <f t="shared" si="90"/>
        <v>0</v>
      </c>
      <c r="AP75" s="626"/>
      <c r="AQ75" s="626"/>
      <c r="AR75" s="626"/>
      <c r="AS75" s="626"/>
      <c r="AT75" s="626"/>
      <c r="AU75" s="626" t="s">
        <v>860</v>
      </c>
    </row>
    <row r="76" spans="2:47" ht="21.75" customHeight="1">
      <c r="B76" s="574" t="s">
        <v>1615</v>
      </c>
      <c r="E76" s="3054"/>
      <c r="F76" s="1060" t="s">
        <v>1047</v>
      </c>
      <c r="G76" s="1197">
        <v>0.35</v>
      </c>
      <c r="H76" s="18" t="s">
        <v>600</v>
      </c>
      <c r="I76" s="380"/>
      <c r="J76" s="1183"/>
      <c r="K76" s="1574"/>
      <c r="L76" s="3056">
        <f>IF(F76="Y",SUM(D$42)*(1+K$75),0)</f>
        <v>0</v>
      </c>
      <c r="M76" s="3056"/>
      <c r="N76" s="18" t="s">
        <v>1418</v>
      </c>
      <c r="O76" s="2953">
        <f>L76*G76*(IF(W$44="N",1+Y$44,1))</f>
        <v>0</v>
      </c>
      <c r="P76" s="2953"/>
      <c r="R76" s="1038" t="s">
        <v>1069</v>
      </c>
      <c r="S76" s="859" t="s">
        <v>563</v>
      </c>
      <c r="T76" s="77"/>
      <c r="V76" s="1176">
        <f>ROUNDUP((SUM(K11:K42))*1.25/500,0)</f>
        <v>0</v>
      </c>
      <c r="W76" s="77" t="s">
        <v>1303</v>
      </c>
      <c r="X76" s="1174">
        <f>Pricing!Q17</f>
        <v>68.2</v>
      </c>
      <c r="Y76" s="77" t="s">
        <v>562</v>
      </c>
      <c r="Z76" s="1555">
        <f t="shared" si="90"/>
        <v>0</v>
      </c>
      <c r="AP76" s="626"/>
      <c r="AQ76" s="626"/>
      <c r="AR76" s="626"/>
      <c r="AS76" s="626"/>
      <c r="AT76" s="626"/>
      <c r="AU76" s="626"/>
    </row>
    <row r="77" spans="2:47" ht="21.75" customHeight="1">
      <c r="B77" s="1007" t="s">
        <v>1067</v>
      </c>
      <c r="C77" s="802"/>
      <c r="D77" s="802"/>
      <c r="E77" s="802"/>
      <c r="F77" s="1575"/>
      <c r="G77" s="1218">
        <v>20</v>
      </c>
      <c r="H77" s="976" t="s">
        <v>1616</v>
      </c>
      <c r="I77" s="802"/>
      <c r="J77" s="802"/>
      <c r="K77" s="1576">
        <v>0.1</v>
      </c>
      <c r="L77" s="3057">
        <v>0</v>
      </c>
      <c r="M77" s="3057"/>
      <c r="N77" s="976" t="s">
        <v>1463</v>
      </c>
      <c r="O77" s="3058">
        <f>L77*G77*(IF(W$44="N",1+Y$44,1))</f>
        <v>0</v>
      </c>
      <c r="P77" s="3058"/>
      <c r="R77" s="1038" t="s">
        <v>1069</v>
      </c>
      <c r="S77" s="859" t="s">
        <v>1617</v>
      </c>
      <c r="T77" s="77"/>
      <c r="V77" s="1176">
        <f>ROUNDUP((SUM(K12:K47))*1.25/500,0)</f>
        <v>0</v>
      </c>
      <c r="W77" s="77" t="s">
        <v>1303</v>
      </c>
      <c r="X77" s="1174">
        <f>Pricing!Q16</f>
        <v>68.2</v>
      </c>
      <c r="Y77" s="77" t="s">
        <v>562</v>
      </c>
      <c r="Z77" s="1555">
        <f t="shared" si="90"/>
        <v>0</v>
      </c>
      <c r="AP77" s="626"/>
      <c r="AQ77" s="626"/>
      <c r="AR77" s="626"/>
      <c r="AS77" s="626"/>
      <c r="AT77" s="626"/>
      <c r="AU77" s="626"/>
    </row>
    <row r="78" spans="2:47" ht="21.75" customHeight="1">
      <c r="B78" s="1578" t="s">
        <v>1434</v>
      </c>
      <c r="C78" s="1579"/>
      <c r="D78" s="1579" t="s">
        <v>1296</v>
      </c>
      <c r="E78" s="1579"/>
      <c r="F78" s="1579"/>
      <c r="G78" s="1579"/>
      <c r="H78" s="1203"/>
      <c r="I78" s="1579"/>
      <c r="J78" s="1579"/>
      <c r="K78" s="1579"/>
      <c r="L78" s="1579" t="s">
        <v>973</v>
      </c>
      <c r="M78" s="1579"/>
      <c r="N78" s="1579" t="s">
        <v>1297</v>
      </c>
      <c r="O78" s="1579"/>
      <c r="P78" s="1580"/>
      <c r="R78" s="1038" t="s">
        <v>1069</v>
      </c>
      <c r="S78" s="859" t="s">
        <v>1310</v>
      </c>
      <c r="T78" s="77"/>
      <c r="V78" s="1176">
        <f>CE42/150</f>
        <v>0</v>
      </c>
      <c r="W78" s="77" t="s">
        <v>1303</v>
      </c>
      <c r="X78" s="1174">
        <f>Pricing!Q34</f>
        <v>45.239999999999995</v>
      </c>
      <c r="Y78" s="77" t="s">
        <v>562</v>
      </c>
      <c r="Z78" s="1555">
        <f t="shared" si="90"/>
        <v>0</v>
      </c>
      <c r="AP78" s="626"/>
      <c r="AQ78" s="626"/>
      <c r="AR78" s="626"/>
      <c r="AS78" s="626"/>
      <c r="AT78" s="626"/>
      <c r="AU78" s="626"/>
    </row>
    <row r="79" spans="2:47" ht="21.75" customHeight="1">
      <c r="B79" s="1204" t="s">
        <v>1437</v>
      </c>
      <c r="C79" s="663"/>
      <c r="D79" s="982" t="s">
        <v>1302</v>
      </c>
      <c r="E79" s="3059">
        <v>0.25</v>
      </c>
      <c r="F79" s="3059"/>
      <c r="G79" s="983" t="s">
        <v>1618</v>
      </c>
      <c r="H79" s="3060">
        <f>SUM(E79:F82)</f>
        <v>1.45</v>
      </c>
      <c r="I79" s="3061">
        <f>D42</f>
        <v>0</v>
      </c>
      <c r="J79" s="3061"/>
      <c r="K79" s="983" t="s">
        <v>1418</v>
      </c>
      <c r="L79" s="2828">
        <f>IF(D79="N",E79*I$79,0)</f>
        <v>0</v>
      </c>
      <c r="M79" s="2828"/>
      <c r="N79" s="168"/>
      <c r="O79" s="2829">
        <f>IF(D79="y",I$79*E79,0)</f>
        <v>0</v>
      </c>
      <c r="P79" s="2829"/>
      <c r="R79" s="1038" t="s">
        <v>1069</v>
      </c>
      <c r="S79" s="859" t="s">
        <v>571</v>
      </c>
      <c r="T79" s="77"/>
      <c r="V79" s="1176"/>
      <c r="W79" s="77" t="s">
        <v>1259</v>
      </c>
      <c r="X79" s="1174">
        <f>Pricing!Q19</f>
        <v>0.95</v>
      </c>
      <c r="Y79" s="77" t="s">
        <v>527</v>
      </c>
      <c r="Z79" s="1555">
        <f t="shared" si="90"/>
        <v>0</v>
      </c>
      <c r="AP79" s="626"/>
      <c r="AQ79" s="626"/>
      <c r="AR79" s="626"/>
      <c r="AS79" s="626"/>
      <c r="AT79" s="626"/>
      <c r="AU79" s="628"/>
    </row>
    <row r="80" spans="2:47" ht="21.75" customHeight="1">
      <c r="B80" s="482" t="s">
        <v>1619</v>
      </c>
      <c r="C80" s="1581"/>
      <c r="D80" s="984" t="s">
        <v>1302</v>
      </c>
      <c r="E80" s="3062">
        <v>0.5</v>
      </c>
      <c r="F80" s="3062"/>
      <c r="G80" s="18" t="s">
        <v>600</v>
      </c>
      <c r="H80" s="3060"/>
      <c r="I80" s="3061"/>
      <c r="J80" s="3061"/>
      <c r="K80" s="1581" t="s">
        <v>1418</v>
      </c>
      <c r="L80" s="2831">
        <f>IF(D80="N",E80*I$79,0)</f>
        <v>0</v>
      </c>
      <c r="M80" s="2831"/>
      <c r="O80" s="2792">
        <f>IF(D80="y",I$79*E80,0)</f>
        <v>0</v>
      </c>
      <c r="P80" s="2792"/>
      <c r="R80" s="1038" t="s">
        <v>1069</v>
      </c>
      <c r="S80" s="859" t="s">
        <v>576</v>
      </c>
      <c r="T80" s="77"/>
      <c r="V80" s="1176">
        <v>0</v>
      </c>
      <c r="W80" s="77" t="s">
        <v>1259</v>
      </c>
      <c r="X80" s="1174">
        <f>Pricing!Q20</f>
        <v>0.25</v>
      </c>
      <c r="Y80" s="77" t="s">
        <v>527</v>
      </c>
      <c r="Z80" s="1555">
        <f t="shared" si="90"/>
        <v>0</v>
      </c>
      <c r="AP80" s="626"/>
      <c r="AQ80" s="626"/>
      <c r="AR80" s="626"/>
      <c r="AS80" s="626"/>
      <c r="AT80" s="626"/>
      <c r="AU80" s="628"/>
    </row>
    <row r="81" spans="2:26" ht="21.75" customHeight="1">
      <c r="B81" s="482" t="s">
        <v>1442</v>
      </c>
      <c r="C81" s="380"/>
      <c r="D81" s="984" t="s">
        <v>1302</v>
      </c>
      <c r="E81" s="3063">
        <v>0.5</v>
      </c>
      <c r="F81" s="3063"/>
      <c r="G81" s="18" t="s">
        <v>1618</v>
      </c>
      <c r="H81" s="3060"/>
      <c r="I81" s="3061"/>
      <c r="J81" s="3061"/>
      <c r="K81" s="18" t="s">
        <v>1418</v>
      </c>
      <c r="L81" s="2831">
        <f>IF(D81="N",E81*I$79,0)</f>
        <v>0</v>
      </c>
      <c r="M81" s="2831"/>
      <c r="O81" s="2792">
        <f>IF(D81="y",I$79*E81,0)</f>
        <v>0</v>
      </c>
      <c r="P81" s="2792"/>
      <c r="R81" s="1038" t="s">
        <v>1069</v>
      </c>
      <c r="S81" s="859" t="s">
        <v>551</v>
      </c>
      <c r="T81" s="77"/>
      <c r="V81" s="1176">
        <v>0</v>
      </c>
      <c r="W81" s="77" t="s">
        <v>1259</v>
      </c>
      <c r="X81" s="1174">
        <f>Pricing!Q12</f>
        <v>1.0631249999999999</v>
      </c>
      <c r="Y81" s="77" t="s">
        <v>527</v>
      </c>
      <c r="Z81" s="1555">
        <f t="shared" si="90"/>
        <v>0</v>
      </c>
    </row>
    <row r="82" spans="2:26" ht="21.75" customHeight="1">
      <c r="B82" s="482" t="s">
        <v>1443</v>
      </c>
      <c r="C82" s="380"/>
      <c r="D82" s="984" t="s">
        <v>1302</v>
      </c>
      <c r="E82" s="3064">
        <v>0.2</v>
      </c>
      <c r="F82" s="3064"/>
      <c r="G82" s="18" t="s">
        <v>1618</v>
      </c>
      <c r="H82" s="3060"/>
      <c r="I82" s="3061"/>
      <c r="J82" s="3061"/>
      <c r="K82" s="18" t="s">
        <v>1418</v>
      </c>
      <c r="L82" s="2831">
        <f>IF(D82="N",E82*I$79,0)</f>
        <v>0</v>
      </c>
      <c r="M82" s="2831"/>
      <c r="O82" s="2792">
        <f>IF(D82="y",I$79*E82,0)</f>
        <v>0</v>
      </c>
      <c r="P82" s="2792"/>
      <c r="R82" s="1038" t="s">
        <v>1069</v>
      </c>
      <c r="S82" s="859" t="s">
        <v>552</v>
      </c>
      <c r="T82" s="77"/>
      <c r="V82" s="1176">
        <v>0</v>
      </c>
      <c r="W82" s="77" t="s">
        <v>1259</v>
      </c>
      <c r="X82" s="1174">
        <f>Pricing!Q13</f>
        <v>1.494375</v>
      </c>
      <c r="Y82" s="77" t="s">
        <v>527</v>
      </c>
      <c r="Z82" s="1555">
        <f t="shared" si="90"/>
        <v>0</v>
      </c>
    </row>
    <row r="83" spans="2:26" ht="21.75" customHeight="1">
      <c r="B83" s="482" t="s">
        <v>1488</v>
      </c>
      <c r="C83" s="380"/>
      <c r="D83" s="984" t="s">
        <v>1302</v>
      </c>
      <c r="E83" s="3065">
        <v>8</v>
      </c>
      <c r="F83" s="3065"/>
      <c r="G83" s="18" t="s">
        <v>1620</v>
      </c>
      <c r="I83" s="3066">
        <f>SUM(T10:T41)</f>
        <v>0</v>
      </c>
      <c r="J83" s="3066"/>
      <c r="K83" s="18" t="s">
        <v>1621</v>
      </c>
      <c r="L83" s="2831">
        <f>IF(D83="N",E83*I$83,0)</f>
        <v>0</v>
      </c>
      <c r="M83" s="2831"/>
      <c r="O83" s="2792">
        <f>IF(D83="y",I$83*E83,0)</f>
        <v>0</v>
      </c>
      <c r="P83" s="2792"/>
      <c r="R83" s="1038" t="s">
        <v>1069</v>
      </c>
      <c r="S83" s="859" t="s">
        <v>1319</v>
      </c>
      <c r="T83" s="77"/>
      <c r="V83" s="1176">
        <f>SUM(V81:V82)</f>
        <v>0</v>
      </c>
      <c r="W83" s="77" t="s">
        <v>1259</v>
      </c>
      <c r="X83" s="1174">
        <f>Pricing!Q10</f>
        <v>0.70874999999999999</v>
      </c>
      <c r="Y83" s="77" t="s">
        <v>527</v>
      </c>
      <c r="Z83" s="1555">
        <f t="shared" si="90"/>
        <v>0</v>
      </c>
    </row>
    <row r="84" spans="2:26" ht="21.75" customHeight="1">
      <c r="B84" s="482" t="s">
        <v>1473</v>
      </c>
      <c r="C84" s="380"/>
      <c r="D84" s="984" t="s">
        <v>1302</v>
      </c>
      <c r="E84" s="1582"/>
      <c r="F84" s="1583"/>
      <c r="G84" s="1584"/>
      <c r="H84" s="1585"/>
      <c r="I84" s="1586"/>
      <c r="J84" s="1586"/>
      <c r="K84" s="1584"/>
      <c r="L84" s="1587"/>
      <c r="M84" s="1587"/>
      <c r="N84" s="1585"/>
      <c r="O84" s="2792">
        <f>SUM(CP10:CP41)</f>
        <v>0</v>
      </c>
      <c r="P84" s="2792"/>
      <c r="R84" s="1038" t="s">
        <v>1069</v>
      </c>
      <c r="S84" s="859"/>
      <c r="T84" s="77"/>
      <c r="V84" s="1176"/>
      <c r="W84" s="77"/>
      <c r="X84" s="1174"/>
      <c r="Y84" s="77"/>
      <c r="Z84" s="1555">
        <f t="shared" si="90"/>
        <v>0</v>
      </c>
    </row>
    <row r="85" spans="2:26" ht="21.75" customHeight="1">
      <c r="B85" s="482" t="s">
        <v>1626</v>
      </c>
      <c r="C85" s="380"/>
      <c r="D85" s="984" t="s">
        <v>1302</v>
      </c>
      <c r="E85" s="3065">
        <v>12</v>
      </c>
      <c r="F85" s="3065"/>
      <c r="G85" s="18" t="s">
        <v>1285</v>
      </c>
      <c r="I85" s="3066">
        <f>IF((SUM(L65:M69)-I79/30)&lt;0,0,SUM(L65:M69)-I79/30)</f>
        <v>0</v>
      </c>
      <c r="J85" s="3066"/>
      <c r="K85" s="18" t="s">
        <v>998</v>
      </c>
      <c r="L85" s="2831">
        <f>IF(D85="N",E85*I$85,0)</f>
        <v>0</v>
      </c>
      <c r="M85" s="2831"/>
      <c r="O85" s="2792">
        <f>IF(D85="y",I$85*E85,0)</f>
        <v>0</v>
      </c>
      <c r="P85" s="2792"/>
      <c r="R85" s="1038" t="s">
        <v>1069</v>
      </c>
      <c r="S85" s="859"/>
      <c r="T85" s="77"/>
      <c r="V85" s="1176"/>
      <c r="W85" s="77"/>
      <c r="X85" s="1174"/>
      <c r="Y85" s="77"/>
      <c r="Z85" s="1555">
        <f t="shared" si="90"/>
        <v>0</v>
      </c>
    </row>
    <row r="86" spans="2:26" ht="21.75" customHeight="1">
      <c r="B86" s="482" t="s">
        <v>1628</v>
      </c>
      <c r="C86" s="380"/>
      <c r="D86" s="984" t="s">
        <v>1302</v>
      </c>
      <c r="E86" s="3065">
        <v>85</v>
      </c>
      <c r="F86" s="3065"/>
      <c r="G86" s="18" t="s">
        <v>1624</v>
      </c>
      <c r="I86" s="3067">
        <f>CK42</f>
        <v>0</v>
      </c>
      <c r="J86" s="3067"/>
      <c r="K86" s="18" t="s">
        <v>1000</v>
      </c>
      <c r="L86" s="2831">
        <f>IF(D86="N",E86*I$86,0)</f>
        <v>0</v>
      </c>
      <c r="M86" s="2831"/>
      <c r="O86" s="2792">
        <f>IF(D86="y",I$86*E86,0)</f>
        <v>0</v>
      </c>
      <c r="P86" s="2792"/>
      <c r="R86" s="1038" t="s">
        <v>1069</v>
      </c>
      <c r="S86" s="1208"/>
      <c r="T86" s="1209"/>
      <c r="U86" s="248"/>
      <c r="V86" s="1210"/>
      <c r="W86" s="1209"/>
      <c r="X86" s="1211"/>
      <c r="Y86" s="1209"/>
      <c r="Z86" s="1588">
        <f t="shared" si="90"/>
        <v>0</v>
      </c>
    </row>
    <row r="87" spans="2:26" ht="21.75" customHeight="1">
      <c r="B87" s="482" t="s">
        <v>1307</v>
      </c>
      <c r="C87" s="380"/>
      <c r="D87" s="984" t="s">
        <v>1302</v>
      </c>
      <c r="E87" s="3068">
        <v>350</v>
      </c>
      <c r="F87" s="3068"/>
      <c r="G87" s="18" t="s">
        <v>1308</v>
      </c>
      <c r="I87" s="3067">
        <f>U42/2000</f>
        <v>0</v>
      </c>
      <c r="J87" s="3067"/>
      <c r="K87" s="18" t="s">
        <v>1309</v>
      </c>
      <c r="L87" s="2831">
        <f>IF(D87="N",E87*I$87,0)</f>
        <v>0</v>
      </c>
      <c r="M87" s="2831"/>
      <c r="O87" s="2792">
        <f>IF(D87="y",I87*E87,0)</f>
        <v>0</v>
      </c>
      <c r="P87" s="2792"/>
      <c r="R87" s="961" t="s">
        <v>1077</v>
      </c>
      <c r="S87" s="859" t="s">
        <v>1629</v>
      </c>
      <c r="T87" s="77" t="s">
        <v>1630</v>
      </c>
      <c r="U87" s="53" t="s">
        <v>1047</v>
      </c>
      <c r="V87" s="1176">
        <f>IF(U87="Y",DC47/1900,0)</f>
        <v>0</v>
      </c>
      <c r="W87" s="77" t="s">
        <v>1454</v>
      </c>
      <c r="X87" s="1174">
        <f>82+25</f>
        <v>107</v>
      </c>
      <c r="Y87" s="77" t="s">
        <v>1631</v>
      </c>
      <c r="Z87" s="1555">
        <f t="shared" si="90"/>
        <v>0</v>
      </c>
    </row>
    <row r="88" spans="2:26" ht="21.75" customHeight="1">
      <c r="B88" s="1566" t="s">
        <v>1313</v>
      </c>
      <c r="C88" s="988"/>
      <c r="D88" s="989" t="s">
        <v>1302</v>
      </c>
      <c r="E88" s="3069"/>
      <c r="F88" s="3069"/>
      <c r="G88" s="373"/>
      <c r="H88" s="373"/>
      <c r="I88" s="1589"/>
      <c r="J88" s="1589"/>
      <c r="K88" s="373"/>
      <c r="L88" s="2834">
        <f>IF(D88="N",E88,0)</f>
        <v>0</v>
      </c>
      <c r="M88" s="2834"/>
      <c r="N88" s="248"/>
      <c r="O88" s="2835">
        <f>IF(D88="y",E88,0)</f>
        <v>0</v>
      </c>
      <c r="P88" s="2835"/>
      <c r="R88" s="961" t="s">
        <v>1077</v>
      </c>
      <c r="S88" s="859" t="s">
        <v>1632</v>
      </c>
      <c r="T88" s="77" t="s">
        <v>1633</v>
      </c>
      <c r="U88" s="53" t="s">
        <v>1306</v>
      </c>
      <c r="V88" s="1176">
        <f>IF(U88="Y",DC$47/2940,0)</f>
        <v>0</v>
      </c>
      <c r="W88" s="77" t="s">
        <v>1454</v>
      </c>
      <c r="X88" s="1174">
        <f>305+25</f>
        <v>330</v>
      </c>
      <c r="Y88" s="77" t="s">
        <v>1631</v>
      </c>
      <c r="Z88" s="1555">
        <f t="shared" si="90"/>
        <v>0</v>
      </c>
    </row>
    <row r="89" spans="2:26" ht="21.75" customHeight="1">
      <c r="B89" s="990" t="s">
        <v>1447</v>
      </c>
      <c r="C89" s="991"/>
      <c r="D89" s="992"/>
      <c r="E89" s="993">
        <f>IF(I79=0,0,(O89-E88+L89)/I79)</f>
        <v>0</v>
      </c>
      <c r="F89" s="1590"/>
      <c r="G89" s="802"/>
      <c r="H89" s="976"/>
      <c r="I89" s="991" t="s">
        <v>980</v>
      </c>
      <c r="J89" s="991"/>
      <c r="K89" s="991"/>
      <c r="L89" s="2838">
        <f>SUM(L79:M88)</f>
        <v>0</v>
      </c>
      <c r="M89" s="2838"/>
      <c r="N89" s="229"/>
      <c r="O89" s="2867">
        <f>SUM(O79:P88)</f>
        <v>0</v>
      </c>
      <c r="P89" s="2867"/>
      <c r="R89" s="961" t="s">
        <v>1077</v>
      </c>
      <c r="S89" s="859" t="s">
        <v>1634</v>
      </c>
      <c r="T89" s="77" t="s">
        <v>1635</v>
      </c>
      <c r="U89" s="53" t="s">
        <v>1047</v>
      </c>
      <c r="V89" s="1176">
        <f>IF(U89="Y",DC$47/1760,0)</f>
        <v>0</v>
      </c>
      <c r="W89" s="77" t="s">
        <v>1454</v>
      </c>
      <c r="X89" s="1174">
        <f>325+30</f>
        <v>355</v>
      </c>
      <c r="Y89" s="77" t="s">
        <v>1631</v>
      </c>
      <c r="Z89" s="1555">
        <f t="shared" si="90"/>
        <v>0</v>
      </c>
    </row>
    <row r="90" spans="2:26" ht="21.75" customHeight="1">
      <c r="B90" s="1202" t="s">
        <v>1449</v>
      </c>
      <c r="C90" s="1591"/>
      <c r="D90" s="1591"/>
      <c r="E90" s="1591"/>
      <c r="F90" s="1591"/>
      <c r="G90" s="1591"/>
      <c r="H90" s="1591"/>
      <c r="I90" s="1591"/>
      <c r="J90" s="1591"/>
      <c r="K90" s="1591"/>
      <c r="L90" s="1591"/>
      <c r="M90" s="1591"/>
      <c r="N90" s="1591"/>
      <c r="O90" s="1591"/>
      <c r="P90" s="1592"/>
      <c r="R90" s="961" t="s">
        <v>1077</v>
      </c>
      <c r="S90" s="1208" t="s">
        <v>1636</v>
      </c>
      <c r="T90" s="1209" t="s">
        <v>1637</v>
      </c>
      <c r="U90" s="470" t="s">
        <v>1047</v>
      </c>
      <c r="V90" s="1210">
        <f>IF(U90="y",DC47/2360,0)</f>
        <v>0</v>
      </c>
      <c r="W90" s="1209" t="s">
        <v>1454</v>
      </c>
      <c r="X90" s="1211"/>
      <c r="Y90" s="1209" t="s">
        <v>1631</v>
      </c>
      <c r="Z90" s="1588">
        <f t="shared" si="90"/>
        <v>0</v>
      </c>
    </row>
    <row r="91" spans="2:26" ht="21.75" customHeight="1">
      <c r="B91" s="1593" t="s">
        <v>1316</v>
      </c>
      <c r="C91" s="983"/>
      <c r="D91" s="998"/>
      <c r="E91" s="999"/>
      <c r="F91" s="983" t="s">
        <v>1317</v>
      </c>
      <c r="G91" s="1000">
        <v>425</v>
      </c>
      <c r="H91" s="1001" t="s">
        <v>620</v>
      </c>
      <c r="I91" s="983"/>
      <c r="J91" s="983"/>
      <c r="K91" s="983"/>
      <c r="L91" s="983"/>
      <c r="M91" s="3070">
        <f>IF(E45=0,0,(SUM(O91:P93))/E45)</f>
        <v>0</v>
      </c>
      <c r="N91" s="3070"/>
      <c r="O91" s="2829">
        <f>E91*G91</f>
        <v>0</v>
      </c>
      <c r="P91" s="2829"/>
      <c r="R91" s="1038"/>
      <c r="S91" s="859"/>
      <c r="T91" s="77"/>
      <c r="V91" s="1176"/>
      <c r="W91" s="1212"/>
      <c r="X91" s="1174"/>
      <c r="Y91" s="77"/>
      <c r="Z91" s="1555">
        <f t="shared" si="90"/>
        <v>0</v>
      </c>
    </row>
    <row r="92" spans="2:26" ht="21.75" customHeight="1">
      <c r="B92" s="482" t="s">
        <v>1640</v>
      </c>
      <c r="E92" s="1002">
        <f>E91</f>
        <v>0</v>
      </c>
      <c r="F92" s="1003" t="s">
        <v>1317</v>
      </c>
      <c r="G92" s="1004">
        <v>250</v>
      </c>
      <c r="H92" s="1035" t="s">
        <v>620</v>
      </c>
      <c r="M92" s="3071">
        <f>SUM(O91:P93)</f>
        <v>0</v>
      </c>
      <c r="N92" s="3071"/>
      <c r="O92" s="2792">
        <f>E92*G92</f>
        <v>0</v>
      </c>
      <c r="P92" s="2792"/>
      <c r="R92" s="1038"/>
      <c r="S92" s="859"/>
      <c r="T92" s="77"/>
      <c r="V92" s="1176"/>
      <c r="W92" s="1212"/>
      <c r="X92" s="1174"/>
      <c r="Y92" s="77"/>
      <c r="Z92" s="1555">
        <f t="shared" si="90"/>
        <v>0</v>
      </c>
    </row>
    <row r="93" spans="2:26" ht="21.75" customHeight="1">
      <c r="B93" s="482" t="s">
        <v>1320</v>
      </c>
      <c r="E93" s="1002">
        <f>E91</f>
        <v>0</v>
      </c>
      <c r="F93" s="18" t="s">
        <v>1317</v>
      </c>
      <c r="G93" s="1004">
        <v>100</v>
      </c>
      <c r="H93" s="18" t="s">
        <v>620</v>
      </c>
      <c r="O93" s="2792">
        <f>E93*G93</f>
        <v>0</v>
      </c>
      <c r="P93" s="2792"/>
      <c r="R93" s="1172"/>
      <c r="S93" s="859"/>
      <c r="T93" s="77"/>
      <c r="V93" s="1176"/>
      <c r="W93" s="77"/>
      <c r="X93" s="1174"/>
      <c r="Y93" s="77"/>
      <c r="Z93" s="1555">
        <f t="shared" si="90"/>
        <v>0</v>
      </c>
    </row>
    <row r="94" spans="2:26" ht="21.75" customHeight="1">
      <c r="B94" s="1595" t="s">
        <v>1321</v>
      </c>
      <c r="C94" s="976"/>
      <c r="D94" s="976"/>
      <c r="E94" s="1008">
        <f>E91</f>
        <v>0</v>
      </c>
      <c r="F94" s="976"/>
      <c r="G94" s="1020">
        <v>200</v>
      </c>
      <c r="H94" s="976"/>
      <c r="I94" s="976"/>
      <c r="J94" s="976"/>
      <c r="K94" s="976"/>
      <c r="L94" s="976"/>
      <c r="M94" s="2843">
        <f>IF(E45=0,0,O94/E45)</f>
        <v>0</v>
      </c>
      <c r="N94" s="2843"/>
      <c r="O94" s="2792">
        <f>E94*G94</f>
        <v>0</v>
      </c>
      <c r="P94" s="2792"/>
      <c r="R94" s="1172"/>
      <c r="S94" s="859"/>
      <c r="T94" s="77"/>
      <c r="V94" s="1176"/>
      <c r="W94" s="77"/>
      <c r="X94" s="1174"/>
      <c r="Y94" s="77"/>
      <c r="Z94" s="1555">
        <f t="shared" si="90"/>
        <v>0</v>
      </c>
    </row>
    <row r="95" spans="2:26" ht="21.75" customHeight="1">
      <c r="B95" s="1202" t="s">
        <v>1325</v>
      </c>
      <c r="C95" s="1591"/>
      <c r="D95" s="1591"/>
      <c r="E95" s="1591"/>
      <c r="F95" s="1591"/>
      <c r="G95" s="1591"/>
      <c r="H95" s="1591"/>
      <c r="I95" s="1591"/>
      <c r="J95" s="1591"/>
      <c r="K95" s="1591"/>
      <c r="L95" s="1591"/>
      <c r="M95" s="1591"/>
      <c r="N95" s="1591"/>
      <c r="O95" s="1591"/>
      <c r="P95" s="1592"/>
      <c r="R95" s="961" t="s">
        <v>1451</v>
      </c>
      <c r="S95" s="859" t="s">
        <v>1657</v>
      </c>
      <c r="T95" s="77"/>
      <c r="V95" s="1176"/>
      <c r="W95" s="77" t="s">
        <v>1658</v>
      </c>
      <c r="X95" s="1174">
        <v>25</v>
      </c>
      <c r="Y95" s="77"/>
      <c r="Z95" s="1555">
        <f t="shared" si="90"/>
        <v>0</v>
      </c>
    </row>
    <row r="96" spans="2:26" ht="21.75" customHeight="1">
      <c r="B96" s="1593" t="s">
        <v>1326</v>
      </c>
      <c r="C96" s="1596"/>
      <c r="D96" s="1597"/>
      <c r="E96" s="1012"/>
      <c r="F96" s="983" t="s">
        <v>1327</v>
      </c>
      <c r="G96" s="1000">
        <f>Pricing!D32</f>
        <v>425</v>
      </c>
      <c r="H96" s="983" t="s">
        <v>620</v>
      </c>
      <c r="I96" s="983"/>
      <c r="J96" s="983"/>
      <c r="K96" s="983"/>
      <c r="L96" s="983"/>
      <c r="M96" s="983"/>
      <c r="N96" s="983"/>
      <c r="O96" s="2829">
        <f>((IF(AND(E96&gt;0,E96&lt;4),E96*G96,0)+IF(AND(E96&gt;3,E96&lt;8),G96*3,0)+IF(AND(E96&gt;7,E96&lt;21),E96/7*G96*3,0)+IF(AND(E96&gt;20,E96&lt;30),G96*9,0)+IF(E96&gt;29,E96/30*G96*9,0)))*(1+$Y$44+J$98)</f>
        <v>0</v>
      </c>
      <c r="P96" s="2829"/>
      <c r="R96" s="1038"/>
      <c r="S96" s="859"/>
      <c r="T96" s="77"/>
      <c r="V96" s="1176"/>
      <c r="W96" s="77"/>
      <c r="X96" s="1174"/>
      <c r="Y96" s="77"/>
      <c r="Z96" s="1555">
        <f t="shared" si="90"/>
        <v>0</v>
      </c>
    </row>
    <row r="97" spans="2:26" ht="21.75" customHeight="1">
      <c r="B97" s="482" t="s">
        <v>622</v>
      </c>
      <c r="C97" s="1177"/>
      <c r="D97" s="1598"/>
      <c r="E97" s="1012">
        <f>IF(E$91&gt;0,IF(E$91&lt;=3,E$91,7),0)+IF(E$91&gt;5,IF(E$91&lt;=10,7,0),0)+IF(E$91&gt;10,IF(E$91&lt;=15,14,0),0)+IF(E$91&gt;15,IF(E$91&lt;=20,23,0),0)+IF(E$91&gt;20,IF(E$91&lt;=40,53,0),0)+IF(E$91&gt;40,IF(E$91&lt;=60,83,0),0)+IF(E$91&gt;60,IF(E$91&lt;=80,113,0),0)+IF(E$91&gt;80,IF(E$91&lt;=100,143,0),0)+IF(E$91&gt;100,IF(E$91&lt;=120,163,0),0)+IF(E$91&gt;120,IF(E$91&lt;=140,193,0),0)+IF(E$91&gt;140,IF(E$91&lt;=160,223,0),0)</f>
        <v>0</v>
      </c>
      <c r="F97" s="18" t="s">
        <v>1327</v>
      </c>
      <c r="G97" s="1004">
        <f>Pricing!D33</f>
        <v>475</v>
      </c>
      <c r="H97" s="18" t="s">
        <v>620</v>
      </c>
      <c r="J97" s="2977" t="s">
        <v>1329</v>
      </c>
      <c r="K97" s="2977"/>
      <c r="M97" s="2841">
        <f>IF(E45=0,0,(SUM(O96:P101))/E45)</f>
        <v>0</v>
      </c>
      <c r="N97" s="2841"/>
      <c r="O97" s="3072">
        <f>((IF(AND(E97&gt;0,E97&lt;4),E97*G97,0)+IF(AND(E97&gt;3,E97&lt;8),G97*3,0)+IF(AND(E97&gt;7,E97&lt;21),E97/7*G97*3,0)+IF(AND(E97&gt;20,E97&lt;30),G97*9,0)+IF(E97&gt;29,E97/30*G97*9,0)))*(1+$Y$44+J$98)</f>
        <v>0</v>
      </c>
      <c r="P97" s="3072"/>
      <c r="R97" s="1038"/>
      <c r="S97" s="1208" t="s">
        <v>1659</v>
      </c>
      <c r="T97" s="1209"/>
      <c r="U97" s="248"/>
      <c r="V97" s="1210">
        <f>SUM(L65:M69)/300</f>
        <v>0</v>
      </c>
      <c r="W97" s="1209" t="s">
        <v>1323</v>
      </c>
      <c r="X97" s="1211">
        <v>250</v>
      </c>
      <c r="Y97" s="1209" t="s">
        <v>1324</v>
      </c>
      <c r="Z97" s="1588">
        <f t="shared" si="90"/>
        <v>0</v>
      </c>
    </row>
    <row r="98" spans="2:26" ht="21.75" customHeight="1">
      <c r="B98" s="482" t="s">
        <v>624</v>
      </c>
      <c r="C98" s="1177"/>
      <c r="D98" s="1598"/>
      <c r="E98" s="1012">
        <v>0</v>
      </c>
      <c r="F98" s="77" t="s">
        <v>1327</v>
      </c>
      <c r="G98" s="1004">
        <f>Pricing!D34</f>
        <v>325</v>
      </c>
      <c r="H98" s="18" t="s">
        <v>620</v>
      </c>
      <c r="J98" s="3073">
        <v>0.5</v>
      </c>
      <c r="K98" s="3073"/>
      <c r="M98" s="2975">
        <f>SUM(O96:P101)</f>
        <v>0</v>
      </c>
      <c r="N98" s="2975"/>
      <c r="O98" s="3072">
        <f>((IF(AND(E98&gt;0,E98&lt;4),E98*G98,0)+IF(AND(E98&gt;3,E98&lt;8),G98*3,0)+IF(AND(E98&gt;7,E98&lt;21),E98/7*G98*3,0)+IF(AND(E98&gt;20,E98&lt;30),G98*9,0)+IF(E98&gt;29,E98/30*G98*9,0)))*(1+$Y$44+J$98)</f>
        <v>0</v>
      </c>
      <c r="P98" s="3072"/>
      <c r="R98" s="961" t="s">
        <v>1073</v>
      </c>
      <c r="S98" s="859" t="s">
        <v>618</v>
      </c>
      <c r="T98" s="77"/>
      <c r="V98" s="1176">
        <f>ROUNDUP(D42/15000,0)</f>
        <v>0</v>
      </c>
      <c r="W98" s="18" t="s">
        <v>1452</v>
      </c>
      <c r="X98" s="1174">
        <f>Pricing!Q31</f>
        <v>27</v>
      </c>
      <c r="Y98" s="18" t="s">
        <v>607</v>
      </c>
      <c r="Z98" s="1555">
        <f t="shared" si="90"/>
        <v>0</v>
      </c>
    </row>
    <row r="99" spans="2:26" ht="21.75" customHeight="1">
      <c r="B99" s="482" t="s">
        <v>626</v>
      </c>
      <c r="C99" s="1177"/>
      <c r="D99" s="1598"/>
      <c r="E99" s="1012"/>
      <c r="F99" s="18" t="s">
        <v>1327</v>
      </c>
      <c r="G99" s="1004">
        <v>225</v>
      </c>
      <c r="H99" s="18" t="s">
        <v>620</v>
      </c>
      <c r="J99" s="3073"/>
      <c r="K99" s="3073"/>
      <c r="O99" s="2792">
        <f>((IF(AND(E99&gt;0,E99&lt;4),E99*G99,0)+IF(AND(E99&gt;3,E99&lt;8),G99*3,0)+IF(AND(E99&gt;7,E99&lt;21),E99/7*G99*3,0)+IF(AND(E99&gt;20,E99&lt;30),G99*9,0)+IF(E99&gt;29,E99/30*G99*9,0)))*(1+$Y$44+J$98)</f>
        <v>0</v>
      </c>
      <c r="P99" s="2792"/>
      <c r="R99" s="961" t="s">
        <v>1073</v>
      </c>
      <c r="S99" s="859" t="s">
        <v>629</v>
      </c>
      <c r="T99" s="77"/>
      <c r="V99" s="1176">
        <f>I79/15000</f>
        <v>0</v>
      </c>
      <c r="W99" s="18" t="s">
        <v>1644</v>
      </c>
      <c r="X99" s="1174">
        <f>Pricing!Q36</f>
        <v>37.799999999999997</v>
      </c>
      <c r="Y99" s="18" t="s">
        <v>630</v>
      </c>
      <c r="Z99" s="1555">
        <f t="shared" si="90"/>
        <v>0</v>
      </c>
    </row>
    <row r="100" spans="2:26" ht="21.75" customHeight="1">
      <c r="B100" s="482" t="s">
        <v>1333</v>
      </c>
      <c r="C100" s="1177"/>
      <c r="D100" s="1598"/>
      <c r="E100" s="1012">
        <f>IF(E$91&gt;0,IF(E$91&lt;=3,E$91,7),0)+IF(E$91&gt;5,IF(E$91&lt;=10,7,0),0)+IF(E$91&gt;10,IF(E$91&lt;=15,14,0),0)+IF(E$91&gt;15,IF(E$91&lt;=20,23,0),0)+IF(E$91&gt;20,IF(E$91&lt;=40,53,0),0)+IF(E$91&gt;40,IF(E$91&lt;=60,83,0),0)+IF(E$91&gt;60,IF(E$91&lt;=80,113,0),0)+IF(E$91&gt;80,IF(E$91&lt;=100,143,0),0)+IF(E$91&gt;100,IF(E$91&lt;=120,163,0),0)+IF(E$91&gt;120,IF(E$91&lt;=140,193,0),0)+IF(E$91&gt;140,IF(E$91&lt;=160,223,0),0)</f>
        <v>0</v>
      </c>
      <c r="F100" s="18" t="s">
        <v>1327</v>
      </c>
      <c r="G100" s="1004">
        <v>25</v>
      </c>
      <c r="H100" s="18" t="s">
        <v>620</v>
      </c>
      <c r="O100" s="2792">
        <f>((IF(AND(E100&gt;0,E100&lt;4),E100*G100,0)+IF(AND(E100&gt;3,E100&lt;8),G100*3,0)+IF(AND(E100&gt;7,E100&lt;21),E100/7*G100*3,0)+IF(AND(E100&gt;20,E100&lt;30),G100*9,0)+IF(E100&gt;29,E100/30*G100*9,0)))*(1+$Y$44+J$98)</f>
        <v>0</v>
      </c>
      <c r="P100" s="2792"/>
      <c r="R100" s="961" t="s">
        <v>1073</v>
      </c>
      <c r="S100" s="1208" t="s">
        <v>554</v>
      </c>
      <c r="T100" s="1209"/>
      <c r="U100" s="248"/>
      <c r="V100" s="1210">
        <f>L70+(L71*0.75)</f>
        <v>0</v>
      </c>
      <c r="W100" s="373" t="s">
        <v>1288</v>
      </c>
      <c r="X100" s="1211">
        <v>0.02</v>
      </c>
      <c r="Y100" s="373" t="s">
        <v>555</v>
      </c>
      <c r="Z100" s="1588">
        <f t="shared" si="90"/>
        <v>0</v>
      </c>
    </row>
    <row r="101" spans="2:26" ht="21.75" customHeight="1">
      <c r="B101" s="1595" t="s">
        <v>1067</v>
      </c>
      <c r="C101" s="1599"/>
      <c r="D101" s="1600"/>
      <c r="E101" s="1012">
        <f>IF(E$91&gt;0,IF(E$91&lt;=3,E$91,7),0)+IF(E$91&gt;5,IF(E$91&lt;=10,7,0),0)+IF(E$91&gt;10,IF(E$91&lt;=15,14,0),0)+IF(E$91&gt;15,IF(E$91&lt;=20,23,0),0)+IF(E$91&gt;20,IF(E$91&lt;=40,53,0),0)+IF(E$91&gt;40,IF(E$91&lt;=60,83,0),0)+IF(E$91&gt;60,IF(E$91&lt;=80,113,0),0)+IF(E$91&gt;80,IF(E$91&lt;=100,143,0),0)+IF(E$91&gt;100,IF(E$91&lt;=120,163,0),0)+IF(E$91&gt;120,IF(E$91&lt;=140,193,0),0)+IF(E$91&gt;140,IF(E$91&lt;=160,223,0),0)</f>
        <v>0</v>
      </c>
      <c r="F101" s="976" t="s">
        <v>1645</v>
      </c>
      <c r="G101" s="1020">
        <v>55</v>
      </c>
      <c r="H101" s="976" t="s">
        <v>620</v>
      </c>
      <c r="I101" s="976"/>
      <c r="J101" s="976"/>
      <c r="K101" s="976"/>
      <c r="L101" s="976"/>
      <c r="M101" s="1021"/>
      <c r="N101" s="976"/>
      <c r="O101" s="2867">
        <f>((IF(AND(E101&gt;0,E101&lt;4),E101*G101,0)+IF(AND(E101&gt;3,E101&lt;8),G101*3,0)+IF(AND(E101&gt;7,E101&lt;21),E101/7*G101*3,0)+IF(AND(E101&gt;20,E101&lt;30),G101*9,0)+IF(E101&gt;29,E101/30*G101*9,0)))</f>
        <v>0</v>
      </c>
      <c r="P101" s="2867"/>
      <c r="R101" s="961" t="s">
        <v>1078</v>
      </c>
      <c r="S101" s="859" t="s">
        <v>1105</v>
      </c>
      <c r="T101" s="77"/>
      <c r="V101" s="77"/>
      <c r="X101" s="1174"/>
      <c r="Y101" s="18"/>
      <c r="Z101" s="1555">
        <f t="shared" si="90"/>
        <v>0</v>
      </c>
    </row>
    <row r="102" spans="2:26" ht="21.75" customHeight="1">
      <c r="B102" s="1202" t="s">
        <v>1336</v>
      </c>
      <c r="C102" s="1591"/>
      <c r="D102" s="1591"/>
      <c r="E102" s="1591"/>
      <c r="F102" s="1591"/>
      <c r="G102" s="1591"/>
      <c r="H102" s="1591"/>
      <c r="I102" s="1591"/>
      <c r="J102" s="1591"/>
      <c r="K102" s="1591"/>
      <c r="L102" s="1591"/>
      <c r="M102" s="1591"/>
      <c r="N102" s="1591"/>
      <c r="O102" s="1591"/>
      <c r="P102" s="1592"/>
      <c r="R102" s="961" t="s">
        <v>1328</v>
      </c>
      <c r="S102" s="859" t="s">
        <v>1105</v>
      </c>
      <c r="T102" s="77"/>
      <c r="V102" s="77"/>
      <c r="X102" s="1174"/>
      <c r="Y102" s="18"/>
      <c r="Z102" s="1555">
        <f t="shared" si="90"/>
        <v>0</v>
      </c>
    </row>
    <row r="103" spans="2:26" ht="21.75" customHeight="1">
      <c r="B103" s="1593" t="s">
        <v>1646</v>
      </c>
      <c r="C103" s="1596"/>
      <c r="D103" s="1597"/>
      <c r="E103" s="1226"/>
      <c r="F103" s="1027" t="s">
        <v>1510</v>
      </c>
      <c r="G103" s="1601">
        <v>0.2</v>
      </c>
      <c r="H103" s="1602"/>
      <c r="I103" s="983" t="s">
        <v>600</v>
      </c>
      <c r="J103" s="983"/>
      <c r="K103" s="983"/>
      <c r="L103" s="983"/>
      <c r="M103" s="983"/>
      <c r="N103" s="983"/>
      <c r="O103" s="2829">
        <f>E103*G103</f>
        <v>0</v>
      </c>
      <c r="P103" s="2829"/>
      <c r="R103" s="961" t="s">
        <v>1330</v>
      </c>
      <c r="S103" s="1208" t="s">
        <v>1108</v>
      </c>
      <c r="T103" s="1209"/>
      <c r="U103" s="248"/>
      <c r="V103" s="1209"/>
      <c r="W103" s="373"/>
      <c r="X103" s="1211"/>
      <c r="Y103" s="373"/>
      <c r="Z103" s="1588">
        <f t="shared" si="90"/>
        <v>0</v>
      </c>
    </row>
    <row r="104" spans="2:26" ht="21.75" customHeight="1">
      <c r="B104" s="482" t="s">
        <v>1647</v>
      </c>
      <c r="C104" s="1177"/>
      <c r="D104" s="1664" t="s">
        <v>1029</v>
      </c>
      <c r="E104" s="1604">
        <f>IF(D104="Y",I$79*2/L104,0)</f>
        <v>0</v>
      </c>
      <c r="F104" s="18" t="s">
        <v>1259</v>
      </c>
      <c r="G104" s="1605">
        <v>0.65</v>
      </c>
      <c r="H104" s="1606"/>
      <c r="I104" s="18" t="s">
        <v>600</v>
      </c>
      <c r="J104" s="1607" t="s">
        <v>1648</v>
      </c>
      <c r="K104" s="1608"/>
      <c r="L104" s="1609">
        <v>20</v>
      </c>
      <c r="N104" s="500"/>
      <c r="O104" s="2792">
        <f>IF(E104=0,0,E104*G104)</f>
        <v>0</v>
      </c>
      <c r="P104" s="2792"/>
      <c r="R104" s="1038"/>
      <c r="S104" s="859"/>
      <c r="T104" s="77"/>
      <c r="V104" s="77"/>
      <c r="X104" s="1174"/>
      <c r="Y104" s="18"/>
      <c r="Z104" s="1555">
        <f t="shared" si="90"/>
        <v>0</v>
      </c>
    </row>
    <row r="105" spans="2:26" ht="21.75" customHeight="1">
      <c r="B105" s="482" t="s">
        <v>1462</v>
      </c>
      <c r="C105" s="1177"/>
      <c r="D105" s="1664" t="s">
        <v>1302</v>
      </c>
      <c r="E105" s="1604">
        <f>IF(D105="Y",I$79*2/L105,0)</f>
        <v>0</v>
      </c>
      <c r="F105" s="18" t="s">
        <v>1259</v>
      </c>
      <c r="G105" s="1605">
        <v>0.55000000000000004</v>
      </c>
      <c r="H105" s="1611"/>
      <c r="I105" s="18" t="s">
        <v>1341</v>
      </c>
      <c r="J105" s="1612"/>
      <c r="K105" s="1608"/>
      <c r="L105" s="1609">
        <v>20</v>
      </c>
      <c r="O105" s="2792">
        <f>E105*G105</f>
        <v>0</v>
      </c>
      <c r="P105" s="2792"/>
      <c r="R105" s="961" t="s">
        <v>1342</v>
      </c>
      <c r="S105" s="859" t="s">
        <v>646</v>
      </c>
      <c r="T105" s="77"/>
      <c r="V105" s="1176">
        <f>ROUNDUP(I79/300/55,0)</f>
        <v>0</v>
      </c>
      <c r="W105" s="18" t="s">
        <v>1649</v>
      </c>
      <c r="X105" s="1174">
        <f>Pricing!Q44</f>
        <v>567.5</v>
      </c>
      <c r="Y105" s="18" t="s">
        <v>647</v>
      </c>
      <c r="Z105" s="1555">
        <f t="shared" si="90"/>
        <v>0</v>
      </c>
    </row>
    <row r="106" spans="2:26" ht="21.75" customHeight="1">
      <c r="B106" s="482" t="s">
        <v>1343</v>
      </c>
      <c r="C106" s="1177"/>
      <c r="D106" s="1598"/>
      <c r="E106" s="1233">
        <f>SUM(L65:M69)</f>
        <v>0</v>
      </c>
      <c r="F106" s="1035" t="s">
        <v>998</v>
      </c>
      <c r="G106" s="1605">
        <v>10</v>
      </c>
      <c r="H106" s="1611"/>
      <c r="I106" s="18" t="s">
        <v>1285</v>
      </c>
      <c r="O106" s="2792">
        <f>E106*G106</f>
        <v>0</v>
      </c>
      <c r="P106" s="2792"/>
      <c r="R106" s="961" t="s">
        <v>1342</v>
      </c>
      <c r="S106" s="1208" t="s">
        <v>649</v>
      </c>
      <c r="T106" s="1209"/>
      <c r="U106" s="248"/>
      <c r="V106" s="1210">
        <v>0</v>
      </c>
      <c r="W106" s="373" t="s">
        <v>1649</v>
      </c>
      <c r="X106" s="1211">
        <f>Pricing!Q45</f>
        <v>542</v>
      </c>
      <c r="Y106" s="373" t="s">
        <v>647</v>
      </c>
      <c r="Z106" s="1588">
        <f t="shared" si="90"/>
        <v>0</v>
      </c>
    </row>
    <row r="107" spans="2:26" ht="21.75" customHeight="1">
      <c r="B107" s="482" t="s">
        <v>1234</v>
      </c>
      <c r="C107" s="1177"/>
      <c r="D107" s="1177"/>
      <c r="E107" s="1610"/>
      <c r="F107" s="1035" t="s">
        <v>998</v>
      </c>
      <c r="G107" s="1613">
        <v>12</v>
      </c>
      <c r="H107" s="1614"/>
      <c r="I107" s="18" t="s">
        <v>1285</v>
      </c>
      <c r="O107" s="2792">
        <f>E107*G107</f>
        <v>0</v>
      </c>
      <c r="P107" s="2792"/>
      <c r="R107" s="1038"/>
      <c r="S107" s="859"/>
      <c r="T107" s="77"/>
      <c r="U107" s="77"/>
      <c r="W107" s="77"/>
      <c r="Z107" s="1615"/>
    </row>
    <row r="108" spans="2:26" ht="21.75" customHeight="1">
      <c r="B108" s="482" t="s">
        <v>1346</v>
      </c>
      <c r="C108" s="1177"/>
      <c r="D108" s="1177"/>
      <c r="E108" s="1036"/>
      <c r="F108" s="861" t="s">
        <v>1347</v>
      </c>
      <c r="G108" s="1605">
        <v>200</v>
      </c>
      <c r="H108" s="1616"/>
      <c r="I108" s="18" t="s">
        <v>620</v>
      </c>
      <c r="O108" s="2792">
        <f>E108*G108</f>
        <v>0</v>
      </c>
      <c r="P108" s="2792"/>
      <c r="R108" s="1038"/>
      <c r="S108" s="1617" t="s">
        <v>1349</v>
      </c>
      <c r="T108" s="1618"/>
      <c r="U108" s="1143">
        <v>18</v>
      </c>
      <c r="V108" s="18" t="s">
        <v>1350</v>
      </c>
      <c r="W108" s="77"/>
      <c r="Z108" s="1615"/>
    </row>
    <row r="109" spans="2:26" ht="21.75" customHeight="1">
      <c r="B109" s="1595" t="s">
        <v>1067</v>
      </c>
      <c r="C109" s="1599"/>
      <c r="D109" s="1599"/>
      <c r="E109" s="1008"/>
      <c r="F109" s="976"/>
      <c r="G109" s="1619">
        <v>1000</v>
      </c>
      <c r="H109" s="1620"/>
      <c r="I109" s="976" t="s">
        <v>1348</v>
      </c>
      <c r="J109" s="976"/>
      <c r="K109" s="976"/>
      <c r="L109" s="976"/>
      <c r="M109" s="976"/>
      <c r="N109" s="976"/>
      <c r="O109" s="2867">
        <f>E109*G109</f>
        <v>0</v>
      </c>
      <c r="P109" s="2867"/>
      <c r="R109" s="961" t="s">
        <v>1072</v>
      </c>
      <c r="S109" s="1435" t="s">
        <v>1650</v>
      </c>
      <c r="T109" s="1621"/>
      <c r="U109" s="1621">
        <f>ROUNDUP((V79+V81+V82)*12/U108,0)</f>
        <v>0</v>
      </c>
      <c r="V109" s="976" t="s">
        <v>1354</v>
      </c>
      <c r="W109" s="1622">
        <v>1.65</v>
      </c>
      <c r="X109" s="1622"/>
      <c r="Y109" s="229"/>
      <c r="Z109" s="1555">
        <f>IF(W$44="Y",U109*W109,U109*W109*(1+Y$44))</f>
        <v>0</v>
      </c>
    </row>
    <row r="110" spans="2:26" ht="21.75" customHeight="1">
      <c r="B110" s="3029" t="s">
        <v>1191</v>
      </c>
      <c r="C110" s="3029"/>
      <c r="D110" s="3029"/>
      <c r="E110" s="1237">
        <f>Summary!P60</f>
        <v>0</v>
      </c>
      <c r="F110" s="1238" t="s">
        <v>1465</v>
      </c>
      <c r="G110" s="3074">
        <f>(SUM(O65:P77)+SUM(L79:M88)+SUM(O79:P88)+SUM(O91:P93)+SUM(O96:P101)+SUM(O103:P109))*E110</f>
        <v>0</v>
      </c>
      <c r="H110" s="3074"/>
      <c r="I110" s="1240" t="s">
        <v>1039</v>
      </c>
      <c r="J110" s="1240"/>
      <c r="K110" s="1240"/>
      <c r="L110" s="1240"/>
      <c r="M110" s="1240"/>
      <c r="N110" s="1240"/>
      <c r="O110" s="3030">
        <f>G110</f>
        <v>0</v>
      </c>
      <c r="P110" s="3030"/>
      <c r="Y110" s="18"/>
      <c r="Z110" s="1236">
        <f>SUM(Z66:Z109)</f>
        <v>0</v>
      </c>
    </row>
    <row r="111" spans="2:26" ht="21.75" customHeight="1">
      <c r="B111" s="396"/>
      <c r="C111" s="626"/>
      <c r="D111" s="626"/>
      <c r="E111" s="626"/>
      <c r="F111" s="626"/>
      <c r="G111" s="626"/>
      <c r="H111" s="626"/>
      <c r="I111" s="626"/>
      <c r="J111" s="626"/>
      <c r="K111" s="626"/>
      <c r="L111" s="626"/>
      <c r="M111" s="626"/>
      <c r="N111" s="626"/>
      <c r="O111" s="626"/>
      <c r="P111" s="626"/>
      <c r="Q111" s="1621"/>
      <c r="R111" s="1621"/>
      <c r="S111" s="1621"/>
      <c r="T111" s="1621"/>
      <c r="U111" s="976"/>
      <c r="V111" s="1622"/>
      <c r="W111" s="1622"/>
      <c r="X111" s="229"/>
      <c r="Y111" s="229"/>
      <c r="Z111" s="229"/>
    </row>
    <row r="113" spans="2:31" ht="30.9">
      <c r="B113" s="1476" t="s">
        <v>1262</v>
      </c>
      <c r="C113" s="1477"/>
      <c r="D113" s="1478"/>
      <c r="E113" s="1476" t="s">
        <v>982</v>
      </c>
      <c r="F113" s="1478"/>
      <c r="G113" s="1476" t="s">
        <v>1263</v>
      </c>
      <c r="H113" s="1477"/>
      <c r="I113" s="1478"/>
      <c r="J113" s="1054" t="s">
        <v>1264</v>
      </c>
      <c r="K113" s="1055"/>
      <c r="L113" s="1056"/>
      <c r="M113" s="1057" t="s">
        <v>1265</v>
      </c>
      <c r="N113" s="1058"/>
      <c r="O113" s="1058"/>
      <c r="P113" s="1059"/>
      <c r="Q113" s="1479"/>
      <c r="R113" s="1479"/>
      <c r="S113" s="895"/>
      <c r="T113" s="574" t="s">
        <v>1266</v>
      </c>
      <c r="V113" s="18" t="s">
        <v>1267</v>
      </c>
      <c r="W113" s="1060" t="str">
        <f>W44</f>
        <v>N</v>
      </c>
      <c r="X113" s="793" t="s">
        <v>1268</v>
      </c>
      <c r="Y113" s="1242">
        <f>Y44</f>
        <v>8.2500000000000004E-2</v>
      </c>
      <c r="Z113" s="898"/>
    </row>
    <row r="114" spans="2:31" ht="15.45">
      <c r="B114" s="899" t="s">
        <v>1269</v>
      </c>
      <c r="C114" s="1483">
        <f>C45</f>
        <v>0</v>
      </c>
      <c r="D114" s="900"/>
      <c r="E114" s="2866">
        <f>E45</f>
        <v>0</v>
      </c>
      <c r="F114" s="2866"/>
      <c r="G114" s="901">
        <f>G45</f>
        <v>0</v>
      </c>
      <c r="H114" s="2867">
        <f>H45</f>
        <v>0</v>
      </c>
      <c r="I114" s="2867"/>
      <c r="J114" s="1485">
        <f>J45</f>
        <v>0</v>
      </c>
      <c r="K114" s="1486"/>
      <c r="L114" s="1487"/>
      <c r="M114" s="1623">
        <f>M45</f>
        <v>0.18</v>
      </c>
      <c r="N114" s="1489"/>
      <c r="O114" s="1489"/>
      <c r="P114" s="1490"/>
      <c r="Q114" s="1479"/>
      <c r="R114" s="1479"/>
      <c r="S114" s="1137"/>
      <c r="T114" s="902" t="s">
        <v>980</v>
      </c>
      <c r="V114" s="2942">
        <f>V45</f>
        <v>0</v>
      </c>
      <c r="W114" s="2942"/>
      <c r="X114" s="903"/>
      <c r="Y114" s="18"/>
      <c r="Z114" s="898"/>
    </row>
    <row r="115" spans="2:31" ht="21.75" customHeight="1">
      <c r="B115" s="1492"/>
      <c r="C115" s="895"/>
      <c r="D115" s="895"/>
      <c r="E115" s="895"/>
      <c r="F115" s="895"/>
      <c r="G115" s="895"/>
      <c r="H115" s="895"/>
      <c r="I115" s="895"/>
      <c r="J115" s="895"/>
      <c r="K115" s="895"/>
      <c r="L115" s="895"/>
      <c r="M115" s="895"/>
      <c r="N115" s="895"/>
      <c r="O115" s="895"/>
      <c r="P115" s="895"/>
      <c r="Q115" s="1479"/>
      <c r="R115" s="1479"/>
      <c r="S115" s="895"/>
      <c r="T115" s="895"/>
      <c r="U115" s="895"/>
      <c r="V115" s="895"/>
      <c r="W115" s="895"/>
      <c r="X115" s="895"/>
      <c r="Y115" s="895"/>
      <c r="Z115" s="898"/>
    </row>
    <row r="116" spans="2:31" customFormat="1" ht="15" customHeight="1"/>
    <row r="117" spans="2:31" customFormat="1" ht="15" customHeight="1">
      <c r="G117" s="1624"/>
      <c r="H117" s="1625" t="s">
        <v>1651</v>
      </c>
      <c r="I117" s="1626">
        <f>SUM(I120:I222)</f>
        <v>0</v>
      </c>
      <c r="J117" s="1627" t="s">
        <v>1093</v>
      </c>
      <c r="K117" s="1626">
        <f>SUM(K120:K222)</f>
        <v>0</v>
      </c>
      <c r="L117" s="1628" t="s">
        <v>1652</v>
      </c>
      <c r="M117" s="1626">
        <f>SUM(M120:M222)</f>
        <v>0</v>
      </c>
      <c r="N117" s="1627" t="s">
        <v>1653</v>
      </c>
      <c r="O117" s="1626">
        <f>SUM(O120:O222)</f>
        <v>0</v>
      </c>
    </row>
    <row r="118" spans="2:31" ht="15" customHeight="1">
      <c r="B118" s="684" t="s">
        <v>1654</v>
      </c>
      <c r="C118" s="1243" t="s">
        <v>1655</v>
      </c>
      <c r="D118" s="686"/>
      <c r="E118" s="689">
        <f>D119-V114</f>
        <v>0</v>
      </c>
      <c r="G118" s="1629"/>
      <c r="H118" s="1465"/>
      <c r="I118" s="699">
        <f>I117-E124</f>
        <v>0</v>
      </c>
      <c r="J118" s="1465"/>
      <c r="K118" s="699">
        <f>K117-E126</f>
        <v>0</v>
      </c>
      <c r="L118" s="1465"/>
      <c r="M118" s="699">
        <f>M117-E127</f>
        <v>0</v>
      </c>
      <c r="N118" s="1465"/>
      <c r="O118" s="699">
        <f>O117-E153</f>
        <v>0</v>
      </c>
      <c r="Z118" s="18"/>
      <c r="AA118" s="18"/>
      <c r="AE118" s="18">
        <f>90000*1.3</f>
        <v>117000</v>
      </c>
    </row>
    <row r="119" spans="2:31" ht="15" customHeight="1">
      <c r="B119" s="700" t="str">
        <f>Summary!T73</f>
        <v>04</v>
      </c>
      <c r="C119" s="702"/>
      <c r="D119" s="2867">
        <f>SUM(E120:E177)-E153-E163</f>
        <v>0</v>
      </c>
      <c r="E119" s="2867"/>
      <c r="G119" s="1630"/>
      <c r="H119" s="1631" t="s">
        <v>1055</v>
      </c>
      <c r="I119" s="1632" t="s">
        <v>721</v>
      </c>
      <c r="J119" s="1633"/>
      <c r="K119" s="1632" t="s">
        <v>1093</v>
      </c>
      <c r="L119" s="1631" t="s">
        <v>1055</v>
      </c>
      <c r="M119" s="1632" t="s">
        <v>738</v>
      </c>
      <c r="N119" s="1631" t="s">
        <v>1055</v>
      </c>
      <c r="O119" s="1632" t="s">
        <v>1146</v>
      </c>
      <c r="AA119" s="18"/>
    </row>
    <row r="120" spans="2:31" ht="15" customHeight="1">
      <c r="B120" s="1244">
        <f>Summary!T74</f>
        <v>40001</v>
      </c>
      <c r="C120" s="707" t="str">
        <f>Summary!U74</f>
        <v>General Requirements</v>
      </c>
      <c r="D120" s="296"/>
      <c r="E120" s="708"/>
      <c r="G120" s="1634">
        <v>1</v>
      </c>
      <c r="H120" s="1635">
        <f t="shared" ref="H120:H151" si="91">40000+(100*G120)+5</f>
        <v>40105</v>
      </c>
      <c r="I120" s="1636">
        <f t="shared" ref="I120:I151" si="92">CO10</f>
        <v>0</v>
      </c>
      <c r="J120" s="1637">
        <f t="shared" ref="J120:J151" si="93">40000+(100*G120)+7</f>
        <v>40107</v>
      </c>
      <c r="K120" s="1636">
        <f t="shared" ref="K120:K151" si="94">DA10</f>
        <v>0</v>
      </c>
      <c r="L120" s="1637">
        <f t="shared" ref="L120:L151" si="95">40000+(100*G120)+8</f>
        <v>40108</v>
      </c>
      <c r="M120" s="1636">
        <f t="shared" ref="M120:M151" si="96">CN10</f>
        <v>0</v>
      </c>
      <c r="N120" s="1637">
        <f t="shared" ref="N120:N151" si="97">40000+(100*G120)+40</f>
        <v>40140</v>
      </c>
      <c r="O120" s="1636">
        <f t="shared" ref="O120:O151" si="98">SUM(CP10:CT10)+DB10</f>
        <v>0</v>
      </c>
      <c r="S120" s="1638"/>
    </row>
    <row r="121" spans="2:31" ht="15" customHeight="1">
      <c r="B121" s="1244">
        <f>Summary!T75</f>
        <v>40002</v>
      </c>
      <c r="C121" s="707" t="str">
        <f>Summary!U75</f>
        <v>Lumber</v>
      </c>
      <c r="D121" s="296"/>
      <c r="E121" s="717">
        <f>SUM(Z66:Z86)+Z109</f>
        <v>0</v>
      </c>
      <c r="G121" s="1634">
        <v>2</v>
      </c>
      <c r="H121" s="1635">
        <f t="shared" si="91"/>
        <v>40205</v>
      </c>
      <c r="I121" s="1639">
        <f t="shared" si="92"/>
        <v>0</v>
      </c>
      <c r="J121" s="1637">
        <f t="shared" si="93"/>
        <v>40207</v>
      </c>
      <c r="K121" s="1639">
        <f t="shared" si="94"/>
        <v>0</v>
      </c>
      <c r="L121" s="1637">
        <f t="shared" si="95"/>
        <v>40208</v>
      </c>
      <c r="M121" s="1639">
        <f t="shared" si="96"/>
        <v>0</v>
      </c>
      <c r="N121" s="1637">
        <f t="shared" si="97"/>
        <v>40240</v>
      </c>
      <c r="O121" s="1636">
        <f t="shared" si="98"/>
        <v>0</v>
      </c>
    </row>
    <row r="122" spans="2:31" ht="15" customHeight="1">
      <c r="B122" s="1244">
        <f>Summary!T76</f>
        <v>40003</v>
      </c>
      <c r="C122" s="707" t="str">
        <f>Summary!U76</f>
        <v>Sand Material</v>
      </c>
      <c r="D122" s="296"/>
      <c r="E122" s="717">
        <f>O73</f>
        <v>0</v>
      </c>
      <c r="G122" s="1634">
        <v>3</v>
      </c>
      <c r="H122" s="1635">
        <f t="shared" si="91"/>
        <v>40305</v>
      </c>
      <c r="I122" s="1639">
        <f t="shared" si="92"/>
        <v>0</v>
      </c>
      <c r="J122" s="1637">
        <f t="shared" si="93"/>
        <v>40307</v>
      </c>
      <c r="K122" s="1639">
        <f t="shared" si="94"/>
        <v>0</v>
      </c>
      <c r="L122" s="1637">
        <f t="shared" si="95"/>
        <v>40308</v>
      </c>
      <c r="M122" s="1639">
        <f t="shared" si="96"/>
        <v>0</v>
      </c>
      <c r="N122" s="1637">
        <f t="shared" si="97"/>
        <v>40340</v>
      </c>
      <c r="O122" s="1636">
        <f t="shared" si="98"/>
        <v>0</v>
      </c>
    </row>
    <row r="123" spans="2:31" ht="15" customHeight="1">
      <c r="B123" s="1244">
        <f>Summary!T77</f>
        <v>40004</v>
      </c>
      <c r="C123" s="707" t="str">
        <f>Summary!U77</f>
        <v>Rock Material</v>
      </c>
      <c r="D123" s="296"/>
      <c r="E123" s="717"/>
      <c r="G123" s="1634">
        <v>4</v>
      </c>
      <c r="H123" s="1635">
        <f t="shared" si="91"/>
        <v>40405</v>
      </c>
      <c r="I123" s="1639">
        <f t="shared" si="92"/>
        <v>0</v>
      </c>
      <c r="J123" s="1637">
        <f t="shared" si="93"/>
        <v>40407</v>
      </c>
      <c r="K123" s="1639">
        <f t="shared" si="94"/>
        <v>0</v>
      </c>
      <c r="L123" s="1637">
        <f t="shared" si="95"/>
        <v>40408</v>
      </c>
      <c r="M123" s="1639">
        <f t="shared" si="96"/>
        <v>0</v>
      </c>
      <c r="N123" s="1637">
        <f t="shared" si="97"/>
        <v>40440</v>
      </c>
      <c r="O123" s="1636">
        <f t="shared" si="98"/>
        <v>0</v>
      </c>
    </row>
    <row r="124" spans="2:31" ht="15" customHeight="1">
      <c r="B124" s="1244">
        <f>Summary!T78</f>
        <v>40005</v>
      </c>
      <c r="C124" s="707" t="str">
        <f>Summary!U78</f>
        <v>Reinforcement Material</v>
      </c>
      <c r="D124" s="296"/>
      <c r="E124" s="717">
        <f>I117+O71</f>
        <v>0</v>
      </c>
      <c r="G124" s="1634">
        <v>5</v>
      </c>
      <c r="H124" s="1635">
        <f t="shared" si="91"/>
        <v>40505</v>
      </c>
      <c r="I124" s="1639">
        <f t="shared" si="92"/>
        <v>0</v>
      </c>
      <c r="J124" s="1637">
        <f t="shared" si="93"/>
        <v>40507</v>
      </c>
      <c r="K124" s="1639">
        <f t="shared" si="94"/>
        <v>0</v>
      </c>
      <c r="L124" s="1637">
        <f t="shared" si="95"/>
        <v>40508</v>
      </c>
      <c r="M124" s="1639">
        <f t="shared" si="96"/>
        <v>0</v>
      </c>
      <c r="N124" s="1637">
        <f t="shared" si="97"/>
        <v>40540</v>
      </c>
      <c r="O124" s="1636">
        <f t="shared" si="98"/>
        <v>0</v>
      </c>
    </row>
    <row r="125" spans="2:31" ht="15" customHeight="1">
      <c r="B125" s="1244">
        <f>Summary!T79</f>
        <v>40006</v>
      </c>
      <c r="C125" s="707" t="str">
        <f>Summary!U79</f>
        <v>Reinforcement Accessories</v>
      </c>
      <c r="D125" s="296"/>
      <c r="E125" s="717">
        <f>SUM(Z98:Z100)</f>
        <v>0</v>
      </c>
      <c r="G125" s="1634">
        <v>6</v>
      </c>
      <c r="H125" s="1635">
        <f t="shared" si="91"/>
        <v>40605</v>
      </c>
      <c r="I125" s="1639">
        <f t="shared" si="92"/>
        <v>0</v>
      </c>
      <c r="J125" s="1637">
        <f t="shared" si="93"/>
        <v>40607</v>
      </c>
      <c r="K125" s="1639">
        <f t="shared" si="94"/>
        <v>0</v>
      </c>
      <c r="L125" s="1637">
        <f t="shared" si="95"/>
        <v>40608</v>
      </c>
      <c r="M125" s="1639">
        <f t="shared" si="96"/>
        <v>0</v>
      </c>
      <c r="N125" s="1637">
        <f t="shared" si="97"/>
        <v>40640</v>
      </c>
      <c r="O125" s="1636">
        <f t="shared" si="98"/>
        <v>0</v>
      </c>
    </row>
    <row r="126" spans="2:31" ht="15" customHeight="1">
      <c r="B126" s="1244">
        <f>Summary!T80</f>
        <v>40007</v>
      </c>
      <c r="C126" s="707" t="str">
        <f>Summary!U80</f>
        <v>PT Cables</v>
      </c>
      <c r="D126" s="296"/>
      <c r="E126" s="717">
        <f>K117</f>
        <v>0</v>
      </c>
      <c r="G126" s="1634">
        <v>7</v>
      </c>
      <c r="H126" s="1635">
        <f t="shared" si="91"/>
        <v>40705</v>
      </c>
      <c r="I126" s="1639">
        <f t="shared" si="92"/>
        <v>0</v>
      </c>
      <c r="J126" s="1637">
        <f t="shared" si="93"/>
        <v>40707</v>
      </c>
      <c r="K126" s="1639">
        <f t="shared" si="94"/>
        <v>0</v>
      </c>
      <c r="L126" s="1637">
        <f t="shared" si="95"/>
        <v>40708</v>
      </c>
      <c r="M126" s="1639">
        <f t="shared" si="96"/>
        <v>0</v>
      </c>
      <c r="N126" s="1637">
        <f t="shared" si="97"/>
        <v>40740</v>
      </c>
      <c r="O126" s="1636">
        <f t="shared" si="98"/>
        <v>0</v>
      </c>
    </row>
    <row r="127" spans="2:31" ht="15" customHeight="1">
      <c r="B127" s="1244">
        <f>Summary!T81</f>
        <v>40008</v>
      </c>
      <c r="C127" s="707" t="str">
        <f>Summary!U81</f>
        <v>Concrete Material</v>
      </c>
      <c r="D127" s="296"/>
      <c r="E127" s="717">
        <f>SUM(O65:P69)</f>
        <v>0</v>
      </c>
      <c r="G127" s="1634">
        <v>8</v>
      </c>
      <c r="H127" s="1635">
        <f t="shared" si="91"/>
        <v>40805</v>
      </c>
      <c r="I127" s="1639">
        <f t="shared" si="92"/>
        <v>0</v>
      </c>
      <c r="J127" s="1637">
        <f t="shared" si="93"/>
        <v>40807</v>
      </c>
      <c r="K127" s="1639">
        <f t="shared" si="94"/>
        <v>0</v>
      </c>
      <c r="L127" s="1637">
        <f t="shared" si="95"/>
        <v>40808</v>
      </c>
      <c r="M127" s="1639">
        <f t="shared" si="96"/>
        <v>0</v>
      </c>
      <c r="N127" s="1637">
        <f t="shared" si="97"/>
        <v>40840</v>
      </c>
      <c r="O127" s="1636">
        <f t="shared" si="98"/>
        <v>0</v>
      </c>
    </row>
    <row r="128" spans="2:31" ht="15" customHeight="1">
      <c r="B128" s="1244">
        <f>Summary!T82</f>
        <v>40009</v>
      </c>
      <c r="C128" s="707" t="str">
        <f>Summary!U82</f>
        <v>Carton Forms</v>
      </c>
      <c r="D128" s="296"/>
      <c r="E128" s="717">
        <f>SUM(O74:P76)</f>
        <v>0</v>
      </c>
      <c r="G128" s="1634">
        <v>9</v>
      </c>
      <c r="H128" s="1635">
        <f t="shared" si="91"/>
        <v>40905</v>
      </c>
      <c r="I128" s="1639">
        <f t="shared" si="92"/>
        <v>0</v>
      </c>
      <c r="J128" s="1637">
        <f t="shared" si="93"/>
        <v>40907</v>
      </c>
      <c r="K128" s="1639">
        <f t="shared" si="94"/>
        <v>0</v>
      </c>
      <c r="L128" s="1637">
        <f t="shared" si="95"/>
        <v>40908</v>
      </c>
      <c r="M128" s="1639">
        <f t="shared" si="96"/>
        <v>0</v>
      </c>
      <c r="N128" s="1637">
        <f t="shared" si="97"/>
        <v>40940</v>
      </c>
      <c r="O128" s="1636">
        <f t="shared" si="98"/>
        <v>0</v>
      </c>
    </row>
    <row r="129" spans="2:15" ht="15" customHeight="1">
      <c r="B129" s="1244">
        <f>Summary!T83</f>
        <v>40010</v>
      </c>
      <c r="C129" s="707" t="str">
        <f>Summary!U83</f>
        <v>Cure/Sealers</v>
      </c>
      <c r="D129" s="296"/>
      <c r="E129" s="717">
        <f>SUM(Z104:Z106)</f>
        <v>0</v>
      </c>
      <c r="G129" s="1634">
        <v>10</v>
      </c>
      <c r="H129" s="1635">
        <f t="shared" si="91"/>
        <v>41005</v>
      </c>
      <c r="I129" s="1639">
        <f t="shared" si="92"/>
        <v>0</v>
      </c>
      <c r="J129" s="1637">
        <f t="shared" si="93"/>
        <v>41007</v>
      </c>
      <c r="K129" s="1639">
        <f t="shared" si="94"/>
        <v>0</v>
      </c>
      <c r="L129" s="1637">
        <f t="shared" si="95"/>
        <v>41008</v>
      </c>
      <c r="M129" s="1639">
        <f t="shared" si="96"/>
        <v>0</v>
      </c>
      <c r="N129" s="1637">
        <f t="shared" si="97"/>
        <v>41040</v>
      </c>
      <c r="O129" s="1636">
        <f t="shared" si="98"/>
        <v>0</v>
      </c>
    </row>
    <row r="130" spans="2:15" ht="15" customHeight="1">
      <c r="B130" s="1244">
        <f>Summary!T84</f>
        <v>40011</v>
      </c>
      <c r="C130" s="707" t="str">
        <f>Summary!U84</f>
        <v>Patch/Grout</v>
      </c>
      <c r="D130" s="296"/>
      <c r="E130" s="717">
        <f>SUM(Z92:Z97)</f>
        <v>0</v>
      </c>
      <c r="G130" s="1634">
        <v>11</v>
      </c>
      <c r="H130" s="1635">
        <f t="shared" si="91"/>
        <v>41105</v>
      </c>
      <c r="I130" s="1639">
        <f t="shared" si="92"/>
        <v>0</v>
      </c>
      <c r="J130" s="1637">
        <f t="shared" si="93"/>
        <v>41107</v>
      </c>
      <c r="K130" s="1639">
        <f t="shared" si="94"/>
        <v>0</v>
      </c>
      <c r="L130" s="1637">
        <f t="shared" si="95"/>
        <v>41108</v>
      </c>
      <c r="M130" s="1639">
        <f t="shared" si="96"/>
        <v>0</v>
      </c>
      <c r="N130" s="1637">
        <f t="shared" si="97"/>
        <v>41140</v>
      </c>
      <c r="O130" s="1636">
        <f t="shared" si="98"/>
        <v>0</v>
      </c>
    </row>
    <row r="131" spans="2:15" ht="15" customHeight="1">
      <c r="B131" s="1244">
        <f>Summary!T85</f>
        <v>40012</v>
      </c>
      <c r="C131" s="707" t="str">
        <f>Summary!U85</f>
        <v>Poly/Vapor Barrier</v>
      </c>
      <c r="D131" s="296"/>
      <c r="E131" s="717">
        <f>SUM(Z87:Z90)</f>
        <v>0</v>
      </c>
      <c r="G131" s="1634">
        <v>12</v>
      </c>
      <c r="H131" s="1635">
        <f t="shared" si="91"/>
        <v>41205</v>
      </c>
      <c r="I131" s="1639">
        <f t="shared" si="92"/>
        <v>0</v>
      </c>
      <c r="J131" s="1637">
        <f t="shared" si="93"/>
        <v>41207</v>
      </c>
      <c r="K131" s="1639">
        <f t="shared" si="94"/>
        <v>0</v>
      </c>
      <c r="L131" s="1637">
        <f t="shared" si="95"/>
        <v>41208</v>
      </c>
      <c r="M131" s="1639">
        <f t="shared" si="96"/>
        <v>0</v>
      </c>
      <c r="N131" s="1637">
        <f t="shared" si="97"/>
        <v>41240</v>
      </c>
      <c r="O131" s="1636">
        <f t="shared" si="98"/>
        <v>0</v>
      </c>
    </row>
    <row r="132" spans="2:15" ht="15" customHeight="1">
      <c r="B132" s="1244">
        <f>Summary!T86</f>
        <v>40013</v>
      </c>
      <c r="C132" s="707" t="str">
        <f>Summary!U86</f>
        <v>Special Material</v>
      </c>
      <c r="D132" s="296"/>
      <c r="E132" s="717">
        <f>Z101</f>
        <v>0</v>
      </c>
      <c r="G132" s="1634">
        <v>13</v>
      </c>
      <c r="H132" s="1635">
        <f t="shared" si="91"/>
        <v>41305</v>
      </c>
      <c r="I132" s="1639">
        <f t="shared" si="92"/>
        <v>0</v>
      </c>
      <c r="J132" s="1637">
        <f t="shared" si="93"/>
        <v>41307</v>
      </c>
      <c r="K132" s="1639">
        <f t="shared" si="94"/>
        <v>0</v>
      </c>
      <c r="L132" s="1637">
        <f t="shared" si="95"/>
        <v>41308</v>
      </c>
      <c r="M132" s="1639">
        <f t="shared" si="96"/>
        <v>0</v>
      </c>
      <c r="N132" s="1637">
        <f t="shared" si="97"/>
        <v>41340</v>
      </c>
      <c r="O132" s="1636">
        <f t="shared" si="98"/>
        <v>0</v>
      </c>
    </row>
    <row r="133" spans="2:15" ht="15" customHeight="1">
      <c r="B133" s="1244">
        <f>Summary!T87</f>
        <v>40014</v>
      </c>
      <c r="C133" s="707" t="str">
        <f>Summary!U87</f>
        <v>Special Material</v>
      </c>
      <c r="D133" s="296"/>
      <c r="E133" s="717">
        <f>Z102</f>
        <v>0</v>
      </c>
      <c r="G133" s="1634">
        <v>14</v>
      </c>
      <c r="H133" s="1635">
        <f t="shared" si="91"/>
        <v>41405</v>
      </c>
      <c r="I133" s="1639">
        <f t="shared" si="92"/>
        <v>0</v>
      </c>
      <c r="J133" s="1637">
        <f t="shared" si="93"/>
        <v>41407</v>
      </c>
      <c r="K133" s="1639">
        <f t="shared" si="94"/>
        <v>0</v>
      </c>
      <c r="L133" s="1637">
        <f t="shared" si="95"/>
        <v>41408</v>
      </c>
      <c r="M133" s="1639">
        <f t="shared" si="96"/>
        <v>0</v>
      </c>
      <c r="N133" s="1637">
        <f t="shared" si="97"/>
        <v>41440</v>
      </c>
      <c r="O133" s="1636">
        <f t="shared" si="98"/>
        <v>0</v>
      </c>
    </row>
    <row r="134" spans="2:15" ht="15" customHeight="1">
      <c r="B134" s="1244">
        <f>Summary!T88</f>
        <v>40015</v>
      </c>
      <c r="C134" s="707" t="str">
        <f>Summary!U88</f>
        <v>PPE/Safety</v>
      </c>
      <c r="D134" s="296"/>
      <c r="E134" s="717">
        <f>Z103</f>
        <v>0</v>
      </c>
      <c r="G134" s="1634">
        <v>15</v>
      </c>
      <c r="H134" s="1635">
        <f t="shared" si="91"/>
        <v>41505</v>
      </c>
      <c r="I134" s="1639">
        <f t="shared" si="92"/>
        <v>0</v>
      </c>
      <c r="J134" s="1637">
        <f t="shared" si="93"/>
        <v>41507</v>
      </c>
      <c r="K134" s="1639">
        <f t="shared" si="94"/>
        <v>0</v>
      </c>
      <c r="L134" s="1637">
        <f t="shared" si="95"/>
        <v>41508</v>
      </c>
      <c r="M134" s="1639">
        <f t="shared" si="96"/>
        <v>0</v>
      </c>
      <c r="N134" s="1637">
        <f t="shared" si="97"/>
        <v>41540</v>
      </c>
      <c r="O134" s="1636">
        <f t="shared" si="98"/>
        <v>0</v>
      </c>
    </row>
    <row r="135" spans="2:15" ht="15" customHeight="1">
      <c r="B135" s="1244">
        <f>Summary!T89</f>
        <v>40020</v>
      </c>
      <c r="C135" s="707" t="str">
        <f>Summary!U89</f>
        <v>Supervision</v>
      </c>
      <c r="D135" s="296"/>
      <c r="E135" s="717">
        <f>SUM(O91:P92)</f>
        <v>0</v>
      </c>
      <c r="G135" s="1634">
        <v>16</v>
      </c>
      <c r="H135" s="1635">
        <f t="shared" si="91"/>
        <v>41605</v>
      </c>
      <c r="I135" s="1639">
        <f t="shared" si="92"/>
        <v>0</v>
      </c>
      <c r="J135" s="1637">
        <f t="shared" si="93"/>
        <v>41607</v>
      </c>
      <c r="K135" s="1639">
        <f t="shared" si="94"/>
        <v>0</v>
      </c>
      <c r="L135" s="1637">
        <f t="shared" si="95"/>
        <v>41608</v>
      </c>
      <c r="M135" s="1639">
        <f t="shared" si="96"/>
        <v>0</v>
      </c>
      <c r="N135" s="1637">
        <f t="shared" si="97"/>
        <v>41640</v>
      </c>
      <c r="O135" s="1636">
        <f t="shared" si="98"/>
        <v>0</v>
      </c>
    </row>
    <row r="136" spans="2:15" ht="15" customHeight="1">
      <c r="B136" s="1244">
        <f>Summary!T90</f>
        <v>40021</v>
      </c>
      <c r="C136" s="707" t="str">
        <f>Summary!U90</f>
        <v>Supervision Expense</v>
      </c>
      <c r="D136" s="296"/>
      <c r="E136" s="717">
        <f>O93</f>
        <v>0</v>
      </c>
      <c r="G136" s="1634">
        <v>17</v>
      </c>
      <c r="H136" s="1635">
        <f t="shared" si="91"/>
        <v>41705</v>
      </c>
      <c r="I136" s="1639">
        <f t="shared" si="92"/>
        <v>0</v>
      </c>
      <c r="J136" s="1637">
        <f t="shared" si="93"/>
        <v>41707</v>
      </c>
      <c r="K136" s="1639">
        <f t="shared" si="94"/>
        <v>0</v>
      </c>
      <c r="L136" s="1637">
        <f t="shared" si="95"/>
        <v>41708</v>
      </c>
      <c r="M136" s="1639">
        <f t="shared" si="96"/>
        <v>0</v>
      </c>
      <c r="N136" s="1637">
        <f t="shared" si="97"/>
        <v>41740</v>
      </c>
      <c r="O136" s="1636">
        <f t="shared" si="98"/>
        <v>0</v>
      </c>
    </row>
    <row r="137" spans="2:15" ht="15" customHeight="1">
      <c r="B137" s="1244">
        <f>Summary!T91</f>
        <v>40022</v>
      </c>
      <c r="C137" s="707" t="str">
        <f>Summary!U91</f>
        <v>Project Management</v>
      </c>
      <c r="D137" s="296"/>
      <c r="E137" s="717">
        <f>O94</f>
        <v>0</v>
      </c>
      <c r="G137" s="1634">
        <v>18</v>
      </c>
      <c r="H137" s="1635">
        <f t="shared" si="91"/>
        <v>41805</v>
      </c>
      <c r="I137" s="1639">
        <f t="shared" si="92"/>
        <v>0</v>
      </c>
      <c r="J137" s="1637">
        <f t="shared" si="93"/>
        <v>41807</v>
      </c>
      <c r="K137" s="1639">
        <f t="shared" si="94"/>
        <v>0</v>
      </c>
      <c r="L137" s="1637">
        <f t="shared" si="95"/>
        <v>41808</v>
      </c>
      <c r="M137" s="1639">
        <f t="shared" si="96"/>
        <v>0</v>
      </c>
      <c r="N137" s="1637">
        <f t="shared" si="97"/>
        <v>41840</v>
      </c>
      <c r="O137" s="1636">
        <f t="shared" si="98"/>
        <v>0</v>
      </c>
    </row>
    <row r="138" spans="2:15" ht="15" customHeight="1">
      <c r="B138" s="1244">
        <f>Summary!T92</f>
        <v>40023</v>
      </c>
      <c r="C138" s="707" t="str">
        <f>Summary!U92</f>
        <v>Labor Grade, Poly, Reinf.</v>
      </c>
      <c r="D138" s="296"/>
      <c r="E138" s="717">
        <f>L80</f>
        <v>0</v>
      </c>
      <c r="G138" s="1634">
        <v>19</v>
      </c>
      <c r="H138" s="1635">
        <f t="shared" si="91"/>
        <v>41905</v>
      </c>
      <c r="I138" s="1639">
        <f t="shared" si="92"/>
        <v>0</v>
      </c>
      <c r="J138" s="1637">
        <f t="shared" si="93"/>
        <v>41907</v>
      </c>
      <c r="K138" s="1639">
        <f t="shared" si="94"/>
        <v>0</v>
      </c>
      <c r="L138" s="1637">
        <f t="shared" si="95"/>
        <v>41908</v>
      </c>
      <c r="M138" s="1639">
        <f t="shared" si="96"/>
        <v>0</v>
      </c>
      <c r="N138" s="1637">
        <f t="shared" si="97"/>
        <v>41940</v>
      </c>
      <c r="O138" s="1636">
        <f t="shared" si="98"/>
        <v>0</v>
      </c>
    </row>
    <row r="139" spans="2:15">
      <c r="B139" s="1244">
        <f>Summary!T93</f>
        <v>40024</v>
      </c>
      <c r="C139" s="707" t="str">
        <f>Summary!U93</f>
        <v>Labor Place &amp; Finish</v>
      </c>
      <c r="D139" s="296"/>
      <c r="E139" s="717">
        <f>L81</f>
        <v>0</v>
      </c>
      <c r="G139" s="1634">
        <v>20</v>
      </c>
      <c r="H139" s="1635">
        <f t="shared" si="91"/>
        <v>42005</v>
      </c>
      <c r="I139" s="1639">
        <f t="shared" si="92"/>
        <v>0</v>
      </c>
      <c r="J139" s="1637">
        <f t="shared" si="93"/>
        <v>42007</v>
      </c>
      <c r="K139" s="1639">
        <f t="shared" si="94"/>
        <v>0</v>
      </c>
      <c r="L139" s="1637">
        <f t="shared" si="95"/>
        <v>42008</v>
      </c>
      <c r="M139" s="1639">
        <f t="shared" si="96"/>
        <v>0</v>
      </c>
      <c r="N139" s="1637">
        <f t="shared" si="97"/>
        <v>42040</v>
      </c>
      <c r="O139" s="1636">
        <f t="shared" si="98"/>
        <v>0</v>
      </c>
    </row>
    <row r="140" spans="2:15">
      <c r="B140" s="1244">
        <f>Summary!T94</f>
        <v>40025</v>
      </c>
      <c r="C140" s="707" t="str">
        <f>Summary!U94</f>
        <v>Labor Drops</v>
      </c>
      <c r="D140" s="296"/>
      <c r="E140" s="717">
        <f>L83</f>
        <v>0</v>
      </c>
      <c r="G140" s="1634">
        <v>21</v>
      </c>
      <c r="H140" s="1635">
        <f t="shared" si="91"/>
        <v>42105</v>
      </c>
      <c r="I140" s="1639">
        <f t="shared" si="92"/>
        <v>0</v>
      </c>
      <c r="J140" s="1637">
        <f t="shared" si="93"/>
        <v>42107</v>
      </c>
      <c r="K140" s="1639">
        <f t="shared" si="94"/>
        <v>0</v>
      </c>
      <c r="L140" s="1637">
        <f t="shared" si="95"/>
        <v>42108</v>
      </c>
      <c r="M140" s="1639">
        <f t="shared" si="96"/>
        <v>0</v>
      </c>
      <c r="N140" s="1637">
        <f t="shared" si="97"/>
        <v>42140</v>
      </c>
      <c r="O140" s="1636">
        <f t="shared" si="98"/>
        <v>0</v>
      </c>
    </row>
    <row r="141" spans="2:15">
      <c r="B141" s="1244">
        <f>Summary!T95</f>
        <v>40026</v>
      </c>
      <c r="C141" s="707" t="str">
        <f>Summary!U95</f>
        <v>Labor Strip Forms</v>
      </c>
      <c r="D141" s="296"/>
      <c r="E141" s="717">
        <f>L82</f>
        <v>0</v>
      </c>
      <c r="G141" s="1634">
        <v>22</v>
      </c>
      <c r="H141" s="1635">
        <f t="shared" si="91"/>
        <v>42205</v>
      </c>
      <c r="I141" s="1639">
        <f t="shared" si="92"/>
        <v>0</v>
      </c>
      <c r="J141" s="1637">
        <f t="shared" si="93"/>
        <v>42207</v>
      </c>
      <c r="K141" s="1639">
        <f t="shared" si="94"/>
        <v>0</v>
      </c>
      <c r="L141" s="1637">
        <f t="shared" si="95"/>
        <v>42208</v>
      </c>
      <c r="M141" s="1639">
        <f t="shared" si="96"/>
        <v>0</v>
      </c>
      <c r="N141" s="1637">
        <f t="shared" si="97"/>
        <v>42240</v>
      </c>
      <c r="O141" s="1636">
        <f t="shared" si="98"/>
        <v>0</v>
      </c>
    </row>
    <row r="142" spans="2:15">
      <c r="B142" s="1244">
        <f>Summary!T96</f>
        <v>40027</v>
      </c>
      <c r="C142" s="707" t="str">
        <f>Summary!U96</f>
        <v>Labor Burden</v>
      </c>
      <c r="D142" s="296"/>
      <c r="E142" s="717">
        <f>L86</f>
        <v>0</v>
      </c>
      <c r="G142" s="1634">
        <v>23</v>
      </c>
      <c r="H142" s="1635">
        <f t="shared" si="91"/>
        <v>42305</v>
      </c>
      <c r="I142" s="1639">
        <f t="shared" si="92"/>
        <v>0</v>
      </c>
      <c r="J142" s="1637">
        <f t="shared" si="93"/>
        <v>42307</v>
      </c>
      <c r="K142" s="1639">
        <f t="shared" si="94"/>
        <v>0</v>
      </c>
      <c r="L142" s="1637">
        <f t="shared" si="95"/>
        <v>42308</v>
      </c>
      <c r="M142" s="1639">
        <f t="shared" si="96"/>
        <v>0</v>
      </c>
      <c r="N142" s="1637">
        <f t="shared" si="97"/>
        <v>42340</v>
      </c>
      <c r="O142" s="1636">
        <f t="shared" si="98"/>
        <v>0</v>
      </c>
    </row>
    <row r="143" spans="2:15">
      <c r="B143" s="1244">
        <f>Summary!T97</f>
        <v>40028</v>
      </c>
      <c r="C143" s="707" t="str">
        <f>Summary!U97</f>
        <v>Surveying</v>
      </c>
      <c r="D143" s="296"/>
      <c r="E143" s="717"/>
      <c r="G143" s="1634">
        <v>24</v>
      </c>
      <c r="H143" s="1635">
        <f t="shared" si="91"/>
        <v>42405</v>
      </c>
      <c r="I143" s="1639">
        <f t="shared" si="92"/>
        <v>0</v>
      </c>
      <c r="J143" s="1637">
        <f t="shared" si="93"/>
        <v>42407</v>
      </c>
      <c r="K143" s="1639">
        <f t="shared" si="94"/>
        <v>0</v>
      </c>
      <c r="L143" s="1637">
        <f t="shared" si="95"/>
        <v>42408</v>
      </c>
      <c r="M143" s="1639">
        <f t="shared" si="96"/>
        <v>0</v>
      </c>
      <c r="N143" s="1637">
        <f t="shared" si="97"/>
        <v>42440</v>
      </c>
      <c r="O143" s="1636">
        <f t="shared" si="98"/>
        <v>0</v>
      </c>
    </row>
    <row r="144" spans="2:15">
      <c r="B144" s="1244">
        <f>Summary!T98</f>
        <v>40030</v>
      </c>
      <c r="C144" s="707" t="str">
        <f>Summary!U98</f>
        <v>Pumping</v>
      </c>
      <c r="D144" s="296"/>
      <c r="E144" s="717">
        <f>O106</f>
        <v>0</v>
      </c>
      <c r="G144" s="1634">
        <v>25</v>
      </c>
      <c r="H144" s="1635">
        <f t="shared" si="91"/>
        <v>42505</v>
      </c>
      <c r="I144" s="1639">
        <f t="shared" si="92"/>
        <v>0</v>
      </c>
      <c r="J144" s="1637">
        <f t="shared" si="93"/>
        <v>42507</v>
      </c>
      <c r="K144" s="1639">
        <f t="shared" si="94"/>
        <v>0</v>
      </c>
      <c r="L144" s="1637">
        <f t="shared" si="95"/>
        <v>42508</v>
      </c>
      <c r="M144" s="1639">
        <f t="shared" si="96"/>
        <v>0</v>
      </c>
      <c r="N144" s="1637">
        <f t="shared" si="97"/>
        <v>42540</v>
      </c>
      <c r="O144" s="1636">
        <f t="shared" si="98"/>
        <v>0</v>
      </c>
    </row>
    <row r="145" spans="2:17">
      <c r="B145" s="1244">
        <f>Summary!T99</f>
        <v>40031</v>
      </c>
      <c r="C145" s="707" t="str">
        <f>Summary!U99</f>
        <v>Earth Work/Excavation</v>
      </c>
      <c r="D145" s="296"/>
      <c r="E145" s="717"/>
      <c r="G145" s="1634">
        <v>26</v>
      </c>
      <c r="H145" s="1635">
        <f t="shared" si="91"/>
        <v>42605</v>
      </c>
      <c r="I145" s="1639">
        <f t="shared" si="92"/>
        <v>0</v>
      </c>
      <c r="J145" s="1637">
        <f t="shared" si="93"/>
        <v>42607</v>
      </c>
      <c r="K145" s="1639">
        <f t="shared" si="94"/>
        <v>0</v>
      </c>
      <c r="L145" s="1637">
        <f t="shared" si="95"/>
        <v>42608</v>
      </c>
      <c r="M145" s="1639">
        <f t="shared" si="96"/>
        <v>0</v>
      </c>
      <c r="N145" s="1637">
        <f t="shared" si="97"/>
        <v>42640</v>
      </c>
      <c r="O145" s="1636">
        <f t="shared" si="98"/>
        <v>0</v>
      </c>
    </row>
    <row r="146" spans="2:17">
      <c r="B146" s="1244">
        <f>Summary!T100</f>
        <v>40032</v>
      </c>
      <c r="C146" s="707" t="str">
        <f>Summary!U100</f>
        <v>Drilling</v>
      </c>
      <c r="D146" s="296"/>
      <c r="E146" s="717"/>
      <c r="G146" s="1634">
        <v>27</v>
      </c>
      <c r="H146" s="1635">
        <f t="shared" si="91"/>
        <v>42705</v>
      </c>
      <c r="I146" s="1639">
        <f t="shared" si="92"/>
        <v>0</v>
      </c>
      <c r="J146" s="1637">
        <f t="shared" si="93"/>
        <v>42707</v>
      </c>
      <c r="K146" s="1639">
        <f t="shared" si="94"/>
        <v>0</v>
      </c>
      <c r="L146" s="1637">
        <f t="shared" si="95"/>
        <v>42708</v>
      </c>
      <c r="M146" s="1639">
        <f t="shared" si="96"/>
        <v>0</v>
      </c>
      <c r="N146" s="1637">
        <f t="shared" si="97"/>
        <v>42740</v>
      </c>
      <c r="O146" s="1636">
        <f t="shared" si="98"/>
        <v>0</v>
      </c>
    </row>
    <row r="147" spans="2:17">
      <c r="B147" s="1244">
        <f>Summary!T101</f>
        <v>40033</v>
      </c>
      <c r="C147" s="707" t="str">
        <f>Summary!U101</f>
        <v>Haul off</v>
      </c>
      <c r="D147" s="296"/>
      <c r="E147" s="717">
        <f>O107</f>
        <v>0</v>
      </c>
      <c r="G147" s="1634">
        <v>28</v>
      </c>
      <c r="H147" s="1635">
        <f t="shared" si="91"/>
        <v>42805</v>
      </c>
      <c r="I147" s="1639">
        <f t="shared" si="92"/>
        <v>0</v>
      </c>
      <c r="J147" s="1637">
        <f t="shared" si="93"/>
        <v>42807</v>
      </c>
      <c r="K147" s="1639">
        <f t="shared" si="94"/>
        <v>0</v>
      </c>
      <c r="L147" s="1637">
        <f t="shared" si="95"/>
        <v>42808</v>
      </c>
      <c r="M147" s="1639">
        <f t="shared" si="96"/>
        <v>0</v>
      </c>
      <c r="N147" s="1637">
        <f t="shared" si="97"/>
        <v>42840</v>
      </c>
      <c r="O147" s="1636">
        <f t="shared" si="98"/>
        <v>0</v>
      </c>
    </row>
    <row r="148" spans="2:17">
      <c r="B148" s="1244">
        <f>Summary!T102</f>
        <v>40034</v>
      </c>
      <c r="C148" s="707" t="str">
        <f>Summary!U102</f>
        <v>Saw Cutting/Sealing</v>
      </c>
      <c r="D148" s="296"/>
      <c r="E148" s="717">
        <f>O104+O105</f>
        <v>0</v>
      </c>
      <c r="G148" s="1634">
        <v>29</v>
      </c>
      <c r="H148" s="1635">
        <f t="shared" si="91"/>
        <v>42905</v>
      </c>
      <c r="I148" s="1639">
        <f t="shared" si="92"/>
        <v>0</v>
      </c>
      <c r="J148" s="1637">
        <f t="shared" si="93"/>
        <v>42907</v>
      </c>
      <c r="K148" s="1639">
        <f t="shared" si="94"/>
        <v>0</v>
      </c>
      <c r="L148" s="1637">
        <f t="shared" si="95"/>
        <v>42908</v>
      </c>
      <c r="M148" s="1639">
        <f t="shared" si="96"/>
        <v>0</v>
      </c>
      <c r="N148" s="1637">
        <f t="shared" si="97"/>
        <v>42940</v>
      </c>
      <c r="O148" s="1636">
        <f t="shared" si="98"/>
        <v>0</v>
      </c>
    </row>
    <row r="149" spans="2:17">
      <c r="B149" s="1244">
        <f>Summary!T103</f>
        <v>40035</v>
      </c>
      <c r="C149" s="707" t="str">
        <f>Summary!U103</f>
        <v>Demolition</v>
      </c>
      <c r="D149" s="296"/>
      <c r="E149" s="717"/>
      <c r="G149" s="1634">
        <v>30</v>
      </c>
      <c r="H149" s="1635">
        <f t="shared" si="91"/>
        <v>43005</v>
      </c>
      <c r="I149" s="1639">
        <f t="shared" si="92"/>
        <v>0</v>
      </c>
      <c r="J149" s="1637">
        <f t="shared" si="93"/>
        <v>43007</v>
      </c>
      <c r="K149" s="1639">
        <f t="shared" si="94"/>
        <v>0</v>
      </c>
      <c r="L149" s="1637">
        <f t="shared" si="95"/>
        <v>43008</v>
      </c>
      <c r="M149" s="1639">
        <f t="shared" si="96"/>
        <v>0</v>
      </c>
      <c r="N149" s="1637">
        <f t="shared" si="97"/>
        <v>43040</v>
      </c>
      <c r="O149" s="1636">
        <f t="shared" si="98"/>
        <v>0</v>
      </c>
    </row>
    <row r="150" spans="2:17">
      <c r="B150" s="1244">
        <f>Summary!T104</f>
        <v>40037</v>
      </c>
      <c r="C150" s="707" t="str">
        <f>Summary!U104</f>
        <v>Waterproofing</v>
      </c>
      <c r="D150" s="296"/>
      <c r="E150" s="717"/>
      <c r="G150" s="1634">
        <v>31</v>
      </c>
      <c r="H150" s="1635">
        <f t="shared" si="91"/>
        <v>43105</v>
      </c>
      <c r="I150" s="1639">
        <f t="shared" si="92"/>
        <v>0</v>
      </c>
      <c r="J150" s="1637">
        <f t="shared" si="93"/>
        <v>43107</v>
      </c>
      <c r="K150" s="1639">
        <f t="shared" si="94"/>
        <v>0</v>
      </c>
      <c r="L150" s="1637">
        <f t="shared" si="95"/>
        <v>43108</v>
      </c>
      <c r="M150" s="1639">
        <f t="shared" si="96"/>
        <v>0</v>
      </c>
      <c r="N150" s="1637">
        <f t="shared" si="97"/>
        <v>43140</v>
      </c>
      <c r="O150" s="1636">
        <f t="shared" si="98"/>
        <v>0</v>
      </c>
    </row>
    <row r="151" spans="2:17">
      <c r="B151" s="1244">
        <f>Summary!T105</f>
        <v>40038</v>
      </c>
      <c r="C151" s="518" t="str">
        <f>Summary!U105</f>
        <v>Crain/Hoisting</v>
      </c>
      <c r="D151" s="715"/>
      <c r="E151" s="717"/>
      <c r="G151" s="1634">
        <v>32</v>
      </c>
      <c r="H151" s="1635">
        <f t="shared" si="91"/>
        <v>43205</v>
      </c>
      <c r="I151" s="1639">
        <f t="shared" si="92"/>
        <v>0</v>
      </c>
      <c r="J151" s="1637">
        <f t="shared" si="93"/>
        <v>43207</v>
      </c>
      <c r="K151" s="1639">
        <f t="shared" si="94"/>
        <v>0</v>
      </c>
      <c r="L151" s="1637">
        <f t="shared" si="95"/>
        <v>43208</v>
      </c>
      <c r="M151" s="1639">
        <f t="shared" si="96"/>
        <v>0</v>
      </c>
      <c r="N151" s="1637">
        <f t="shared" si="97"/>
        <v>43240</v>
      </c>
      <c r="O151" s="1636">
        <f t="shared" si="98"/>
        <v>0</v>
      </c>
    </row>
    <row r="152" spans="2:17">
      <c r="B152" s="1246">
        <f>Summary!T106</f>
        <v>40039</v>
      </c>
      <c r="C152" s="753" t="str">
        <f>Summary!U106</f>
        <v>Forming Systems</v>
      </c>
      <c r="D152" s="248"/>
      <c r="E152" s="738"/>
      <c r="G152" s="1641"/>
      <c r="H152" s="1642"/>
      <c r="I152" s="351"/>
      <c r="J152" s="1643"/>
      <c r="K152" s="351"/>
      <c r="L152" s="1643"/>
      <c r="M152" s="351"/>
      <c r="N152" s="1643"/>
      <c r="O152" s="351"/>
    </row>
    <row r="153" spans="2:17">
      <c r="B153" s="1665">
        <f>Summary!T107</f>
        <v>40040</v>
      </c>
      <c r="C153" s="1666" t="str">
        <f>Summary!U107</f>
        <v>Total Sub Labor</v>
      </c>
      <c r="D153" s="1667"/>
      <c r="E153" s="1668">
        <f>O117</f>
        <v>0</v>
      </c>
    </row>
    <row r="154" spans="2:17">
      <c r="B154" s="1244">
        <f>Summary!T108</f>
        <v>40041</v>
      </c>
      <c r="C154" s="707" t="str">
        <f>Summary!U108</f>
        <v>Labor Forming</v>
      </c>
      <c r="D154" s="296"/>
      <c r="E154" s="708">
        <f>O79</f>
        <v>0</v>
      </c>
    </row>
    <row r="155" spans="2:17">
      <c r="B155" s="1244">
        <f>Summary!T109</f>
        <v>40042</v>
      </c>
      <c r="C155" s="707" t="str">
        <f>Summary!U109</f>
        <v>Labor Grade, Poly, Reinf.</v>
      </c>
      <c r="D155" s="296"/>
      <c r="E155" s="717">
        <f>O80+O85</f>
        <v>0</v>
      </c>
      <c r="Q155" s="163" t="s">
        <v>1656</v>
      </c>
    </row>
    <row r="156" spans="2:17">
      <c r="B156" s="1244">
        <f>Summary!T110</f>
        <v>40043</v>
      </c>
      <c r="C156" s="707" t="str">
        <f>Summary!U110</f>
        <v>Labor Place &amp; Finish</v>
      </c>
      <c r="D156" s="296"/>
      <c r="E156" s="717">
        <f>O81</f>
        <v>0</v>
      </c>
      <c r="G156" s="1641"/>
      <c r="H156" s="1642"/>
      <c r="I156" s="351"/>
      <c r="J156" s="351"/>
      <c r="K156" s="351"/>
      <c r="L156" s="351"/>
    </row>
    <row r="157" spans="2:17">
      <c r="B157" s="1244">
        <f>Summary!T111</f>
        <v>40044</v>
      </c>
      <c r="C157" s="707" t="str">
        <f>Summary!U111</f>
        <v>Labor Drops</v>
      </c>
      <c r="D157" s="715"/>
      <c r="E157" s="708">
        <f>O83</f>
        <v>0</v>
      </c>
      <c r="G157" s="1641"/>
      <c r="H157" s="1642"/>
      <c r="I157" s="351"/>
      <c r="J157" s="351"/>
      <c r="K157" s="351"/>
      <c r="L157" s="351"/>
    </row>
    <row r="158" spans="2:17">
      <c r="B158" s="1244">
        <f>Summary!T112</f>
        <v>40045</v>
      </c>
      <c r="C158" s="707" t="str">
        <f>Summary!U112</f>
        <v>Labor Strip Forms</v>
      </c>
      <c r="D158" s="296"/>
      <c r="E158" s="717">
        <f>O82</f>
        <v>0</v>
      </c>
      <c r="G158" s="1641"/>
      <c r="H158" s="1642"/>
      <c r="I158" s="351"/>
      <c r="J158" s="351"/>
      <c r="K158" s="351"/>
      <c r="L158" s="351"/>
    </row>
    <row r="159" spans="2:17">
      <c r="B159" s="1244">
        <f>Summary!T113</f>
        <v>40046</v>
      </c>
      <c r="C159" s="707" t="str">
        <f>Summary!U113</f>
        <v>Labor Burden</v>
      </c>
      <c r="D159" s="296"/>
      <c r="E159" s="717">
        <f>O84</f>
        <v>0</v>
      </c>
      <c r="G159" s="1641"/>
      <c r="H159" s="1642"/>
      <c r="I159" s="351"/>
      <c r="J159" s="351"/>
      <c r="K159" s="351"/>
      <c r="L159" s="351"/>
    </row>
    <row r="160" spans="2:17">
      <c r="B160" s="1244">
        <f>Summary!T114</f>
        <v>40047</v>
      </c>
      <c r="C160" s="707" t="str">
        <f>Summary!U114</f>
        <v>Rebar</v>
      </c>
      <c r="D160" s="715"/>
      <c r="E160" s="708">
        <f>O87</f>
        <v>0</v>
      </c>
      <c r="G160" s="1641"/>
      <c r="H160" s="1642"/>
      <c r="I160" s="351"/>
      <c r="J160" s="351"/>
      <c r="K160" s="351"/>
      <c r="L160" s="351"/>
    </row>
    <row r="161" spans="2:5">
      <c r="B161" s="1648">
        <f>Summary!T115</f>
        <v>40048</v>
      </c>
      <c r="C161" s="518" t="str">
        <f>Summary!U115</f>
        <v>PT Installation</v>
      </c>
      <c r="D161" s="715"/>
      <c r="E161" s="717">
        <f>O86</f>
        <v>0</v>
      </c>
    </row>
    <row r="162" spans="2:5">
      <c r="B162" s="1649">
        <f>Summary!T116</f>
        <v>40049</v>
      </c>
      <c r="C162" s="736" t="str">
        <f>Summary!U116</f>
        <v>Extra Hours</v>
      </c>
      <c r="D162" s="248"/>
      <c r="E162" s="738">
        <f>O88</f>
        <v>0</v>
      </c>
    </row>
    <row r="163" spans="2:5">
      <c r="B163" s="1247">
        <f>Summary!T117</f>
        <v>40060</v>
      </c>
      <c r="C163" s="1248" t="str">
        <f>Summary!U117</f>
        <v>Total Equipment Rental</v>
      </c>
      <c r="D163" s="1249"/>
      <c r="E163" s="1250">
        <f>SUM(E164:E171)</f>
        <v>0</v>
      </c>
    </row>
    <row r="164" spans="2:5">
      <c r="B164" s="1244">
        <f>Summary!T118</f>
        <v>40061</v>
      </c>
      <c r="C164" s="707" t="str">
        <f>Summary!U118</f>
        <v>SkyTrack</v>
      </c>
      <c r="D164" s="296"/>
      <c r="E164" s="708">
        <f>O96/(1+$Y$44+J$98)</f>
        <v>0</v>
      </c>
    </row>
    <row r="165" spans="2:5">
      <c r="B165" s="1244">
        <f>Summary!T119</f>
        <v>40062</v>
      </c>
      <c r="C165" s="707" t="str">
        <f>Summary!U119</f>
        <v>Mini Ex</v>
      </c>
      <c r="D165" s="296"/>
      <c r="E165" s="708">
        <f>O97/(1+$Y$44+J$98)</f>
        <v>0</v>
      </c>
    </row>
    <row r="166" spans="2:5">
      <c r="B166" s="1244">
        <f>Summary!T120</f>
        <v>40063</v>
      </c>
      <c r="C166" s="707" t="str">
        <f>Summary!U120</f>
        <v>Trencher</v>
      </c>
      <c r="D166" s="296"/>
      <c r="E166" s="708">
        <f>O98/(1+$Y$44+J$98)</f>
        <v>0</v>
      </c>
    </row>
    <row r="167" spans="2:5">
      <c r="B167" s="1244">
        <f>Summary!T121</f>
        <v>40064</v>
      </c>
      <c r="C167" s="707" t="str">
        <f>Summary!U121</f>
        <v>Skid Steer</v>
      </c>
      <c r="D167" s="296"/>
      <c r="E167" s="708">
        <f>O99/(1+$Y$44+J$98)</f>
        <v>0</v>
      </c>
    </row>
    <row r="168" spans="2:5">
      <c r="B168" s="1244">
        <f>Summary!T122</f>
        <v>40065</v>
      </c>
      <c r="C168" s="707" t="str">
        <f>Summary!U122</f>
        <v>General Equipment Rental</v>
      </c>
      <c r="D168" s="296"/>
      <c r="E168" s="708">
        <f>(O100+O101)/(1+$Y$44+J$98)</f>
        <v>0</v>
      </c>
    </row>
    <row r="169" spans="2:5">
      <c r="B169" s="1244">
        <f>Summary!T123</f>
        <v>40066</v>
      </c>
      <c r="C169" s="707" t="str">
        <f>Summary!U123</f>
        <v>Fuel</v>
      </c>
      <c r="D169" s="296"/>
      <c r="E169" s="708">
        <f>M98-SUM(E164:E168)</f>
        <v>0</v>
      </c>
    </row>
    <row r="170" spans="2:5">
      <c r="B170" s="1244">
        <f>Summary!T124</f>
        <v>40067</v>
      </c>
      <c r="C170" s="707" t="str">
        <f>Summary!U124</f>
        <v>Purchased Tools</v>
      </c>
      <c r="D170" s="296"/>
      <c r="E170" s="708"/>
    </row>
    <row r="171" spans="2:5">
      <c r="B171" s="1244">
        <f>Summary!T125</f>
        <v>40068</v>
      </c>
      <c r="C171" s="707" t="str">
        <f>Summary!U125</f>
        <v>Stolen/Damaged</v>
      </c>
      <c r="D171" s="296"/>
      <c r="E171" s="708"/>
    </row>
    <row r="172" spans="2:5">
      <c r="B172" s="1244">
        <f>Summary!T126</f>
        <v>40070</v>
      </c>
      <c r="C172" s="707" t="str">
        <f>Summary!U126</f>
        <v>Out of Town Expense</v>
      </c>
      <c r="D172" s="296"/>
      <c r="E172" s="708">
        <f>O108</f>
        <v>0</v>
      </c>
    </row>
    <row r="173" spans="2:5">
      <c r="B173" s="1244">
        <f>Summary!T127</f>
        <v>40071</v>
      </c>
      <c r="C173" s="707" t="str">
        <f>Summary!U127</f>
        <v>Miscellaneous</v>
      </c>
      <c r="D173" s="296"/>
      <c r="E173" s="708">
        <f>O109</f>
        <v>0</v>
      </c>
    </row>
    <row r="174" spans="2:5">
      <c r="B174" s="1244">
        <f>Summary!T128</f>
        <v>40072</v>
      </c>
      <c r="C174" s="707" t="str">
        <f>Summary!U128</f>
        <v>Repairs</v>
      </c>
      <c r="D174" s="296"/>
      <c r="E174" s="717"/>
    </row>
    <row r="175" spans="2:5">
      <c r="B175" s="1244">
        <f>Summary!T129</f>
        <v>40073</v>
      </c>
      <c r="C175" s="707" t="str">
        <f>Summary!U129</f>
        <v>Engineering</v>
      </c>
      <c r="D175" s="296"/>
      <c r="E175" s="717">
        <f>O103</f>
        <v>0</v>
      </c>
    </row>
    <row r="176" spans="2:5">
      <c r="B176" s="1244">
        <f>Summary!T130</f>
        <v>40090</v>
      </c>
      <c r="C176" s="707" t="str">
        <f>Summary!U130</f>
        <v>Not Used</v>
      </c>
      <c r="D176" s="296"/>
      <c r="E176" s="717"/>
    </row>
    <row r="177" spans="2:5">
      <c r="B177" s="1244">
        <f>Summary!T131</f>
        <v>40091</v>
      </c>
      <c r="C177" s="707" t="str">
        <f>Summary!U131</f>
        <v>Margin Contingency</v>
      </c>
      <c r="D177" s="296"/>
      <c r="E177" s="717">
        <f>O110</f>
        <v>0</v>
      </c>
    </row>
  </sheetData>
  <mergeCells count="119">
    <mergeCell ref="E114:F114"/>
    <mergeCell ref="H114:I114"/>
    <mergeCell ref="V114:W114"/>
    <mergeCell ref="D119:E119"/>
    <mergeCell ref="O101:P101"/>
    <mergeCell ref="O103:P103"/>
    <mergeCell ref="O104:P104"/>
    <mergeCell ref="O105:P105"/>
    <mergeCell ref="O106:P106"/>
    <mergeCell ref="O107:P107"/>
    <mergeCell ref="O108:P108"/>
    <mergeCell ref="O109:P109"/>
    <mergeCell ref="B110:D110"/>
    <mergeCell ref="G110:H110"/>
    <mergeCell ref="O110:P110"/>
    <mergeCell ref="O96:P96"/>
    <mergeCell ref="J97:K97"/>
    <mergeCell ref="M97:N97"/>
    <mergeCell ref="O97:P97"/>
    <mergeCell ref="J98:K99"/>
    <mergeCell ref="M98:N98"/>
    <mergeCell ref="O98:P98"/>
    <mergeCell ref="O99:P99"/>
    <mergeCell ref="O100:P100"/>
    <mergeCell ref="L89:M89"/>
    <mergeCell ref="O89:P89"/>
    <mergeCell ref="M91:N91"/>
    <mergeCell ref="O91:P91"/>
    <mergeCell ref="M92:N92"/>
    <mergeCell ref="O92:P92"/>
    <mergeCell ref="O93:P93"/>
    <mergeCell ref="M94:N94"/>
    <mergeCell ref="O94:P94"/>
    <mergeCell ref="E86:F86"/>
    <mergeCell ref="I86:J86"/>
    <mergeCell ref="L86:M86"/>
    <mergeCell ref="O86:P86"/>
    <mergeCell ref="E87:F87"/>
    <mergeCell ref="I87:J87"/>
    <mergeCell ref="L87:M87"/>
    <mergeCell ref="O87:P87"/>
    <mergeCell ref="E88:F88"/>
    <mergeCell ref="L88:M88"/>
    <mergeCell ref="O88:P88"/>
    <mergeCell ref="E83:F83"/>
    <mergeCell ref="I83:J83"/>
    <mergeCell ref="L83:M83"/>
    <mergeCell ref="O83:P83"/>
    <mergeCell ref="O84:P84"/>
    <mergeCell ref="E85:F85"/>
    <mergeCell ref="I85:J85"/>
    <mergeCell ref="L85:M85"/>
    <mergeCell ref="O85:P85"/>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L73:M73"/>
    <mergeCell ref="O73:P73"/>
    <mergeCell ref="E74:E76"/>
    <mergeCell ref="L74:M74"/>
    <mergeCell ref="O74:P74"/>
    <mergeCell ref="L75:M75"/>
    <mergeCell ref="O75:P75"/>
    <mergeCell ref="L76:M76"/>
    <mergeCell ref="O76:P76"/>
    <mergeCell ref="L70:M70"/>
    <mergeCell ref="O70:P70"/>
    <mergeCell ref="L71:M71"/>
    <mergeCell ref="O71:P71"/>
    <mergeCell ref="C72:D72"/>
    <mergeCell ref="E72:F72"/>
    <mergeCell ref="J72:K72"/>
    <mergeCell ref="L72:M72"/>
    <mergeCell ref="O72:P72"/>
    <mergeCell ref="O60:P60"/>
    <mergeCell ref="L64:M64"/>
    <mergeCell ref="K65:K69"/>
    <mergeCell ref="L65:M65"/>
    <mergeCell ref="O65:P65"/>
    <mergeCell ref="L66:M66"/>
    <mergeCell ref="O66:P66"/>
    <mergeCell ref="L67:M67"/>
    <mergeCell ref="O67:P67"/>
    <mergeCell ref="L68:M68"/>
    <mergeCell ref="O68:P68"/>
    <mergeCell ref="L69:M69"/>
    <mergeCell ref="O69:P69"/>
    <mergeCell ref="E46:F46"/>
    <mergeCell ref="G46:H46"/>
    <mergeCell ref="K46:L46"/>
    <mergeCell ref="V46:W46"/>
    <mergeCell ref="U48:V48"/>
    <mergeCell ref="U49:V50"/>
    <mergeCell ref="U51:V51"/>
    <mergeCell ref="U52:V53"/>
    <mergeCell ref="U59:V59"/>
    <mergeCell ref="AR7:BB7"/>
    <mergeCell ref="BC7:BM7"/>
    <mergeCell ref="CM8:DE8"/>
    <mergeCell ref="T9:V9"/>
    <mergeCell ref="D42:E42"/>
    <mergeCell ref="E43:F43"/>
    <mergeCell ref="C45:D45"/>
    <mergeCell ref="E45:F45"/>
    <mergeCell ref="H45:I45"/>
    <mergeCell ref="V45:W45"/>
  </mergeCells>
  <conditionalFormatting sqref="L64:M64">
    <cfRule type="containsText" dxfId="14" priority="2" operator="containsText" text="Missing Concrete">
      <formula>NOT(ISERROR(SEARCH("Missing Concrete",L64)))</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2" manualBreakCount="2">
    <brk id="46" max="16383" man="1"/>
    <brk id="59" max="16383" man="1"/>
  </rowBreaks>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B9CDE5"/>
    <pageSetUpPr fitToPage="1"/>
  </sheetPr>
  <dimension ref="A1:DL161"/>
  <sheetViews>
    <sheetView topLeftCell="A32" zoomScale="70" zoomScaleNormal="70" zoomScalePageLayoutView="80" workbookViewId="0">
      <selection activeCell="D79" sqref="D79"/>
    </sheetView>
  </sheetViews>
  <sheetFormatPr defaultColWidth="2.4609375" defaultRowHeight="15"/>
  <cols>
    <col min="1" max="1" width="18.15234375" style="18" customWidth="1"/>
    <col min="2" max="2" width="19.15234375" style="18" customWidth="1"/>
    <col min="3" max="3" width="16.84375" style="18" customWidth="1"/>
    <col min="4" max="4" width="14.15234375" style="18" customWidth="1"/>
    <col min="5" max="5" width="10.84375" style="18" customWidth="1"/>
    <col min="6" max="6" width="14.4609375" style="18" customWidth="1"/>
    <col min="7" max="8" width="10.84375" style="18" customWidth="1"/>
    <col min="9" max="9" width="12.15234375" style="18" customWidth="1"/>
    <col min="10" max="10" width="17.15234375" style="18" customWidth="1"/>
    <col min="11" max="13" width="10.84375" style="18" customWidth="1"/>
    <col min="14" max="14" width="13.4609375" style="18" customWidth="1"/>
    <col min="15" max="15" width="12.53515625" style="18" customWidth="1"/>
    <col min="16" max="16" width="14.15234375" style="18" customWidth="1"/>
    <col min="17" max="17" width="12.15234375" style="18" customWidth="1"/>
    <col min="18" max="20" width="10.84375" style="18" customWidth="1"/>
    <col min="21" max="21" width="12.53515625" style="18" customWidth="1"/>
    <col min="22" max="23" width="17.84375" style="18" customWidth="1"/>
    <col min="24" max="24" width="4.84375" customWidth="1"/>
    <col min="25" max="30" width="9.15234375" customWidth="1"/>
    <col min="31" max="31" width="14.15234375" customWidth="1"/>
    <col min="32" max="54" width="9.15234375" customWidth="1"/>
    <col min="55" max="55" width="11.15234375" customWidth="1"/>
    <col min="56" max="56" width="14.15234375" customWidth="1"/>
    <col min="57" max="58" width="10.15234375" customWidth="1"/>
    <col min="59" max="59" width="11.84375" customWidth="1"/>
    <col min="60" max="61" width="9.15234375" customWidth="1"/>
    <col min="62" max="62" width="11.53515625" customWidth="1"/>
    <col min="63" max="63" width="20.84375" customWidth="1"/>
    <col min="64" max="64" width="19.15234375" customWidth="1"/>
    <col min="65" max="65" width="19" customWidth="1"/>
    <col min="66" max="66" width="20.84375" customWidth="1"/>
    <col min="67" max="67" width="16.84375" customWidth="1"/>
    <col min="68" max="68" width="16" customWidth="1"/>
    <col min="69" max="69" width="26.53515625" customWidth="1"/>
    <col min="70" max="70" width="10.84375" customWidth="1"/>
    <col min="71" max="72" width="12.53515625" customWidth="1"/>
    <col min="73" max="73" width="9.15234375" customWidth="1"/>
    <col min="74" max="74" width="11.84375" customWidth="1"/>
    <col min="75" max="75" width="9.84375" customWidth="1"/>
    <col min="76" max="105" width="9.15234375" customWidth="1"/>
    <col min="106" max="106" width="13" customWidth="1"/>
    <col min="107" max="114" width="10.84375" customWidth="1"/>
    <col min="115" max="266" width="9.15234375" customWidth="1"/>
  </cols>
  <sheetData>
    <row r="1" spans="1:116" s="1254" customFormat="1" ht="15.45">
      <c r="A1" s="677"/>
      <c r="B1" s="589"/>
      <c r="C1" s="589"/>
      <c r="D1" s="589"/>
      <c r="E1" s="589"/>
      <c r="F1" s="589"/>
      <c r="G1" s="589"/>
      <c r="H1" s="589"/>
      <c r="I1" s="589"/>
      <c r="J1" s="589"/>
      <c r="K1" s="589"/>
      <c r="L1" s="589"/>
      <c r="M1" s="589"/>
      <c r="N1" s="589"/>
      <c r="O1" s="589"/>
      <c r="P1" s="589"/>
      <c r="Q1" s="589"/>
      <c r="R1" s="589"/>
      <c r="S1" s="983"/>
      <c r="T1" s="1081" t="s">
        <v>1193</v>
      </c>
      <c r="U1" s="1081"/>
      <c r="V1" s="1669">
        <v>37456</v>
      </c>
      <c r="W1" s="1082"/>
      <c r="AE1" s="1254">
        <f>SUM(AE67:AE127)</f>
        <v>0</v>
      </c>
    </row>
    <row r="2" spans="1:116" s="1254" customFormat="1" ht="15.45">
      <c r="A2" s="1255" t="str">
        <f>Summary!C1</f>
        <v>Trammell Crow – LBJ</v>
      </c>
      <c r="B2" s="1256"/>
      <c r="C2" s="1256"/>
      <c r="D2" s="1257"/>
      <c r="E2" s="626"/>
      <c r="F2" s="626"/>
      <c r="G2" s="381"/>
      <c r="H2" s="1140" t="s">
        <v>56</v>
      </c>
      <c r="I2" s="983"/>
      <c r="J2" s="1085" t="s">
        <v>57</v>
      </c>
      <c r="K2" s="589"/>
      <c r="L2" s="589"/>
      <c r="M2" s="589"/>
      <c r="N2" s="1085" t="s">
        <v>1</v>
      </c>
      <c r="O2" s="1085"/>
      <c r="P2" s="1085" t="s">
        <v>1194</v>
      </c>
      <c r="Q2" s="808"/>
      <c r="R2" s="626"/>
      <c r="S2" s="626"/>
      <c r="T2" s="795" t="s">
        <v>957</v>
      </c>
      <c r="U2" s="663"/>
      <c r="V2" s="796">
        <f>Information!C7</f>
        <v>0</v>
      </c>
      <c r="W2" s="797"/>
    </row>
    <row r="3" spans="1:116" s="1254" customFormat="1">
      <c r="A3" s="1260">
        <f>Summary!C2</f>
        <v>0</v>
      </c>
      <c r="B3" s="1261"/>
      <c r="C3" s="1261"/>
      <c r="D3" s="1262"/>
      <c r="E3" s="626"/>
      <c r="F3" s="626"/>
      <c r="G3" s="396"/>
      <c r="H3" s="928" t="s">
        <v>955</v>
      </c>
      <c r="I3" s="1670">
        <f>Summary!K2</f>
        <v>0</v>
      </c>
      <c r="J3" s="1671"/>
      <c r="K3" s="1671"/>
      <c r="L3" s="1671"/>
      <c r="M3" s="1671"/>
      <c r="N3" s="1672">
        <f>Summary!O2</f>
        <v>0</v>
      </c>
      <c r="O3" s="1672"/>
      <c r="P3" s="1263">
        <f>Summary!P2</f>
        <v>0</v>
      </c>
      <c r="Q3" s="1264"/>
      <c r="R3" s="626"/>
      <c r="S3" s="626"/>
      <c r="T3" s="574"/>
      <c r="U3" s="18"/>
      <c r="V3" s="18"/>
      <c r="W3" s="798"/>
    </row>
    <row r="4" spans="1:116" s="1254" customFormat="1">
      <c r="A4" s="1265" t="str">
        <f>Summary!C3</f>
        <v>Dallas, TX</v>
      </c>
      <c r="B4" s="1266"/>
      <c r="C4" s="1266"/>
      <c r="D4" s="1267"/>
      <c r="E4" s="626"/>
      <c r="F4" s="626"/>
      <c r="G4" s="396"/>
      <c r="H4" s="928" t="s">
        <v>71</v>
      </c>
      <c r="I4" s="1673">
        <f>Summary!K3</f>
        <v>0</v>
      </c>
      <c r="J4" s="1674"/>
      <c r="K4" s="1674"/>
      <c r="L4" s="1674"/>
      <c r="M4" s="1674"/>
      <c r="N4" s="1675">
        <f>Summary!O3</f>
        <v>0</v>
      </c>
      <c r="O4" s="1675"/>
      <c r="P4" s="1268">
        <f>Summary!P3</f>
        <v>0</v>
      </c>
      <c r="Q4" s="1269"/>
      <c r="R4" s="626"/>
      <c r="S4" s="626"/>
      <c r="T4" s="574" t="s">
        <v>958</v>
      </c>
      <c r="U4" s="18"/>
      <c r="V4" s="799"/>
      <c r="W4" s="800"/>
    </row>
    <row r="5" spans="1:116" s="1254" customFormat="1">
      <c r="A5" s="963" t="s">
        <v>0</v>
      </c>
      <c r="B5" s="626"/>
      <c r="C5" s="380" t="s">
        <v>1</v>
      </c>
      <c r="D5" s="18"/>
      <c r="E5" s="626"/>
      <c r="F5" s="626"/>
      <c r="G5" s="396"/>
      <c r="H5" s="928" t="s">
        <v>79</v>
      </c>
      <c r="I5" s="1676">
        <f>Summary!K4</f>
        <v>0</v>
      </c>
      <c r="J5" s="1677"/>
      <c r="K5" s="1677"/>
      <c r="L5" s="1677"/>
      <c r="M5" s="1677"/>
      <c r="N5" s="1272">
        <f>Summary!O4</f>
        <v>0</v>
      </c>
      <c r="O5" s="1272"/>
      <c r="P5" s="1678">
        <f>Summary!P4</f>
        <v>0</v>
      </c>
      <c r="Q5" s="1679"/>
      <c r="R5" s="626"/>
      <c r="S5" s="626"/>
      <c r="T5" s="574"/>
      <c r="U5" s="18"/>
      <c r="V5" s="18"/>
      <c r="W5" s="798"/>
    </row>
    <row r="6" spans="1:116" s="1254" customFormat="1">
      <c r="A6" s="1089">
        <v>0</v>
      </c>
      <c r="B6" s="626"/>
      <c r="C6" s="2760">
        <v>0</v>
      </c>
      <c r="D6" s="2760"/>
      <c r="E6" s="626"/>
      <c r="F6" s="626"/>
      <c r="G6" s="653"/>
      <c r="H6" s="1090" t="s">
        <v>87</v>
      </c>
      <c r="I6" s="1680">
        <f>Summary!K5</f>
        <v>0</v>
      </c>
      <c r="J6" s="1681"/>
      <c r="K6" s="1681"/>
      <c r="L6" s="1681"/>
      <c r="M6" s="1681"/>
      <c r="N6" s="1682">
        <f>Summary!O5</f>
        <v>0</v>
      </c>
      <c r="O6" s="1682"/>
      <c r="P6" s="1683">
        <f>Summary!P5</f>
        <v>0</v>
      </c>
      <c r="Q6" s="1684"/>
      <c r="R6" s="626"/>
      <c r="S6" s="626"/>
      <c r="T6" s="577" t="s">
        <v>958</v>
      </c>
      <c r="U6" s="802"/>
      <c r="V6" s="802"/>
      <c r="W6" s="803"/>
    </row>
    <row r="7" spans="1:116" s="1254" customFormat="1">
      <c r="A7" s="1091">
        <v>0</v>
      </c>
      <c r="B7" s="626"/>
      <c r="C7" s="2764">
        <v>0</v>
      </c>
      <c r="D7" s="2764"/>
      <c r="E7" s="626"/>
      <c r="F7" s="1090" t="s">
        <v>1196</v>
      </c>
      <c r="G7" s="1090"/>
      <c r="H7" s="1090"/>
      <c r="I7" s="806" t="str">
        <f>Pricing!A3</f>
        <v>SRM</v>
      </c>
      <c r="J7" s="806"/>
      <c r="K7" s="806"/>
      <c r="L7" s="806"/>
      <c r="M7" s="806"/>
      <c r="N7" s="693"/>
      <c r="O7" s="693"/>
      <c r="P7" s="693"/>
      <c r="Q7" s="693"/>
      <c r="R7" s="693"/>
      <c r="S7" s="626"/>
      <c r="T7" s="626"/>
      <c r="U7" s="626"/>
      <c r="V7" s="626"/>
      <c r="W7" s="1093"/>
    </row>
    <row r="8" spans="1:116" s="1254" customFormat="1" ht="30.45">
      <c r="A8" s="1094"/>
      <c r="B8" s="1685"/>
      <c r="C8" s="1686" t="s">
        <v>1660</v>
      </c>
      <c r="D8" s="1687" t="s">
        <v>1661</v>
      </c>
      <c r="E8" s="1688" t="s">
        <v>1662</v>
      </c>
      <c r="F8" s="1689"/>
      <c r="G8" s="1690"/>
      <c r="H8" s="1691" t="s">
        <v>1663</v>
      </c>
      <c r="I8" s="1689"/>
      <c r="J8" s="1690"/>
      <c r="K8" s="1691" t="s">
        <v>1664</v>
      </c>
      <c r="L8" s="1689"/>
      <c r="M8" s="1689"/>
      <c r="N8" s="1692" t="s">
        <v>1665</v>
      </c>
      <c r="O8" s="1296"/>
      <c r="P8" s="1296"/>
      <c r="Q8" s="1296" t="s">
        <v>785</v>
      </c>
      <c r="R8" s="1693">
        <v>3</v>
      </c>
      <c r="S8" s="1688" t="s">
        <v>1362</v>
      </c>
      <c r="T8" s="1296"/>
      <c r="U8" s="807"/>
      <c r="V8" s="1291" t="s">
        <v>1363</v>
      </c>
      <c r="W8" s="1501" t="s">
        <v>1219</v>
      </c>
      <c r="AI8" s="1254" t="s">
        <v>1666</v>
      </c>
      <c r="AS8" s="1254" t="s">
        <v>1667</v>
      </c>
      <c r="BJ8" s="3075" t="s">
        <v>1507</v>
      </c>
      <c r="BK8" s="3075"/>
      <c r="BL8" s="3075"/>
      <c r="BM8" s="3075"/>
      <c r="BN8" s="3075"/>
      <c r="BO8" s="3075"/>
      <c r="BP8" s="3075"/>
      <c r="BQ8" s="3075"/>
      <c r="BR8" s="3075"/>
      <c r="BS8" s="1694"/>
      <c r="BT8" s="1694"/>
      <c r="BU8" s="1694"/>
      <c r="BV8" s="1694"/>
      <c r="BW8" s="1695"/>
      <c r="DD8" s="3076" t="s">
        <v>1021</v>
      </c>
      <c r="DE8" s="3076"/>
      <c r="DF8" s="3076"/>
      <c r="DG8" s="3076"/>
      <c r="DH8" s="1696"/>
      <c r="DI8" s="1696"/>
      <c r="DJ8" s="1697"/>
    </row>
    <row r="9" spans="1:116" s="1254" customFormat="1" ht="28.5" customHeight="1">
      <c r="A9" s="3077" t="s">
        <v>1668</v>
      </c>
      <c r="B9" s="3077"/>
      <c r="C9" s="1101" t="s">
        <v>1428</v>
      </c>
      <c r="D9" s="1698" t="s">
        <v>1669</v>
      </c>
      <c r="E9" s="1314" t="s">
        <v>1366</v>
      </c>
      <c r="F9" s="1100" t="s">
        <v>1670</v>
      </c>
      <c r="G9" s="1099" t="s">
        <v>1596</v>
      </c>
      <c r="H9" s="1100" t="s">
        <v>1216</v>
      </c>
      <c r="I9" s="1100" t="s">
        <v>1215</v>
      </c>
      <c r="J9" s="1314" t="s">
        <v>1671</v>
      </c>
      <c r="K9" s="1100" t="s">
        <v>1216</v>
      </c>
      <c r="L9" s="1101" t="s">
        <v>1215</v>
      </c>
      <c r="M9" s="1100" t="s">
        <v>1672</v>
      </c>
      <c r="N9" s="1699" t="s">
        <v>1673</v>
      </c>
      <c r="O9" s="1101" t="s">
        <v>1674</v>
      </c>
      <c r="P9" s="1101" t="s">
        <v>1216</v>
      </c>
      <c r="Q9" s="1101" t="s">
        <v>1215</v>
      </c>
      <c r="R9" s="1508" t="s">
        <v>1672</v>
      </c>
      <c r="S9" s="1104" t="s">
        <v>835</v>
      </c>
      <c r="T9" s="1101" t="s">
        <v>1675</v>
      </c>
      <c r="U9" s="1314" t="s">
        <v>1676</v>
      </c>
      <c r="V9" s="1317"/>
      <c r="W9" s="1510"/>
      <c r="AH9" s="1700" t="s">
        <v>1374</v>
      </c>
      <c r="AI9" s="1701" t="s">
        <v>1375</v>
      </c>
      <c r="AJ9" s="1701" t="s">
        <v>1376</v>
      </c>
      <c r="AK9" s="1701" t="s">
        <v>1377</v>
      </c>
      <c r="AL9" s="1701" t="s">
        <v>1378</v>
      </c>
      <c r="AM9" s="1701" t="s">
        <v>1522</v>
      </c>
      <c r="AN9" s="1701" t="s">
        <v>1523</v>
      </c>
      <c r="AO9" s="1701" t="s">
        <v>1524</v>
      </c>
      <c r="AP9" s="1701" t="s">
        <v>1525</v>
      </c>
      <c r="AQ9" s="1702" t="s">
        <v>1526</v>
      </c>
      <c r="AR9" s="1700" t="s">
        <v>1374</v>
      </c>
      <c r="AS9" s="1701" t="s">
        <v>1375</v>
      </c>
      <c r="AT9" s="1701" t="s">
        <v>1376</v>
      </c>
      <c r="AU9" s="1701" t="s">
        <v>1377</v>
      </c>
      <c r="AV9" s="1701" t="s">
        <v>1378</v>
      </c>
      <c r="AW9" s="1701" t="s">
        <v>1522</v>
      </c>
      <c r="AX9" s="1701" t="s">
        <v>1523</v>
      </c>
      <c r="AY9" s="1701" t="s">
        <v>1524</v>
      </c>
      <c r="AZ9" s="1701" t="s">
        <v>1525</v>
      </c>
      <c r="BA9" s="1702" t="s">
        <v>1526</v>
      </c>
      <c r="BB9" s="1254" t="s">
        <v>1677</v>
      </c>
      <c r="BC9" s="1254" t="s">
        <v>1678</v>
      </c>
      <c r="BD9" s="1254" t="s">
        <v>1385</v>
      </c>
      <c r="BE9" s="1254" t="s">
        <v>1386</v>
      </c>
      <c r="BF9" s="1254" t="s">
        <v>1387</v>
      </c>
      <c r="BG9" s="1254" t="s">
        <v>1679</v>
      </c>
      <c r="BH9" s="402" t="s">
        <v>1680</v>
      </c>
      <c r="BJ9" s="1703" t="s">
        <v>577</v>
      </c>
      <c r="BK9" s="1704" t="s">
        <v>1388</v>
      </c>
      <c r="BL9" s="1705" t="s">
        <v>1681</v>
      </c>
      <c r="BM9" s="1704" t="s">
        <v>1389</v>
      </c>
      <c r="BN9" s="1704" t="s">
        <v>1682</v>
      </c>
      <c r="BO9" s="1704" t="s">
        <v>1391</v>
      </c>
      <c r="BP9" s="1705" t="s">
        <v>1683</v>
      </c>
      <c r="BQ9" s="1704" t="s">
        <v>1393</v>
      </c>
      <c r="BR9" s="1706"/>
      <c r="BS9" s="1704" t="s">
        <v>1684</v>
      </c>
      <c r="BT9" s="1704"/>
      <c r="BU9" s="1704" t="s">
        <v>1685</v>
      </c>
      <c r="BV9" s="1704" t="s">
        <v>1686</v>
      </c>
      <c r="BW9" s="1706" t="s">
        <v>1687</v>
      </c>
      <c r="DB9" s="402" t="s">
        <v>1688</v>
      </c>
      <c r="DC9" s="402" t="s">
        <v>1689</v>
      </c>
      <c r="DD9" s="1707" t="s">
        <v>1250</v>
      </c>
      <c r="DE9" s="1708" t="s">
        <v>1396</v>
      </c>
      <c r="DF9" s="1708" t="s">
        <v>1397</v>
      </c>
      <c r="DG9" s="1708" t="s">
        <v>1690</v>
      </c>
      <c r="DH9" s="1708" t="s">
        <v>1141</v>
      </c>
      <c r="DI9" s="1708" t="s">
        <v>1691</v>
      </c>
      <c r="DJ9" s="1709" t="s">
        <v>1692</v>
      </c>
    </row>
    <row r="10" spans="1:116" s="1254" customFormat="1" ht="15.45">
      <c r="A10" s="482"/>
      <c r="B10" s="1177"/>
      <c r="C10" s="1710"/>
      <c r="D10" s="1711"/>
      <c r="E10" s="1712"/>
      <c r="F10" s="1108"/>
      <c r="G10" s="1109"/>
      <c r="H10" s="1110"/>
      <c r="I10" s="1108"/>
      <c r="J10" s="1109"/>
      <c r="K10" s="1110"/>
      <c r="L10" s="1108"/>
      <c r="M10" s="1108"/>
      <c r="N10" s="1713"/>
      <c r="O10" s="1108"/>
      <c r="P10" s="1108"/>
      <c r="Q10" s="1108"/>
      <c r="R10" s="1714"/>
      <c r="S10" s="1715"/>
      <c r="T10" s="77"/>
      <c r="U10" s="839"/>
      <c r="V10" s="1716">
        <f t="shared" ref="V10:V35" si="0">((E10*I10/16*I10/16*10.680159*J10)*IF(H10=0,0,(G10/H10))+(G10/12*L10/16*L10/16*10.680159*M10)*IF(K10=0,0,(E10*12/K10))+(E10*IF(P10=0,0,N10/P10)*Q10/16*Q10/16*10.680159*R10)+(IF(P10=0,0,E10/P10*N10)*Q10/16*Q10/16*10.680159*R10)+((T10*U10*S10*0.03*0.2836*G10)/12+4)*IF(H10=0,0,(G10/H10))*I10/16*I10/16*10.680159)*(1+J$56)</f>
        <v>0</v>
      </c>
      <c r="W10" s="1717">
        <f t="shared" ref="W10:W35" si="1">ROUNDUP((E10*F10/12*G10/324+ROUNDUP(S10*T10*U10*G10/46656,0)+N10*O10*E10/3888)*(1+J$51),0)</f>
        <v>0</v>
      </c>
      <c r="AH10" s="1718">
        <f t="shared" ref="AH10:AH35" si="2">IF($R$8=1,ROUNDUP($N10*$O10*$E10/3888*(1+$J$51),0),0)</f>
        <v>0</v>
      </c>
      <c r="AI10" s="1719">
        <f t="shared" ref="AI10:AI35" si="3">IF($R$8=2,ROUNDUP($N10*$O10*$E10/3888*(1+$J$51),0),0)</f>
        <v>0</v>
      </c>
      <c r="AJ10" s="1719">
        <f t="shared" ref="AJ10:AJ35" si="4">IF($R$8=3,ROUNDUP($N10*$O10*$E10/3888*(1+$J$51),0),0)</f>
        <v>0</v>
      </c>
      <c r="AK10" s="1719">
        <f t="shared" ref="AK10:AK35" si="5">IF($R$8=4,ROUNDUP($N10*$O10*$E10/3888*(1+$J$51),0),0)</f>
        <v>0</v>
      </c>
      <c r="AL10" s="1719">
        <f t="shared" ref="AL10:AL35" si="6">IF($R$8=5,ROUNDUP($N10*$O10*$E10/3888*(1+$J$51),0),0)</f>
        <v>0</v>
      </c>
      <c r="AM10" s="1719">
        <f t="shared" ref="AM10:AM35" si="7">IF($R$8=6,ROUNDUP($N10*$O10*$E10/3888*(1+$J$51),0),0)</f>
        <v>0</v>
      </c>
      <c r="AN10" s="1719">
        <f t="shared" ref="AN10:AN35" si="8">IF($R$8=7,ROUNDUP($N10*$O10*$E10/3888*(1+$J$51),0),0)</f>
        <v>0</v>
      </c>
      <c r="AO10" s="1719">
        <f t="shared" ref="AO10:AO35" si="9">IF($R$8=8,ROUNDUP($N10*$O10*$E10/3888*(1+$J$51),0),0)</f>
        <v>0</v>
      </c>
      <c r="AP10" s="1719">
        <f t="shared" ref="AP10:AP35" si="10">IF($R$8=9,ROUNDUP($N10*$O10*$E10/3888*(1+$J$51),0),0)</f>
        <v>0</v>
      </c>
      <c r="AQ10" s="1719">
        <f t="shared" ref="AQ10:AQ35" si="11">IF($R$8=10,ROUNDUP($N10*$O10*$E10/3888*(1+$J$51),0),0)</f>
        <v>0</v>
      </c>
      <c r="AR10" s="1720">
        <f t="shared" ref="AR10:AR35" si="12">IF($D10=1,$W10-SUM($AH10:$AQ10),0)</f>
        <v>0</v>
      </c>
      <c r="AS10" s="1719">
        <f t="shared" ref="AS10:AS35" si="13">IF($D10=2,W10-SUM($AH10:$AQ10),0)</f>
        <v>0</v>
      </c>
      <c r="AT10" s="1719">
        <f t="shared" ref="AT10:AT35" si="14">IF($D10=3,W10-SUM($AH10:$AQ10),0)</f>
        <v>0</v>
      </c>
      <c r="AU10" s="1719">
        <f t="shared" ref="AU10:AU35" si="15">IF($D10=4,W10-SUM($AH10:$AQ10),0)</f>
        <v>0</v>
      </c>
      <c r="AV10" s="1719">
        <f t="shared" ref="AV10:AV35" si="16">IF($D10=5,W10-SUM($AH10:$AQ10),0)</f>
        <v>0</v>
      </c>
      <c r="AW10" s="1719">
        <f t="shared" ref="AW10:AW35" si="17">IF($D10=6,W10-SUM($AH10:$AQ10),0)</f>
        <v>0</v>
      </c>
      <c r="AX10" s="1719">
        <f t="shared" ref="AX10:AX35" si="18">IF($D10=7,W10-SUM($AH10:$AQ10),0)</f>
        <v>0</v>
      </c>
      <c r="AY10" s="1719">
        <f t="shared" ref="AY10:AY35" si="19">IF($D10=8,W10-SUM($AH10:$AQ10),0)</f>
        <v>0</v>
      </c>
      <c r="AZ10" s="1719">
        <f t="shared" ref="AZ10:AZ35" si="20">IF($D10=9,W10-SUM($AH10:$AQ10),0)</f>
        <v>0</v>
      </c>
      <c r="BA10" s="1721">
        <f t="shared" ref="BA10:BA35" si="21">IF($D10=10,W10-SUM($AH10:$AQ10),0)</f>
        <v>0</v>
      </c>
      <c r="BB10" s="1719">
        <f t="shared" ref="BB10:BB35" si="22">SUM(AH10:AQ10)</f>
        <v>0</v>
      </c>
      <c r="BC10" s="1719">
        <f t="shared" ref="BC10:BC35" si="23">SUM(AR10:AW10)</f>
        <v>0</v>
      </c>
      <c r="BD10" s="1719">
        <f t="shared" ref="BD10:BD35" si="24">V10</f>
        <v>0</v>
      </c>
      <c r="BE10" s="1719">
        <f t="shared" ref="BE10:BE35" si="25">E10*G10/12*2+(U10*U10*G10/1728*S10)</f>
        <v>0</v>
      </c>
      <c r="BF10" s="1719">
        <f t="shared" ref="BF10:BF35" si="26">BE10/2</f>
        <v>0</v>
      </c>
      <c r="BG10" s="1719">
        <f t="shared" ref="BG10:BG35" si="27">N10*E10/12</f>
        <v>0</v>
      </c>
      <c r="BH10" s="1719">
        <f t="shared" ref="BH10:BH35" si="28">ROUND(IF(C10="Y",BF10*3/27,0),0)</f>
        <v>0</v>
      </c>
      <c r="BJ10" s="1722">
        <f t="shared" ref="BJ10:BJ35" si="29">V10*F$56*IF(T$39="N",(1+V$39),1)</f>
        <v>0</v>
      </c>
      <c r="BK10" s="1723">
        <f>(AR10*Pricing!F$3+AS10*Pricing!G$3+AT10*Pricing!H$3+AU10*Pricing!I$3+AV10*Pricing!J$3+AW10*Pricing!K$3+AH10*Pricing!F$3+AI10*Pricing!G$3+AJ10*Pricing!H$3+AK10*Pricing!I$3+AL10*Pricing!J$3+AM10*Pricing!K$3)*IF(T$39="N",(1+V$39),1)</f>
        <v>0</v>
      </c>
      <c r="BL10" s="1723">
        <f t="shared" ref="BL10:BL35" si="30">IF(C10="Y",(N$59+N$60)/DF$36*DF10,0)</f>
        <v>0</v>
      </c>
      <c r="BM10" s="1723">
        <f t="shared" ref="BM10:BM35" si="31">BF10*(G$67+D$70)</f>
        <v>0</v>
      </c>
      <c r="BN10" s="1723">
        <f t="shared" ref="BN10:BN35" si="32">BG10*D$66</f>
        <v>0</v>
      </c>
      <c r="BO10" s="1723">
        <f t="shared" ref="BO10:BO35" si="33">V10/2000*D$71</f>
        <v>0</v>
      </c>
      <c r="BP10" s="1723">
        <f t="shared" ref="BP10:BP35" si="34">IF(C10="Y",(N$74+N$73+N$72)/DF$36*DF10,0)</f>
        <v>0</v>
      </c>
      <c r="BQ10" s="1723">
        <f t="shared" ref="BQ10:BQ35" si="35">IF(SUM(BF$36:BG$36)=0,0,(SUM(N$78:O$81)+SUM(N$83:O$88)+SUM(N$90:O$96)+W$95)/SUM(BF$36:BG$36)*(BF10+BG10))</f>
        <v>0</v>
      </c>
      <c r="BR10" s="1724"/>
      <c r="BS10" s="1725">
        <f>IF(SUM(BF$36:BG$36)=0,0,(BQ$36-W$58-N$64-W77-(L$79*0.15))/SUM(BF$36:BG$36)*BG10+BN10)</f>
        <v>0</v>
      </c>
      <c r="BT10" s="1723">
        <f>(AH10*Pricing!F$3+AI10*Pricing!G$3+AJ10*Pricing!H$3+AK10*Pricing!I$3+AL10*Pricing!J$3+AM10*Pricing!K$3)*IF(T$39="N",(1+V$39),1)</f>
        <v>0</v>
      </c>
      <c r="BU10" s="1723">
        <f t="shared" ref="BU10:BU35" si="36">IF(BG10=0,0,(BS10+BT10)/BG10)</f>
        <v>0</v>
      </c>
      <c r="BV10" s="1723">
        <f t="shared" ref="BV10:BV35" si="37">SUM(BJ10:BQ10)-BS10-BT10</f>
        <v>0</v>
      </c>
      <c r="BW10" s="1724">
        <f t="shared" ref="BW10:BW35" si="38">IF(BE10=0,0,BV10/BF10)</f>
        <v>0</v>
      </c>
      <c r="DB10" s="1726">
        <f t="shared" ref="DB10:DB35" si="39">IF(W10=0,0,D$40/W$36*W10)</f>
        <v>0</v>
      </c>
      <c r="DC10" s="1723" t="e">
        <f t="shared" ref="DC10:DC35" si="40">E10*N10/12*(D$40-7980)/H$66</f>
        <v>#DIV/0!</v>
      </c>
      <c r="DD10" s="172">
        <f t="shared" ref="DD10:DD35" si="41">ROUND(N10*O10/3088*E10,0)</f>
        <v>0</v>
      </c>
      <c r="DE10" s="847">
        <f t="shared" ref="DE10:DE35" si="42">ROUND(V10,0)</f>
        <v>0</v>
      </c>
      <c r="DF10" s="334">
        <f t="shared" ref="DF10:DF35" si="43">ROUND(IF(C10="Y",(G10*0.25*E10+G10*G10/144*0.5*E10)/27*1.3,0),0)</f>
        <v>0</v>
      </c>
      <c r="DG10" s="847">
        <f t="shared" ref="DG10:DG35" si="44">ROUND(E10*G10/12,0)</f>
        <v>0</v>
      </c>
      <c r="DH10" s="847">
        <f t="shared" ref="DH10:DH35" si="45">IF(C10="y",ROUNDUP(E10*G10/12,0),0)</f>
        <v>0</v>
      </c>
      <c r="DI10" s="847">
        <f t="shared" ref="DI10:DI35" si="46">IF(C10="Y",IF(E10&gt;0,E10,0),0)</f>
        <v>0</v>
      </c>
      <c r="DJ10" s="1727">
        <f t="shared" ref="DJ10:DJ35" si="47">ROUND(E10*N10/12,0)</f>
        <v>0</v>
      </c>
    </row>
    <row r="11" spans="1:116" s="1254" customFormat="1" ht="15.45">
      <c r="A11" s="482"/>
      <c r="B11" s="1177"/>
      <c r="C11" s="1710"/>
      <c r="D11" s="1711"/>
      <c r="E11" s="1728"/>
      <c r="F11" s="1108"/>
      <c r="G11" s="1109"/>
      <c r="H11" s="1110"/>
      <c r="I11" s="1108"/>
      <c r="J11" s="1109"/>
      <c r="K11" s="1110"/>
      <c r="L11" s="1108"/>
      <c r="M11" s="1108"/>
      <c r="N11" s="1713"/>
      <c r="O11" s="1108"/>
      <c r="P11" s="1108"/>
      <c r="Q11" s="1111"/>
      <c r="R11" s="1714"/>
      <c r="S11" s="1715"/>
      <c r="T11" s="77"/>
      <c r="U11" s="839"/>
      <c r="V11" s="1716">
        <f t="shared" si="0"/>
        <v>0</v>
      </c>
      <c r="W11" s="1717">
        <f t="shared" si="1"/>
        <v>0</v>
      </c>
      <c r="AH11" s="1718">
        <f t="shared" si="2"/>
        <v>0</v>
      </c>
      <c r="AI11" s="1719">
        <f t="shared" si="3"/>
        <v>0</v>
      </c>
      <c r="AJ11" s="1719">
        <f t="shared" si="4"/>
        <v>0</v>
      </c>
      <c r="AK11" s="1719">
        <f t="shared" si="5"/>
        <v>0</v>
      </c>
      <c r="AL11" s="1719">
        <f t="shared" si="6"/>
        <v>0</v>
      </c>
      <c r="AM11" s="1719">
        <f t="shared" si="7"/>
        <v>0</v>
      </c>
      <c r="AN11" s="1719">
        <f t="shared" si="8"/>
        <v>0</v>
      </c>
      <c r="AO11" s="1719">
        <f t="shared" si="9"/>
        <v>0</v>
      </c>
      <c r="AP11" s="1719">
        <f t="shared" si="10"/>
        <v>0</v>
      </c>
      <c r="AQ11" s="1719">
        <f t="shared" si="11"/>
        <v>0</v>
      </c>
      <c r="AR11" s="1720">
        <f t="shared" si="12"/>
        <v>0</v>
      </c>
      <c r="AS11" s="1719">
        <f t="shared" si="13"/>
        <v>0</v>
      </c>
      <c r="AT11" s="1719">
        <f t="shared" si="14"/>
        <v>0</v>
      </c>
      <c r="AU11" s="1719">
        <f t="shared" si="15"/>
        <v>0</v>
      </c>
      <c r="AV11" s="1719">
        <f t="shared" si="16"/>
        <v>0</v>
      </c>
      <c r="AW11" s="1719">
        <f t="shared" si="17"/>
        <v>0</v>
      </c>
      <c r="AX11" s="1719">
        <f t="shared" si="18"/>
        <v>0</v>
      </c>
      <c r="AY11" s="1719">
        <f t="shared" si="19"/>
        <v>0</v>
      </c>
      <c r="AZ11" s="1719">
        <f t="shared" si="20"/>
        <v>0</v>
      </c>
      <c r="BA11" s="1721">
        <f t="shared" si="21"/>
        <v>0</v>
      </c>
      <c r="BB11" s="1719">
        <f t="shared" si="22"/>
        <v>0</v>
      </c>
      <c r="BC11" s="1719">
        <f t="shared" si="23"/>
        <v>0</v>
      </c>
      <c r="BD11" s="1719">
        <f t="shared" si="24"/>
        <v>0</v>
      </c>
      <c r="BE11" s="1719">
        <f t="shared" si="25"/>
        <v>0</v>
      </c>
      <c r="BF11" s="1719">
        <f t="shared" si="26"/>
        <v>0</v>
      </c>
      <c r="BG11" s="1719">
        <f t="shared" si="27"/>
        <v>0</v>
      </c>
      <c r="BH11" s="1719">
        <f t="shared" si="28"/>
        <v>0</v>
      </c>
      <c r="BJ11" s="1722">
        <f t="shared" si="29"/>
        <v>0</v>
      </c>
      <c r="BK11" s="1723">
        <f>(AR11*Pricing!F$3+AS11*Pricing!G$3+AT11*Pricing!H$3+AU11*Pricing!I$3+AV11*Pricing!J$3+AW11*Pricing!K$3+AH11*Pricing!F$3+AI11*Pricing!G$3+AJ11*Pricing!H$3+AK11*Pricing!I$3+AL11*Pricing!J$3+AM11*Pricing!K$3)*IF(T$39="N",(1+V$39),1)</f>
        <v>0</v>
      </c>
      <c r="BL11" s="1723">
        <f t="shared" si="30"/>
        <v>0</v>
      </c>
      <c r="BM11" s="1723">
        <f t="shared" si="31"/>
        <v>0</v>
      </c>
      <c r="BN11" s="1723">
        <f t="shared" si="32"/>
        <v>0</v>
      </c>
      <c r="BO11" s="1723">
        <f t="shared" si="33"/>
        <v>0</v>
      </c>
      <c r="BP11" s="1723">
        <f t="shared" si="34"/>
        <v>0</v>
      </c>
      <c r="BQ11" s="1723">
        <f t="shared" si="35"/>
        <v>0</v>
      </c>
      <c r="BR11" s="1724"/>
      <c r="BS11" s="1725">
        <f>IF(SUM(BF$36:BG$36)=0,0,(BQ$36-W$58-N$64-W59-(L$79*0.15))/SUM(BF$36:BG$36)*BG11+BN11)</f>
        <v>0</v>
      </c>
      <c r="BT11" s="1723">
        <f>(AH11*Pricing!F$3+AI11*Pricing!G$3+AJ11*Pricing!H$3+AK11*Pricing!I$3+AL11*Pricing!J$3+AM11*Pricing!K$3)*IF(T$39="N",(1+V$39),1)</f>
        <v>0</v>
      </c>
      <c r="BU11" s="1723">
        <f t="shared" si="36"/>
        <v>0</v>
      </c>
      <c r="BV11" s="1723">
        <f t="shared" si="37"/>
        <v>0</v>
      </c>
      <c r="BW11" s="1724">
        <f t="shared" si="38"/>
        <v>0</v>
      </c>
      <c r="DB11" s="1726">
        <f t="shared" si="39"/>
        <v>0</v>
      </c>
      <c r="DC11" s="1723" t="e">
        <f t="shared" si="40"/>
        <v>#DIV/0!</v>
      </c>
      <c r="DD11" s="172">
        <f t="shared" si="41"/>
        <v>0</v>
      </c>
      <c r="DE11" s="847">
        <f t="shared" si="42"/>
        <v>0</v>
      </c>
      <c r="DF11" s="334">
        <f t="shared" si="43"/>
        <v>0</v>
      </c>
      <c r="DG11" s="847">
        <f t="shared" si="44"/>
        <v>0</v>
      </c>
      <c r="DH11" s="847">
        <f t="shared" si="45"/>
        <v>0</v>
      </c>
      <c r="DI11" s="847">
        <f t="shared" si="46"/>
        <v>0</v>
      </c>
      <c r="DJ11" s="1727">
        <f t="shared" si="47"/>
        <v>0</v>
      </c>
    </row>
    <row r="12" spans="1:116" s="1254" customFormat="1" ht="15.45">
      <c r="A12" s="482"/>
      <c r="B12" s="1177"/>
      <c r="C12" s="1710"/>
      <c r="D12" s="1711"/>
      <c r="E12" s="1728"/>
      <c r="F12" s="1108"/>
      <c r="G12" s="1109"/>
      <c r="H12" s="1110"/>
      <c r="I12" s="1108"/>
      <c r="J12" s="1109"/>
      <c r="K12" s="1110"/>
      <c r="L12" s="1108"/>
      <c r="M12" s="1108"/>
      <c r="N12" s="1713"/>
      <c r="O12" s="1108"/>
      <c r="P12" s="1108"/>
      <c r="Q12" s="1111"/>
      <c r="R12" s="1714"/>
      <c r="S12" s="1715"/>
      <c r="T12" s="77"/>
      <c r="U12" s="839"/>
      <c r="V12" s="1716">
        <f t="shared" si="0"/>
        <v>0</v>
      </c>
      <c r="W12" s="1717">
        <f t="shared" si="1"/>
        <v>0</v>
      </c>
      <c r="AH12" s="1718">
        <f t="shared" si="2"/>
        <v>0</v>
      </c>
      <c r="AI12" s="1719">
        <f t="shared" si="3"/>
        <v>0</v>
      </c>
      <c r="AJ12" s="1719">
        <f t="shared" si="4"/>
        <v>0</v>
      </c>
      <c r="AK12" s="1719">
        <f t="shared" si="5"/>
        <v>0</v>
      </c>
      <c r="AL12" s="1719">
        <f t="shared" si="6"/>
        <v>0</v>
      </c>
      <c r="AM12" s="1719">
        <f t="shared" si="7"/>
        <v>0</v>
      </c>
      <c r="AN12" s="1719">
        <f t="shared" si="8"/>
        <v>0</v>
      </c>
      <c r="AO12" s="1719">
        <f t="shared" si="9"/>
        <v>0</v>
      </c>
      <c r="AP12" s="1719">
        <f t="shared" si="10"/>
        <v>0</v>
      </c>
      <c r="AQ12" s="1719">
        <f t="shared" si="11"/>
        <v>0</v>
      </c>
      <c r="AR12" s="1720">
        <f t="shared" si="12"/>
        <v>0</v>
      </c>
      <c r="AS12" s="1719">
        <f t="shared" si="13"/>
        <v>0</v>
      </c>
      <c r="AT12" s="1719">
        <f t="shared" si="14"/>
        <v>0</v>
      </c>
      <c r="AU12" s="1719">
        <f t="shared" si="15"/>
        <v>0</v>
      </c>
      <c r="AV12" s="1719">
        <f t="shared" si="16"/>
        <v>0</v>
      </c>
      <c r="AW12" s="1719">
        <f t="shared" si="17"/>
        <v>0</v>
      </c>
      <c r="AX12" s="1719">
        <f t="shared" si="18"/>
        <v>0</v>
      </c>
      <c r="AY12" s="1719">
        <f t="shared" si="19"/>
        <v>0</v>
      </c>
      <c r="AZ12" s="1719">
        <f t="shared" si="20"/>
        <v>0</v>
      </c>
      <c r="BA12" s="1721">
        <f t="shared" si="21"/>
        <v>0</v>
      </c>
      <c r="BB12" s="1719">
        <f t="shared" si="22"/>
        <v>0</v>
      </c>
      <c r="BC12" s="1719">
        <f t="shared" si="23"/>
        <v>0</v>
      </c>
      <c r="BD12" s="1719">
        <f t="shared" si="24"/>
        <v>0</v>
      </c>
      <c r="BE12" s="1719">
        <f t="shared" si="25"/>
        <v>0</v>
      </c>
      <c r="BF12" s="1719">
        <f t="shared" si="26"/>
        <v>0</v>
      </c>
      <c r="BG12" s="1719">
        <f t="shared" si="27"/>
        <v>0</v>
      </c>
      <c r="BH12" s="1719">
        <f t="shared" si="28"/>
        <v>0</v>
      </c>
      <c r="BJ12" s="1722">
        <f t="shared" si="29"/>
        <v>0</v>
      </c>
      <c r="BK12" s="1723">
        <f>(AR12*Pricing!F$3+AS12*Pricing!G$3+AT12*Pricing!H$3+AU12*Pricing!I$3+AV12*Pricing!J$3+AW12*Pricing!K$3+AH12*Pricing!F$3+AI12*Pricing!G$3+AJ12*Pricing!H$3+AK12*Pricing!I$3+AL12*Pricing!J$3+AM12*Pricing!K$3)*IF(T$39="N",(1+V$39),1)</f>
        <v>0</v>
      </c>
      <c r="BL12" s="1723">
        <f t="shared" si="30"/>
        <v>0</v>
      </c>
      <c r="BM12" s="1723">
        <f t="shared" si="31"/>
        <v>0</v>
      </c>
      <c r="BN12" s="1723">
        <f t="shared" si="32"/>
        <v>0</v>
      </c>
      <c r="BO12" s="1723">
        <f t="shared" si="33"/>
        <v>0</v>
      </c>
      <c r="BP12" s="1723">
        <f t="shared" si="34"/>
        <v>0</v>
      </c>
      <c r="BQ12" s="1723">
        <f t="shared" si="35"/>
        <v>0</v>
      </c>
      <c r="BR12" s="1724"/>
      <c r="BS12" s="1725">
        <f>IF(SUM(BF$36:BG$36)=0,0,(BQ$36-W$58-N$64-W56-(L$79*0.15))/SUM(BF$36:BG$36)*BG12+BN12)</f>
        <v>0</v>
      </c>
      <c r="BT12" s="1723">
        <f>(AH12*Pricing!F$3+AI12*Pricing!G$3+AJ12*Pricing!H$3+AK12*Pricing!I$3+AL12*Pricing!J$3+AM12*Pricing!K$3)*IF(T$39="N",(1+V$39),1)</f>
        <v>0</v>
      </c>
      <c r="BU12" s="1723">
        <f t="shared" si="36"/>
        <v>0</v>
      </c>
      <c r="BV12" s="1723">
        <f t="shared" si="37"/>
        <v>0</v>
      </c>
      <c r="BW12" s="1724">
        <f t="shared" si="38"/>
        <v>0</v>
      </c>
      <c r="DB12" s="1726">
        <f t="shared" si="39"/>
        <v>0</v>
      </c>
      <c r="DC12" s="1723" t="e">
        <f t="shared" si="40"/>
        <v>#DIV/0!</v>
      </c>
      <c r="DD12" s="172">
        <f t="shared" si="41"/>
        <v>0</v>
      </c>
      <c r="DE12" s="847">
        <f t="shared" si="42"/>
        <v>0</v>
      </c>
      <c r="DF12" s="334">
        <f t="shared" si="43"/>
        <v>0</v>
      </c>
      <c r="DG12" s="847">
        <f t="shared" si="44"/>
        <v>0</v>
      </c>
      <c r="DH12" s="847">
        <f t="shared" si="45"/>
        <v>0</v>
      </c>
      <c r="DI12" s="847">
        <f t="shared" si="46"/>
        <v>0</v>
      </c>
      <c r="DJ12" s="1727">
        <f t="shared" si="47"/>
        <v>0</v>
      </c>
      <c r="DL12" s="1254">
        <v>5.73</v>
      </c>
    </row>
    <row r="13" spans="1:116" s="1254" customFormat="1" ht="15.45">
      <c r="A13" s="482"/>
      <c r="B13" s="1177"/>
      <c r="C13" s="1710"/>
      <c r="D13" s="1711"/>
      <c r="E13" s="1728"/>
      <c r="F13" s="1108"/>
      <c r="G13" s="1109"/>
      <c r="H13" s="1110"/>
      <c r="I13" s="1108"/>
      <c r="J13" s="1109"/>
      <c r="K13" s="1110"/>
      <c r="L13" s="1108"/>
      <c r="M13" s="1108"/>
      <c r="N13" s="1713"/>
      <c r="O13" s="1108"/>
      <c r="P13" s="1108"/>
      <c r="Q13" s="1111"/>
      <c r="R13" s="1714"/>
      <c r="S13" s="1715"/>
      <c r="T13" s="77"/>
      <c r="U13" s="839"/>
      <c r="V13" s="1716">
        <f t="shared" si="0"/>
        <v>0</v>
      </c>
      <c r="W13" s="1717">
        <f t="shared" si="1"/>
        <v>0</v>
      </c>
      <c r="AH13" s="1718">
        <f t="shared" si="2"/>
        <v>0</v>
      </c>
      <c r="AI13" s="1719">
        <f t="shared" si="3"/>
        <v>0</v>
      </c>
      <c r="AJ13" s="1719">
        <f t="shared" si="4"/>
        <v>0</v>
      </c>
      <c r="AK13" s="1719">
        <f t="shared" si="5"/>
        <v>0</v>
      </c>
      <c r="AL13" s="1719">
        <f t="shared" si="6"/>
        <v>0</v>
      </c>
      <c r="AM13" s="1719">
        <f t="shared" si="7"/>
        <v>0</v>
      </c>
      <c r="AN13" s="1719">
        <f t="shared" si="8"/>
        <v>0</v>
      </c>
      <c r="AO13" s="1719">
        <f t="shared" si="9"/>
        <v>0</v>
      </c>
      <c r="AP13" s="1719">
        <f t="shared" si="10"/>
        <v>0</v>
      </c>
      <c r="AQ13" s="1719">
        <f t="shared" si="11"/>
        <v>0</v>
      </c>
      <c r="AR13" s="1720">
        <f t="shared" si="12"/>
        <v>0</v>
      </c>
      <c r="AS13" s="1719">
        <f t="shared" si="13"/>
        <v>0</v>
      </c>
      <c r="AT13" s="1719">
        <f t="shared" si="14"/>
        <v>0</v>
      </c>
      <c r="AU13" s="1719">
        <f t="shared" si="15"/>
        <v>0</v>
      </c>
      <c r="AV13" s="1719">
        <f t="shared" si="16"/>
        <v>0</v>
      </c>
      <c r="AW13" s="1719">
        <f t="shared" si="17"/>
        <v>0</v>
      </c>
      <c r="AX13" s="1719">
        <f t="shared" si="18"/>
        <v>0</v>
      </c>
      <c r="AY13" s="1719">
        <f t="shared" si="19"/>
        <v>0</v>
      </c>
      <c r="AZ13" s="1719">
        <f t="shared" si="20"/>
        <v>0</v>
      </c>
      <c r="BA13" s="1721">
        <f t="shared" si="21"/>
        <v>0</v>
      </c>
      <c r="BB13" s="1719">
        <f t="shared" si="22"/>
        <v>0</v>
      </c>
      <c r="BC13" s="1719">
        <f t="shared" si="23"/>
        <v>0</v>
      </c>
      <c r="BD13" s="1719">
        <f t="shared" si="24"/>
        <v>0</v>
      </c>
      <c r="BE13" s="1719">
        <f t="shared" si="25"/>
        <v>0</v>
      </c>
      <c r="BF13" s="1719">
        <f t="shared" si="26"/>
        <v>0</v>
      </c>
      <c r="BG13" s="1719">
        <f t="shared" si="27"/>
        <v>0</v>
      </c>
      <c r="BH13" s="1719">
        <f t="shared" si="28"/>
        <v>0</v>
      </c>
      <c r="BJ13" s="1722">
        <f t="shared" si="29"/>
        <v>0</v>
      </c>
      <c r="BK13" s="1723">
        <f>(AR13*Pricing!F$3+AS13*Pricing!G$3+AT13*Pricing!H$3+AU13*Pricing!I$3+AV13*Pricing!J$3+AW13*Pricing!K$3+AH13*Pricing!F$3+AI13*Pricing!G$3+AJ13*Pricing!H$3+AK13*Pricing!I$3+AL13*Pricing!J$3+AM13*Pricing!K$3)*IF(T$39="N",(1+V$39),1)</f>
        <v>0</v>
      </c>
      <c r="BL13" s="1723">
        <f t="shared" si="30"/>
        <v>0</v>
      </c>
      <c r="BM13" s="1723">
        <f t="shared" si="31"/>
        <v>0</v>
      </c>
      <c r="BN13" s="1723">
        <f t="shared" si="32"/>
        <v>0</v>
      </c>
      <c r="BO13" s="1723">
        <f t="shared" si="33"/>
        <v>0</v>
      </c>
      <c r="BP13" s="1723">
        <f t="shared" si="34"/>
        <v>0</v>
      </c>
      <c r="BQ13" s="1723">
        <f t="shared" si="35"/>
        <v>0</v>
      </c>
      <c r="BR13" s="1724"/>
      <c r="BS13" s="1725">
        <f>IF(SUM(BF$36:BG$36)=0,0,(BQ$36-W$58-N$64-W58-(L$79*0.15))/SUM(BF$36:BG$36)*BG13+BN13)</f>
        <v>0</v>
      </c>
      <c r="BT13" s="1723">
        <f>(AH13*Pricing!F$3+AI13*Pricing!G$3+AJ13*Pricing!H$3+AK13*Pricing!I$3+AL13*Pricing!J$3+AM13*Pricing!K$3)*IF(T$39="N",(1+V$39),1)</f>
        <v>0</v>
      </c>
      <c r="BU13" s="1723">
        <f t="shared" si="36"/>
        <v>0</v>
      </c>
      <c r="BV13" s="1723">
        <f t="shared" si="37"/>
        <v>0</v>
      </c>
      <c r="BW13" s="1724">
        <f t="shared" si="38"/>
        <v>0</v>
      </c>
      <c r="DB13" s="1726">
        <f t="shared" si="39"/>
        <v>0</v>
      </c>
      <c r="DC13" s="1723" t="e">
        <f t="shared" si="40"/>
        <v>#DIV/0!</v>
      </c>
      <c r="DD13" s="172">
        <f t="shared" si="41"/>
        <v>0</v>
      </c>
      <c r="DE13" s="847">
        <f t="shared" si="42"/>
        <v>0</v>
      </c>
      <c r="DF13" s="334">
        <f t="shared" si="43"/>
        <v>0</v>
      </c>
      <c r="DG13" s="847">
        <f t="shared" si="44"/>
        <v>0</v>
      </c>
      <c r="DH13" s="847">
        <f t="shared" si="45"/>
        <v>0</v>
      </c>
      <c r="DI13" s="847">
        <f t="shared" si="46"/>
        <v>0</v>
      </c>
      <c r="DJ13" s="1727">
        <f t="shared" si="47"/>
        <v>0</v>
      </c>
      <c r="DL13" s="1254">
        <v>17.600000000000001</v>
      </c>
    </row>
    <row r="14" spans="1:116" s="1254" customFormat="1" ht="15.45">
      <c r="A14" s="482"/>
      <c r="B14" s="1177"/>
      <c r="C14" s="1710"/>
      <c r="D14" s="1711"/>
      <c r="E14" s="1728"/>
      <c r="F14" s="1108"/>
      <c r="G14" s="1109"/>
      <c r="H14" s="1110"/>
      <c r="I14" s="1108"/>
      <c r="J14" s="1109"/>
      <c r="K14" s="1110"/>
      <c r="L14" s="1108"/>
      <c r="M14" s="1108"/>
      <c r="N14" s="1713"/>
      <c r="O14" s="1108"/>
      <c r="P14" s="1108"/>
      <c r="Q14" s="1111"/>
      <c r="R14" s="1714"/>
      <c r="S14" s="1715"/>
      <c r="T14" s="77"/>
      <c r="U14" s="839"/>
      <c r="V14" s="1716">
        <f t="shared" si="0"/>
        <v>0</v>
      </c>
      <c r="W14" s="1717">
        <f t="shared" si="1"/>
        <v>0</v>
      </c>
      <c r="AH14" s="1718">
        <f t="shared" si="2"/>
        <v>0</v>
      </c>
      <c r="AI14" s="1719">
        <f t="shared" si="3"/>
        <v>0</v>
      </c>
      <c r="AJ14" s="1719">
        <f t="shared" si="4"/>
        <v>0</v>
      </c>
      <c r="AK14" s="1719">
        <f t="shared" si="5"/>
        <v>0</v>
      </c>
      <c r="AL14" s="1719">
        <f t="shared" si="6"/>
        <v>0</v>
      </c>
      <c r="AM14" s="1719">
        <f t="shared" si="7"/>
        <v>0</v>
      </c>
      <c r="AN14" s="1719">
        <f t="shared" si="8"/>
        <v>0</v>
      </c>
      <c r="AO14" s="1719">
        <f t="shared" si="9"/>
        <v>0</v>
      </c>
      <c r="AP14" s="1719">
        <f t="shared" si="10"/>
        <v>0</v>
      </c>
      <c r="AQ14" s="1719">
        <f t="shared" si="11"/>
        <v>0</v>
      </c>
      <c r="AR14" s="1720">
        <f t="shared" si="12"/>
        <v>0</v>
      </c>
      <c r="AS14" s="1719">
        <f t="shared" si="13"/>
        <v>0</v>
      </c>
      <c r="AT14" s="1719">
        <f t="shared" si="14"/>
        <v>0</v>
      </c>
      <c r="AU14" s="1719">
        <f t="shared" si="15"/>
        <v>0</v>
      </c>
      <c r="AV14" s="1719">
        <f t="shared" si="16"/>
        <v>0</v>
      </c>
      <c r="AW14" s="1719">
        <f t="shared" si="17"/>
        <v>0</v>
      </c>
      <c r="AX14" s="1719">
        <f t="shared" si="18"/>
        <v>0</v>
      </c>
      <c r="AY14" s="1719">
        <f t="shared" si="19"/>
        <v>0</v>
      </c>
      <c r="AZ14" s="1719">
        <f t="shared" si="20"/>
        <v>0</v>
      </c>
      <c r="BA14" s="1721">
        <f t="shared" si="21"/>
        <v>0</v>
      </c>
      <c r="BB14" s="1719">
        <f t="shared" si="22"/>
        <v>0</v>
      </c>
      <c r="BC14" s="1719">
        <f t="shared" si="23"/>
        <v>0</v>
      </c>
      <c r="BD14" s="1719">
        <f t="shared" si="24"/>
        <v>0</v>
      </c>
      <c r="BE14" s="1719">
        <f t="shared" si="25"/>
        <v>0</v>
      </c>
      <c r="BF14" s="1719">
        <f t="shared" si="26"/>
        <v>0</v>
      </c>
      <c r="BG14" s="1719">
        <f t="shared" si="27"/>
        <v>0</v>
      </c>
      <c r="BH14" s="1719">
        <f t="shared" si="28"/>
        <v>0</v>
      </c>
      <c r="BJ14" s="1722">
        <f t="shared" si="29"/>
        <v>0</v>
      </c>
      <c r="BK14" s="1723">
        <f>(AR14*Pricing!F$3+AS14*Pricing!G$3+AT14*Pricing!H$3+AU14*Pricing!I$3+AV14*Pricing!J$3+AW14*Pricing!K$3+AH14*Pricing!F$3+AI14*Pricing!G$3+AJ14*Pricing!H$3+AK14*Pricing!I$3+AL14*Pricing!J$3+AM14*Pricing!K$3)*IF(T$39="N",(1+V$39),1)</f>
        <v>0</v>
      </c>
      <c r="BL14" s="1723">
        <f t="shared" si="30"/>
        <v>0</v>
      </c>
      <c r="BM14" s="1723">
        <f t="shared" si="31"/>
        <v>0</v>
      </c>
      <c r="BN14" s="1723">
        <f t="shared" si="32"/>
        <v>0</v>
      </c>
      <c r="BO14" s="1723">
        <f t="shared" si="33"/>
        <v>0</v>
      </c>
      <c r="BP14" s="1723">
        <f t="shared" si="34"/>
        <v>0</v>
      </c>
      <c r="BQ14" s="1723">
        <f t="shared" si="35"/>
        <v>0</v>
      </c>
      <c r="BR14" s="1724"/>
      <c r="BS14" s="1725">
        <f>IF(SUM(BF$36:BG$36)=0,0,(BQ$36-W$58-N$64-W78-(L$79*0.15))/SUM(BF$36:BG$36)*BG14+BN14)</f>
        <v>0</v>
      </c>
      <c r="BT14" s="1723">
        <f>(AH14*Pricing!F$3+AI14*Pricing!G$3+AJ14*Pricing!H$3+AK14*Pricing!I$3+AL14*Pricing!J$3+AM14*Pricing!K$3)*IF(T$39="N",(1+V$39),1)</f>
        <v>0</v>
      </c>
      <c r="BU14" s="1723">
        <f t="shared" si="36"/>
        <v>0</v>
      </c>
      <c r="BV14" s="1723">
        <f t="shared" si="37"/>
        <v>0</v>
      </c>
      <c r="BW14" s="1724">
        <f t="shared" si="38"/>
        <v>0</v>
      </c>
      <c r="DB14" s="1726">
        <f t="shared" si="39"/>
        <v>0</v>
      </c>
      <c r="DC14" s="1723" t="e">
        <f t="shared" si="40"/>
        <v>#DIV/0!</v>
      </c>
      <c r="DD14" s="172">
        <f t="shared" si="41"/>
        <v>0</v>
      </c>
      <c r="DE14" s="847">
        <f t="shared" si="42"/>
        <v>0</v>
      </c>
      <c r="DF14" s="334">
        <f t="shared" si="43"/>
        <v>0</v>
      </c>
      <c r="DG14" s="847">
        <f t="shared" si="44"/>
        <v>0</v>
      </c>
      <c r="DH14" s="847">
        <f t="shared" si="45"/>
        <v>0</v>
      </c>
      <c r="DI14" s="847">
        <f t="shared" si="46"/>
        <v>0</v>
      </c>
      <c r="DJ14" s="1727">
        <f t="shared" si="47"/>
        <v>0</v>
      </c>
      <c r="DL14" s="1254">
        <v>50.82</v>
      </c>
    </row>
    <row r="15" spans="1:116" s="1254" customFormat="1" ht="15.45">
      <c r="A15" s="482"/>
      <c r="B15" s="1177"/>
      <c r="C15" s="1710"/>
      <c r="D15" s="1711"/>
      <c r="E15" s="1728"/>
      <c r="F15" s="1108"/>
      <c r="G15" s="1109"/>
      <c r="H15" s="1110"/>
      <c r="I15" s="1108"/>
      <c r="J15" s="1109"/>
      <c r="K15" s="1110"/>
      <c r="L15" s="1108"/>
      <c r="M15" s="1108"/>
      <c r="N15" s="1713"/>
      <c r="O15" s="1108"/>
      <c r="P15" s="1108"/>
      <c r="Q15" s="1111"/>
      <c r="R15" s="1714"/>
      <c r="S15" s="1715"/>
      <c r="T15" s="77"/>
      <c r="U15" s="839"/>
      <c r="V15" s="1716">
        <f t="shared" si="0"/>
        <v>0</v>
      </c>
      <c r="W15" s="1717">
        <f t="shared" si="1"/>
        <v>0</v>
      </c>
      <c r="AH15" s="1718">
        <f t="shared" si="2"/>
        <v>0</v>
      </c>
      <c r="AI15" s="1719">
        <f t="shared" si="3"/>
        <v>0</v>
      </c>
      <c r="AJ15" s="1719">
        <f t="shared" si="4"/>
        <v>0</v>
      </c>
      <c r="AK15" s="1719">
        <f t="shared" si="5"/>
        <v>0</v>
      </c>
      <c r="AL15" s="1719">
        <f t="shared" si="6"/>
        <v>0</v>
      </c>
      <c r="AM15" s="1719">
        <f t="shared" si="7"/>
        <v>0</v>
      </c>
      <c r="AN15" s="1719">
        <f t="shared" si="8"/>
        <v>0</v>
      </c>
      <c r="AO15" s="1719">
        <f t="shared" si="9"/>
        <v>0</v>
      </c>
      <c r="AP15" s="1719">
        <f t="shared" si="10"/>
        <v>0</v>
      </c>
      <c r="AQ15" s="1719">
        <f t="shared" si="11"/>
        <v>0</v>
      </c>
      <c r="AR15" s="1720">
        <f t="shared" si="12"/>
        <v>0</v>
      </c>
      <c r="AS15" s="1719">
        <f t="shared" si="13"/>
        <v>0</v>
      </c>
      <c r="AT15" s="1719">
        <f t="shared" si="14"/>
        <v>0</v>
      </c>
      <c r="AU15" s="1719">
        <f t="shared" si="15"/>
        <v>0</v>
      </c>
      <c r="AV15" s="1719">
        <f t="shared" si="16"/>
        <v>0</v>
      </c>
      <c r="AW15" s="1719">
        <f t="shared" si="17"/>
        <v>0</v>
      </c>
      <c r="AX15" s="1719">
        <f t="shared" si="18"/>
        <v>0</v>
      </c>
      <c r="AY15" s="1719">
        <f t="shared" si="19"/>
        <v>0</v>
      </c>
      <c r="AZ15" s="1719">
        <f t="shared" si="20"/>
        <v>0</v>
      </c>
      <c r="BA15" s="1721">
        <f t="shared" si="21"/>
        <v>0</v>
      </c>
      <c r="BB15" s="1719">
        <f t="shared" si="22"/>
        <v>0</v>
      </c>
      <c r="BC15" s="1719">
        <f t="shared" si="23"/>
        <v>0</v>
      </c>
      <c r="BD15" s="1719">
        <f t="shared" si="24"/>
        <v>0</v>
      </c>
      <c r="BE15" s="1719">
        <f t="shared" si="25"/>
        <v>0</v>
      </c>
      <c r="BF15" s="1719">
        <f t="shared" si="26"/>
        <v>0</v>
      </c>
      <c r="BG15" s="1719">
        <f t="shared" si="27"/>
        <v>0</v>
      </c>
      <c r="BH15" s="1719">
        <f t="shared" si="28"/>
        <v>0</v>
      </c>
      <c r="BJ15" s="1722">
        <f t="shared" si="29"/>
        <v>0</v>
      </c>
      <c r="BK15" s="1723">
        <f>(AR15*Pricing!F$3+AS15*Pricing!G$3+AT15*Pricing!H$3+AU15*Pricing!I$3+AV15*Pricing!J$3+AW15*Pricing!K$3+AH15*Pricing!F$3+AI15*Pricing!G$3+AJ15*Pricing!H$3+AK15*Pricing!I$3+AL15*Pricing!J$3+AM15*Pricing!K$3)*IF(T$39="N",(1+V$39),1)</f>
        <v>0</v>
      </c>
      <c r="BL15" s="1723">
        <f t="shared" si="30"/>
        <v>0</v>
      </c>
      <c r="BM15" s="1723">
        <f t="shared" si="31"/>
        <v>0</v>
      </c>
      <c r="BN15" s="1723">
        <f t="shared" si="32"/>
        <v>0</v>
      </c>
      <c r="BO15" s="1723">
        <f t="shared" si="33"/>
        <v>0</v>
      </c>
      <c r="BP15" s="1723">
        <f t="shared" si="34"/>
        <v>0</v>
      </c>
      <c r="BQ15" s="1723">
        <f t="shared" si="35"/>
        <v>0</v>
      </c>
      <c r="BR15" s="1724"/>
      <c r="BS15" s="1725">
        <f>IF(SUM(BF$36:BG$36)=0,0,(BQ$36-W$58-N$64-W79-(L$79*0.15))/SUM(BF$36:BG$36)*BG15+BN15)</f>
        <v>0</v>
      </c>
      <c r="BT15" s="1723">
        <f>(AH15*Pricing!F$3+AI15*Pricing!G$3+AJ15*Pricing!H$3+AK15*Pricing!I$3+AL15*Pricing!J$3+AM15*Pricing!K$3)*IF(T$39="N",(1+V$39),1)</f>
        <v>0</v>
      </c>
      <c r="BU15" s="1723">
        <f t="shared" si="36"/>
        <v>0</v>
      </c>
      <c r="BV15" s="1723">
        <f t="shared" si="37"/>
        <v>0</v>
      </c>
      <c r="BW15" s="1724">
        <f t="shared" si="38"/>
        <v>0</v>
      </c>
      <c r="DB15" s="1726">
        <f t="shared" si="39"/>
        <v>0</v>
      </c>
      <c r="DC15" s="1723" t="e">
        <f t="shared" si="40"/>
        <v>#DIV/0!</v>
      </c>
      <c r="DD15" s="172">
        <f t="shared" si="41"/>
        <v>0</v>
      </c>
      <c r="DE15" s="847">
        <f t="shared" si="42"/>
        <v>0</v>
      </c>
      <c r="DF15" s="334">
        <f t="shared" si="43"/>
        <v>0</v>
      </c>
      <c r="DG15" s="847">
        <f t="shared" si="44"/>
        <v>0</v>
      </c>
      <c r="DH15" s="847">
        <f t="shared" si="45"/>
        <v>0</v>
      </c>
      <c r="DI15" s="847">
        <f t="shared" si="46"/>
        <v>0</v>
      </c>
      <c r="DJ15" s="1727">
        <f t="shared" si="47"/>
        <v>0</v>
      </c>
      <c r="DL15" s="1254">
        <v>28.41</v>
      </c>
    </row>
    <row r="16" spans="1:116" s="1254" customFormat="1" ht="15.45">
      <c r="A16" s="482"/>
      <c r="B16" s="1177"/>
      <c r="C16" s="1710"/>
      <c r="D16" s="1711"/>
      <c r="E16" s="1728"/>
      <c r="F16" s="1108"/>
      <c r="G16" s="1109"/>
      <c r="H16" s="1110"/>
      <c r="I16" s="1108"/>
      <c r="J16" s="1109"/>
      <c r="K16" s="1110"/>
      <c r="L16" s="1108"/>
      <c r="M16" s="1108"/>
      <c r="N16" s="1713"/>
      <c r="O16" s="1108"/>
      <c r="P16" s="1108"/>
      <c r="Q16" s="1111"/>
      <c r="R16" s="1714"/>
      <c r="S16" s="1715"/>
      <c r="T16" s="77"/>
      <c r="U16" s="839"/>
      <c r="V16" s="1716">
        <f t="shared" si="0"/>
        <v>0</v>
      </c>
      <c r="W16" s="1717">
        <f t="shared" si="1"/>
        <v>0</v>
      </c>
      <c r="AH16" s="1718">
        <f t="shared" si="2"/>
        <v>0</v>
      </c>
      <c r="AI16" s="1719">
        <f t="shared" si="3"/>
        <v>0</v>
      </c>
      <c r="AJ16" s="1719">
        <f t="shared" si="4"/>
        <v>0</v>
      </c>
      <c r="AK16" s="1719">
        <f t="shared" si="5"/>
        <v>0</v>
      </c>
      <c r="AL16" s="1719">
        <f t="shared" si="6"/>
        <v>0</v>
      </c>
      <c r="AM16" s="1719">
        <f t="shared" si="7"/>
        <v>0</v>
      </c>
      <c r="AN16" s="1719">
        <f t="shared" si="8"/>
        <v>0</v>
      </c>
      <c r="AO16" s="1719">
        <f t="shared" si="9"/>
        <v>0</v>
      </c>
      <c r="AP16" s="1719">
        <f t="shared" si="10"/>
        <v>0</v>
      </c>
      <c r="AQ16" s="1719">
        <f t="shared" si="11"/>
        <v>0</v>
      </c>
      <c r="AR16" s="1720">
        <f t="shared" si="12"/>
        <v>0</v>
      </c>
      <c r="AS16" s="1719">
        <f t="shared" si="13"/>
        <v>0</v>
      </c>
      <c r="AT16" s="1719">
        <f t="shared" si="14"/>
        <v>0</v>
      </c>
      <c r="AU16" s="1719">
        <f t="shared" si="15"/>
        <v>0</v>
      </c>
      <c r="AV16" s="1719">
        <f t="shared" si="16"/>
        <v>0</v>
      </c>
      <c r="AW16" s="1719">
        <f t="shared" si="17"/>
        <v>0</v>
      </c>
      <c r="AX16" s="1719">
        <f t="shared" si="18"/>
        <v>0</v>
      </c>
      <c r="AY16" s="1719">
        <f t="shared" si="19"/>
        <v>0</v>
      </c>
      <c r="AZ16" s="1719">
        <f t="shared" si="20"/>
        <v>0</v>
      </c>
      <c r="BA16" s="1721">
        <f t="shared" si="21"/>
        <v>0</v>
      </c>
      <c r="BB16" s="1719">
        <f t="shared" si="22"/>
        <v>0</v>
      </c>
      <c r="BC16" s="1719">
        <f t="shared" si="23"/>
        <v>0</v>
      </c>
      <c r="BD16" s="1719">
        <f t="shared" si="24"/>
        <v>0</v>
      </c>
      <c r="BE16" s="1719">
        <f t="shared" si="25"/>
        <v>0</v>
      </c>
      <c r="BF16" s="1719">
        <f t="shared" si="26"/>
        <v>0</v>
      </c>
      <c r="BG16" s="1719">
        <f t="shared" si="27"/>
        <v>0</v>
      </c>
      <c r="BH16" s="1719">
        <f t="shared" si="28"/>
        <v>0</v>
      </c>
      <c r="BJ16" s="1722">
        <f t="shared" si="29"/>
        <v>0</v>
      </c>
      <c r="BK16" s="1723">
        <f>(AR16*Pricing!F$3+AS16*Pricing!G$3+AT16*Pricing!H$3+AU16*Pricing!I$3+AV16*Pricing!J$3+AW16*Pricing!K$3+AH16*Pricing!F$3+AI16*Pricing!G$3+AJ16*Pricing!H$3+AK16*Pricing!I$3+AL16*Pricing!J$3+AM16*Pricing!K$3)*IF(T$39="N",(1+V$39),1)</f>
        <v>0</v>
      </c>
      <c r="BL16" s="1723">
        <f t="shared" si="30"/>
        <v>0</v>
      </c>
      <c r="BM16" s="1723">
        <f t="shared" si="31"/>
        <v>0</v>
      </c>
      <c r="BN16" s="1723">
        <f t="shared" si="32"/>
        <v>0</v>
      </c>
      <c r="BO16" s="1723">
        <f t="shared" si="33"/>
        <v>0</v>
      </c>
      <c r="BP16" s="1723">
        <f t="shared" si="34"/>
        <v>0</v>
      </c>
      <c r="BQ16" s="1723">
        <f t="shared" si="35"/>
        <v>0</v>
      </c>
      <c r="BR16" s="1724"/>
      <c r="BS16" s="1725">
        <f>IF(SUM(BF$36:BG$36)=0,0,(BQ$36-W$58-N$64-W71-(L$79*0.15))/SUM(BF$36:BG$36)*BG16+BN16)</f>
        <v>0</v>
      </c>
      <c r="BT16" s="1723">
        <f>(AH16*Pricing!F$3+AI16*Pricing!G$3+AJ16*Pricing!H$3+AK16*Pricing!I$3+AL16*Pricing!J$3+AM16*Pricing!K$3)*IF(T$39="N",(1+V$39),1)</f>
        <v>0</v>
      </c>
      <c r="BU16" s="1723">
        <f t="shared" si="36"/>
        <v>0</v>
      </c>
      <c r="BV16" s="1723">
        <f t="shared" si="37"/>
        <v>0</v>
      </c>
      <c r="BW16" s="1724">
        <f t="shared" si="38"/>
        <v>0</v>
      </c>
      <c r="DB16" s="1726">
        <f t="shared" si="39"/>
        <v>0</v>
      </c>
      <c r="DC16" s="1723" t="e">
        <f t="shared" si="40"/>
        <v>#DIV/0!</v>
      </c>
      <c r="DD16" s="172">
        <f t="shared" si="41"/>
        <v>0</v>
      </c>
      <c r="DE16" s="847">
        <f t="shared" si="42"/>
        <v>0</v>
      </c>
      <c r="DF16" s="334">
        <f t="shared" si="43"/>
        <v>0</v>
      </c>
      <c r="DG16" s="847">
        <f t="shared" si="44"/>
        <v>0</v>
      </c>
      <c r="DH16" s="847">
        <f t="shared" si="45"/>
        <v>0</v>
      </c>
      <c r="DI16" s="847">
        <f t="shared" si="46"/>
        <v>0</v>
      </c>
      <c r="DJ16" s="1727">
        <f t="shared" si="47"/>
        <v>0</v>
      </c>
      <c r="DL16" s="1254">
        <v>17.14</v>
      </c>
    </row>
    <row r="17" spans="1:116" s="1254" customFormat="1" ht="15.45">
      <c r="A17" s="482"/>
      <c r="B17" s="1177"/>
      <c r="C17" s="1710"/>
      <c r="D17" s="1711"/>
      <c r="E17" s="1712"/>
      <c r="F17" s="1108"/>
      <c r="G17" s="1109"/>
      <c r="H17" s="1110"/>
      <c r="I17" s="1108"/>
      <c r="J17" s="1109"/>
      <c r="K17" s="1110"/>
      <c r="L17" s="1108"/>
      <c r="M17" s="1108"/>
      <c r="N17" s="1713"/>
      <c r="O17" s="1108"/>
      <c r="P17" s="1108"/>
      <c r="Q17" s="1111"/>
      <c r="R17" s="1714"/>
      <c r="S17" s="1715"/>
      <c r="T17" s="77"/>
      <c r="U17" s="839"/>
      <c r="V17" s="1716">
        <f t="shared" si="0"/>
        <v>0</v>
      </c>
      <c r="W17" s="1717">
        <f t="shared" si="1"/>
        <v>0</v>
      </c>
      <c r="AH17" s="1718">
        <f t="shared" si="2"/>
        <v>0</v>
      </c>
      <c r="AI17" s="1719">
        <f t="shared" si="3"/>
        <v>0</v>
      </c>
      <c r="AJ17" s="1719">
        <f t="shared" si="4"/>
        <v>0</v>
      </c>
      <c r="AK17" s="1719">
        <f t="shared" si="5"/>
        <v>0</v>
      </c>
      <c r="AL17" s="1719">
        <f t="shared" si="6"/>
        <v>0</v>
      </c>
      <c r="AM17" s="1719">
        <f t="shared" si="7"/>
        <v>0</v>
      </c>
      <c r="AN17" s="1719">
        <f t="shared" si="8"/>
        <v>0</v>
      </c>
      <c r="AO17" s="1719">
        <f t="shared" si="9"/>
        <v>0</v>
      </c>
      <c r="AP17" s="1719">
        <f t="shared" si="10"/>
        <v>0</v>
      </c>
      <c r="AQ17" s="1719">
        <f t="shared" si="11"/>
        <v>0</v>
      </c>
      <c r="AR17" s="1720">
        <f t="shared" si="12"/>
        <v>0</v>
      </c>
      <c r="AS17" s="1719">
        <f t="shared" si="13"/>
        <v>0</v>
      </c>
      <c r="AT17" s="1719">
        <f t="shared" si="14"/>
        <v>0</v>
      </c>
      <c r="AU17" s="1719">
        <f t="shared" si="15"/>
        <v>0</v>
      </c>
      <c r="AV17" s="1719">
        <f t="shared" si="16"/>
        <v>0</v>
      </c>
      <c r="AW17" s="1719">
        <f t="shared" si="17"/>
        <v>0</v>
      </c>
      <c r="AX17" s="1719">
        <f t="shared" si="18"/>
        <v>0</v>
      </c>
      <c r="AY17" s="1719">
        <f t="shared" si="19"/>
        <v>0</v>
      </c>
      <c r="AZ17" s="1719">
        <f t="shared" si="20"/>
        <v>0</v>
      </c>
      <c r="BA17" s="1721">
        <f t="shared" si="21"/>
        <v>0</v>
      </c>
      <c r="BB17" s="1719">
        <f t="shared" si="22"/>
        <v>0</v>
      </c>
      <c r="BC17" s="1719">
        <f t="shared" si="23"/>
        <v>0</v>
      </c>
      <c r="BD17" s="1719">
        <f t="shared" si="24"/>
        <v>0</v>
      </c>
      <c r="BE17" s="1719">
        <f t="shared" si="25"/>
        <v>0</v>
      </c>
      <c r="BF17" s="1719">
        <f t="shared" si="26"/>
        <v>0</v>
      </c>
      <c r="BG17" s="1719">
        <f t="shared" si="27"/>
        <v>0</v>
      </c>
      <c r="BH17" s="1719">
        <f t="shared" si="28"/>
        <v>0</v>
      </c>
      <c r="BJ17" s="1722">
        <f t="shared" si="29"/>
        <v>0</v>
      </c>
      <c r="BK17" s="1723">
        <f>(AR17*Pricing!F$3+AS17*Pricing!G$3+AT17*Pricing!H$3+AU17*Pricing!I$3+AV17*Pricing!J$3+AW17*Pricing!K$3+AH17*Pricing!F$3+AI17*Pricing!G$3+AJ17*Pricing!H$3+AK17*Pricing!I$3+AL17*Pricing!J$3+AM17*Pricing!K$3)*IF(T$39="N",(1+V$39),1)</f>
        <v>0</v>
      </c>
      <c r="BL17" s="1723">
        <f t="shared" si="30"/>
        <v>0</v>
      </c>
      <c r="BM17" s="1723">
        <f t="shared" si="31"/>
        <v>0</v>
      </c>
      <c r="BN17" s="1723">
        <f t="shared" si="32"/>
        <v>0</v>
      </c>
      <c r="BO17" s="1723">
        <f t="shared" si="33"/>
        <v>0</v>
      </c>
      <c r="BP17" s="1723">
        <f t="shared" si="34"/>
        <v>0</v>
      </c>
      <c r="BQ17" s="1723">
        <f t="shared" si="35"/>
        <v>0</v>
      </c>
      <c r="BR17" s="1724"/>
      <c r="BS17" s="1725">
        <f>IF(SUM(BF$36:BG$36)=0,0,(BQ$36-W$58-N$64-W64-(L$79*0.15))/SUM(BF$36:BG$36)*BG17+BN17)</f>
        <v>0</v>
      </c>
      <c r="BT17" s="1723">
        <f>(AH17*Pricing!F$3+AI17*Pricing!G$3+AJ17*Pricing!H$3+AK17*Pricing!I$3+AL17*Pricing!J$3+AM17*Pricing!K$3)*IF(T$39="N",(1+V$39),1)</f>
        <v>0</v>
      </c>
      <c r="BU17" s="1723">
        <f t="shared" si="36"/>
        <v>0</v>
      </c>
      <c r="BV17" s="1723">
        <f t="shared" si="37"/>
        <v>0</v>
      </c>
      <c r="BW17" s="1724">
        <f t="shared" si="38"/>
        <v>0</v>
      </c>
      <c r="DB17" s="1726">
        <f t="shared" si="39"/>
        <v>0</v>
      </c>
      <c r="DC17" s="1723" t="e">
        <f t="shared" si="40"/>
        <v>#DIV/0!</v>
      </c>
      <c r="DD17" s="172">
        <f t="shared" si="41"/>
        <v>0</v>
      </c>
      <c r="DE17" s="847">
        <f t="shared" si="42"/>
        <v>0</v>
      </c>
      <c r="DF17" s="334">
        <f t="shared" si="43"/>
        <v>0</v>
      </c>
      <c r="DG17" s="847">
        <f t="shared" si="44"/>
        <v>0</v>
      </c>
      <c r="DH17" s="847">
        <f t="shared" si="45"/>
        <v>0</v>
      </c>
      <c r="DI17" s="847">
        <f t="shared" si="46"/>
        <v>0</v>
      </c>
      <c r="DJ17" s="1727">
        <f t="shared" si="47"/>
        <v>0</v>
      </c>
      <c r="DL17" s="1254">
        <v>15.11</v>
      </c>
    </row>
    <row r="18" spans="1:116" s="1254" customFormat="1" ht="15.45">
      <c r="A18" s="482"/>
      <c r="B18" s="1177"/>
      <c r="C18" s="1710"/>
      <c r="D18" s="1711"/>
      <c r="E18" s="1712"/>
      <c r="F18" s="1108"/>
      <c r="G18" s="1109"/>
      <c r="H18" s="1110"/>
      <c r="I18" s="1108"/>
      <c r="J18" s="1109"/>
      <c r="K18" s="1110"/>
      <c r="L18" s="1108"/>
      <c r="M18" s="1108"/>
      <c r="N18" s="1713"/>
      <c r="O18" s="1108"/>
      <c r="P18" s="1108"/>
      <c r="Q18" s="1111"/>
      <c r="R18" s="1714"/>
      <c r="S18" s="1715"/>
      <c r="T18" s="77"/>
      <c r="U18" s="839"/>
      <c r="V18" s="1716">
        <f t="shared" si="0"/>
        <v>0</v>
      </c>
      <c r="W18" s="1717">
        <f t="shared" si="1"/>
        <v>0</v>
      </c>
      <c r="AH18" s="1718">
        <f t="shared" si="2"/>
        <v>0</v>
      </c>
      <c r="AI18" s="1719">
        <f t="shared" si="3"/>
        <v>0</v>
      </c>
      <c r="AJ18" s="1719">
        <f t="shared" si="4"/>
        <v>0</v>
      </c>
      <c r="AK18" s="1719">
        <f t="shared" si="5"/>
        <v>0</v>
      </c>
      <c r="AL18" s="1719">
        <f t="shared" si="6"/>
        <v>0</v>
      </c>
      <c r="AM18" s="1719">
        <f t="shared" si="7"/>
        <v>0</v>
      </c>
      <c r="AN18" s="1719">
        <f t="shared" si="8"/>
        <v>0</v>
      </c>
      <c r="AO18" s="1719">
        <f t="shared" si="9"/>
        <v>0</v>
      </c>
      <c r="AP18" s="1719">
        <f t="shared" si="10"/>
        <v>0</v>
      </c>
      <c r="AQ18" s="1719">
        <f t="shared" si="11"/>
        <v>0</v>
      </c>
      <c r="AR18" s="1720">
        <f t="shared" si="12"/>
        <v>0</v>
      </c>
      <c r="AS18" s="1719">
        <f t="shared" si="13"/>
        <v>0</v>
      </c>
      <c r="AT18" s="1719">
        <f t="shared" si="14"/>
        <v>0</v>
      </c>
      <c r="AU18" s="1719">
        <f t="shared" si="15"/>
        <v>0</v>
      </c>
      <c r="AV18" s="1719">
        <f t="shared" si="16"/>
        <v>0</v>
      </c>
      <c r="AW18" s="1719">
        <f t="shared" si="17"/>
        <v>0</v>
      </c>
      <c r="AX18" s="1719">
        <f t="shared" si="18"/>
        <v>0</v>
      </c>
      <c r="AY18" s="1719">
        <f t="shared" si="19"/>
        <v>0</v>
      </c>
      <c r="AZ18" s="1719">
        <f t="shared" si="20"/>
        <v>0</v>
      </c>
      <c r="BA18" s="1721">
        <f t="shared" si="21"/>
        <v>0</v>
      </c>
      <c r="BB18" s="1719">
        <f t="shared" si="22"/>
        <v>0</v>
      </c>
      <c r="BC18" s="1719">
        <f t="shared" si="23"/>
        <v>0</v>
      </c>
      <c r="BD18" s="1719">
        <f t="shared" si="24"/>
        <v>0</v>
      </c>
      <c r="BE18" s="1719">
        <f t="shared" si="25"/>
        <v>0</v>
      </c>
      <c r="BF18" s="1719">
        <f t="shared" si="26"/>
        <v>0</v>
      </c>
      <c r="BG18" s="1719">
        <f t="shared" si="27"/>
        <v>0</v>
      </c>
      <c r="BH18" s="1719">
        <f t="shared" si="28"/>
        <v>0</v>
      </c>
      <c r="BJ18" s="1722">
        <f t="shared" si="29"/>
        <v>0</v>
      </c>
      <c r="BK18" s="1723">
        <f>(AR18*Pricing!F$3+AS18*Pricing!G$3+AT18*Pricing!H$3+AU18*Pricing!I$3+AV18*Pricing!J$3+AW18*Pricing!K$3+AH18*Pricing!F$3+AI18*Pricing!G$3+AJ18*Pricing!H$3+AK18*Pricing!I$3+AL18*Pricing!J$3+AM18*Pricing!K$3)*IF(T$39="N",(1+V$39),1)</f>
        <v>0</v>
      </c>
      <c r="BL18" s="1723">
        <f t="shared" si="30"/>
        <v>0</v>
      </c>
      <c r="BM18" s="1723">
        <f t="shared" si="31"/>
        <v>0</v>
      </c>
      <c r="BN18" s="1723">
        <f t="shared" si="32"/>
        <v>0</v>
      </c>
      <c r="BO18" s="1723">
        <f t="shared" si="33"/>
        <v>0</v>
      </c>
      <c r="BP18" s="1723">
        <f t="shared" si="34"/>
        <v>0</v>
      </c>
      <c r="BQ18" s="1723">
        <f t="shared" si="35"/>
        <v>0</v>
      </c>
      <c r="BR18" s="1724"/>
      <c r="BS18" s="1725">
        <f>IF(SUM(BF$36:BG$36)=0,0,(BQ$36-W$58-N$64-W60-(L$79*0.15))/SUM(BF$36:BG$36)*BG18+BN18)</f>
        <v>0</v>
      </c>
      <c r="BT18" s="1723">
        <f>(AH18*Pricing!F$3+AI18*Pricing!G$3+AJ18*Pricing!H$3+AK18*Pricing!I$3+AL18*Pricing!J$3+AM18*Pricing!K$3)*IF(T$39="N",(1+V$39),1)</f>
        <v>0</v>
      </c>
      <c r="BU18" s="1723">
        <f t="shared" si="36"/>
        <v>0</v>
      </c>
      <c r="BV18" s="1723">
        <f t="shared" si="37"/>
        <v>0</v>
      </c>
      <c r="BW18" s="1724">
        <f t="shared" si="38"/>
        <v>0</v>
      </c>
      <c r="DB18" s="1726">
        <f t="shared" si="39"/>
        <v>0</v>
      </c>
      <c r="DC18" s="1723" t="e">
        <f t="shared" si="40"/>
        <v>#DIV/0!</v>
      </c>
      <c r="DD18" s="172">
        <f t="shared" si="41"/>
        <v>0</v>
      </c>
      <c r="DE18" s="847">
        <f t="shared" si="42"/>
        <v>0</v>
      </c>
      <c r="DF18" s="334">
        <f t="shared" si="43"/>
        <v>0</v>
      </c>
      <c r="DG18" s="847">
        <f t="shared" si="44"/>
        <v>0</v>
      </c>
      <c r="DH18" s="847">
        <f t="shared" si="45"/>
        <v>0</v>
      </c>
      <c r="DI18" s="847">
        <f t="shared" si="46"/>
        <v>0</v>
      </c>
      <c r="DJ18" s="1727">
        <f t="shared" si="47"/>
        <v>0</v>
      </c>
      <c r="DL18" s="1254">
        <v>132.46</v>
      </c>
    </row>
    <row r="19" spans="1:116" s="1254" customFormat="1" ht="15.45">
      <c r="A19" s="482"/>
      <c r="B19" s="1177"/>
      <c r="C19" s="1710"/>
      <c r="D19" s="1711"/>
      <c r="E19" s="1712"/>
      <c r="F19" s="1108"/>
      <c r="G19" s="1109"/>
      <c r="H19" s="1110"/>
      <c r="I19" s="1108"/>
      <c r="J19" s="1109"/>
      <c r="K19" s="1110"/>
      <c r="L19" s="1108"/>
      <c r="M19" s="1108"/>
      <c r="N19" s="1713"/>
      <c r="O19" s="1108"/>
      <c r="P19" s="1108"/>
      <c r="Q19" s="1111"/>
      <c r="R19" s="1714"/>
      <c r="S19" s="1715"/>
      <c r="T19" s="77"/>
      <c r="U19" s="839"/>
      <c r="V19" s="1716">
        <f t="shared" si="0"/>
        <v>0</v>
      </c>
      <c r="W19" s="1717">
        <f t="shared" si="1"/>
        <v>0</v>
      </c>
      <c r="AH19" s="1718">
        <f t="shared" si="2"/>
        <v>0</v>
      </c>
      <c r="AI19" s="1719">
        <f t="shared" si="3"/>
        <v>0</v>
      </c>
      <c r="AJ19" s="1719">
        <f t="shared" si="4"/>
        <v>0</v>
      </c>
      <c r="AK19" s="1719">
        <f t="shared" si="5"/>
        <v>0</v>
      </c>
      <c r="AL19" s="1719">
        <f t="shared" si="6"/>
        <v>0</v>
      </c>
      <c r="AM19" s="1719">
        <f t="shared" si="7"/>
        <v>0</v>
      </c>
      <c r="AN19" s="1719">
        <f t="shared" si="8"/>
        <v>0</v>
      </c>
      <c r="AO19" s="1719">
        <f t="shared" si="9"/>
        <v>0</v>
      </c>
      <c r="AP19" s="1719">
        <f t="shared" si="10"/>
        <v>0</v>
      </c>
      <c r="AQ19" s="1719">
        <f t="shared" si="11"/>
        <v>0</v>
      </c>
      <c r="AR19" s="1720">
        <f t="shared" si="12"/>
        <v>0</v>
      </c>
      <c r="AS19" s="1719">
        <f t="shared" si="13"/>
        <v>0</v>
      </c>
      <c r="AT19" s="1719">
        <f t="shared" si="14"/>
        <v>0</v>
      </c>
      <c r="AU19" s="1719">
        <f t="shared" si="15"/>
        <v>0</v>
      </c>
      <c r="AV19" s="1719">
        <f t="shared" si="16"/>
        <v>0</v>
      </c>
      <c r="AW19" s="1719">
        <f t="shared" si="17"/>
        <v>0</v>
      </c>
      <c r="AX19" s="1719">
        <f t="shared" si="18"/>
        <v>0</v>
      </c>
      <c r="AY19" s="1719">
        <f t="shared" si="19"/>
        <v>0</v>
      </c>
      <c r="AZ19" s="1719">
        <f t="shared" si="20"/>
        <v>0</v>
      </c>
      <c r="BA19" s="1721">
        <f t="shared" si="21"/>
        <v>0</v>
      </c>
      <c r="BB19" s="1719">
        <f t="shared" si="22"/>
        <v>0</v>
      </c>
      <c r="BC19" s="1719">
        <f t="shared" si="23"/>
        <v>0</v>
      </c>
      <c r="BD19" s="1719">
        <f t="shared" si="24"/>
        <v>0</v>
      </c>
      <c r="BE19" s="1719">
        <f t="shared" si="25"/>
        <v>0</v>
      </c>
      <c r="BF19" s="1719">
        <f t="shared" si="26"/>
        <v>0</v>
      </c>
      <c r="BG19" s="1719">
        <f t="shared" si="27"/>
        <v>0</v>
      </c>
      <c r="BH19" s="1719">
        <f t="shared" si="28"/>
        <v>0</v>
      </c>
      <c r="BJ19" s="1722">
        <f t="shared" si="29"/>
        <v>0</v>
      </c>
      <c r="BK19" s="1723">
        <f>(AR19*Pricing!F$3+AS19*Pricing!G$3+AT19*Pricing!H$3+AU19*Pricing!I$3+AV19*Pricing!J$3+AW19*Pricing!K$3+AH19*Pricing!F$3+AI19*Pricing!G$3+AJ19*Pricing!H$3+AK19*Pricing!I$3+AL19*Pricing!J$3+AM19*Pricing!K$3)*IF(T$39="N",(1+V$39),1)</f>
        <v>0</v>
      </c>
      <c r="BL19" s="1723">
        <f t="shared" si="30"/>
        <v>0</v>
      </c>
      <c r="BM19" s="1723">
        <f t="shared" si="31"/>
        <v>0</v>
      </c>
      <c r="BN19" s="1723">
        <f t="shared" si="32"/>
        <v>0</v>
      </c>
      <c r="BO19" s="1723">
        <f t="shared" si="33"/>
        <v>0</v>
      </c>
      <c r="BP19" s="1723">
        <f t="shared" si="34"/>
        <v>0</v>
      </c>
      <c r="BQ19" s="1723">
        <f t="shared" si="35"/>
        <v>0</v>
      </c>
      <c r="BR19" s="1724"/>
      <c r="BS19" s="1725">
        <f>IF(SUM(BF$36:BG$36)=0,0,(BQ$36-W$58-N$64-W61-(L$79*0.15))/SUM(BF$36:BG$36)*BG19+BN19)</f>
        <v>0</v>
      </c>
      <c r="BT19" s="1723">
        <f>(AH19*Pricing!F$3+AI19*Pricing!G$3+AJ19*Pricing!H$3+AK19*Pricing!I$3+AL19*Pricing!J$3+AM19*Pricing!K$3)*IF(T$39="N",(1+V$39),1)</f>
        <v>0</v>
      </c>
      <c r="BU19" s="1723">
        <f t="shared" si="36"/>
        <v>0</v>
      </c>
      <c r="BV19" s="1723">
        <f t="shared" si="37"/>
        <v>0</v>
      </c>
      <c r="BW19" s="1724">
        <f t="shared" si="38"/>
        <v>0</v>
      </c>
      <c r="DB19" s="1726">
        <f t="shared" si="39"/>
        <v>0</v>
      </c>
      <c r="DC19" s="1723" t="e">
        <f t="shared" si="40"/>
        <v>#DIV/0!</v>
      </c>
      <c r="DD19" s="172">
        <f t="shared" si="41"/>
        <v>0</v>
      </c>
      <c r="DE19" s="847">
        <f t="shared" si="42"/>
        <v>0</v>
      </c>
      <c r="DF19" s="334">
        <f t="shared" si="43"/>
        <v>0</v>
      </c>
      <c r="DG19" s="847">
        <f t="shared" si="44"/>
        <v>0</v>
      </c>
      <c r="DH19" s="847">
        <f t="shared" si="45"/>
        <v>0</v>
      </c>
      <c r="DI19" s="847">
        <f t="shared" si="46"/>
        <v>0</v>
      </c>
      <c r="DJ19" s="1727">
        <f t="shared" si="47"/>
        <v>0</v>
      </c>
      <c r="DL19" s="1254">
        <v>144.02000000000001</v>
      </c>
    </row>
    <row r="20" spans="1:116" s="1254" customFormat="1" ht="15.45">
      <c r="A20" s="482"/>
      <c r="B20" s="1177"/>
      <c r="C20" s="1710"/>
      <c r="D20" s="1711"/>
      <c r="E20" s="1712"/>
      <c r="F20" s="1108"/>
      <c r="G20" s="1109"/>
      <c r="H20" s="1110"/>
      <c r="I20" s="1108"/>
      <c r="J20" s="1109"/>
      <c r="K20" s="1110"/>
      <c r="L20" s="1108"/>
      <c r="M20" s="1108"/>
      <c r="N20" s="1713"/>
      <c r="O20" s="1108"/>
      <c r="P20" s="1108"/>
      <c r="Q20" s="1111"/>
      <c r="R20" s="1714"/>
      <c r="S20" s="1715"/>
      <c r="T20" s="77"/>
      <c r="U20" s="839"/>
      <c r="V20" s="1716">
        <f t="shared" si="0"/>
        <v>0</v>
      </c>
      <c r="W20" s="1717">
        <f t="shared" si="1"/>
        <v>0</v>
      </c>
      <c r="AH20" s="1718">
        <f t="shared" si="2"/>
        <v>0</v>
      </c>
      <c r="AI20" s="1719">
        <f t="shared" si="3"/>
        <v>0</v>
      </c>
      <c r="AJ20" s="1719">
        <f t="shared" si="4"/>
        <v>0</v>
      </c>
      <c r="AK20" s="1719">
        <f t="shared" si="5"/>
        <v>0</v>
      </c>
      <c r="AL20" s="1719">
        <f t="shared" si="6"/>
        <v>0</v>
      </c>
      <c r="AM20" s="1719">
        <f t="shared" si="7"/>
        <v>0</v>
      </c>
      <c r="AN20" s="1719">
        <f t="shared" si="8"/>
        <v>0</v>
      </c>
      <c r="AO20" s="1719">
        <f t="shared" si="9"/>
        <v>0</v>
      </c>
      <c r="AP20" s="1719">
        <f t="shared" si="10"/>
        <v>0</v>
      </c>
      <c r="AQ20" s="1719">
        <f t="shared" si="11"/>
        <v>0</v>
      </c>
      <c r="AR20" s="1720">
        <f t="shared" si="12"/>
        <v>0</v>
      </c>
      <c r="AS20" s="1719">
        <f t="shared" si="13"/>
        <v>0</v>
      </c>
      <c r="AT20" s="1719">
        <f t="shared" si="14"/>
        <v>0</v>
      </c>
      <c r="AU20" s="1719">
        <f t="shared" si="15"/>
        <v>0</v>
      </c>
      <c r="AV20" s="1719">
        <f t="shared" si="16"/>
        <v>0</v>
      </c>
      <c r="AW20" s="1719">
        <f t="shared" si="17"/>
        <v>0</v>
      </c>
      <c r="AX20" s="1719">
        <f t="shared" si="18"/>
        <v>0</v>
      </c>
      <c r="AY20" s="1719">
        <f t="shared" si="19"/>
        <v>0</v>
      </c>
      <c r="AZ20" s="1719">
        <f t="shared" si="20"/>
        <v>0</v>
      </c>
      <c r="BA20" s="1721">
        <f t="shared" si="21"/>
        <v>0</v>
      </c>
      <c r="BB20" s="1719">
        <f t="shared" si="22"/>
        <v>0</v>
      </c>
      <c r="BC20" s="1719">
        <f t="shared" si="23"/>
        <v>0</v>
      </c>
      <c r="BD20" s="1719">
        <f t="shared" si="24"/>
        <v>0</v>
      </c>
      <c r="BE20" s="1719">
        <f t="shared" si="25"/>
        <v>0</v>
      </c>
      <c r="BF20" s="1719">
        <f t="shared" si="26"/>
        <v>0</v>
      </c>
      <c r="BG20" s="1719">
        <f t="shared" si="27"/>
        <v>0</v>
      </c>
      <c r="BH20" s="1719">
        <f t="shared" si="28"/>
        <v>0</v>
      </c>
      <c r="BJ20" s="1722">
        <f t="shared" si="29"/>
        <v>0</v>
      </c>
      <c r="BK20" s="1723">
        <f>(AR20*Pricing!F$3+AS20*Pricing!G$3+AT20*Pricing!H$3+AU20*Pricing!I$3+AV20*Pricing!J$3+AW20*Pricing!K$3+AH20*Pricing!F$3+AI20*Pricing!G$3+AJ20*Pricing!H$3+AK20*Pricing!I$3+AL20*Pricing!J$3+AM20*Pricing!K$3)*IF(T$39="N",(1+V$39),1)</f>
        <v>0</v>
      </c>
      <c r="BL20" s="1723">
        <f t="shared" si="30"/>
        <v>0</v>
      </c>
      <c r="BM20" s="1723">
        <f t="shared" si="31"/>
        <v>0</v>
      </c>
      <c r="BN20" s="1723">
        <f t="shared" si="32"/>
        <v>0</v>
      </c>
      <c r="BO20" s="1723">
        <f t="shared" si="33"/>
        <v>0</v>
      </c>
      <c r="BP20" s="1723">
        <f t="shared" si="34"/>
        <v>0</v>
      </c>
      <c r="BQ20" s="1723">
        <f t="shared" si="35"/>
        <v>0</v>
      </c>
      <c r="BR20" s="1724"/>
      <c r="BS20" s="1725">
        <f>IF(SUM(BF$36:BG$36)=0,0,(BQ$36-W$58-N$64-W62-(L$79*0.15))/SUM(BF$36:BG$36)*BG20+BN20)</f>
        <v>0</v>
      </c>
      <c r="BT20" s="1723">
        <f>(AH20*Pricing!F$3+AI20*Pricing!G$3+AJ20*Pricing!H$3+AK20*Pricing!I$3+AL20*Pricing!J$3+AM20*Pricing!K$3)*IF(T$39="N",(1+V$39),1)</f>
        <v>0</v>
      </c>
      <c r="BU20" s="1723">
        <f t="shared" si="36"/>
        <v>0</v>
      </c>
      <c r="BV20" s="1723">
        <f t="shared" si="37"/>
        <v>0</v>
      </c>
      <c r="BW20" s="1724">
        <f t="shared" si="38"/>
        <v>0</v>
      </c>
      <c r="DB20" s="1726">
        <f t="shared" si="39"/>
        <v>0</v>
      </c>
      <c r="DC20" s="1723" t="e">
        <f t="shared" si="40"/>
        <v>#DIV/0!</v>
      </c>
      <c r="DD20" s="172">
        <f t="shared" si="41"/>
        <v>0</v>
      </c>
      <c r="DE20" s="847">
        <f t="shared" si="42"/>
        <v>0</v>
      </c>
      <c r="DF20" s="334">
        <f t="shared" si="43"/>
        <v>0</v>
      </c>
      <c r="DG20" s="847">
        <f t="shared" si="44"/>
        <v>0</v>
      </c>
      <c r="DH20" s="847">
        <f t="shared" si="45"/>
        <v>0</v>
      </c>
      <c r="DI20" s="847">
        <f t="shared" si="46"/>
        <v>0</v>
      </c>
      <c r="DJ20" s="1727">
        <f t="shared" si="47"/>
        <v>0</v>
      </c>
      <c r="DL20" s="1254">
        <v>6.17</v>
      </c>
    </row>
    <row r="21" spans="1:116" s="1254" customFormat="1" ht="15.45">
      <c r="A21" s="482"/>
      <c r="B21" s="1177"/>
      <c r="C21" s="1710"/>
      <c r="D21" s="1711"/>
      <c r="E21" s="1712"/>
      <c r="F21" s="1108"/>
      <c r="G21" s="1109"/>
      <c r="H21" s="1110"/>
      <c r="I21" s="1108"/>
      <c r="J21" s="1109"/>
      <c r="K21" s="1110"/>
      <c r="L21" s="1108"/>
      <c r="M21" s="1108"/>
      <c r="N21" s="1713"/>
      <c r="O21" s="1108"/>
      <c r="P21" s="1108"/>
      <c r="Q21" s="1111"/>
      <c r="R21" s="1714"/>
      <c r="S21" s="1715"/>
      <c r="T21" s="77"/>
      <c r="U21" s="839"/>
      <c r="V21" s="1716">
        <f t="shared" si="0"/>
        <v>0</v>
      </c>
      <c r="W21" s="1717">
        <f t="shared" si="1"/>
        <v>0</v>
      </c>
      <c r="AH21" s="1718">
        <f t="shared" si="2"/>
        <v>0</v>
      </c>
      <c r="AI21" s="1719">
        <f t="shared" si="3"/>
        <v>0</v>
      </c>
      <c r="AJ21" s="1719">
        <f t="shared" si="4"/>
        <v>0</v>
      </c>
      <c r="AK21" s="1719">
        <f t="shared" si="5"/>
        <v>0</v>
      </c>
      <c r="AL21" s="1719">
        <f t="shared" si="6"/>
        <v>0</v>
      </c>
      <c r="AM21" s="1719">
        <f t="shared" si="7"/>
        <v>0</v>
      </c>
      <c r="AN21" s="1719">
        <f t="shared" si="8"/>
        <v>0</v>
      </c>
      <c r="AO21" s="1719">
        <f t="shared" si="9"/>
        <v>0</v>
      </c>
      <c r="AP21" s="1719">
        <f t="shared" si="10"/>
        <v>0</v>
      </c>
      <c r="AQ21" s="1719">
        <f t="shared" si="11"/>
        <v>0</v>
      </c>
      <c r="AR21" s="1720">
        <f t="shared" si="12"/>
        <v>0</v>
      </c>
      <c r="AS21" s="1719">
        <f t="shared" si="13"/>
        <v>0</v>
      </c>
      <c r="AT21" s="1719">
        <f t="shared" si="14"/>
        <v>0</v>
      </c>
      <c r="AU21" s="1719">
        <f t="shared" si="15"/>
        <v>0</v>
      </c>
      <c r="AV21" s="1719">
        <f t="shared" si="16"/>
        <v>0</v>
      </c>
      <c r="AW21" s="1719">
        <f t="shared" si="17"/>
        <v>0</v>
      </c>
      <c r="AX21" s="1719">
        <f t="shared" si="18"/>
        <v>0</v>
      </c>
      <c r="AY21" s="1719">
        <f t="shared" si="19"/>
        <v>0</v>
      </c>
      <c r="AZ21" s="1719">
        <f t="shared" si="20"/>
        <v>0</v>
      </c>
      <c r="BA21" s="1721">
        <f t="shared" si="21"/>
        <v>0</v>
      </c>
      <c r="BB21" s="1719">
        <f t="shared" si="22"/>
        <v>0</v>
      </c>
      <c r="BC21" s="1719">
        <f t="shared" si="23"/>
        <v>0</v>
      </c>
      <c r="BD21" s="1719">
        <f t="shared" si="24"/>
        <v>0</v>
      </c>
      <c r="BE21" s="1719">
        <f t="shared" si="25"/>
        <v>0</v>
      </c>
      <c r="BF21" s="1719">
        <f t="shared" si="26"/>
        <v>0</v>
      </c>
      <c r="BG21" s="1719">
        <f t="shared" si="27"/>
        <v>0</v>
      </c>
      <c r="BH21" s="1719">
        <f t="shared" si="28"/>
        <v>0</v>
      </c>
      <c r="BJ21" s="1722">
        <f t="shared" si="29"/>
        <v>0</v>
      </c>
      <c r="BK21" s="1723">
        <f>(AR21*Pricing!F$3+AS21*Pricing!G$3+AT21*Pricing!H$3+AU21*Pricing!I$3+AV21*Pricing!J$3+AW21*Pricing!K$3+AH21*Pricing!F$3+AI21*Pricing!G$3+AJ21*Pricing!H$3+AK21*Pricing!I$3+AL21*Pricing!J$3+AM21*Pricing!K$3)*IF(T$39="N",(1+V$39),1)</f>
        <v>0</v>
      </c>
      <c r="BL21" s="1723">
        <f t="shared" si="30"/>
        <v>0</v>
      </c>
      <c r="BM21" s="1723">
        <f t="shared" si="31"/>
        <v>0</v>
      </c>
      <c r="BN21" s="1723">
        <f t="shared" si="32"/>
        <v>0</v>
      </c>
      <c r="BO21" s="1723">
        <f t="shared" si="33"/>
        <v>0</v>
      </c>
      <c r="BP21" s="1723">
        <f t="shared" si="34"/>
        <v>0</v>
      </c>
      <c r="BQ21" s="1723">
        <f t="shared" si="35"/>
        <v>0</v>
      </c>
      <c r="BR21" s="1724"/>
      <c r="BS21" s="1725">
        <f>IF(SUM(BF$36:BG$36)=0,0,(BQ$36-W$58-N$64-W52-(L$79*0.15))/SUM(BF$36:BG$36)*BG21+BN21)</f>
        <v>0</v>
      </c>
      <c r="BT21" s="1723">
        <f>(AH21*Pricing!F$3+AI21*Pricing!G$3+AJ21*Pricing!H$3+AK21*Pricing!I$3+AL21*Pricing!J$3+AM21*Pricing!K$3)*IF(T$39="N",(1+V$39),1)</f>
        <v>0</v>
      </c>
      <c r="BU21" s="1723">
        <f t="shared" si="36"/>
        <v>0</v>
      </c>
      <c r="BV21" s="1723">
        <f t="shared" si="37"/>
        <v>0</v>
      </c>
      <c r="BW21" s="1724">
        <f t="shared" si="38"/>
        <v>0</v>
      </c>
      <c r="DB21" s="1726">
        <f t="shared" si="39"/>
        <v>0</v>
      </c>
      <c r="DC21" s="1723" t="e">
        <f t="shared" si="40"/>
        <v>#DIV/0!</v>
      </c>
      <c r="DD21" s="172">
        <f t="shared" si="41"/>
        <v>0</v>
      </c>
      <c r="DE21" s="847">
        <f t="shared" si="42"/>
        <v>0</v>
      </c>
      <c r="DF21" s="334">
        <f t="shared" si="43"/>
        <v>0</v>
      </c>
      <c r="DG21" s="847">
        <f t="shared" si="44"/>
        <v>0</v>
      </c>
      <c r="DH21" s="847">
        <f t="shared" si="45"/>
        <v>0</v>
      </c>
      <c r="DI21" s="847">
        <f t="shared" si="46"/>
        <v>0</v>
      </c>
      <c r="DJ21" s="1727">
        <f t="shared" si="47"/>
        <v>0</v>
      </c>
      <c r="DL21" s="1254">
        <v>44.28</v>
      </c>
    </row>
    <row r="22" spans="1:116" s="1254" customFormat="1" ht="15.45">
      <c r="A22" s="482"/>
      <c r="B22" s="1177"/>
      <c r="C22" s="1710"/>
      <c r="D22" s="1711"/>
      <c r="E22" s="1712"/>
      <c r="F22" s="1108"/>
      <c r="G22" s="1109"/>
      <c r="H22" s="1110"/>
      <c r="I22" s="1108"/>
      <c r="J22" s="1109"/>
      <c r="K22" s="1110"/>
      <c r="L22" s="1108"/>
      <c r="M22" s="1108"/>
      <c r="N22" s="1713"/>
      <c r="O22" s="1108"/>
      <c r="P22" s="1108"/>
      <c r="Q22" s="1111"/>
      <c r="R22" s="1714"/>
      <c r="S22" s="1715"/>
      <c r="T22" s="77"/>
      <c r="U22" s="839"/>
      <c r="V22" s="1716">
        <f t="shared" si="0"/>
        <v>0</v>
      </c>
      <c r="W22" s="1717">
        <f t="shared" si="1"/>
        <v>0</v>
      </c>
      <c r="AH22" s="1718">
        <f t="shared" si="2"/>
        <v>0</v>
      </c>
      <c r="AI22" s="1719">
        <f t="shared" si="3"/>
        <v>0</v>
      </c>
      <c r="AJ22" s="1719">
        <f t="shared" si="4"/>
        <v>0</v>
      </c>
      <c r="AK22" s="1719">
        <f t="shared" si="5"/>
        <v>0</v>
      </c>
      <c r="AL22" s="1719">
        <f t="shared" si="6"/>
        <v>0</v>
      </c>
      <c r="AM22" s="1719">
        <f t="shared" si="7"/>
        <v>0</v>
      </c>
      <c r="AN22" s="1719">
        <f t="shared" si="8"/>
        <v>0</v>
      </c>
      <c r="AO22" s="1719">
        <f t="shared" si="9"/>
        <v>0</v>
      </c>
      <c r="AP22" s="1719">
        <f t="shared" si="10"/>
        <v>0</v>
      </c>
      <c r="AQ22" s="1719">
        <f t="shared" si="11"/>
        <v>0</v>
      </c>
      <c r="AR22" s="1720">
        <f t="shared" si="12"/>
        <v>0</v>
      </c>
      <c r="AS22" s="1719">
        <f t="shared" si="13"/>
        <v>0</v>
      </c>
      <c r="AT22" s="1719">
        <f t="shared" si="14"/>
        <v>0</v>
      </c>
      <c r="AU22" s="1719">
        <f t="shared" si="15"/>
        <v>0</v>
      </c>
      <c r="AV22" s="1719">
        <f t="shared" si="16"/>
        <v>0</v>
      </c>
      <c r="AW22" s="1719">
        <f t="shared" si="17"/>
        <v>0</v>
      </c>
      <c r="AX22" s="1719">
        <f t="shared" si="18"/>
        <v>0</v>
      </c>
      <c r="AY22" s="1719">
        <f t="shared" si="19"/>
        <v>0</v>
      </c>
      <c r="AZ22" s="1719">
        <f t="shared" si="20"/>
        <v>0</v>
      </c>
      <c r="BA22" s="1721">
        <f t="shared" si="21"/>
        <v>0</v>
      </c>
      <c r="BB22" s="1719">
        <f t="shared" si="22"/>
        <v>0</v>
      </c>
      <c r="BC22" s="1719">
        <f t="shared" si="23"/>
        <v>0</v>
      </c>
      <c r="BD22" s="1719">
        <f t="shared" si="24"/>
        <v>0</v>
      </c>
      <c r="BE22" s="1719">
        <f t="shared" si="25"/>
        <v>0</v>
      </c>
      <c r="BF22" s="1719">
        <f t="shared" si="26"/>
        <v>0</v>
      </c>
      <c r="BG22" s="1719">
        <f t="shared" si="27"/>
        <v>0</v>
      </c>
      <c r="BH22" s="1719">
        <f t="shared" si="28"/>
        <v>0</v>
      </c>
      <c r="BJ22" s="1722">
        <f t="shared" si="29"/>
        <v>0</v>
      </c>
      <c r="BK22" s="1723">
        <f>(AR22*Pricing!F$3+AS22*Pricing!G$3+AT22*Pricing!H$3+AU22*Pricing!I$3+AV22*Pricing!J$3+AW22*Pricing!K$3+AH22*Pricing!F$3+AI22*Pricing!G$3+AJ22*Pricing!H$3+AK22*Pricing!I$3+AL22*Pricing!J$3+AM22*Pricing!K$3)*IF(T$39="N",(1+V$39),1)</f>
        <v>0</v>
      </c>
      <c r="BL22" s="1723">
        <f t="shared" si="30"/>
        <v>0</v>
      </c>
      <c r="BM22" s="1723">
        <f t="shared" si="31"/>
        <v>0</v>
      </c>
      <c r="BN22" s="1723">
        <f t="shared" si="32"/>
        <v>0</v>
      </c>
      <c r="BO22" s="1723">
        <f t="shared" si="33"/>
        <v>0</v>
      </c>
      <c r="BP22" s="1723">
        <f t="shared" si="34"/>
        <v>0</v>
      </c>
      <c r="BQ22" s="1723">
        <f t="shared" si="35"/>
        <v>0</v>
      </c>
      <c r="BR22" s="1724"/>
      <c r="BS22" s="1725">
        <f>IF(SUM(BF$36:BG$36)=0,0,(BQ$36-W$58-N$64-W55-(L$79*0.15))/SUM(BF$36:BG$36)*BG22+BN22)</f>
        <v>0</v>
      </c>
      <c r="BT22" s="1723">
        <f>(AH22*Pricing!F$3+AI22*Pricing!G$3+AJ22*Pricing!H$3+AK22*Pricing!I$3+AL22*Pricing!J$3+AM22*Pricing!K$3)*IF(T$39="N",(1+V$39),1)</f>
        <v>0</v>
      </c>
      <c r="BU22" s="1723">
        <f t="shared" si="36"/>
        <v>0</v>
      </c>
      <c r="BV22" s="1723">
        <f t="shared" si="37"/>
        <v>0</v>
      </c>
      <c r="BW22" s="1724">
        <f t="shared" si="38"/>
        <v>0</v>
      </c>
      <c r="DB22" s="1726">
        <f t="shared" si="39"/>
        <v>0</v>
      </c>
      <c r="DC22" s="1723" t="e">
        <f t="shared" si="40"/>
        <v>#DIV/0!</v>
      </c>
      <c r="DD22" s="172">
        <f t="shared" si="41"/>
        <v>0</v>
      </c>
      <c r="DE22" s="847">
        <f t="shared" si="42"/>
        <v>0</v>
      </c>
      <c r="DF22" s="334">
        <f t="shared" si="43"/>
        <v>0</v>
      </c>
      <c r="DG22" s="847">
        <f t="shared" si="44"/>
        <v>0</v>
      </c>
      <c r="DH22" s="847">
        <f t="shared" si="45"/>
        <v>0</v>
      </c>
      <c r="DI22" s="847">
        <f t="shared" si="46"/>
        <v>0</v>
      </c>
      <c r="DJ22" s="1727">
        <f t="shared" si="47"/>
        <v>0</v>
      </c>
      <c r="DL22" s="1254">
        <v>32.25</v>
      </c>
    </row>
    <row r="23" spans="1:116" s="1254" customFormat="1" ht="15.45">
      <c r="A23" s="482"/>
      <c r="B23" s="1177"/>
      <c r="C23" s="1710"/>
      <c r="D23" s="1711"/>
      <c r="E23" s="1712"/>
      <c r="F23" s="1108"/>
      <c r="G23" s="1109"/>
      <c r="H23" s="1110"/>
      <c r="I23" s="1108"/>
      <c r="J23" s="1109"/>
      <c r="K23" s="1110"/>
      <c r="L23" s="1108"/>
      <c r="M23" s="1108"/>
      <c r="N23" s="1713"/>
      <c r="O23" s="1108"/>
      <c r="P23" s="1108"/>
      <c r="Q23" s="1111"/>
      <c r="R23" s="1714"/>
      <c r="S23" s="1715"/>
      <c r="T23" s="77"/>
      <c r="U23" s="839"/>
      <c r="V23" s="1716">
        <f t="shared" si="0"/>
        <v>0</v>
      </c>
      <c r="W23" s="1717">
        <f t="shared" si="1"/>
        <v>0</v>
      </c>
      <c r="AH23" s="1718">
        <f t="shared" si="2"/>
        <v>0</v>
      </c>
      <c r="AI23" s="1719">
        <f t="shared" si="3"/>
        <v>0</v>
      </c>
      <c r="AJ23" s="1719">
        <f t="shared" si="4"/>
        <v>0</v>
      </c>
      <c r="AK23" s="1719">
        <f t="shared" si="5"/>
        <v>0</v>
      </c>
      <c r="AL23" s="1719">
        <f t="shared" si="6"/>
        <v>0</v>
      </c>
      <c r="AM23" s="1719">
        <f t="shared" si="7"/>
        <v>0</v>
      </c>
      <c r="AN23" s="1719">
        <f t="shared" si="8"/>
        <v>0</v>
      </c>
      <c r="AO23" s="1719">
        <f t="shared" si="9"/>
        <v>0</v>
      </c>
      <c r="AP23" s="1719">
        <f t="shared" si="10"/>
        <v>0</v>
      </c>
      <c r="AQ23" s="1719">
        <f t="shared" si="11"/>
        <v>0</v>
      </c>
      <c r="AR23" s="1720">
        <f t="shared" si="12"/>
        <v>0</v>
      </c>
      <c r="AS23" s="1719">
        <f t="shared" si="13"/>
        <v>0</v>
      </c>
      <c r="AT23" s="1719">
        <f t="shared" si="14"/>
        <v>0</v>
      </c>
      <c r="AU23" s="1719">
        <f t="shared" si="15"/>
        <v>0</v>
      </c>
      <c r="AV23" s="1719">
        <f t="shared" si="16"/>
        <v>0</v>
      </c>
      <c r="AW23" s="1719">
        <f t="shared" si="17"/>
        <v>0</v>
      </c>
      <c r="AX23" s="1719">
        <f t="shared" si="18"/>
        <v>0</v>
      </c>
      <c r="AY23" s="1719">
        <f t="shared" si="19"/>
        <v>0</v>
      </c>
      <c r="AZ23" s="1719">
        <f t="shared" si="20"/>
        <v>0</v>
      </c>
      <c r="BA23" s="1721">
        <f t="shared" si="21"/>
        <v>0</v>
      </c>
      <c r="BB23" s="1719">
        <f t="shared" si="22"/>
        <v>0</v>
      </c>
      <c r="BC23" s="1719">
        <f t="shared" si="23"/>
        <v>0</v>
      </c>
      <c r="BD23" s="1719">
        <f t="shared" si="24"/>
        <v>0</v>
      </c>
      <c r="BE23" s="1719">
        <f t="shared" si="25"/>
        <v>0</v>
      </c>
      <c r="BF23" s="1719">
        <f t="shared" si="26"/>
        <v>0</v>
      </c>
      <c r="BG23" s="1719">
        <f t="shared" si="27"/>
        <v>0</v>
      </c>
      <c r="BH23" s="1719">
        <f t="shared" si="28"/>
        <v>0</v>
      </c>
      <c r="BJ23" s="1722">
        <f t="shared" si="29"/>
        <v>0</v>
      </c>
      <c r="BK23" s="1723">
        <f>(AR23*Pricing!F$3+AS23*Pricing!G$3+AT23*Pricing!H$3+AU23*Pricing!I$3+AV23*Pricing!J$3+AW23*Pricing!K$3+AH23*Pricing!F$3+AI23*Pricing!G$3+AJ23*Pricing!H$3+AK23*Pricing!I$3+AL23*Pricing!J$3+AM23*Pricing!K$3)*IF(T$39="N",(1+V$39),1)</f>
        <v>0</v>
      </c>
      <c r="BL23" s="1723">
        <f t="shared" si="30"/>
        <v>0</v>
      </c>
      <c r="BM23" s="1723">
        <f t="shared" si="31"/>
        <v>0</v>
      </c>
      <c r="BN23" s="1723">
        <f t="shared" si="32"/>
        <v>0</v>
      </c>
      <c r="BO23" s="1723">
        <f t="shared" si="33"/>
        <v>0</v>
      </c>
      <c r="BP23" s="1723">
        <f t="shared" si="34"/>
        <v>0</v>
      </c>
      <c r="BQ23" s="1723">
        <f t="shared" si="35"/>
        <v>0</v>
      </c>
      <c r="BR23" s="1724"/>
      <c r="BS23" s="1725">
        <f>IF(SUM(BF$36:BG$36)=0,0,(BQ$36-W$58-N$64-W74-(L$79*0.15))/SUM(BF$36:BG$36)*BG23+BN23)</f>
        <v>0</v>
      </c>
      <c r="BT23" s="1723">
        <f>(AH23*Pricing!F$3+AI23*Pricing!G$3+AJ23*Pricing!H$3+AK23*Pricing!I$3+AL23*Pricing!J$3+AM23*Pricing!K$3)*IF(T$39="N",(1+V$39),1)</f>
        <v>0</v>
      </c>
      <c r="BU23" s="1723">
        <f t="shared" si="36"/>
        <v>0</v>
      </c>
      <c r="BV23" s="1723">
        <f t="shared" si="37"/>
        <v>0</v>
      </c>
      <c r="BW23" s="1724">
        <f t="shared" si="38"/>
        <v>0</v>
      </c>
      <c r="DB23" s="1726">
        <f t="shared" si="39"/>
        <v>0</v>
      </c>
      <c r="DC23" s="1723" t="e">
        <f t="shared" si="40"/>
        <v>#DIV/0!</v>
      </c>
      <c r="DD23" s="172">
        <f t="shared" si="41"/>
        <v>0</v>
      </c>
      <c r="DE23" s="847">
        <f t="shared" si="42"/>
        <v>0</v>
      </c>
      <c r="DF23" s="334">
        <f t="shared" si="43"/>
        <v>0</v>
      </c>
      <c r="DG23" s="847">
        <f t="shared" si="44"/>
        <v>0</v>
      </c>
      <c r="DH23" s="847">
        <f t="shared" si="45"/>
        <v>0</v>
      </c>
      <c r="DI23" s="847">
        <f t="shared" si="46"/>
        <v>0</v>
      </c>
      <c r="DJ23" s="1727">
        <f t="shared" si="47"/>
        <v>0</v>
      </c>
      <c r="DL23" s="1254">
        <v>32.1</v>
      </c>
    </row>
    <row r="24" spans="1:116" s="1254" customFormat="1" ht="15.45">
      <c r="A24" s="482"/>
      <c r="B24" s="1177"/>
      <c r="C24" s="1710"/>
      <c r="D24" s="1711"/>
      <c r="E24" s="1712"/>
      <c r="F24" s="1108"/>
      <c r="G24" s="1109"/>
      <c r="H24" s="1110"/>
      <c r="I24" s="1108"/>
      <c r="J24" s="1109"/>
      <c r="K24" s="1110"/>
      <c r="L24" s="1108"/>
      <c r="M24" s="1108"/>
      <c r="N24" s="1713"/>
      <c r="O24" s="1108"/>
      <c r="P24" s="1108"/>
      <c r="Q24" s="1111"/>
      <c r="R24" s="1714"/>
      <c r="S24" s="1715"/>
      <c r="T24" s="77"/>
      <c r="U24" s="839"/>
      <c r="V24" s="1716">
        <f t="shared" si="0"/>
        <v>0</v>
      </c>
      <c r="W24" s="1717">
        <f t="shared" si="1"/>
        <v>0</v>
      </c>
      <c r="AH24" s="1718">
        <f t="shared" si="2"/>
        <v>0</v>
      </c>
      <c r="AI24" s="1719">
        <f t="shared" si="3"/>
        <v>0</v>
      </c>
      <c r="AJ24" s="1719">
        <f t="shared" si="4"/>
        <v>0</v>
      </c>
      <c r="AK24" s="1719">
        <f t="shared" si="5"/>
        <v>0</v>
      </c>
      <c r="AL24" s="1719">
        <f t="shared" si="6"/>
        <v>0</v>
      </c>
      <c r="AM24" s="1719">
        <f t="shared" si="7"/>
        <v>0</v>
      </c>
      <c r="AN24" s="1719">
        <f t="shared" si="8"/>
        <v>0</v>
      </c>
      <c r="AO24" s="1719">
        <f t="shared" si="9"/>
        <v>0</v>
      </c>
      <c r="AP24" s="1719">
        <f t="shared" si="10"/>
        <v>0</v>
      </c>
      <c r="AQ24" s="1719">
        <f t="shared" si="11"/>
        <v>0</v>
      </c>
      <c r="AR24" s="1720">
        <f t="shared" si="12"/>
        <v>0</v>
      </c>
      <c r="AS24" s="1719">
        <f t="shared" si="13"/>
        <v>0</v>
      </c>
      <c r="AT24" s="1719">
        <f t="shared" si="14"/>
        <v>0</v>
      </c>
      <c r="AU24" s="1719">
        <f t="shared" si="15"/>
        <v>0</v>
      </c>
      <c r="AV24" s="1719">
        <f t="shared" si="16"/>
        <v>0</v>
      </c>
      <c r="AW24" s="1719">
        <f t="shared" si="17"/>
        <v>0</v>
      </c>
      <c r="AX24" s="1719">
        <f t="shared" si="18"/>
        <v>0</v>
      </c>
      <c r="AY24" s="1719">
        <f t="shared" si="19"/>
        <v>0</v>
      </c>
      <c r="AZ24" s="1719">
        <f t="shared" si="20"/>
        <v>0</v>
      </c>
      <c r="BA24" s="1721">
        <f t="shared" si="21"/>
        <v>0</v>
      </c>
      <c r="BB24" s="1719">
        <f t="shared" si="22"/>
        <v>0</v>
      </c>
      <c r="BC24" s="1719">
        <f t="shared" si="23"/>
        <v>0</v>
      </c>
      <c r="BD24" s="1719">
        <f t="shared" si="24"/>
        <v>0</v>
      </c>
      <c r="BE24" s="1719">
        <f t="shared" si="25"/>
        <v>0</v>
      </c>
      <c r="BF24" s="1719">
        <f t="shared" si="26"/>
        <v>0</v>
      </c>
      <c r="BG24" s="1719">
        <f t="shared" si="27"/>
        <v>0</v>
      </c>
      <c r="BH24" s="1719">
        <f t="shared" si="28"/>
        <v>0</v>
      </c>
      <c r="BJ24" s="1722">
        <f t="shared" si="29"/>
        <v>0</v>
      </c>
      <c r="BK24" s="1723">
        <f>(AR24*Pricing!F$3+AS24*Pricing!G$3+AT24*Pricing!H$3+AU24*Pricing!I$3+AV24*Pricing!J$3+AW24*Pricing!K$3+AH24*Pricing!F$3+AI24*Pricing!G$3+AJ24*Pricing!H$3+AK24*Pricing!I$3+AL24*Pricing!J$3+AM24*Pricing!K$3)*IF(T$39="N",(1+V$39),1)</f>
        <v>0</v>
      </c>
      <c r="BL24" s="1723">
        <f t="shared" si="30"/>
        <v>0</v>
      </c>
      <c r="BM24" s="1723">
        <f t="shared" si="31"/>
        <v>0</v>
      </c>
      <c r="BN24" s="1723">
        <f t="shared" si="32"/>
        <v>0</v>
      </c>
      <c r="BO24" s="1723">
        <f t="shared" si="33"/>
        <v>0</v>
      </c>
      <c r="BP24" s="1723">
        <f t="shared" si="34"/>
        <v>0</v>
      </c>
      <c r="BQ24" s="1723">
        <f t="shared" si="35"/>
        <v>0</v>
      </c>
      <c r="BR24" s="1724"/>
      <c r="BS24" s="1725">
        <f>IF(SUM(BF$36:BG$36)=0,0,(BQ$36-W$58-N$64-W76-(L$79*0.15))/SUM(BF$36:BG$36)*BG24+BN24)</f>
        <v>0</v>
      </c>
      <c r="BT24" s="1723">
        <f>(AH24*Pricing!F$3+AI24*Pricing!G$3+AJ24*Pricing!H$3+AK24*Pricing!I$3+AL24*Pricing!J$3+AM24*Pricing!K$3)*IF(T$39="N",(1+V$39),1)</f>
        <v>0</v>
      </c>
      <c r="BU24" s="1723">
        <f t="shared" si="36"/>
        <v>0</v>
      </c>
      <c r="BV24" s="1723">
        <f t="shared" si="37"/>
        <v>0</v>
      </c>
      <c r="BW24" s="1724">
        <f t="shared" si="38"/>
        <v>0</v>
      </c>
      <c r="DB24" s="1726">
        <f t="shared" si="39"/>
        <v>0</v>
      </c>
      <c r="DC24" s="1723" t="e">
        <f t="shared" si="40"/>
        <v>#DIV/0!</v>
      </c>
      <c r="DD24" s="172">
        <f t="shared" si="41"/>
        <v>0</v>
      </c>
      <c r="DE24" s="847">
        <f t="shared" si="42"/>
        <v>0</v>
      </c>
      <c r="DF24" s="334">
        <f t="shared" si="43"/>
        <v>0</v>
      </c>
      <c r="DG24" s="847">
        <f t="shared" si="44"/>
        <v>0</v>
      </c>
      <c r="DH24" s="847">
        <f t="shared" si="45"/>
        <v>0</v>
      </c>
      <c r="DI24" s="847">
        <f t="shared" si="46"/>
        <v>0</v>
      </c>
      <c r="DJ24" s="1727">
        <f t="shared" si="47"/>
        <v>0</v>
      </c>
      <c r="DL24" s="1254">
        <v>28.44</v>
      </c>
    </row>
    <row r="25" spans="1:116" s="1254" customFormat="1" ht="15.45">
      <c r="A25" s="482"/>
      <c r="B25" s="1177"/>
      <c r="C25" s="1710"/>
      <c r="D25" s="1711"/>
      <c r="E25" s="1712"/>
      <c r="F25" s="1108"/>
      <c r="G25" s="1109"/>
      <c r="H25" s="1110"/>
      <c r="I25" s="1108"/>
      <c r="J25" s="1109"/>
      <c r="K25" s="1110"/>
      <c r="L25" s="1108"/>
      <c r="M25" s="1108"/>
      <c r="N25" s="1713"/>
      <c r="O25" s="1108"/>
      <c r="P25" s="1108"/>
      <c r="Q25" s="1111"/>
      <c r="R25" s="1714"/>
      <c r="S25" s="1715"/>
      <c r="T25" s="77"/>
      <c r="U25" s="839"/>
      <c r="V25" s="1716">
        <f t="shared" si="0"/>
        <v>0</v>
      </c>
      <c r="W25" s="1717">
        <f t="shared" si="1"/>
        <v>0</v>
      </c>
      <c r="AH25" s="1718">
        <f t="shared" si="2"/>
        <v>0</v>
      </c>
      <c r="AI25" s="1719">
        <f t="shared" si="3"/>
        <v>0</v>
      </c>
      <c r="AJ25" s="1719">
        <f t="shared" si="4"/>
        <v>0</v>
      </c>
      <c r="AK25" s="1719">
        <f t="shared" si="5"/>
        <v>0</v>
      </c>
      <c r="AL25" s="1719">
        <f t="shared" si="6"/>
        <v>0</v>
      </c>
      <c r="AM25" s="1719">
        <f t="shared" si="7"/>
        <v>0</v>
      </c>
      <c r="AN25" s="1719">
        <f t="shared" si="8"/>
        <v>0</v>
      </c>
      <c r="AO25" s="1719">
        <f t="shared" si="9"/>
        <v>0</v>
      </c>
      <c r="AP25" s="1719">
        <f t="shared" si="10"/>
        <v>0</v>
      </c>
      <c r="AQ25" s="1719">
        <f t="shared" si="11"/>
        <v>0</v>
      </c>
      <c r="AR25" s="1720">
        <f t="shared" si="12"/>
        <v>0</v>
      </c>
      <c r="AS25" s="1719">
        <f t="shared" si="13"/>
        <v>0</v>
      </c>
      <c r="AT25" s="1719">
        <f t="shared" si="14"/>
        <v>0</v>
      </c>
      <c r="AU25" s="1719">
        <f t="shared" si="15"/>
        <v>0</v>
      </c>
      <c r="AV25" s="1719">
        <f t="shared" si="16"/>
        <v>0</v>
      </c>
      <c r="AW25" s="1719">
        <f t="shared" si="17"/>
        <v>0</v>
      </c>
      <c r="AX25" s="1719">
        <f t="shared" si="18"/>
        <v>0</v>
      </c>
      <c r="AY25" s="1719">
        <f t="shared" si="19"/>
        <v>0</v>
      </c>
      <c r="AZ25" s="1719">
        <f t="shared" si="20"/>
        <v>0</v>
      </c>
      <c r="BA25" s="1721">
        <f t="shared" si="21"/>
        <v>0</v>
      </c>
      <c r="BB25" s="1719">
        <f t="shared" si="22"/>
        <v>0</v>
      </c>
      <c r="BC25" s="1719">
        <f t="shared" si="23"/>
        <v>0</v>
      </c>
      <c r="BD25" s="1719">
        <f t="shared" si="24"/>
        <v>0</v>
      </c>
      <c r="BE25" s="1719">
        <f t="shared" si="25"/>
        <v>0</v>
      </c>
      <c r="BF25" s="1719">
        <f t="shared" si="26"/>
        <v>0</v>
      </c>
      <c r="BG25" s="1719">
        <f t="shared" si="27"/>
        <v>0</v>
      </c>
      <c r="BH25" s="1719">
        <f t="shared" si="28"/>
        <v>0</v>
      </c>
      <c r="BJ25" s="1722">
        <f t="shared" si="29"/>
        <v>0</v>
      </c>
      <c r="BK25" s="1723">
        <f>(AR25*Pricing!F$3+AS25*Pricing!G$3+AT25*Pricing!H$3+AU25*Pricing!I$3+AV25*Pricing!J$3+AW25*Pricing!K$3+AH25*Pricing!F$3+AI25*Pricing!G$3+AJ25*Pricing!H$3+AK25*Pricing!I$3+AL25*Pricing!J$3+AM25*Pricing!K$3)*IF(T$39="N",(1+V$39),1)</f>
        <v>0</v>
      </c>
      <c r="BL25" s="1723">
        <f t="shared" si="30"/>
        <v>0</v>
      </c>
      <c r="BM25" s="1723">
        <f t="shared" si="31"/>
        <v>0</v>
      </c>
      <c r="BN25" s="1723">
        <f t="shared" si="32"/>
        <v>0</v>
      </c>
      <c r="BO25" s="1723">
        <f t="shared" si="33"/>
        <v>0</v>
      </c>
      <c r="BP25" s="1723">
        <f t="shared" si="34"/>
        <v>0</v>
      </c>
      <c r="BQ25" s="1723">
        <f t="shared" si="35"/>
        <v>0</v>
      </c>
      <c r="BR25" s="1724"/>
      <c r="BS25" s="1725">
        <f>IF(SUM(BF$36:BG$36)=0,0,(BQ$36-W$58-N$64-W63-(L$79*0.15))/SUM(BF$36:BG$36)*BG25+BN25)</f>
        <v>0</v>
      </c>
      <c r="BT25" s="1723">
        <f>(AH25*Pricing!F$3+AI25*Pricing!G$3+AJ25*Pricing!H$3+AK25*Pricing!I$3+AL25*Pricing!J$3+AM25*Pricing!K$3)*IF(T$39="N",(1+V$39),1)</f>
        <v>0</v>
      </c>
      <c r="BU25" s="1723">
        <f t="shared" si="36"/>
        <v>0</v>
      </c>
      <c r="BV25" s="1723">
        <f t="shared" si="37"/>
        <v>0</v>
      </c>
      <c r="BW25" s="1724">
        <f t="shared" si="38"/>
        <v>0</v>
      </c>
      <c r="DB25" s="1726">
        <f t="shared" si="39"/>
        <v>0</v>
      </c>
      <c r="DC25" s="1723" t="e">
        <f t="shared" si="40"/>
        <v>#DIV/0!</v>
      </c>
      <c r="DD25" s="172">
        <f t="shared" si="41"/>
        <v>0</v>
      </c>
      <c r="DE25" s="847">
        <f t="shared" si="42"/>
        <v>0</v>
      </c>
      <c r="DF25" s="334">
        <f t="shared" si="43"/>
        <v>0</v>
      </c>
      <c r="DG25" s="847">
        <f t="shared" si="44"/>
        <v>0</v>
      </c>
      <c r="DH25" s="847">
        <f t="shared" si="45"/>
        <v>0</v>
      </c>
      <c r="DI25" s="847">
        <f t="shared" si="46"/>
        <v>0</v>
      </c>
      <c r="DJ25" s="1727">
        <f t="shared" si="47"/>
        <v>0</v>
      </c>
      <c r="DL25" s="1254">
        <v>27.41</v>
      </c>
    </row>
    <row r="26" spans="1:116" s="1254" customFormat="1" ht="15.45">
      <c r="A26" s="482"/>
      <c r="B26" s="1177"/>
      <c r="C26" s="1710"/>
      <c r="D26" s="1711"/>
      <c r="E26" s="1712"/>
      <c r="F26" s="1108"/>
      <c r="G26" s="1109"/>
      <c r="H26" s="1110"/>
      <c r="I26" s="1108"/>
      <c r="J26" s="1109"/>
      <c r="K26" s="1110"/>
      <c r="L26" s="1108"/>
      <c r="M26" s="1108"/>
      <c r="N26" s="1713"/>
      <c r="O26" s="1108"/>
      <c r="P26" s="1108"/>
      <c r="Q26" s="1111"/>
      <c r="R26" s="1714"/>
      <c r="S26" s="1715"/>
      <c r="T26" s="77"/>
      <c r="U26" s="839"/>
      <c r="V26" s="1716">
        <f t="shared" si="0"/>
        <v>0</v>
      </c>
      <c r="W26" s="1717">
        <f t="shared" si="1"/>
        <v>0</v>
      </c>
      <c r="AH26" s="1718">
        <f t="shared" si="2"/>
        <v>0</v>
      </c>
      <c r="AI26" s="1719">
        <f t="shared" si="3"/>
        <v>0</v>
      </c>
      <c r="AJ26" s="1719">
        <f t="shared" si="4"/>
        <v>0</v>
      </c>
      <c r="AK26" s="1719">
        <f t="shared" si="5"/>
        <v>0</v>
      </c>
      <c r="AL26" s="1719">
        <f t="shared" si="6"/>
        <v>0</v>
      </c>
      <c r="AM26" s="1719">
        <f t="shared" si="7"/>
        <v>0</v>
      </c>
      <c r="AN26" s="1719">
        <f t="shared" si="8"/>
        <v>0</v>
      </c>
      <c r="AO26" s="1719">
        <f t="shared" si="9"/>
        <v>0</v>
      </c>
      <c r="AP26" s="1719">
        <f t="shared" si="10"/>
        <v>0</v>
      </c>
      <c r="AQ26" s="1719">
        <f t="shared" si="11"/>
        <v>0</v>
      </c>
      <c r="AR26" s="1720">
        <f t="shared" si="12"/>
        <v>0</v>
      </c>
      <c r="AS26" s="1719">
        <f t="shared" si="13"/>
        <v>0</v>
      </c>
      <c r="AT26" s="1719">
        <f t="shared" si="14"/>
        <v>0</v>
      </c>
      <c r="AU26" s="1719">
        <f t="shared" si="15"/>
        <v>0</v>
      </c>
      <c r="AV26" s="1719">
        <f t="shared" si="16"/>
        <v>0</v>
      </c>
      <c r="AW26" s="1719">
        <f t="shared" si="17"/>
        <v>0</v>
      </c>
      <c r="AX26" s="1719">
        <f t="shared" si="18"/>
        <v>0</v>
      </c>
      <c r="AY26" s="1719">
        <f t="shared" si="19"/>
        <v>0</v>
      </c>
      <c r="AZ26" s="1719">
        <f t="shared" si="20"/>
        <v>0</v>
      </c>
      <c r="BA26" s="1721">
        <f t="shared" si="21"/>
        <v>0</v>
      </c>
      <c r="BB26" s="1719">
        <f t="shared" si="22"/>
        <v>0</v>
      </c>
      <c r="BC26" s="1719">
        <f t="shared" si="23"/>
        <v>0</v>
      </c>
      <c r="BD26" s="1719">
        <f t="shared" si="24"/>
        <v>0</v>
      </c>
      <c r="BE26" s="1719">
        <f t="shared" si="25"/>
        <v>0</v>
      </c>
      <c r="BF26" s="1719">
        <f t="shared" si="26"/>
        <v>0</v>
      </c>
      <c r="BG26" s="1719">
        <f t="shared" si="27"/>
        <v>0</v>
      </c>
      <c r="BH26" s="1719">
        <f t="shared" si="28"/>
        <v>0</v>
      </c>
      <c r="BJ26" s="1722">
        <f t="shared" si="29"/>
        <v>0</v>
      </c>
      <c r="BK26" s="1723">
        <f>(AR26*Pricing!F$3+AS26*Pricing!G$3+AT26*Pricing!H$3+AU26*Pricing!I$3+AV26*Pricing!J$3+AW26*Pricing!K$3+AH26*Pricing!F$3+AI26*Pricing!G$3+AJ26*Pricing!H$3+AK26*Pricing!I$3+AL26*Pricing!J$3+AM26*Pricing!K$3)*IF(T$39="N",(1+V$39),1)</f>
        <v>0</v>
      </c>
      <c r="BL26" s="1723">
        <f t="shared" si="30"/>
        <v>0</v>
      </c>
      <c r="BM26" s="1723">
        <f t="shared" si="31"/>
        <v>0</v>
      </c>
      <c r="BN26" s="1723">
        <f t="shared" si="32"/>
        <v>0</v>
      </c>
      <c r="BO26" s="1723">
        <f t="shared" si="33"/>
        <v>0</v>
      </c>
      <c r="BP26" s="1723">
        <f t="shared" si="34"/>
        <v>0</v>
      </c>
      <c r="BQ26" s="1723">
        <f t="shared" si="35"/>
        <v>0</v>
      </c>
      <c r="BR26" s="1724"/>
      <c r="BS26" s="1725">
        <f>IF(SUM(BF$36:BG$36)=0,0,(BQ$36-W$58-N$64-W57-(L$79*0.15))/SUM(BF$36:BG$36)*BG26+BN26)</f>
        <v>0</v>
      </c>
      <c r="BT26" s="1723">
        <f>(AH26*Pricing!F$3+AI26*Pricing!G$3+AJ26*Pricing!H$3+AK26*Pricing!I$3+AL26*Pricing!J$3+AM26*Pricing!K$3)*IF(T$39="N",(1+V$39),1)</f>
        <v>0</v>
      </c>
      <c r="BU26" s="1723">
        <f t="shared" si="36"/>
        <v>0</v>
      </c>
      <c r="BV26" s="1723">
        <f t="shared" si="37"/>
        <v>0</v>
      </c>
      <c r="BW26" s="1724">
        <f t="shared" si="38"/>
        <v>0</v>
      </c>
      <c r="DB26" s="1726">
        <f t="shared" si="39"/>
        <v>0</v>
      </c>
      <c r="DC26" s="1723" t="e">
        <f t="shared" si="40"/>
        <v>#DIV/0!</v>
      </c>
      <c r="DD26" s="172">
        <f t="shared" si="41"/>
        <v>0</v>
      </c>
      <c r="DE26" s="847">
        <f t="shared" si="42"/>
        <v>0</v>
      </c>
      <c r="DF26" s="334">
        <f t="shared" si="43"/>
        <v>0</v>
      </c>
      <c r="DG26" s="847">
        <f t="shared" si="44"/>
        <v>0</v>
      </c>
      <c r="DH26" s="847">
        <f t="shared" si="45"/>
        <v>0</v>
      </c>
      <c r="DI26" s="847">
        <f t="shared" si="46"/>
        <v>0</v>
      </c>
      <c r="DJ26" s="1727">
        <f t="shared" si="47"/>
        <v>0</v>
      </c>
      <c r="DL26" s="1254">
        <v>15.82</v>
      </c>
    </row>
    <row r="27" spans="1:116" s="1254" customFormat="1" ht="15.45">
      <c r="A27" s="482"/>
      <c r="B27" s="1177"/>
      <c r="C27" s="1710"/>
      <c r="D27" s="1711"/>
      <c r="E27" s="1712"/>
      <c r="F27" s="1108"/>
      <c r="G27" s="1109"/>
      <c r="H27" s="1110"/>
      <c r="I27" s="1108"/>
      <c r="J27" s="1109"/>
      <c r="K27" s="1110"/>
      <c r="L27" s="1108"/>
      <c r="M27" s="1108"/>
      <c r="N27" s="1713"/>
      <c r="O27" s="1108"/>
      <c r="P27" s="1108"/>
      <c r="Q27" s="1111"/>
      <c r="R27" s="1714"/>
      <c r="S27" s="1715"/>
      <c r="T27" s="77"/>
      <c r="U27" s="839"/>
      <c r="V27" s="1716">
        <f t="shared" si="0"/>
        <v>0</v>
      </c>
      <c r="W27" s="1717">
        <f t="shared" si="1"/>
        <v>0</v>
      </c>
      <c r="AH27" s="1718">
        <f t="shared" si="2"/>
        <v>0</v>
      </c>
      <c r="AI27" s="1719">
        <f t="shared" si="3"/>
        <v>0</v>
      </c>
      <c r="AJ27" s="1719">
        <f t="shared" si="4"/>
        <v>0</v>
      </c>
      <c r="AK27" s="1719">
        <f t="shared" si="5"/>
        <v>0</v>
      </c>
      <c r="AL27" s="1719">
        <f t="shared" si="6"/>
        <v>0</v>
      </c>
      <c r="AM27" s="1719">
        <f t="shared" si="7"/>
        <v>0</v>
      </c>
      <c r="AN27" s="1719">
        <f t="shared" si="8"/>
        <v>0</v>
      </c>
      <c r="AO27" s="1719">
        <f t="shared" si="9"/>
        <v>0</v>
      </c>
      <c r="AP27" s="1719">
        <f t="shared" si="10"/>
        <v>0</v>
      </c>
      <c r="AQ27" s="1719">
        <f t="shared" si="11"/>
        <v>0</v>
      </c>
      <c r="AR27" s="1720">
        <f t="shared" si="12"/>
        <v>0</v>
      </c>
      <c r="AS27" s="1719">
        <f t="shared" si="13"/>
        <v>0</v>
      </c>
      <c r="AT27" s="1719">
        <f t="shared" si="14"/>
        <v>0</v>
      </c>
      <c r="AU27" s="1719">
        <f t="shared" si="15"/>
        <v>0</v>
      </c>
      <c r="AV27" s="1719">
        <f t="shared" si="16"/>
        <v>0</v>
      </c>
      <c r="AW27" s="1719">
        <f t="shared" si="17"/>
        <v>0</v>
      </c>
      <c r="AX27" s="1719">
        <f t="shared" si="18"/>
        <v>0</v>
      </c>
      <c r="AY27" s="1719">
        <f t="shared" si="19"/>
        <v>0</v>
      </c>
      <c r="AZ27" s="1719">
        <f t="shared" si="20"/>
        <v>0</v>
      </c>
      <c r="BA27" s="1721">
        <f t="shared" si="21"/>
        <v>0</v>
      </c>
      <c r="BB27" s="1719">
        <f t="shared" si="22"/>
        <v>0</v>
      </c>
      <c r="BC27" s="1719">
        <f t="shared" si="23"/>
        <v>0</v>
      </c>
      <c r="BD27" s="1719">
        <f t="shared" si="24"/>
        <v>0</v>
      </c>
      <c r="BE27" s="1719">
        <f t="shared" si="25"/>
        <v>0</v>
      </c>
      <c r="BF27" s="1719">
        <f t="shared" si="26"/>
        <v>0</v>
      </c>
      <c r="BG27" s="1719">
        <f t="shared" si="27"/>
        <v>0</v>
      </c>
      <c r="BH27" s="1719">
        <f t="shared" si="28"/>
        <v>0</v>
      </c>
      <c r="BJ27" s="1722">
        <f t="shared" si="29"/>
        <v>0</v>
      </c>
      <c r="BK27" s="1723">
        <f>(AR27*Pricing!F$3+AS27*Pricing!G$3+AT27*Pricing!H$3+AU27*Pricing!I$3+AV27*Pricing!J$3+AW27*Pricing!K$3+AH27*Pricing!F$3+AI27*Pricing!G$3+AJ27*Pricing!H$3+AK27*Pricing!I$3+AL27*Pricing!J$3+AM27*Pricing!K$3)*IF(T$39="N",(1+V$39),1)</f>
        <v>0</v>
      </c>
      <c r="BL27" s="1723">
        <f t="shared" si="30"/>
        <v>0</v>
      </c>
      <c r="BM27" s="1723">
        <f t="shared" si="31"/>
        <v>0</v>
      </c>
      <c r="BN27" s="1723">
        <f t="shared" si="32"/>
        <v>0</v>
      </c>
      <c r="BO27" s="1723">
        <f t="shared" si="33"/>
        <v>0</v>
      </c>
      <c r="BP27" s="1723">
        <f t="shared" si="34"/>
        <v>0</v>
      </c>
      <c r="BQ27" s="1723">
        <f t="shared" si="35"/>
        <v>0</v>
      </c>
      <c r="BR27" s="1724"/>
      <c r="BS27" s="1725">
        <f t="shared" ref="BS27:BS32" si="48">IF(SUM(BF$36:BG$36)=0,0,(BQ$36-W$58-N$64-W65-(L$79*0.15))/SUM(BF$36:BG$36)*BG27+BN27)</f>
        <v>0</v>
      </c>
      <c r="BT27" s="1723">
        <f>(AH27*Pricing!F$3+AI27*Pricing!G$3+AJ27*Pricing!H$3+AK27*Pricing!I$3+AL27*Pricing!J$3+AM27*Pricing!K$3)*IF(T$39="N",(1+V$39),1)</f>
        <v>0</v>
      </c>
      <c r="BU27" s="1723">
        <f t="shared" si="36"/>
        <v>0</v>
      </c>
      <c r="BV27" s="1723">
        <f t="shared" si="37"/>
        <v>0</v>
      </c>
      <c r="BW27" s="1724">
        <f t="shared" si="38"/>
        <v>0</v>
      </c>
      <c r="DB27" s="1726">
        <f t="shared" si="39"/>
        <v>0</v>
      </c>
      <c r="DC27" s="1723" t="e">
        <f t="shared" si="40"/>
        <v>#DIV/0!</v>
      </c>
      <c r="DD27" s="172">
        <f t="shared" si="41"/>
        <v>0</v>
      </c>
      <c r="DE27" s="847">
        <f t="shared" si="42"/>
        <v>0</v>
      </c>
      <c r="DF27" s="334">
        <f t="shared" si="43"/>
        <v>0</v>
      </c>
      <c r="DG27" s="847">
        <f t="shared" si="44"/>
        <v>0</v>
      </c>
      <c r="DH27" s="847">
        <f t="shared" si="45"/>
        <v>0</v>
      </c>
      <c r="DI27" s="847">
        <f t="shared" si="46"/>
        <v>0</v>
      </c>
      <c r="DJ27" s="1727">
        <f t="shared" si="47"/>
        <v>0</v>
      </c>
      <c r="DL27" s="1254">
        <v>34.64</v>
      </c>
    </row>
    <row r="28" spans="1:116" s="1254" customFormat="1" ht="15.45">
      <c r="A28" s="482"/>
      <c r="B28" s="1177"/>
      <c r="C28" s="1710"/>
      <c r="D28" s="1711"/>
      <c r="E28" s="1712"/>
      <c r="F28" s="1108"/>
      <c r="G28" s="1109"/>
      <c r="H28" s="1110"/>
      <c r="I28" s="1108"/>
      <c r="J28" s="1109"/>
      <c r="K28" s="1110"/>
      <c r="L28" s="1108"/>
      <c r="M28" s="1108"/>
      <c r="N28" s="1713"/>
      <c r="O28" s="1108"/>
      <c r="P28" s="1108"/>
      <c r="Q28" s="1108"/>
      <c r="R28" s="1714"/>
      <c r="S28" s="1715"/>
      <c r="T28" s="77"/>
      <c r="U28" s="839"/>
      <c r="V28" s="1716">
        <f t="shared" si="0"/>
        <v>0</v>
      </c>
      <c r="W28" s="1717">
        <f t="shared" si="1"/>
        <v>0</v>
      </c>
      <c r="AH28" s="1718">
        <f t="shared" si="2"/>
        <v>0</v>
      </c>
      <c r="AI28" s="1719">
        <f t="shared" si="3"/>
        <v>0</v>
      </c>
      <c r="AJ28" s="1719">
        <f t="shared" si="4"/>
        <v>0</v>
      </c>
      <c r="AK28" s="1719">
        <f t="shared" si="5"/>
        <v>0</v>
      </c>
      <c r="AL28" s="1719">
        <f t="shared" si="6"/>
        <v>0</v>
      </c>
      <c r="AM28" s="1719">
        <f t="shared" si="7"/>
        <v>0</v>
      </c>
      <c r="AN28" s="1719">
        <f t="shared" si="8"/>
        <v>0</v>
      </c>
      <c r="AO28" s="1719">
        <f t="shared" si="9"/>
        <v>0</v>
      </c>
      <c r="AP28" s="1719">
        <f t="shared" si="10"/>
        <v>0</v>
      </c>
      <c r="AQ28" s="1719">
        <f t="shared" si="11"/>
        <v>0</v>
      </c>
      <c r="AR28" s="1720">
        <f t="shared" si="12"/>
        <v>0</v>
      </c>
      <c r="AS28" s="1719">
        <f t="shared" si="13"/>
        <v>0</v>
      </c>
      <c r="AT28" s="1719">
        <f t="shared" si="14"/>
        <v>0</v>
      </c>
      <c r="AU28" s="1719">
        <f t="shared" si="15"/>
        <v>0</v>
      </c>
      <c r="AV28" s="1719">
        <f t="shared" si="16"/>
        <v>0</v>
      </c>
      <c r="AW28" s="1719">
        <f t="shared" si="17"/>
        <v>0</v>
      </c>
      <c r="AX28" s="1719">
        <f t="shared" si="18"/>
        <v>0</v>
      </c>
      <c r="AY28" s="1719">
        <f t="shared" si="19"/>
        <v>0</v>
      </c>
      <c r="AZ28" s="1719">
        <f t="shared" si="20"/>
        <v>0</v>
      </c>
      <c r="BA28" s="1721">
        <f t="shared" si="21"/>
        <v>0</v>
      </c>
      <c r="BB28" s="1719">
        <f t="shared" si="22"/>
        <v>0</v>
      </c>
      <c r="BC28" s="1719">
        <f t="shared" si="23"/>
        <v>0</v>
      </c>
      <c r="BD28" s="1719">
        <f t="shared" si="24"/>
        <v>0</v>
      </c>
      <c r="BE28" s="1719">
        <f t="shared" si="25"/>
        <v>0</v>
      </c>
      <c r="BF28" s="1719">
        <f t="shared" si="26"/>
        <v>0</v>
      </c>
      <c r="BG28" s="1719">
        <f t="shared" si="27"/>
        <v>0</v>
      </c>
      <c r="BH28" s="1719">
        <f t="shared" si="28"/>
        <v>0</v>
      </c>
      <c r="BJ28" s="1722">
        <f t="shared" si="29"/>
        <v>0</v>
      </c>
      <c r="BK28" s="1723">
        <f>(AR28*Pricing!F$3+AS28*Pricing!G$3+AT28*Pricing!H$3+AU28*Pricing!I$3+AV28*Pricing!J$3+AW28*Pricing!K$3+AH28*Pricing!F$3+AI28*Pricing!G$3+AJ28*Pricing!H$3+AK28*Pricing!I$3+AL28*Pricing!J$3+AM28*Pricing!K$3)*IF(T$39="N",(1+V$39),1)</f>
        <v>0</v>
      </c>
      <c r="BL28" s="1723">
        <f t="shared" si="30"/>
        <v>0</v>
      </c>
      <c r="BM28" s="1723">
        <f t="shared" si="31"/>
        <v>0</v>
      </c>
      <c r="BN28" s="1723">
        <f t="shared" si="32"/>
        <v>0</v>
      </c>
      <c r="BO28" s="1723">
        <f t="shared" si="33"/>
        <v>0</v>
      </c>
      <c r="BP28" s="1723">
        <f t="shared" si="34"/>
        <v>0</v>
      </c>
      <c r="BQ28" s="1723">
        <f t="shared" si="35"/>
        <v>0</v>
      </c>
      <c r="BR28" s="1724"/>
      <c r="BS28" s="1725">
        <f t="shared" si="48"/>
        <v>0</v>
      </c>
      <c r="BT28" s="1723">
        <f>(AH28*Pricing!F$3+AI28*Pricing!G$3+AJ28*Pricing!H$3+AK28*Pricing!I$3+AL28*Pricing!J$3+AM28*Pricing!K$3)*IF(T$39="N",(1+V$39),1)</f>
        <v>0</v>
      </c>
      <c r="BU28" s="1723">
        <f t="shared" si="36"/>
        <v>0</v>
      </c>
      <c r="BV28" s="1723">
        <f t="shared" si="37"/>
        <v>0</v>
      </c>
      <c r="BW28" s="1724">
        <f t="shared" si="38"/>
        <v>0</v>
      </c>
      <c r="DB28" s="1726">
        <f t="shared" si="39"/>
        <v>0</v>
      </c>
      <c r="DC28" s="1723" t="e">
        <f t="shared" si="40"/>
        <v>#DIV/0!</v>
      </c>
      <c r="DD28" s="172">
        <f t="shared" si="41"/>
        <v>0</v>
      </c>
      <c r="DE28" s="847">
        <f t="shared" si="42"/>
        <v>0</v>
      </c>
      <c r="DF28" s="334">
        <f t="shared" si="43"/>
        <v>0</v>
      </c>
      <c r="DG28" s="847">
        <f t="shared" si="44"/>
        <v>0</v>
      </c>
      <c r="DH28" s="847">
        <f t="shared" si="45"/>
        <v>0</v>
      </c>
      <c r="DI28" s="847">
        <f t="shared" si="46"/>
        <v>0</v>
      </c>
      <c r="DJ28" s="1727">
        <f t="shared" si="47"/>
        <v>0</v>
      </c>
      <c r="DL28" s="1254">
        <v>72.3</v>
      </c>
    </row>
    <row r="29" spans="1:116" s="1254" customFormat="1" ht="15.45">
      <c r="A29" s="482"/>
      <c r="B29" s="1177"/>
      <c r="C29" s="1710"/>
      <c r="D29" s="1711"/>
      <c r="E29" s="1712"/>
      <c r="F29" s="1108"/>
      <c r="G29" s="1109"/>
      <c r="H29" s="1110"/>
      <c r="I29" s="1108"/>
      <c r="J29" s="1109"/>
      <c r="K29" s="1110"/>
      <c r="L29" s="1108"/>
      <c r="M29" s="1108"/>
      <c r="N29" s="1713"/>
      <c r="O29" s="1108"/>
      <c r="P29" s="1108"/>
      <c r="Q29" s="1108"/>
      <c r="R29" s="1714"/>
      <c r="S29" s="1715"/>
      <c r="T29" s="77"/>
      <c r="U29" s="839"/>
      <c r="V29" s="1716">
        <f t="shared" si="0"/>
        <v>0</v>
      </c>
      <c r="W29" s="1717">
        <f t="shared" si="1"/>
        <v>0</v>
      </c>
      <c r="AH29" s="1718">
        <f t="shared" si="2"/>
        <v>0</v>
      </c>
      <c r="AI29" s="1719">
        <f t="shared" si="3"/>
        <v>0</v>
      </c>
      <c r="AJ29" s="1719">
        <f t="shared" si="4"/>
        <v>0</v>
      </c>
      <c r="AK29" s="1719">
        <f t="shared" si="5"/>
        <v>0</v>
      </c>
      <c r="AL29" s="1719">
        <f t="shared" si="6"/>
        <v>0</v>
      </c>
      <c r="AM29" s="1719">
        <f t="shared" si="7"/>
        <v>0</v>
      </c>
      <c r="AN29" s="1719">
        <f t="shared" si="8"/>
        <v>0</v>
      </c>
      <c r="AO29" s="1719">
        <f t="shared" si="9"/>
        <v>0</v>
      </c>
      <c r="AP29" s="1719">
        <f t="shared" si="10"/>
        <v>0</v>
      </c>
      <c r="AQ29" s="1719">
        <f t="shared" si="11"/>
        <v>0</v>
      </c>
      <c r="AR29" s="1720">
        <f t="shared" si="12"/>
        <v>0</v>
      </c>
      <c r="AS29" s="1719">
        <f t="shared" si="13"/>
        <v>0</v>
      </c>
      <c r="AT29" s="1719">
        <f t="shared" si="14"/>
        <v>0</v>
      </c>
      <c r="AU29" s="1719">
        <f t="shared" si="15"/>
        <v>0</v>
      </c>
      <c r="AV29" s="1719">
        <f t="shared" si="16"/>
        <v>0</v>
      </c>
      <c r="AW29" s="1719">
        <f t="shared" si="17"/>
        <v>0</v>
      </c>
      <c r="AX29" s="1719">
        <f t="shared" si="18"/>
        <v>0</v>
      </c>
      <c r="AY29" s="1719">
        <f t="shared" si="19"/>
        <v>0</v>
      </c>
      <c r="AZ29" s="1719">
        <f t="shared" si="20"/>
        <v>0</v>
      </c>
      <c r="BA29" s="1721">
        <f t="shared" si="21"/>
        <v>0</v>
      </c>
      <c r="BB29" s="1719">
        <f t="shared" si="22"/>
        <v>0</v>
      </c>
      <c r="BC29" s="1719">
        <f t="shared" si="23"/>
        <v>0</v>
      </c>
      <c r="BD29" s="1719">
        <f t="shared" si="24"/>
        <v>0</v>
      </c>
      <c r="BE29" s="1719">
        <f t="shared" si="25"/>
        <v>0</v>
      </c>
      <c r="BF29" s="1719">
        <f t="shared" si="26"/>
        <v>0</v>
      </c>
      <c r="BG29" s="1719">
        <f t="shared" si="27"/>
        <v>0</v>
      </c>
      <c r="BH29" s="1719">
        <f t="shared" si="28"/>
        <v>0</v>
      </c>
      <c r="BJ29" s="1722">
        <f t="shared" si="29"/>
        <v>0</v>
      </c>
      <c r="BK29" s="1723">
        <f>(AR29*Pricing!F$3+AS29*Pricing!G$3+AT29*Pricing!H$3+AU29*Pricing!I$3+AV29*Pricing!J$3+AW29*Pricing!K$3+AH29*Pricing!F$3+AI29*Pricing!G$3+AJ29*Pricing!H$3+AK29*Pricing!I$3+AL29*Pricing!J$3+AM29*Pricing!K$3)*IF(T$39="N",(1+V$39),1)</f>
        <v>0</v>
      </c>
      <c r="BL29" s="1723">
        <f t="shared" si="30"/>
        <v>0</v>
      </c>
      <c r="BM29" s="1723">
        <f t="shared" si="31"/>
        <v>0</v>
      </c>
      <c r="BN29" s="1723">
        <f t="shared" si="32"/>
        <v>0</v>
      </c>
      <c r="BO29" s="1723">
        <f t="shared" si="33"/>
        <v>0</v>
      </c>
      <c r="BP29" s="1723">
        <f t="shared" si="34"/>
        <v>0</v>
      </c>
      <c r="BQ29" s="1723">
        <f t="shared" si="35"/>
        <v>0</v>
      </c>
      <c r="BR29" s="1724"/>
      <c r="BS29" s="1725">
        <f t="shared" si="48"/>
        <v>0</v>
      </c>
      <c r="BT29" s="1723">
        <f>(AH29*Pricing!F$3+AI29*Pricing!G$3+AJ29*Pricing!H$3+AK29*Pricing!I$3+AL29*Pricing!J$3+AM29*Pricing!K$3)*IF(T$39="N",(1+V$39),1)</f>
        <v>0</v>
      </c>
      <c r="BU29" s="1723">
        <f t="shared" si="36"/>
        <v>0</v>
      </c>
      <c r="BV29" s="1723">
        <f t="shared" si="37"/>
        <v>0</v>
      </c>
      <c r="BW29" s="1724">
        <f t="shared" si="38"/>
        <v>0</v>
      </c>
      <c r="DB29" s="1726">
        <f t="shared" si="39"/>
        <v>0</v>
      </c>
      <c r="DC29" s="1723" t="e">
        <f t="shared" si="40"/>
        <v>#DIV/0!</v>
      </c>
      <c r="DD29" s="172">
        <f t="shared" si="41"/>
        <v>0</v>
      </c>
      <c r="DE29" s="847">
        <f t="shared" si="42"/>
        <v>0</v>
      </c>
      <c r="DF29" s="334">
        <f t="shared" si="43"/>
        <v>0</v>
      </c>
      <c r="DG29" s="847">
        <f t="shared" si="44"/>
        <v>0</v>
      </c>
      <c r="DH29" s="847">
        <f t="shared" si="45"/>
        <v>0</v>
      </c>
      <c r="DI29" s="847">
        <f t="shared" si="46"/>
        <v>0</v>
      </c>
      <c r="DJ29" s="1727">
        <f t="shared" si="47"/>
        <v>0</v>
      </c>
      <c r="DL29" s="1254">
        <v>25.97</v>
      </c>
    </row>
    <row r="30" spans="1:116" s="1254" customFormat="1" ht="15.45">
      <c r="A30" s="482"/>
      <c r="B30" s="1177"/>
      <c r="C30" s="1710"/>
      <c r="D30" s="1711"/>
      <c r="E30" s="1712"/>
      <c r="F30" s="1108"/>
      <c r="G30" s="1109"/>
      <c r="H30" s="1110"/>
      <c r="I30" s="1108"/>
      <c r="J30" s="1109"/>
      <c r="K30" s="1110"/>
      <c r="L30" s="1108"/>
      <c r="M30" s="1108"/>
      <c r="N30" s="1713"/>
      <c r="O30" s="1108"/>
      <c r="P30" s="1108"/>
      <c r="Q30" s="1108"/>
      <c r="R30" s="1714"/>
      <c r="S30" s="1715"/>
      <c r="T30" s="77"/>
      <c r="U30" s="839"/>
      <c r="V30" s="1716">
        <f t="shared" si="0"/>
        <v>0</v>
      </c>
      <c r="W30" s="1717">
        <f t="shared" si="1"/>
        <v>0</v>
      </c>
      <c r="AH30" s="1718">
        <f t="shared" si="2"/>
        <v>0</v>
      </c>
      <c r="AI30" s="1719">
        <f t="shared" si="3"/>
        <v>0</v>
      </c>
      <c r="AJ30" s="1719">
        <f t="shared" si="4"/>
        <v>0</v>
      </c>
      <c r="AK30" s="1719">
        <f t="shared" si="5"/>
        <v>0</v>
      </c>
      <c r="AL30" s="1719">
        <f t="shared" si="6"/>
        <v>0</v>
      </c>
      <c r="AM30" s="1719">
        <f t="shared" si="7"/>
        <v>0</v>
      </c>
      <c r="AN30" s="1719">
        <f t="shared" si="8"/>
        <v>0</v>
      </c>
      <c r="AO30" s="1719">
        <f t="shared" si="9"/>
        <v>0</v>
      </c>
      <c r="AP30" s="1719">
        <f t="shared" si="10"/>
        <v>0</v>
      </c>
      <c r="AQ30" s="1719">
        <f t="shared" si="11"/>
        <v>0</v>
      </c>
      <c r="AR30" s="1720">
        <f t="shared" si="12"/>
        <v>0</v>
      </c>
      <c r="AS30" s="1719">
        <f t="shared" si="13"/>
        <v>0</v>
      </c>
      <c r="AT30" s="1719">
        <f t="shared" si="14"/>
        <v>0</v>
      </c>
      <c r="AU30" s="1719">
        <f t="shared" si="15"/>
        <v>0</v>
      </c>
      <c r="AV30" s="1719">
        <f t="shared" si="16"/>
        <v>0</v>
      </c>
      <c r="AW30" s="1719">
        <f t="shared" si="17"/>
        <v>0</v>
      </c>
      <c r="AX30" s="1719">
        <f t="shared" si="18"/>
        <v>0</v>
      </c>
      <c r="AY30" s="1719">
        <f t="shared" si="19"/>
        <v>0</v>
      </c>
      <c r="AZ30" s="1719">
        <f t="shared" si="20"/>
        <v>0</v>
      </c>
      <c r="BA30" s="1721">
        <f t="shared" si="21"/>
        <v>0</v>
      </c>
      <c r="BB30" s="1719">
        <f t="shared" si="22"/>
        <v>0</v>
      </c>
      <c r="BC30" s="1719">
        <f t="shared" si="23"/>
        <v>0</v>
      </c>
      <c r="BD30" s="1719">
        <f t="shared" si="24"/>
        <v>0</v>
      </c>
      <c r="BE30" s="1719">
        <f t="shared" si="25"/>
        <v>0</v>
      </c>
      <c r="BF30" s="1719">
        <f t="shared" si="26"/>
        <v>0</v>
      </c>
      <c r="BG30" s="1719">
        <f t="shared" si="27"/>
        <v>0</v>
      </c>
      <c r="BH30" s="1719">
        <f t="shared" si="28"/>
        <v>0</v>
      </c>
      <c r="BJ30" s="1722">
        <f t="shared" si="29"/>
        <v>0</v>
      </c>
      <c r="BK30" s="1723">
        <f>(AR30*Pricing!F$3+AS30*Pricing!G$3+AT30*Pricing!H$3+AU30*Pricing!I$3+AV30*Pricing!J$3+AW30*Pricing!K$3+AH30*Pricing!F$3+AI30*Pricing!G$3+AJ30*Pricing!H$3+AK30*Pricing!I$3+AL30*Pricing!J$3+AM30*Pricing!K$3)*IF(T$39="N",(1+V$39),1)</f>
        <v>0</v>
      </c>
      <c r="BL30" s="1723">
        <f t="shared" si="30"/>
        <v>0</v>
      </c>
      <c r="BM30" s="1723">
        <f t="shared" si="31"/>
        <v>0</v>
      </c>
      <c r="BN30" s="1723">
        <f t="shared" si="32"/>
        <v>0</v>
      </c>
      <c r="BO30" s="1723">
        <f t="shared" si="33"/>
        <v>0</v>
      </c>
      <c r="BP30" s="1723">
        <f t="shared" si="34"/>
        <v>0</v>
      </c>
      <c r="BQ30" s="1723">
        <f t="shared" si="35"/>
        <v>0</v>
      </c>
      <c r="BR30" s="1724"/>
      <c r="BS30" s="1725">
        <f t="shared" si="48"/>
        <v>0</v>
      </c>
      <c r="BT30" s="1723">
        <f>(AH30*Pricing!F$3+AI30*Pricing!G$3+AJ30*Pricing!H$3+AK30*Pricing!I$3+AL30*Pricing!J$3+AM30*Pricing!K$3)*IF(T$39="N",(1+V$39),1)</f>
        <v>0</v>
      </c>
      <c r="BU30" s="1723">
        <f t="shared" si="36"/>
        <v>0</v>
      </c>
      <c r="BV30" s="1723">
        <f t="shared" si="37"/>
        <v>0</v>
      </c>
      <c r="BW30" s="1724">
        <f t="shared" si="38"/>
        <v>0</v>
      </c>
      <c r="DB30" s="1726">
        <f t="shared" si="39"/>
        <v>0</v>
      </c>
      <c r="DC30" s="1723" t="e">
        <f t="shared" si="40"/>
        <v>#DIV/0!</v>
      </c>
      <c r="DD30" s="172">
        <f t="shared" si="41"/>
        <v>0</v>
      </c>
      <c r="DE30" s="847">
        <f t="shared" si="42"/>
        <v>0</v>
      </c>
      <c r="DF30" s="334">
        <f t="shared" si="43"/>
        <v>0</v>
      </c>
      <c r="DG30" s="847">
        <f t="shared" si="44"/>
        <v>0</v>
      </c>
      <c r="DH30" s="847">
        <f t="shared" si="45"/>
        <v>0</v>
      </c>
      <c r="DI30" s="847">
        <f t="shared" si="46"/>
        <v>0</v>
      </c>
      <c r="DJ30" s="1727">
        <f t="shared" si="47"/>
        <v>0</v>
      </c>
      <c r="DL30" s="1254">
        <v>54.25</v>
      </c>
    </row>
    <row r="31" spans="1:116" s="1254" customFormat="1" ht="15.45">
      <c r="A31" s="482"/>
      <c r="B31" s="1177"/>
      <c r="C31" s="1710"/>
      <c r="D31" s="1711"/>
      <c r="E31" s="1712"/>
      <c r="F31" s="1108"/>
      <c r="G31" s="1109"/>
      <c r="H31" s="1110"/>
      <c r="I31" s="1108"/>
      <c r="J31" s="1109"/>
      <c r="K31" s="1110"/>
      <c r="L31" s="1108"/>
      <c r="M31" s="1108"/>
      <c r="N31" s="1713"/>
      <c r="O31" s="1108"/>
      <c r="P31" s="1108"/>
      <c r="Q31" s="1108"/>
      <c r="R31" s="1714"/>
      <c r="S31" s="1715"/>
      <c r="T31" s="77"/>
      <c r="U31" s="839"/>
      <c r="V31" s="1716">
        <f t="shared" si="0"/>
        <v>0</v>
      </c>
      <c r="W31" s="1717">
        <f t="shared" si="1"/>
        <v>0</v>
      </c>
      <c r="AH31" s="1718">
        <f t="shared" si="2"/>
        <v>0</v>
      </c>
      <c r="AI31" s="1719">
        <f t="shared" si="3"/>
        <v>0</v>
      </c>
      <c r="AJ31" s="1719">
        <f t="shared" si="4"/>
        <v>0</v>
      </c>
      <c r="AK31" s="1719">
        <f t="shared" si="5"/>
        <v>0</v>
      </c>
      <c r="AL31" s="1719">
        <f t="shared" si="6"/>
        <v>0</v>
      </c>
      <c r="AM31" s="1719">
        <f t="shared" si="7"/>
        <v>0</v>
      </c>
      <c r="AN31" s="1719">
        <f t="shared" si="8"/>
        <v>0</v>
      </c>
      <c r="AO31" s="1719">
        <f t="shared" si="9"/>
        <v>0</v>
      </c>
      <c r="AP31" s="1719">
        <f t="shared" si="10"/>
        <v>0</v>
      </c>
      <c r="AQ31" s="1719">
        <f t="shared" si="11"/>
        <v>0</v>
      </c>
      <c r="AR31" s="1720">
        <f t="shared" si="12"/>
        <v>0</v>
      </c>
      <c r="AS31" s="1719">
        <f t="shared" si="13"/>
        <v>0</v>
      </c>
      <c r="AT31" s="1719">
        <f t="shared" si="14"/>
        <v>0</v>
      </c>
      <c r="AU31" s="1719">
        <f t="shared" si="15"/>
        <v>0</v>
      </c>
      <c r="AV31" s="1719">
        <f t="shared" si="16"/>
        <v>0</v>
      </c>
      <c r="AW31" s="1719">
        <f t="shared" si="17"/>
        <v>0</v>
      </c>
      <c r="AX31" s="1719">
        <f t="shared" si="18"/>
        <v>0</v>
      </c>
      <c r="AY31" s="1719">
        <f t="shared" si="19"/>
        <v>0</v>
      </c>
      <c r="AZ31" s="1719">
        <f t="shared" si="20"/>
        <v>0</v>
      </c>
      <c r="BA31" s="1721">
        <f t="shared" si="21"/>
        <v>0</v>
      </c>
      <c r="BB31" s="1719">
        <f t="shared" si="22"/>
        <v>0</v>
      </c>
      <c r="BC31" s="1719">
        <f t="shared" si="23"/>
        <v>0</v>
      </c>
      <c r="BD31" s="1719">
        <f t="shared" si="24"/>
        <v>0</v>
      </c>
      <c r="BE31" s="1719">
        <f t="shared" si="25"/>
        <v>0</v>
      </c>
      <c r="BF31" s="1719">
        <f t="shared" si="26"/>
        <v>0</v>
      </c>
      <c r="BG31" s="1719">
        <f t="shared" si="27"/>
        <v>0</v>
      </c>
      <c r="BH31" s="1719">
        <f t="shared" si="28"/>
        <v>0</v>
      </c>
      <c r="BJ31" s="1722">
        <f t="shared" si="29"/>
        <v>0</v>
      </c>
      <c r="BK31" s="1723">
        <f>(AR31*Pricing!F$3+AS31*Pricing!G$3+AT31*Pricing!H$3+AU31*Pricing!I$3+AV31*Pricing!J$3+AW31*Pricing!K$3+AH31*Pricing!F$3+AI31*Pricing!G$3+AJ31*Pricing!H$3+AK31*Pricing!I$3+AL31*Pricing!J$3+AM31*Pricing!K$3)*IF(T$39="N",(1+V$39),1)</f>
        <v>0</v>
      </c>
      <c r="BL31" s="1723">
        <f t="shared" si="30"/>
        <v>0</v>
      </c>
      <c r="BM31" s="1723">
        <f t="shared" si="31"/>
        <v>0</v>
      </c>
      <c r="BN31" s="1723">
        <f t="shared" si="32"/>
        <v>0</v>
      </c>
      <c r="BO31" s="1723">
        <f t="shared" si="33"/>
        <v>0</v>
      </c>
      <c r="BP31" s="1723">
        <f t="shared" si="34"/>
        <v>0</v>
      </c>
      <c r="BQ31" s="1723">
        <f t="shared" si="35"/>
        <v>0</v>
      </c>
      <c r="BR31" s="1724"/>
      <c r="BS31" s="1725">
        <f t="shared" si="48"/>
        <v>0</v>
      </c>
      <c r="BT31" s="1723">
        <f>(AH31*Pricing!F$3+AI31*Pricing!G$3+AJ31*Pricing!H$3+AK31*Pricing!I$3+AL31*Pricing!J$3+AM31*Pricing!K$3)*IF(T$39="N",(1+V$39),1)</f>
        <v>0</v>
      </c>
      <c r="BU31" s="1723">
        <f t="shared" si="36"/>
        <v>0</v>
      </c>
      <c r="BV31" s="1723">
        <f t="shared" si="37"/>
        <v>0</v>
      </c>
      <c r="BW31" s="1724">
        <f t="shared" si="38"/>
        <v>0</v>
      </c>
      <c r="DB31" s="1726">
        <f t="shared" si="39"/>
        <v>0</v>
      </c>
      <c r="DC31" s="1723" t="e">
        <f t="shared" si="40"/>
        <v>#DIV/0!</v>
      </c>
      <c r="DD31" s="172">
        <f t="shared" si="41"/>
        <v>0</v>
      </c>
      <c r="DE31" s="847">
        <f t="shared" si="42"/>
        <v>0</v>
      </c>
      <c r="DF31" s="334">
        <f t="shared" si="43"/>
        <v>0</v>
      </c>
      <c r="DG31" s="847">
        <f t="shared" si="44"/>
        <v>0</v>
      </c>
      <c r="DH31" s="847">
        <f t="shared" si="45"/>
        <v>0</v>
      </c>
      <c r="DI31" s="847">
        <f t="shared" si="46"/>
        <v>0</v>
      </c>
      <c r="DJ31" s="1727">
        <f t="shared" si="47"/>
        <v>0</v>
      </c>
      <c r="DL31" s="1254">
        <v>5.43</v>
      </c>
    </row>
    <row r="32" spans="1:116" s="1254" customFormat="1" ht="15.45">
      <c r="A32" s="482"/>
      <c r="B32" s="1177"/>
      <c r="C32" s="1710"/>
      <c r="D32" s="1711"/>
      <c r="E32" s="1712"/>
      <c r="F32" s="1108"/>
      <c r="G32" s="1109"/>
      <c r="H32" s="1110"/>
      <c r="I32" s="1108"/>
      <c r="J32" s="1109"/>
      <c r="K32" s="1110"/>
      <c r="L32" s="1108"/>
      <c r="M32" s="1108"/>
      <c r="N32" s="1713"/>
      <c r="O32" s="1108"/>
      <c r="P32" s="1108"/>
      <c r="Q32" s="1108"/>
      <c r="R32" s="1714"/>
      <c r="S32" s="1715"/>
      <c r="T32" s="77"/>
      <c r="U32" s="839"/>
      <c r="V32" s="1716">
        <f t="shared" si="0"/>
        <v>0</v>
      </c>
      <c r="W32" s="1717">
        <f t="shared" si="1"/>
        <v>0</v>
      </c>
      <c r="AH32" s="1718">
        <f t="shared" si="2"/>
        <v>0</v>
      </c>
      <c r="AI32" s="1719">
        <f t="shared" si="3"/>
        <v>0</v>
      </c>
      <c r="AJ32" s="1719">
        <f t="shared" si="4"/>
        <v>0</v>
      </c>
      <c r="AK32" s="1719">
        <f t="shared" si="5"/>
        <v>0</v>
      </c>
      <c r="AL32" s="1719">
        <f t="shared" si="6"/>
        <v>0</v>
      </c>
      <c r="AM32" s="1719">
        <f t="shared" si="7"/>
        <v>0</v>
      </c>
      <c r="AN32" s="1719">
        <f t="shared" si="8"/>
        <v>0</v>
      </c>
      <c r="AO32" s="1719">
        <f t="shared" si="9"/>
        <v>0</v>
      </c>
      <c r="AP32" s="1719">
        <f t="shared" si="10"/>
        <v>0</v>
      </c>
      <c r="AQ32" s="1719">
        <f t="shared" si="11"/>
        <v>0</v>
      </c>
      <c r="AR32" s="1720">
        <f t="shared" si="12"/>
        <v>0</v>
      </c>
      <c r="AS32" s="1719">
        <f t="shared" si="13"/>
        <v>0</v>
      </c>
      <c r="AT32" s="1719">
        <f t="shared" si="14"/>
        <v>0</v>
      </c>
      <c r="AU32" s="1719">
        <f t="shared" si="15"/>
        <v>0</v>
      </c>
      <c r="AV32" s="1719">
        <f t="shared" si="16"/>
        <v>0</v>
      </c>
      <c r="AW32" s="1719">
        <f t="shared" si="17"/>
        <v>0</v>
      </c>
      <c r="AX32" s="1719">
        <f t="shared" si="18"/>
        <v>0</v>
      </c>
      <c r="AY32" s="1719">
        <f t="shared" si="19"/>
        <v>0</v>
      </c>
      <c r="AZ32" s="1719">
        <f t="shared" si="20"/>
        <v>0</v>
      </c>
      <c r="BA32" s="1721">
        <f t="shared" si="21"/>
        <v>0</v>
      </c>
      <c r="BB32" s="1719">
        <f t="shared" si="22"/>
        <v>0</v>
      </c>
      <c r="BC32" s="1719">
        <f t="shared" si="23"/>
        <v>0</v>
      </c>
      <c r="BD32" s="1719">
        <f t="shared" si="24"/>
        <v>0</v>
      </c>
      <c r="BE32" s="1719">
        <f t="shared" si="25"/>
        <v>0</v>
      </c>
      <c r="BF32" s="1719">
        <f t="shared" si="26"/>
        <v>0</v>
      </c>
      <c r="BG32" s="1719">
        <f t="shared" si="27"/>
        <v>0</v>
      </c>
      <c r="BH32" s="1719">
        <f t="shared" si="28"/>
        <v>0</v>
      </c>
      <c r="BJ32" s="1722">
        <f t="shared" si="29"/>
        <v>0</v>
      </c>
      <c r="BK32" s="1723">
        <f>(AR32*Pricing!F$3+AS32*Pricing!G$3+AT32*Pricing!H$3+AU32*Pricing!I$3+AV32*Pricing!J$3+AW32*Pricing!K$3+AH32*Pricing!F$3+AI32*Pricing!G$3+AJ32*Pricing!H$3+AK32*Pricing!I$3+AL32*Pricing!J$3+AM32*Pricing!K$3)*IF(T$39="N",(1+V$39),1)</f>
        <v>0</v>
      </c>
      <c r="BL32" s="1723">
        <f t="shared" si="30"/>
        <v>0</v>
      </c>
      <c r="BM32" s="1723">
        <f t="shared" si="31"/>
        <v>0</v>
      </c>
      <c r="BN32" s="1723">
        <f t="shared" si="32"/>
        <v>0</v>
      </c>
      <c r="BO32" s="1723">
        <f t="shared" si="33"/>
        <v>0</v>
      </c>
      <c r="BP32" s="1723">
        <f t="shared" si="34"/>
        <v>0</v>
      </c>
      <c r="BQ32" s="1723">
        <f t="shared" si="35"/>
        <v>0</v>
      </c>
      <c r="BR32" s="1724"/>
      <c r="BS32" s="1725">
        <f t="shared" si="48"/>
        <v>0</v>
      </c>
      <c r="BT32" s="1723">
        <f>(AH32*Pricing!F$3+AI32*Pricing!G$3+AJ32*Pricing!H$3+AK32*Pricing!I$3+AL32*Pricing!J$3+AM32*Pricing!K$3)*IF(T$39="N",(1+V$39),1)</f>
        <v>0</v>
      </c>
      <c r="BU32" s="1723">
        <f t="shared" si="36"/>
        <v>0</v>
      </c>
      <c r="BV32" s="1723">
        <f t="shared" si="37"/>
        <v>0</v>
      </c>
      <c r="BW32" s="1724">
        <f t="shared" si="38"/>
        <v>0</v>
      </c>
      <c r="DB32" s="1726">
        <f t="shared" si="39"/>
        <v>0</v>
      </c>
      <c r="DC32" s="1723" t="e">
        <f t="shared" si="40"/>
        <v>#DIV/0!</v>
      </c>
      <c r="DD32" s="172">
        <f t="shared" si="41"/>
        <v>0</v>
      </c>
      <c r="DE32" s="847">
        <f t="shared" si="42"/>
        <v>0</v>
      </c>
      <c r="DF32" s="334">
        <f t="shared" si="43"/>
        <v>0</v>
      </c>
      <c r="DG32" s="847">
        <f t="shared" si="44"/>
        <v>0</v>
      </c>
      <c r="DH32" s="847">
        <f t="shared" si="45"/>
        <v>0</v>
      </c>
      <c r="DI32" s="847">
        <f t="shared" si="46"/>
        <v>0</v>
      </c>
      <c r="DJ32" s="1727">
        <f t="shared" si="47"/>
        <v>0</v>
      </c>
      <c r="DL32" s="1254">
        <v>19.63</v>
      </c>
    </row>
    <row r="33" spans="1:116" s="1254" customFormat="1" ht="15.45">
      <c r="A33" s="482"/>
      <c r="B33" s="1177"/>
      <c r="C33" s="1710"/>
      <c r="D33" s="1711"/>
      <c r="E33" s="1712"/>
      <c r="F33" s="1108"/>
      <c r="G33" s="1109"/>
      <c r="H33" s="1110"/>
      <c r="I33" s="1108"/>
      <c r="J33" s="1109"/>
      <c r="K33" s="1110"/>
      <c r="L33" s="1108"/>
      <c r="M33" s="1108"/>
      <c r="N33" s="1713"/>
      <c r="O33" s="1108"/>
      <c r="P33" s="1108"/>
      <c r="Q33" s="1108"/>
      <c r="R33" s="1714"/>
      <c r="S33" s="1715"/>
      <c r="T33" s="77"/>
      <c r="U33" s="839"/>
      <c r="V33" s="1716">
        <f t="shared" si="0"/>
        <v>0</v>
      </c>
      <c r="W33" s="1717">
        <f t="shared" si="1"/>
        <v>0</v>
      </c>
      <c r="AH33" s="1718">
        <f t="shared" si="2"/>
        <v>0</v>
      </c>
      <c r="AI33" s="1719">
        <f t="shared" si="3"/>
        <v>0</v>
      </c>
      <c r="AJ33" s="1719">
        <f t="shared" si="4"/>
        <v>0</v>
      </c>
      <c r="AK33" s="1719">
        <f t="shared" si="5"/>
        <v>0</v>
      </c>
      <c r="AL33" s="1719">
        <f t="shared" si="6"/>
        <v>0</v>
      </c>
      <c r="AM33" s="1719">
        <f t="shared" si="7"/>
        <v>0</v>
      </c>
      <c r="AN33" s="1719">
        <f t="shared" si="8"/>
        <v>0</v>
      </c>
      <c r="AO33" s="1719">
        <f t="shared" si="9"/>
        <v>0</v>
      </c>
      <c r="AP33" s="1719">
        <f t="shared" si="10"/>
        <v>0</v>
      </c>
      <c r="AQ33" s="1719">
        <f t="shared" si="11"/>
        <v>0</v>
      </c>
      <c r="AR33" s="1720">
        <f t="shared" si="12"/>
        <v>0</v>
      </c>
      <c r="AS33" s="1719">
        <f t="shared" si="13"/>
        <v>0</v>
      </c>
      <c r="AT33" s="1719">
        <f t="shared" si="14"/>
        <v>0</v>
      </c>
      <c r="AU33" s="1719">
        <f t="shared" si="15"/>
        <v>0</v>
      </c>
      <c r="AV33" s="1719">
        <f t="shared" si="16"/>
        <v>0</v>
      </c>
      <c r="AW33" s="1719">
        <f t="shared" si="17"/>
        <v>0</v>
      </c>
      <c r="AX33" s="1719">
        <f t="shared" si="18"/>
        <v>0</v>
      </c>
      <c r="AY33" s="1719">
        <f t="shared" si="19"/>
        <v>0</v>
      </c>
      <c r="AZ33" s="1719">
        <f t="shared" si="20"/>
        <v>0</v>
      </c>
      <c r="BA33" s="1721">
        <f t="shared" si="21"/>
        <v>0</v>
      </c>
      <c r="BB33" s="1719">
        <f t="shared" si="22"/>
        <v>0</v>
      </c>
      <c r="BC33" s="1719">
        <f t="shared" si="23"/>
        <v>0</v>
      </c>
      <c r="BD33" s="1719">
        <f t="shared" si="24"/>
        <v>0</v>
      </c>
      <c r="BE33" s="1719">
        <f t="shared" si="25"/>
        <v>0</v>
      </c>
      <c r="BF33" s="1719">
        <f t="shared" si="26"/>
        <v>0</v>
      </c>
      <c r="BG33" s="1719">
        <f t="shared" si="27"/>
        <v>0</v>
      </c>
      <c r="BH33" s="1719">
        <f t="shared" si="28"/>
        <v>0</v>
      </c>
      <c r="BJ33" s="1722">
        <f t="shared" si="29"/>
        <v>0</v>
      </c>
      <c r="BK33" s="1723">
        <f>(AR33*Pricing!F$3+AS33*Pricing!G$3+AT33*Pricing!H$3+AU33*Pricing!I$3+AV33*Pricing!J$3+AW33*Pricing!K$3+AH33*Pricing!F$3+AI33*Pricing!G$3+AJ33*Pricing!H$3+AK33*Pricing!I$3+AL33*Pricing!J$3+AM33*Pricing!K$3)*IF(T$39="N",(1+V$39),1)</f>
        <v>0</v>
      </c>
      <c r="BL33" s="1723">
        <f t="shared" si="30"/>
        <v>0</v>
      </c>
      <c r="BM33" s="1723">
        <f t="shared" si="31"/>
        <v>0</v>
      </c>
      <c r="BN33" s="1723">
        <f t="shared" si="32"/>
        <v>0</v>
      </c>
      <c r="BO33" s="1723">
        <f t="shared" si="33"/>
        <v>0</v>
      </c>
      <c r="BP33" s="1723">
        <f t="shared" si="34"/>
        <v>0</v>
      </c>
      <c r="BQ33" s="1723">
        <f t="shared" si="35"/>
        <v>0</v>
      </c>
      <c r="BR33" s="1724"/>
      <c r="BS33" s="1725">
        <f>IF(SUM(BF$36:BG$36)=0,0,(BQ$36-W$58-N$64-W81-(L$79*0.15))/SUM(BF$36:BG$36)*BG33+BN33)</f>
        <v>0</v>
      </c>
      <c r="BT33" s="1723">
        <f>(AH33*Pricing!F$3+AI33*Pricing!G$3+AJ33*Pricing!H$3+AK33*Pricing!I$3+AL33*Pricing!J$3+AM33*Pricing!K$3)*IF(T$39="N",(1+V$39),1)</f>
        <v>0</v>
      </c>
      <c r="BU33" s="1723">
        <f t="shared" si="36"/>
        <v>0</v>
      </c>
      <c r="BV33" s="1723">
        <f t="shared" si="37"/>
        <v>0</v>
      </c>
      <c r="BW33" s="1724">
        <f t="shared" si="38"/>
        <v>0</v>
      </c>
      <c r="DB33" s="1726">
        <f t="shared" si="39"/>
        <v>0</v>
      </c>
      <c r="DC33" s="1723" t="e">
        <f t="shared" si="40"/>
        <v>#DIV/0!</v>
      </c>
      <c r="DD33" s="172">
        <f t="shared" si="41"/>
        <v>0</v>
      </c>
      <c r="DE33" s="847">
        <f t="shared" si="42"/>
        <v>0</v>
      </c>
      <c r="DF33" s="334">
        <f t="shared" si="43"/>
        <v>0</v>
      </c>
      <c r="DG33" s="847">
        <f t="shared" si="44"/>
        <v>0</v>
      </c>
      <c r="DH33" s="847">
        <f t="shared" si="45"/>
        <v>0</v>
      </c>
      <c r="DI33" s="847">
        <f t="shared" si="46"/>
        <v>0</v>
      </c>
      <c r="DJ33" s="1727">
        <f t="shared" si="47"/>
        <v>0</v>
      </c>
      <c r="DL33" s="1254">
        <v>28.04</v>
      </c>
    </row>
    <row r="34" spans="1:116" s="1254" customFormat="1" ht="15.45">
      <c r="A34" s="482"/>
      <c r="B34" s="1177"/>
      <c r="C34" s="1710"/>
      <c r="D34" s="1711"/>
      <c r="E34" s="1712"/>
      <c r="F34" s="1108"/>
      <c r="G34" s="1109"/>
      <c r="H34" s="1110"/>
      <c r="I34" s="1108"/>
      <c r="J34" s="1109"/>
      <c r="K34" s="1110"/>
      <c r="L34" s="1108"/>
      <c r="M34" s="1108"/>
      <c r="N34" s="1713"/>
      <c r="O34" s="1108"/>
      <c r="P34" s="1108"/>
      <c r="Q34" s="1108"/>
      <c r="R34" s="1714"/>
      <c r="S34" s="1715"/>
      <c r="T34" s="77"/>
      <c r="U34" s="839"/>
      <c r="V34" s="1716">
        <f t="shared" si="0"/>
        <v>0</v>
      </c>
      <c r="W34" s="1717">
        <f t="shared" si="1"/>
        <v>0</v>
      </c>
      <c r="AH34" s="1718">
        <f t="shared" si="2"/>
        <v>0</v>
      </c>
      <c r="AI34" s="1719">
        <f t="shared" si="3"/>
        <v>0</v>
      </c>
      <c r="AJ34" s="1719">
        <f t="shared" si="4"/>
        <v>0</v>
      </c>
      <c r="AK34" s="1719">
        <f t="shared" si="5"/>
        <v>0</v>
      </c>
      <c r="AL34" s="1719">
        <f t="shared" si="6"/>
        <v>0</v>
      </c>
      <c r="AM34" s="1719">
        <f t="shared" si="7"/>
        <v>0</v>
      </c>
      <c r="AN34" s="1719">
        <f t="shared" si="8"/>
        <v>0</v>
      </c>
      <c r="AO34" s="1719">
        <f t="shared" si="9"/>
        <v>0</v>
      </c>
      <c r="AP34" s="1719">
        <f t="shared" si="10"/>
        <v>0</v>
      </c>
      <c r="AQ34" s="1719">
        <f t="shared" si="11"/>
        <v>0</v>
      </c>
      <c r="AR34" s="1720">
        <f t="shared" si="12"/>
        <v>0</v>
      </c>
      <c r="AS34" s="1719">
        <f t="shared" si="13"/>
        <v>0</v>
      </c>
      <c r="AT34" s="1719">
        <f t="shared" si="14"/>
        <v>0</v>
      </c>
      <c r="AU34" s="1719">
        <f t="shared" si="15"/>
        <v>0</v>
      </c>
      <c r="AV34" s="1719">
        <f t="shared" si="16"/>
        <v>0</v>
      </c>
      <c r="AW34" s="1719">
        <f t="shared" si="17"/>
        <v>0</v>
      </c>
      <c r="AX34" s="1719">
        <f t="shared" si="18"/>
        <v>0</v>
      </c>
      <c r="AY34" s="1719">
        <f t="shared" si="19"/>
        <v>0</v>
      </c>
      <c r="AZ34" s="1719">
        <f t="shared" si="20"/>
        <v>0</v>
      </c>
      <c r="BA34" s="1721">
        <f t="shared" si="21"/>
        <v>0</v>
      </c>
      <c r="BB34" s="1719">
        <f t="shared" si="22"/>
        <v>0</v>
      </c>
      <c r="BC34" s="1719">
        <f t="shared" si="23"/>
        <v>0</v>
      </c>
      <c r="BD34" s="1719">
        <f t="shared" si="24"/>
        <v>0</v>
      </c>
      <c r="BE34" s="1719">
        <f t="shared" si="25"/>
        <v>0</v>
      </c>
      <c r="BF34" s="1719">
        <f t="shared" si="26"/>
        <v>0</v>
      </c>
      <c r="BG34" s="1719">
        <f t="shared" si="27"/>
        <v>0</v>
      </c>
      <c r="BH34" s="1719">
        <f t="shared" si="28"/>
        <v>0</v>
      </c>
      <c r="BJ34" s="1722">
        <f t="shared" si="29"/>
        <v>0</v>
      </c>
      <c r="BK34" s="1723">
        <f>(AR34*Pricing!F$3+AS34*Pricing!G$3+AT34*Pricing!H$3+AU34*Pricing!I$3+AV34*Pricing!J$3+AW34*Pricing!K$3+AH34*Pricing!F$3+AI34*Pricing!G$3+AJ34*Pricing!H$3+AK34*Pricing!I$3+AL34*Pricing!J$3+AM34*Pricing!K$3)*IF(T$39="N",(1+V$39),1)</f>
        <v>0</v>
      </c>
      <c r="BL34" s="1723">
        <f t="shared" si="30"/>
        <v>0</v>
      </c>
      <c r="BM34" s="1723">
        <f t="shared" si="31"/>
        <v>0</v>
      </c>
      <c r="BN34" s="1723">
        <f t="shared" si="32"/>
        <v>0</v>
      </c>
      <c r="BO34" s="1723">
        <f t="shared" si="33"/>
        <v>0</v>
      </c>
      <c r="BP34" s="1723">
        <f t="shared" si="34"/>
        <v>0</v>
      </c>
      <c r="BQ34" s="1723">
        <f t="shared" si="35"/>
        <v>0</v>
      </c>
      <c r="BR34" s="1724"/>
      <c r="BS34" s="1725">
        <f>IF(SUM(BF$36:BG$36)=0,0,(BQ$36-W$58-N$64-W82-(L$79*0.15))/SUM(BF$36:BG$36)*BG34+BN34)</f>
        <v>0</v>
      </c>
      <c r="BT34" s="1723">
        <f>(AH34*Pricing!F$3+AI34*Pricing!G$3+AJ34*Pricing!H$3+AK34*Pricing!I$3+AL34*Pricing!J$3+AM34*Pricing!K$3)*IF(T$39="N",(1+V$39),1)</f>
        <v>0</v>
      </c>
      <c r="BU34" s="1723">
        <f t="shared" si="36"/>
        <v>0</v>
      </c>
      <c r="BV34" s="1723">
        <f t="shared" si="37"/>
        <v>0</v>
      </c>
      <c r="BW34" s="1724">
        <f t="shared" si="38"/>
        <v>0</v>
      </c>
      <c r="DB34" s="1726">
        <f t="shared" si="39"/>
        <v>0</v>
      </c>
      <c r="DC34" s="1723" t="e">
        <f t="shared" si="40"/>
        <v>#DIV/0!</v>
      </c>
      <c r="DD34" s="172">
        <f t="shared" si="41"/>
        <v>0</v>
      </c>
      <c r="DE34" s="847">
        <f t="shared" si="42"/>
        <v>0</v>
      </c>
      <c r="DF34" s="334">
        <f t="shared" si="43"/>
        <v>0</v>
      </c>
      <c r="DG34" s="847">
        <f t="shared" si="44"/>
        <v>0</v>
      </c>
      <c r="DH34" s="847">
        <f t="shared" si="45"/>
        <v>0</v>
      </c>
      <c r="DI34" s="847">
        <f t="shared" si="46"/>
        <v>0</v>
      </c>
      <c r="DJ34" s="1727">
        <f t="shared" si="47"/>
        <v>0</v>
      </c>
      <c r="DL34" s="1254">
        <v>25.3</v>
      </c>
    </row>
    <row r="35" spans="1:116" s="1254" customFormat="1" ht="15.45">
      <c r="A35" s="482"/>
      <c r="B35" s="1177"/>
      <c r="C35" s="1729"/>
      <c r="D35" s="1711"/>
      <c r="E35" s="1712"/>
      <c r="F35" s="1108"/>
      <c r="G35" s="1109"/>
      <c r="H35" s="1110"/>
      <c r="I35" s="1108"/>
      <c r="J35" s="1109"/>
      <c r="K35" s="1110"/>
      <c r="L35" s="1108"/>
      <c r="M35" s="1108"/>
      <c r="N35" s="1713"/>
      <c r="O35" s="1108"/>
      <c r="P35" s="1108"/>
      <c r="Q35" s="1108"/>
      <c r="R35" s="1714"/>
      <c r="S35" s="1715"/>
      <c r="T35" s="77"/>
      <c r="U35" s="839"/>
      <c r="V35" s="1716">
        <f t="shared" si="0"/>
        <v>0</v>
      </c>
      <c r="W35" s="1717">
        <f t="shared" si="1"/>
        <v>0</v>
      </c>
      <c r="AH35" s="1718">
        <f t="shared" si="2"/>
        <v>0</v>
      </c>
      <c r="AI35" s="1719">
        <f t="shared" si="3"/>
        <v>0</v>
      </c>
      <c r="AJ35" s="1719">
        <f t="shared" si="4"/>
        <v>0</v>
      </c>
      <c r="AK35" s="1719">
        <f t="shared" si="5"/>
        <v>0</v>
      </c>
      <c r="AL35" s="1719">
        <f t="shared" si="6"/>
        <v>0</v>
      </c>
      <c r="AM35" s="1719">
        <f t="shared" si="7"/>
        <v>0</v>
      </c>
      <c r="AN35" s="1719">
        <f t="shared" si="8"/>
        <v>0</v>
      </c>
      <c r="AO35" s="1719">
        <f t="shared" si="9"/>
        <v>0</v>
      </c>
      <c r="AP35" s="1719">
        <f t="shared" si="10"/>
        <v>0</v>
      </c>
      <c r="AQ35" s="1719">
        <f t="shared" si="11"/>
        <v>0</v>
      </c>
      <c r="AR35" s="1730">
        <f t="shared" si="12"/>
        <v>0</v>
      </c>
      <c r="AS35" s="1731">
        <f t="shared" si="13"/>
        <v>0</v>
      </c>
      <c r="AT35" s="1731">
        <f t="shared" si="14"/>
        <v>0</v>
      </c>
      <c r="AU35" s="1731">
        <f t="shared" si="15"/>
        <v>0</v>
      </c>
      <c r="AV35" s="1731">
        <f t="shared" si="16"/>
        <v>0</v>
      </c>
      <c r="AW35" s="1731">
        <f t="shared" si="17"/>
        <v>0</v>
      </c>
      <c r="AX35" s="1731">
        <f t="shared" si="18"/>
        <v>0</v>
      </c>
      <c r="AY35" s="1731">
        <f t="shared" si="19"/>
        <v>0</v>
      </c>
      <c r="AZ35" s="1731">
        <f t="shared" si="20"/>
        <v>0</v>
      </c>
      <c r="BA35" s="1732">
        <f t="shared" si="21"/>
        <v>0</v>
      </c>
      <c r="BB35" s="1719">
        <f t="shared" si="22"/>
        <v>0</v>
      </c>
      <c r="BC35" s="1719">
        <f t="shared" si="23"/>
        <v>0</v>
      </c>
      <c r="BD35" s="1719">
        <f t="shared" si="24"/>
        <v>0</v>
      </c>
      <c r="BE35" s="1719">
        <f t="shared" si="25"/>
        <v>0</v>
      </c>
      <c r="BF35" s="1719">
        <f t="shared" si="26"/>
        <v>0</v>
      </c>
      <c r="BG35" s="1719">
        <f t="shared" si="27"/>
        <v>0</v>
      </c>
      <c r="BH35" s="1719">
        <f t="shared" si="28"/>
        <v>0</v>
      </c>
      <c r="BJ35" s="1733">
        <f t="shared" si="29"/>
        <v>0</v>
      </c>
      <c r="BK35" s="1734">
        <f>(AR35*Pricing!F$3+AS35*Pricing!G$3+AT35*Pricing!H$3+AU35*Pricing!I$3+AV35*Pricing!J$3+AW35*Pricing!K$3+AH35*Pricing!F$3+AI35*Pricing!G$3+AJ35*Pricing!H$3+AK35*Pricing!I$3+AL35*Pricing!J$3+AM35*Pricing!K$3)*IF(T$39="N",(1+V$39),1)</f>
        <v>0</v>
      </c>
      <c r="BL35" s="1723">
        <f t="shared" si="30"/>
        <v>0</v>
      </c>
      <c r="BM35" s="1734">
        <f t="shared" si="31"/>
        <v>0</v>
      </c>
      <c r="BN35" s="1734">
        <f t="shared" si="32"/>
        <v>0</v>
      </c>
      <c r="BO35" s="1734">
        <f t="shared" si="33"/>
        <v>0</v>
      </c>
      <c r="BP35" s="1723">
        <f t="shared" si="34"/>
        <v>0</v>
      </c>
      <c r="BQ35" s="1734">
        <f t="shared" si="35"/>
        <v>0</v>
      </c>
      <c r="BR35" s="1735"/>
      <c r="BS35" s="1736">
        <f>IF(SUM(BF$36:BG$36)=0,0,(BQ$36-W$58-N$64-W83-(L$79*0.15))/SUM(BF$36:BG$36)*BG35+BN35)</f>
        <v>0</v>
      </c>
      <c r="BT35" s="1734">
        <f>(AH35*Pricing!F$3+AI35*Pricing!G$3+AJ35*Pricing!H$3+AK35*Pricing!I$3+AL35*Pricing!J$3+AM35*Pricing!K$3)*IF(T$39="N",(1+V$39),1)</f>
        <v>0</v>
      </c>
      <c r="BU35" s="1734">
        <f t="shared" si="36"/>
        <v>0</v>
      </c>
      <c r="BV35" s="1734">
        <f t="shared" si="37"/>
        <v>0</v>
      </c>
      <c r="BW35" s="1735">
        <f t="shared" si="38"/>
        <v>0</v>
      </c>
      <c r="DB35" s="1726">
        <f t="shared" si="39"/>
        <v>0</v>
      </c>
      <c r="DC35" s="1723" t="e">
        <f t="shared" si="40"/>
        <v>#DIV/0!</v>
      </c>
      <c r="DD35" s="172">
        <f t="shared" si="41"/>
        <v>0</v>
      </c>
      <c r="DE35" s="847">
        <f t="shared" si="42"/>
        <v>0</v>
      </c>
      <c r="DF35" s="334">
        <f t="shared" si="43"/>
        <v>0</v>
      </c>
      <c r="DG35" s="847">
        <f t="shared" si="44"/>
        <v>0</v>
      </c>
      <c r="DH35" s="847">
        <f t="shared" si="45"/>
        <v>0</v>
      </c>
      <c r="DI35" s="847">
        <f t="shared" si="46"/>
        <v>0</v>
      </c>
      <c r="DJ35" s="1727">
        <f t="shared" si="47"/>
        <v>0</v>
      </c>
      <c r="DL35" s="1254">
        <v>20.37</v>
      </c>
    </row>
    <row r="36" spans="1:116" s="1254" customFormat="1" ht="15.45">
      <c r="A36" s="381"/>
      <c r="B36" s="589"/>
      <c r="C36" s="589"/>
      <c r="D36" s="1737"/>
      <c r="E36" s="1120">
        <f>SUM(E10:E35)</f>
        <v>0</v>
      </c>
      <c r="F36" s="1737" t="s">
        <v>1398</v>
      </c>
      <c r="G36" s="1085"/>
      <c r="H36" s="1085"/>
      <c r="I36" s="589"/>
      <c r="J36" s="589"/>
      <c r="K36" s="589"/>
      <c r="L36" s="589"/>
      <c r="M36" s="589"/>
      <c r="N36" s="589"/>
      <c r="O36" s="1300" t="s">
        <v>1399</v>
      </c>
      <c r="P36" s="1301"/>
      <c r="Q36" s="1301"/>
      <c r="R36" s="1301"/>
      <c r="S36" s="589"/>
      <c r="T36" s="589"/>
      <c r="U36" s="1123">
        <f>SUM(V10:V35)</f>
        <v>0</v>
      </c>
      <c r="V36" s="1738"/>
      <c r="W36" s="1124">
        <f>ROUND(SUM(W10:W35),0)</f>
        <v>0</v>
      </c>
      <c r="AH36" s="1719">
        <f t="shared" ref="AH36:BQ36" si="49">SUM(AH10:AH35)</f>
        <v>0</v>
      </c>
      <c r="AI36" s="1719">
        <f t="shared" si="49"/>
        <v>0</v>
      </c>
      <c r="AJ36" s="1719">
        <f t="shared" si="49"/>
        <v>0</v>
      </c>
      <c r="AK36" s="1719">
        <f t="shared" si="49"/>
        <v>0</v>
      </c>
      <c r="AL36" s="1719">
        <f t="shared" si="49"/>
        <v>0</v>
      </c>
      <c r="AM36" s="1719">
        <f t="shared" si="49"/>
        <v>0</v>
      </c>
      <c r="AN36" s="1719">
        <f t="shared" si="49"/>
        <v>0</v>
      </c>
      <c r="AO36" s="1719">
        <f t="shared" si="49"/>
        <v>0</v>
      </c>
      <c r="AP36" s="1719">
        <f t="shared" si="49"/>
        <v>0</v>
      </c>
      <c r="AQ36" s="1719">
        <f t="shared" si="49"/>
        <v>0</v>
      </c>
      <c r="AR36" s="1719">
        <f t="shared" si="49"/>
        <v>0</v>
      </c>
      <c r="AS36" s="1719">
        <f t="shared" si="49"/>
        <v>0</v>
      </c>
      <c r="AT36" s="1719">
        <f t="shared" si="49"/>
        <v>0</v>
      </c>
      <c r="AU36" s="1719">
        <f t="shared" si="49"/>
        <v>0</v>
      </c>
      <c r="AV36" s="1719">
        <f t="shared" si="49"/>
        <v>0</v>
      </c>
      <c r="AW36" s="1719">
        <f t="shared" si="49"/>
        <v>0</v>
      </c>
      <c r="AX36" s="1719">
        <f t="shared" si="49"/>
        <v>0</v>
      </c>
      <c r="AY36" s="1719">
        <f t="shared" si="49"/>
        <v>0</v>
      </c>
      <c r="AZ36" s="1719">
        <f t="shared" si="49"/>
        <v>0</v>
      </c>
      <c r="BA36" s="1719">
        <f t="shared" si="49"/>
        <v>0</v>
      </c>
      <c r="BB36" s="1719">
        <f t="shared" si="49"/>
        <v>0</v>
      </c>
      <c r="BC36" s="1719">
        <f t="shared" si="49"/>
        <v>0</v>
      </c>
      <c r="BD36" s="1719">
        <f t="shared" si="49"/>
        <v>0</v>
      </c>
      <c r="BE36" s="1719">
        <f t="shared" si="49"/>
        <v>0</v>
      </c>
      <c r="BF36" s="1719">
        <f t="shared" si="49"/>
        <v>0</v>
      </c>
      <c r="BG36" s="1719">
        <f t="shared" si="49"/>
        <v>0</v>
      </c>
      <c r="BH36" s="1719">
        <f t="shared" si="49"/>
        <v>0</v>
      </c>
      <c r="BI36" s="1254">
        <f t="shared" si="49"/>
        <v>0</v>
      </c>
      <c r="BJ36" s="1723">
        <f t="shared" si="49"/>
        <v>0</v>
      </c>
      <c r="BK36" s="1723">
        <f t="shared" si="49"/>
        <v>0</v>
      </c>
      <c r="BL36" s="1723">
        <f t="shared" si="49"/>
        <v>0</v>
      </c>
      <c r="BM36" s="1723">
        <f t="shared" si="49"/>
        <v>0</v>
      </c>
      <c r="BN36" s="1723">
        <f t="shared" si="49"/>
        <v>0</v>
      </c>
      <c r="BO36" s="1723">
        <f t="shared" si="49"/>
        <v>0</v>
      </c>
      <c r="BP36" s="1723">
        <f t="shared" si="49"/>
        <v>0</v>
      </c>
      <c r="BQ36" s="1723">
        <f t="shared" si="49"/>
        <v>0</v>
      </c>
      <c r="BR36" s="1723">
        <f>SUM(BJ36:BQ36)</f>
        <v>0</v>
      </c>
      <c r="BS36" s="1723">
        <f>SUM(BS10:BS35)</f>
        <v>0</v>
      </c>
      <c r="BT36" s="1723">
        <f>SUM(BT10:BT35)</f>
        <v>0</v>
      </c>
      <c r="BU36" s="1723"/>
      <c r="BV36" s="1723">
        <f>SUM(BV10:BV35)</f>
        <v>0</v>
      </c>
      <c r="BW36" s="1723">
        <f>SUM(BS36:BV36)</f>
        <v>0</v>
      </c>
      <c r="DB36" s="1739">
        <f t="shared" ref="DB36:DH36" si="50">SUM(DB10:DB35)</f>
        <v>0</v>
      </c>
      <c r="DC36" s="1739" t="e">
        <f t="shared" si="50"/>
        <v>#DIV/0!</v>
      </c>
      <c r="DD36" s="1128">
        <f t="shared" si="50"/>
        <v>0</v>
      </c>
      <c r="DE36" s="1128">
        <f t="shared" si="50"/>
        <v>0</v>
      </c>
      <c r="DF36" s="1128">
        <f t="shared" si="50"/>
        <v>0</v>
      </c>
      <c r="DG36" s="1128">
        <f t="shared" si="50"/>
        <v>0</v>
      </c>
      <c r="DH36" s="1740">
        <f t="shared" si="50"/>
        <v>0</v>
      </c>
      <c r="DI36" s="847">
        <f>IF(C36="Y",IF(D36&gt;0,D36,0),0)</f>
        <v>0</v>
      </c>
      <c r="DJ36" s="1128">
        <f>SUM(DJ10:DJ35)</f>
        <v>0</v>
      </c>
      <c r="DL36" s="1254">
        <v>33.28</v>
      </c>
    </row>
    <row r="37" spans="1:116" s="1254" customFormat="1">
      <c r="A37" s="653"/>
      <c r="B37" s="693"/>
      <c r="C37" s="693"/>
      <c r="D37" s="693"/>
      <c r="E37" s="693"/>
      <c r="F37" s="693"/>
      <c r="G37" s="693"/>
      <c r="H37" s="693"/>
      <c r="I37" s="693"/>
      <c r="J37" s="693"/>
      <c r="K37" s="693"/>
      <c r="L37" s="693"/>
      <c r="M37" s="693"/>
      <c r="N37" s="693"/>
      <c r="O37" s="1741" t="s">
        <v>1400</v>
      </c>
      <c r="P37" s="1742"/>
      <c r="Q37" s="1742"/>
      <c r="R37" s="1742"/>
      <c r="S37" s="693"/>
      <c r="T37" s="693"/>
      <c r="U37" s="1743">
        <f>ROUNDUP(U36/2000,0)</f>
        <v>0</v>
      </c>
      <c r="V37" s="1132"/>
      <c r="W37" s="1132"/>
      <c r="BJ37" s="1739">
        <f>N56+N57+N58</f>
        <v>0</v>
      </c>
      <c r="BK37" s="1739">
        <f>N51+N52+N55</f>
        <v>0</v>
      </c>
      <c r="BL37" s="1739">
        <f>N59+N60</f>
        <v>0</v>
      </c>
      <c r="BM37" s="1739">
        <f>N67+N68+N69+N70</f>
        <v>0</v>
      </c>
      <c r="BN37" s="1739">
        <f>N66</f>
        <v>0</v>
      </c>
      <c r="BO37" s="1739">
        <f>N71</f>
        <v>0</v>
      </c>
      <c r="BP37" s="1739">
        <f>N74+N73+N72</f>
        <v>0</v>
      </c>
      <c r="BQ37" s="1739">
        <f>N83+N84+N85+N86+N87+N88+N90+N91+N92+N93+N94+N95+N96+W95+L79</f>
        <v>0</v>
      </c>
      <c r="BR37" s="1739">
        <f>S40</f>
        <v>0</v>
      </c>
      <c r="DB37" s="1739">
        <f>D40-DB36</f>
        <v>0</v>
      </c>
      <c r="DC37" s="1739" t="e">
        <f>DC36-D40</f>
        <v>#DIV/0!</v>
      </c>
      <c r="DD37" s="1254">
        <f t="shared" ref="DD37:DJ37" si="51">SUM(DD10:DD36)</f>
        <v>0</v>
      </c>
      <c r="DE37" s="1254">
        <f t="shared" si="51"/>
        <v>0</v>
      </c>
      <c r="DF37" s="1254">
        <f t="shared" si="51"/>
        <v>0</v>
      </c>
      <c r="DG37" s="1254">
        <f t="shared" si="51"/>
        <v>0</v>
      </c>
      <c r="DH37" s="1254">
        <f t="shared" si="51"/>
        <v>0</v>
      </c>
      <c r="DI37" s="1121">
        <f t="shared" si="51"/>
        <v>0</v>
      </c>
      <c r="DJ37" s="1254">
        <f t="shared" si="51"/>
        <v>0</v>
      </c>
      <c r="DL37" s="1254">
        <v>61.05</v>
      </c>
    </row>
    <row r="38" spans="1:116" s="1254" customFormat="1" ht="15.45">
      <c r="A38" s="888"/>
      <c r="B38" s="889"/>
      <c r="C38" s="890" t="s">
        <v>1261</v>
      </c>
      <c r="D38" s="2784">
        <v>251511</v>
      </c>
      <c r="E38" s="2784"/>
      <c r="F38" s="889"/>
      <c r="G38" s="889"/>
      <c r="H38" s="889"/>
      <c r="I38" s="889"/>
      <c r="J38" s="889"/>
      <c r="K38" s="891"/>
      <c r="L38" s="889"/>
      <c r="M38" s="889"/>
      <c r="N38" s="889"/>
      <c r="O38" s="1053"/>
      <c r="P38" s="889"/>
      <c r="Q38" s="889"/>
      <c r="R38" s="889"/>
      <c r="S38" s="889"/>
      <c r="T38" s="889"/>
      <c r="U38" s="889"/>
      <c r="V38" s="889"/>
      <c r="W38" s="894"/>
      <c r="BJ38" s="1739">
        <f t="shared" ref="BJ38:BR38" si="52">BJ36-BJ37</f>
        <v>0</v>
      </c>
      <c r="BK38" s="1739">
        <f t="shared" si="52"/>
        <v>0</v>
      </c>
      <c r="BL38" s="1739">
        <f t="shared" si="52"/>
        <v>0</v>
      </c>
      <c r="BM38" s="1739">
        <f t="shared" si="52"/>
        <v>0</v>
      </c>
      <c r="BN38" s="1739">
        <f t="shared" si="52"/>
        <v>0</v>
      </c>
      <c r="BO38" s="1739">
        <f t="shared" si="52"/>
        <v>0</v>
      </c>
      <c r="BP38" s="1739">
        <f t="shared" si="52"/>
        <v>0</v>
      </c>
      <c r="BQ38" s="1739">
        <f t="shared" si="52"/>
        <v>0</v>
      </c>
      <c r="BR38" s="1739">
        <f t="shared" si="52"/>
        <v>0</v>
      </c>
      <c r="DL38" s="1254">
        <v>30.63</v>
      </c>
    </row>
    <row r="39" spans="1:116" s="1254" customFormat="1" ht="30.9">
      <c r="A39" s="2786" t="s">
        <v>1262</v>
      </c>
      <c r="B39" s="2786"/>
      <c r="C39" s="2786"/>
      <c r="D39" s="1476" t="s">
        <v>982</v>
      </c>
      <c r="E39" s="1478"/>
      <c r="F39" s="1744" t="s">
        <v>1263</v>
      </c>
      <c r="G39" s="1477"/>
      <c r="H39" s="1478"/>
      <c r="I39" s="1054" t="s">
        <v>1264</v>
      </c>
      <c r="J39" s="1055"/>
      <c r="K39" s="1056"/>
      <c r="L39" s="1057" t="s">
        <v>1265</v>
      </c>
      <c r="M39" s="1058"/>
      <c r="N39" s="1058"/>
      <c r="O39" s="1059"/>
      <c r="P39" s="895"/>
      <c r="Q39" s="795" t="s">
        <v>1266</v>
      </c>
      <c r="R39" s="983"/>
      <c r="S39" s="983" t="s">
        <v>1267</v>
      </c>
      <c r="T39" s="1745" t="str">
        <f>Summary!P62</f>
        <v>N</v>
      </c>
      <c r="U39" s="1259" t="s">
        <v>1268</v>
      </c>
      <c r="V39" s="1746">
        <f>Summary!R62</f>
        <v>8.2500000000000004E-2</v>
      </c>
      <c r="W39" s="898"/>
      <c r="DD39" s="1254" t="s">
        <v>1401</v>
      </c>
      <c r="DF39" s="1254" t="s">
        <v>1402</v>
      </c>
      <c r="DL39" s="1254">
        <v>64.11</v>
      </c>
    </row>
    <row r="40" spans="1:116" s="1254" customFormat="1" ht="15.45">
      <c r="A40" s="899" t="s">
        <v>1269</v>
      </c>
      <c r="B40" s="2865">
        <f>IF(BF36=0,0,D40/BF36)</f>
        <v>0</v>
      </c>
      <c r="C40" s="2865"/>
      <c r="D40" s="2866">
        <f>(S40-N96)*(1+L40)</f>
        <v>0</v>
      </c>
      <c r="E40" s="2866"/>
      <c r="F40" s="1747">
        <f>IF(D40=0,0,G40/D40)</f>
        <v>0</v>
      </c>
      <c r="G40" s="2792">
        <f>(D40-S40)</f>
        <v>0</v>
      </c>
      <c r="H40" s="2792"/>
      <c r="I40" s="3078">
        <f>IF(BF36=0,0,S40/BF36)</f>
        <v>0</v>
      </c>
      <c r="J40" s="3078"/>
      <c r="K40" s="1748"/>
      <c r="L40" s="1749">
        <f>Summary!P59</f>
        <v>0.18</v>
      </c>
      <c r="M40" s="1750"/>
      <c r="N40" s="1750"/>
      <c r="O40" s="1751"/>
      <c r="P40" s="1137"/>
      <c r="Q40" s="902" t="s">
        <v>980</v>
      </c>
      <c r="R40" s="18"/>
      <c r="S40" s="2942">
        <f>SUM(N51:O63)+SUM(N66:O75)+SUM(N78:O80)+SUM(N83:O88)+SUM(N90:O96)+W95+N64+SUM(K66:L75)+N81</f>
        <v>0</v>
      </c>
      <c r="T40" s="2942"/>
      <c r="U40" s="903"/>
      <c r="V40" s="798"/>
      <c r="W40" s="898"/>
      <c r="DB40" s="168"/>
      <c r="DC40" s="1140" t="s">
        <v>1403</v>
      </c>
      <c r="DD40" s="1141">
        <v>458</v>
      </c>
      <c r="DE40" s="1142"/>
      <c r="DL40" s="1254">
        <v>82.09</v>
      </c>
    </row>
    <row r="41" spans="1:116" s="1254" customFormat="1" ht="15.45">
      <c r="A41" s="899"/>
      <c r="B41" s="1483"/>
      <c r="C41" s="1752" t="str">
        <f>IF(ROUND(D41,0)=0,"BINGO!!",IF(ROUND(D41,0)&lt;0,"To Low","T0 High"))</f>
        <v>To Low</v>
      </c>
      <c r="D41" s="2796">
        <f>D40-D38</f>
        <v>-251511</v>
      </c>
      <c r="E41" s="2796"/>
      <c r="F41" s="1753"/>
      <c r="G41" s="1754"/>
      <c r="H41" s="1754"/>
      <c r="I41" s="1755"/>
      <c r="J41" s="1755"/>
      <c r="K41" s="1755"/>
      <c r="L41" s="1756"/>
      <c r="M41" s="1756"/>
      <c r="N41" s="1756"/>
      <c r="O41" s="1757"/>
      <c r="P41" s="1137"/>
      <c r="Q41" s="1758"/>
      <c r="R41" s="976"/>
      <c r="S41" s="1759"/>
      <c r="T41" s="1759"/>
      <c r="U41" s="1759"/>
      <c r="V41" s="1760"/>
      <c r="W41" s="898"/>
      <c r="DC41" s="928" t="s">
        <v>1406</v>
      </c>
      <c r="DD41" s="1148">
        <v>-5</v>
      </c>
      <c r="DE41" s="1149"/>
      <c r="DF41" s="1150">
        <f>DD40+DD41</f>
        <v>453</v>
      </c>
    </row>
    <row r="42" spans="1:116" s="1254" customFormat="1" ht="15.45">
      <c r="A42" s="1761" t="s">
        <v>1693</v>
      </c>
      <c r="B42" s="1762">
        <f>IF(F42=0,B40,IF(BF36=0,0,BV36/BF36)*(1+L40))</f>
        <v>0</v>
      </c>
      <c r="C42" s="1762"/>
      <c r="D42" s="1763" t="s">
        <v>1694</v>
      </c>
      <c r="E42" s="1763"/>
      <c r="F42" s="1764">
        <f>IF(BG36=0,0,(BT36+BS36)/BG36)*(1+L40)</f>
        <v>0</v>
      </c>
      <c r="G42" s="1764"/>
      <c r="H42" s="1765" t="s">
        <v>1270</v>
      </c>
      <c r="I42" s="1766"/>
      <c r="J42" s="1767"/>
      <c r="K42" s="1768"/>
      <c r="L42" s="904"/>
      <c r="M42" s="1769">
        <f>IF(J42&gt;0,(J42-D40)/(1+L40),0)</f>
        <v>0</v>
      </c>
      <c r="N42" s="1770"/>
      <c r="O42" s="913"/>
      <c r="P42" s="905"/>
      <c r="Q42" s="905"/>
      <c r="R42" s="905"/>
      <c r="S42" s="2946">
        <f>AE1</f>
        <v>0</v>
      </c>
      <c r="T42" s="2946"/>
      <c r="U42" s="1771"/>
      <c r="V42" s="905"/>
      <c r="W42" s="913"/>
      <c r="DC42" s="928" t="s">
        <v>1409</v>
      </c>
      <c r="DD42" s="1148">
        <v>460</v>
      </c>
      <c r="DE42" s="1149"/>
      <c r="DF42" s="1154">
        <f>DD42-DD40</f>
        <v>2</v>
      </c>
    </row>
    <row r="43" spans="1:116" s="1254" customFormat="1">
      <c r="A43" s="626"/>
      <c r="B43" s="626"/>
      <c r="C43" s="626"/>
      <c r="D43" s="626"/>
      <c r="E43" s="626"/>
      <c r="F43" s="626"/>
      <c r="G43" s="626"/>
      <c r="H43" s="626"/>
      <c r="I43" s="626" t="s">
        <v>1061</v>
      </c>
      <c r="J43" s="626" t="s">
        <v>1083</v>
      </c>
      <c r="K43" s="626"/>
      <c r="L43" s="626"/>
      <c r="M43" s="626"/>
      <c r="N43" s="626"/>
      <c r="O43" s="626"/>
      <c r="P43" s="626"/>
      <c r="Q43" s="626"/>
      <c r="R43" s="626" t="s">
        <v>1695</v>
      </c>
      <c r="S43" s="626"/>
      <c r="T43" s="634">
        <f>IF(SUM(W77:W82)=0,0,SUM(W77:W82)/H67)</f>
        <v>0</v>
      </c>
      <c r="U43" s="626" t="s">
        <v>1696</v>
      </c>
      <c r="V43" s="626"/>
      <c r="W43" s="626"/>
      <c r="DB43" s="229"/>
      <c r="DC43" s="229"/>
      <c r="DD43" s="1157"/>
      <c r="DE43" s="715"/>
      <c r="DF43" s="1157"/>
    </row>
    <row r="44" spans="1:116" s="1254" customFormat="1" ht="15.45">
      <c r="A44" s="18" t="s">
        <v>1697</v>
      </c>
      <c r="B44" s="1772"/>
      <c r="C44" s="1772"/>
      <c r="D44" s="1773"/>
      <c r="E44" s="1774"/>
      <c r="F44" s="1775"/>
      <c r="G44" s="1776"/>
      <c r="H44" s="1773"/>
      <c r="I44" s="1530"/>
      <c r="J44" s="1143"/>
      <c r="K44" s="1143"/>
      <c r="L44" s="1143"/>
      <c r="M44" s="1143"/>
      <c r="N44" s="2803" t="s">
        <v>721</v>
      </c>
      <c r="O44" s="2803"/>
      <c r="P44" s="1145" t="s">
        <v>1272</v>
      </c>
      <c r="Q44" s="626"/>
      <c r="R44" s="748" t="s">
        <v>1698</v>
      </c>
      <c r="S44" s="1777"/>
      <c r="T44" s="1778">
        <f>IF(H67=0,0,(N64+W95-W77-W78-W79-W81-W82-W72-W71-W70-W69-W68-W67)/H67)</f>
        <v>0</v>
      </c>
      <c r="U44" s="1779" t="s">
        <v>1699</v>
      </c>
      <c r="V44" s="1780"/>
      <c r="W44" s="626"/>
    </row>
    <row r="45" spans="1:116" s="1254" customFormat="1" ht="15.45">
      <c r="A45" s="626"/>
      <c r="B45" s="1772"/>
      <c r="C45" s="1772"/>
      <c r="D45" s="1773"/>
      <c r="E45" s="3079"/>
      <c r="F45" s="3079"/>
      <c r="G45" s="1773"/>
      <c r="H45" s="1773"/>
      <c r="I45" s="1772"/>
      <c r="J45" s="1781"/>
      <c r="K45" s="1143"/>
      <c r="L45" s="1782"/>
      <c r="M45" s="1143"/>
      <c r="N45" s="924" t="s">
        <v>1274</v>
      </c>
      <c r="O45" s="925"/>
      <c r="P45" s="926"/>
      <c r="Q45" s="1383"/>
      <c r="R45" s="1383" t="s">
        <v>1146</v>
      </c>
      <c r="S45" s="1383" t="s">
        <v>1268</v>
      </c>
      <c r="T45" s="1383" t="s">
        <v>1700</v>
      </c>
      <c r="U45" s="1383" t="s">
        <v>1701</v>
      </c>
      <c r="V45" s="1383"/>
      <c r="W45" s="1783"/>
    </row>
    <row r="46" spans="1:116" s="1254" customFormat="1" ht="15.45">
      <c r="A46" s="626"/>
      <c r="B46" s="1772"/>
      <c r="C46" s="1772"/>
      <c r="D46" s="1144"/>
      <c r="E46" s="1143"/>
      <c r="F46" s="1534"/>
      <c r="G46" s="1143"/>
      <c r="H46" s="1543"/>
      <c r="I46" s="1540"/>
      <c r="J46" s="1143"/>
      <c r="K46" s="1143"/>
      <c r="L46" s="1784"/>
      <c r="M46" s="1143"/>
      <c r="N46" s="932" t="s">
        <v>1276</v>
      </c>
      <c r="O46" s="933">
        <f>K56</f>
        <v>0</v>
      </c>
      <c r="P46" s="1155">
        <f>N56</f>
        <v>0</v>
      </c>
      <c r="Q46" s="626" t="s">
        <v>1702</v>
      </c>
      <c r="R46" s="628">
        <f>N67</f>
        <v>0</v>
      </c>
      <c r="S46" s="1785">
        <v>17.5</v>
      </c>
      <c r="T46" s="634">
        <f>S46*1.3</f>
        <v>22.75</v>
      </c>
      <c r="U46" s="1786">
        <f>R46/T46</f>
        <v>0</v>
      </c>
      <c r="V46" s="3080" t="e">
        <f>H67/U46</f>
        <v>#DIV/0!</v>
      </c>
      <c r="W46" s="3080"/>
    </row>
    <row r="47" spans="1:116" s="1254" customFormat="1" ht="15.45">
      <c r="A47" s="626"/>
      <c r="B47" s="1772"/>
      <c r="C47" s="1772"/>
      <c r="D47" s="1143"/>
      <c r="E47" s="1143"/>
      <c r="F47" s="1143"/>
      <c r="G47" s="1143"/>
      <c r="H47" s="1143"/>
      <c r="I47" s="1787"/>
      <c r="J47" s="1788"/>
      <c r="K47" s="1143"/>
      <c r="L47" s="1543"/>
      <c r="M47" s="1143"/>
      <c r="N47" s="1143"/>
      <c r="O47" s="1143"/>
      <c r="P47" s="626"/>
      <c r="Q47" s="805" t="s">
        <v>1703</v>
      </c>
      <c r="R47" s="628">
        <f>N68</f>
        <v>0</v>
      </c>
      <c r="S47" s="1785">
        <v>17.5</v>
      </c>
      <c r="T47" s="634">
        <f>S47*1.3</f>
        <v>22.75</v>
      </c>
      <c r="U47" s="1786">
        <f>R47/T47</f>
        <v>0</v>
      </c>
      <c r="V47" s="3081" t="e">
        <f>(K52+K55)/U47</f>
        <v>#DIV/0!</v>
      </c>
      <c r="W47" s="3081"/>
    </row>
    <row r="48" spans="1:116" s="1254" customFormat="1" ht="15.45">
      <c r="A48" s="18"/>
      <c r="B48" s="1772"/>
      <c r="C48" s="1772"/>
      <c r="D48" s="1143"/>
      <c r="E48" s="1143"/>
      <c r="F48" s="1143"/>
      <c r="G48" s="1143"/>
      <c r="H48" s="1143"/>
      <c r="I48" s="1540"/>
      <c r="J48" s="1143"/>
      <c r="K48" s="1143"/>
      <c r="L48" s="1143"/>
      <c r="M48" s="1143"/>
      <c r="N48" s="1143"/>
      <c r="O48" s="1143"/>
      <c r="Q48" s="750"/>
      <c r="R48" s="749"/>
      <c r="S48" s="749"/>
      <c r="T48" s="749"/>
      <c r="U48" s="1789"/>
      <c r="V48" s="1789"/>
      <c r="W48" s="1790"/>
      <c r="DD48" s="1254">
        <f>2.52/7.53</f>
        <v>0.33466135458167329</v>
      </c>
    </row>
    <row r="49" spans="1:109" s="1254" customFormat="1">
      <c r="A49" s="626"/>
      <c r="B49" s="626"/>
      <c r="C49" s="626"/>
      <c r="D49" s="626"/>
      <c r="E49" s="626"/>
      <c r="F49" s="626"/>
      <c r="G49" s="626"/>
      <c r="H49" s="626"/>
      <c r="I49" s="628"/>
      <c r="J49" s="626"/>
      <c r="K49" s="628"/>
      <c r="L49" s="626"/>
      <c r="M49" s="626"/>
      <c r="N49" s="626"/>
      <c r="O49" s="626"/>
      <c r="P49" s="626"/>
      <c r="Q49" s="626"/>
      <c r="R49" s="626"/>
      <c r="S49" s="626"/>
      <c r="T49" s="693"/>
      <c r="U49" s="693"/>
      <c r="V49" s="693"/>
      <c r="W49" s="693"/>
      <c r="DB49" s="1254">
        <f>SUM(DE51:DE62)*(1+J56)</f>
        <v>38.861320265625004</v>
      </c>
      <c r="DC49" s="402" t="s">
        <v>612</v>
      </c>
    </row>
    <row r="50" spans="1:109" s="1254" customFormat="1" ht="45.45">
      <c r="A50" s="941" t="s">
        <v>1280</v>
      </c>
      <c r="B50" s="1163" t="s">
        <v>1281</v>
      </c>
      <c r="C50" s="1164"/>
      <c r="D50" s="1164"/>
      <c r="E50" s="1164"/>
      <c r="F50" s="1164"/>
      <c r="G50" s="1164"/>
      <c r="H50" s="1164"/>
      <c r="I50" s="1164"/>
      <c r="J50" s="943" t="s">
        <v>1282</v>
      </c>
      <c r="K50" s="3009" t="str">
        <f>IF(ROUND(SUM(K51:K55),0)=W36,"Good","Missing Concrete!!!")</f>
        <v>Good</v>
      </c>
      <c r="L50" s="3009"/>
      <c r="M50" s="1164"/>
      <c r="N50" s="1164"/>
      <c r="O50" s="1165"/>
      <c r="P50" s="1166" t="s">
        <v>1284</v>
      </c>
      <c r="Q50" s="946" t="s">
        <v>1283</v>
      </c>
      <c r="R50" s="1098"/>
      <c r="S50" s="818" t="s">
        <v>835</v>
      </c>
      <c r="T50" s="947"/>
      <c r="U50" s="948" t="s">
        <v>518</v>
      </c>
      <c r="V50" s="947"/>
      <c r="W50" s="949"/>
      <c r="DB50" s="1168" t="s">
        <v>1259</v>
      </c>
      <c r="DC50" s="1169" t="s">
        <v>1215</v>
      </c>
      <c r="DD50" s="1170" t="s">
        <v>1369</v>
      </c>
      <c r="DE50" s="1171" t="s">
        <v>1414</v>
      </c>
    </row>
    <row r="51" spans="1:109" s="1254" customFormat="1" ht="18" customHeight="1">
      <c r="A51" s="1791">
        <v>1</v>
      </c>
      <c r="B51" s="952" t="str">
        <f>IF(A51=1,Pricing!F$2,IF(A51=2,Pricing!G$2,IF(A51=3,Pricing!H$2,IF(A51=4,Pricing!I$2,IF(A51=5,Pricing!J$2,IF(A51=6,Pricing!K$2,IF(A51=7,Pricing!L$2,IF(A51=8,Pricing!M$2,IF(A51=9,Pricing!N$2,IF(A51=10,Pricing!O$2,0))))))))))</f>
        <v>3,000 PSI 5sk /Ash and Air</v>
      </c>
      <c r="C51" s="1549"/>
      <c r="D51" s="1549"/>
      <c r="E51" s="1549"/>
      <c r="F51" s="969">
        <f>IF(A51=1,Pricing!F$3,IF(A51=2,Pricing!G$3,IF(A51=3,Pricing!H$3,IF(A51=4,Pricing!I$3,IF(A51=5,Pricing!J$3,IF(A51=6,Pricing!K$3,IF(A51=7,Pricing!L$3,IF(A51=8,Pricing!M$3,IF(A51=9,Pricing!N$3,IF(A51=10,Pricing!O$3))))))))))</f>
        <v>134</v>
      </c>
      <c r="G51" s="18" t="s">
        <v>1285</v>
      </c>
      <c r="H51" s="3082"/>
      <c r="I51" s="3082"/>
      <c r="J51" s="3013">
        <v>0.06</v>
      </c>
      <c r="K51" s="2957">
        <f>IF(A51=1,AR$36,IF(A51=2,AS$36,IF(A51=3,AT$36,IF(A51=4,AU$36,IF(A51=5,AV$36,IF(A51=6,AW$36,IF(A51=7,AX$36,IF(A51=8,AY$36,IF(A51=9,AZ$36,IF(A51=10,BA$36))))))))))+IF(A51=1,AH$36,IF(A51=2,AI$36,IF(A51=3,AJ$36,IF(A51=4,AK$36,IF(A51=5,AL$36,IF(A51=6,AM$36,IF(A51=7,AN$36,IF(A51=8,AO$36,IF(A51=9,AP$36,IF(A51=10,AQ$36))))))))))</f>
        <v>0</v>
      </c>
      <c r="L51" s="2957"/>
      <c r="M51" s="17" t="s">
        <v>1286</v>
      </c>
      <c r="N51" s="2813">
        <f>K51*F51*(IF(T$39="N",1+V$39,1))</f>
        <v>0</v>
      </c>
      <c r="O51" s="2813"/>
      <c r="P51" s="1172"/>
      <c r="Q51" s="859" t="s">
        <v>1415</v>
      </c>
      <c r="R51" s="77"/>
      <c r="S51" s="1173">
        <v>0.4</v>
      </c>
      <c r="T51" s="77"/>
      <c r="U51" s="1174">
        <f>BJ71</f>
        <v>0</v>
      </c>
      <c r="V51" s="77"/>
      <c r="W51" s="1175">
        <f>U51*S51</f>
        <v>0</v>
      </c>
      <c r="DB51" s="142">
        <v>20</v>
      </c>
      <c r="DC51" s="143">
        <v>4</v>
      </c>
      <c r="DD51" s="144">
        <v>1</v>
      </c>
      <c r="DE51" s="145">
        <f>DB51*(DC51*DC51*0.04180884375)*DD51</f>
        <v>13.378829999999999</v>
      </c>
    </row>
    <row r="52" spans="1:109" s="1254" customFormat="1" ht="18" customHeight="1">
      <c r="A52" s="1792">
        <v>2</v>
      </c>
      <c r="B52" s="574" t="str">
        <f>IF(A52=1,Pricing!F$2,IF(A52=2,Pricing!G$2,IF(A52=3,Pricing!H$2,IF(A52=4,Pricing!I$2,IF(A52=5,Pricing!J$2,IF(A52=6,Pricing!K$2,IF(A52=7,Pricing!L$2,IF(A52=8,Pricing!M$2,IF(A52=9,Pricing!N$2,IF(A52=10,Pricing!O$2,0))))))))))</f>
        <v>3,000 PSI / Ash no Air</v>
      </c>
      <c r="C52" s="18"/>
      <c r="D52" s="18"/>
      <c r="E52" s="18"/>
      <c r="F52" s="969">
        <f>IF(A52=1,Pricing!F$3,IF(A52=2,Pricing!G$3,IF(A52=3,Pricing!H$3,IF(A52=4,Pricing!I$3,IF(A52=5,Pricing!J$3,IF(A52=6,Pricing!K$3,IF(A52=7,Pricing!L$3,IF(A52=8,Pricing!M$3,IF(A52=9,Pricing!N$3,IF(A52=10,Pricing!O$3))))))))))</f>
        <v>145</v>
      </c>
      <c r="G52" s="18" t="s">
        <v>1285</v>
      </c>
      <c r="H52" s="3082"/>
      <c r="I52" s="3082"/>
      <c r="J52" s="3013"/>
      <c r="K52" s="3010">
        <f>IF(A52=1,AR$36,IF(A52=2,AS$36,IF(A52=3,AT$36,IF(A52=4,AU$36,IF(A52=5,AV$36,IF(A52=6,AW$36,IF(A52=7,AX$36,IF(A52=8,AY$36,IF(A52=9,AZ$36,IF(A52=10,BA$36))))))))))+IF(A52=1,AH$36,IF(A52=2,AI$36,IF(A52=3,AJ$36,IF(A52=4,AK$36,IF(A52=5,AL$36,IF(A52=6,AM$36,IF(A52=7,AN$36,IF(A52=8,AO$36,IF(A52=9,AP$36,IF(A52=10,AQ$36))))))))))</f>
        <v>0</v>
      </c>
      <c r="L52" s="3010"/>
      <c r="M52" s="17" t="s">
        <v>1286</v>
      </c>
      <c r="N52" s="2810">
        <f>K52*F52*(IF(T$39="N",1+V$39,1))</f>
        <v>0</v>
      </c>
      <c r="O52" s="2810"/>
      <c r="P52" s="1172" t="s">
        <v>1069</v>
      </c>
      <c r="Q52" s="859" t="s">
        <v>526</v>
      </c>
      <c r="R52" s="77"/>
      <c r="S52" s="1176">
        <f>H67*3.6*S51</f>
        <v>0</v>
      </c>
      <c r="T52" s="1177" t="s">
        <v>1704</v>
      </c>
      <c r="U52" s="1174">
        <f>Pricing!Q4</f>
        <v>0.859375</v>
      </c>
      <c r="V52" s="77" t="s">
        <v>527</v>
      </c>
      <c r="W52" s="1175">
        <f t="shared" ref="W52:W67" si="53">IF(T$39="Y",S52*U52,S52*U52*(1+V$39))</f>
        <v>0</v>
      </c>
      <c r="DB52" s="142">
        <v>3</v>
      </c>
      <c r="DC52" s="143">
        <v>5</v>
      </c>
      <c r="DD52" s="144">
        <v>3</v>
      </c>
      <c r="DE52" s="145">
        <f>DB52*(DC52*DC52*0.04180884375)*DD52</f>
        <v>9.406989843749999</v>
      </c>
    </row>
    <row r="53" spans="1:109" s="1254" customFormat="1" ht="18" customHeight="1">
      <c r="A53" s="1793">
        <v>3</v>
      </c>
      <c r="B53" s="574" t="str">
        <f>IF(A53=1,Pricing!F$2,IF(A53=2,Pricing!G$2,IF(A53=3,Pricing!H$2,IF(A53=4,Pricing!I$2,IF(A53=5,Pricing!J$2,IF(A53=6,Pricing!K$2,IF(A53=7,Pricing!L$2,IF(A53=8,Pricing!M$2,IF(A53=9,Pricing!N$2,IF(A53=10,Pricing!O$2,0))))))))))</f>
        <v>3,500 PSI 5.5sk /Ash and Air</v>
      </c>
      <c r="C53" s="18"/>
      <c r="D53" s="18"/>
      <c r="E53" s="18"/>
      <c r="F53" s="969">
        <f>IF(A53=1,Pricing!F$3,IF(A53=2,Pricing!G$3,IF(A53=3,Pricing!H$3,IF(A53=4,Pricing!I$3,IF(A53=5,Pricing!J$3,IF(A53=6,Pricing!K$3,IF(A53=7,Pricing!L$3,IF(A53=8,Pricing!M$3,IF(A53=9,Pricing!N$3,IF(A53=10,Pricing!O$3))))))))))</f>
        <v>150</v>
      </c>
      <c r="G53" s="18" t="s">
        <v>1285</v>
      </c>
      <c r="H53" s="3082"/>
      <c r="I53" s="3082"/>
      <c r="J53" s="3013"/>
      <c r="K53" s="3010">
        <f>IF(A53=1,AR$36,IF(A53=2,AS$36,IF(A53=3,AT$36,IF(A53=4,AU$36,IF(A53=5,AV$36,IF(A53=6,AW$36,IF(A53=7,AX$36,IF(A53=8,AY$36,IF(A53=9,AZ$36,IF(A53=10,BA$36))))))))))+IF(A53=1,AH$36,IF(A53=2,AI$36,IF(A53=3,AJ$36,IF(A53=4,AK$36,IF(A53=5,AL$36,IF(A53=6,AM$36,IF(A53=7,AN$36,IF(A53=8,AO$36,IF(A53=9,AP$36,IF(A53=10,AQ$36))))))))))</f>
        <v>0</v>
      </c>
      <c r="L53" s="3010"/>
      <c r="M53" s="17" t="s">
        <v>1286</v>
      </c>
      <c r="N53" s="2810">
        <f>K53*F53*(IF(T$39="N",1+V$39,1))</f>
        <v>0</v>
      </c>
      <c r="O53" s="2810"/>
      <c r="P53" s="1172"/>
      <c r="Q53" s="859"/>
      <c r="R53" s="77"/>
      <c r="S53" s="1176"/>
      <c r="T53" s="1177"/>
      <c r="U53" s="1174"/>
      <c r="V53" s="77"/>
      <c r="W53" s="1175">
        <f t="shared" si="53"/>
        <v>0</v>
      </c>
      <c r="DB53" s="142"/>
      <c r="DC53" s="143"/>
      <c r="DD53" s="144"/>
      <c r="DE53" s="145"/>
    </row>
    <row r="54" spans="1:109" s="1254" customFormat="1" ht="18" customHeight="1">
      <c r="A54" s="1793">
        <v>4</v>
      </c>
      <c r="B54" s="574" t="str">
        <f>IF(A54=1,Pricing!F$2,IF(A54=2,Pricing!G$2,IF(A54=3,Pricing!H$2,IF(A54=4,Pricing!I$2,IF(A54=5,Pricing!J$2,IF(A54=6,Pricing!K$2,IF(A54=7,Pricing!L$2,IF(A54=8,Pricing!M$2,IF(A54=9,Pricing!N$2,IF(A54=10,Pricing!O$2,0))))))))))</f>
        <v>3,500 PSI /Ash No Air</v>
      </c>
      <c r="C54" s="18"/>
      <c r="D54" s="18"/>
      <c r="E54" s="18"/>
      <c r="F54" s="969">
        <f>IF(A54=1,Pricing!F$3,IF(A54=2,Pricing!G$3,IF(A54=3,Pricing!H$3,IF(A54=4,Pricing!I$3,IF(A54=5,Pricing!J$3,IF(A54=6,Pricing!K$3,IF(A54=7,Pricing!L$3,IF(A54=8,Pricing!M$3,IF(A54=9,Pricing!N$3,IF(A54=10,Pricing!O$3))))))))))</f>
        <v>150</v>
      </c>
      <c r="G54" s="18" t="s">
        <v>1285</v>
      </c>
      <c r="H54" s="3082"/>
      <c r="I54" s="3082"/>
      <c r="J54" s="3013"/>
      <c r="K54" s="3010">
        <f>IF(A54=1,AR$36,IF(A54=2,AS$36,IF(A54=3,AT$36,IF(A54=4,AU$36,IF(A54=5,AV$36,IF(A54=6,AW$36,IF(A54=7,AX$36,IF(A54=8,AY$36,IF(A54=9,AZ$36,IF(A54=10,BA$36))))))))))+IF(A54=1,AH$36,IF(A54=2,AI$36,IF(A54=3,AJ$36,IF(A54=4,AK$36,IF(A54=5,AL$36,IF(A54=6,AM$36,IF(A54=7,AN$36,IF(A54=8,AO$36,IF(A54=9,AP$36,IF(A54=10,AQ$36))))))))))</f>
        <v>0</v>
      </c>
      <c r="L54" s="3010"/>
      <c r="M54" s="17" t="s">
        <v>1286</v>
      </c>
      <c r="N54" s="2810">
        <f>K54*F54*(IF(T$39="N",1+V$39,1))</f>
        <v>0</v>
      </c>
      <c r="O54" s="2810"/>
      <c r="P54" s="1172"/>
      <c r="Q54" s="859"/>
      <c r="R54" s="77"/>
      <c r="S54" s="1176"/>
      <c r="T54" s="1177"/>
      <c r="U54" s="1174"/>
      <c r="V54" s="77"/>
      <c r="W54" s="1175">
        <f t="shared" si="53"/>
        <v>0</v>
      </c>
      <c r="DB54" s="142"/>
      <c r="DC54" s="143"/>
      <c r="DD54" s="144"/>
      <c r="DE54" s="145"/>
    </row>
    <row r="55" spans="1:109" s="1254" customFormat="1" ht="18" customHeight="1">
      <c r="A55" s="1794">
        <v>5</v>
      </c>
      <c r="B55" s="966" t="str">
        <f>IF(A55=1,Pricing!F$2,IF(A55=2,Pricing!G$2,IF(A55=3,Pricing!H$2,IF(A55=4,Pricing!I$2,IF(A55=5,Pricing!J$2,IF(A55=6,Pricing!K$2,IF(A55=7,Pricing!L$2,IF(A55=8,Pricing!M$2,IF(A55=9,Pricing!N$2,IF(A55=10,Pricing!O$2,0))))))))))</f>
        <v>4,000 PSI /Ash and Air</v>
      </c>
      <c r="C55" s="373"/>
      <c r="D55" s="373"/>
      <c r="E55" s="373"/>
      <c r="F55" s="1180">
        <f>IF(A55=1,Pricing!F$3,IF(A55=2,Pricing!G$3,IF(A55=3,Pricing!H$3,IF(A55=4,Pricing!I$3,IF(A55=5,Pricing!J$3,IF(A55=6,Pricing!K$3,IF(A55=7,Pricing!L$3,IF(A55=8,Pricing!M$3,IF(A55=9,Pricing!N$3,IF(A55=10,Pricing!O$3))))))))))</f>
        <v>155</v>
      </c>
      <c r="G55" s="373" t="s">
        <v>1285</v>
      </c>
      <c r="H55" s="3082"/>
      <c r="I55" s="3082"/>
      <c r="J55" s="3013"/>
      <c r="K55" s="3010">
        <f>IF(A55=1,AR$36,IF(A55=2,AS$36,IF(A55=3,AT$36,IF(A55=4,AU$36,IF(A55=5,AV$36,IF(A55=6,AW$36,IF(A55=7,AX$36,IF(A55=8,AY$36,IF(A55=9,AZ$36,IF(A55=10,BA$36))))))))))+IF(A55=1,AH$36,IF(A55=2,AI$36,IF(A55=3,AJ$36,IF(A55=4,AK$36,IF(A55=5,AL$36,IF(A55=6,AM$36,IF(A55=7,AN$36,IF(A55=8,AO$36,IF(A55=9,AP$36,IF(A55=10,AQ$36))))))))))</f>
        <v>0</v>
      </c>
      <c r="L55" s="3010"/>
      <c r="M55" s="967" t="s">
        <v>1286</v>
      </c>
      <c r="N55" s="2819">
        <f>K55*F55*(IF(T$39="N",1+V$39,1))</f>
        <v>0</v>
      </c>
      <c r="O55" s="2819"/>
      <c r="P55" s="1172" t="s">
        <v>1069</v>
      </c>
      <c r="Q55" s="859" t="s">
        <v>534</v>
      </c>
      <c r="R55" s="77"/>
      <c r="S55" s="1176">
        <f>S52*0.2</f>
        <v>0</v>
      </c>
      <c r="T55" s="1177" t="s">
        <v>1704</v>
      </c>
      <c r="U55" s="1174">
        <f>Pricing!Q5</f>
        <v>1.4453125</v>
      </c>
      <c r="V55" s="77" t="s">
        <v>527</v>
      </c>
      <c r="W55" s="1175">
        <f t="shared" si="53"/>
        <v>0</v>
      </c>
      <c r="DB55" s="142">
        <v>6</v>
      </c>
      <c r="DC55" s="143">
        <v>5</v>
      </c>
      <c r="DD55" s="144">
        <v>2</v>
      </c>
      <c r="DE55" s="145">
        <f t="shared" ref="DE55:DE62" si="54">DB55*(DC55*DC55*0.04180884375)*DD55</f>
        <v>12.542653124999999</v>
      </c>
    </row>
    <row r="56" spans="1:109" s="1254" customFormat="1" ht="18" customHeight="1">
      <c r="A56" s="1795" t="str">
        <f>Summary!V60</f>
        <v>Import</v>
      </c>
      <c r="B56" s="963" t="s">
        <v>1287</v>
      </c>
      <c r="C56" s="18"/>
      <c r="D56" s="18"/>
      <c r="E56" s="18"/>
      <c r="F56" s="969">
        <f>Pricing!D23</f>
        <v>0.65</v>
      </c>
      <c r="G56" s="18" t="s">
        <v>555</v>
      </c>
      <c r="H56" s="3083"/>
      <c r="I56" s="3083"/>
      <c r="J56" s="970">
        <v>0.1</v>
      </c>
      <c r="K56" s="2957">
        <f>U36</f>
        <v>0</v>
      </c>
      <c r="L56" s="2957"/>
      <c r="M56" s="18" t="s">
        <v>1288</v>
      </c>
      <c r="N56" s="2813">
        <f>F56*K56*(IF(T39="N",1+V39,1))</f>
        <v>0</v>
      </c>
      <c r="O56" s="2813"/>
      <c r="P56" s="1172" t="s">
        <v>1069</v>
      </c>
      <c r="Q56" s="859" t="s">
        <v>536</v>
      </c>
      <c r="R56" s="77"/>
      <c r="S56" s="1176">
        <v>0</v>
      </c>
      <c r="T56" s="1177" t="s">
        <v>1704</v>
      </c>
      <c r="U56" s="1174">
        <f>Pricing!Q6</f>
        <v>1.171875</v>
      </c>
      <c r="V56" s="77" t="s">
        <v>527</v>
      </c>
      <c r="W56" s="1175">
        <f t="shared" si="53"/>
        <v>0</v>
      </c>
      <c r="DB56" s="142"/>
      <c r="DC56" s="143"/>
      <c r="DD56" s="144"/>
      <c r="DE56" s="145">
        <f t="shared" si="54"/>
        <v>0</v>
      </c>
    </row>
    <row r="57" spans="1:109" s="1254" customFormat="1" ht="18" customHeight="1">
      <c r="A57" s="574"/>
      <c r="B57" s="963"/>
      <c r="C57" s="18"/>
      <c r="D57" s="18"/>
      <c r="E57" s="18"/>
      <c r="F57" s="1182">
        <f>Pricing!F6</f>
        <v>0</v>
      </c>
      <c r="G57" s="18" t="s">
        <v>600</v>
      </c>
      <c r="H57" s="3084"/>
      <c r="I57" s="3084"/>
      <c r="J57" s="1184">
        <v>0.05</v>
      </c>
      <c r="K57" s="3010"/>
      <c r="L57" s="3010"/>
      <c r="M57" s="18" t="s">
        <v>1418</v>
      </c>
      <c r="N57" s="2810">
        <f>K57*F57*(IF(T39="N",1+V39,1))*(J57+1)</f>
        <v>0</v>
      </c>
      <c r="O57" s="2810"/>
      <c r="P57" s="1172" t="s">
        <v>1069</v>
      </c>
      <c r="Q57" s="859" t="s">
        <v>538</v>
      </c>
      <c r="R57" s="77"/>
      <c r="S57" s="1176">
        <f>E36*2*S51</f>
        <v>0</v>
      </c>
      <c r="T57" s="1177" t="s">
        <v>1704</v>
      </c>
      <c r="U57" s="1174">
        <f>Pricing!Q7</f>
        <v>1.09375</v>
      </c>
      <c r="V57" s="77" t="s">
        <v>527</v>
      </c>
      <c r="W57" s="1175">
        <f t="shared" si="53"/>
        <v>0</v>
      </c>
      <c r="DB57" s="1185"/>
      <c r="DC57" s="1186"/>
      <c r="DD57" s="1187"/>
      <c r="DE57" s="1188">
        <f t="shared" si="54"/>
        <v>0</v>
      </c>
    </row>
    <row r="58" spans="1:109" s="1254" customFormat="1" ht="18" customHeight="1">
      <c r="A58" s="574"/>
      <c r="B58" s="966" t="s">
        <v>1419</v>
      </c>
      <c r="C58" s="373"/>
      <c r="D58" s="373"/>
      <c r="E58" s="373"/>
      <c r="F58" s="1180">
        <v>0.35</v>
      </c>
      <c r="G58" s="373" t="s">
        <v>600</v>
      </c>
      <c r="H58" s="1209" t="s">
        <v>1291</v>
      </c>
      <c r="I58" s="972">
        <v>0</v>
      </c>
      <c r="J58" s="972"/>
      <c r="K58" s="3011"/>
      <c r="L58" s="3011"/>
      <c r="M58" s="373" t="s">
        <v>1418</v>
      </c>
      <c r="N58" s="2815">
        <f>IF(L35="y",IF(I58=0,K58*F58,I58),0)*(IF(S$65="N",1+U$65,1))</f>
        <v>0</v>
      </c>
      <c r="O58" s="2815"/>
      <c r="P58" s="1172" t="s">
        <v>1069</v>
      </c>
      <c r="Q58" s="859" t="s">
        <v>540</v>
      </c>
      <c r="R58" s="77"/>
      <c r="S58" s="1176">
        <f>ROUNDUP(H67*2/32*S51*1.1,0)</f>
        <v>0</v>
      </c>
      <c r="T58" s="77" t="s">
        <v>1420</v>
      </c>
      <c r="U58" s="1174">
        <f>Pricing!Q8</f>
        <v>74.75</v>
      </c>
      <c r="V58" s="77" t="s">
        <v>541</v>
      </c>
      <c r="W58" s="1175">
        <f t="shared" si="53"/>
        <v>0</v>
      </c>
      <c r="DB58" s="142"/>
      <c r="DC58" s="143"/>
      <c r="DD58" s="144"/>
      <c r="DE58" s="145">
        <f t="shared" si="54"/>
        <v>0</v>
      </c>
    </row>
    <row r="59" spans="1:109" s="1254" customFormat="1" ht="18" customHeight="1">
      <c r="A59" s="1087"/>
      <c r="B59" s="17" t="s">
        <v>1421</v>
      </c>
      <c r="C59" s="18"/>
      <c r="D59" s="18"/>
      <c r="E59" s="18"/>
      <c r="F59" s="1191">
        <f>Pricing!D19</f>
        <v>25</v>
      </c>
      <c r="G59" s="18" t="s">
        <v>1459</v>
      </c>
      <c r="H59" s="2816"/>
      <c r="I59" s="2816"/>
      <c r="J59" s="3013">
        <v>0.05</v>
      </c>
      <c r="K59" s="2957">
        <f>SUM(BH36)</f>
        <v>0</v>
      </c>
      <c r="L59" s="2957"/>
      <c r="M59" s="18" t="s">
        <v>1286</v>
      </c>
      <c r="N59" s="2813">
        <f>K59*F59*IF(Q29="N",1+T29,1)</f>
        <v>0</v>
      </c>
      <c r="O59" s="2813"/>
      <c r="P59" s="1172" t="s">
        <v>1069</v>
      </c>
      <c r="Q59" s="859" t="s">
        <v>1298</v>
      </c>
      <c r="R59" s="77"/>
      <c r="S59" s="1176">
        <f>ROUNDUP(E36*2/25,0)*S51</f>
        <v>0</v>
      </c>
      <c r="T59" s="77" t="s">
        <v>1705</v>
      </c>
      <c r="U59" s="1174">
        <f>Pricing!Q15</f>
        <v>24</v>
      </c>
      <c r="V59" s="77" t="s">
        <v>1300</v>
      </c>
      <c r="W59" s="1175">
        <f t="shared" si="53"/>
        <v>0</v>
      </c>
      <c r="DB59" s="142"/>
      <c r="DC59" s="143"/>
      <c r="DD59" s="144"/>
      <c r="DE59" s="145">
        <f t="shared" si="54"/>
        <v>0</v>
      </c>
    </row>
    <row r="60" spans="1:109" s="1254" customFormat="1" ht="18" customHeight="1">
      <c r="A60" s="574"/>
      <c r="B60" s="987" t="s">
        <v>1424</v>
      </c>
      <c r="C60" s="373"/>
      <c r="D60" s="1192"/>
      <c r="E60" s="373"/>
      <c r="F60" s="1193">
        <v>38</v>
      </c>
      <c r="G60" s="373" t="s">
        <v>1285</v>
      </c>
      <c r="H60" s="2816"/>
      <c r="I60" s="2816"/>
      <c r="J60" s="3013"/>
      <c r="K60" s="3011"/>
      <c r="L60" s="3011"/>
      <c r="M60" s="373" t="s">
        <v>1418</v>
      </c>
      <c r="N60" s="2819">
        <f>K60*F60</f>
        <v>0</v>
      </c>
      <c r="O60" s="2819"/>
      <c r="P60" s="1172" t="s">
        <v>1069</v>
      </c>
      <c r="Q60" s="859" t="s">
        <v>561</v>
      </c>
      <c r="R60" s="77"/>
      <c r="S60" s="1176">
        <f>ROUNDUP(H67/1800,0)</f>
        <v>0</v>
      </c>
      <c r="T60" s="77" t="s">
        <v>1303</v>
      </c>
      <c r="U60" s="1174">
        <f>Pricing!Q16</f>
        <v>68.2</v>
      </c>
      <c r="V60" s="77" t="s">
        <v>562</v>
      </c>
      <c r="W60" s="1175">
        <f t="shared" si="53"/>
        <v>0</v>
      </c>
      <c r="DB60" s="142"/>
      <c r="DC60" s="143"/>
      <c r="DD60" s="144"/>
      <c r="DE60" s="145">
        <f t="shared" si="54"/>
        <v>0</v>
      </c>
    </row>
    <row r="61" spans="1:109" s="1254" customFormat="1" ht="18" customHeight="1">
      <c r="A61" s="574"/>
      <c r="B61" s="963"/>
      <c r="C61" s="18"/>
      <c r="D61" s="793"/>
      <c r="E61" s="18"/>
      <c r="F61" s="1796">
        <v>0.17</v>
      </c>
      <c r="G61" s="18" t="s">
        <v>1426</v>
      </c>
      <c r="H61" s="2816"/>
      <c r="I61" s="2816"/>
      <c r="J61" s="3013">
        <v>0.1</v>
      </c>
      <c r="K61" s="2957"/>
      <c r="L61" s="2957"/>
      <c r="M61" s="18" t="s">
        <v>1418</v>
      </c>
      <c r="N61" s="3085">
        <f>F61*K61</f>
        <v>0</v>
      </c>
      <c r="O61" s="3085"/>
      <c r="P61" s="1172" t="s">
        <v>1069</v>
      </c>
      <c r="Q61" s="859" t="s">
        <v>563</v>
      </c>
      <c r="R61" s="77"/>
      <c r="S61" s="1176">
        <f>ROUNDUP(H67/1000,0)</f>
        <v>0</v>
      </c>
      <c r="T61" s="77" t="s">
        <v>1303</v>
      </c>
      <c r="U61" s="1174">
        <f>Pricing!Q17</f>
        <v>68.2</v>
      </c>
      <c r="V61" s="77" t="s">
        <v>562</v>
      </c>
      <c r="W61" s="1175">
        <f t="shared" si="53"/>
        <v>0</v>
      </c>
      <c r="DB61" s="1195"/>
      <c r="DC61" s="143"/>
      <c r="DD61" s="144"/>
      <c r="DE61" s="145">
        <f t="shared" si="54"/>
        <v>0</v>
      </c>
    </row>
    <row r="62" spans="1:109" s="1254" customFormat="1" ht="18" customHeight="1">
      <c r="A62" s="963" t="s">
        <v>1706</v>
      </c>
      <c r="B62" s="17"/>
      <c r="C62" s="17"/>
      <c r="D62" s="793" t="s">
        <v>1428</v>
      </c>
      <c r="E62" s="1196" t="s">
        <v>1029</v>
      </c>
      <c r="F62" s="1197">
        <v>1.25</v>
      </c>
      <c r="G62" s="18" t="s">
        <v>600</v>
      </c>
      <c r="H62" s="2816"/>
      <c r="I62" s="2816"/>
      <c r="J62" s="3013"/>
      <c r="K62" s="3010">
        <f>IF(E62="Y",E36,0)*(1+J60)</f>
        <v>0</v>
      </c>
      <c r="L62" s="3010"/>
      <c r="M62" s="18" t="s">
        <v>1259</v>
      </c>
      <c r="N62" s="2859">
        <f>K62*F62</f>
        <v>0</v>
      </c>
      <c r="O62" s="2859"/>
      <c r="P62" s="1172" t="s">
        <v>1069</v>
      </c>
      <c r="Q62" s="859" t="s">
        <v>564</v>
      </c>
      <c r="R62" s="77"/>
      <c r="S62" s="1176">
        <f>S61</f>
        <v>0</v>
      </c>
      <c r="T62" s="77" t="s">
        <v>1303</v>
      </c>
      <c r="U62" s="1174">
        <f>Pricing!Q18</f>
        <v>68.2</v>
      </c>
      <c r="V62" s="77" t="s">
        <v>562</v>
      </c>
      <c r="W62" s="1175">
        <f t="shared" si="53"/>
        <v>0</v>
      </c>
      <c r="DB62" s="1185"/>
      <c r="DC62" s="1186"/>
      <c r="DD62" s="1187"/>
      <c r="DE62" s="1188">
        <f t="shared" si="54"/>
        <v>0</v>
      </c>
    </row>
    <row r="63" spans="1:109" s="1254" customFormat="1" ht="18" customHeight="1">
      <c r="A63" s="987" t="s">
        <v>1707</v>
      </c>
      <c r="B63" s="967"/>
      <c r="C63" s="967"/>
      <c r="D63" s="1192" t="s">
        <v>1428</v>
      </c>
      <c r="E63" s="1198" t="s">
        <v>1029</v>
      </c>
      <c r="F63" s="1199">
        <v>1.8</v>
      </c>
      <c r="G63" s="373" t="s">
        <v>1430</v>
      </c>
      <c r="H63" s="2816"/>
      <c r="I63" s="2816"/>
      <c r="J63" s="3013"/>
      <c r="K63" s="3011">
        <f>IF(E63="Y",E36*2,0)*(1+J61)</f>
        <v>0</v>
      </c>
      <c r="L63" s="3011"/>
      <c r="M63" s="373" t="s">
        <v>1259</v>
      </c>
      <c r="N63" s="2815">
        <f>K63*F63</f>
        <v>0</v>
      </c>
      <c r="O63" s="2815"/>
      <c r="P63" s="1172" t="s">
        <v>1069</v>
      </c>
      <c r="Q63" s="859" t="s">
        <v>1310</v>
      </c>
      <c r="R63" s="77"/>
      <c r="S63" s="1176">
        <f>AL23*12/48/50</f>
        <v>0</v>
      </c>
      <c r="T63" s="77" t="s">
        <v>1303</v>
      </c>
      <c r="U63" s="1174">
        <f>Pricing!Q34</f>
        <v>45.239999999999995</v>
      </c>
      <c r="V63" s="77" t="s">
        <v>562</v>
      </c>
      <c r="W63" s="1175">
        <f t="shared" si="53"/>
        <v>0</v>
      </c>
    </row>
    <row r="64" spans="1:109" s="1254" customFormat="1" ht="18" customHeight="1">
      <c r="A64" s="577"/>
      <c r="B64" s="577" t="s">
        <v>1431</v>
      </c>
      <c r="C64" s="976"/>
      <c r="D64" s="976"/>
      <c r="E64" s="976"/>
      <c r="F64" s="1798">
        <v>3.75</v>
      </c>
      <c r="G64" s="976" t="s">
        <v>1432</v>
      </c>
      <c r="H64" s="2820" t="s">
        <v>1708</v>
      </c>
      <c r="I64" s="2820"/>
      <c r="J64" s="978"/>
      <c r="K64" s="1201">
        <f>H67</f>
        <v>0</v>
      </c>
      <c r="L64" s="1799"/>
      <c r="M64" s="976" t="s">
        <v>1418</v>
      </c>
      <c r="N64" s="3015">
        <f>F64*J64*K64</f>
        <v>0</v>
      </c>
      <c r="O64" s="3015"/>
      <c r="P64" s="1172" t="s">
        <v>1069</v>
      </c>
      <c r="Q64" s="859" t="s">
        <v>571</v>
      </c>
      <c r="R64" s="77"/>
      <c r="S64" s="1176">
        <f>BN51+AD122</f>
        <v>0</v>
      </c>
      <c r="T64" s="1177" t="s">
        <v>1704</v>
      </c>
      <c r="U64" s="1174">
        <f>Pricing!Q19</f>
        <v>0.95</v>
      </c>
      <c r="V64" s="77" t="s">
        <v>527</v>
      </c>
      <c r="W64" s="1175">
        <f t="shared" si="53"/>
        <v>0</v>
      </c>
    </row>
    <row r="65" spans="1:23" s="1254" customFormat="1" ht="18" customHeight="1">
      <c r="A65" s="1202" t="s">
        <v>1434</v>
      </c>
      <c r="B65" s="1203"/>
      <c r="C65" s="1203" t="s">
        <v>1296</v>
      </c>
      <c r="D65" s="1203"/>
      <c r="E65" s="1203"/>
      <c r="F65" s="1800"/>
      <c r="G65" s="1203"/>
      <c r="H65" s="1203"/>
      <c r="I65" s="1203"/>
      <c r="J65" s="1203"/>
      <c r="K65" s="1203" t="s">
        <v>973</v>
      </c>
      <c r="L65" s="1203"/>
      <c r="M65" s="1203" t="s">
        <v>1297</v>
      </c>
      <c r="N65" s="1801"/>
      <c r="O65" s="1086"/>
      <c r="P65" s="1172" t="s">
        <v>1069</v>
      </c>
      <c r="Q65" s="859" t="s">
        <v>576</v>
      </c>
      <c r="R65" s="77"/>
      <c r="S65" s="1176">
        <f>E36*2</f>
        <v>0</v>
      </c>
      <c r="T65" s="1177" t="s">
        <v>1704</v>
      </c>
      <c r="U65" s="1174">
        <f>Pricing!Q20</f>
        <v>0.25</v>
      </c>
      <c r="V65" s="77" t="s">
        <v>527</v>
      </c>
      <c r="W65" s="1175">
        <f t="shared" si="53"/>
        <v>0</v>
      </c>
    </row>
    <row r="66" spans="1:23" s="1254" customFormat="1" ht="18" customHeight="1">
      <c r="A66" s="1593" t="s">
        <v>1709</v>
      </c>
      <c r="B66" s="983"/>
      <c r="C66" s="982" t="s">
        <v>1306</v>
      </c>
      <c r="D66" s="2825">
        <v>15</v>
      </c>
      <c r="E66" s="2825"/>
      <c r="F66" s="1802" t="s">
        <v>1618</v>
      </c>
      <c r="G66" s="983"/>
      <c r="H66" s="3018">
        <f>BG36</f>
        <v>0</v>
      </c>
      <c r="I66" s="3018"/>
      <c r="J66" s="983" t="s">
        <v>1418</v>
      </c>
      <c r="K66" s="2828">
        <f>IF(C66="N",D66*H66,0)</f>
        <v>0</v>
      </c>
      <c r="L66" s="2828"/>
      <c r="M66" s="168"/>
      <c r="N66" s="2856">
        <f>IF(C66="y",D66*H66,0)</f>
        <v>0</v>
      </c>
      <c r="O66" s="2856"/>
      <c r="P66" s="1172" t="s">
        <v>1069</v>
      </c>
      <c r="Q66" s="859" t="s">
        <v>583</v>
      </c>
      <c r="R66" s="77"/>
      <c r="S66" s="1176">
        <f>H67/2.25/50</f>
        <v>0</v>
      </c>
      <c r="T66" s="77" t="s">
        <v>584</v>
      </c>
      <c r="U66" s="1174">
        <f>Pricing!Q21</f>
        <v>45</v>
      </c>
      <c r="V66" s="77" t="s">
        <v>562</v>
      </c>
      <c r="W66" s="1175">
        <f t="shared" si="53"/>
        <v>0</v>
      </c>
    </row>
    <row r="67" spans="1:23" s="1254" customFormat="1" ht="18" customHeight="1">
      <c r="A67" s="482" t="s">
        <v>1437</v>
      </c>
      <c r="B67" s="380"/>
      <c r="C67" s="1206" t="s">
        <v>1306</v>
      </c>
      <c r="D67" s="2830">
        <v>4</v>
      </c>
      <c r="E67" s="2830"/>
      <c r="F67" s="77" t="s">
        <v>1618</v>
      </c>
      <c r="G67" s="3020">
        <f>SUM(D67:E69)</f>
        <v>10</v>
      </c>
      <c r="H67" s="3086">
        <f>BF36</f>
        <v>0</v>
      </c>
      <c r="I67" s="3086"/>
      <c r="J67" s="18" t="s">
        <v>1439</v>
      </c>
      <c r="K67" s="2831">
        <f>IF(C67="N",D67*H$67,0)</f>
        <v>0</v>
      </c>
      <c r="L67" s="2831"/>
      <c r="N67" s="3087">
        <f>IF(C67="y",H$67*D67,0)</f>
        <v>0</v>
      </c>
      <c r="O67" s="3087"/>
      <c r="P67" s="1172" t="s">
        <v>1069</v>
      </c>
      <c r="Q67" s="859" t="s">
        <v>1710</v>
      </c>
      <c r="R67" s="77"/>
      <c r="S67" s="1176">
        <f>E36</f>
        <v>0</v>
      </c>
      <c r="T67" s="77" t="s">
        <v>1259</v>
      </c>
      <c r="U67" s="1174">
        <v>1</v>
      </c>
      <c r="V67" s="77" t="s">
        <v>1511</v>
      </c>
      <c r="W67" s="1175">
        <f t="shared" si="53"/>
        <v>0</v>
      </c>
    </row>
    <row r="68" spans="1:23" s="1254" customFormat="1" ht="18" customHeight="1">
      <c r="A68" s="482" t="s">
        <v>1442</v>
      </c>
      <c r="B68" s="380"/>
      <c r="C68" s="984" t="s">
        <v>1306</v>
      </c>
      <c r="D68" s="2830">
        <v>4</v>
      </c>
      <c r="E68" s="2830"/>
      <c r="F68" s="77" t="s">
        <v>1618</v>
      </c>
      <c r="G68" s="3020"/>
      <c r="H68" s="3086"/>
      <c r="I68" s="3086"/>
      <c r="J68" s="18" t="s">
        <v>1439</v>
      </c>
      <c r="K68" s="2831">
        <f>IF(C68="N",D68*H$67,0)</f>
        <v>0</v>
      </c>
      <c r="L68" s="2831"/>
      <c r="N68" s="2859">
        <f>IF(C68="y",H$67*D68,0)</f>
        <v>0</v>
      </c>
      <c r="O68" s="2859"/>
      <c r="P68" s="1172" t="s">
        <v>1069</v>
      </c>
      <c r="Q68" s="859" t="s">
        <v>1453</v>
      </c>
      <c r="R68" s="77"/>
      <c r="S68" s="1176">
        <v>0</v>
      </c>
      <c r="T68" s="77" t="s">
        <v>1711</v>
      </c>
      <c r="U68" s="1174">
        <f>Pricing!Q43</f>
        <v>105</v>
      </c>
      <c r="V68" s="77" t="s">
        <v>630</v>
      </c>
      <c r="W68" s="1175">
        <f t="shared" ref="W68:W76" si="55">U68*S68</f>
        <v>0</v>
      </c>
    </row>
    <row r="69" spans="1:23" s="1254" customFormat="1" ht="18" customHeight="1">
      <c r="A69" s="482" t="s">
        <v>1443</v>
      </c>
      <c r="B69" s="380"/>
      <c r="C69" s="984" t="s">
        <v>1306</v>
      </c>
      <c r="D69" s="2830">
        <v>2</v>
      </c>
      <c r="E69" s="2830"/>
      <c r="F69" s="77" t="s">
        <v>1618</v>
      </c>
      <c r="G69" s="3020"/>
      <c r="H69" s="3086"/>
      <c r="I69" s="3086"/>
      <c r="J69" s="18" t="s">
        <v>1439</v>
      </c>
      <c r="K69" s="2831">
        <f>IF(C69="N",D69*H$67,0)</f>
        <v>0</v>
      </c>
      <c r="L69" s="2831"/>
      <c r="N69" s="3087">
        <f>IF(C69="y",H$67*D69,0)</f>
        <v>0</v>
      </c>
      <c r="O69" s="3087"/>
      <c r="P69" s="1172" t="s">
        <v>1069</v>
      </c>
      <c r="Q69" s="859" t="s">
        <v>1712</v>
      </c>
      <c r="R69" s="77"/>
      <c r="S69" s="1176">
        <f>I72</f>
        <v>0</v>
      </c>
      <c r="T69" s="77" t="s">
        <v>836</v>
      </c>
      <c r="U69" s="1174">
        <v>8.5</v>
      </c>
      <c r="V69" s="77"/>
      <c r="W69" s="1175">
        <f t="shared" si="55"/>
        <v>0</v>
      </c>
    </row>
    <row r="70" spans="1:23" s="1254" customFormat="1" ht="18" customHeight="1">
      <c r="A70" s="482" t="s">
        <v>1444</v>
      </c>
      <c r="B70" s="380"/>
      <c r="C70" s="984" t="s">
        <v>1306</v>
      </c>
      <c r="D70" s="2830">
        <v>0.25</v>
      </c>
      <c r="E70" s="2830"/>
      <c r="F70" s="77" t="s">
        <v>1618</v>
      </c>
      <c r="G70" s="18"/>
      <c r="H70" s="3086"/>
      <c r="I70" s="3086"/>
      <c r="J70" s="18" t="s">
        <v>1439</v>
      </c>
      <c r="K70" s="2831">
        <f>IF(C70="N",D70*H$67,0)</f>
        <v>0</v>
      </c>
      <c r="L70" s="2831"/>
      <c r="N70" s="2859">
        <f>IF(C70="y",H$67*D70,0)</f>
        <v>0</v>
      </c>
      <c r="O70" s="2859"/>
      <c r="P70" s="1172" t="s">
        <v>1713</v>
      </c>
      <c r="Q70" s="859" t="s">
        <v>1714</v>
      </c>
      <c r="R70" s="77"/>
      <c r="S70" s="1176"/>
      <c r="T70" s="77" t="s">
        <v>1454</v>
      </c>
      <c r="U70" s="1174">
        <v>500</v>
      </c>
      <c r="V70" s="77"/>
      <c r="W70" s="1175">
        <f t="shared" si="55"/>
        <v>0</v>
      </c>
    </row>
    <row r="71" spans="1:23" s="1254" customFormat="1" ht="18" customHeight="1">
      <c r="A71" s="482" t="s">
        <v>1307</v>
      </c>
      <c r="B71" s="380"/>
      <c r="C71" s="984" t="s">
        <v>1306</v>
      </c>
      <c r="D71" s="3088">
        <v>450</v>
      </c>
      <c r="E71" s="3088"/>
      <c r="F71" s="77" t="s">
        <v>1308</v>
      </c>
      <c r="G71" s="18"/>
      <c r="H71" s="964"/>
      <c r="I71" s="964">
        <f>(K56/2000)</f>
        <v>0</v>
      </c>
      <c r="J71" s="18" t="s">
        <v>1309</v>
      </c>
      <c r="K71" s="2831">
        <f>IF(C71="N",D71*I71,0)</f>
        <v>0</v>
      </c>
      <c r="L71" s="2831"/>
      <c r="N71" s="2859">
        <f>IF(C71="y",I71*D71,0)</f>
        <v>0</v>
      </c>
      <c r="O71" s="2859"/>
      <c r="P71" s="1172" t="s">
        <v>1069</v>
      </c>
      <c r="Q71" s="859"/>
      <c r="R71" s="77"/>
      <c r="S71" s="1176"/>
      <c r="T71" s="77" t="s">
        <v>1018</v>
      </c>
      <c r="U71" s="1174"/>
      <c r="V71" s="77"/>
      <c r="W71" s="1175">
        <f t="shared" si="55"/>
        <v>0</v>
      </c>
    </row>
    <row r="72" spans="1:23" s="1254" customFormat="1" ht="18" customHeight="1">
      <c r="A72" s="482" t="s">
        <v>1715</v>
      </c>
      <c r="B72" s="380"/>
      <c r="C72" s="984" t="s">
        <v>1306</v>
      </c>
      <c r="D72" s="2830">
        <v>10</v>
      </c>
      <c r="E72" s="2830"/>
      <c r="F72" s="77" t="s">
        <v>1338</v>
      </c>
      <c r="G72" s="18"/>
      <c r="H72" s="964"/>
      <c r="I72" s="964">
        <f>DI37</f>
        <v>0</v>
      </c>
      <c r="J72" s="18" t="s">
        <v>1259</v>
      </c>
      <c r="K72" s="2831">
        <f>IF(C72="N",D72*I72,0)</f>
        <v>0</v>
      </c>
      <c r="L72" s="2831"/>
      <c r="N72" s="2859">
        <f>IF(C72="y",I72*D72,0)</f>
        <v>0</v>
      </c>
      <c r="O72" s="2859"/>
      <c r="P72" s="1172" t="s">
        <v>1069</v>
      </c>
      <c r="Q72" s="859"/>
      <c r="R72" s="77"/>
      <c r="S72" s="1176"/>
      <c r="T72" s="77" t="s">
        <v>1018</v>
      </c>
      <c r="U72" s="1174"/>
      <c r="V72" s="77"/>
      <c r="W72" s="1175">
        <f t="shared" si="55"/>
        <v>0</v>
      </c>
    </row>
    <row r="73" spans="1:23" s="1254" customFormat="1" ht="18" customHeight="1">
      <c r="A73" s="482" t="s">
        <v>1716</v>
      </c>
      <c r="B73" s="380"/>
      <c r="C73" s="984" t="s">
        <v>1306</v>
      </c>
      <c r="D73" s="2830">
        <v>6</v>
      </c>
      <c r="E73" s="2830"/>
      <c r="F73" s="77" t="s">
        <v>1285</v>
      </c>
      <c r="G73" s="18"/>
      <c r="H73" s="964"/>
      <c r="I73" s="964">
        <f>SUM(DD10:DD35)</f>
        <v>0</v>
      </c>
      <c r="J73" s="18" t="s">
        <v>998</v>
      </c>
      <c r="K73" s="2831">
        <f>IF(C73="N",D73*I73,0)</f>
        <v>0</v>
      </c>
      <c r="L73" s="2831"/>
      <c r="N73" s="2859">
        <f>IF(C73="y",I73*D73,0)</f>
        <v>0</v>
      </c>
      <c r="O73" s="2859"/>
      <c r="P73" s="1172" t="s">
        <v>1069</v>
      </c>
      <c r="Q73" s="859"/>
      <c r="R73" s="77"/>
      <c r="S73" s="1176"/>
      <c r="T73" s="77"/>
      <c r="U73" s="1174"/>
      <c r="V73" s="77"/>
      <c r="W73" s="1175">
        <f t="shared" si="55"/>
        <v>0</v>
      </c>
    </row>
    <row r="74" spans="1:23" s="1254" customFormat="1" ht="18" customHeight="1">
      <c r="A74" s="482" t="s">
        <v>1660</v>
      </c>
      <c r="B74" s="380"/>
      <c r="C74" s="984" t="s">
        <v>1306</v>
      </c>
      <c r="D74" s="2830">
        <v>8</v>
      </c>
      <c r="E74" s="2830"/>
      <c r="F74" s="77" t="s">
        <v>1285</v>
      </c>
      <c r="G74" s="18"/>
      <c r="H74" s="964"/>
      <c r="I74" s="964">
        <f>SUM(DF10:DF35)</f>
        <v>0</v>
      </c>
      <c r="J74" s="18" t="s">
        <v>998</v>
      </c>
      <c r="K74" s="2831">
        <f>IF(C74="N",D74*I74,0)</f>
        <v>0</v>
      </c>
      <c r="L74" s="2831"/>
      <c r="N74" s="2859">
        <f>IF(C74="y",I74*D74,0)</f>
        <v>0</v>
      </c>
      <c r="O74" s="2859"/>
      <c r="P74" s="1172" t="s">
        <v>1069</v>
      </c>
      <c r="Q74" s="859"/>
      <c r="R74" s="77"/>
      <c r="S74" s="1176"/>
      <c r="T74" s="77"/>
      <c r="U74" s="1174"/>
      <c r="V74" s="77"/>
      <c r="W74" s="1175">
        <f t="shared" si="55"/>
        <v>0</v>
      </c>
    </row>
    <row r="75" spans="1:23" s="1254" customFormat="1" ht="18" customHeight="1">
      <c r="A75" s="1566" t="s">
        <v>1313</v>
      </c>
      <c r="B75" s="988"/>
      <c r="C75" s="989" t="s">
        <v>1306</v>
      </c>
      <c r="D75" s="2833">
        <v>0</v>
      </c>
      <c r="E75" s="2833"/>
      <c r="F75" s="1209"/>
      <c r="G75" s="373"/>
      <c r="H75" s="973"/>
      <c r="I75" s="973"/>
      <c r="J75" s="373"/>
      <c r="K75" s="2834">
        <f>IF(C75="N",D75*I75,0)</f>
        <v>0</v>
      </c>
      <c r="L75" s="2834"/>
      <c r="M75" s="373"/>
      <c r="N75" s="2815">
        <f>IF(C75="y",D75,0)</f>
        <v>0</v>
      </c>
      <c r="O75" s="2815"/>
      <c r="P75" s="1172" t="s">
        <v>1069</v>
      </c>
      <c r="Q75" s="859"/>
      <c r="R75" s="77"/>
      <c r="S75" s="1176"/>
      <c r="T75" s="77"/>
      <c r="U75" s="1174"/>
      <c r="V75" s="77"/>
      <c r="W75" s="1175">
        <f t="shared" si="55"/>
        <v>0</v>
      </c>
    </row>
    <row r="76" spans="1:23" s="1254" customFormat="1" ht="18" customHeight="1">
      <c r="A76" s="990" t="s">
        <v>1447</v>
      </c>
      <c r="B76" s="991"/>
      <c r="C76" s="992"/>
      <c r="D76" s="993">
        <f>IF(H67=0,0,(N76-N75+K76)/H67)</f>
        <v>0</v>
      </c>
      <c r="E76" s="1803"/>
      <c r="F76" s="802"/>
      <c r="G76" s="976"/>
      <c r="H76" s="991" t="s">
        <v>980</v>
      </c>
      <c r="I76" s="991"/>
      <c r="J76" s="991"/>
      <c r="K76" s="2838">
        <f>SUM(K66:L75)</f>
        <v>0</v>
      </c>
      <c r="L76" s="2838"/>
      <c r="M76" s="229"/>
      <c r="N76" s="2867">
        <f>SUM(N66:O75)</f>
        <v>0</v>
      </c>
      <c r="O76" s="2867"/>
      <c r="P76" s="1172" t="s">
        <v>1069</v>
      </c>
      <c r="Q76" s="1208"/>
      <c r="R76" s="1209"/>
      <c r="S76" s="1210"/>
      <c r="T76" s="1804"/>
      <c r="U76" s="1211"/>
      <c r="V76" s="1209"/>
      <c r="W76" s="1189">
        <f t="shared" si="55"/>
        <v>0</v>
      </c>
    </row>
    <row r="77" spans="1:23" s="1254" customFormat="1" ht="18" customHeight="1">
      <c r="A77" s="3089" t="s">
        <v>1449</v>
      </c>
      <c r="B77" s="3089"/>
      <c r="C77" s="3089"/>
      <c r="D77" s="3089"/>
      <c r="E77" s="3089"/>
      <c r="F77" s="3089"/>
      <c r="G77" s="3089"/>
      <c r="H77" s="3089"/>
      <c r="I77" s="3089"/>
      <c r="J77" s="3089"/>
      <c r="K77" s="3089"/>
      <c r="L77" s="3089"/>
      <c r="M77" s="3089"/>
      <c r="N77" s="3089"/>
      <c r="O77" s="3089"/>
      <c r="P77" s="1172" t="s">
        <v>1448</v>
      </c>
      <c r="Q77" s="859" t="s">
        <v>601</v>
      </c>
      <c r="R77" s="77"/>
      <c r="S77" s="1176">
        <f>ROUNDUP(K64*0.55*S51,0)</f>
        <v>0</v>
      </c>
      <c r="T77" s="77" t="s">
        <v>1312</v>
      </c>
      <c r="U77" s="1174">
        <f>Pricing!Q26</f>
        <v>0.45</v>
      </c>
      <c r="V77" s="77" t="s">
        <v>595</v>
      </c>
      <c r="W77" s="1175">
        <f t="shared" ref="W77:W83" si="56">S77*U77</f>
        <v>0</v>
      </c>
    </row>
    <row r="78" spans="1:23" s="1254" customFormat="1" ht="18" customHeight="1">
      <c r="A78" s="1593" t="s">
        <v>1316</v>
      </c>
      <c r="B78" s="1802"/>
      <c r="C78" s="998"/>
      <c r="D78" s="999">
        <v>0</v>
      </c>
      <c r="E78" s="1802" t="s">
        <v>1317</v>
      </c>
      <c r="F78" s="1805">
        <v>425</v>
      </c>
      <c r="G78" s="1806" t="s">
        <v>1450</v>
      </c>
      <c r="H78" s="983"/>
      <c r="I78" s="983"/>
      <c r="J78" s="983"/>
      <c r="K78" s="983"/>
      <c r="L78" s="2974">
        <f>IF(D40=0,0,(SUM(N78:O81))/D40)</f>
        <v>0</v>
      </c>
      <c r="M78" s="2974"/>
      <c r="N78" s="3090">
        <f>D78*F78</f>
        <v>0</v>
      </c>
      <c r="O78" s="3090"/>
      <c r="P78" s="1172">
        <v>39</v>
      </c>
      <c r="Q78" s="859" t="s">
        <v>604</v>
      </c>
      <c r="R78" s="77"/>
      <c r="S78" s="1176">
        <f>E36/4</f>
        <v>0</v>
      </c>
      <c r="T78" s="77" t="s">
        <v>1312</v>
      </c>
      <c r="U78" s="1174">
        <f>Pricing!Q27</f>
        <v>0.75</v>
      </c>
      <c r="V78" s="77" t="s">
        <v>1312</v>
      </c>
      <c r="W78" s="1175">
        <f t="shared" si="56"/>
        <v>0</v>
      </c>
    </row>
    <row r="79" spans="1:23" s="1254" customFormat="1" ht="18" customHeight="1">
      <c r="A79" s="482" t="s">
        <v>1318</v>
      </c>
      <c r="B79" s="77"/>
      <c r="C79" s="77"/>
      <c r="D79" s="1002">
        <f>D78</f>
        <v>0</v>
      </c>
      <c r="E79" s="1807" t="s">
        <v>1317</v>
      </c>
      <c r="F79" s="1808">
        <v>250</v>
      </c>
      <c r="G79" s="1809" t="s">
        <v>1450</v>
      </c>
      <c r="H79" s="18"/>
      <c r="I79" s="18"/>
      <c r="J79" s="18"/>
      <c r="K79" s="18"/>
      <c r="L79" s="2842">
        <f>SUM(N78:O80)</f>
        <v>0</v>
      </c>
      <c r="M79" s="2842"/>
      <c r="N79" s="3091">
        <f>D79*F79</f>
        <v>0</v>
      </c>
      <c r="O79" s="3091"/>
      <c r="P79" s="1172" t="s">
        <v>1451</v>
      </c>
      <c r="Q79" s="859" t="s">
        <v>1657</v>
      </c>
      <c r="R79" s="77"/>
      <c r="S79" s="1176">
        <f>H67/350</f>
        <v>0</v>
      </c>
      <c r="T79" s="77" t="s">
        <v>1452</v>
      </c>
      <c r="U79" s="1174">
        <f>Pricing!Q28</f>
        <v>45</v>
      </c>
      <c r="V79" s="77" t="s">
        <v>607</v>
      </c>
      <c r="W79" s="1175">
        <f t="shared" si="56"/>
        <v>0</v>
      </c>
    </row>
    <row r="80" spans="1:23" s="1254" customFormat="1" ht="18" customHeight="1">
      <c r="A80" s="77" t="s">
        <v>1320</v>
      </c>
      <c r="B80" s="77"/>
      <c r="C80" s="77"/>
      <c r="D80" s="1810">
        <f>IF(D77=0,D78,D77)</f>
        <v>0</v>
      </c>
      <c r="E80" s="77"/>
      <c r="F80" s="1811">
        <v>100</v>
      </c>
      <c r="G80" s="77"/>
      <c r="H80" s="18"/>
      <c r="I80" s="18"/>
      <c r="J80" s="18"/>
      <c r="K80" s="18"/>
      <c r="L80" s="1812"/>
      <c r="M80" s="1812"/>
      <c r="N80" s="3091">
        <f>D80*F80</f>
        <v>0</v>
      </c>
      <c r="O80" s="3091"/>
      <c r="P80" s="1172"/>
      <c r="Q80" s="859"/>
      <c r="R80" s="77"/>
      <c r="S80" s="1176"/>
      <c r="T80" s="77"/>
      <c r="U80" s="1174"/>
      <c r="V80" s="77"/>
      <c r="W80" s="1175">
        <f t="shared" si="56"/>
        <v>0</v>
      </c>
    </row>
    <row r="81" spans="1:23" s="1254" customFormat="1" ht="18" customHeight="1">
      <c r="A81" s="1595" t="s">
        <v>1321</v>
      </c>
      <c r="B81" s="1621"/>
      <c r="C81" s="1621"/>
      <c r="D81" s="1008">
        <f>D78</f>
        <v>0</v>
      </c>
      <c r="E81" s="1621" t="s">
        <v>1317</v>
      </c>
      <c r="F81" s="1813">
        <v>200</v>
      </c>
      <c r="G81" s="1621" t="s">
        <v>1450</v>
      </c>
      <c r="H81" s="976"/>
      <c r="I81" s="976"/>
      <c r="J81" s="976"/>
      <c r="K81" s="976"/>
      <c r="L81" s="2843">
        <f>IF(D40=0,0,N81/D40)</f>
        <v>0</v>
      </c>
      <c r="M81" s="2843"/>
      <c r="N81" s="2839">
        <f>D81*F81</f>
        <v>0</v>
      </c>
      <c r="O81" s="2839"/>
      <c r="P81" s="1172" t="s">
        <v>1069</v>
      </c>
      <c r="Q81" s="859" t="s">
        <v>1717</v>
      </c>
      <c r="R81" s="77"/>
      <c r="S81" s="1176">
        <f>H67/30</f>
        <v>0</v>
      </c>
      <c r="T81" s="77" t="s">
        <v>1312</v>
      </c>
      <c r="U81" s="1174">
        <v>15</v>
      </c>
      <c r="V81" s="77" t="s">
        <v>595</v>
      </c>
      <c r="W81" s="1175">
        <f t="shared" si="56"/>
        <v>0</v>
      </c>
    </row>
    <row r="82" spans="1:23" s="1254" customFormat="1" ht="18" customHeight="1">
      <c r="A82" s="3089" t="s">
        <v>1325</v>
      </c>
      <c r="B82" s="3089"/>
      <c r="C82" s="3089"/>
      <c r="D82" s="3089"/>
      <c r="E82" s="3089"/>
      <c r="F82" s="3089"/>
      <c r="G82" s="3089"/>
      <c r="H82" s="3089"/>
      <c r="I82" s="3089"/>
      <c r="J82" s="3089"/>
      <c r="K82" s="3089"/>
      <c r="L82" s="3089"/>
      <c r="M82" s="3089"/>
      <c r="N82" s="3089"/>
      <c r="O82" s="3089"/>
      <c r="P82" s="1172" t="s">
        <v>1069</v>
      </c>
      <c r="Q82" s="966" t="s">
        <v>1643</v>
      </c>
      <c r="R82" s="373"/>
      <c r="S82" s="1814">
        <f>SUM(K51:L55)/300</f>
        <v>0</v>
      </c>
      <c r="T82" s="373" t="s">
        <v>1718</v>
      </c>
      <c r="U82" s="1214">
        <v>250</v>
      </c>
      <c r="V82" s="373" t="s">
        <v>1719</v>
      </c>
      <c r="W82" s="1189">
        <f t="shared" si="56"/>
        <v>0</v>
      </c>
    </row>
    <row r="83" spans="1:23" s="1254" customFormat="1" ht="18" customHeight="1">
      <c r="A83" s="1593" t="s">
        <v>1326</v>
      </c>
      <c r="B83" s="1596"/>
      <c r="C83" s="1597"/>
      <c r="D83" s="999">
        <f>D84</f>
        <v>0</v>
      </c>
      <c r="E83" s="1802" t="s">
        <v>1327</v>
      </c>
      <c r="F83" s="1805">
        <f>Pricing!D32</f>
        <v>425</v>
      </c>
      <c r="G83" s="1802" t="s">
        <v>1450</v>
      </c>
      <c r="H83" s="983"/>
      <c r="I83" s="983"/>
      <c r="J83" s="983"/>
      <c r="K83" s="983"/>
      <c r="L83" s="983"/>
      <c r="M83" s="983"/>
      <c r="N83" s="2856">
        <f>(IF(AND(D83&gt;0,D83&lt;4),D83*F83,0)+IF(AND(D83&gt;3,D83&lt;8),F83*3,0)+IF(AND(D83&gt;7,D83&lt;21),D83/7*F83*3,0)+IF(AND(D83&gt;20,D83&lt;30),F83*9,0)+IF(D83&gt;29,D83/30*F83*9,0))*(1+V$39+I$85)</f>
        <v>0</v>
      </c>
      <c r="O83" s="2856"/>
      <c r="P83" s="1172" t="s">
        <v>1073</v>
      </c>
      <c r="Q83" s="859" t="s">
        <v>618</v>
      </c>
      <c r="R83" s="77"/>
      <c r="S83" s="1176"/>
      <c r="T83" s="77" t="s">
        <v>1452</v>
      </c>
      <c r="U83" s="1174">
        <f>Pricing!Q31</f>
        <v>27</v>
      </c>
      <c r="V83" s="77" t="s">
        <v>607</v>
      </c>
      <c r="W83" s="1175">
        <f t="shared" si="56"/>
        <v>0</v>
      </c>
    </row>
    <row r="84" spans="1:23" s="1254" customFormat="1" ht="18" customHeight="1">
      <c r="A84" s="482" t="s">
        <v>622</v>
      </c>
      <c r="B84" s="1177"/>
      <c r="C84" s="1598"/>
      <c r="D84" s="1012">
        <f>IF(D$78&gt;0,IF(D$78&lt;=3,D$78,7),0)+IF(D$78&gt;5,IF(D$78&lt;=10,7,0),0)+IF(D$78&gt;10,IF(D$78&lt;=15,14,0),0)+IF(D$78&gt;15,IF(D$78&lt;=20,23,0),0)+IF(D$78&gt;20,IF(D$78&lt;=40,53,0),0)+IF(D$78&gt;40,IF(D$78&lt;=60,83,0),0)+IF(D$78&gt;60,IF(D$78&lt;=80,113,0),0)+IF(D$78&gt;80,IF(D$78&lt;=100,143,0),0)+IF(D$78&gt;100,IF(D$78&lt;=120,163,0),0)+IF(D$78&gt;120,IF(D$78&lt;=140,193,0),0)+IF(D$78&gt;140,IF(D$78&lt;=160,223,0),0)</f>
        <v>0</v>
      </c>
      <c r="E84" s="77" t="s">
        <v>1327</v>
      </c>
      <c r="F84" s="1805">
        <f>Pricing!D33</f>
        <v>475</v>
      </c>
      <c r="G84" s="77" t="s">
        <v>1450</v>
      </c>
      <c r="H84" s="18"/>
      <c r="I84" s="2977" t="s">
        <v>1329</v>
      </c>
      <c r="J84" s="2977"/>
      <c r="K84" s="18"/>
      <c r="L84" s="2841">
        <f>IF(D40=0,0,(SUM(N83:O88))/D40)</f>
        <v>0</v>
      </c>
      <c r="M84" s="2841"/>
      <c r="N84" s="3091">
        <f>(IF(AND(D84&gt;0,D84&lt;4),D84*F84,0)+IF(AND(D84&gt;3,D84&lt;8),F84*3,0)+IF(AND(D84&gt;7,D84&lt;21),D84/7*F84*3,0)+IF(AND(D84&gt;20,D84&lt;30),F84*9,0)+IF(D84&gt;29,D84/30*F84*9,0))*(1+V$39+I$85)</f>
        <v>0</v>
      </c>
      <c r="O84" s="3091"/>
      <c r="P84" s="1172" t="s">
        <v>1073</v>
      </c>
      <c r="Q84" s="859" t="s">
        <v>1457</v>
      </c>
      <c r="R84" s="77"/>
      <c r="S84" s="1176">
        <v>0</v>
      </c>
      <c r="T84" s="77" t="s">
        <v>1511</v>
      </c>
      <c r="U84" s="1174">
        <f>Pricing!Q32</f>
        <v>1.25</v>
      </c>
      <c r="V84" s="77" t="s">
        <v>1417</v>
      </c>
      <c r="W84" s="1175">
        <f>U84*S84</f>
        <v>0</v>
      </c>
    </row>
    <row r="85" spans="1:23" s="1254" customFormat="1" ht="18" customHeight="1">
      <c r="A85" s="482" t="s">
        <v>626</v>
      </c>
      <c r="B85" s="1177"/>
      <c r="C85" s="1598"/>
      <c r="D85" s="1012">
        <f>IF(D$78&gt;0,IF(D$78&lt;=3,D$78,7),0)+IF(D$78&gt;5,IF(D$78&lt;=10,7,0),0)+IF(D$78&gt;10,IF(D$78&lt;=15,14,0),0)+IF(D$78&gt;15,IF(D$78&lt;=20,23,0),0)+IF(D$78&gt;20,IF(D$78&lt;=40,53,0),0)+IF(D$78&gt;40,IF(D$78&lt;=60,83,0),0)+IF(D$78&gt;60,IF(D$78&lt;=80,113,0),0)+IF(D$78&gt;80,IF(D$78&lt;=100,143,0),0)+IF(D$78&gt;100,IF(D$78&lt;=120,163,0),0)+IF(D$78&gt;120,IF(D$78&lt;=140,193,0),0)+IF(D$78&gt;140,IF(D$78&lt;=160,223,0),0)</f>
        <v>0</v>
      </c>
      <c r="E85" s="77" t="s">
        <v>1327</v>
      </c>
      <c r="F85" s="1808">
        <v>275</v>
      </c>
      <c r="G85" s="77" t="s">
        <v>1450</v>
      </c>
      <c r="H85" s="18"/>
      <c r="I85" s="3092">
        <v>0.5</v>
      </c>
      <c r="J85" s="3092"/>
      <c r="K85" s="18"/>
      <c r="L85" s="2842">
        <f>SUM(N83:O88)</f>
        <v>0</v>
      </c>
      <c r="M85" s="2842"/>
      <c r="N85" s="3091">
        <f>(IF(AND(D85&gt;0,D85&lt;4),D85*F85,0)+IF(AND(D85&gt;3,D85&lt;8),F85*3,0)+IF(AND(D85&gt;7,D85&lt;21),D85/7*F85*3,0)+IF(AND(D85&gt;20,D85&lt;30),F85*9,0)+IF(D85&gt;29,D85/30*F85*9,0))*(1+V$39+I$85)</f>
        <v>0</v>
      </c>
      <c r="O85" s="3091"/>
      <c r="P85" s="1172" t="s">
        <v>1073</v>
      </c>
      <c r="Q85" s="1208" t="s">
        <v>554</v>
      </c>
      <c r="R85" s="1209"/>
      <c r="S85" s="1210">
        <f>K56</f>
        <v>0</v>
      </c>
      <c r="T85" s="1209" t="s">
        <v>1288</v>
      </c>
      <c r="U85" s="1211">
        <v>0.04</v>
      </c>
      <c r="V85" s="1209" t="s">
        <v>555</v>
      </c>
      <c r="W85" s="1189">
        <f>U85*S85</f>
        <v>0</v>
      </c>
    </row>
    <row r="86" spans="1:23" s="1254" customFormat="1" ht="18" customHeight="1">
      <c r="A86" s="482" t="s">
        <v>1332</v>
      </c>
      <c r="B86" s="1177"/>
      <c r="C86" s="1598"/>
      <c r="D86" s="1012">
        <f>IF(D$78&gt;0,IF(D$78&lt;=3,D$78,7),0)+IF(D$78&gt;5,IF(D$78&lt;=10,7,0),0)+IF(D$78&gt;10,IF(D$78&lt;=15,14,0),0)+IF(D$78&gt;15,IF(D$78&lt;=20,23,0),0)+IF(D$78&gt;20,IF(D$78&lt;=40,53,0),0)+IF(D$78&gt;40,IF(D$78&lt;=60,83,0),0)+IF(D$78&gt;60,IF(D$78&lt;=80,113,0),0)+IF(D$78&gt;80,IF(D$78&lt;=100,143,0),0)+IF(D$78&gt;100,IF(D$78&lt;=120,163,0),0)+IF(D$78&gt;120,IF(D$78&lt;=140,193,0),0)+IF(D$78&gt;140,IF(D$78&lt;=160,223,0),0)</f>
        <v>0</v>
      </c>
      <c r="E86" s="77" t="s">
        <v>1327</v>
      </c>
      <c r="F86" s="1808">
        <f>Pricing!D39</f>
        <v>100</v>
      </c>
      <c r="G86" s="77" t="s">
        <v>1450</v>
      </c>
      <c r="H86" s="18"/>
      <c r="I86" s="3092"/>
      <c r="J86" s="3092"/>
      <c r="K86" s="18"/>
      <c r="L86" s="18"/>
      <c r="M86" s="18"/>
      <c r="N86" s="2859">
        <f>(IF(AND(D86&gt;0,D86&lt;4),D86*F86,0)+IF(AND(D86&gt;3,D86&lt;8),F86*3,0)+IF(AND(D86&gt;7,D86&lt;21),D86/7*F86*3,0)+IF(AND(D86&gt;20,D86&lt;30),F86*9,0)+IF(D86&gt;29,D86/30*F86*9,0))*(1+V$39+I$85)</f>
        <v>0</v>
      </c>
      <c r="O86" s="2859"/>
      <c r="P86" s="1172" t="s">
        <v>1078</v>
      </c>
      <c r="Q86" s="859" t="s">
        <v>1105</v>
      </c>
      <c r="R86" s="77"/>
      <c r="S86" s="1176"/>
      <c r="T86" s="77"/>
      <c r="U86" s="1174"/>
      <c r="V86" s="77"/>
      <c r="W86" s="1175">
        <v>0</v>
      </c>
    </row>
    <row r="87" spans="1:23" s="1254" customFormat="1" ht="18" customHeight="1">
      <c r="A87" s="482" t="s">
        <v>1333</v>
      </c>
      <c r="B87" s="1177"/>
      <c r="C87" s="1598"/>
      <c r="D87" s="1012">
        <f>IF(D$78&gt;0,IF(D$78&lt;=3,D$78,7),0)+IF(D$78&gt;5,IF(D$78&lt;=10,7,0),0)+IF(D$78&gt;10,IF(D$78&lt;=15,14,0),0)+IF(D$78&gt;15,IF(D$78&lt;=20,23,0),0)+IF(D$78&gt;20,IF(D$78&lt;=40,53,0),0)+IF(D$78&gt;40,IF(D$78&lt;=60,83,0),0)+IF(D$78&gt;60,IF(D$78&lt;=80,113,0),0)+IF(D$78&gt;80,IF(D$78&lt;=100,143,0),0)+IF(D$78&gt;100,IF(D$78&lt;=120,163,0),0)+IF(D$78&gt;120,IF(D$78&lt;=140,193,0),0)+IF(D$78&gt;140,IF(D$78&lt;=160,223,0),0)</f>
        <v>0</v>
      </c>
      <c r="E87" s="77" t="s">
        <v>1327</v>
      </c>
      <c r="F87" s="1808">
        <v>50</v>
      </c>
      <c r="G87" s="77" t="s">
        <v>1450</v>
      </c>
      <c r="H87" s="18"/>
      <c r="I87" s="18"/>
      <c r="J87" s="18"/>
      <c r="K87" s="18"/>
      <c r="L87" s="18"/>
      <c r="M87" s="18"/>
      <c r="N87" s="2859">
        <f>(IF(AND(D87&gt;0,D87&lt;4),D87*F87,0)+IF(AND(D87&gt;3,D87&lt;8),F87*3,0)+IF(AND(D87&gt;7,D87&lt;21),D87/7*F87*3,0)+IF(AND(D87&gt;20,D87&lt;30),F87*9,0)+IF(D87&gt;29,D87/30*F87*9,0))*(1+V$39+I$85)</f>
        <v>0</v>
      </c>
      <c r="O87" s="2859"/>
      <c r="P87" s="1172" t="s">
        <v>1328</v>
      </c>
      <c r="Q87" s="859" t="s">
        <v>1105</v>
      </c>
      <c r="R87" s="77"/>
      <c r="S87" s="1176"/>
      <c r="T87" s="77"/>
      <c r="U87" s="1174"/>
      <c r="V87" s="77"/>
      <c r="W87" s="1175">
        <v>0</v>
      </c>
    </row>
    <row r="88" spans="1:23" s="1254" customFormat="1" ht="18" customHeight="1">
      <c r="A88" s="1595" t="s">
        <v>1067</v>
      </c>
      <c r="B88" s="1599"/>
      <c r="C88" s="1600"/>
      <c r="D88" s="1815">
        <f>IF(D$78&gt;0,IF(D$78&lt;=3,D$78,7),0)+IF(D$78&gt;5,IF(D$78&lt;=10,7,0),0)+IF(D$78&gt;10,IF(D$78&lt;=15,14,0),0)+IF(D$78&gt;15,IF(D$78&lt;=20,23,0),0)+IF(D$78&gt;20,IF(D$78&lt;=40,53,0),0)+IF(D$78&gt;40,IF(D$78&lt;=60,83,0),0)+IF(D$78&gt;60,IF(D$78&lt;=80,113,0),0)+IF(D$78&gt;80,IF(D$78&lt;=100,143,0),0)+IF(D$78&gt;100,IF(D$78&lt;=120,163,0),0)+IF(D$78&gt;120,IF(D$78&lt;=140,193,0),0)+IF(D$78&gt;140,IF(D$78&lt;=160,223,0),0)</f>
        <v>0</v>
      </c>
      <c r="E88" s="1621" t="s">
        <v>1327</v>
      </c>
      <c r="F88" s="1813">
        <v>35</v>
      </c>
      <c r="G88" s="1621" t="s">
        <v>1450</v>
      </c>
      <c r="H88" s="976"/>
      <c r="I88" s="976"/>
      <c r="J88" s="976"/>
      <c r="K88" s="976"/>
      <c r="L88" s="1021"/>
      <c r="M88" s="976"/>
      <c r="N88" s="2839">
        <f>(IF(AND(D88&gt;0,D88&lt;4),D88*F88,0)+IF(AND(D88&gt;3,D88&lt;8),F88*3,0)+IF(AND(D88&gt;7,D88&lt;21),D88/7*F88*3,0)+IF(AND(D88&gt;20,D88&lt;30),F88*9,0)+IF(D88&gt;29,D88/30*F88*9,0))</f>
        <v>0</v>
      </c>
      <c r="O88" s="2839"/>
      <c r="P88" s="1172" t="s">
        <v>1330</v>
      </c>
      <c r="Q88" s="1208" t="s">
        <v>1108</v>
      </c>
      <c r="R88" s="1209"/>
      <c r="S88" s="1210"/>
      <c r="T88" s="1209"/>
      <c r="U88" s="1211"/>
      <c r="V88" s="1209"/>
      <c r="W88" s="1189">
        <v>0</v>
      </c>
    </row>
    <row r="89" spans="1:23" s="1254" customFormat="1" ht="18" customHeight="1">
      <c r="A89" s="3089" t="s">
        <v>1336</v>
      </c>
      <c r="B89" s="3089"/>
      <c r="C89" s="3089"/>
      <c r="D89" s="3089"/>
      <c r="E89" s="3089"/>
      <c r="F89" s="3089"/>
      <c r="G89" s="3089"/>
      <c r="H89" s="3089"/>
      <c r="I89" s="3089"/>
      <c r="J89" s="3089"/>
      <c r="K89" s="3089"/>
      <c r="L89" s="3089"/>
      <c r="M89" s="3089"/>
      <c r="N89" s="3089"/>
      <c r="O89" s="3089"/>
      <c r="P89" s="1172" t="s">
        <v>1342</v>
      </c>
      <c r="Q89" s="574"/>
      <c r="R89" s="18"/>
      <c r="S89" s="959"/>
      <c r="T89" s="18"/>
      <c r="U89" s="861"/>
      <c r="V89" s="18"/>
      <c r="W89" s="1797"/>
    </row>
    <row r="90" spans="1:23" s="1254" customFormat="1" ht="18" customHeight="1">
      <c r="A90" s="1593" t="s">
        <v>1458</v>
      </c>
      <c r="B90" s="1816"/>
      <c r="C90" s="1817"/>
      <c r="D90" s="1818"/>
      <c r="E90" s="1597" t="s">
        <v>998</v>
      </c>
      <c r="F90" s="1228">
        <v>16</v>
      </c>
      <c r="G90" s="1802" t="s">
        <v>1285</v>
      </c>
      <c r="H90" s="983"/>
      <c r="I90" s="983"/>
      <c r="J90" s="983"/>
      <c r="K90" s="983"/>
      <c r="L90" s="983"/>
      <c r="M90" s="983"/>
      <c r="N90" s="2856">
        <f t="shared" ref="N90:N95" si="57">D90*F90</f>
        <v>0</v>
      </c>
      <c r="O90" s="2856"/>
      <c r="P90" s="1172" t="s">
        <v>1342</v>
      </c>
      <c r="Q90" s="574" t="s">
        <v>646</v>
      </c>
      <c r="R90" s="18"/>
      <c r="S90" s="959">
        <f>ROUNDUP(H67/300/55,0)</f>
        <v>0</v>
      </c>
      <c r="T90" s="18" t="s">
        <v>1720</v>
      </c>
      <c r="U90" s="861">
        <f>Pricing!Q44</f>
        <v>567.5</v>
      </c>
      <c r="V90" s="18" t="s">
        <v>647</v>
      </c>
      <c r="W90" s="1175">
        <f>U90*S90</f>
        <v>0</v>
      </c>
    </row>
    <row r="91" spans="1:23" s="1254" customFormat="1" ht="18" customHeight="1">
      <c r="A91" s="482" t="s">
        <v>1721</v>
      </c>
      <c r="B91" s="503"/>
      <c r="C91" s="834"/>
      <c r="D91" s="1819">
        <v>0</v>
      </c>
      <c r="E91" s="77" t="s">
        <v>1418</v>
      </c>
      <c r="F91" s="1197">
        <v>5.25</v>
      </c>
      <c r="G91" s="77" t="s">
        <v>600</v>
      </c>
      <c r="H91" s="18"/>
      <c r="I91" s="18"/>
      <c r="J91" s="18"/>
      <c r="K91" s="18"/>
      <c r="L91" s="18"/>
      <c r="M91" s="18"/>
      <c r="N91" s="2859">
        <f t="shared" si="57"/>
        <v>0</v>
      </c>
      <c r="O91" s="2859"/>
      <c r="P91" s="1172" t="s">
        <v>1342</v>
      </c>
      <c r="Q91" s="966" t="s">
        <v>649</v>
      </c>
      <c r="R91" s="373"/>
      <c r="S91" s="1005">
        <f>BN66</f>
        <v>0</v>
      </c>
      <c r="T91" s="373" t="s">
        <v>1720</v>
      </c>
      <c r="U91" s="1006">
        <f>Pricing!Q45</f>
        <v>542</v>
      </c>
      <c r="V91" s="373" t="s">
        <v>647</v>
      </c>
      <c r="W91" s="1189">
        <f>U91*S91</f>
        <v>0</v>
      </c>
    </row>
    <row r="92" spans="1:23" s="1254" customFormat="1" ht="18" customHeight="1">
      <c r="A92" s="482" t="s">
        <v>1462</v>
      </c>
      <c r="B92" s="503"/>
      <c r="C92" s="834"/>
      <c r="D92" s="1819"/>
      <c r="E92" s="1807" t="s">
        <v>1341</v>
      </c>
      <c r="F92" s="1197">
        <v>0.25</v>
      </c>
      <c r="G92" s="77" t="s">
        <v>1341</v>
      </c>
      <c r="H92" s="18"/>
      <c r="I92" s="18"/>
      <c r="J92" s="18"/>
      <c r="K92" s="18"/>
      <c r="L92" s="18"/>
      <c r="M92" s="18"/>
      <c r="N92" s="2859">
        <f t="shared" si="57"/>
        <v>0</v>
      </c>
      <c r="O92" s="2859"/>
      <c r="P92" s="1172"/>
      <c r="Q92" s="574"/>
      <c r="R92" s="18"/>
      <c r="S92" s="18"/>
      <c r="T92" s="18"/>
      <c r="U92" s="844"/>
      <c r="V92" s="18"/>
      <c r="W92" s="1037"/>
    </row>
    <row r="93" spans="1:23" s="1254" customFormat="1" ht="18" customHeight="1">
      <c r="A93" s="1820" t="s">
        <v>1067</v>
      </c>
      <c r="B93" s="1821"/>
      <c r="C93" s="1822"/>
      <c r="D93" s="1823"/>
      <c r="E93" s="1824" t="s">
        <v>1000</v>
      </c>
      <c r="F93" s="1825">
        <v>1000</v>
      </c>
      <c r="G93" s="1826" t="s">
        <v>1624</v>
      </c>
      <c r="H93" s="18"/>
      <c r="I93" s="18"/>
      <c r="J93" s="18"/>
      <c r="K93" s="18"/>
      <c r="L93" s="18"/>
      <c r="M93" s="163"/>
      <c r="N93" s="2859">
        <f t="shared" si="57"/>
        <v>0</v>
      </c>
      <c r="O93" s="2859"/>
      <c r="P93" s="1172"/>
      <c r="Q93" s="1041" t="s">
        <v>1349</v>
      </c>
      <c r="R93" s="7"/>
      <c r="S93" s="919">
        <v>18</v>
      </c>
      <c r="T93" s="919" t="s">
        <v>1350</v>
      </c>
      <c r="U93" s="18"/>
      <c r="V93" s="18"/>
      <c r="W93" s="1042"/>
    </row>
    <row r="94" spans="1:23" s="1254" customFormat="1" ht="18" customHeight="1">
      <c r="A94" s="482" t="s">
        <v>1234</v>
      </c>
      <c r="B94" s="503"/>
      <c r="C94" s="834"/>
      <c r="D94" s="1819"/>
      <c r="E94" s="1174" t="s">
        <v>1285</v>
      </c>
      <c r="F94" s="1197">
        <v>6</v>
      </c>
      <c r="G94" s="77" t="s">
        <v>1285</v>
      </c>
      <c r="H94" s="18"/>
      <c r="I94" s="18"/>
      <c r="J94" s="18"/>
      <c r="K94" s="18"/>
      <c r="L94" s="18"/>
      <c r="M94" s="163"/>
      <c r="N94" s="2859">
        <f t="shared" si="57"/>
        <v>0</v>
      </c>
      <c r="O94" s="2859"/>
      <c r="P94" s="1172" t="s">
        <v>1072</v>
      </c>
      <c r="Q94" s="577" t="s">
        <v>1353</v>
      </c>
      <c r="R94" s="976"/>
      <c r="S94" s="976">
        <f>S64*12/S93</f>
        <v>0</v>
      </c>
      <c r="T94" s="976" t="s">
        <v>1354</v>
      </c>
      <c r="U94" s="1050">
        <f>Pricing!D30</f>
        <v>1</v>
      </c>
      <c r="V94" s="1050"/>
      <c r="W94" s="1827">
        <f>U94*S94</f>
        <v>0</v>
      </c>
    </row>
    <row r="95" spans="1:23" s="1254" customFormat="1" ht="18" customHeight="1">
      <c r="A95" s="1595" t="s">
        <v>1346</v>
      </c>
      <c r="B95" s="1441"/>
      <c r="C95" s="1445"/>
      <c r="D95" s="1828"/>
      <c r="E95" s="1829" t="s">
        <v>1347</v>
      </c>
      <c r="F95" s="1830">
        <v>200</v>
      </c>
      <c r="G95" s="1621" t="s">
        <v>620</v>
      </c>
      <c r="H95" s="976"/>
      <c r="I95" s="976"/>
      <c r="J95" s="976"/>
      <c r="K95" s="976"/>
      <c r="L95" s="976"/>
      <c r="M95" s="976"/>
      <c r="N95" s="2839">
        <f t="shared" si="57"/>
        <v>0</v>
      </c>
      <c r="O95" s="2839"/>
      <c r="P95" s="626"/>
      <c r="Q95" s="626"/>
      <c r="R95" s="626"/>
      <c r="S95" s="626"/>
      <c r="T95" s="626"/>
      <c r="U95" s="626"/>
      <c r="V95" s="626"/>
      <c r="W95" s="1236">
        <f>SUM(W52:W94)</f>
        <v>0</v>
      </c>
    </row>
    <row r="96" spans="1:23" s="1254" customFormat="1" ht="18" customHeight="1">
      <c r="A96" s="3029" t="s">
        <v>1191</v>
      </c>
      <c r="B96" s="3029"/>
      <c r="C96" s="3029"/>
      <c r="D96" s="1237">
        <f>Summary!P60</f>
        <v>0</v>
      </c>
      <c r="E96" s="1238" t="s">
        <v>1465</v>
      </c>
      <c r="F96" s="1831">
        <f>(SUM(N51:O64)+SUM(N66:O75)+SUM(K66:L75)+SUM(N78:O81)+SUM(N83:O88)+SUM(N90:O95))*D96</f>
        <v>0</v>
      </c>
      <c r="G96" s="1240" t="s">
        <v>1039</v>
      </c>
      <c r="H96" s="1240"/>
      <c r="I96" s="1240"/>
      <c r="J96" s="1240"/>
      <c r="K96" s="1240"/>
      <c r="L96" s="1240"/>
      <c r="M96" s="1240"/>
      <c r="N96" s="3030">
        <f>F96</f>
        <v>0</v>
      </c>
      <c r="O96" s="3030"/>
      <c r="P96" s="626"/>
      <c r="Q96" s="626"/>
      <c r="R96" s="626"/>
      <c r="S96" s="626"/>
      <c r="T96" s="626"/>
      <c r="U96" s="626"/>
      <c r="V96" s="626"/>
      <c r="W96" s="626"/>
    </row>
    <row r="97" spans="1:23" s="1254" customFormat="1" ht="18" customHeight="1">
      <c r="A97" s="888"/>
      <c r="B97" s="889"/>
      <c r="C97" s="889"/>
      <c r="D97" s="889"/>
      <c r="E97" s="889"/>
      <c r="F97" s="889"/>
      <c r="G97" s="889"/>
      <c r="H97" s="889"/>
      <c r="I97" s="889"/>
      <c r="J97" s="889"/>
      <c r="K97" s="891"/>
      <c r="L97" s="889"/>
      <c r="M97" s="889"/>
      <c r="N97" s="889"/>
      <c r="O97" s="889"/>
      <c r="P97" s="889"/>
      <c r="Q97" s="889"/>
      <c r="R97" s="889"/>
      <c r="S97" s="889"/>
      <c r="T97" s="889"/>
      <c r="U97" s="889"/>
      <c r="V97" s="889"/>
      <c r="W97" s="894"/>
    </row>
    <row r="98" spans="1:23" s="1254" customFormat="1" ht="18" customHeight="1">
      <c r="A98" s="1476" t="s">
        <v>1262</v>
      </c>
      <c r="B98" s="1477"/>
      <c r="C98" s="1478"/>
      <c r="D98" s="1476" t="s">
        <v>982</v>
      </c>
      <c r="E98" s="1478"/>
      <c r="F98" s="1476" t="s">
        <v>1263</v>
      </c>
      <c r="G98" s="1477"/>
      <c r="H98" s="1478"/>
      <c r="I98" s="1054" t="s">
        <v>1264</v>
      </c>
      <c r="J98" s="1055"/>
      <c r="K98" s="1056"/>
      <c r="L98" s="1057" t="s">
        <v>1265</v>
      </c>
      <c r="M98" s="1058"/>
      <c r="N98" s="1058"/>
      <c r="O98" s="1059"/>
      <c r="P98" s="895"/>
      <c r="Q98" s="574" t="s">
        <v>1266</v>
      </c>
      <c r="R98" s="18"/>
      <c r="S98" s="18" t="s">
        <v>1267</v>
      </c>
      <c r="T98" s="1060" t="str">
        <f>T39</f>
        <v>N</v>
      </c>
      <c r="U98" s="793" t="s">
        <v>1268</v>
      </c>
      <c r="V98" s="1242">
        <f>V39</f>
        <v>8.2500000000000004E-2</v>
      </c>
      <c r="W98" s="898"/>
    </row>
    <row r="99" spans="1:23" s="1254" customFormat="1" ht="18" customHeight="1">
      <c r="A99" s="899" t="s">
        <v>1269</v>
      </c>
      <c r="B99" s="2865">
        <f>B40</f>
        <v>0</v>
      </c>
      <c r="C99" s="2865"/>
      <c r="D99" s="2866">
        <f>D40</f>
        <v>0</v>
      </c>
      <c r="E99" s="2866"/>
      <c r="F99" s="901">
        <f>F40</f>
        <v>0</v>
      </c>
      <c r="G99" s="2867">
        <f>G40</f>
        <v>0</v>
      </c>
      <c r="H99" s="2867"/>
      <c r="I99" s="1485">
        <f>I40</f>
        <v>0</v>
      </c>
      <c r="J99" s="1486"/>
      <c r="K99" s="1487"/>
      <c r="L99" s="3031">
        <f>L40</f>
        <v>0.18</v>
      </c>
      <c r="M99" s="3031"/>
      <c r="N99" s="3031"/>
      <c r="O99" s="3031"/>
      <c r="P99" s="1137"/>
      <c r="Q99" s="902" t="s">
        <v>980</v>
      </c>
      <c r="R99" s="18"/>
      <c r="S99" s="18"/>
      <c r="T99" s="2942">
        <f>S40</f>
        <v>0</v>
      </c>
      <c r="U99" s="2942"/>
      <c r="V99" s="18"/>
      <c r="W99" s="898"/>
    </row>
    <row r="100" spans="1:23" s="1254" customFormat="1" ht="18" customHeight="1">
      <c r="A100" s="909"/>
      <c r="B100" s="905"/>
      <c r="C100" s="905"/>
      <c r="D100" s="905"/>
      <c r="E100" s="905"/>
      <c r="F100" s="905"/>
      <c r="G100" s="905"/>
      <c r="H100" s="905"/>
      <c r="I100" s="905"/>
      <c r="J100" s="905"/>
      <c r="K100" s="905"/>
      <c r="L100" s="905"/>
      <c r="M100" s="905"/>
      <c r="N100" s="905"/>
      <c r="O100" s="905"/>
      <c r="P100" s="905"/>
      <c r="Q100" s="905"/>
      <c r="R100" s="905"/>
      <c r="S100" s="905"/>
      <c r="T100" s="905"/>
      <c r="U100" s="905"/>
      <c r="V100" s="905"/>
      <c r="W100" s="913"/>
    </row>
    <row r="101" spans="1:23" s="1254" customFormat="1">
      <c r="A101" s="626"/>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row>
    <row r="102" spans="1:23" s="1254" customFormat="1">
      <c r="A102" s="626"/>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row>
    <row r="103" spans="1:23" s="1254" customFormat="1" ht="15.45">
      <c r="A103" s="684" t="s">
        <v>1055</v>
      </c>
      <c r="B103" s="1243" t="s">
        <v>853</v>
      </c>
      <c r="C103" s="686"/>
      <c r="D103" s="689">
        <f>D104-T99</f>
        <v>0</v>
      </c>
      <c r="E103" s="626"/>
      <c r="F103" s="626"/>
      <c r="G103" s="626"/>
      <c r="H103" s="626"/>
      <c r="I103" s="626"/>
      <c r="J103" s="626"/>
      <c r="K103" s="626"/>
      <c r="L103" s="626"/>
      <c r="M103" s="626"/>
      <c r="N103" s="626"/>
      <c r="O103" s="626"/>
      <c r="P103" s="626"/>
      <c r="Q103" s="626"/>
      <c r="R103" s="626"/>
      <c r="S103" s="626"/>
    </row>
    <row r="104" spans="1:23" s="1254" customFormat="1">
      <c r="A104" s="700" t="s">
        <v>1070</v>
      </c>
      <c r="B104" s="702"/>
      <c r="C104" s="702"/>
      <c r="D104" s="703">
        <f>SUM(D105:D161)-D137-D147</f>
        <v>0</v>
      </c>
      <c r="E104" s="626"/>
      <c r="F104" s="626"/>
      <c r="G104" s="626"/>
      <c r="H104" s="626"/>
      <c r="I104" s="626"/>
      <c r="J104" s="626"/>
      <c r="K104" s="626"/>
      <c r="L104" s="626"/>
      <c r="M104" s="626"/>
      <c r="N104" s="626"/>
      <c r="O104" s="626"/>
      <c r="P104" s="626"/>
      <c r="Q104" s="626"/>
      <c r="R104" s="626"/>
      <c r="S104" s="626"/>
    </row>
    <row r="105" spans="1:23">
      <c r="A105" s="1244">
        <f>Summary!P74</f>
        <v>40001</v>
      </c>
      <c r="B105" s="707" t="str">
        <f>Summary!Q74</f>
        <v>General Requirements</v>
      </c>
      <c r="C105" s="296"/>
      <c r="D105" s="708">
        <f>SUM(L100:M102)</f>
        <v>0</v>
      </c>
    </row>
    <row r="106" spans="1:23">
      <c r="A106" s="1244">
        <f>Summary!P75</f>
        <v>40002</v>
      </c>
      <c r="B106" s="707" t="str">
        <f>Summary!Q75</f>
        <v>Lumber</v>
      </c>
      <c r="C106" s="296"/>
      <c r="D106" s="717">
        <f>SUM(W51:W76)+W77+W78+W79+W81+W82</f>
        <v>0</v>
      </c>
    </row>
    <row r="107" spans="1:23">
      <c r="A107" s="1244">
        <f>Summary!P76</f>
        <v>40003</v>
      </c>
      <c r="B107" s="707" t="str">
        <f>Summary!Q76</f>
        <v>Sand Material</v>
      </c>
      <c r="C107" s="296"/>
      <c r="D107" s="717">
        <f>N59</f>
        <v>0</v>
      </c>
    </row>
    <row r="108" spans="1:23">
      <c r="A108" s="1244">
        <f>Summary!P77</f>
        <v>40004</v>
      </c>
      <c r="B108" s="707" t="str">
        <f>Summary!Q77</f>
        <v>Rock Material</v>
      </c>
      <c r="C108" s="296"/>
      <c r="D108" s="717">
        <f>N60</f>
        <v>0</v>
      </c>
    </row>
    <row r="109" spans="1:23">
      <c r="A109" s="1244">
        <f>Summary!P78</f>
        <v>40005</v>
      </c>
      <c r="B109" s="707" t="str">
        <f>Summary!Q78</f>
        <v>Reinforcement Material</v>
      </c>
      <c r="C109" s="296"/>
      <c r="D109" s="717">
        <f>N56+N57</f>
        <v>0</v>
      </c>
    </row>
    <row r="110" spans="1:23">
      <c r="A110" s="1244">
        <f>Summary!P79</f>
        <v>40006</v>
      </c>
      <c r="B110" s="707" t="str">
        <f>Summary!Q79</f>
        <v>Reinforcement Accessories</v>
      </c>
      <c r="C110" s="296"/>
      <c r="D110" s="717">
        <f>SUM(W83:DA85)+W94</f>
        <v>0</v>
      </c>
    </row>
    <row r="111" spans="1:23">
      <c r="A111" s="1244">
        <f>Summary!P80</f>
        <v>40007</v>
      </c>
      <c r="B111" s="707" t="str">
        <f>Summary!Q80</f>
        <v>PT Cables</v>
      </c>
      <c r="C111" s="296"/>
      <c r="D111" s="717">
        <f>N58</f>
        <v>0</v>
      </c>
    </row>
    <row r="112" spans="1:23">
      <c r="A112" s="1244">
        <f>Summary!P81</f>
        <v>40008</v>
      </c>
      <c r="B112" s="707" t="str">
        <f>Summary!Q81</f>
        <v>Concrete Material</v>
      </c>
      <c r="C112" s="296"/>
      <c r="D112" s="717">
        <f>SUM(N51:O55)</f>
        <v>0</v>
      </c>
    </row>
    <row r="113" spans="1:4">
      <c r="A113" s="1244">
        <f>Summary!P82</f>
        <v>40009</v>
      </c>
      <c r="B113" s="707" t="str">
        <f>Summary!Q82</f>
        <v>Carton Forms</v>
      </c>
      <c r="C113" s="296"/>
      <c r="D113" s="717">
        <f>SUM(N61:O63)</f>
        <v>0</v>
      </c>
    </row>
    <row r="114" spans="1:4">
      <c r="A114" s="1244">
        <f>Summary!P83</f>
        <v>40010</v>
      </c>
      <c r="B114" s="707" t="str">
        <f>Summary!Q83</f>
        <v>Cure/Sealers</v>
      </c>
      <c r="C114" s="296"/>
      <c r="D114" s="717">
        <f>SUM(W89:W91)</f>
        <v>0</v>
      </c>
    </row>
    <row r="115" spans="1:4">
      <c r="A115" s="1244">
        <f>Summary!P84</f>
        <v>40011</v>
      </c>
      <c r="B115" s="707" t="str">
        <f>Summary!Q84</f>
        <v>Patch/Grout</v>
      </c>
      <c r="C115" s="296"/>
      <c r="D115" s="717"/>
    </row>
    <row r="116" spans="1:4">
      <c r="A116" s="1244">
        <f>Summary!P85</f>
        <v>40012</v>
      </c>
      <c r="B116" s="707" t="str">
        <f>Summary!Q85</f>
        <v>Poly/Vapor Barrier</v>
      </c>
      <c r="C116" s="296"/>
      <c r="D116" s="717"/>
    </row>
    <row r="117" spans="1:4">
      <c r="A117" s="1244">
        <f>Summary!P86</f>
        <v>40013</v>
      </c>
      <c r="B117" s="707" t="s">
        <v>1105</v>
      </c>
      <c r="C117" s="296"/>
      <c r="D117" s="717">
        <f>W86</f>
        <v>0</v>
      </c>
    </row>
    <row r="118" spans="1:4">
      <c r="A118" s="1244">
        <f>Summary!P87</f>
        <v>40014</v>
      </c>
      <c r="B118" s="707" t="s">
        <v>1105</v>
      </c>
      <c r="C118" s="296"/>
      <c r="D118" s="717">
        <f>W87</f>
        <v>0</v>
      </c>
    </row>
    <row r="119" spans="1:4">
      <c r="A119" s="1244">
        <f>Summary!P88</f>
        <v>40015</v>
      </c>
      <c r="B119" s="707" t="s">
        <v>1108</v>
      </c>
      <c r="C119" s="296"/>
      <c r="D119" s="717">
        <f>W88</f>
        <v>0</v>
      </c>
    </row>
    <row r="120" spans="1:4">
      <c r="A120" s="1244">
        <f>Summary!P89</f>
        <v>40020</v>
      </c>
      <c r="B120" s="707" t="str">
        <f>Summary!Q89</f>
        <v>Supervision</v>
      </c>
      <c r="C120" s="296"/>
      <c r="D120" s="717">
        <f>SUM(N78:O79)</f>
        <v>0</v>
      </c>
    </row>
    <row r="121" spans="1:4">
      <c r="A121" s="1244">
        <f>Summary!P90</f>
        <v>40021</v>
      </c>
      <c r="B121" s="707" t="str">
        <f>Summary!Q90</f>
        <v>Supervision Expense</v>
      </c>
      <c r="C121" s="296"/>
      <c r="D121" s="717">
        <f>SUM(N80)</f>
        <v>0</v>
      </c>
    </row>
    <row r="122" spans="1:4">
      <c r="A122" s="1244">
        <f>Summary!P91</f>
        <v>40022</v>
      </c>
      <c r="B122" s="707" t="str">
        <f>Summary!Q91</f>
        <v>Project Management</v>
      </c>
      <c r="C122" s="296"/>
      <c r="D122" s="717">
        <f>N81</f>
        <v>0</v>
      </c>
    </row>
    <row r="123" spans="1:4">
      <c r="A123" s="1244">
        <f>Summary!P92</f>
        <v>40023</v>
      </c>
      <c r="B123" s="707" t="str">
        <f>Summary!Q92</f>
        <v>Labor Grade, Poly, Reinf.</v>
      </c>
      <c r="C123" s="296"/>
      <c r="D123" s="717">
        <f>K66</f>
        <v>0</v>
      </c>
    </row>
    <row r="124" spans="1:4">
      <c r="A124" s="1244">
        <f>Summary!P93</f>
        <v>40024</v>
      </c>
      <c r="B124" s="707" t="str">
        <f>Summary!Q93</f>
        <v>Labor Place &amp; Finish</v>
      </c>
      <c r="C124" s="296"/>
      <c r="D124" s="1245">
        <f>K68</f>
        <v>0</v>
      </c>
    </row>
    <row r="125" spans="1:4">
      <c r="A125" s="1244">
        <f>Summary!P94</f>
        <v>40025</v>
      </c>
      <c r="B125" s="707" t="str">
        <f>Summary!Q94</f>
        <v>Labor Drops</v>
      </c>
      <c r="C125" s="296"/>
      <c r="D125" s="717">
        <f>K70</f>
        <v>0</v>
      </c>
    </row>
    <row r="126" spans="1:4">
      <c r="A126" s="1244">
        <f>Summary!P95</f>
        <v>40026</v>
      </c>
      <c r="B126" s="707" t="str">
        <f>Summary!Q95</f>
        <v>Labor Strip Forms</v>
      </c>
      <c r="C126" s="296"/>
      <c r="D126" s="717">
        <f>K69</f>
        <v>0</v>
      </c>
    </row>
    <row r="127" spans="1:4">
      <c r="A127" s="1244">
        <f>Summary!P96</f>
        <v>40027</v>
      </c>
      <c r="B127" s="707" t="str">
        <f>Summary!Q96</f>
        <v>Labor Burden</v>
      </c>
      <c r="C127" s="296"/>
      <c r="D127" s="717"/>
    </row>
    <row r="128" spans="1:4">
      <c r="A128" s="1244">
        <f>Summary!P98</f>
        <v>40030</v>
      </c>
      <c r="B128" s="707" t="str">
        <f>Summary!Q98</f>
        <v>Pumping</v>
      </c>
      <c r="C128" s="296"/>
      <c r="D128" s="717">
        <f>N90</f>
        <v>0</v>
      </c>
    </row>
    <row r="129" spans="1:4">
      <c r="A129" s="1244">
        <f>Summary!P99</f>
        <v>40031</v>
      </c>
      <c r="B129" s="707" t="str">
        <f>Summary!Q99</f>
        <v>Earth Work/Excavation</v>
      </c>
      <c r="C129" s="296"/>
      <c r="D129" s="717"/>
    </row>
    <row r="130" spans="1:4">
      <c r="A130" s="1244">
        <f>Summary!P100</f>
        <v>40032</v>
      </c>
      <c r="B130" s="707" t="str">
        <f>Summary!Q100</f>
        <v>Drilling</v>
      </c>
      <c r="C130" s="296"/>
      <c r="D130" s="717"/>
    </row>
    <row r="131" spans="1:4">
      <c r="A131" s="1244">
        <f>Summary!P101</f>
        <v>40033</v>
      </c>
      <c r="B131" s="707" t="str">
        <f>Summary!Q101</f>
        <v>Haul off</v>
      </c>
      <c r="C131" s="296"/>
      <c r="D131" s="717">
        <f>N94</f>
        <v>0</v>
      </c>
    </row>
    <row r="132" spans="1:4">
      <c r="A132" s="1244">
        <f>Summary!P102</f>
        <v>40034</v>
      </c>
      <c r="B132" s="707" t="str">
        <f>Summary!Q102</f>
        <v>Saw Cutting/Sealing</v>
      </c>
      <c r="C132" s="296"/>
      <c r="D132" s="717">
        <f>N92</f>
        <v>0</v>
      </c>
    </row>
    <row r="133" spans="1:4">
      <c r="A133" s="1244">
        <f>Summary!P103</f>
        <v>40035</v>
      </c>
      <c r="B133" s="707" t="str">
        <f>Summary!Q103</f>
        <v>Demolition</v>
      </c>
      <c r="C133" s="296"/>
      <c r="D133" s="717"/>
    </row>
    <row r="134" spans="1:4">
      <c r="A134" s="1244">
        <f>Summary!P104</f>
        <v>40037</v>
      </c>
      <c r="B134" s="707" t="str">
        <f>Summary!Q104</f>
        <v>Waterproofing</v>
      </c>
      <c r="C134" s="296"/>
      <c r="D134" s="717">
        <f>N91</f>
        <v>0</v>
      </c>
    </row>
    <row r="135" spans="1:4">
      <c r="A135" s="1244">
        <f>Summary!P105</f>
        <v>40038</v>
      </c>
      <c r="B135" s="707" t="str">
        <f>Summary!Q105</f>
        <v>Crain/Hoisting</v>
      </c>
      <c r="C135" s="296"/>
      <c r="D135" s="717"/>
    </row>
    <row r="136" spans="1:4">
      <c r="A136" s="1246">
        <f>Summary!P106</f>
        <v>40039</v>
      </c>
      <c r="B136" s="753" t="str">
        <f>Summary!Q106</f>
        <v>Forming Systems</v>
      </c>
      <c r="C136" s="765"/>
      <c r="D136" s="1832">
        <f>N64</f>
        <v>0</v>
      </c>
    </row>
    <row r="137" spans="1:4">
      <c r="A137" s="1833">
        <f>Summary!P107</f>
        <v>40040</v>
      </c>
      <c r="B137" s="1834" t="str">
        <f>Summary!Q107</f>
        <v>Total Sub Labor</v>
      </c>
      <c r="C137" s="1835"/>
      <c r="D137" s="1836">
        <f>SUM(D138:D145)</f>
        <v>0</v>
      </c>
    </row>
    <row r="138" spans="1:4">
      <c r="A138" s="1244">
        <f>Summary!P108</f>
        <v>40041</v>
      </c>
      <c r="B138" s="707" t="str">
        <f>Summary!Q108</f>
        <v>Labor Forming</v>
      </c>
      <c r="C138" s="296"/>
      <c r="D138" s="708">
        <f>N67</f>
        <v>0</v>
      </c>
    </row>
    <row r="139" spans="1:4">
      <c r="A139" s="1244">
        <f>Summary!P109</f>
        <v>40042</v>
      </c>
      <c r="B139" s="707" t="str">
        <f>Summary!Q109</f>
        <v>Labor Grade, Poly, Reinf.</v>
      </c>
      <c r="C139" s="715"/>
      <c r="D139" s="708">
        <f>N66+N74+N73</f>
        <v>0</v>
      </c>
    </row>
    <row r="140" spans="1:4">
      <c r="A140" s="1244">
        <f>Summary!P110</f>
        <v>40043</v>
      </c>
      <c r="B140" s="707" t="str">
        <f>Summary!Q110</f>
        <v>Labor Place &amp; Finish</v>
      </c>
      <c r="C140" s="715"/>
      <c r="D140" s="708">
        <f>N68</f>
        <v>0</v>
      </c>
    </row>
    <row r="141" spans="1:4">
      <c r="A141" s="1244">
        <f>Summary!P111</f>
        <v>40044</v>
      </c>
      <c r="B141" s="707" t="str">
        <f>Summary!Q111</f>
        <v>Labor Drops</v>
      </c>
      <c r="C141" s="715"/>
      <c r="D141" s="708"/>
    </row>
    <row r="142" spans="1:4">
      <c r="A142" s="1244">
        <f>Summary!P112</f>
        <v>40045</v>
      </c>
      <c r="B142" s="707" t="str">
        <f>Summary!Q112</f>
        <v>Labor Strip Forms</v>
      </c>
      <c r="C142" s="715"/>
      <c r="D142" s="708">
        <f>N69</f>
        <v>0</v>
      </c>
    </row>
    <row r="143" spans="1:4">
      <c r="A143" s="1244">
        <f>Summary!P113</f>
        <v>40046</v>
      </c>
      <c r="B143" s="707" t="str">
        <f>Summary!Q113</f>
        <v>Labor Burden</v>
      </c>
      <c r="C143" s="296"/>
      <c r="D143" s="717">
        <f>N70+N72</f>
        <v>0</v>
      </c>
    </row>
    <row r="144" spans="1:4">
      <c r="A144" s="1244">
        <f>Summary!P114</f>
        <v>40047</v>
      </c>
      <c r="B144" s="707" t="str">
        <f>Summary!Q114</f>
        <v>Rebar</v>
      </c>
      <c r="C144" s="715"/>
      <c r="D144" s="708">
        <f>N71</f>
        <v>0</v>
      </c>
    </row>
    <row r="145" spans="1:4">
      <c r="A145" s="1246">
        <f>Summary!P115</f>
        <v>40048</v>
      </c>
      <c r="B145" s="753" t="str">
        <f>Summary!Q115</f>
        <v>PT Installation</v>
      </c>
      <c r="C145" s="765"/>
      <c r="D145" s="1832"/>
    </row>
    <row r="146" spans="1:4">
      <c r="A146" s="1246">
        <f>Summary!P116</f>
        <v>40049</v>
      </c>
      <c r="B146" s="753" t="str">
        <f>Summary!Q116</f>
        <v>Extra Hours</v>
      </c>
      <c r="C146" s="765"/>
      <c r="D146" s="722">
        <f>N75</f>
        <v>0</v>
      </c>
    </row>
    <row r="147" spans="1:4">
      <c r="A147" s="1833">
        <f>Summary!P117</f>
        <v>40060</v>
      </c>
      <c r="B147" s="1834" t="str">
        <f>Summary!Q117</f>
        <v>Total Equipment Rental</v>
      </c>
      <c r="C147" s="1835"/>
      <c r="D147" s="1836">
        <f>SUM(D148:D153)</f>
        <v>0</v>
      </c>
    </row>
    <row r="148" spans="1:4">
      <c r="A148" s="1244">
        <f>Summary!P118</f>
        <v>40061</v>
      </c>
      <c r="B148" s="707" t="str">
        <f>Summary!Q118</f>
        <v>SkyTrack</v>
      </c>
      <c r="C148" s="296"/>
      <c r="D148" s="708">
        <f>N83/(1+V$39+I$85)</f>
        <v>0</v>
      </c>
    </row>
    <row r="149" spans="1:4">
      <c r="A149" s="1244">
        <f>Summary!P119</f>
        <v>40062</v>
      </c>
      <c r="B149" s="707" t="str">
        <f>Summary!Q119</f>
        <v>Mini Excavator</v>
      </c>
      <c r="C149" s="296"/>
      <c r="D149" s="708">
        <f>N84/(1+V$39+I$85)</f>
        <v>0</v>
      </c>
    </row>
    <row r="150" spans="1:4">
      <c r="A150" s="1244">
        <f>Summary!P120</f>
        <v>40063</v>
      </c>
      <c r="B150" s="707" t="str">
        <f>Summary!Q120</f>
        <v>Trencher</v>
      </c>
      <c r="C150" s="296"/>
      <c r="D150" s="708">
        <f>N85/(1+V$39+I$85)</f>
        <v>0</v>
      </c>
    </row>
    <row r="151" spans="1:4">
      <c r="A151" s="1244">
        <f>Summary!P121</f>
        <v>40064</v>
      </c>
      <c r="B151" s="707" t="str">
        <f>Summary!Q121</f>
        <v>Skid Steer</v>
      </c>
      <c r="C151" s="296"/>
      <c r="D151" s="708">
        <f>N86/(1+V$39+I$85)</f>
        <v>0</v>
      </c>
    </row>
    <row r="152" spans="1:4">
      <c r="A152" s="1244">
        <f>Summary!P122</f>
        <v>40065</v>
      </c>
      <c r="B152" s="707" t="str">
        <f>Summary!Q122</f>
        <v>General Equipment Rental</v>
      </c>
      <c r="C152" s="296"/>
      <c r="D152" s="708">
        <f>(N87+N88)/(1+V$39+I$85)</f>
        <v>0</v>
      </c>
    </row>
    <row r="153" spans="1:4">
      <c r="A153" s="1244">
        <f>Summary!P123</f>
        <v>40066</v>
      </c>
      <c r="B153" s="707" t="str">
        <f>Summary!Q123</f>
        <v>Fuel</v>
      </c>
      <c r="C153" s="296"/>
      <c r="D153" s="708">
        <f>L85-SUM(D148:D152)</f>
        <v>0</v>
      </c>
    </row>
    <row r="154" spans="1:4">
      <c r="A154" s="1244">
        <f>Summary!P124</f>
        <v>40067</v>
      </c>
      <c r="B154" s="707" t="str">
        <f>Summary!Q124</f>
        <v>Purchased Tools</v>
      </c>
      <c r="C154" s="296"/>
      <c r="D154" s="708"/>
    </row>
    <row r="155" spans="1:4">
      <c r="A155" s="1244">
        <f>Summary!P125</f>
        <v>40068</v>
      </c>
      <c r="B155" s="707" t="str">
        <f>Summary!Q125</f>
        <v>Stolen/Damaged</v>
      </c>
      <c r="C155" s="296"/>
      <c r="D155" s="708"/>
    </row>
    <row r="156" spans="1:4">
      <c r="A156" s="1244">
        <f>Summary!P126</f>
        <v>40070</v>
      </c>
      <c r="B156" s="707" t="str">
        <f>Summary!Q126</f>
        <v>Out of Town Expense</v>
      </c>
      <c r="C156" s="296"/>
      <c r="D156" s="708">
        <f>N95</f>
        <v>0</v>
      </c>
    </row>
    <row r="157" spans="1:4">
      <c r="A157" s="1244">
        <f>Summary!P127</f>
        <v>40071</v>
      </c>
      <c r="B157" s="707" t="str">
        <f>Summary!Q127</f>
        <v>Miscellaneous</v>
      </c>
      <c r="C157" s="296"/>
      <c r="D157" s="717">
        <f>N93</f>
        <v>0</v>
      </c>
    </row>
    <row r="158" spans="1:4">
      <c r="A158" s="1244">
        <f>Summary!P128</f>
        <v>40072</v>
      </c>
      <c r="B158" s="707" t="str">
        <f>Summary!Q128</f>
        <v>Repairs</v>
      </c>
      <c r="C158" s="296"/>
      <c r="D158" s="717"/>
    </row>
    <row r="159" spans="1:4">
      <c r="A159" s="1244">
        <f>Summary!P129</f>
        <v>40073</v>
      </c>
      <c r="B159" s="707" t="str">
        <f>Summary!Q129</f>
        <v>Engineering</v>
      </c>
      <c r="C159" s="296"/>
      <c r="D159" s="717"/>
    </row>
    <row r="160" spans="1:4">
      <c r="A160" s="1244">
        <f>Summary!P130</f>
        <v>40090</v>
      </c>
      <c r="B160" s="707" t="str">
        <f>Summary!Q130</f>
        <v>Not Used</v>
      </c>
      <c r="C160" s="296"/>
      <c r="D160" s="717"/>
    </row>
    <row r="161" spans="1:4">
      <c r="A161" s="1244">
        <f>Summary!P131</f>
        <v>40091</v>
      </c>
      <c r="B161" s="707" t="str">
        <f>Summary!Q131</f>
        <v>Margin Contingency</v>
      </c>
      <c r="C161" s="707"/>
      <c r="D161" s="717">
        <f>N96</f>
        <v>0</v>
      </c>
    </row>
  </sheetData>
  <mergeCells count="123">
    <mergeCell ref="B99:C99"/>
    <mergeCell ref="D99:E99"/>
    <mergeCell ref="G99:H99"/>
    <mergeCell ref="L99:O99"/>
    <mergeCell ref="T99:U99"/>
    <mergeCell ref="A89:O89"/>
    <mergeCell ref="N90:O90"/>
    <mergeCell ref="N91:O91"/>
    <mergeCell ref="N92:O92"/>
    <mergeCell ref="N93:O93"/>
    <mergeCell ref="N94:O94"/>
    <mergeCell ref="N95:O95"/>
    <mergeCell ref="A96:C96"/>
    <mergeCell ref="N96:O96"/>
    <mergeCell ref="I84:J84"/>
    <mergeCell ref="L84:M84"/>
    <mergeCell ref="N84:O84"/>
    <mergeCell ref="I85:J86"/>
    <mergeCell ref="L85:M85"/>
    <mergeCell ref="N85:O85"/>
    <mergeCell ref="N86:O86"/>
    <mergeCell ref="N87:O87"/>
    <mergeCell ref="N88:O88"/>
    <mergeCell ref="L78:M78"/>
    <mergeCell ref="N78:O78"/>
    <mergeCell ref="L79:M79"/>
    <mergeCell ref="N79:O79"/>
    <mergeCell ref="N80:O80"/>
    <mergeCell ref="L81:M81"/>
    <mergeCell ref="N81:O81"/>
    <mergeCell ref="A82:O82"/>
    <mergeCell ref="N83:O83"/>
    <mergeCell ref="D74:E74"/>
    <mergeCell ref="K74:L74"/>
    <mergeCell ref="N74:O74"/>
    <mergeCell ref="D75:E75"/>
    <mergeCell ref="K75:L75"/>
    <mergeCell ref="N75:O75"/>
    <mergeCell ref="K76:L76"/>
    <mergeCell ref="N76:O76"/>
    <mergeCell ref="A77:O77"/>
    <mergeCell ref="D71:E71"/>
    <mergeCell ref="K71:L71"/>
    <mergeCell ref="N71:O71"/>
    <mergeCell ref="D72:E72"/>
    <mergeCell ref="K72:L72"/>
    <mergeCell ref="N72:O72"/>
    <mergeCell ref="D73:E73"/>
    <mergeCell ref="K73:L73"/>
    <mergeCell ref="N73:O73"/>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H61:I63"/>
    <mergeCell ref="J61:J63"/>
    <mergeCell ref="K61:L61"/>
    <mergeCell ref="N61:O61"/>
    <mergeCell ref="K62:L62"/>
    <mergeCell ref="N62:O62"/>
    <mergeCell ref="K63:L63"/>
    <mergeCell ref="N63:O63"/>
    <mergeCell ref="H64:I64"/>
    <mergeCell ref="N64:O64"/>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C6:D6"/>
    <mergeCell ref="C7:D7"/>
    <mergeCell ref="BJ8:BR8"/>
    <mergeCell ref="DD8:DG8"/>
    <mergeCell ref="A9:B9"/>
    <mergeCell ref="D38:E38"/>
    <mergeCell ref="A39:C39"/>
    <mergeCell ref="B40:C40"/>
    <mergeCell ref="D40:E40"/>
    <mergeCell ref="G40:H40"/>
    <mergeCell ref="I40:J40"/>
    <mergeCell ref="S40:T40"/>
  </mergeCells>
  <conditionalFormatting sqref="D11:D27">
    <cfRule type="expression" dxfId="13" priority="2">
      <formula>AND(E11&lt;&gt;"",ISERROR(MATCH(D11,$A$51:$A$55,0)))</formula>
    </cfRule>
  </conditionalFormatting>
  <conditionalFormatting sqref="K50:L50">
    <cfRule type="containsText" dxfId="12" priority="3" operator="containsText" text="Missing Concrete">
      <formula>NOT(ISERROR(SEARCH("Missing Concrete",K50)))</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9"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B9CDE5"/>
    <pageSetUpPr fitToPage="1"/>
  </sheetPr>
  <dimension ref="A1:DJ161"/>
  <sheetViews>
    <sheetView topLeftCell="A76" zoomScale="65" zoomScaleNormal="65" zoomScalePageLayoutView="70" workbookViewId="0">
      <selection activeCell="F86" sqref="F86"/>
    </sheetView>
  </sheetViews>
  <sheetFormatPr defaultColWidth="2.4609375" defaultRowHeight="15"/>
  <cols>
    <col min="1" max="1" width="12" style="18" customWidth="1"/>
    <col min="2" max="2" width="16.15234375" style="18" customWidth="1"/>
    <col min="3" max="3" width="16.84375" style="18" customWidth="1"/>
    <col min="4" max="4" width="14.15234375" style="18" customWidth="1"/>
    <col min="5" max="5" width="10.84375" style="18" customWidth="1"/>
    <col min="6" max="6" width="14.4609375" style="18" customWidth="1"/>
    <col min="7" max="8" width="10.84375" style="18" customWidth="1"/>
    <col min="9" max="9" width="12.15234375" style="18" customWidth="1"/>
    <col min="10" max="10" width="13.4609375" style="18" customWidth="1"/>
    <col min="11" max="13" width="10.84375" style="18" customWidth="1"/>
    <col min="14" max="14" width="13.4609375" style="18" customWidth="1"/>
    <col min="15" max="15" width="12.53515625" style="18" customWidth="1"/>
    <col min="16" max="16" width="14.15234375" style="18" customWidth="1"/>
    <col min="17" max="17" width="12.15234375" style="18" customWidth="1"/>
    <col min="18" max="20" width="10.84375" style="18" customWidth="1"/>
    <col min="21" max="21" width="12.53515625" style="18" customWidth="1"/>
    <col min="22" max="23" width="17.84375" style="18" customWidth="1"/>
    <col min="24" max="24" width="4.84375" customWidth="1"/>
    <col min="25" max="30" width="9.15234375" customWidth="1"/>
    <col min="31" max="31" width="14.15234375" customWidth="1"/>
    <col min="32" max="54" width="9.15234375" customWidth="1"/>
    <col min="55" max="55" width="11.15234375" customWidth="1"/>
    <col min="56" max="56" width="14.15234375" customWidth="1"/>
    <col min="57" max="58" width="10.15234375" customWidth="1"/>
    <col min="59" max="59" width="11.84375" customWidth="1"/>
    <col min="60" max="61" width="9.15234375" customWidth="1"/>
    <col min="62" max="62" width="11.53515625" customWidth="1"/>
    <col min="63" max="63" width="20.84375" customWidth="1"/>
    <col min="64" max="64" width="19.15234375" customWidth="1"/>
    <col min="65" max="65" width="19" customWidth="1"/>
    <col min="66" max="66" width="20.84375" customWidth="1"/>
    <col min="67" max="67" width="16.84375" customWidth="1"/>
    <col min="68" max="68" width="16" customWidth="1"/>
    <col min="69" max="69" width="26.53515625" customWidth="1"/>
    <col min="70" max="70" width="10.84375" customWidth="1"/>
    <col min="71" max="72" width="12.53515625" customWidth="1"/>
    <col min="73" max="73" width="9.15234375" customWidth="1"/>
    <col min="74" max="74" width="11.84375" customWidth="1"/>
    <col min="75" max="75" width="9.84375" customWidth="1"/>
    <col min="76" max="105" width="9.15234375" customWidth="1"/>
    <col min="106" max="106" width="13" customWidth="1"/>
    <col min="107" max="114" width="10.84375" customWidth="1"/>
    <col min="115" max="266" width="9.15234375" customWidth="1"/>
  </cols>
  <sheetData>
    <row r="1" spans="1:114" s="1254" customFormat="1" ht="15.45">
      <c r="A1" s="677"/>
      <c r="B1" s="589"/>
      <c r="C1" s="589"/>
      <c r="D1" s="589"/>
      <c r="E1" s="589"/>
      <c r="F1" s="589"/>
      <c r="G1" s="589"/>
      <c r="H1" s="589"/>
      <c r="I1" s="589"/>
      <c r="J1" s="589"/>
      <c r="K1" s="589"/>
      <c r="L1" s="589"/>
      <c r="M1" s="589"/>
      <c r="N1" s="589"/>
      <c r="O1" s="589"/>
      <c r="P1" s="589"/>
      <c r="Q1" s="589"/>
      <c r="R1" s="589"/>
      <c r="S1" s="983"/>
      <c r="T1" s="1081" t="s">
        <v>1193</v>
      </c>
      <c r="U1" s="1081"/>
      <c r="V1" s="1669">
        <v>37456</v>
      </c>
      <c r="W1" s="1082"/>
      <c r="AE1" s="1254">
        <f>SUM(AE67:AE127)</f>
        <v>0</v>
      </c>
    </row>
    <row r="2" spans="1:114" s="1254" customFormat="1" ht="15.45">
      <c r="A2" s="1255" t="str">
        <f>Summary!C1</f>
        <v>Trammell Crow – LBJ</v>
      </c>
      <c r="B2" s="1256"/>
      <c r="C2" s="1256"/>
      <c r="D2" s="1257"/>
      <c r="E2" s="626"/>
      <c r="F2" s="626"/>
      <c r="G2" s="381"/>
      <c r="H2" s="1140" t="s">
        <v>56</v>
      </c>
      <c r="I2" s="983"/>
      <c r="J2" s="1085" t="s">
        <v>57</v>
      </c>
      <c r="K2" s="589"/>
      <c r="L2" s="589"/>
      <c r="M2" s="589"/>
      <c r="N2" s="1085" t="s">
        <v>1</v>
      </c>
      <c r="O2" s="1085"/>
      <c r="P2" s="1085" t="s">
        <v>1194</v>
      </c>
      <c r="Q2" s="808"/>
      <c r="R2" s="626"/>
      <c r="S2" s="626"/>
      <c r="T2" s="795" t="s">
        <v>957</v>
      </c>
      <c r="U2" s="663"/>
      <c r="V2" s="796">
        <f>Information!C7</f>
        <v>0</v>
      </c>
      <c r="W2" s="797"/>
    </row>
    <row r="3" spans="1:114" s="1254" customFormat="1">
      <c r="A3" s="1260">
        <f>Summary!C2</f>
        <v>0</v>
      </c>
      <c r="B3" s="1261"/>
      <c r="C3" s="1261"/>
      <c r="D3" s="1262"/>
      <c r="E3" s="626"/>
      <c r="F3" s="626"/>
      <c r="G3" s="396"/>
      <c r="H3" s="928" t="s">
        <v>955</v>
      </c>
      <c r="I3" s="1670">
        <f>Summary!K2</f>
        <v>0</v>
      </c>
      <c r="J3" s="1671"/>
      <c r="K3" s="1671"/>
      <c r="L3" s="1671"/>
      <c r="M3" s="1671"/>
      <c r="N3" s="1672">
        <f>Summary!O2</f>
        <v>0</v>
      </c>
      <c r="O3" s="1672"/>
      <c r="P3" s="1263">
        <f>Summary!P2</f>
        <v>0</v>
      </c>
      <c r="Q3" s="1264"/>
      <c r="R3" s="626"/>
      <c r="S3" s="626"/>
      <c r="T3" s="574"/>
      <c r="U3" s="18"/>
      <c r="V3" s="18"/>
      <c r="W3" s="798"/>
    </row>
    <row r="4" spans="1:114" s="1254" customFormat="1">
      <c r="A4" s="1265" t="str">
        <f>Summary!C3</f>
        <v>Dallas, TX</v>
      </c>
      <c r="B4" s="1266"/>
      <c r="C4" s="1266"/>
      <c r="D4" s="1267"/>
      <c r="E4" s="626"/>
      <c r="F4" s="626"/>
      <c r="G4" s="396"/>
      <c r="H4" s="928" t="s">
        <v>71</v>
      </c>
      <c r="I4" s="1673">
        <f>Summary!K3</f>
        <v>0</v>
      </c>
      <c r="J4" s="1674"/>
      <c r="K4" s="1674"/>
      <c r="L4" s="1674"/>
      <c r="M4" s="1674"/>
      <c r="N4" s="1675">
        <f>Summary!O3</f>
        <v>0</v>
      </c>
      <c r="O4" s="1675"/>
      <c r="P4" s="1268">
        <f>Summary!P3</f>
        <v>0</v>
      </c>
      <c r="Q4" s="1269"/>
      <c r="R4" s="626"/>
      <c r="S4" s="626"/>
      <c r="T4" s="574" t="s">
        <v>958</v>
      </c>
      <c r="U4" s="18"/>
      <c r="V4" s="799"/>
      <c r="W4" s="800"/>
    </row>
    <row r="5" spans="1:114" s="1254" customFormat="1">
      <c r="A5" s="963" t="s">
        <v>0</v>
      </c>
      <c r="B5" s="626"/>
      <c r="C5" s="380" t="s">
        <v>1</v>
      </c>
      <c r="D5" s="18"/>
      <c r="E5" s="626"/>
      <c r="F5" s="626"/>
      <c r="G5" s="396"/>
      <c r="H5" s="928" t="s">
        <v>79</v>
      </c>
      <c r="I5" s="1676">
        <f>Summary!K4</f>
        <v>0</v>
      </c>
      <c r="J5" s="1677"/>
      <c r="K5" s="1677"/>
      <c r="L5" s="1677"/>
      <c r="M5" s="1677"/>
      <c r="N5" s="1272">
        <f>Summary!O4</f>
        <v>0</v>
      </c>
      <c r="O5" s="1272"/>
      <c r="P5" s="1678">
        <f>Summary!P4</f>
        <v>0</v>
      </c>
      <c r="Q5" s="1679"/>
      <c r="R5" s="626"/>
      <c r="S5" s="626"/>
      <c r="T5" s="574"/>
      <c r="U5" s="18"/>
      <c r="V5" s="18"/>
      <c r="W5" s="798"/>
    </row>
    <row r="6" spans="1:114" s="1254" customFormat="1">
      <c r="A6" s="1089">
        <v>0</v>
      </c>
      <c r="B6" s="626"/>
      <c r="C6" s="2760">
        <v>0</v>
      </c>
      <c r="D6" s="2760"/>
      <c r="E6" s="626"/>
      <c r="F6" s="626"/>
      <c r="G6" s="653"/>
      <c r="H6" s="1090" t="s">
        <v>87</v>
      </c>
      <c r="I6" s="1680">
        <f>Summary!K5</f>
        <v>0</v>
      </c>
      <c r="J6" s="1681"/>
      <c r="K6" s="1681"/>
      <c r="L6" s="1681"/>
      <c r="M6" s="1681"/>
      <c r="N6" s="1682">
        <f>Summary!O5</f>
        <v>0</v>
      </c>
      <c r="O6" s="1682"/>
      <c r="P6" s="1683">
        <f>Summary!P5</f>
        <v>0</v>
      </c>
      <c r="Q6" s="1684"/>
      <c r="R6" s="626"/>
      <c r="S6" s="626"/>
      <c r="T6" s="577" t="s">
        <v>958</v>
      </c>
      <c r="U6" s="802"/>
      <c r="V6" s="802"/>
      <c r="W6" s="803"/>
    </row>
    <row r="7" spans="1:114" s="1254" customFormat="1">
      <c r="A7" s="1091">
        <v>0</v>
      </c>
      <c r="B7" s="626"/>
      <c r="C7" s="2764">
        <v>0</v>
      </c>
      <c r="D7" s="2764"/>
      <c r="E7" s="626"/>
      <c r="F7" s="1090" t="s">
        <v>1196</v>
      </c>
      <c r="G7" s="1090"/>
      <c r="H7" s="1090"/>
      <c r="I7" s="806" t="str">
        <f>Pricing!A3</f>
        <v>SRM</v>
      </c>
      <c r="J7" s="806"/>
      <c r="K7" s="806"/>
      <c r="L7" s="806"/>
      <c r="M7" s="806"/>
      <c r="N7" s="693"/>
      <c r="O7" s="693"/>
      <c r="P7" s="693"/>
      <c r="Q7" s="693"/>
      <c r="R7" s="693"/>
      <c r="S7" s="626"/>
      <c r="T7" s="626"/>
      <c r="U7" s="626"/>
      <c r="V7" s="626"/>
      <c r="W7" s="1093"/>
    </row>
    <row r="8" spans="1:114" s="1254" customFormat="1" ht="30.45">
      <c r="A8" s="1094"/>
      <c r="B8" s="1685"/>
      <c r="C8" s="1686" t="s">
        <v>1660</v>
      </c>
      <c r="D8" s="1687" t="s">
        <v>1661</v>
      </c>
      <c r="E8" s="1688" t="s">
        <v>1662</v>
      </c>
      <c r="F8" s="1689"/>
      <c r="G8" s="1690"/>
      <c r="H8" s="1691" t="s">
        <v>1663</v>
      </c>
      <c r="I8" s="1689"/>
      <c r="J8" s="1690"/>
      <c r="K8" s="1691" t="s">
        <v>1664</v>
      </c>
      <c r="L8" s="1689"/>
      <c r="M8" s="1689"/>
      <c r="N8" s="1692" t="s">
        <v>1665</v>
      </c>
      <c r="O8" s="1296"/>
      <c r="P8" s="1296"/>
      <c r="Q8" s="1296" t="s">
        <v>785</v>
      </c>
      <c r="R8" s="1693">
        <v>3</v>
      </c>
      <c r="S8" s="1688" t="s">
        <v>1362</v>
      </c>
      <c r="T8" s="1296"/>
      <c r="U8" s="807"/>
      <c r="V8" s="1291" t="s">
        <v>1363</v>
      </c>
      <c r="W8" s="1501" t="s">
        <v>1219</v>
      </c>
      <c r="AI8" s="1254" t="s">
        <v>1666</v>
      </c>
      <c r="AS8" s="1254" t="s">
        <v>1667</v>
      </c>
      <c r="BJ8" s="3075" t="s">
        <v>1507</v>
      </c>
      <c r="BK8" s="3075"/>
      <c r="BL8" s="3075"/>
      <c r="BM8" s="3075"/>
      <c r="BN8" s="3075"/>
      <c r="BO8" s="3075"/>
      <c r="BP8" s="3075"/>
      <c r="BQ8" s="3075"/>
      <c r="BR8" s="3075"/>
      <c r="BS8" s="1694"/>
      <c r="BT8" s="1694"/>
      <c r="BU8" s="1694"/>
      <c r="BV8" s="1694"/>
      <c r="BW8" s="1695"/>
      <c r="DD8" s="3076" t="s">
        <v>1021</v>
      </c>
      <c r="DE8" s="3076"/>
      <c r="DF8" s="3076"/>
      <c r="DG8" s="3076"/>
      <c r="DH8" s="1696"/>
      <c r="DI8" s="1696"/>
      <c r="DJ8" s="1697"/>
    </row>
    <row r="9" spans="1:114" s="1254" customFormat="1" ht="28.5" customHeight="1">
      <c r="A9" s="3077" t="s">
        <v>1668</v>
      </c>
      <c r="B9" s="3077"/>
      <c r="C9" s="1101" t="s">
        <v>1428</v>
      </c>
      <c r="D9" s="1698" t="s">
        <v>1669</v>
      </c>
      <c r="E9" s="1314" t="s">
        <v>1366</v>
      </c>
      <c r="F9" s="1100" t="s">
        <v>1670</v>
      </c>
      <c r="G9" s="1099" t="s">
        <v>1596</v>
      </c>
      <c r="H9" s="1100" t="s">
        <v>1216</v>
      </c>
      <c r="I9" s="1100" t="s">
        <v>1215</v>
      </c>
      <c r="J9" s="1314" t="s">
        <v>1671</v>
      </c>
      <c r="K9" s="1100" t="s">
        <v>1216</v>
      </c>
      <c r="L9" s="1101" t="s">
        <v>1215</v>
      </c>
      <c r="M9" s="1100" t="s">
        <v>1672</v>
      </c>
      <c r="N9" s="1699" t="s">
        <v>1673</v>
      </c>
      <c r="O9" s="1101" t="s">
        <v>1674</v>
      </c>
      <c r="P9" s="1101" t="s">
        <v>1216</v>
      </c>
      <c r="Q9" s="1101" t="s">
        <v>1215</v>
      </c>
      <c r="R9" s="1508" t="s">
        <v>1672</v>
      </c>
      <c r="S9" s="1104" t="s">
        <v>835</v>
      </c>
      <c r="T9" s="1101" t="s">
        <v>1675</v>
      </c>
      <c r="U9" s="1314" t="s">
        <v>1676</v>
      </c>
      <c r="V9" s="1317"/>
      <c r="W9" s="1510"/>
      <c r="AH9" s="1700" t="s">
        <v>1374</v>
      </c>
      <c r="AI9" s="1701" t="s">
        <v>1375</v>
      </c>
      <c r="AJ9" s="1701" t="s">
        <v>1376</v>
      </c>
      <c r="AK9" s="1701" t="s">
        <v>1377</v>
      </c>
      <c r="AL9" s="1701" t="s">
        <v>1378</v>
      </c>
      <c r="AM9" s="1701" t="s">
        <v>1522</v>
      </c>
      <c r="AN9" s="1701" t="s">
        <v>1523</v>
      </c>
      <c r="AO9" s="1701" t="s">
        <v>1524</v>
      </c>
      <c r="AP9" s="1701" t="s">
        <v>1525</v>
      </c>
      <c r="AQ9" s="1702" t="s">
        <v>1526</v>
      </c>
      <c r="AR9" s="1700" t="s">
        <v>1374</v>
      </c>
      <c r="AS9" s="1701" t="s">
        <v>1375</v>
      </c>
      <c r="AT9" s="1701" t="s">
        <v>1376</v>
      </c>
      <c r="AU9" s="1701" t="s">
        <v>1377</v>
      </c>
      <c r="AV9" s="1701" t="s">
        <v>1378</v>
      </c>
      <c r="AW9" s="1701" t="s">
        <v>1522</v>
      </c>
      <c r="AX9" s="1701" t="s">
        <v>1523</v>
      </c>
      <c r="AY9" s="1701" t="s">
        <v>1524</v>
      </c>
      <c r="AZ9" s="1701" t="s">
        <v>1525</v>
      </c>
      <c r="BA9" s="1702" t="s">
        <v>1526</v>
      </c>
      <c r="BB9" s="1254" t="s">
        <v>1677</v>
      </c>
      <c r="BC9" s="1254" t="s">
        <v>1678</v>
      </c>
      <c r="BD9" s="1254" t="s">
        <v>1385</v>
      </c>
      <c r="BE9" s="1254" t="s">
        <v>1386</v>
      </c>
      <c r="BF9" s="1254" t="s">
        <v>1387</v>
      </c>
      <c r="BG9" s="1254" t="s">
        <v>1679</v>
      </c>
      <c r="BH9" s="402" t="s">
        <v>1680</v>
      </c>
      <c r="BJ9" s="1703" t="s">
        <v>577</v>
      </c>
      <c r="BK9" s="1704" t="s">
        <v>1388</v>
      </c>
      <c r="BL9" s="1705" t="s">
        <v>1681</v>
      </c>
      <c r="BM9" s="1704" t="s">
        <v>1389</v>
      </c>
      <c r="BN9" s="1704" t="s">
        <v>1682</v>
      </c>
      <c r="BO9" s="1704" t="s">
        <v>1391</v>
      </c>
      <c r="BP9" s="1705" t="s">
        <v>1683</v>
      </c>
      <c r="BQ9" s="1704" t="s">
        <v>1393</v>
      </c>
      <c r="BR9" s="1706"/>
      <c r="BS9" s="1704" t="s">
        <v>1684</v>
      </c>
      <c r="BT9" s="1704"/>
      <c r="BU9" s="1704" t="s">
        <v>1685</v>
      </c>
      <c r="BV9" s="1704" t="s">
        <v>1686</v>
      </c>
      <c r="BW9" s="1706" t="s">
        <v>1687</v>
      </c>
      <c r="DB9" s="402" t="s">
        <v>1688</v>
      </c>
      <c r="DC9" s="402" t="s">
        <v>1689</v>
      </c>
      <c r="DD9" s="1707" t="s">
        <v>1250</v>
      </c>
      <c r="DE9" s="1708" t="s">
        <v>1396</v>
      </c>
      <c r="DF9" s="1708" t="s">
        <v>1397</v>
      </c>
      <c r="DG9" s="1708" t="s">
        <v>1690</v>
      </c>
      <c r="DH9" s="1708" t="s">
        <v>1141</v>
      </c>
      <c r="DI9" s="1708" t="s">
        <v>1691</v>
      </c>
      <c r="DJ9" s="1709" t="s">
        <v>1692</v>
      </c>
    </row>
    <row r="10" spans="1:114" s="1254" customFormat="1" ht="15.45">
      <c r="A10" s="482"/>
      <c r="B10" s="1177"/>
      <c r="C10" s="1710"/>
      <c r="D10" s="1711"/>
      <c r="E10" s="1728"/>
      <c r="F10" s="1108"/>
      <c r="G10" s="1109"/>
      <c r="H10" s="1110"/>
      <c r="I10" s="1108"/>
      <c r="J10" s="1109"/>
      <c r="K10" s="1110"/>
      <c r="L10" s="1108"/>
      <c r="M10" s="1108"/>
      <c r="N10" s="1713"/>
      <c r="O10" s="1108"/>
      <c r="P10" s="1108"/>
      <c r="Q10" s="1108"/>
      <c r="R10" s="1714"/>
      <c r="S10" s="1715"/>
      <c r="T10" s="77"/>
      <c r="U10" s="839"/>
      <c r="V10" s="1716">
        <f t="shared" ref="V10:V35" si="0">((E10*I10/16*I10/16*10.680159*J10)*IF(H10=0,0,(G10/H10))+(G10/12*L10/16*L10/16*10.680159*M10)*IF(K10=0,0,(E10*12/K10))+(E10*IF(P10=0,0,N10/P10)*Q10/16*Q10/16*10.680159*R10)+(IF(P10=0,0,E10/P10*N10)*Q10/16*Q10/16*10.680159*R10)+((T10*U10*S10*0.03*0.2836*G10)/12+4)*IF(H10=0,0,(G10/H10))*I10/16*I10/16*10.680159)*(1+J$56)</f>
        <v>0</v>
      </c>
      <c r="W10" s="1717">
        <f t="shared" ref="W10:W35" si="1">((E10*F10/12*G10/324)+ROUNDUP(S10*T10*U10*G10/46656,0)+(N10*O10*E10/3888))*(1+J$51)</f>
        <v>0</v>
      </c>
      <c r="AH10" s="1718">
        <f t="shared" ref="AH10:AH35" si="2">IF($R$8=1,$N10*$O10*$E10/3888*(1+$J$51),0)</f>
        <v>0</v>
      </c>
      <c r="AI10" s="1719">
        <f t="shared" ref="AI10:AI35" si="3">IF($R$8=2,$N10*$O10*$E10/3888*(1+$J$51),0)</f>
        <v>0</v>
      </c>
      <c r="AJ10" s="1719">
        <f t="shared" ref="AJ10:AJ35" si="4">IF($R$8=3,$N10*$O10*$E10/3888*(1+$J$51),0)</f>
        <v>0</v>
      </c>
      <c r="AK10" s="1719">
        <f t="shared" ref="AK10:AK35" si="5">IF($R$8=4,$N10*$O10*$E10/3888*(1+$J$51),0)</f>
        <v>0</v>
      </c>
      <c r="AL10" s="1719">
        <f t="shared" ref="AL10:AL35" si="6">IF($R$8=5,$N10*$O10*$E10/3888*(1+$J$51),0)</f>
        <v>0</v>
      </c>
      <c r="AM10" s="1719">
        <f t="shared" ref="AM10:AM35" si="7">IF($R$8=6,$N10*$O10*$E10/3888*(1+$J$51),0)</f>
        <v>0</v>
      </c>
      <c r="AN10" s="1719">
        <f t="shared" ref="AN10:AN35" si="8">IF($R$8=7,$N10*$O10*$E10/3888*(1+$J$51),0)</f>
        <v>0</v>
      </c>
      <c r="AO10" s="1719">
        <f t="shared" ref="AO10:AO35" si="9">IF($R$8=8,$N10*$O10*$E10/3888*(1+$J$51),0)</f>
        <v>0</v>
      </c>
      <c r="AP10" s="1719">
        <f t="shared" ref="AP10:AP35" si="10">IF($R$8=9,$N10*$O10*$E10/3888*(1+$J$51),0)</f>
        <v>0</v>
      </c>
      <c r="AQ10" s="1719">
        <f t="shared" ref="AQ10:AQ35" si="11">IF($R$8=10,$N10*$O10*$E10/3888*(1+$J$51),0)</f>
        <v>0</v>
      </c>
      <c r="AR10" s="1720">
        <f t="shared" ref="AR10:AR35" si="12">IF($D10=1,$W10-SUM($AH10:$AQ10),0)</f>
        <v>0</v>
      </c>
      <c r="AS10" s="1719">
        <f t="shared" ref="AS10:AS35" si="13">IF($D10=2,W10-SUM($AH10:$AQ10),0)</f>
        <v>0</v>
      </c>
      <c r="AT10" s="1719">
        <f t="shared" ref="AT10:AT35" si="14">IF($D10=3,W10-SUM($AH10:$AQ10),0)</f>
        <v>0</v>
      </c>
      <c r="AU10" s="1719">
        <f t="shared" ref="AU10:AU35" si="15">IF($D10=4,W10-SUM($AH10:$AQ10),0)</f>
        <v>0</v>
      </c>
      <c r="AV10" s="1719">
        <f t="shared" ref="AV10:AV35" si="16">IF($D10=5,W10-SUM($AH10:$AQ10),0)</f>
        <v>0</v>
      </c>
      <c r="AW10" s="1719">
        <f t="shared" ref="AW10:AW35" si="17">IF($D10=6,W10-SUM($AH10:$AQ10),0)</f>
        <v>0</v>
      </c>
      <c r="AX10" s="1719">
        <f t="shared" ref="AX10:AX35" si="18">IF($D10=7,W10-SUM($AH10:$AQ10),0)</f>
        <v>0</v>
      </c>
      <c r="AY10" s="1719">
        <f t="shared" ref="AY10:AY35" si="19">IF($D10=8,W10-SUM($AH10:$AQ10),0)</f>
        <v>0</v>
      </c>
      <c r="AZ10" s="1719">
        <f t="shared" ref="AZ10:AZ35" si="20">IF($D10=9,W10-SUM($AH10:$AQ10),0)</f>
        <v>0</v>
      </c>
      <c r="BA10" s="1721">
        <f t="shared" ref="BA10:BA35" si="21">IF($D10=10,W10-SUM($AH10:$AQ10),0)</f>
        <v>0</v>
      </c>
      <c r="BB10" s="1719">
        <f t="shared" ref="BB10:BB35" si="22">SUM(AH10:AM10)</f>
        <v>0</v>
      </c>
      <c r="BC10" s="1719">
        <f t="shared" ref="BC10:BC35" si="23">SUM(AR10:AW10)</f>
        <v>0</v>
      </c>
      <c r="BD10" s="1719">
        <f t="shared" ref="BD10:BD35" si="24">V10</f>
        <v>0</v>
      </c>
      <c r="BE10" s="1719">
        <f t="shared" ref="BE10:BE35" si="25">E10*G10/12*2+(U10*U10*G10/1728*S10)</f>
        <v>0</v>
      </c>
      <c r="BF10" s="1719">
        <f t="shared" ref="BF10:BF35" si="26">BE10/2</f>
        <v>0</v>
      </c>
      <c r="BG10" s="1719">
        <f t="shared" ref="BG10:BG35" si="27">N10*E10/12</f>
        <v>0</v>
      </c>
      <c r="BH10" s="1719">
        <f t="shared" ref="BH10:BH35" si="28">ROUND(IF(C10="Y",BF10*3/27,0),0)</f>
        <v>0</v>
      </c>
      <c r="BJ10" s="1722">
        <f t="shared" ref="BJ10:BJ35" si="29">V10*F$56*IF(T$39="N",(1+V$39),1)</f>
        <v>0</v>
      </c>
      <c r="BK10" s="1723">
        <f>(AR10*Pricing!F$3+AS10*Pricing!G$3+AT10*Pricing!H$3+AU10*Pricing!I$3+AV10*Pricing!J$3+AW10*Pricing!K$3+AH10*Pricing!F$3+AI10*Pricing!G$3+AJ10*Pricing!H$3+AK10*Pricing!I$3+AL10*Pricing!J$3+AM10*Pricing!K$3)*IF(T$39="N",(1+V$39),1)</f>
        <v>0</v>
      </c>
      <c r="BL10" s="1723">
        <f t="shared" ref="BL10:BL35" si="30">IF(C10="Y",(N$59+N$60)/DF$36*DF10,0)</f>
        <v>0</v>
      </c>
      <c r="BM10" s="1723">
        <f t="shared" ref="BM10:BM35" si="31">BF10*(G$67+D$70)</f>
        <v>0</v>
      </c>
      <c r="BN10" s="1723">
        <f t="shared" ref="BN10:BN35" si="32">BG10*D$66</f>
        <v>0</v>
      </c>
      <c r="BO10" s="1723">
        <f t="shared" ref="BO10:BO35" si="33">V10/2000*D$71</f>
        <v>0</v>
      </c>
      <c r="BP10" s="1723">
        <f t="shared" ref="BP10:BP35" si="34">IF(C10="Y",(N$74+N$73+N$72)/DF$36*DF10,0)</f>
        <v>0</v>
      </c>
      <c r="BQ10" s="1723">
        <f t="shared" ref="BQ10:BQ35" si="35">IF(SUM(BF$36:BG$36)=0,0,(SUM(N$78:O$81)+SUM(N$83:O$88)+SUM(N$90:O$96)+W$95)/SUM(BF$36:BG$36)*(BF10+BG10))</f>
        <v>0</v>
      </c>
      <c r="BR10" s="1724"/>
      <c r="BS10" s="1725">
        <f>IF(SUM(BF$36:BG$36)=0,0,(BQ$36-W$58-N$64-W77-(L$79*0.15))/SUM(BF$36:BG$36)*BG10+BN10)</f>
        <v>0</v>
      </c>
      <c r="BT10" s="1723">
        <f>(AH10*Pricing!F$3+AI10*Pricing!G$3+AJ10*Pricing!H$3+AK10*Pricing!I$3+AL10*Pricing!J$3+AM10*Pricing!K$3)*IF(T$39="N",(1+V$39),1)</f>
        <v>0</v>
      </c>
      <c r="BU10" s="1723">
        <f t="shared" ref="BU10:BU35" si="36">IF(BG10=0,0,(BS10+BT10)/BG10)</f>
        <v>0</v>
      </c>
      <c r="BV10" s="1723">
        <f t="shared" ref="BV10:BV35" si="37">SUM(BJ10:BQ10)-BS10-BT10</f>
        <v>0</v>
      </c>
      <c r="BW10" s="1724">
        <f t="shared" ref="BW10:BW35" si="38">IF(BE10=0,0,BV10/BF10)</f>
        <v>0</v>
      </c>
      <c r="DB10" s="1726">
        <f t="shared" ref="DB10:DB35" si="39">IF(W10=0,0,D$40/SUM(W$10:W$35)*W10)</f>
        <v>0</v>
      </c>
      <c r="DC10" s="1723">
        <f t="shared" ref="DC10:DC35" si="40">E10*N10/12*(D$40-7980)/H$66</f>
        <v>0</v>
      </c>
      <c r="DD10" s="172">
        <f t="shared" ref="DD10:DD35" si="41">ROUND(N10*O10/3088*E10,0)</f>
        <v>0</v>
      </c>
      <c r="DE10" s="847">
        <f t="shared" ref="DE10:DE35" si="42">ROUND(V10,0)</f>
        <v>0</v>
      </c>
      <c r="DF10" s="334">
        <f t="shared" ref="DF10:DF35" si="43">ROUND(IF(C10="Y",(G10*0.25*E10+G10*G10/144*0.5*E10)/27*1.3,0),0)</f>
        <v>0</v>
      </c>
      <c r="DG10" s="847">
        <f t="shared" ref="DG10:DG35" si="44">ROUND(E10*G10/12,0)</f>
        <v>0</v>
      </c>
      <c r="DH10" s="847">
        <f t="shared" ref="DH10:DH35" si="45">IF(C10="y",ROUNDUP(E10*G10/12,0),0)</f>
        <v>0</v>
      </c>
      <c r="DI10" s="847">
        <f t="shared" ref="DI10:DI35" si="46">IF(C10="Y",IF(E10&gt;0,E10,0),0)</f>
        <v>0</v>
      </c>
      <c r="DJ10" s="1727">
        <f t="shared" ref="DJ10:DJ35" si="47">ROUND(E10*N10/12,0)</f>
        <v>0</v>
      </c>
    </row>
    <row r="11" spans="1:114" s="1254" customFormat="1" ht="15.45">
      <c r="A11" s="482"/>
      <c r="B11" s="1177"/>
      <c r="C11" s="1710" t="s">
        <v>1302</v>
      </c>
      <c r="D11" s="1711">
        <v>5</v>
      </c>
      <c r="E11" s="1728">
        <f>405/3</f>
        <v>135</v>
      </c>
      <c r="F11" s="1108">
        <v>12</v>
      </c>
      <c r="G11" s="1109">
        <v>36</v>
      </c>
      <c r="H11" s="1110">
        <v>12</v>
      </c>
      <c r="I11" s="1108">
        <v>5</v>
      </c>
      <c r="J11" s="1109">
        <v>2</v>
      </c>
      <c r="K11" s="1110">
        <v>12</v>
      </c>
      <c r="L11" s="1108">
        <v>5</v>
      </c>
      <c r="M11" s="1108">
        <v>2</v>
      </c>
      <c r="N11" s="1713">
        <v>70</v>
      </c>
      <c r="O11" s="1108">
        <v>12</v>
      </c>
      <c r="P11" s="1108">
        <v>12</v>
      </c>
      <c r="Q11" s="1111">
        <v>5</v>
      </c>
      <c r="R11" s="1714">
        <v>2</v>
      </c>
      <c r="S11" s="1715"/>
      <c r="T11" s="77"/>
      <c r="U11" s="839"/>
      <c r="V11" s="1716">
        <f t="shared" si="0"/>
        <v>5486.3058956835948</v>
      </c>
      <c r="W11" s="1717">
        <f t="shared" si="1"/>
        <v>46.816666666666677</v>
      </c>
      <c r="AH11" s="1720">
        <f t="shared" si="2"/>
        <v>0</v>
      </c>
      <c r="AI11" s="1719">
        <f t="shared" si="3"/>
        <v>0</v>
      </c>
      <c r="AJ11" s="1719">
        <f t="shared" si="4"/>
        <v>30.916666666666668</v>
      </c>
      <c r="AK11" s="1719">
        <f t="shared" si="5"/>
        <v>0</v>
      </c>
      <c r="AL11" s="1719">
        <f t="shared" si="6"/>
        <v>0</v>
      </c>
      <c r="AM11" s="1719">
        <f t="shared" si="7"/>
        <v>0</v>
      </c>
      <c r="AN11" s="1719">
        <f t="shared" si="8"/>
        <v>0</v>
      </c>
      <c r="AO11" s="1719">
        <f t="shared" si="9"/>
        <v>0</v>
      </c>
      <c r="AP11" s="1719">
        <f t="shared" si="10"/>
        <v>0</v>
      </c>
      <c r="AQ11" s="1719">
        <f t="shared" si="11"/>
        <v>0</v>
      </c>
      <c r="AR11" s="1720">
        <f t="shared" si="12"/>
        <v>0</v>
      </c>
      <c r="AS11" s="1719">
        <f t="shared" si="13"/>
        <v>0</v>
      </c>
      <c r="AT11" s="1719">
        <f t="shared" si="14"/>
        <v>0</v>
      </c>
      <c r="AU11" s="1719">
        <f t="shared" si="15"/>
        <v>0</v>
      </c>
      <c r="AV11" s="1719">
        <f t="shared" si="16"/>
        <v>15.900000000000009</v>
      </c>
      <c r="AW11" s="1719">
        <f t="shared" si="17"/>
        <v>0</v>
      </c>
      <c r="AX11" s="1719">
        <f t="shared" si="18"/>
        <v>0</v>
      </c>
      <c r="AY11" s="1719">
        <f t="shared" si="19"/>
        <v>0</v>
      </c>
      <c r="AZ11" s="1719">
        <f t="shared" si="20"/>
        <v>0</v>
      </c>
      <c r="BA11" s="1721">
        <f t="shared" si="21"/>
        <v>0</v>
      </c>
      <c r="BB11" s="1719">
        <f t="shared" si="22"/>
        <v>30.916666666666668</v>
      </c>
      <c r="BC11" s="1719">
        <f t="shared" si="23"/>
        <v>15.900000000000009</v>
      </c>
      <c r="BD11" s="1719">
        <f t="shared" si="24"/>
        <v>5486.3058956835948</v>
      </c>
      <c r="BE11" s="1719">
        <f t="shared" si="25"/>
        <v>810</v>
      </c>
      <c r="BF11" s="1719">
        <f t="shared" si="26"/>
        <v>405</v>
      </c>
      <c r="BG11" s="1719">
        <f t="shared" si="27"/>
        <v>787.5</v>
      </c>
      <c r="BH11" s="1719">
        <f t="shared" si="28"/>
        <v>45</v>
      </c>
      <c r="BJ11" s="1722">
        <f t="shared" si="29"/>
        <v>3860.3019858503699</v>
      </c>
      <c r="BK11" s="1723">
        <f>(AR11*Pricing!F$3+AS11*Pricing!G$3+AT11*Pricing!H$3+AU11*Pricing!I$3+AV11*Pricing!J$3+AW11*Pricing!K$3+AH11*Pricing!F$3+AI11*Pricing!G$3+AJ11*Pricing!H$3+AK11*Pricing!I$3+AL11*Pricing!J$3+AM11*Pricing!K$3)*IF(T$39="N",(1+V$39),1)</f>
        <v>7687.9150000000018</v>
      </c>
      <c r="BL11" s="1723">
        <f t="shared" si="30"/>
        <v>690.33707865168537</v>
      </c>
      <c r="BM11" s="1723">
        <f t="shared" si="31"/>
        <v>3341.25</v>
      </c>
      <c r="BN11" s="1723">
        <f t="shared" si="32"/>
        <v>6300</v>
      </c>
      <c r="BO11" s="1723">
        <f t="shared" si="33"/>
        <v>1234.4188265288087</v>
      </c>
      <c r="BP11" s="1723">
        <f t="shared" si="34"/>
        <v>1485.303370786517</v>
      </c>
      <c r="BQ11" s="1723">
        <f t="shared" si="35"/>
        <v>7603.4555792184647</v>
      </c>
      <c r="BR11" s="1724"/>
      <c r="BS11" s="1725">
        <f>IF(SUM(BF$36:BG$36)=0,0,(BQ$36-W$58-N$64-W59-(L$79*0.15))/SUM(BF$36:BG$36)*BG11+BN11)</f>
        <v>10329.391984119291</v>
      </c>
      <c r="BT11" s="1723">
        <f>(AH11*Pricing!F$3+AI11*Pricing!G$3+AJ11*Pricing!H$3+AK11*Pricing!I$3+AL11*Pricing!J$3+AM11*Pricing!K$3)*IF(T$39="N",(1+V$39),1)</f>
        <v>5020.09375</v>
      </c>
      <c r="BU11" s="1723">
        <f t="shared" si="36"/>
        <v>19.491410456024497</v>
      </c>
      <c r="BV11" s="1723">
        <f t="shared" si="37"/>
        <v>16853.496106916562</v>
      </c>
      <c r="BW11" s="1724">
        <f t="shared" si="38"/>
        <v>41.613570634361885</v>
      </c>
      <c r="DB11" s="1726">
        <f t="shared" si="39"/>
        <v>39253.133379555366</v>
      </c>
      <c r="DC11" s="1723">
        <f t="shared" si="40"/>
        <v>47800.672462639108</v>
      </c>
      <c r="DD11" s="172">
        <f t="shared" si="41"/>
        <v>37</v>
      </c>
      <c r="DE11" s="847">
        <f t="shared" si="42"/>
        <v>5486</v>
      </c>
      <c r="DF11" s="334">
        <f t="shared" si="43"/>
        <v>88</v>
      </c>
      <c r="DG11" s="847">
        <f t="shared" si="44"/>
        <v>405</v>
      </c>
      <c r="DH11" s="847">
        <f t="shared" si="45"/>
        <v>405</v>
      </c>
      <c r="DI11" s="847">
        <f t="shared" si="46"/>
        <v>135</v>
      </c>
      <c r="DJ11" s="1727">
        <f t="shared" si="47"/>
        <v>788</v>
      </c>
    </row>
    <row r="12" spans="1:114" s="1254" customFormat="1" ht="15.45">
      <c r="A12" s="482"/>
      <c r="B12" s="1177"/>
      <c r="C12" s="1710"/>
      <c r="D12" s="1711"/>
      <c r="E12" s="1728"/>
      <c r="F12" s="1108"/>
      <c r="G12" s="1109"/>
      <c r="H12" s="1110"/>
      <c r="I12" s="1108"/>
      <c r="J12" s="1109"/>
      <c r="K12" s="1110"/>
      <c r="L12" s="1108"/>
      <c r="M12" s="1108"/>
      <c r="N12" s="1713"/>
      <c r="O12" s="1108"/>
      <c r="P12" s="1108"/>
      <c r="Q12" s="1111"/>
      <c r="R12" s="1714"/>
      <c r="S12" s="1715"/>
      <c r="T12" s="77"/>
      <c r="U12" s="839"/>
      <c r="V12" s="1716">
        <f t="shared" si="0"/>
        <v>0</v>
      </c>
      <c r="W12" s="1717">
        <f t="shared" si="1"/>
        <v>0</v>
      </c>
      <c r="AH12" s="1720">
        <f t="shared" si="2"/>
        <v>0</v>
      </c>
      <c r="AI12" s="1719">
        <f t="shared" si="3"/>
        <v>0</v>
      </c>
      <c r="AJ12" s="1719">
        <f t="shared" si="4"/>
        <v>0</v>
      </c>
      <c r="AK12" s="1719">
        <f t="shared" si="5"/>
        <v>0</v>
      </c>
      <c r="AL12" s="1719">
        <f t="shared" si="6"/>
        <v>0</v>
      </c>
      <c r="AM12" s="1719">
        <f t="shared" si="7"/>
        <v>0</v>
      </c>
      <c r="AN12" s="1719">
        <f t="shared" si="8"/>
        <v>0</v>
      </c>
      <c r="AO12" s="1719">
        <f t="shared" si="9"/>
        <v>0</v>
      </c>
      <c r="AP12" s="1719">
        <f t="shared" si="10"/>
        <v>0</v>
      </c>
      <c r="AQ12" s="1719">
        <f t="shared" si="11"/>
        <v>0</v>
      </c>
      <c r="AR12" s="1720">
        <f t="shared" si="12"/>
        <v>0</v>
      </c>
      <c r="AS12" s="1719">
        <f t="shared" si="13"/>
        <v>0</v>
      </c>
      <c r="AT12" s="1719">
        <f t="shared" si="14"/>
        <v>0</v>
      </c>
      <c r="AU12" s="1719">
        <f t="shared" si="15"/>
        <v>0</v>
      </c>
      <c r="AV12" s="1719">
        <f t="shared" si="16"/>
        <v>0</v>
      </c>
      <c r="AW12" s="1719">
        <f t="shared" si="17"/>
        <v>0</v>
      </c>
      <c r="AX12" s="1719">
        <f t="shared" si="18"/>
        <v>0</v>
      </c>
      <c r="AY12" s="1719">
        <f t="shared" si="19"/>
        <v>0</v>
      </c>
      <c r="AZ12" s="1719">
        <f t="shared" si="20"/>
        <v>0</v>
      </c>
      <c r="BA12" s="1721">
        <f t="shared" si="21"/>
        <v>0</v>
      </c>
      <c r="BB12" s="1719">
        <f t="shared" si="22"/>
        <v>0</v>
      </c>
      <c r="BC12" s="1719">
        <f t="shared" si="23"/>
        <v>0</v>
      </c>
      <c r="BD12" s="1719">
        <f t="shared" si="24"/>
        <v>0</v>
      </c>
      <c r="BE12" s="1719">
        <f t="shared" si="25"/>
        <v>0</v>
      </c>
      <c r="BF12" s="1719">
        <f t="shared" si="26"/>
        <v>0</v>
      </c>
      <c r="BG12" s="1719">
        <f t="shared" si="27"/>
        <v>0</v>
      </c>
      <c r="BH12" s="1719">
        <f t="shared" si="28"/>
        <v>0</v>
      </c>
      <c r="BJ12" s="1722">
        <f t="shared" si="29"/>
        <v>0</v>
      </c>
      <c r="BK12" s="1723">
        <f>(AR12*Pricing!F$3+AS12*Pricing!G$3+AT12*Pricing!H$3+AU12*Pricing!I$3+AV12*Pricing!J$3+AW12*Pricing!K$3+AH12*Pricing!F$3+AI12*Pricing!G$3+AJ12*Pricing!H$3+AK12*Pricing!I$3+AL12*Pricing!J$3+AM12*Pricing!K$3)*IF(T$39="N",(1+V$39),1)</f>
        <v>0</v>
      </c>
      <c r="BL12" s="1723">
        <f t="shared" si="30"/>
        <v>0</v>
      </c>
      <c r="BM12" s="1723">
        <f t="shared" si="31"/>
        <v>0</v>
      </c>
      <c r="BN12" s="1723">
        <f t="shared" si="32"/>
        <v>0</v>
      </c>
      <c r="BO12" s="1723">
        <f t="shared" si="33"/>
        <v>0</v>
      </c>
      <c r="BP12" s="1723">
        <f t="shared" si="34"/>
        <v>0</v>
      </c>
      <c r="BQ12" s="1723">
        <f t="shared" si="35"/>
        <v>0</v>
      </c>
      <c r="BR12" s="1724"/>
      <c r="BS12" s="1725">
        <f>IF(SUM(BF$36:BG$36)=0,0,(BQ$36-W$58-N$64-W56-(L$79*0.15))/SUM(BF$36:BG$36)*BG12+BN12)</f>
        <v>0</v>
      </c>
      <c r="BT12" s="1723">
        <f>(AH12*Pricing!F$3+AI12*Pricing!G$3+AJ12*Pricing!H$3+AK12*Pricing!I$3+AL12*Pricing!J$3+AM12*Pricing!K$3)*IF(T$39="N",(1+V$39),1)</f>
        <v>0</v>
      </c>
      <c r="BU12" s="1723">
        <f t="shared" si="36"/>
        <v>0</v>
      </c>
      <c r="BV12" s="1723">
        <f t="shared" si="37"/>
        <v>0</v>
      </c>
      <c r="BW12" s="1724">
        <f t="shared" si="38"/>
        <v>0</v>
      </c>
      <c r="DB12" s="1726">
        <f t="shared" si="39"/>
        <v>0</v>
      </c>
      <c r="DC12" s="1723">
        <f t="shared" si="40"/>
        <v>0</v>
      </c>
      <c r="DD12" s="172">
        <f t="shared" si="41"/>
        <v>0</v>
      </c>
      <c r="DE12" s="847">
        <f t="shared" si="42"/>
        <v>0</v>
      </c>
      <c r="DF12" s="334">
        <f t="shared" si="43"/>
        <v>0</v>
      </c>
      <c r="DG12" s="847">
        <f t="shared" si="44"/>
        <v>0</v>
      </c>
      <c r="DH12" s="847">
        <f t="shared" si="45"/>
        <v>0</v>
      </c>
      <c r="DI12" s="847">
        <f t="shared" si="46"/>
        <v>0</v>
      </c>
      <c r="DJ12" s="1727">
        <f t="shared" si="47"/>
        <v>0</v>
      </c>
    </row>
    <row r="13" spans="1:114" s="1254" customFormat="1" ht="15.45">
      <c r="A13" s="482"/>
      <c r="B13" s="1177"/>
      <c r="C13" s="1710" t="s">
        <v>1302</v>
      </c>
      <c r="D13" s="1711">
        <v>5</v>
      </c>
      <c r="E13" s="1728">
        <v>57</v>
      </c>
      <c r="F13" s="1108">
        <v>12</v>
      </c>
      <c r="G13" s="1109">
        <f>2.9*12</f>
        <v>34.799999999999997</v>
      </c>
      <c r="H13" s="1110">
        <v>12</v>
      </c>
      <c r="I13" s="1108">
        <v>5</v>
      </c>
      <c r="J13" s="1109">
        <v>2</v>
      </c>
      <c r="K13" s="1110">
        <v>12</v>
      </c>
      <c r="L13" s="1108">
        <v>5</v>
      </c>
      <c r="M13" s="1108">
        <v>2</v>
      </c>
      <c r="N13" s="1713">
        <v>70</v>
      </c>
      <c r="O13" s="1108">
        <v>12</v>
      </c>
      <c r="P13" s="1108">
        <v>12</v>
      </c>
      <c r="Q13" s="1111">
        <v>5</v>
      </c>
      <c r="R13" s="1714">
        <v>2</v>
      </c>
      <c r="S13" s="1715"/>
      <c r="T13" s="77"/>
      <c r="U13" s="839"/>
      <c r="V13" s="1716">
        <f t="shared" si="0"/>
        <v>2297.7778017304686</v>
      </c>
      <c r="W13" s="1717">
        <f t="shared" si="1"/>
        <v>19.543259259259258</v>
      </c>
      <c r="AH13" s="1720">
        <f t="shared" si="2"/>
        <v>0</v>
      </c>
      <c r="AI13" s="1719">
        <f t="shared" si="3"/>
        <v>0</v>
      </c>
      <c r="AJ13" s="1719">
        <f t="shared" si="4"/>
        <v>13.053703703703704</v>
      </c>
      <c r="AK13" s="1719">
        <f t="shared" si="5"/>
        <v>0</v>
      </c>
      <c r="AL13" s="1719">
        <f t="shared" si="6"/>
        <v>0</v>
      </c>
      <c r="AM13" s="1719">
        <f t="shared" si="7"/>
        <v>0</v>
      </c>
      <c r="AN13" s="1719">
        <f t="shared" si="8"/>
        <v>0</v>
      </c>
      <c r="AO13" s="1719">
        <f t="shared" si="9"/>
        <v>0</v>
      </c>
      <c r="AP13" s="1719">
        <f t="shared" si="10"/>
        <v>0</v>
      </c>
      <c r="AQ13" s="1719">
        <f t="shared" si="11"/>
        <v>0</v>
      </c>
      <c r="AR13" s="1720">
        <f t="shared" si="12"/>
        <v>0</v>
      </c>
      <c r="AS13" s="1719">
        <f t="shared" si="13"/>
        <v>0</v>
      </c>
      <c r="AT13" s="1719">
        <f t="shared" si="14"/>
        <v>0</v>
      </c>
      <c r="AU13" s="1719">
        <f t="shared" si="15"/>
        <v>0</v>
      </c>
      <c r="AV13" s="1719">
        <f t="shared" si="16"/>
        <v>6.4895555555555546</v>
      </c>
      <c r="AW13" s="1719">
        <f t="shared" si="17"/>
        <v>0</v>
      </c>
      <c r="AX13" s="1719">
        <f t="shared" si="18"/>
        <v>0</v>
      </c>
      <c r="AY13" s="1719">
        <f t="shared" si="19"/>
        <v>0</v>
      </c>
      <c r="AZ13" s="1719">
        <f t="shared" si="20"/>
        <v>0</v>
      </c>
      <c r="BA13" s="1721">
        <f t="shared" si="21"/>
        <v>0</v>
      </c>
      <c r="BB13" s="1719">
        <f t="shared" si="22"/>
        <v>13.053703703703704</v>
      </c>
      <c r="BC13" s="1719">
        <f t="shared" si="23"/>
        <v>6.4895555555555546</v>
      </c>
      <c r="BD13" s="1719">
        <f t="shared" si="24"/>
        <v>2297.7778017304686</v>
      </c>
      <c r="BE13" s="1719">
        <f t="shared" si="25"/>
        <v>330.59999999999997</v>
      </c>
      <c r="BF13" s="1719">
        <f t="shared" si="26"/>
        <v>165.29999999999998</v>
      </c>
      <c r="BG13" s="1719">
        <f t="shared" si="27"/>
        <v>332.5</v>
      </c>
      <c r="BH13" s="1719">
        <f t="shared" si="28"/>
        <v>18</v>
      </c>
      <c r="BJ13" s="1722">
        <f t="shared" si="29"/>
        <v>1616.7739057426011</v>
      </c>
      <c r="BK13" s="1723">
        <f>(AR13*Pricing!F$3+AS13*Pricing!G$3+AT13*Pricing!H$3+AU13*Pricing!I$3+AV13*Pricing!J$3+AW13*Pricing!K$3+AH13*Pricing!F$3+AI13*Pricing!G$3+AJ13*Pricing!H$3+AK13*Pricing!I$3+AL13*Pricing!J$3+AM13*Pricing!K$3)*IF(T$39="N",(1+V$39),1)</f>
        <v>3208.4614416666664</v>
      </c>
      <c r="BL13" s="1723">
        <f t="shared" si="30"/>
        <v>274.5658835546476</v>
      </c>
      <c r="BM13" s="1723">
        <f t="shared" si="31"/>
        <v>1363.7249999999999</v>
      </c>
      <c r="BN13" s="1723">
        <f t="shared" si="32"/>
        <v>2660</v>
      </c>
      <c r="BO13" s="1723">
        <f t="shared" si="33"/>
        <v>517.00000538935547</v>
      </c>
      <c r="BP13" s="1723">
        <f t="shared" si="34"/>
        <v>590.74565883554646</v>
      </c>
      <c r="BQ13" s="1723">
        <f t="shared" si="35"/>
        <v>3174.0043499664162</v>
      </c>
      <c r="BR13" s="1724"/>
      <c r="BS13" s="1725">
        <f>IF(SUM(BF$36:BG$36)=0,0,(BQ$36-W$58-N$64-W58-(L$79*0.15))/SUM(BF$36:BG$36)*BG13+BN13)</f>
        <v>4034.2774869187724</v>
      </c>
      <c r="BT13" s="1723">
        <f>(AH13*Pricing!F$3+AI13*Pricing!G$3+AJ13*Pricing!H$3+AK13*Pricing!I$3+AL13*Pricing!J$3+AM13*Pricing!K$3)*IF(T$39="N",(1+V$39),1)</f>
        <v>2119.5951388888889</v>
      </c>
      <c r="BU13" s="1723">
        <f t="shared" si="36"/>
        <v>18.507887596414019</v>
      </c>
      <c r="BV13" s="1723">
        <f t="shared" si="37"/>
        <v>7251.4036193475722</v>
      </c>
      <c r="BW13" s="1724">
        <f t="shared" si="38"/>
        <v>43.868140467922402</v>
      </c>
      <c r="DB13" s="1726">
        <f t="shared" si="39"/>
        <v>16385.920164647927</v>
      </c>
      <c r="DC13" s="1723">
        <f t="shared" si="40"/>
        <v>20182.50615089207</v>
      </c>
      <c r="DD13" s="172">
        <f t="shared" si="41"/>
        <v>16</v>
      </c>
      <c r="DE13" s="847">
        <f t="shared" si="42"/>
        <v>2298</v>
      </c>
      <c r="DF13" s="334">
        <f t="shared" si="43"/>
        <v>35</v>
      </c>
      <c r="DG13" s="847">
        <f t="shared" si="44"/>
        <v>165</v>
      </c>
      <c r="DH13" s="847">
        <f t="shared" si="45"/>
        <v>166</v>
      </c>
      <c r="DI13" s="847">
        <f t="shared" si="46"/>
        <v>57</v>
      </c>
      <c r="DJ13" s="1727">
        <f t="shared" si="47"/>
        <v>333</v>
      </c>
    </row>
    <row r="14" spans="1:114" s="1254" customFormat="1" ht="15.45">
      <c r="A14" s="482"/>
      <c r="B14" s="1177"/>
      <c r="C14" s="1710" t="s">
        <v>1302</v>
      </c>
      <c r="D14" s="1711">
        <v>5</v>
      </c>
      <c r="E14" s="1728">
        <v>28</v>
      </c>
      <c r="F14" s="1108">
        <v>12</v>
      </c>
      <c r="G14" s="1109">
        <f>5.1*12</f>
        <v>61.199999999999996</v>
      </c>
      <c r="H14" s="1110">
        <v>12</v>
      </c>
      <c r="I14" s="1108">
        <v>5</v>
      </c>
      <c r="J14" s="1109">
        <v>2</v>
      </c>
      <c r="K14" s="1110">
        <v>12</v>
      </c>
      <c r="L14" s="1108">
        <v>5</v>
      </c>
      <c r="M14" s="1108">
        <v>2</v>
      </c>
      <c r="N14" s="1713">
        <v>70</v>
      </c>
      <c r="O14" s="1108">
        <v>12</v>
      </c>
      <c r="P14" s="1108">
        <v>12</v>
      </c>
      <c r="Q14" s="1111">
        <v>5</v>
      </c>
      <c r="R14" s="1714">
        <v>2</v>
      </c>
      <c r="S14" s="1715"/>
      <c r="T14" s="77"/>
      <c r="U14" s="839"/>
      <c r="V14" s="1716">
        <f t="shared" si="0"/>
        <v>1428.2904823085937</v>
      </c>
      <c r="W14" s="1717">
        <f t="shared" si="1"/>
        <v>12.018567901234567</v>
      </c>
      <c r="AH14" s="1720">
        <f t="shared" si="2"/>
        <v>0</v>
      </c>
      <c r="AI14" s="1719">
        <f t="shared" si="3"/>
        <v>0</v>
      </c>
      <c r="AJ14" s="1719">
        <f t="shared" si="4"/>
        <v>6.4123456790123461</v>
      </c>
      <c r="AK14" s="1719">
        <f t="shared" si="5"/>
        <v>0</v>
      </c>
      <c r="AL14" s="1719">
        <f t="shared" si="6"/>
        <v>0</v>
      </c>
      <c r="AM14" s="1719">
        <f t="shared" si="7"/>
        <v>0</v>
      </c>
      <c r="AN14" s="1719">
        <f t="shared" si="8"/>
        <v>0</v>
      </c>
      <c r="AO14" s="1719">
        <f t="shared" si="9"/>
        <v>0</v>
      </c>
      <c r="AP14" s="1719">
        <f t="shared" si="10"/>
        <v>0</v>
      </c>
      <c r="AQ14" s="1719">
        <f t="shared" si="11"/>
        <v>0</v>
      </c>
      <c r="AR14" s="1720">
        <f t="shared" si="12"/>
        <v>0</v>
      </c>
      <c r="AS14" s="1719">
        <f t="shared" si="13"/>
        <v>0</v>
      </c>
      <c r="AT14" s="1719">
        <f t="shared" si="14"/>
        <v>0</v>
      </c>
      <c r="AU14" s="1719">
        <f t="shared" si="15"/>
        <v>0</v>
      </c>
      <c r="AV14" s="1719">
        <f t="shared" si="16"/>
        <v>5.6062222222222209</v>
      </c>
      <c r="AW14" s="1719">
        <f t="shared" si="17"/>
        <v>0</v>
      </c>
      <c r="AX14" s="1719">
        <f t="shared" si="18"/>
        <v>0</v>
      </c>
      <c r="AY14" s="1719">
        <f t="shared" si="19"/>
        <v>0</v>
      </c>
      <c r="AZ14" s="1719">
        <f t="shared" si="20"/>
        <v>0</v>
      </c>
      <c r="BA14" s="1721">
        <f t="shared" si="21"/>
        <v>0</v>
      </c>
      <c r="BB14" s="1719">
        <f t="shared" si="22"/>
        <v>6.4123456790123461</v>
      </c>
      <c r="BC14" s="1719">
        <f t="shared" si="23"/>
        <v>5.6062222222222209</v>
      </c>
      <c r="BD14" s="1719">
        <f t="shared" si="24"/>
        <v>1428.2904823085937</v>
      </c>
      <c r="BE14" s="1719">
        <f t="shared" si="25"/>
        <v>285.59999999999997</v>
      </c>
      <c r="BF14" s="1719">
        <f t="shared" si="26"/>
        <v>142.79999999999998</v>
      </c>
      <c r="BG14" s="1719">
        <f t="shared" si="27"/>
        <v>163.33333333333334</v>
      </c>
      <c r="BH14" s="1719">
        <f t="shared" si="28"/>
        <v>16</v>
      </c>
      <c r="BJ14" s="1722">
        <f t="shared" si="29"/>
        <v>1004.9808906143843</v>
      </c>
      <c r="BK14" s="1723">
        <f>(AR14*Pricing!F$3+AS14*Pricing!G$3+AT14*Pricing!H$3+AU14*Pricing!I$3+AV14*Pricing!J$3+AW14*Pricing!K$3+AH14*Pricing!F$3+AI14*Pricing!G$3+AJ14*Pricing!H$3+AK14*Pricing!I$3+AL14*Pricing!J$3+AM14*Pricing!K$3)*IF(T$39="N",(1+V$39),1)</f>
        <v>1981.8586407407406</v>
      </c>
      <c r="BL14" s="1723">
        <f t="shared" si="30"/>
        <v>298.10010214504598</v>
      </c>
      <c r="BM14" s="1723">
        <f t="shared" si="31"/>
        <v>1178.0999999999999</v>
      </c>
      <c r="BN14" s="1723">
        <f t="shared" si="32"/>
        <v>1306.6666666666667</v>
      </c>
      <c r="BO14" s="1723">
        <f t="shared" si="33"/>
        <v>321.36535851943358</v>
      </c>
      <c r="BP14" s="1723">
        <f t="shared" si="34"/>
        <v>641.38100102145052</v>
      </c>
      <c r="BQ14" s="1723">
        <f t="shared" si="35"/>
        <v>1951.9255356965025</v>
      </c>
      <c r="BR14" s="1724"/>
      <c r="BS14" s="1725">
        <f>IF(SUM(BF$36:BG$36)=0,0,(BQ$36-W$58-N$64-W78-(L$79*0.15))/SUM(BF$36:BG$36)*BG14+BN14)</f>
        <v>2152.0387325524771</v>
      </c>
      <c r="BT14" s="1723">
        <f>(AH14*Pricing!F$3+AI14*Pricing!G$3+AJ14*Pricing!H$3+AK14*Pricing!I$3+AL14*Pricing!J$3+AM14*Pricing!K$3)*IF(T$39="N",(1+V$39),1)</f>
        <v>1041.2046296296298</v>
      </c>
      <c r="BU14" s="1723">
        <f t="shared" si="36"/>
        <v>19.550469564380247</v>
      </c>
      <c r="BV14" s="1723">
        <f t="shared" si="37"/>
        <v>5491.1348332221169</v>
      </c>
      <c r="BW14" s="1724">
        <f t="shared" si="38"/>
        <v>38.453325162619869</v>
      </c>
      <c r="DB14" s="1726">
        <f t="shared" si="39"/>
        <v>10076.89104005133</v>
      </c>
      <c r="DC14" s="1723">
        <f t="shared" si="40"/>
        <v>9914.2135478066302</v>
      </c>
      <c r="DD14" s="172">
        <f t="shared" si="41"/>
        <v>8</v>
      </c>
      <c r="DE14" s="847">
        <f t="shared" si="42"/>
        <v>1428</v>
      </c>
      <c r="DF14" s="334">
        <f t="shared" si="43"/>
        <v>38</v>
      </c>
      <c r="DG14" s="847">
        <f t="shared" si="44"/>
        <v>143</v>
      </c>
      <c r="DH14" s="847">
        <f t="shared" si="45"/>
        <v>143</v>
      </c>
      <c r="DI14" s="847">
        <f t="shared" si="46"/>
        <v>28</v>
      </c>
      <c r="DJ14" s="1727">
        <f t="shared" si="47"/>
        <v>163</v>
      </c>
    </row>
    <row r="15" spans="1:114" s="1254" customFormat="1" ht="15.45">
      <c r="A15" s="482"/>
      <c r="B15" s="1177"/>
      <c r="C15" s="1710" t="s">
        <v>1302</v>
      </c>
      <c r="D15" s="1711">
        <v>5</v>
      </c>
      <c r="E15" s="1728">
        <v>65</v>
      </c>
      <c r="F15" s="1108">
        <v>12</v>
      </c>
      <c r="G15" s="1109">
        <f>12*6.29</f>
        <v>75.48</v>
      </c>
      <c r="H15" s="1110">
        <v>12</v>
      </c>
      <c r="I15" s="1108">
        <v>5</v>
      </c>
      <c r="J15" s="1109">
        <v>2</v>
      </c>
      <c r="K15" s="1110">
        <v>12</v>
      </c>
      <c r="L15" s="1108">
        <v>5</v>
      </c>
      <c r="M15" s="1108">
        <v>2</v>
      </c>
      <c r="N15" s="1713">
        <v>70</v>
      </c>
      <c r="O15" s="1108">
        <v>12</v>
      </c>
      <c r="P15" s="1108">
        <v>12</v>
      </c>
      <c r="Q15" s="1111">
        <v>5</v>
      </c>
      <c r="R15" s="1714">
        <v>2</v>
      </c>
      <c r="S15" s="1715"/>
      <c r="T15" s="77"/>
      <c r="U15" s="839"/>
      <c r="V15" s="1716">
        <f t="shared" si="0"/>
        <v>3645.1772047796876</v>
      </c>
      <c r="W15" s="1717">
        <f t="shared" si="1"/>
        <v>30.936950617283951</v>
      </c>
      <c r="AH15" s="1720">
        <f t="shared" si="2"/>
        <v>0</v>
      </c>
      <c r="AI15" s="1719">
        <f t="shared" si="3"/>
        <v>0</v>
      </c>
      <c r="AJ15" s="1719">
        <f t="shared" si="4"/>
        <v>14.885802469135804</v>
      </c>
      <c r="AK15" s="1719">
        <f t="shared" si="5"/>
        <v>0</v>
      </c>
      <c r="AL15" s="1719">
        <f t="shared" si="6"/>
        <v>0</v>
      </c>
      <c r="AM15" s="1719">
        <f t="shared" si="7"/>
        <v>0</v>
      </c>
      <c r="AN15" s="1719">
        <f t="shared" si="8"/>
        <v>0</v>
      </c>
      <c r="AO15" s="1719">
        <f t="shared" si="9"/>
        <v>0</v>
      </c>
      <c r="AP15" s="1719">
        <f t="shared" si="10"/>
        <v>0</v>
      </c>
      <c r="AQ15" s="1719">
        <f t="shared" si="11"/>
        <v>0</v>
      </c>
      <c r="AR15" s="1720">
        <f t="shared" si="12"/>
        <v>0</v>
      </c>
      <c r="AS15" s="1719">
        <f t="shared" si="13"/>
        <v>0</v>
      </c>
      <c r="AT15" s="1719">
        <f t="shared" si="14"/>
        <v>0</v>
      </c>
      <c r="AU15" s="1719">
        <f t="shared" si="15"/>
        <v>0</v>
      </c>
      <c r="AV15" s="1719">
        <f t="shared" si="16"/>
        <v>16.051148148148147</v>
      </c>
      <c r="AW15" s="1719">
        <f t="shared" si="17"/>
        <v>0</v>
      </c>
      <c r="AX15" s="1719">
        <f t="shared" si="18"/>
        <v>0</v>
      </c>
      <c r="AY15" s="1719">
        <f t="shared" si="19"/>
        <v>0</v>
      </c>
      <c r="AZ15" s="1719">
        <f t="shared" si="20"/>
        <v>0</v>
      </c>
      <c r="BA15" s="1721">
        <f t="shared" si="21"/>
        <v>0</v>
      </c>
      <c r="BB15" s="1719">
        <f t="shared" si="22"/>
        <v>14.885802469135804</v>
      </c>
      <c r="BC15" s="1719">
        <f t="shared" si="23"/>
        <v>16.051148148148147</v>
      </c>
      <c r="BD15" s="1719">
        <f t="shared" si="24"/>
        <v>3645.1772047796876</v>
      </c>
      <c r="BE15" s="1719">
        <f t="shared" si="25"/>
        <v>817.69999999999993</v>
      </c>
      <c r="BF15" s="1719">
        <f t="shared" si="26"/>
        <v>408.84999999999997</v>
      </c>
      <c r="BG15" s="1719">
        <f t="shared" si="27"/>
        <v>379.16666666666669</v>
      </c>
      <c r="BH15" s="1719">
        <f t="shared" si="28"/>
        <v>45</v>
      </c>
      <c r="BJ15" s="1722">
        <f t="shared" si="29"/>
        <v>2564.8378107131075</v>
      </c>
      <c r="BK15" s="1723">
        <f>(AR15*Pricing!F$3+AS15*Pricing!G$3+AT15*Pricing!H$3+AU15*Pricing!I$3+AV15*Pricing!J$3+AW15*Pricing!K$3+AH15*Pricing!F$3+AI15*Pricing!G$3+AJ15*Pricing!H$3+AK15*Pricing!I$3+AL15*Pricing!J$3+AM15*Pricing!K$3)*IF(T$39="N",(1+V$39),1)</f>
        <v>5110.2641958333334</v>
      </c>
      <c r="BL15" s="1723">
        <f t="shared" si="30"/>
        <v>949.21348314606746</v>
      </c>
      <c r="BM15" s="1723">
        <f t="shared" si="31"/>
        <v>3373.0124999999998</v>
      </c>
      <c r="BN15" s="1723">
        <f t="shared" si="32"/>
        <v>3033.3333333333335</v>
      </c>
      <c r="BO15" s="1723">
        <f t="shared" si="33"/>
        <v>820.1648710754298</v>
      </c>
      <c r="BP15" s="1723">
        <f t="shared" si="34"/>
        <v>2042.2921348314608</v>
      </c>
      <c r="BQ15" s="1723">
        <f t="shared" si="35"/>
        <v>5024.444210217026</v>
      </c>
      <c r="BR15" s="1724"/>
      <c r="BS15" s="1725">
        <f>IF(SUM(BF$36:BG$36)=0,0,(BQ$36-W$58-N$64-W79-(L$79*0.15))/SUM(BF$36:BG$36)*BG15+BN15)</f>
        <v>4978.9959524339774</v>
      </c>
      <c r="BT15" s="1723">
        <f>(AH15*Pricing!F$3+AI15*Pricing!G$3+AJ15*Pricing!H$3+AK15*Pricing!I$3+AL15*Pricing!J$3+AM15*Pricing!K$3)*IF(T$39="N",(1+V$39),1)</f>
        <v>2417.0821759259261</v>
      </c>
      <c r="BU15" s="1723">
        <f t="shared" si="36"/>
        <v>19.506140118751393</v>
      </c>
      <c r="BV15" s="1723">
        <f t="shared" si="37"/>
        <v>15521.484410789853</v>
      </c>
      <c r="BW15" s="1724">
        <f t="shared" si="38"/>
        <v>37.963762775565257</v>
      </c>
      <c r="DB15" s="1726">
        <f t="shared" si="39"/>
        <v>25938.88748174363</v>
      </c>
      <c r="DC15" s="1723">
        <f t="shared" si="40"/>
        <v>23015.138593122534</v>
      </c>
      <c r="DD15" s="172">
        <f t="shared" si="41"/>
        <v>18</v>
      </c>
      <c r="DE15" s="847">
        <f t="shared" si="42"/>
        <v>3645</v>
      </c>
      <c r="DF15" s="334">
        <f t="shared" si="43"/>
        <v>121</v>
      </c>
      <c r="DG15" s="847">
        <f t="shared" si="44"/>
        <v>409</v>
      </c>
      <c r="DH15" s="847">
        <f t="shared" si="45"/>
        <v>409</v>
      </c>
      <c r="DI15" s="847">
        <f t="shared" si="46"/>
        <v>65</v>
      </c>
      <c r="DJ15" s="1727">
        <f t="shared" si="47"/>
        <v>379</v>
      </c>
    </row>
    <row r="16" spans="1:114" s="1254" customFormat="1" ht="15.45">
      <c r="A16" s="482"/>
      <c r="B16" s="1177"/>
      <c r="C16" s="1710" t="s">
        <v>1302</v>
      </c>
      <c r="D16" s="1711">
        <v>5</v>
      </c>
      <c r="E16" s="1728">
        <v>32</v>
      </c>
      <c r="F16" s="1108">
        <v>12</v>
      </c>
      <c r="G16" s="1109">
        <f>12*5.9</f>
        <v>70.800000000000011</v>
      </c>
      <c r="H16" s="1110">
        <v>12</v>
      </c>
      <c r="I16" s="1108">
        <v>5</v>
      </c>
      <c r="J16" s="1109">
        <v>2</v>
      </c>
      <c r="K16" s="1110">
        <v>12</v>
      </c>
      <c r="L16" s="1108">
        <v>5</v>
      </c>
      <c r="M16" s="1108">
        <v>2</v>
      </c>
      <c r="N16" s="1713">
        <v>70</v>
      </c>
      <c r="O16" s="1108">
        <v>12</v>
      </c>
      <c r="P16" s="1108">
        <v>12</v>
      </c>
      <c r="Q16" s="1111">
        <v>5</v>
      </c>
      <c r="R16" s="1714">
        <v>2</v>
      </c>
      <c r="S16" s="1715"/>
      <c r="T16" s="77"/>
      <c r="U16" s="839"/>
      <c r="V16" s="1716">
        <f t="shared" si="0"/>
        <v>1750.141523839844</v>
      </c>
      <c r="W16" s="1717">
        <f t="shared" si="1"/>
        <v>14.740543209876543</v>
      </c>
      <c r="AH16" s="1720">
        <f t="shared" si="2"/>
        <v>0</v>
      </c>
      <c r="AI16" s="1719">
        <f t="shared" si="3"/>
        <v>0</v>
      </c>
      <c r="AJ16" s="1719">
        <f t="shared" si="4"/>
        <v>7.3283950617283953</v>
      </c>
      <c r="AK16" s="1719">
        <f t="shared" si="5"/>
        <v>0</v>
      </c>
      <c r="AL16" s="1719">
        <f t="shared" si="6"/>
        <v>0</v>
      </c>
      <c r="AM16" s="1719">
        <f t="shared" si="7"/>
        <v>0</v>
      </c>
      <c r="AN16" s="1719">
        <f t="shared" si="8"/>
        <v>0</v>
      </c>
      <c r="AO16" s="1719">
        <f t="shared" si="9"/>
        <v>0</v>
      </c>
      <c r="AP16" s="1719">
        <f t="shared" si="10"/>
        <v>0</v>
      </c>
      <c r="AQ16" s="1719">
        <f t="shared" si="11"/>
        <v>0</v>
      </c>
      <c r="AR16" s="1720">
        <f t="shared" si="12"/>
        <v>0</v>
      </c>
      <c r="AS16" s="1719">
        <f t="shared" si="13"/>
        <v>0</v>
      </c>
      <c r="AT16" s="1719">
        <f t="shared" si="14"/>
        <v>0</v>
      </c>
      <c r="AU16" s="1719">
        <f t="shared" si="15"/>
        <v>0</v>
      </c>
      <c r="AV16" s="1719">
        <f t="shared" si="16"/>
        <v>7.4121481481481482</v>
      </c>
      <c r="AW16" s="1719">
        <f t="shared" si="17"/>
        <v>0</v>
      </c>
      <c r="AX16" s="1719">
        <f t="shared" si="18"/>
        <v>0</v>
      </c>
      <c r="AY16" s="1719">
        <f t="shared" si="19"/>
        <v>0</v>
      </c>
      <c r="AZ16" s="1719">
        <f t="shared" si="20"/>
        <v>0</v>
      </c>
      <c r="BA16" s="1721">
        <f t="shared" si="21"/>
        <v>0</v>
      </c>
      <c r="BB16" s="1719">
        <f t="shared" si="22"/>
        <v>7.3283950617283953</v>
      </c>
      <c r="BC16" s="1719">
        <f t="shared" si="23"/>
        <v>7.4121481481481482</v>
      </c>
      <c r="BD16" s="1719">
        <f t="shared" si="24"/>
        <v>1750.141523839844</v>
      </c>
      <c r="BE16" s="1719">
        <f t="shared" si="25"/>
        <v>377.60000000000008</v>
      </c>
      <c r="BF16" s="1719">
        <f t="shared" si="26"/>
        <v>188.80000000000004</v>
      </c>
      <c r="BG16" s="1719">
        <f t="shared" si="27"/>
        <v>186.66666666666666</v>
      </c>
      <c r="BH16" s="1719">
        <f t="shared" si="28"/>
        <v>21</v>
      </c>
      <c r="BJ16" s="1722">
        <f t="shared" si="29"/>
        <v>1231.4433297118103</v>
      </c>
      <c r="BK16" s="1723">
        <f>(AR16*Pricing!F$3+AS16*Pricing!G$3+AT16*Pricing!H$3+AU16*Pricing!I$3+AV16*Pricing!J$3+AW16*Pricing!K$3+AH16*Pricing!F$3+AI16*Pricing!G$3+AJ16*Pricing!H$3+AK16*Pricing!I$3+AL16*Pricing!J$3+AM16*Pricing!K$3)*IF(T$39="N",(1+V$39),1)</f>
        <v>2433.6139555555555</v>
      </c>
      <c r="BL16" s="1723">
        <f t="shared" si="30"/>
        <v>423.61593462717059</v>
      </c>
      <c r="BM16" s="1723">
        <f t="shared" si="31"/>
        <v>1557.6000000000004</v>
      </c>
      <c r="BN16" s="1723">
        <f t="shared" si="32"/>
        <v>1493.3333333333333</v>
      </c>
      <c r="BO16" s="1723">
        <f t="shared" si="33"/>
        <v>393.78184286396493</v>
      </c>
      <c r="BP16" s="1723">
        <f t="shared" si="34"/>
        <v>911.43615934627178</v>
      </c>
      <c r="BQ16" s="1723">
        <f t="shared" si="35"/>
        <v>2393.9992632932717</v>
      </c>
      <c r="BR16" s="1724"/>
      <c r="BS16" s="1725">
        <f>IF(SUM(BF$36:BG$36)=0,0,(BQ$36-W$58-N$64-W71-(L$79*0.15))/SUM(BF$36:BG$36)*BG16+BN16)</f>
        <v>2462.6178712326873</v>
      </c>
      <c r="BT16" s="1723">
        <f>(AH16*Pricing!F$3+AI16*Pricing!G$3+AJ16*Pricing!H$3+AK16*Pricing!I$3+AL16*Pricing!J$3+AM16*Pricing!K$3)*IF(T$39="N",(1+V$39),1)</f>
        <v>1189.9481481481482</v>
      </c>
      <c r="BU16" s="1723">
        <f t="shared" si="36"/>
        <v>19.567317960968762</v>
      </c>
      <c r="BV16" s="1723">
        <f t="shared" si="37"/>
        <v>7186.2577993505429</v>
      </c>
      <c r="BW16" s="1724">
        <f t="shared" si="38"/>
        <v>38.06280614062787</v>
      </c>
      <c r="DB16" s="1726">
        <f t="shared" si="39"/>
        <v>12359.113749470622</v>
      </c>
      <c r="DC16" s="1723">
        <f t="shared" si="40"/>
        <v>11330.529768921862</v>
      </c>
      <c r="DD16" s="172">
        <f t="shared" si="41"/>
        <v>9</v>
      </c>
      <c r="DE16" s="847">
        <f t="shared" si="42"/>
        <v>1750</v>
      </c>
      <c r="DF16" s="334">
        <f t="shared" si="43"/>
        <v>54</v>
      </c>
      <c r="DG16" s="847">
        <f t="shared" si="44"/>
        <v>189</v>
      </c>
      <c r="DH16" s="847">
        <f t="shared" si="45"/>
        <v>189</v>
      </c>
      <c r="DI16" s="847">
        <f t="shared" si="46"/>
        <v>32</v>
      </c>
      <c r="DJ16" s="1727">
        <f t="shared" si="47"/>
        <v>187</v>
      </c>
    </row>
    <row r="17" spans="1:114" s="1254" customFormat="1" ht="15.45">
      <c r="A17" s="482"/>
      <c r="B17" s="1177"/>
      <c r="C17" s="1710" t="s">
        <v>1302</v>
      </c>
      <c r="D17" s="1711">
        <v>5</v>
      </c>
      <c r="E17" s="1837">
        <v>32</v>
      </c>
      <c r="F17" s="1108">
        <v>12</v>
      </c>
      <c r="G17" s="1109">
        <f>12*5.3</f>
        <v>63.599999999999994</v>
      </c>
      <c r="H17" s="1110">
        <v>12</v>
      </c>
      <c r="I17" s="1108">
        <v>5</v>
      </c>
      <c r="J17" s="1109">
        <v>2</v>
      </c>
      <c r="K17" s="1110">
        <v>12</v>
      </c>
      <c r="L17" s="1108">
        <v>5</v>
      </c>
      <c r="M17" s="1108">
        <v>2</v>
      </c>
      <c r="N17" s="1713">
        <v>70</v>
      </c>
      <c r="O17" s="1108">
        <v>12</v>
      </c>
      <c r="P17" s="1108">
        <v>12</v>
      </c>
      <c r="Q17" s="1111">
        <v>5</v>
      </c>
      <c r="R17" s="1714">
        <v>2</v>
      </c>
      <c r="S17" s="1715"/>
      <c r="T17" s="77"/>
      <c r="U17" s="839"/>
      <c r="V17" s="1716">
        <f t="shared" si="0"/>
        <v>1659.2767335976562</v>
      </c>
      <c r="W17" s="1717">
        <f t="shared" si="1"/>
        <v>13.986765432098766</v>
      </c>
      <c r="AH17" s="1720">
        <f t="shared" si="2"/>
        <v>0</v>
      </c>
      <c r="AI17" s="1719">
        <f t="shared" si="3"/>
        <v>0</v>
      </c>
      <c r="AJ17" s="1719">
        <f t="shared" si="4"/>
        <v>7.3283950617283953</v>
      </c>
      <c r="AK17" s="1719">
        <f t="shared" si="5"/>
        <v>0</v>
      </c>
      <c r="AL17" s="1719">
        <f t="shared" si="6"/>
        <v>0</v>
      </c>
      <c r="AM17" s="1719">
        <f t="shared" si="7"/>
        <v>0</v>
      </c>
      <c r="AN17" s="1719">
        <f t="shared" si="8"/>
        <v>0</v>
      </c>
      <c r="AO17" s="1719">
        <f t="shared" si="9"/>
        <v>0</v>
      </c>
      <c r="AP17" s="1719">
        <f t="shared" si="10"/>
        <v>0</v>
      </c>
      <c r="AQ17" s="1719">
        <f t="shared" si="11"/>
        <v>0</v>
      </c>
      <c r="AR17" s="1720">
        <f t="shared" si="12"/>
        <v>0</v>
      </c>
      <c r="AS17" s="1719">
        <f t="shared" si="13"/>
        <v>0</v>
      </c>
      <c r="AT17" s="1719">
        <f t="shared" si="14"/>
        <v>0</v>
      </c>
      <c r="AU17" s="1719">
        <f t="shared" si="15"/>
        <v>0</v>
      </c>
      <c r="AV17" s="1719">
        <f t="shared" si="16"/>
        <v>6.6583703703703705</v>
      </c>
      <c r="AW17" s="1719">
        <f t="shared" si="17"/>
        <v>0</v>
      </c>
      <c r="AX17" s="1719">
        <f t="shared" si="18"/>
        <v>0</v>
      </c>
      <c r="AY17" s="1719">
        <f t="shared" si="19"/>
        <v>0</v>
      </c>
      <c r="AZ17" s="1719">
        <f t="shared" si="20"/>
        <v>0</v>
      </c>
      <c r="BA17" s="1721">
        <f t="shared" si="21"/>
        <v>0</v>
      </c>
      <c r="BB17" s="1719">
        <f t="shared" si="22"/>
        <v>7.3283950617283953</v>
      </c>
      <c r="BC17" s="1719">
        <f t="shared" si="23"/>
        <v>6.6583703703703705</v>
      </c>
      <c r="BD17" s="1719">
        <f t="shared" si="24"/>
        <v>1659.2767335976562</v>
      </c>
      <c r="BE17" s="1719">
        <f t="shared" si="25"/>
        <v>339.2</v>
      </c>
      <c r="BF17" s="1719">
        <f t="shared" si="26"/>
        <v>169.6</v>
      </c>
      <c r="BG17" s="1719">
        <f t="shared" si="27"/>
        <v>186.66666666666666</v>
      </c>
      <c r="BH17" s="1719">
        <f t="shared" si="28"/>
        <v>19</v>
      </c>
      <c r="BJ17" s="1722">
        <f t="shared" si="29"/>
        <v>1167.5085916776509</v>
      </c>
      <c r="BK17" s="1723">
        <f>(AR17*Pricing!F$3+AS17*Pricing!G$3+AT17*Pricing!H$3+AU17*Pricing!I$3+AV17*Pricing!J$3+AW17*Pricing!K$3+AH17*Pricing!F$3+AI17*Pricing!G$3+AJ17*Pricing!H$3+AK17*Pricing!I$3+AL17*Pricing!J$3+AM17*Pricing!K$3)*IF(T$39="N",(1+V$39),1)</f>
        <v>2307.139466666667</v>
      </c>
      <c r="BL17" s="1723">
        <f t="shared" si="30"/>
        <v>360.85801838610831</v>
      </c>
      <c r="BM17" s="1723">
        <f t="shared" si="31"/>
        <v>1399.2</v>
      </c>
      <c r="BN17" s="1723">
        <f t="shared" si="32"/>
        <v>1493.3333333333333</v>
      </c>
      <c r="BO17" s="1723">
        <f t="shared" si="33"/>
        <v>373.33726505947266</v>
      </c>
      <c r="BP17" s="1723">
        <f t="shared" si="34"/>
        <v>776.40858018386109</v>
      </c>
      <c r="BQ17" s="1723">
        <f t="shared" si="35"/>
        <v>2271.5788464203201</v>
      </c>
      <c r="BR17" s="1724"/>
      <c r="BS17" s="1725">
        <f>IF(SUM(BF$36:BG$36)=0,0,(BQ$36-W$58-N$64-W64-(L$79*0.15))/SUM(BF$36:BG$36)*BG17+BN17)</f>
        <v>2462.6178712326873</v>
      </c>
      <c r="BT17" s="1723">
        <f>(AH17*Pricing!F$3+AI17*Pricing!G$3+AJ17*Pricing!H$3+AK17*Pricing!I$3+AL17*Pricing!J$3+AM17*Pricing!K$3)*IF(T$39="N",(1+V$39),1)</f>
        <v>1189.9481481481482</v>
      </c>
      <c r="BU17" s="1723">
        <f t="shared" si="36"/>
        <v>19.567317960968762</v>
      </c>
      <c r="BV17" s="1723">
        <f t="shared" si="37"/>
        <v>6496.7980823465778</v>
      </c>
      <c r="BW17" s="1724">
        <f t="shared" si="38"/>
        <v>38.306592466666146</v>
      </c>
      <c r="DB17" s="1726">
        <f t="shared" si="39"/>
        <v>11727.113614554512</v>
      </c>
      <c r="DC17" s="1723">
        <f t="shared" si="40"/>
        <v>11330.529768921862</v>
      </c>
      <c r="DD17" s="172">
        <f t="shared" si="41"/>
        <v>9</v>
      </c>
      <c r="DE17" s="847">
        <f t="shared" si="42"/>
        <v>1659</v>
      </c>
      <c r="DF17" s="334">
        <f t="shared" si="43"/>
        <v>46</v>
      </c>
      <c r="DG17" s="847">
        <f t="shared" si="44"/>
        <v>170</v>
      </c>
      <c r="DH17" s="847">
        <f t="shared" si="45"/>
        <v>170</v>
      </c>
      <c r="DI17" s="847">
        <f t="shared" si="46"/>
        <v>32</v>
      </c>
      <c r="DJ17" s="1727">
        <f t="shared" si="47"/>
        <v>187</v>
      </c>
    </row>
    <row r="18" spans="1:114" s="1254" customFormat="1" ht="15.45">
      <c r="A18" s="482"/>
      <c r="B18" s="1177"/>
      <c r="C18" s="1710" t="s">
        <v>1302</v>
      </c>
      <c r="D18" s="1711">
        <v>5</v>
      </c>
      <c r="E18" s="1837">
        <v>32</v>
      </c>
      <c r="F18" s="1108">
        <v>12</v>
      </c>
      <c r="G18" s="1109">
        <f>12*5.6</f>
        <v>67.199999999999989</v>
      </c>
      <c r="H18" s="1110">
        <v>12</v>
      </c>
      <c r="I18" s="1108">
        <v>5</v>
      </c>
      <c r="J18" s="1109">
        <v>2</v>
      </c>
      <c r="K18" s="1110">
        <v>12</v>
      </c>
      <c r="L18" s="1108">
        <v>5</v>
      </c>
      <c r="M18" s="1108">
        <v>2</v>
      </c>
      <c r="N18" s="1713">
        <v>70</v>
      </c>
      <c r="O18" s="1108">
        <v>12</v>
      </c>
      <c r="P18" s="1108">
        <v>12</v>
      </c>
      <c r="Q18" s="1111">
        <v>5</v>
      </c>
      <c r="R18" s="1714">
        <v>2</v>
      </c>
      <c r="S18" s="1715"/>
      <c r="T18" s="77"/>
      <c r="U18" s="839"/>
      <c r="V18" s="1716">
        <f t="shared" si="0"/>
        <v>1704.7091287187498</v>
      </c>
      <c r="W18" s="1717">
        <f t="shared" si="1"/>
        <v>14.363654320987653</v>
      </c>
      <c r="AH18" s="1720">
        <f t="shared" si="2"/>
        <v>0</v>
      </c>
      <c r="AI18" s="1719">
        <f t="shared" si="3"/>
        <v>0</v>
      </c>
      <c r="AJ18" s="1719">
        <f t="shared" si="4"/>
        <v>7.3283950617283953</v>
      </c>
      <c r="AK18" s="1719">
        <f t="shared" si="5"/>
        <v>0</v>
      </c>
      <c r="AL18" s="1719">
        <f t="shared" si="6"/>
        <v>0</v>
      </c>
      <c r="AM18" s="1719">
        <f t="shared" si="7"/>
        <v>0</v>
      </c>
      <c r="AN18" s="1719">
        <f t="shared" si="8"/>
        <v>0</v>
      </c>
      <c r="AO18" s="1719">
        <f t="shared" si="9"/>
        <v>0</v>
      </c>
      <c r="AP18" s="1719">
        <f t="shared" si="10"/>
        <v>0</v>
      </c>
      <c r="AQ18" s="1719">
        <f t="shared" si="11"/>
        <v>0</v>
      </c>
      <c r="AR18" s="1720">
        <f t="shared" si="12"/>
        <v>0</v>
      </c>
      <c r="AS18" s="1719">
        <f t="shared" si="13"/>
        <v>0</v>
      </c>
      <c r="AT18" s="1719">
        <f t="shared" si="14"/>
        <v>0</v>
      </c>
      <c r="AU18" s="1719">
        <f t="shared" si="15"/>
        <v>0</v>
      </c>
      <c r="AV18" s="1719">
        <f t="shared" si="16"/>
        <v>7.0352592592592575</v>
      </c>
      <c r="AW18" s="1719">
        <f t="shared" si="17"/>
        <v>0</v>
      </c>
      <c r="AX18" s="1719">
        <f t="shared" si="18"/>
        <v>0</v>
      </c>
      <c r="AY18" s="1719">
        <f t="shared" si="19"/>
        <v>0</v>
      </c>
      <c r="AZ18" s="1719">
        <f t="shared" si="20"/>
        <v>0</v>
      </c>
      <c r="BA18" s="1721">
        <f t="shared" si="21"/>
        <v>0</v>
      </c>
      <c r="BB18" s="1719">
        <f t="shared" si="22"/>
        <v>7.3283950617283953</v>
      </c>
      <c r="BC18" s="1719">
        <f t="shared" si="23"/>
        <v>7.0352592592592575</v>
      </c>
      <c r="BD18" s="1719">
        <f t="shared" si="24"/>
        <v>1704.7091287187498</v>
      </c>
      <c r="BE18" s="1719">
        <f t="shared" si="25"/>
        <v>358.39999999999992</v>
      </c>
      <c r="BF18" s="1719">
        <f t="shared" si="26"/>
        <v>179.19999999999996</v>
      </c>
      <c r="BG18" s="1719">
        <f t="shared" si="27"/>
        <v>186.66666666666666</v>
      </c>
      <c r="BH18" s="1719">
        <f t="shared" si="28"/>
        <v>20</v>
      </c>
      <c r="BJ18" s="1722">
        <f t="shared" si="29"/>
        <v>1199.4759606947302</v>
      </c>
      <c r="BK18" s="1723">
        <f>(AR18*Pricing!F$3+AS18*Pricing!G$3+AT18*Pricing!H$3+AU18*Pricing!I$3+AV18*Pricing!J$3+AW18*Pricing!K$3+AH18*Pricing!F$3+AI18*Pricing!G$3+AJ18*Pricing!H$3+AK18*Pricing!I$3+AL18*Pricing!J$3+AM18*Pricing!K$3)*IF(T$39="N",(1+V$39),1)</f>
        <v>2370.3767111111106</v>
      </c>
      <c r="BL18" s="1723">
        <f t="shared" si="30"/>
        <v>392.23697650663945</v>
      </c>
      <c r="BM18" s="1723">
        <f t="shared" si="31"/>
        <v>1478.3999999999996</v>
      </c>
      <c r="BN18" s="1723">
        <f t="shared" si="32"/>
        <v>1493.3333333333333</v>
      </c>
      <c r="BO18" s="1723">
        <f t="shared" si="33"/>
        <v>383.55955396171868</v>
      </c>
      <c r="BP18" s="1723">
        <f t="shared" si="34"/>
        <v>843.92236976506649</v>
      </c>
      <c r="BQ18" s="1723">
        <f t="shared" si="35"/>
        <v>2332.7890548567952</v>
      </c>
      <c r="BR18" s="1724"/>
      <c r="BS18" s="1725">
        <f>IF(SUM(BF$36:BG$36)=0,0,(BQ$36-W$58-N$64-W60-(L$79*0.15))/SUM(BF$36:BG$36)*BG18+BN18)</f>
        <v>2458.8193132808642</v>
      </c>
      <c r="BT18" s="1723">
        <f>(AH18*Pricing!F$3+AI18*Pricing!G$3+AJ18*Pricing!H$3+AK18*Pricing!I$3+AL18*Pricing!J$3+AM18*Pricing!K$3)*IF(T$39="N",(1+V$39),1)</f>
        <v>1189.9481481481482</v>
      </c>
      <c r="BU18" s="1723">
        <f t="shared" si="36"/>
        <v>19.546968543369712</v>
      </c>
      <c r="BV18" s="1723">
        <f t="shared" si="37"/>
        <v>6845.3264988003821</v>
      </c>
      <c r="BW18" s="1724">
        <f t="shared" si="38"/>
        <v>38.19936662277</v>
      </c>
      <c r="DB18" s="1726">
        <f t="shared" si="39"/>
        <v>12043.113682012565</v>
      </c>
      <c r="DC18" s="1723">
        <f t="shared" si="40"/>
        <v>11330.529768921862</v>
      </c>
      <c r="DD18" s="172">
        <f t="shared" si="41"/>
        <v>9</v>
      </c>
      <c r="DE18" s="847">
        <f t="shared" si="42"/>
        <v>1705</v>
      </c>
      <c r="DF18" s="334">
        <f t="shared" si="43"/>
        <v>50</v>
      </c>
      <c r="DG18" s="847">
        <f t="shared" si="44"/>
        <v>179</v>
      </c>
      <c r="DH18" s="847">
        <f t="shared" si="45"/>
        <v>180</v>
      </c>
      <c r="DI18" s="847">
        <f t="shared" si="46"/>
        <v>32</v>
      </c>
      <c r="DJ18" s="1727">
        <f t="shared" si="47"/>
        <v>187</v>
      </c>
    </row>
    <row r="19" spans="1:114" s="1254" customFormat="1" ht="15.45">
      <c r="A19" s="482"/>
      <c r="B19" s="1177"/>
      <c r="C19" s="1710" t="s">
        <v>1302</v>
      </c>
      <c r="D19" s="1711">
        <v>5</v>
      </c>
      <c r="E19" s="1837">
        <v>32</v>
      </c>
      <c r="F19" s="1108">
        <v>12</v>
      </c>
      <c r="G19" s="1109">
        <f>12*6.25</f>
        <v>75</v>
      </c>
      <c r="H19" s="1110">
        <v>12</v>
      </c>
      <c r="I19" s="1108">
        <v>5</v>
      </c>
      <c r="J19" s="1109">
        <v>2</v>
      </c>
      <c r="K19" s="1110">
        <v>12</v>
      </c>
      <c r="L19" s="1108">
        <v>5</v>
      </c>
      <c r="M19" s="1108">
        <v>2</v>
      </c>
      <c r="N19" s="1713">
        <v>70</v>
      </c>
      <c r="O19" s="1108">
        <v>12</v>
      </c>
      <c r="P19" s="1108">
        <v>12</v>
      </c>
      <c r="Q19" s="1111">
        <v>5</v>
      </c>
      <c r="R19" s="1714">
        <v>2</v>
      </c>
      <c r="S19" s="1715"/>
      <c r="T19" s="77"/>
      <c r="U19" s="839"/>
      <c r="V19" s="1716">
        <f t="shared" si="0"/>
        <v>1803.1459848144532</v>
      </c>
      <c r="W19" s="1717">
        <f t="shared" si="1"/>
        <v>15.180246913580246</v>
      </c>
      <c r="AH19" s="1720">
        <f t="shared" si="2"/>
        <v>0</v>
      </c>
      <c r="AI19" s="1719">
        <f t="shared" si="3"/>
        <v>0</v>
      </c>
      <c r="AJ19" s="1719">
        <f t="shared" si="4"/>
        <v>7.3283950617283953</v>
      </c>
      <c r="AK19" s="1719">
        <f t="shared" si="5"/>
        <v>0</v>
      </c>
      <c r="AL19" s="1719">
        <f t="shared" si="6"/>
        <v>0</v>
      </c>
      <c r="AM19" s="1719">
        <f t="shared" si="7"/>
        <v>0</v>
      </c>
      <c r="AN19" s="1719">
        <f t="shared" si="8"/>
        <v>0</v>
      </c>
      <c r="AO19" s="1719">
        <f t="shared" si="9"/>
        <v>0</v>
      </c>
      <c r="AP19" s="1719">
        <f t="shared" si="10"/>
        <v>0</v>
      </c>
      <c r="AQ19" s="1719">
        <f t="shared" si="11"/>
        <v>0</v>
      </c>
      <c r="AR19" s="1720">
        <f t="shared" si="12"/>
        <v>0</v>
      </c>
      <c r="AS19" s="1719">
        <f t="shared" si="13"/>
        <v>0</v>
      </c>
      <c r="AT19" s="1719">
        <f t="shared" si="14"/>
        <v>0</v>
      </c>
      <c r="AU19" s="1719">
        <f t="shared" si="15"/>
        <v>0</v>
      </c>
      <c r="AV19" s="1719">
        <f t="shared" si="16"/>
        <v>7.8518518518518512</v>
      </c>
      <c r="AW19" s="1719">
        <f t="shared" si="17"/>
        <v>0</v>
      </c>
      <c r="AX19" s="1719">
        <f t="shared" si="18"/>
        <v>0</v>
      </c>
      <c r="AY19" s="1719">
        <f t="shared" si="19"/>
        <v>0</v>
      </c>
      <c r="AZ19" s="1719">
        <f t="shared" si="20"/>
        <v>0</v>
      </c>
      <c r="BA19" s="1721">
        <f t="shared" si="21"/>
        <v>0</v>
      </c>
      <c r="BB19" s="1719">
        <f t="shared" si="22"/>
        <v>7.3283950617283953</v>
      </c>
      <c r="BC19" s="1719">
        <f t="shared" si="23"/>
        <v>7.8518518518518512</v>
      </c>
      <c r="BD19" s="1719">
        <f t="shared" si="24"/>
        <v>1803.1459848144532</v>
      </c>
      <c r="BE19" s="1719">
        <f t="shared" si="25"/>
        <v>400</v>
      </c>
      <c r="BF19" s="1719">
        <f t="shared" si="26"/>
        <v>200</v>
      </c>
      <c r="BG19" s="1719">
        <f t="shared" si="27"/>
        <v>186.66666666666666</v>
      </c>
      <c r="BH19" s="1719">
        <f t="shared" si="28"/>
        <v>22</v>
      </c>
      <c r="BJ19" s="1722">
        <f t="shared" si="29"/>
        <v>1268.7385935650698</v>
      </c>
      <c r="BK19" s="1723">
        <f>(AR19*Pricing!F$3+AS19*Pricing!G$3+AT19*Pricing!H$3+AU19*Pricing!I$3+AV19*Pricing!J$3+AW19*Pricing!K$3+AH19*Pricing!F$3+AI19*Pricing!G$3+AJ19*Pricing!H$3+AK19*Pricing!I$3+AL19*Pricing!J$3+AM19*Pricing!K$3)*IF(T$39="N",(1+V$39),1)</f>
        <v>2507.390740740741</v>
      </c>
      <c r="BL19" s="1723">
        <f t="shared" si="30"/>
        <v>462.83963227783454</v>
      </c>
      <c r="BM19" s="1723">
        <f t="shared" si="31"/>
        <v>1650</v>
      </c>
      <c r="BN19" s="1723">
        <f t="shared" si="32"/>
        <v>1493.3333333333333</v>
      </c>
      <c r="BO19" s="1723">
        <f t="shared" si="33"/>
        <v>405.70784658325192</v>
      </c>
      <c r="BP19" s="1723">
        <f t="shared" si="34"/>
        <v>995.82839632277842</v>
      </c>
      <c r="BQ19" s="1723">
        <f t="shared" si="35"/>
        <v>2465.4111731358262</v>
      </c>
      <c r="BR19" s="1724"/>
      <c r="BS19" s="1725">
        <f>IF(SUM(BF$36:BG$36)=0,0,(BQ$36-W$58-N$64-W61-(L$79*0.15))/SUM(BF$36:BG$36)*BG19+BN19)</f>
        <v>2455.0207553290411</v>
      </c>
      <c r="BT19" s="1723">
        <f>(AH19*Pricing!F$3+AI19*Pricing!G$3+AJ19*Pricing!H$3+AK19*Pricing!I$3+AL19*Pricing!J$3+AM19*Pricing!K$3)*IF(T$39="N",(1+V$39),1)</f>
        <v>1189.9481481481482</v>
      </c>
      <c r="BU19" s="1723">
        <f t="shared" si="36"/>
        <v>19.526619125770658</v>
      </c>
      <c r="BV19" s="1723">
        <f t="shared" si="37"/>
        <v>7604.2808124816447</v>
      </c>
      <c r="BW19" s="1724">
        <f t="shared" si="38"/>
        <v>38.021404062408223</v>
      </c>
      <c r="DB19" s="1726">
        <f t="shared" si="39"/>
        <v>12727.780494838353</v>
      </c>
      <c r="DC19" s="1723">
        <f t="shared" si="40"/>
        <v>11330.529768921862</v>
      </c>
      <c r="DD19" s="172">
        <f t="shared" si="41"/>
        <v>9</v>
      </c>
      <c r="DE19" s="847">
        <f t="shared" si="42"/>
        <v>1803</v>
      </c>
      <c r="DF19" s="334">
        <f t="shared" si="43"/>
        <v>59</v>
      </c>
      <c r="DG19" s="847">
        <f t="shared" si="44"/>
        <v>200</v>
      </c>
      <c r="DH19" s="847">
        <f t="shared" si="45"/>
        <v>200</v>
      </c>
      <c r="DI19" s="847">
        <f t="shared" si="46"/>
        <v>32</v>
      </c>
      <c r="DJ19" s="1727">
        <f t="shared" si="47"/>
        <v>187</v>
      </c>
    </row>
    <row r="20" spans="1:114" s="1254" customFormat="1" ht="15.45">
      <c r="A20" s="482"/>
      <c r="B20" s="1177"/>
      <c r="C20" s="1710" t="s">
        <v>1302</v>
      </c>
      <c r="D20" s="1711">
        <v>5</v>
      </c>
      <c r="E20" s="1837">
        <v>32</v>
      </c>
      <c r="F20" s="1108">
        <v>12</v>
      </c>
      <c r="G20" s="1109">
        <f>12*6.75</f>
        <v>81</v>
      </c>
      <c r="H20" s="1110">
        <v>12</v>
      </c>
      <c r="I20" s="1108">
        <v>5</v>
      </c>
      <c r="J20" s="1109">
        <v>2</v>
      </c>
      <c r="K20" s="1110">
        <v>12</v>
      </c>
      <c r="L20" s="1108">
        <v>5</v>
      </c>
      <c r="M20" s="1108">
        <v>2</v>
      </c>
      <c r="N20" s="1713">
        <v>70</v>
      </c>
      <c r="O20" s="1108">
        <v>12</v>
      </c>
      <c r="P20" s="1108">
        <v>12</v>
      </c>
      <c r="Q20" s="1111">
        <v>5</v>
      </c>
      <c r="R20" s="1714">
        <v>2</v>
      </c>
      <c r="S20" s="1715"/>
      <c r="T20" s="77"/>
      <c r="U20" s="839"/>
      <c r="V20" s="1716">
        <f t="shared" si="0"/>
        <v>1878.8666433496094</v>
      </c>
      <c r="W20" s="1717">
        <f t="shared" si="1"/>
        <v>15.808395061728394</v>
      </c>
      <c r="AH20" s="1720">
        <f t="shared" si="2"/>
        <v>0</v>
      </c>
      <c r="AI20" s="1719">
        <f t="shared" si="3"/>
        <v>0</v>
      </c>
      <c r="AJ20" s="1719">
        <f t="shared" si="4"/>
        <v>7.3283950617283953</v>
      </c>
      <c r="AK20" s="1719">
        <f t="shared" si="5"/>
        <v>0</v>
      </c>
      <c r="AL20" s="1719">
        <f t="shared" si="6"/>
        <v>0</v>
      </c>
      <c r="AM20" s="1719">
        <f t="shared" si="7"/>
        <v>0</v>
      </c>
      <c r="AN20" s="1719">
        <f t="shared" si="8"/>
        <v>0</v>
      </c>
      <c r="AO20" s="1719">
        <f t="shared" si="9"/>
        <v>0</v>
      </c>
      <c r="AP20" s="1719">
        <f t="shared" si="10"/>
        <v>0</v>
      </c>
      <c r="AQ20" s="1719">
        <f t="shared" si="11"/>
        <v>0</v>
      </c>
      <c r="AR20" s="1720">
        <f t="shared" si="12"/>
        <v>0</v>
      </c>
      <c r="AS20" s="1719">
        <f t="shared" si="13"/>
        <v>0</v>
      </c>
      <c r="AT20" s="1719">
        <f t="shared" si="14"/>
        <v>0</v>
      </c>
      <c r="AU20" s="1719">
        <f t="shared" si="15"/>
        <v>0</v>
      </c>
      <c r="AV20" s="1719">
        <f t="shared" si="16"/>
        <v>8.4799999999999986</v>
      </c>
      <c r="AW20" s="1719">
        <f t="shared" si="17"/>
        <v>0</v>
      </c>
      <c r="AX20" s="1719">
        <f t="shared" si="18"/>
        <v>0</v>
      </c>
      <c r="AY20" s="1719">
        <f t="shared" si="19"/>
        <v>0</v>
      </c>
      <c r="AZ20" s="1719">
        <f t="shared" si="20"/>
        <v>0</v>
      </c>
      <c r="BA20" s="1721">
        <f t="shared" si="21"/>
        <v>0</v>
      </c>
      <c r="BB20" s="1719">
        <f t="shared" si="22"/>
        <v>7.3283950617283953</v>
      </c>
      <c r="BC20" s="1719">
        <f t="shared" si="23"/>
        <v>8.4799999999999986</v>
      </c>
      <c r="BD20" s="1719">
        <f t="shared" si="24"/>
        <v>1878.8666433496094</v>
      </c>
      <c r="BE20" s="1719">
        <f t="shared" si="25"/>
        <v>432</v>
      </c>
      <c r="BF20" s="1719">
        <f t="shared" si="26"/>
        <v>216</v>
      </c>
      <c r="BG20" s="1719">
        <f t="shared" si="27"/>
        <v>186.66666666666666</v>
      </c>
      <c r="BH20" s="1719">
        <f t="shared" si="28"/>
        <v>24</v>
      </c>
      <c r="BJ20" s="1722">
        <f t="shared" si="29"/>
        <v>1322.0175419268689</v>
      </c>
      <c r="BK20" s="1723">
        <f>(AR20*Pricing!F$3+AS20*Pricing!G$3+AT20*Pricing!H$3+AU20*Pricing!I$3+AV20*Pricing!J$3+AW20*Pricing!K$3+AH20*Pricing!F$3+AI20*Pricing!G$3+AJ20*Pricing!H$3+AK20*Pricing!I$3+AL20*Pricing!J$3+AM20*Pricing!K$3)*IF(T$39="N",(1+V$39),1)</f>
        <v>2612.7861481481482</v>
      </c>
      <c r="BL20" s="1723">
        <f t="shared" si="30"/>
        <v>517.75280898876406</v>
      </c>
      <c r="BM20" s="1723">
        <f t="shared" si="31"/>
        <v>1782</v>
      </c>
      <c r="BN20" s="1723">
        <f t="shared" si="32"/>
        <v>1493.3333333333333</v>
      </c>
      <c r="BO20" s="1723">
        <f t="shared" si="33"/>
        <v>422.74499475366207</v>
      </c>
      <c r="BP20" s="1723">
        <f t="shared" si="34"/>
        <v>1113.9775280898878</v>
      </c>
      <c r="BQ20" s="1723">
        <f t="shared" si="35"/>
        <v>2567.4281871966191</v>
      </c>
      <c r="BR20" s="1724"/>
      <c r="BS20" s="1725">
        <f>IF(SUM(BF$36:BG$36)=0,0,(BQ$36-W$58-N$64-W62-(L$79*0.15))/SUM(BF$36:BG$36)*BG20+BN20)</f>
        <v>2455.0207553290411</v>
      </c>
      <c r="BT20" s="1723">
        <f>(AH20*Pricing!F$3+AI20*Pricing!G$3+AJ20*Pricing!H$3+AK20*Pricing!I$3+AL20*Pricing!J$3+AM20*Pricing!K$3)*IF(T$39="N",(1+V$39),1)</f>
        <v>1189.9481481481482</v>
      </c>
      <c r="BU20" s="1723">
        <f t="shared" si="36"/>
        <v>19.526619125770658</v>
      </c>
      <c r="BV20" s="1723">
        <f t="shared" si="37"/>
        <v>8187.0716389600939</v>
      </c>
      <c r="BW20" s="1724">
        <f t="shared" si="38"/>
        <v>37.903109439630065</v>
      </c>
      <c r="DB20" s="1726">
        <f t="shared" si="39"/>
        <v>13254.447273935113</v>
      </c>
      <c r="DC20" s="1723">
        <f t="shared" si="40"/>
        <v>11330.529768921862</v>
      </c>
      <c r="DD20" s="172">
        <f t="shared" si="41"/>
        <v>9</v>
      </c>
      <c r="DE20" s="847">
        <f t="shared" si="42"/>
        <v>1879</v>
      </c>
      <c r="DF20" s="334">
        <f t="shared" si="43"/>
        <v>66</v>
      </c>
      <c r="DG20" s="847">
        <f t="shared" si="44"/>
        <v>216</v>
      </c>
      <c r="DH20" s="847">
        <f t="shared" si="45"/>
        <v>216</v>
      </c>
      <c r="DI20" s="847">
        <f t="shared" si="46"/>
        <v>32</v>
      </c>
      <c r="DJ20" s="1727">
        <f t="shared" si="47"/>
        <v>187</v>
      </c>
    </row>
    <row r="21" spans="1:114" s="1254" customFormat="1" ht="15.45">
      <c r="A21" s="482"/>
      <c r="B21" s="1177"/>
      <c r="C21" s="1710" t="s">
        <v>1302</v>
      </c>
      <c r="D21" s="1711">
        <v>5</v>
      </c>
      <c r="E21" s="1837">
        <v>32</v>
      </c>
      <c r="F21" s="1108">
        <v>12</v>
      </c>
      <c r="G21" s="1109">
        <f>12*6.64</f>
        <v>79.679999999999993</v>
      </c>
      <c r="H21" s="1110">
        <v>12</v>
      </c>
      <c r="I21" s="1108">
        <v>5</v>
      </c>
      <c r="J21" s="1109">
        <v>2</v>
      </c>
      <c r="K21" s="1110">
        <v>12</v>
      </c>
      <c r="L21" s="1108">
        <v>5</v>
      </c>
      <c r="M21" s="1108">
        <v>2</v>
      </c>
      <c r="N21" s="1713">
        <v>70</v>
      </c>
      <c r="O21" s="1108">
        <v>12</v>
      </c>
      <c r="P21" s="1108">
        <v>12</v>
      </c>
      <c r="Q21" s="1111">
        <v>5</v>
      </c>
      <c r="R21" s="1714">
        <v>2</v>
      </c>
      <c r="S21" s="1715"/>
      <c r="T21" s="77"/>
      <c r="U21" s="839"/>
      <c r="V21" s="1716">
        <f t="shared" si="0"/>
        <v>1862.208098471875</v>
      </c>
      <c r="W21" s="1717">
        <f t="shared" si="1"/>
        <v>15.670202469135802</v>
      </c>
      <c r="AH21" s="1720">
        <f t="shared" si="2"/>
        <v>0</v>
      </c>
      <c r="AI21" s="1719">
        <f t="shared" si="3"/>
        <v>0</v>
      </c>
      <c r="AJ21" s="1719">
        <f t="shared" si="4"/>
        <v>7.3283950617283953</v>
      </c>
      <c r="AK21" s="1719">
        <f t="shared" si="5"/>
        <v>0</v>
      </c>
      <c r="AL21" s="1719">
        <f t="shared" si="6"/>
        <v>0</v>
      </c>
      <c r="AM21" s="1719">
        <f t="shared" si="7"/>
        <v>0</v>
      </c>
      <c r="AN21" s="1719">
        <f t="shared" si="8"/>
        <v>0</v>
      </c>
      <c r="AO21" s="1719">
        <f t="shared" si="9"/>
        <v>0</v>
      </c>
      <c r="AP21" s="1719">
        <f t="shared" si="10"/>
        <v>0</v>
      </c>
      <c r="AQ21" s="1719">
        <f t="shared" si="11"/>
        <v>0</v>
      </c>
      <c r="AR21" s="1720">
        <f t="shared" si="12"/>
        <v>0</v>
      </c>
      <c r="AS21" s="1719">
        <f t="shared" si="13"/>
        <v>0</v>
      </c>
      <c r="AT21" s="1719">
        <f t="shared" si="14"/>
        <v>0</v>
      </c>
      <c r="AU21" s="1719">
        <f t="shared" si="15"/>
        <v>0</v>
      </c>
      <c r="AV21" s="1719">
        <f t="shared" si="16"/>
        <v>8.3418074074074067</v>
      </c>
      <c r="AW21" s="1719">
        <f t="shared" si="17"/>
        <v>0</v>
      </c>
      <c r="AX21" s="1719">
        <f t="shared" si="18"/>
        <v>0</v>
      </c>
      <c r="AY21" s="1719">
        <f t="shared" si="19"/>
        <v>0</v>
      </c>
      <c r="AZ21" s="1719">
        <f t="shared" si="20"/>
        <v>0</v>
      </c>
      <c r="BA21" s="1721">
        <f t="shared" si="21"/>
        <v>0</v>
      </c>
      <c r="BB21" s="1719">
        <f t="shared" si="22"/>
        <v>7.3283950617283953</v>
      </c>
      <c r="BC21" s="1719">
        <f t="shared" si="23"/>
        <v>8.3418074074074067</v>
      </c>
      <c r="BD21" s="1719">
        <f t="shared" si="24"/>
        <v>1862.208098471875</v>
      </c>
      <c r="BE21" s="1719">
        <f t="shared" si="25"/>
        <v>424.96</v>
      </c>
      <c r="BF21" s="1719">
        <f t="shared" si="26"/>
        <v>212.48</v>
      </c>
      <c r="BG21" s="1719">
        <f t="shared" si="27"/>
        <v>186.66666666666666</v>
      </c>
      <c r="BH21" s="1719">
        <f t="shared" si="28"/>
        <v>24</v>
      </c>
      <c r="BJ21" s="1722">
        <f t="shared" si="29"/>
        <v>1310.2961732872732</v>
      </c>
      <c r="BK21" s="1723">
        <f>(AR21*Pricing!F$3+AS21*Pricing!G$3+AT21*Pricing!H$3+AU21*Pricing!I$3+AV21*Pricing!J$3+AW21*Pricing!K$3+AH21*Pricing!F$3+AI21*Pricing!G$3+AJ21*Pricing!H$3+AK21*Pricing!I$3+AL21*Pricing!J$3+AM21*Pricing!K$3)*IF(T$39="N",(1+V$39),1)</f>
        <v>2589.5991585185184</v>
      </c>
      <c r="BL21" s="1723">
        <f t="shared" si="30"/>
        <v>509.9080694586313</v>
      </c>
      <c r="BM21" s="1723">
        <f t="shared" si="31"/>
        <v>1752.9599999999998</v>
      </c>
      <c r="BN21" s="1723">
        <f t="shared" si="32"/>
        <v>1493.3333333333333</v>
      </c>
      <c r="BO21" s="1723">
        <f t="shared" si="33"/>
        <v>418.99682215617185</v>
      </c>
      <c r="BP21" s="1723">
        <f t="shared" si="34"/>
        <v>1097.0990806945863</v>
      </c>
      <c r="BQ21" s="1723">
        <f t="shared" si="35"/>
        <v>2544.9844441032446</v>
      </c>
      <c r="BR21" s="1724"/>
      <c r="BS21" s="1725">
        <f>IF(SUM(BF$36:BG$36)=0,0,(BQ$36-W$58-N$64-W52-(L$79*0.15))/SUM(BF$36:BG$36)*BG21+BN21)</f>
        <v>2343.6335957194829</v>
      </c>
      <c r="BT21" s="1723">
        <f>(AH21*Pricing!F$3+AI21*Pricing!G$3+AJ21*Pricing!H$3+AK21*Pricing!I$3+AL21*Pricing!J$3+AM21*Pricing!K$3)*IF(T$39="N",(1+V$39),1)</f>
        <v>1189.9481481481482</v>
      </c>
      <c r="BU21" s="1723">
        <f t="shared" si="36"/>
        <v>18.929902199290883</v>
      </c>
      <c r="BV21" s="1723">
        <f t="shared" si="37"/>
        <v>8183.5953376841289</v>
      </c>
      <c r="BW21" s="1724">
        <f t="shared" si="38"/>
        <v>38.514661792564617</v>
      </c>
      <c r="DB21" s="1726">
        <f t="shared" si="39"/>
        <v>13138.580582533827</v>
      </c>
      <c r="DC21" s="1723">
        <f t="shared" si="40"/>
        <v>11330.529768921862</v>
      </c>
      <c r="DD21" s="172">
        <f t="shared" si="41"/>
        <v>9</v>
      </c>
      <c r="DE21" s="847">
        <f t="shared" si="42"/>
        <v>1862</v>
      </c>
      <c r="DF21" s="334">
        <f t="shared" si="43"/>
        <v>65</v>
      </c>
      <c r="DG21" s="847">
        <f t="shared" si="44"/>
        <v>212</v>
      </c>
      <c r="DH21" s="847">
        <f t="shared" si="45"/>
        <v>213</v>
      </c>
      <c r="DI21" s="847">
        <f t="shared" si="46"/>
        <v>32</v>
      </c>
      <c r="DJ21" s="1727">
        <f t="shared" si="47"/>
        <v>187</v>
      </c>
    </row>
    <row r="22" spans="1:114" s="1254" customFormat="1" ht="15.45">
      <c r="A22" s="482"/>
      <c r="B22" s="1177"/>
      <c r="C22" s="1710" t="s">
        <v>1302</v>
      </c>
      <c r="D22" s="1711">
        <v>5</v>
      </c>
      <c r="E22" s="1837">
        <v>32</v>
      </c>
      <c r="F22" s="1108">
        <v>12</v>
      </c>
      <c r="G22" s="1109">
        <f>12*6.68</f>
        <v>80.16</v>
      </c>
      <c r="H22" s="1110">
        <v>12</v>
      </c>
      <c r="I22" s="1108">
        <v>5</v>
      </c>
      <c r="J22" s="1109">
        <v>2</v>
      </c>
      <c r="K22" s="1110">
        <v>12</v>
      </c>
      <c r="L22" s="1108">
        <v>5</v>
      </c>
      <c r="M22" s="1108">
        <v>2</v>
      </c>
      <c r="N22" s="1713">
        <v>70</v>
      </c>
      <c r="O22" s="1108">
        <v>12</v>
      </c>
      <c r="P22" s="1108">
        <v>12</v>
      </c>
      <c r="Q22" s="1111">
        <v>5</v>
      </c>
      <c r="R22" s="1714">
        <v>2</v>
      </c>
      <c r="S22" s="1715"/>
      <c r="T22" s="77"/>
      <c r="U22" s="839"/>
      <c r="V22" s="1716">
        <f t="shared" si="0"/>
        <v>1868.2657511546875</v>
      </c>
      <c r="W22" s="1717">
        <f t="shared" si="1"/>
        <v>15.720454320987654</v>
      </c>
      <c r="AH22" s="1720">
        <f t="shared" si="2"/>
        <v>0</v>
      </c>
      <c r="AI22" s="1719">
        <f t="shared" si="3"/>
        <v>0</v>
      </c>
      <c r="AJ22" s="1719">
        <f t="shared" si="4"/>
        <v>7.3283950617283953</v>
      </c>
      <c r="AK22" s="1719">
        <f t="shared" si="5"/>
        <v>0</v>
      </c>
      <c r="AL22" s="1719">
        <f t="shared" si="6"/>
        <v>0</v>
      </c>
      <c r="AM22" s="1719">
        <f t="shared" si="7"/>
        <v>0</v>
      </c>
      <c r="AN22" s="1719">
        <f t="shared" si="8"/>
        <v>0</v>
      </c>
      <c r="AO22" s="1719">
        <f t="shared" si="9"/>
        <v>0</v>
      </c>
      <c r="AP22" s="1719">
        <f t="shared" si="10"/>
        <v>0</v>
      </c>
      <c r="AQ22" s="1719">
        <f t="shared" si="11"/>
        <v>0</v>
      </c>
      <c r="AR22" s="1720">
        <f t="shared" si="12"/>
        <v>0</v>
      </c>
      <c r="AS22" s="1719">
        <f t="shared" si="13"/>
        <v>0</v>
      </c>
      <c r="AT22" s="1719">
        <f t="shared" si="14"/>
        <v>0</v>
      </c>
      <c r="AU22" s="1719">
        <f t="shared" si="15"/>
        <v>0</v>
      </c>
      <c r="AV22" s="1719">
        <f t="shared" si="16"/>
        <v>8.3920592592592591</v>
      </c>
      <c r="AW22" s="1719">
        <f t="shared" si="17"/>
        <v>0</v>
      </c>
      <c r="AX22" s="1719">
        <f t="shared" si="18"/>
        <v>0</v>
      </c>
      <c r="AY22" s="1719">
        <f t="shared" si="19"/>
        <v>0</v>
      </c>
      <c r="AZ22" s="1719">
        <f t="shared" si="20"/>
        <v>0</v>
      </c>
      <c r="BA22" s="1721">
        <f t="shared" si="21"/>
        <v>0</v>
      </c>
      <c r="BB22" s="1719">
        <f t="shared" si="22"/>
        <v>7.3283950617283953</v>
      </c>
      <c r="BC22" s="1719">
        <f t="shared" si="23"/>
        <v>8.3920592592592591</v>
      </c>
      <c r="BD22" s="1719">
        <f t="shared" si="24"/>
        <v>1868.2657511546875</v>
      </c>
      <c r="BE22" s="1719">
        <f t="shared" si="25"/>
        <v>427.52</v>
      </c>
      <c r="BF22" s="1719">
        <f t="shared" si="26"/>
        <v>213.76</v>
      </c>
      <c r="BG22" s="1719">
        <f t="shared" si="27"/>
        <v>186.66666666666666</v>
      </c>
      <c r="BH22" s="1719">
        <f t="shared" si="28"/>
        <v>24</v>
      </c>
      <c r="BJ22" s="1722">
        <f t="shared" si="29"/>
        <v>1314.5584891562171</v>
      </c>
      <c r="BK22" s="1723">
        <f>(AR22*Pricing!F$3+AS22*Pricing!G$3+AT22*Pricing!H$3+AU22*Pricing!I$3+AV22*Pricing!J$3+AW22*Pricing!K$3+AH22*Pricing!F$3+AI22*Pricing!G$3+AJ22*Pricing!H$3+AK22*Pricing!I$3+AL22*Pricing!J$3+AM22*Pricing!K$3)*IF(T$39="N",(1+V$39),1)</f>
        <v>2598.0307911111108</v>
      </c>
      <c r="BL22" s="1723">
        <f t="shared" si="30"/>
        <v>509.9080694586313</v>
      </c>
      <c r="BM22" s="1723">
        <f t="shared" si="31"/>
        <v>1763.52</v>
      </c>
      <c r="BN22" s="1723">
        <f t="shared" si="32"/>
        <v>1493.3333333333333</v>
      </c>
      <c r="BO22" s="1723">
        <f t="shared" si="33"/>
        <v>420.35979400980466</v>
      </c>
      <c r="BP22" s="1723">
        <f t="shared" si="34"/>
        <v>1097.0990806945863</v>
      </c>
      <c r="BQ22" s="1723">
        <f t="shared" si="35"/>
        <v>2553.1458052281077</v>
      </c>
      <c r="BR22" s="1724"/>
      <c r="BS22" s="1725">
        <f>IF(SUM(BF$36:BG$36)=0,0,(BQ$36-W$58-N$64-W55-(L$79*0.15))/SUM(BF$36:BG$36)*BG22+BN22)</f>
        <v>2422.5958876509731</v>
      </c>
      <c r="BT22" s="1723">
        <f>(AH22*Pricing!F$3+AI22*Pricing!G$3+AJ22*Pricing!H$3+AK22*Pricing!I$3+AL22*Pricing!J$3+AM22*Pricing!K$3)*IF(T$39="N",(1+V$39),1)</f>
        <v>1189.9481481481482</v>
      </c>
      <c r="BU22" s="1723">
        <f t="shared" si="36"/>
        <v>19.352914477495293</v>
      </c>
      <c r="BV22" s="1723">
        <f t="shared" si="37"/>
        <v>8137.4113271926699</v>
      </c>
      <c r="BW22" s="1724">
        <f t="shared" si="38"/>
        <v>38.067979636941757</v>
      </c>
      <c r="DB22" s="1726">
        <f t="shared" si="39"/>
        <v>13180.713924861568</v>
      </c>
      <c r="DC22" s="1723">
        <f t="shared" si="40"/>
        <v>11330.529768921862</v>
      </c>
      <c r="DD22" s="172">
        <f t="shared" si="41"/>
        <v>9</v>
      </c>
      <c r="DE22" s="847">
        <f t="shared" si="42"/>
        <v>1868</v>
      </c>
      <c r="DF22" s="334">
        <f t="shared" si="43"/>
        <v>65</v>
      </c>
      <c r="DG22" s="847">
        <f t="shared" si="44"/>
        <v>214</v>
      </c>
      <c r="DH22" s="847">
        <f t="shared" si="45"/>
        <v>214</v>
      </c>
      <c r="DI22" s="847">
        <f t="shared" si="46"/>
        <v>32</v>
      </c>
      <c r="DJ22" s="1727">
        <f t="shared" si="47"/>
        <v>187</v>
      </c>
    </row>
    <row r="23" spans="1:114" s="1254" customFormat="1" ht="15.45">
      <c r="A23" s="482"/>
      <c r="B23" s="1177"/>
      <c r="C23" s="1710" t="s">
        <v>1302</v>
      </c>
      <c r="D23" s="1711">
        <v>5</v>
      </c>
      <c r="E23" s="1837">
        <v>32</v>
      </c>
      <c r="F23" s="1108">
        <v>12</v>
      </c>
      <c r="G23" s="1109">
        <f>12*7.18</f>
        <v>86.16</v>
      </c>
      <c r="H23" s="1110">
        <v>12</v>
      </c>
      <c r="I23" s="1108">
        <v>5</v>
      </c>
      <c r="J23" s="1109">
        <v>2</v>
      </c>
      <c r="K23" s="1110">
        <v>12</v>
      </c>
      <c r="L23" s="1108">
        <v>5</v>
      </c>
      <c r="M23" s="1108">
        <v>2</v>
      </c>
      <c r="N23" s="1713">
        <v>70</v>
      </c>
      <c r="O23" s="1108">
        <v>12</v>
      </c>
      <c r="P23" s="1108">
        <v>12</v>
      </c>
      <c r="Q23" s="1111">
        <v>5</v>
      </c>
      <c r="R23" s="1714">
        <v>2</v>
      </c>
      <c r="S23" s="1715"/>
      <c r="T23" s="77"/>
      <c r="U23" s="839"/>
      <c r="V23" s="1716">
        <f t="shared" si="0"/>
        <v>1943.9864096898439</v>
      </c>
      <c r="W23" s="1717">
        <f t="shared" si="1"/>
        <v>16.348602469135802</v>
      </c>
      <c r="AH23" s="1720">
        <f t="shared" si="2"/>
        <v>0</v>
      </c>
      <c r="AI23" s="1719">
        <f t="shared" si="3"/>
        <v>0</v>
      </c>
      <c r="AJ23" s="1719">
        <f t="shared" si="4"/>
        <v>7.3283950617283953</v>
      </c>
      <c r="AK23" s="1719">
        <f t="shared" si="5"/>
        <v>0</v>
      </c>
      <c r="AL23" s="1719">
        <f t="shared" si="6"/>
        <v>0</v>
      </c>
      <c r="AM23" s="1719">
        <f t="shared" si="7"/>
        <v>0</v>
      </c>
      <c r="AN23" s="1719">
        <f t="shared" si="8"/>
        <v>0</v>
      </c>
      <c r="AO23" s="1719">
        <f t="shared" si="9"/>
        <v>0</v>
      </c>
      <c r="AP23" s="1719">
        <f t="shared" si="10"/>
        <v>0</v>
      </c>
      <c r="AQ23" s="1719">
        <f t="shared" si="11"/>
        <v>0</v>
      </c>
      <c r="AR23" s="1720">
        <f t="shared" si="12"/>
        <v>0</v>
      </c>
      <c r="AS23" s="1719">
        <f t="shared" si="13"/>
        <v>0</v>
      </c>
      <c r="AT23" s="1719">
        <f t="shared" si="14"/>
        <v>0</v>
      </c>
      <c r="AU23" s="1719">
        <f t="shared" si="15"/>
        <v>0</v>
      </c>
      <c r="AV23" s="1719">
        <f t="shared" si="16"/>
        <v>9.0202074074074066</v>
      </c>
      <c r="AW23" s="1719">
        <f t="shared" si="17"/>
        <v>0</v>
      </c>
      <c r="AX23" s="1719">
        <f t="shared" si="18"/>
        <v>0</v>
      </c>
      <c r="AY23" s="1719">
        <f t="shared" si="19"/>
        <v>0</v>
      </c>
      <c r="AZ23" s="1719">
        <f t="shared" si="20"/>
        <v>0</v>
      </c>
      <c r="BA23" s="1721">
        <f t="shared" si="21"/>
        <v>0</v>
      </c>
      <c r="BB23" s="1719">
        <f t="shared" si="22"/>
        <v>7.3283950617283953</v>
      </c>
      <c r="BC23" s="1719">
        <f t="shared" si="23"/>
        <v>9.0202074074074066</v>
      </c>
      <c r="BD23" s="1719">
        <f t="shared" si="24"/>
        <v>1943.9864096898439</v>
      </c>
      <c r="BE23" s="1719">
        <f t="shared" si="25"/>
        <v>459.52</v>
      </c>
      <c r="BF23" s="1719">
        <f t="shared" si="26"/>
        <v>229.76</v>
      </c>
      <c r="BG23" s="1719">
        <f t="shared" si="27"/>
        <v>186.66666666666666</v>
      </c>
      <c r="BH23" s="1719">
        <f t="shared" si="28"/>
        <v>26</v>
      </c>
      <c r="BJ23" s="1722">
        <f t="shared" si="29"/>
        <v>1367.8374375180165</v>
      </c>
      <c r="BK23" s="1723">
        <f>(AR23*Pricing!F$3+AS23*Pricing!G$3+AT23*Pricing!H$3+AU23*Pricing!I$3+AV23*Pricing!J$3+AW23*Pricing!K$3+AH23*Pricing!F$3+AI23*Pricing!G$3+AJ23*Pricing!H$3+AK23*Pricing!I$3+AL23*Pricing!J$3+AM23*Pricing!K$3)*IF(T$39="N",(1+V$39),1)</f>
        <v>2703.4261985185185</v>
      </c>
      <c r="BL23" s="1723">
        <f t="shared" si="30"/>
        <v>572.66598569969358</v>
      </c>
      <c r="BM23" s="1723">
        <f t="shared" si="31"/>
        <v>1895.52</v>
      </c>
      <c r="BN23" s="1723">
        <f t="shared" si="32"/>
        <v>1493.3333333333333</v>
      </c>
      <c r="BO23" s="1723">
        <f t="shared" si="33"/>
        <v>437.39694218021486</v>
      </c>
      <c r="BP23" s="1723">
        <f t="shared" si="34"/>
        <v>1232.1266598569971</v>
      </c>
      <c r="BQ23" s="1723">
        <f t="shared" si="35"/>
        <v>2655.1628192889007</v>
      </c>
      <c r="BR23" s="1724"/>
      <c r="BS23" s="1725">
        <f>IF(SUM(BF$36:BG$36)=0,0,(BQ$36-W$58-N$64-W74-(L$79*0.15))/SUM(BF$36:BG$36)*BG23+BN23)</f>
        <v>2462.6178712326873</v>
      </c>
      <c r="BT23" s="1723">
        <f>(AH23*Pricing!F$3+AI23*Pricing!G$3+AJ23*Pricing!H$3+AK23*Pricing!I$3+AL23*Pricing!J$3+AM23*Pricing!K$3)*IF(T$39="N",(1+V$39),1)</f>
        <v>1189.9481481481482</v>
      </c>
      <c r="BU23" s="1723">
        <f t="shared" si="36"/>
        <v>19.567317960968762</v>
      </c>
      <c r="BV23" s="1723">
        <f t="shared" si="37"/>
        <v>8704.9033570148367</v>
      </c>
      <c r="BW23" s="1724">
        <f t="shared" si="38"/>
        <v>37.886940098428084</v>
      </c>
      <c r="DB23" s="1726">
        <f t="shared" si="39"/>
        <v>13707.380703958326</v>
      </c>
      <c r="DC23" s="1723">
        <f t="shared" si="40"/>
        <v>11330.529768921862</v>
      </c>
      <c r="DD23" s="172">
        <f t="shared" si="41"/>
        <v>9</v>
      </c>
      <c r="DE23" s="847">
        <f t="shared" si="42"/>
        <v>1944</v>
      </c>
      <c r="DF23" s="334">
        <f t="shared" si="43"/>
        <v>73</v>
      </c>
      <c r="DG23" s="847">
        <f t="shared" si="44"/>
        <v>230</v>
      </c>
      <c r="DH23" s="847">
        <f t="shared" si="45"/>
        <v>230</v>
      </c>
      <c r="DI23" s="847">
        <f t="shared" si="46"/>
        <v>32</v>
      </c>
      <c r="DJ23" s="1727">
        <f t="shared" si="47"/>
        <v>187</v>
      </c>
    </row>
    <row r="24" spans="1:114" s="1254" customFormat="1" ht="15.45">
      <c r="A24" s="482"/>
      <c r="B24" s="1177"/>
      <c r="C24" s="1710" t="s">
        <v>1302</v>
      </c>
      <c r="D24" s="1711">
        <v>5</v>
      </c>
      <c r="E24" s="1837">
        <v>32</v>
      </c>
      <c r="F24" s="1108">
        <v>12</v>
      </c>
      <c r="G24" s="1109">
        <f>12*6.52</f>
        <v>78.239999999999995</v>
      </c>
      <c r="H24" s="1110">
        <v>12</v>
      </c>
      <c r="I24" s="1108">
        <v>5</v>
      </c>
      <c r="J24" s="1109">
        <v>2</v>
      </c>
      <c r="K24" s="1110">
        <v>12</v>
      </c>
      <c r="L24" s="1108">
        <v>5</v>
      </c>
      <c r="M24" s="1108">
        <v>2</v>
      </c>
      <c r="N24" s="1713">
        <v>70</v>
      </c>
      <c r="O24" s="1108">
        <v>12</v>
      </c>
      <c r="P24" s="1108">
        <v>12</v>
      </c>
      <c r="Q24" s="1111">
        <v>5</v>
      </c>
      <c r="R24" s="1714">
        <v>2</v>
      </c>
      <c r="S24" s="1715"/>
      <c r="T24" s="77"/>
      <c r="U24" s="839"/>
      <c r="V24" s="1716">
        <f t="shared" si="0"/>
        <v>1844.0351404234375</v>
      </c>
      <c r="W24" s="1717">
        <f t="shared" si="1"/>
        <v>15.519446913580248</v>
      </c>
      <c r="AH24" s="1720">
        <f t="shared" si="2"/>
        <v>0</v>
      </c>
      <c r="AI24" s="1719">
        <f t="shared" si="3"/>
        <v>0</v>
      </c>
      <c r="AJ24" s="1719">
        <f t="shared" si="4"/>
        <v>7.3283950617283953</v>
      </c>
      <c r="AK24" s="1719">
        <f t="shared" si="5"/>
        <v>0</v>
      </c>
      <c r="AL24" s="1719">
        <f t="shared" si="6"/>
        <v>0</v>
      </c>
      <c r="AM24" s="1719">
        <f t="shared" si="7"/>
        <v>0</v>
      </c>
      <c r="AN24" s="1719">
        <f t="shared" si="8"/>
        <v>0</v>
      </c>
      <c r="AO24" s="1719">
        <f t="shared" si="9"/>
        <v>0</v>
      </c>
      <c r="AP24" s="1719">
        <f t="shared" si="10"/>
        <v>0</v>
      </c>
      <c r="AQ24" s="1719">
        <f t="shared" si="11"/>
        <v>0</v>
      </c>
      <c r="AR24" s="1720">
        <f t="shared" si="12"/>
        <v>0</v>
      </c>
      <c r="AS24" s="1719">
        <f t="shared" si="13"/>
        <v>0</v>
      </c>
      <c r="AT24" s="1719">
        <f t="shared" si="14"/>
        <v>0</v>
      </c>
      <c r="AU24" s="1719">
        <f t="shared" si="15"/>
        <v>0</v>
      </c>
      <c r="AV24" s="1719">
        <f t="shared" si="16"/>
        <v>8.1910518518518529</v>
      </c>
      <c r="AW24" s="1719">
        <f t="shared" si="17"/>
        <v>0</v>
      </c>
      <c r="AX24" s="1719">
        <f t="shared" si="18"/>
        <v>0</v>
      </c>
      <c r="AY24" s="1719">
        <f t="shared" si="19"/>
        <v>0</v>
      </c>
      <c r="AZ24" s="1719">
        <f t="shared" si="20"/>
        <v>0</v>
      </c>
      <c r="BA24" s="1721">
        <f t="shared" si="21"/>
        <v>0</v>
      </c>
      <c r="BB24" s="1719">
        <f t="shared" si="22"/>
        <v>7.3283950617283953</v>
      </c>
      <c r="BC24" s="1719">
        <f t="shared" si="23"/>
        <v>8.1910518518518529</v>
      </c>
      <c r="BD24" s="1719">
        <f t="shared" si="24"/>
        <v>1844.0351404234375</v>
      </c>
      <c r="BE24" s="1719">
        <f t="shared" si="25"/>
        <v>417.28</v>
      </c>
      <c r="BF24" s="1719">
        <f t="shared" si="26"/>
        <v>208.64</v>
      </c>
      <c r="BG24" s="1719">
        <f t="shared" si="27"/>
        <v>186.66666666666666</v>
      </c>
      <c r="BH24" s="1719">
        <f t="shared" si="28"/>
        <v>23</v>
      </c>
      <c r="BJ24" s="1722">
        <f t="shared" si="29"/>
        <v>1297.5092256804412</v>
      </c>
      <c r="BK24" s="1723">
        <f>(AR24*Pricing!F$3+AS24*Pricing!G$3+AT24*Pricing!H$3+AU24*Pricing!I$3+AV24*Pricing!J$3+AW24*Pricing!K$3+AH24*Pricing!F$3+AI24*Pricing!G$3+AJ24*Pricing!H$3+AK24*Pricing!I$3+AL24*Pricing!J$3+AM24*Pricing!K$3)*IF(T$39="N",(1+V$39),1)</f>
        <v>2564.304260740741</v>
      </c>
      <c r="BL24" s="1723">
        <f t="shared" si="30"/>
        <v>494.21859039836568</v>
      </c>
      <c r="BM24" s="1723">
        <f t="shared" si="31"/>
        <v>1721.28</v>
      </c>
      <c r="BN24" s="1723">
        <f t="shared" si="32"/>
        <v>1493.3333333333333</v>
      </c>
      <c r="BO24" s="1723">
        <f t="shared" si="33"/>
        <v>414.9079065952734</v>
      </c>
      <c r="BP24" s="1723">
        <f t="shared" si="34"/>
        <v>1063.3421859039838</v>
      </c>
      <c r="BQ24" s="1723">
        <f t="shared" si="35"/>
        <v>2520.5003607286544</v>
      </c>
      <c r="BR24" s="1724"/>
      <c r="BS24" s="1725">
        <f>IF(SUM(BF$36:BG$36)=0,0,(BQ$36-W$58-N$64-W76-(L$79*0.15))/SUM(BF$36:BG$36)*BG24+BN24)</f>
        <v>2462.6178712326873</v>
      </c>
      <c r="BT24" s="1723">
        <f>(AH24*Pricing!F$3+AI24*Pricing!G$3+AJ24*Pricing!H$3+AK24*Pricing!I$3+AL24*Pricing!J$3+AM24*Pricing!K$3)*IF(T$39="N",(1+V$39),1)</f>
        <v>1189.9481481481482</v>
      </c>
      <c r="BU24" s="1723">
        <f t="shared" si="36"/>
        <v>19.567317960968762</v>
      </c>
      <c r="BV24" s="1723">
        <f t="shared" si="37"/>
        <v>7916.8298439999571</v>
      </c>
      <c r="BW24" s="1724">
        <f t="shared" si="38"/>
        <v>37.944928316717586</v>
      </c>
      <c r="DB24" s="1726">
        <f t="shared" si="39"/>
        <v>13012.180555550605</v>
      </c>
      <c r="DC24" s="1723">
        <f t="shared" si="40"/>
        <v>11330.529768921862</v>
      </c>
      <c r="DD24" s="172">
        <f t="shared" si="41"/>
        <v>9</v>
      </c>
      <c r="DE24" s="847">
        <f t="shared" si="42"/>
        <v>1844</v>
      </c>
      <c r="DF24" s="334">
        <f t="shared" si="43"/>
        <v>63</v>
      </c>
      <c r="DG24" s="847">
        <f t="shared" si="44"/>
        <v>209</v>
      </c>
      <c r="DH24" s="847">
        <f t="shared" si="45"/>
        <v>209</v>
      </c>
      <c r="DI24" s="847">
        <f t="shared" si="46"/>
        <v>32</v>
      </c>
      <c r="DJ24" s="1727">
        <f t="shared" si="47"/>
        <v>187</v>
      </c>
    </row>
    <row r="25" spans="1:114" s="1254" customFormat="1" ht="15.45">
      <c r="A25" s="482"/>
      <c r="B25" s="1177"/>
      <c r="C25" s="1710" t="s">
        <v>1302</v>
      </c>
      <c r="D25" s="1711">
        <v>5</v>
      </c>
      <c r="E25" s="1837">
        <v>26</v>
      </c>
      <c r="F25" s="1108">
        <v>12</v>
      </c>
      <c r="G25" s="1109">
        <f>12*7.7</f>
        <v>92.4</v>
      </c>
      <c r="H25" s="1110">
        <v>12</v>
      </c>
      <c r="I25" s="1108">
        <v>5</v>
      </c>
      <c r="J25" s="1109">
        <v>2</v>
      </c>
      <c r="K25" s="1110">
        <v>12</v>
      </c>
      <c r="L25" s="1108">
        <v>5</v>
      </c>
      <c r="M25" s="1108">
        <v>2</v>
      </c>
      <c r="N25" s="1713">
        <v>70</v>
      </c>
      <c r="O25" s="1108">
        <v>12</v>
      </c>
      <c r="P25" s="1108">
        <v>12</v>
      </c>
      <c r="Q25" s="1111">
        <v>5</v>
      </c>
      <c r="R25" s="1714">
        <v>2</v>
      </c>
      <c r="S25" s="1715"/>
      <c r="T25" s="77"/>
      <c r="U25" s="839"/>
      <c r="V25" s="1716">
        <f t="shared" si="0"/>
        <v>1650.0984719570313</v>
      </c>
      <c r="W25" s="1717">
        <f t="shared" si="1"/>
        <v>13.814024691358027</v>
      </c>
      <c r="AH25" s="1720">
        <f t="shared" si="2"/>
        <v>0</v>
      </c>
      <c r="AI25" s="1719">
        <f t="shared" si="3"/>
        <v>0</v>
      </c>
      <c r="AJ25" s="1719">
        <f t="shared" si="4"/>
        <v>5.9543209876543211</v>
      </c>
      <c r="AK25" s="1719">
        <f t="shared" si="5"/>
        <v>0</v>
      </c>
      <c r="AL25" s="1719">
        <f t="shared" si="6"/>
        <v>0</v>
      </c>
      <c r="AM25" s="1719">
        <f t="shared" si="7"/>
        <v>0</v>
      </c>
      <c r="AN25" s="1719">
        <f t="shared" si="8"/>
        <v>0</v>
      </c>
      <c r="AO25" s="1719">
        <f t="shared" si="9"/>
        <v>0</v>
      </c>
      <c r="AP25" s="1719">
        <f t="shared" si="10"/>
        <v>0</v>
      </c>
      <c r="AQ25" s="1719">
        <f t="shared" si="11"/>
        <v>0</v>
      </c>
      <c r="AR25" s="1720">
        <f t="shared" si="12"/>
        <v>0</v>
      </c>
      <c r="AS25" s="1719">
        <f t="shared" si="13"/>
        <v>0</v>
      </c>
      <c r="AT25" s="1719">
        <f t="shared" si="14"/>
        <v>0</v>
      </c>
      <c r="AU25" s="1719">
        <f t="shared" si="15"/>
        <v>0</v>
      </c>
      <c r="AV25" s="1719">
        <f t="shared" si="16"/>
        <v>7.8597037037037056</v>
      </c>
      <c r="AW25" s="1719">
        <f t="shared" si="17"/>
        <v>0</v>
      </c>
      <c r="AX25" s="1719">
        <f t="shared" si="18"/>
        <v>0</v>
      </c>
      <c r="AY25" s="1719">
        <f t="shared" si="19"/>
        <v>0</v>
      </c>
      <c r="AZ25" s="1719">
        <f t="shared" si="20"/>
        <v>0</v>
      </c>
      <c r="BA25" s="1721">
        <f t="shared" si="21"/>
        <v>0</v>
      </c>
      <c r="BB25" s="1719">
        <f t="shared" si="22"/>
        <v>5.9543209876543211</v>
      </c>
      <c r="BC25" s="1719">
        <f t="shared" si="23"/>
        <v>7.8597037037037056</v>
      </c>
      <c r="BD25" s="1719">
        <f t="shared" si="24"/>
        <v>1650.0984719570313</v>
      </c>
      <c r="BE25" s="1719">
        <f t="shared" si="25"/>
        <v>400.40000000000003</v>
      </c>
      <c r="BF25" s="1719">
        <f t="shared" si="26"/>
        <v>200.20000000000002</v>
      </c>
      <c r="BG25" s="1719">
        <f t="shared" si="27"/>
        <v>151.66666666666666</v>
      </c>
      <c r="BH25" s="1719">
        <f t="shared" si="28"/>
        <v>22</v>
      </c>
      <c r="BJ25" s="1722">
        <f t="shared" si="29"/>
        <v>1161.0505373307662</v>
      </c>
      <c r="BK25" s="1723">
        <f>(AR25*Pricing!F$3+AS25*Pricing!G$3+AT25*Pricing!H$3+AU25*Pricing!I$3+AV25*Pricing!J$3+AW25*Pricing!K$3+AH25*Pricing!F$3+AI25*Pricing!G$3+AJ25*Pricing!H$3+AK25*Pricing!I$3+AL25*Pricing!J$3+AM25*Pricing!K$3)*IF(T$39="N",(1+V$39),1)</f>
        <v>2285.5929055555557</v>
      </c>
      <c r="BL25" s="1723">
        <f t="shared" si="30"/>
        <v>517.75280898876406</v>
      </c>
      <c r="BM25" s="1723">
        <f t="shared" si="31"/>
        <v>1651.65</v>
      </c>
      <c r="BN25" s="1723">
        <f t="shared" si="32"/>
        <v>1213.3333333333333</v>
      </c>
      <c r="BO25" s="1723">
        <f t="shared" si="33"/>
        <v>371.27215619033205</v>
      </c>
      <c r="BP25" s="1723">
        <f t="shared" si="34"/>
        <v>1113.9775280898878</v>
      </c>
      <c r="BQ25" s="1723">
        <f t="shared" si="35"/>
        <v>2243.5241675536022</v>
      </c>
      <c r="BR25" s="1724"/>
      <c r="BS25" s="1725">
        <f>IF(SUM(BF$36:BG$36)=0,0,(BQ$36-W$58-N$64-W63-(L$79*0.15))/SUM(BF$36:BG$36)*BG25+BN25)</f>
        <v>2000.8770203765582</v>
      </c>
      <c r="BT25" s="1723">
        <f>(AH25*Pricing!F$3+AI25*Pricing!G$3+AJ25*Pricing!H$3+AK25*Pricing!I$3+AL25*Pricing!J$3+AM25*Pricing!K$3)*IF(T$39="N",(1+V$39),1)</f>
        <v>966.83287037037042</v>
      </c>
      <c r="BU25" s="1723">
        <f t="shared" si="36"/>
        <v>19.567317960968762</v>
      </c>
      <c r="BV25" s="1723">
        <f t="shared" si="37"/>
        <v>7590.4435462953134</v>
      </c>
      <c r="BW25" s="1724">
        <f t="shared" si="38"/>
        <v>37.914303428048513</v>
      </c>
      <c r="DB25" s="1726">
        <f t="shared" si="39"/>
        <v>11582.280250302903</v>
      </c>
      <c r="DC25" s="1723">
        <f t="shared" si="40"/>
        <v>9206.0554372490133</v>
      </c>
      <c r="DD25" s="172">
        <f t="shared" si="41"/>
        <v>7</v>
      </c>
      <c r="DE25" s="847">
        <f t="shared" si="42"/>
        <v>1650</v>
      </c>
      <c r="DF25" s="334">
        <f t="shared" si="43"/>
        <v>66</v>
      </c>
      <c r="DG25" s="847">
        <f t="shared" si="44"/>
        <v>200</v>
      </c>
      <c r="DH25" s="847">
        <f t="shared" si="45"/>
        <v>201</v>
      </c>
      <c r="DI25" s="847">
        <f t="shared" si="46"/>
        <v>26</v>
      </c>
      <c r="DJ25" s="1727">
        <f t="shared" si="47"/>
        <v>152</v>
      </c>
    </row>
    <row r="26" spans="1:114" s="1254" customFormat="1" ht="15.45">
      <c r="A26" s="482"/>
      <c r="B26" s="1177"/>
      <c r="C26" s="1710" t="s">
        <v>1302</v>
      </c>
      <c r="D26" s="1711">
        <v>5</v>
      </c>
      <c r="E26" s="1837">
        <v>38</v>
      </c>
      <c r="F26" s="1108">
        <v>12</v>
      </c>
      <c r="G26" s="1109">
        <f>12*5.87</f>
        <v>70.44</v>
      </c>
      <c r="H26" s="1110">
        <v>12</v>
      </c>
      <c r="I26" s="1108">
        <v>5</v>
      </c>
      <c r="J26" s="1109">
        <v>2</v>
      </c>
      <c r="K26" s="1110">
        <v>12</v>
      </c>
      <c r="L26" s="1108">
        <v>5</v>
      </c>
      <c r="M26" s="1108">
        <v>2</v>
      </c>
      <c r="N26" s="1713">
        <v>70</v>
      </c>
      <c r="O26" s="1108">
        <v>12</v>
      </c>
      <c r="P26" s="1108">
        <v>12</v>
      </c>
      <c r="Q26" s="1111">
        <v>5</v>
      </c>
      <c r="R26" s="1714">
        <v>2</v>
      </c>
      <c r="S26" s="1715"/>
      <c r="T26" s="77"/>
      <c r="U26" s="839"/>
      <c r="V26" s="1716">
        <f t="shared" si="0"/>
        <v>2067.8470505300779</v>
      </c>
      <c r="W26" s="1717">
        <f t="shared" si="1"/>
        <v>17.459639506172838</v>
      </c>
      <c r="AH26" s="1720">
        <f t="shared" si="2"/>
        <v>0</v>
      </c>
      <c r="AI26" s="1719">
        <f t="shared" si="3"/>
        <v>0</v>
      </c>
      <c r="AJ26" s="1719">
        <f t="shared" si="4"/>
        <v>8.7024691358024704</v>
      </c>
      <c r="AK26" s="1719">
        <f t="shared" si="5"/>
        <v>0</v>
      </c>
      <c r="AL26" s="1719">
        <f t="shared" si="6"/>
        <v>0</v>
      </c>
      <c r="AM26" s="1719">
        <f t="shared" si="7"/>
        <v>0</v>
      </c>
      <c r="AN26" s="1719">
        <f t="shared" si="8"/>
        <v>0</v>
      </c>
      <c r="AO26" s="1719">
        <f t="shared" si="9"/>
        <v>0</v>
      </c>
      <c r="AP26" s="1719">
        <f t="shared" si="10"/>
        <v>0</v>
      </c>
      <c r="AQ26" s="1719">
        <f t="shared" si="11"/>
        <v>0</v>
      </c>
      <c r="AR26" s="1720">
        <f t="shared" si="12"/>
        <v>0</v>
      </c>
      <c r="AS26" s="1719">
        <f t="shared" si="13"/>
        <v>0</v>
      </c>
      <c r="AT26" s="1719">
        <f t="shared" si="14"/>
        <v>0</v>
      </c>
      <c r="AU26" s="1719">
        <f t="shared" si="15"/>
        <v>0</v>
      </c>
      <c r="AV26" s="1719">
        <f t="shared" si="16"/>
        <v>8.7571703703703676</v>
      </c>
      <c r="AW26" s="1719">
        <f t="shared" si="17"/>
        <v>0</v>
      </c>
      <c r="AX26" s="1719">
        <f t="shared" si="18"/>
        <v>0</v>
      </c>
      <c r="AY26" s="1719">
        <f t="shared" si="19"/>
        <v>0</v>
      </c>
      <c r="AZ26" s="1719">
        <f t="shared" si="20"/>
        <v>0</v>
      </c>
      <c r="BA26" s="1721">
        <f t="shared" si="21"/>
        <v>0</v>
      </c>
      <c r="BB26" s="1719">
        <f t="shared" si="22"/>
        <v>8.7024691358024704</v>
      </c>
      <c r="BC26" s="1719">
        <f t="shared" si="23"/>
        <v>8.7571703703703676</v>
      </c>
      <c r="BD26" s="1719">
        <f t="shared" si="24"/>
        <v>2067.8470505300779</v>
      </c>
      <c r="BE26" s="1719">
        <f t="shared" si="25"/>
        <v>446.11999999999995</v>
      </c>
      <c r="BF26" s="1719">
        <f t="shared" si="26"/>
        <v>223.05999999999997</v>
      </c>
      <c r="BG26" s="1719">
        <f t="shared" si="27"/>
        <v>221.66666666666666</v>
      </c>
      <c r="BH26" s="1719">
        <f t="shared" si="28"/>
        <v>25</v>
      </c>
      <c r="BJ26" s="1722">
        <f t="shared" si="29"/>
        <v>1454.9888809292261</v>
      </c>
      <c r="BK26" s="1723">
        <f>(AR26*Pricing!F$3+AS26*Pricing!G$3+AT26*Pricing!H$3+AU26*Pricing!I$3+AV26*Pricing!J$3+AW26*Pricing!K$3+AH26*Pricing!F$3+AI26*Pricing!G$3+AJ26*Pricing!H$3+AK26*Pricing!I$3+AL26*Pricing!J$3+AM26*Pricing!K$3)*IF(T$39="N",(1+V$39),1)</f>
        <v>2882.4071494444443</v>
      </c>
      <c r="BL26" s="1723">
        <f t="shared" si="30"/>
        <v>502.06332992849849</v>
      </c>
      <c r="BM26" s="1723">
        <f t="shared" si="31"/>
        <v>1840.2449999999999</v>
      </c>
      <c r="BN26" s="1723">
        <f t="shared" si="32"/>
        <v>1773.3333333333333</v>
      </c>
      <c r="BO26" s="1723">
        <f t="shared" si="33"/>
        <v>465.26558636926751</v>
      </c>
      <c r="BP26" s="1723">
        <f t="shared" si="34"/>
        <v>1080.2206332992851</v>
      </c>
      <c r="BQ26" s="1723">
        <f t="shared" si="35"/>
        <v>2835.605412908928</v>
      </c>
      <c r="BR26" s="1724"/>
      <c r="BS26" s="1725">
        <f>IF(SUM(BF$36:BG$36)=0,0,(BQ$36-W$58-N$64-W57-(L$79*0.15))/SUM(BF$36:BG$36)*BG26+BN26)</f>
        <v>2905.4921215945042</v>
      </c>
      <c r="BT26" s="1723">
        <f>(AH26*Pricing!F$3+AI26*Pricing!G$3+AJ26*Pricing!H$3+AK26*Pricing!I$3+AL26*Pricing!J$3+AM26*Pricing!K$3)*IF(T$39="N",(1+V$39),1)</f>
        <v>1413.0634259259264</v>
      </c>
      <c r="BU26" s="1723">
        <f t="shared" si="36"/>
        <v>19.482205477535778</v>
      </c>
      <c r="BV26" s="1723">
        <f t="shared" si="37"/>
        <v>8515.5737786925511</v>
      </c>
      <c r="BW26" s="1724">
        <f t="shared" si="38"/>
        <v>38.176157888875423</v>
      </c>
      <c r="DB26" s="1726">
        <f t="shared" si="39"/>
        <v>14638.922569485718</v>
      </c>
      <c r="DC26" s="1723">
        <f t="shared" si="40"/>
        <v>13455.004100594711</v>
      </c>
      <c r="DD26" s="172">
        <f t="shared" si="41"/>
        <v>10</v>
      </c>
      <c r="DE26" s="847">
        <f t="shared" si="42"/>
        <v>2068</v>
      </c>
      <c r="DF26" s="334">
        <f t="shared" si="43"/>
        <v>64</v>
      </c>
      <c r="DG26" s="847">
        <f t="shared" si="44"/>
        <v>223</v>
      </c>
      <c r="DH26" s="847">
        <f t="shared" si="45"/>
        <v>224</v>
      </c>
      <c r="DI26" s="847">
        <f t="shared" si="46"/>
        <v>38</v>
      </c>
      <c r="DJ26" s="1727">
        <f t="shared" si="47"/>
        <v>222</v>
      </c>
    </row>
    <row r="27" spans="1:114" s="1254" customFormat="1" ht="15.45">
      <c r="A27" s="482"/>
      <c r="B27" s="1177"/>
      <c r="C27" s="1710" t="s">
        <v>1302</v>
      </c>
      <c r="D27" s="1711">
        <v>5</v>
      </c>
      <c r="E27" s="1837">
        <v>15</v>
      </c>
      <c r="F27" s="1108">
        <v>12</v>
      </c>
      <c r="G27" s="1109">
        <f>12*5.94</f>
        <v>71.28</v>
      </c>
      <c r="H27" s="1110">
        <v>12</v>
      </c>
      <c r="I27" s="1108">
        <v>5</v>
      </c>
      <c r="J27" s="1109">
        <v>2</v>
      </c>
      <c r="K27" s="1110">
        <v>12</v>
      </c>
      <c r="L27" s="1108">
        <v>5</v>
      </c>
      <c r="M27" s="1108">
        <v>2</v>
      </c>
      <c r="N27" s="1713">
        <v>70</v>
      </c>
      <c r="O27" s="1108">
        <v>12</v>
      </c>
      <c r="P27" s="1108">
        <v>12</v>
      </c>
      <c r="Q27" s="1111">
        <v>5</v>
      </c>
      <c r="R27" s="1714">
        <v>2</v>
      </c>
      <c r="S27" s="1715"/>
      <c r="T27" s="77"/>
      <c r="U27" s="839"/>
      <c r="V27" s="1716">
        <f t="shared" si="0"/>
        <v>837.69993993984372</v>
      </c>
      <c r="W27" s="1717">
        <f t="shared" si="1"/>
        <v>6.9331851851851862</v>
      </c>
      <c r="AH27" s="1720">
        <f t="shared" si="2"/>
        <v>0</v>
      </c>
      <c r="AI27" s="1719">
        <f t="shared" si="3"/>
        <v>0</v>
      </c>
      <c r="AJ27" s="1719">
        <f t="shared" si="4"/>
        <v>3.4351851851851856</v>
      </c>
      <c r="AK27" s="1719">
        <f t="shared" si="5"/>
        <v>0</v>
      </c>
      <c r="AL27" s="1719">
        <f t="shared" si="6"/>
        <v>0</v>
      </c>
      <c r="AM27" s="1719">
        <f t="shared" si="7"/>
        <v>0</v>
      </c>
      <c r="AN27" s="1719">
        <f t="shared" si="8"/>
        <v>0</v>
      </c>
      <c r="AO27" s="1719">
        <f t="shared" si="9"/>
        <v>0</v>
      </c>
      <c r="AP27" s="1719">
        <f t="shared" si="10"/>
        <v>0</v>
      </c>
      <c r="AQ27" s="1719">
        <f t="shared" si="11"/>
        <v>0</v>
      </c>
      <c r="AR27" s="1720">
        <f t="shared" si="12"/>
        <v>0</v>
      </c>
      <c r="AS27" s="1719">
        <f t="shared" si="13"/>
        <v>0</v>
      </c>
      <c r="AT27" s="1719">
        <f t="shared" si="14"/>
        <v>0</v>
      </c>
      <c r="AU27" s="1719">
        <f t="shared" si="15"/>
        <v>0</v>
      </c>
      <c r="AV27" s="1719">
        <f t="shared" si="16"/>
        <v>3.4980000000000007</v>
      </c>
      <c r="AW27" s="1719">
        <f t="shared" si="17"/>
        <v>0</v>
      </c>
      <c r="AX27" s="1719">
        <f t="shared" si="18"/>
        <v>0</v>
      </c>
      <c r="AY27" s="1719">
        <f t="shared" si="19"/>
        <v>0</v>
      </c>
      <c r="AZ27" s="1719">
        <f t="shared" si="20"/>
        <v>0</v>
      </c>
      <c r="BA27" s="1721">
        <f t="shared" si="21"/>
        <v>0</v>
      </c>
      <c r="BB27" s="1719">
        <f t="shared" si="22"/>
        <v>3.4351851851851856</v>
      </c>
      <c r="BC27" s="1719">
        <f t="shared" si="23"/>
        <v>3.4980000000000007</v>
      </c>
      <c r="BD27" s="1719">
        <f t="shared" si="24"/>
        <v>837.69993993984372</v>
      </c>
      <c r="BE27" s="1719">
        <f t="shared" si="25"/>
        <v>178.20000000000002</v>
      </c>
      <c r="BF27" s="1719">
        <f t="shared" si="26"/>
        <v>89.100000000000009</v>
      </c>
      <c r="BG27" s="1719">
        <f t="shared" si="27"/>
        <v>87.5</v>
      </c>
      <c r="BH27" s="1719">
        <f t="shared" si="28"/>
        <v>10</v>
      </c>
      <c r="BJ27" s="1722">
        <f t="shared" si="29"/>
        <v>589.4266202401725</v>
      </c>
      <c r="BK27" s="1723">
        <f>(AR27*Pricing!F$3+AS27*Pricing!G$3+AT27*Pricing!H$3+AU27*Pricing!I$3+AV27*Pricing!J$3+AW27*Pricing!K$3+AH27*Pricing!F$3+AI27*Pricing!G$3+AJ27*Pricing!H$3+AK27*Pricing!I$3+AL27*Pricing!J$3+AM27*Pricing!K$3)*IF(T$39="N",(1+V$39),1)</f>
        <v>1144.7088694444446</v>
      </c>
      <c r="BL27" s="1723">
        <f t="shared" si="30"/>
        <v>203.96322778345251</v>
      </c>
      <c r="BM27" s="1723">
        <f t="shared" si="31"/>
        <v>735.07500000000005</v>
      </c>
      <c r="BN27" s="1723">
        <f t="shared" si="32"/>
        <v>700</v>
      </c>
      <c r="BO27" s="1723">
        <f t="shared" si="33"/>
        <v>188.48248648646484</v>
      </c>
      <c r="BP27" s="1723">
        <f t="shared" si="34"/>
        <v>438.83963227783454</v>
      </c>
      <c r="BQ27" s="1723">
        <f t="shared" si="35"/>
        <v>1126.0127926960008</v>
      </c>
      <c r="BR27" s="1724"/>
      <c r="BS27" s="1725">
        <f t="shared" ref="BS27:BS32" si="48">IF(SUM(BF$36:BG$36)=0,0,(BQ$36-W$58-N$64-W65-(L$79*0.15))/SUM(BF$36:BG$36)*BG27+BN27)</f>
        <v>1150.0965029686729</v>
      </c>
      <c r="BT27" s="1723">
        <f>(AH27*Pricing!F$3+AI27*Pricing!G$3+AJ27*Pricing!H$3+AK27*Pricing!I$3+AL27*Pricing!J$3+AM27*Pricing!K$3)*IF(T$39="N",(1+V$39),1)</f>
        <v>557.78819444444446</v>
      </c>
      <c r="BU27" s="1723">
        <f t="shared" si="36"/>
        <v>19.518682256149916</v>
      </c>
      <c r="BV27" s="1723">
        <f t="shared" si="37"/>
        <v>3418.6239315152525</v>
      </c>
      <c r="BW27" s="1724">
        <f t="shared" si="38"/>
        <v>38.368394293100472</v>
      </c>
      <c r="DB27" s="1726">
        <f t="shared" si="39"/>
        <v>5813.0845742804831</v>
      </c>
      <c r="DC27" s="1723">
        <f t="shared" si="40"/>
        <v>5311.1858291821227</v>
      </c>
      <c r="DD27" s="172">
        <f t="shared" si="41"/>
        <v>4</v>
      </c>
      <c r="DE27" s="847">
        <f t="shared" si="42"/>
        <v>838</v>
      </c>
      <c r="DF27" s="334">
        <f t="shared" si="43"/>
        <v>26</v>
      </c>
      <c r="DG27" s="847">
        <f t="shared" si="44"/>
        <v>89</v>
      </c>
      <c r="DH27" s="847">
        <f t="shared" si="45"/>
        <v>90</v>
      </c>
      <c r="DI27" s="847">
        <f t="shared" si="46"/>
        <v>15</v>
      </c>
      <c r="DJ27" s="1727">
        <f t="shared" si="47"/>
        <v>88</v>
      </c>
    </row>
    <row r="28" spans="1:114" s="1254" customFormat="1" ht="15.45">
      <c r="A28" s="482"/>
      <c r="B28" s="1177"/>
      <c r="C28" s="1710"/>
      <c r="D28" s="1711"/>
      <c r="E28" s="1837"/>
      <c r="F28" s="1108"/>
      <c r="G28" s="1109"/>
      <c r="H28" s="1110"/>
      <c r="I28" s="1108"/>
      <c r="J28" s="1109"/>
      <c r="K28" s="1110"/>
      <c r="L28" s="1108"/>
      <c r="M28" s="1108"/>
      <c r="N28" s="1713"/>
      <c r="O28" s="1108"/>
      <c r="P28" s="1108"/>
      <c r="Q28" s="1108"/>
      <c r="R28" s="1714"/>
      <c r="S28" s="1715"/>
      <c r="T28" s="77"/>
      <c r="U28" s="839"/>
      <c r="V28" s="1716">
        <f t="shared" si="0"/>
        <v>0</v>
      </c>
      <c r="W28" s="1717">
        <f t="shared" si="1"/>
        <v>0</v>
      </c>
      <c r="AH28" s="1720">
        <f t="shared" si="2"/>
        <v>0</v>
      </c>
      <c r="AI28" s="1719">
        <f t="shared" si="3"/>
        <v>0</v>
      </c>
      <c r="AJ28" s="1719">
        <f t="shared" si="4"/>
        <v>0</v>
      </c>
      <c r="AK28" s="1719">
        <f t="shared" si="5"/>
        <v>0</v>
      </c>
      <c r="AL28" s="1719">
        <f t="shared" si="6"/>
        <v>0</v>
      </c>
      <c r="AM28" s="1719">
        <f t="shared" si="7"/>
        <v>0</v>
      </c>
      <c r="AN28" s="1719">
        <f t="shared" si="8"/>
        <v>0</v>
      </c>
      <c r="AO28" s="1719">
        <f t="shared" si="9"/>
        <v>0</v>
      </c>
      <c r="AP28" s="1719">
        <f t="shared" si="10"/>
        <v>0</v>
      </c>
      <c r="AQ28" s="1719">
        <f t="shared" si="11"/>
        <v>0</v>
      </c>
      <c r="AR28" s="1720">
        <f t="shared" si="12"/>
        <v>0</v>
      </c>
      <c r="AS28" s="1719">
        <f t="shared" si="13"/>
        <v>0</v>
      </c>
      <c r="AT28" s="1719">
        <f t="shared" si="14"/>
        <v>0</v>
      </c>
      <c r="AU28" s="1719">
        <f t="shared" si="15"/>
        <v>0</v>
      </c>
      <c r="AV28" s="1719">
        <f t="shared" si="16"/>
        <v>0</v>
      </c>
      <c r="AW28" s="1719">
        <f t="shared" si="17"/>
        <v>0</v>
      </c>
      <c r="AX28" s="1719">
        <f t="shared" si="18"/>
        <v>0</v>
      </c>
      <c r="AY28" s="1719">
        <f t="shared" si="19"/>
        <v>0</v>
      </c>
      <c r="AZ28" s="1719">
        <f t="shared" si="20"/>
        <v>0</v>
      </c>
      <c r="BA28" s="1721">
        <f t="shared" si="21"/>
        <v>0</v>
      </c>
      <c r="BB28" s="1719">
        <f t="shared" si="22"/>
        <v>0</v>
      </c>
      <c r="BC28" s="1719">
        <f t="shared" si="23"/>
        <v>0</v>
      </c>
      <c r="BD28" s="1719">
        <f t="shared" si="24"/>
        <v>0</v>
      </c>
      <c r="BE28" s="1719">
        <f t="shared" si="25"/>
        <v>0</v>
      </c>
      <c r="BF28" s="1719">
        <f t="shared" si="26"/>
        <v>0</v>
      </c>
      <c r="BG28" s="1719">
        <f t="shared" si="27"/>
        <v>0</v>
      </c>
      <c r="BH28" s="1719">
        <f t="shared" si="28"/>
        <v>0</v>
      </c>
      <c r="BJ28" s="1722">
        <f t="shared" si="29"/>
        <v>0</v>
      </c>
      <c r="BK28" s="1723">
        <f>(AR28*Pricing!F$3+AS28*Pricing!G$3+AT28*Pricing!H$3+AU28*Pricing!I$3+AV28*Pricing!J$3+AW28*Pricing!K$3+AH28*Pricing!F$3+AI28*Pricing!G$3+AJ28*Pricing!H$3+AK28*Pricing!I$3+AL28*Pricing!J$3+AM28*Pricing!K$3)*IF(T$39="N",(1+V$39),1)</f>
        <v>0</v>
      </c>
      <c r="BL28" s="1723">
        <f t="shared" si="30"/>
        <v>0</v>
      </c>
      <c r="BM28" s="1723">
        <f t="shared" si="31"/>
        <v>0</v>
      </c>
      <c r="BN28" s="1723">
        <f t="shared" si="32"/>
        <v>0</v>
      </c>
      <c r="BO28" s="1723">
        <f t="shared" si="33"/>
        <v>0</v>
      </c>
      <c r="BP28" s="1723">
        <f t="shared" si="34"/>
        <v>0</v>
      </c>
      <c r="BQ28" s="1723">
        <f t="shared" si="35"/>
        <v>0</v>
      </c>
      <c r="BR28" s="1724"/>
      <c r="BS28" s="1725">
        <f t="shared" si="48"/>
        <v>0</v>
      </c>
      <c r="BT28" s="1723">
        <f>(AH28*Pricing!F$3+AI28*Pricing!G$3+AJ28*Pricing!H$3+AK28*Pricing!I$3+AL28*Pricing!J$3+AM28*Pricing!K$3)*IF(T$39="N",(1+V$39),1)</f>
        <v>0</v>
      </c>
      <c r="BU28" s="1723">
        <f t="shared" si="36"/>
        <v>0</v>
      </c>
      <c r="BV28" s="1723">
        <f t="shared" si="37"/>
        <v>0</v>
      </c>
      <c r="BW28" s="1724">
        <f t="shared" si="38"/>
        <v>0</v>
      </c>
      <c r="DB28" s="1726">
        <f t="shared" si="39"/>
        <v>0</v>
      </c>
      <c r="DC28" s="1723">
        <f t="shared" si="40"/>
        <v>0</v>
      </c>
      <c r="DD28" s="172">
        <f t="shared" si="41"/>
        <v>0</v>
      </c>
      <c r="DE28" s="847">
        <f t="shared" si="42"/>
        <v>0</v>
      </c>
      <c r="DF28" s="334">
        <f t="shared" si="43"/>
        <v>0</v>
      </c>
      <c r="DG28" s="847">
        <f t="shared" si="44"/>
        <v>0</v>
      </c>
      <c r="DH28" s="847">
        <f t="shared" si="45"/>
        <v>0</v>
      </c>
      <c r="DI28" s="847">
        <f t="shared" si="46"/>
        <v>0</v>
      </c>
      <c r="DJ28" s="1727">
        <f t="shared" si="47"/>
        <v>0</v>
      </c>
    </row>
    <row r="29" spans="1:114" s="1254" customFormat="1" ht="15.45">
      <c r="A29" s="482"/>
      <c r="B29" s="1177"/>
      <c r="C29" s="1710"/>
      <c r="D29" s="1711"/>
      <c r="E29" s="1837"/>
      <c r="F29" s="1108"/>
      <c r="G29" s="1109"/>
      <c r="H29" s="1110"/>
      <c r="I29" s="1108"/>
      <c r="J29" s="1109"/>
      <c r="K29" s="1110"/>
      <c r="L29" s="1108"/>
      <c r="M29" s="1108"/>
      <c r="N29" s="1713"/>
      <c r="O29" s="1108"/>
      <c r="P29" s="1108"/>
      <c r="Q29" s="1108"/>
      <c r="R29" s="1714"/>
      <c r="S29" s="1715"/>
      <c r="T29" s="77"/>
      <c r="U29" s="839"/>
      <c r="V29" s="1716">
        <f t="shared" si="0"/>
        <v>0</v>
      </c>
      <c r="W29" s="1717">
        <f t="shared" si="1"/>
        <v>0</v>
      </c>
      <c r="AH29" s="1720">
        <f t="shared" si="2"/>
        <v>0</v>
      </c>
      <c r="AI29" s="1719">
        <f t="shared" si="3"/>
        <v>0</v>
      </c>
      <c r="AJ29" s="1719">
        <f t="shared" si="4"/>
        <v>0</v>
      </c>
      <c r="AK29" s="1719">
        <f t="shared" si="5"/>
        <v>0</v>
      </c>
      <c r="AL29" s="1719">
        <f t="shared" si="6"/>
        <v>0</v>
      </c>
      <c r="AM29" s="1719">
        <f t="shared" si="7"/>
        <v>0</v>
      </c>
      <c r="AN29" s="1719">
        <f t="shared" si="8"/>
        <v>0</v>
      </c>
      <c r="AO29" s="1719">
        <f t="shared" si="9"/>
        <v>0</v>
      </c>
      <c r="AP29" s="1719">
        <f t="shared" si="10"/>
        <v>0</v>
      </c>
      <c r="AQ29" s="1719">
        <f t="shared" si="11"/>
        <v>0</v>
      </c>
      <c r="AR29" s="1720">
        <f t="shared" si="12"/>
        <v>0</v>
      </c>
      <c r="AS29" s="1719">
        <f t="shared" si="13"/>
        <v>0</v>
      </c>
      <c r="AT29" s="1719">
        <f t="shared" si="14"/>
        <v>0</v>
      </c>
      <c r="AU29" s="1719">
        <f t="shared" si="15"/>
        <v>0</v>
      </c>
      <c r="AV29" s="1719">
        <f t="shared" si="16"/>
        <v>0</v>
      </c>
      <c r="AW29" s="1719">
        <f t="shared" si="17"/>
        <v>0</v>
      </c>
      <c r="AX29" s="1719">
        <f t="shared" si="18"/>
        <v>0</v>
      </c>
      <c r="AY29" s="1719">
        <f t="shared" si="19"/>
        <v>0</v>
      </c>
      <c r="AZ29" s="1719">
        <f t="shared" si="20"/>
        <v>0</v>
      </c>
      <c r="BA29" s="1721">
        <f t="shared" si="21"/>
        <v>0</v>
      </c>
      <c r="BB29" s="1719">
        <f t="shared" si="22"/>
        <v>0</v>
      </c>
      <c r="BC29" s="1719">
        <f t="shared" si="23"/>
        <v>0</v>
      </c>
      <c r="BD29" s="1719">
        <f t="shared" si="24"/>
        <v>0</v>
      </c>
      <c r="BE29" s="1719">
        <f t="shared" si="25"/>
        <v>0</v>
      </c>
      <c r="BF29" s="1719">
        <f t="shared" si="26"/>
        <v>0</v>
      </c>
      <c r="BG29" s="1719">
        <f t="shared" si="27"/>
        <v>0</v>
      </c>
      <c r="BH29" s="1719">
        <f t="shared" si="28"/>
        <v>0</v>
      </c>
      <c r="BJ29" s="1722">
        <f t="shared" si="29"/>
        <v>0</v>
      </c>
      <c r="BK29" s="1723">
        <f>(AR29*Pricing!F$3+AS29*Pricing!G$3+AT29*Pricing!H$3+AU29*Pricing!I$3+AV29*Pricing!J$3+AW29*Pricing!K$3+AH29*Pricing!F$3+AI29*Pricing!G$3+AJ29*Pricing!H$3+AK29*Pricing!I$3+AL29*Pricing!J$3+AM29*Pricing!K$3)*IF(T$39="N",(1+V$39),1)</f>
        <v>0</v>
      </c>
      <c r="BL29" s="1723">
        <f t="shared" si="30"/>
        <v>0</v>
      </c>
      <c r="BM29" s="1723">
        <f t="shared" si="31"/>
        <v>0</v>
      </c>
      <c r="BN29" s="1723">
        <f t="shared" si="32"/>
        <v>0</v>
      </c>
      <c r="BO29" s="1723">
        <f t="shared" si="33"/>
        <v>0</v>
      </c>
      <c r="BP29" s="1723">
        <f t="shared" si="34"/>
        <v>0</v>
      </c>
      <c r="BQ29" s="1723">
        <f t="shared" si="35"/>
        <v>0</v>
      </c>
      <c r="BR29" s="1724"/>
      <c r="BS29" s="1725">
        <f t="shared" si="48"/>
        <v>0</v>
      </c>
      <c r="BT29" s="1723">
        <f>(AH29*Pricing!F$3+AI29*Pricing!G$3+AJ29*Pricing!H$3+AK29*Pricing!I$3+AL29*Pricing!J$3+AM29*Pricing!K$3)*IF(T$39="N",(1+V$39),1)</f>
        <v>0</v>
      </c>
      <c r="BU29" s="1723">
        <f t="shared" si="36"/>
        <v>0</v>
      </c>
      <c r="BV29" s="1723">
        <f t="shared" si="37"/>
        <v>0</v>
      </c>
      <c r="BW29" s="1724">
        <f t="shared" si="38"/>
        <v>0</v>
      </c>
      <c r="DB29" s="1726">
        <f t="shared" si="39"/>
        <v>0</v>
      </c>
      <c r="DC29" s="1723">
        <f t="shared" si="40"/>
        <v>0</v>
      </c>
      <c r="DD29" s="172">
        <f t="shared" si="41"/>
        <v>0</v>
      </c>
      <c r="DE29" s="847">
        <f t="shared" si="42"/>
        <v>0</v>
      </c>
      <c r="DF29" s="334">
        <f t="shared" si="43"/>
        <v>0</v>
      </c>
      <c r="DG29" s="847">
        <f t="shared" si="44"/>
        <v>0</v>
      </c>
      <c r="DH29" s="847">
        <f t="shared" si="45"/>
        <v>0</v>
      </c>
      <c r="DI29" s="847">
        <f t="shared" si="46"/>
        <v>0</v>
      </c>
      <c r="DJ29" s="1727">
        <f t="shared" si="47"/>
        <v>0</v>
      </c>
    </row>
    <row r="30" spans="1:114" s="1254" customFormat="1" ht="15.45">
      <c r="A30" s="482"/>
      <c r="B30" s="1177"/>
      <c r="C30" s="1710"/>
      <c r="D30" s="1711"/>
      <c r="E30" s="1837"/>
      <c r="F30" s="1108"/>
      <c r="G30" s="1109"/>
      <c r="H30" s="1110"/>
      <c r="I30" s="1108"/>
      <c r="J30" s="1109"/>
      <c r="K30" s="1110"/>
      <c r="L30" s="1108"/>
      <c r="M30" s="1108"/>
      <c r="N30" s="1713"/>
      <c r="O30" s="1108"/>
      <c r="P30" s="1108"/>
      <c r="Q30" s="1108"/>
      <c r="R30" s="1714"/>
      <c r="S30" s="1715"/>
      <c r="T30" s="77"/>
      <c r="U30" s="839"/>
      <c r="V30" s="1716">
        <f t="shared" si="0"/>
        <v>0</v>
      </c>
      <c r="W30" s="1717">
        <f t="shared" si="1"/>
        <v>0</v>
      </c>
      <c r="AH30" s="1720">
        <f t="shared" si="2"/>
        <v>0</v>
      </c>
      <c r="AI30" s="1719">
        <f t="shared" si="3"/>
        <v>0</v>
      </c>
      <c r="AJ30" s="1719">
        <f t="shared" si="4"/>
        <v>0</v>
      </c>
      <c r="AK30" s="1719">
        <f t="shared" si="5"/>
        <v>0</v>
      </c>
      <c r="AL30" s="1719">
        <f t="shared" si="6"/>
        <v>0</v>
      </c>
      <c r="AM30" s="1719">
        <f t="shared" si="7"/>
        <v>0</v>
      </c>
      <c r="AN30" s="1719">
        <f t="shared" si="8"/>
        <v>0</v>
      </c>
      <c r="AO30" s="1719">
        <f t="shared" si="9"/>
        <v>0</v>
      </c>
      <c r="AP30" s="1719">
        <f t="shared" si="10"/>
        <v>0</v>
      </c>
      <c r="AQ30" s="1719">
        <f t="shared" si="11"/>
        <v>0</v>
      </c>
      <c r="AR30" s="1720">
        <f t="shared" si="12"/>
        <v>0</v>
      </c>
      <c r="AS30" s="1719">
        <f t="shared" si="13"/>
        <v>0</v>
      </c>
      <c r="AT30" s="1719">
        <f t="shared" si="14"/>
        <v>0</v>
      </c>
      <c r="AU30" s="1719">
        <f t="shared" si="15"/>
        <v>0</v>
      </c>
      <c r="AV30" s="1719">
        <f t="shared" si="16"/>
        <v>0</v>
      </c>
      <c r="AW30" s="1719">
        <f t="shared" si="17"/>
        <v>0</v>
      </c>
      <c r="AX30" s="1719">
        <f t="shared" si="18"/>
        <v>0</v>
      </c>
      <c r="AY30" s="1719">
        <f t="shared" si="19"/>
        <v>0</v>
      </c>
      <c r="AZ30" s="1719">
        <f t="shared" si="20"/>
        <v>0</v>
      </c>
      <c r="BA30" s="1721">
        <f t="shared" si="21"/>
        <v>0</v>
      </c>
      <c r="BB30" s="1719">
        <f t="shared" si="22"/>
        <v>0</v>
      </c>
      <c r="BC30" s="1719">
        <f t="shared" si="23"/>
        <v>0</v>
      </c>
      <c r="BD30" s="1719">
        <f t="shared" si="24"/>
        <v>0</v>
      </c>
      <c r="BE30" s="1719">
        <f t="shared" si="25"/>
        <v>0</v>
      </c>
      <c r="BF30" s="1719">
        <f t="shared" si="26"/>
        <v>0</v>
      </c>
      <c r="BG30" s="1719">
        <f t="shared" si="27"/>
        <v>0</v>
      </c>
      <c r="BH30" s="1719">
        <f t="shared" si="28"/>
        <v>0</v>
      </c>
      <c r="BJ30" s="1722">
        <f t="shared" si="29"/>
        <v>0</v>
      </c>
      <c r="BK30" s="1723">
        <f>(AR30*Pricing!F$3+AS30*Pricing!G$3+AT30*Pricing!H$3+AU30*Pricing!I$3+AV30*Pricing!J$3+AW30*Pricing!K$3+AH30*Pricing!F$3+AI30*Pricing!G$3+AJ30*Pricing!H$3+AK30*Pricing!I$3+AL30*Pricing!J$3+AM30*Pricing!K$3)*IF(T$39="N",(1+V$39),1)</f>
        <v>0</v>
      </c>
      <c r="BL30" s="1723">
        <f t="shared" si="30"/>
        <v>0</v>
      </c>
      <c r="BM30" s="1723">
        <f t="shared" si="31"/>
        <v>0</v>
      </c>
      <c r="BN30" s="1723">
        <f t="shared" si="32"/>
        <v>0</v>
      </c>
      <c r="BO30" s="1723">
        <f t="shared" si="33"/>
        <v>0</v>
      </c>
      <c r="BP30" s="1723">
        <f t="shared" si="34"/>
        <v>0</v>
      </c>
      <c r="BQ30" s="1723">
        <f t="shared" si="35"/>
        <v>0</v>
      </c>
      <c r="BR30" s="1724"/>
      <c r="BS30" s="1725">
        <f t="shared" si="48"/>
        <v>0</v>
      </c>
      <c r="BT30" s="1723">
        <f>(AH30*Pricing!F$3+AI30*Pricing!G$3+AJ30*Pricing!H$3+AK30*Pricing!I$3+AL30*Pricing!J$3+AM30*Pricing!K$3)*IF(T$39="N",(1+V$39),1)</f>
        <v>0</v>
      </c>
      <c r="BU30" s="1723">
        <f t="shared" si="36"/>
        <v>0</v>
      </c>
      <c r="BV30" s="1723">
        <f t="shared" si="37"/>
        <v>0</v>
      </c>
      <c r="BW30" s="1724">
        <f t="shared" si="38"/>
        <v>0</v>
      </c>
      <c r="DB30" s="1726">
        <f t="shared" si="39"/>
        <v>0</v>
      </c>
      <c r="DC30" s="1723">
        <f t="shared" si="40"/>
        <v>0</v>
      </c>
      <c r="DD30" s="172">
        <f t="shared" si="41"/>
        <v>0</v>
      </c>
      <c r="DE30" s="847">
        <f t="shared" si="42"/>
        <v>0</v>
      </c>
      <c r="DF30" s="334">
        <f t="shared" si="43"/>
        <v>0</v>
      </c>
      <c r="DG30" s="847">
        <f t="shared" si="44"/>
        <v>0</v>
      </c>
      <c r="DH30" s="847">
        <f t="shared" si="45"/>
        <v>0</v>
      </c>
      <c r="DI30" s="847">
        <f t="shared" si="46"/>
        <v>0</v>
      </c>
      <c r="DJ30" s="1727">
        <f t="shared" si="47"/>
        <v>0</v>
      </c>
    </row>
    <row r="31" spans="1:114" s="1254" customFormat="1" ht="15.45">
      <c r="A31" s="482"/>
      <c r="B31" s="1177"/>
      <c r="C31" s="1710"/>
      <c r="D31" s="1711"/>
      <c r="E31" s="1837"/>
      <c r="F31" s="1108"/>
      <c r="G31" s="1109"/>
      <c r="H31" s="1110"/>
      <c r="I31" s="1108"/>
      <c r="J31" s="1109"/>
      <c r="K31" s="1110"/>
      <c r="L31" s="1108"/>
      <c r="M31" s="1108"/>
      <c r="N31" s="1713"/>
      <c r="O31" s="1108"/>
      <c r="P31" s="1108"/>
      <c r="Q31" s="1108"/>
      <c r="R31" s="1714"/>
      <c r="S31" s="1715"/>
      <c r="T31" s="77"/>
      <c r="U31" s="839"/>
      <c r="V31" s="1716">
        <f t="shared" si="0"/>
        <v>0</v>
      </c>
      <c r="W31" s="1717">
        <f t="shared" si="1"/>
        <v>0</v>
      </c>
      <c r="AH31" s="1720">
        <f t="shared" si="2"/>
        <v>0</v>
      </c>
      <c r="AI31" s="1719">
        <f t="shared" si="3"/>
        <v>0</v>
      </c>
      <c r="AJ31" s="1719">
        <f t="shared" si="4"/>
        <v>0</v>
      </c>
      <c r="AK31" s="1719">
        <f t="shared" si="5"/>
        <v>0</v>
      </c>
      <c r="AL31" s="1719">
        <f t="shared" si="6"/>
        <v>0</v>
      </c>
      <c r="AM31" s="1719">
        <f t="shared" si="7"/>
        <v>0</v>
      </c>
      <c r="AN31" s="1719">
        <f t="shared" si="8"/>
        <v>0</v>
      </c>
      <c r="AO31" s="1719">
        <f t="shared" si="9"/>
        <v>0</v>
      </c>
      <c r="AP31" s="1719">
        <f t="shared" si="10"/>
        <v>0</v>
      </c>
      <c r="AQ31" s="1719">
        <f t="shared" si="11"/>
        <v>0</v>
      </c>
      <c r="AR31" s="1720">
        <f t="shared" si="12"/>
        <v>0</v>
      </c>
      <c r="AS31" s="1719">
        <f t="shared" si="13"/>
        <v>0</v>
      </c>
      <c r="AT31" s="1719">
        <f t="shared" si="14"/>
        <v>0</v>
      </c>
      <c r="AU31" s="1719">
        <f t="shared" si="15"/>
        <v>0</v>
      </c>
      <c r="AV31" s="1719">
        <f t="shared" si="16"/>
        <v>0</v>
      </c>
      <c r="AW31" s="1719">
        <f t="shared" si="17"/>
        <v>0</v>
      </c>
      <c r="AX31" s="1719">
        <f t="shared" si="18"/>
        <v>0</v>
      </c>
      <c r="AY31" s="1719">
        <f t="shared" si="19"/>
        <v>0</v>
      </c>
      <c r="AZ31" s="1719">
        <f t="shared" si="20"/>
        <v>0</v>
      </c>
      <c r="BA31" s="1721">
        <f t="shared" si="21"/>
        <v>0</v>
      </c>
      <c r="BB31" s="1719">
        <f t="shared" si="22"/>
        <v>0</v>
      </c>
      <c r="BC31" s="1719">
        <f t="shared" si="23"/>
        <v>0</v>
      </c>
      <c r="BD31" s="1719">
        <f t="shared" si="24"/>
        <v>0</v>
      </c>
      <c r="BE31" s="1719">
        <f t="shared" si="25"/>
        <v>0</v>
      </c>
      <c r="BF31" s="1719">
        <f t="shared" si="26"/>
        <v>0</v>
      </c>
      <c r="BG31" s="1719">
        <f t="shared" si="27"/>
        <v>0</v>
      </c>
      <c r="BH31" s="1719">
        <f t="shared" si="28"/>
        <v>0</v>
      </c>
      <c r="BJ31" s="1722">
        <f t="shared" si="29"/>
        <v>0</v>
      </c>
      <c r="BK31" s="1723">
        <f>(AR31*Pricing!F$3+AS31*Pricing!G$3+AT31*Pricing!H$3+AU31*Pricing!I$3+AV31*Pricing!J$3+AW31*Pricing!K$3+AH31*Pricing!F$3+AI31*Pricing!G$3+AJ31*Pricing!H$3+AK31*Pricing!I$3+AL31*Pricing!J$3+AM31*Pricing!K$3)*IF(T$39="N",(1+V$39),1)</f>
        <v>0</v>
      </c>
      <c r="BL31" s="1723">
        <f t="shared" si="30"/>
        <v>0</v>
      </c>
      <c r="BM31" s="1723">
        <f t="shared" si="31"/>
        <v>0</v>
      </c>
      <c r="BN31" s="1723">
        <f t="shared" si="32"/>
        <v>0</v>
      </c>
      <c r="BO31" s="1723">
        <f t="shared" si="33"/>
        <v>0</v>
      </c>
      <c r="BP31" s="1723">
        <f t="shared" si="34"/>
        <v>0</v>
      </c>
      <c r="BQ31" s="1723">
        <f t="shared" si="35"/>
        <v>0</v>
      </c>
      <c r="BR31" s="1724"/>
      <c r="BS31" s="1725">
        <f t="shared" si="48"/>
        <v>0</v>
      </c>
      <c r="BT31" s="1723">
        <f>(AH31*Pricing!F$3+AI31*Pricing!G$3+AJ31*Pricing!H$3+AK31*Pricing!I$3+AL31*Pricing!J$3+AM31*Pricing!K$3)*IF(T$39="N",(1+V$39),1)</f>
        <v>0</v>
      </c>
      <c r="BU31" s="1723">
        <f t="shared" si="36"/>
        <v>0</v>
      </c>
      <c r="BV31" s="1723">
        <f t="shared" si="37"/>
        <v>0</v>
      </c>
      <c r="BW31" s="1724">
        <f t="shared" si="38"/>
        <v>0</v>
      </c>
      <c r="DB31" s="1726">
        <f t="shared" si="39"/>
        <v>0</v>
      </c>
      <c r="DC31" s="1723">
        <f t="shared" si="40"/>
        <v>0</v>
      </c>
      <c r="DD31" s="172">
        <f t="shared" si="41"/>
        <v>0</v>
      </c>
      <c r="DE31" s="847">
        <f t="shared" si="42"/>
        <v>0</v>
      </c>
      <c r="DF31" s="334">
        <f t="shared" si="43"/>
        <v>0</v>
      </c>
      <c r="DG31" s="847">
        <f t="shared" si="44"/>
        <v>0</v>
      </c>
      <c r="DH31" s="847">
        <f t="shared" si="45"/>
        <v>0</v>
      </c>
      <c r="DI31" s="847">
        <f t="shared" si="46"/>
        <v>0</v>
      </c>
      <c r="DJ31" s="1727">
        <f t="shared" si="47"/>
        <v>0</v>
      </c>
    </row>
    <row r="32" spans="1:114" s="1254" customFormat="1" ht="15.45">
      <c r="A32" s="482"/>
      <c r="B32" s="1177"/>
      <c r="C32" s="1710"/>
      <c r="D32" s="1711"/>
      <c r="E32" s="1837"/>
      <c r="F32" s="1108"/>
      <c r="G32" s="1109"/>
      <c r="H32" s="1110"/>
      <c r="I32" s="1108"/>
      <c r="J32" s="1109"/>
      <c r="K32" s="1110"/>
      <c r="L32" s="1108"/>
      <c r="M32" s="1108"/>
      <c r="N32" s="1713"/>
      <c r="O32" s="1108"/>
      <c r="P32" s="1108"/>
      <c r="Q32" s="1108"/>
      <c r="R32" s="1714"/>
      <c r="S32" s="1715"/>
      <c r="T32" s="77"/>
      <c r="U32" s="839"/>
      <c r="V32" s="1716">
        <f t="shared" si="0"/>
        <v>0</v>
      </c>
      <c r="W32" s="1717">
        <f t="shared" si="1"/>
        <v>0</v>
      </c>
      <c r="AH32" s="1720">
        <f t="shared" si="2"/>
        <v>0</v>
      </c>
      <c r="AI32" s="1719">
        <f t="shared" si="3"/>
        <v>0</v>
      </c>
      <c r="AJ32" s="1719">
        <f t="shared" si="4"/>
        <v>0</v>
      </c>
      <c r="AK32" s="1719">
        <f t="shared" si="5"/>
        <v>0</v>
      </c>
      <c r="AL32" s="1719">
        <f t="shared" si="6"/>
        <v>0</v>
      </c>
      <c r="AM32" s="1719">
        <f t="shared" si="7"/>
        <v>0</v>
      </c>
      <c r="AN32" s="1719">
        <f t="shared" si="8"/>
        <v>0</v>
      </c>
      <c r="AO32" s="1719">
        <f t="shared" si="9"/>
        <v>0</v>
      </c>
      <c r="AP32" s="1719">
        <f t="shared" si="10"/>
        <v>0</v>
      </c>
      <c r="AQ32" s="1719">
        <f t="shared" si="11"/>
        <v>0</v>
      </c>
      <c r="AR32" s="1720">
        <f t="shared" si="12"/>
        <v>0</v>
      </c>
      <c r="AS32" s="1719">
        <f t="shared" si="13"/>
        <v>0</v>
      </c>
      <c r="AT32" s="1719">
        <f t="shared" si="14"/>
        <v>0</v>
      </c>
      <c r="AU32" s="1719">
        <f t="shared" si="15"/>
        <v>0</v>
      </c>
      <c r="AV32" s="1719">
        <f t="shared" si="16"/>
        <v>0</v>
      </c>
      <c r="AW32" s="1719">
        <f t="shared" si="17"/>
        <v>0</v>
      </c>
      <c r="AX32" s="1719">
        <f t="shared" si="18"/>
        <v>0</v>
      </c>
      <c r="AY32" s="1719">
        <f t="shared" si="19"/>
        <v>0</v>
      </c>
      <c r="AZ32" s="1719">
        <f t="shared" si="20"/>
        <v>0</v>
      </c>
      <c r="BA32" s="1721">
        <f t="shared" si="21"/>
        <v>0</v>
      </c>
      <c r="BB32" s="1719">
        <f t="shared" si="22"/>
        <v>0</v>
      </c>
      <c r="BC32" s="1719">
        <f t="shared" si="23"/>
        <v>0</v>
      </c>
      <c r="BD32" s="1719">
        <f t="shared" si="24"/>
        <v>0</v>
      </c>
      <c r="BE32" s="1719">
        <f t="shared" si="25"/>
        <v>0</v>
      </c>
      <c r="BF32" s="1719">
        <f t="shared" si="26"/>
        <v>0</v>
      </c>
      <c r="BG32" s="1719">
        <f t="shared" si="27"/>
        <v>0</v>
      </c>
      <c r="BH32" s="1719">
        <f t="shared" si="28"/>
        <v>0</v>
      </c>
      <c r="BJ32" s="1722">
        <f t="shared" si="29"/>
        <v>0</v>
      </c>
      <c r="BK32" s="1723">
        <f>(AR32*Pricing!F$3+AS32*Pricing!G$3+AT32*Pricing!H$3+AU32*Pricing!I$3+AV32*Pricing!J$3+AW32*Pricing!K$3+AH32*Pricing!F$3+AI32*Pricing!G$3+AJ32*Pricing!H$3+AK32*Pricing!I$3+AL32*Pricing!J$3+AM32*Pricing!K$3)*IF(T$39="N",(1+V$39),1)</f>
        <v>0</v>
      </c>
      <c r="BL32" s="1723">
        <f t="shared" si="30"/>
        <v>0</v>
      </c>
      <c r="BM32" s="1723">
        <f t="shared" si="31"/>
        <v>0</v>
      </c>
      <c r="BN32" s="1723">
        <f t="shared" si="32"/>
        <v>0</v>
      </c>
      <c r="BO32" s="1723">
        <f t="shared" si="33"/>
        <v>0</v>
      </c>
      <c r="BP32" s="1723">
        <f t="shared" si="34"/>
        <v>0</v>
      </c>
      <c r="BQ32" s="1723">
        <f t="shared" si="35"/>
        <v>0</v>
      </c>
      <c r="BR32" s="1724"/>
      <c r="BS32" s="1725">
        <f t="shared" si="48"/>
        <v>0</v>
      </c>
      <c r="BT32" s="1723">
        <f>(AH32*Pricing!F$3+AI32*Pricing!G$3+AJ32*Pricing!H$3+AK32*Pricing!I$3+AL32*Pricing!J$3+AM32*Pricing!K$3)*IF(T$39="N",(1+V$39),1)</f>
        <v>0</v>
      </c>
      <c r="BU32" s="1723">
        <f t="shared" si="36"/>
        <v>0</v>
      </c>
      <c r="BV32" s="1723">
        <f t="shared" si="37"/>
        <v>0</v>
      </c>
      <c r="BW32" s="1724">
        <f t="shared" si="38"/>
        <v>0</v>
      </c>
      <c r="DB32" s="1726">
        <f t="shared" si="39"/>
        <v>0</v>
      </c>
      <c r="DC32" s="1723">
        <f t="shared" si="40"/>
        <v>0</v>
      </c>
      <c r="DD32" s="172">
        <f t="shared" si="41"/>
        <v>0</v>
      </c>
      <c r="DE32" s="847">
        <f t="shared" si="42"/>
        <v>0</v>
      </c>
      <c r="DF32" s="334">
        <f t="shared" si="43"/>
        <v>0</v>
      </c>
      <c r="DG32" s="847">
        <f t="shared" si="44"/>
        <v>0</v>
      </c>
      <c r="DH32" s="847">
        <f t="shared" si="45"/>
        <v>0</v>
      </c>
      <c r="DI32" s="847">
        <f t="shared" si="46"/>
        <v>0</v>
      </c>
      <c r="DJ32" s="1727">
        <f t="shared" si="47"/>
        <v>0</v>
      </c>
    </row>
    <row r="33" spans="1:114" s="1254" customFormat="1" ht="15.45">
      <c r="A33" s="482"/>
      <c r="B33" s="1177"/>
      <c r="C33" s="1710"/>
      <c r="D33" s="1711"/>
      <c r="E33" s="1837"/>
      <c r="F33" s="1108"/>
      <c r="G33" s="1109"/>
      <c r="H33" s="1110"/>
      <c r="I33" s="1108"/>
      <c r="J33" s="1109"/>
      <c r="K33" s="1110"/>
      <c r="L33" s="1108"/>
      <c r="M33" s="1108"/>
      <c r="N33" s="1713"/>
      <c r="O33" s="1108"/>
      <c r="P33" s="1108"/>
      <c r="Q33" s="1108"/>
      <c r="R33" s="1714"/>
      <c r="S33" s="1715"/>
      <c r="T33" s="77"/>
      <c r="U33" s="839"/>
      <c r="V33" s="1716">
        <f t="shared" si="0"/>
        <v>0</v>
      </c>
      <c r="W33" s="1717">
        <f t="shared" si="1"/>
        <v>0</v>
      </c>
      <c r="AH33" s="1720">
        <f t="shared" si="2"/>
        <v>0</v>
      </c>
      <c r="AI33" s="1719">
        <f t="shared" si="3"/>
        <v>0</v>
      </c>
      <c r="AJ33" s="1719">
        <f t="shared" si="4"/>
        <v>0</v>
      </c>
      <c r="AK33" s="1719">
        <f t="shared" si="5"/>
        <v>0</v>
      </c>
      <c r="AL33" s="1719">
        <f t="shared" si="6"/>
        <v>0</v>
      </c>
      <c r="AM33" s="1719">
        <f t="shared" si="7"/>
        <v>0</v>
      </c>
      <c r="AN33" s="1719">
        <f t="shared" si="8"/>
        <v>0</v>
      </c>
      <c r="AO33" s="1719">
        <f t="shared" si="9"/>
        <v>0</v>
      </c>
      <c r="AP33" s="1719">
        <f t="shared" si="10"/>
        <v>0</v>
      </c>
      <c r="AQ33" s="1719">
        <f t="shared" si="11"/>
        <v>0</v>
      </c>
      <c r="AR33" s="1720">
        <f t="shared" si="12"/>
        <v>0</v>
      </c>
      <c r="AS33" s="1719">
        <f t="shared" si="13"/>
        <v>0</v>
      </c>
      <c r="AT33" s="1719">
        <f t="shared" si="14"/>
        <v>0</v>
      </c>
      <c r="AU33" s="1719">
        <f t="shared" si="15"/>
        <v>0</v>
      </c>
      <c r="AV33" s="1719">
        <f t="shared" si="16"/>
        <v>0</v>
      </c>
      <c r="AW33" s="1719">
        <f t="shared" si="17"/>
        <v>0</v>
      </c>
      <c r="AX33" s="1719">
        <f t="shared" si="18"/>
        <v>0</v>
      </c>
      <c r="AY33" s="1719">
        <f t="shared" si="19"/>
        <v>0</v>
      </c>
      <c r="AZ33" s="1719">
        <f t="shared" si="20"/>
        <v>0</v>
      </c>
      <c r="BA33" s="1721">
        <f t="shared" si="21"/>
        <v>0</v>
      </c>
      <c r="BB33" s="1719">
        <f t="shared" si="22"/>
        <v>0</v>
      </c>
      <c r="BC33" s="1719">
        <f t="shared" si="23"/>
        <v>0</v>
      </c>
      <c r="BD33" s="1719">
        <f t="shared" si="24"/>
        <v>0</v>
      </c>
      <c r="BE33" s="1719">
        <f t="shared" si="25"/>
        <v>0</v>
      </c>
      <c r="BF33" s="1719">
        <f t="shared" si="26"/>
        <v>0</v>
      </c>
      <c r="BG33" s="1719">
        <f t="shared" si="27"/>
        <v>0</v>
      </c>
      <c r="BH33" s="1719">
        <f t="shared" si="28"/>
        <v>0</v>
      </c>
      <c r="BJ33" s="1722">
        <f t="shared" si="29"/>
        <v>0</v>
      </c>
      <c r="BK33" s="1723">
        <f>(AR33*Pricing!F$3+AS33*Pricing!G$3+AT33*Pricing!H$3+AU33*Pricing!I$3+AV33*Pricing!J$3+AW33*Pricing!K$3+AH33*Pricing!F$3+AI33*Pricing!G$3+AJ33*Pricing!H$3+AK33*Pricing!I$3+AL33*Pricing!J$3+AM33*Pricing!K$3)*IF(T$39="N",(1+V$39),1)</f>
        <v>0</v>
      </c>
      <c r="BL33" s="1723">
        <f t="shared" si="30"/>
        <v>0</v>
      </c>
      <c r="BM33" s="1723">
        <f t="shared" si="31"/>
        <v>0</v>
      </c>
      <c r="BN33" s="1723">
        <f t="shared" si="32"/>
        <v>0</v>
      </c>
      <c r="BO33" s="1723">
        <f t="shared" si="33"/>
        <v>0</v>
      </c>
      <c r="BP33" s="1723">
        <f t="shared" si="34"/>
        <v>0</v>
      </c>
      <c r="BQ33" s="1723">
        <f t="shared" si="35"/>
        <v>0</v>
      </c>
      <c r="BR33" s="1724"/>
      <c r="BS33" s="1725">
        <f>IF(SUM(BF$36:BG$36)=0,0,(BQ$36-W$58-N$64-W81-(L$79*0.15))/SUM(BF$36:BG$36)*BG33+BN33)</f>
        <v>0</v>
      </c>
      <c r="BT33" s="1723">
        <f>(AH33*Pricing!F$3+AI33*Pricing!G$3+AJ33*Pricing!H$3+AK33*Pricing!I$3+AL33*Pricing!J$3+AM33*Pricing!K$3)*IF(T$39="N",(1+V$39),1)</f>
        <v>0</v>
      </c>
      <c r="BU33" s="1723">
        <f t="shared" si="36"/>
        <v>0</v>
      </c>
      <c r="BV33" s="1723">
        <f t="shared" si="37"/>
        <v>0</v>
      </c>
      <c r="BW33" s="1724">
        <f t="shared" si="38"/>
        <v>0</v>
      </c>
      <c r="DB33" s="1726">
        <f t="shared" si="39"/>
        <v>0</v>
      </c>
      <c r="DC33" s="1723">
        <f t="shared" si="40"/>
        <v>0</v>
      </c>
      <c r="DD33" s="172">
        <f t="shared" si="41"/>
        <v>0</v>
      </c>
      <c r="DE33" s="847">
        <f t="shared" si="42"/>
        <v>0</v>
      </c>
      <c r="DF33" s="334">
        <f t="shared" si="43"/>
        <v>0</v>
      </c>
      <c r="DG33" s="847">
        <f t="shared" si="44"/>
        <v>0</v>
      </c>
      <c r="DH33" s="847">
        <f t="shared" si="45"/>
        <v>0</v>
      </c>
      <c r="DI33" s="847">
        <f t="shared" si="46"/>
        <v>0</v>
      </c>
      <c r="DJ33" s="1727">
        <f t="shared" si="47"/>
        <v>0</v>
      </c>
    </row>
    <row r="34" spans="1:114" s="1254" customFormat="1" ht="15.45">
      <c r="A34" s="482"/>
      <c r="B34" s="1177"/>
      <c r="C34" s="1710"/>
      <c r="D34" s="1711"/>
      <c r="E34" s="1837"/>
      <c r="F34" s="1108"/>
      <c r="G34" s="1109"/>
      <c r="H34" s="1110"/>
      <c r="I34" s="1108"/>
      <c r="J34" s="1109"/>
      <c r="K34" s="1110"/>
      <c r="L34" s="1108"/>
      <c r="M34" s="1108"/>
      <c r="N34" s="1713"/>
      <c r="O34" s="1108"/>
      <c r="P34" s="1108"/>
      <c r="Q34" s="1108"/>
      <c r="R34" s="1714"/>
      <c r="S34" s="1715"/>
      <c r="T34" s="77"/>
      <c r="U34" s="839"/>
      <c r="V34" s="1716">
        <f t="shared" si="0"/>
        <v>0</v>
      </c>
      <c r="W34" s="1717">
        <f t="shared" si="1"/>
        <v>0</v>
      </c>
      <c r="AH34" s="1720">
        <f t="shared" si="2"/>
        <v>0</v>
      </c>
      <c r="AI34" s="1719">
        <f t="shared" si="3"/>
        <v>0</v>
      </c>
      <c r="AJ34" s="1719">
        <f t="shared" si="4"/>
        <v>0</v>
      </c>
      <c r="AK34" s="1719">
        <f t="shared" si="5"/>
        <v>0</v>
      </c>
      <c r="AL34" s="1719">
        <f t="shared" si="6"/>
        <v>0</v>
      </c>
      <c r="AM34" s="1719">
        <f t="shared" si="7"/>
        <v>0</v>
      </c>
      <c r="AN34" s="1719">
        <f t="shared" si="8"/>
        <v>0</v>
      </c>
      <c r="AO34" s="1719">
        <f t="shared" si="9"/>
        <v>0</v>
      </c>
      <c r="AP34" s="1719">
        <f t="shared" si="10"/>
        <v>0</v>
      </c>
      <c r="AQ34" s="1719">
        <f t="shared" si="11"/>
        <v>0</v>
      </c>
      <c r="AR34" s="1720">
        <f t="shared" si="12"/>
        <v>0</v>
      </c>
      <c r="AS34" s="1719">
        <f t="shared" si="13"/>
        <v>0</v>
      </c>
      <c r="AT34" s="1719">
        <f t="shared" si="14"/>
        <v>0</v>
      </c>
      <c r="AU34" s="1719">
        <f t="shared" si="15"/>
        <v>0</v>
      </c>
      <c r="AV34" s="1719">
        <f t="shared" si="16"/>
        <v>0</v>
      </c>
      <c r="AW34" s="1719">
        <f t="shared" si="17"/>
        <v>0</v>
      </c>
      <c r="AX34" s="1719">
        <f t="shared" si="18"/>
        <v>0</v>
      </c>
      <c r="AY34" s="1719">
        <f t="shared" si="19"/>
        <v>0</v>
      </c>
      <c r="AZ34" s="1719">
        <f t="shared" si="20"/>
        <v>0</v>
      </c>
      <c r="BA34" s="1721">
        <f t="shared" si="21"/>
        <v>0</v>
      </c>
      <c r="BB34" s="1719">
        <f t="shared" si="22"/>
        <v>0</v>
      </c>
      <c r="BC34" s="1719">
        <f t="shared" si="23"/>
        <v>0</v>
      </c>
      <c r="BD34" s="1719">
        <f t="shared" si="24"/>
        <v>0</v>
      </c>
      <c r="BE34" s="1719">
        <f t="shared" si="25"/>
        <v>0</v>
      </c>
      <c r="BF34" s="1719">
        <f t="shared" si="26"/>
        <v>0</v>
      </c>
      <c r="BG34" s="1719">
        <f t="shared" si="27"/>
        <v>0</v>
      </c>
      <c r="BH34" s="1719">
        <f t="shared" si="28"/>
        <v>0</v>
      </c>
      <c r="BJ34" s="1722">
        <f t="shared" si="29"/>
        <v>0</v>
      </c>
      <c r="BK34" s="1723">
        <f>(AR34*Pricing!F$3+AS34*Pricing!G$3+AT34*Pricing!H$3+AU34*Pricing!I$3+AV34*Pricing!J$3+AW34*Pricing!K$3+AH34*Pricing!F$3+AI34*Pricing!G$3+AJ34*Pricing!H$3+AK34*Pricing!I$3+AL34*Pricing!J$3+AM34*Pricing!K$3)*IF(T$39="N",(1+V$39),1)</f>
        <v>0</v>
      </c>
      <c r="BL34" s="1723">
        <f t="shared" si="30"/>
        <v>0</v>
      </c>
      <c r="BM34" s="1723">
        <f t="shared" si="31"/>
        <v>0</v>
      </c>
      <c r="BN34" s="1723">
        <f t="shared" si="32"/>
        <v>0</v>
      </c>
      <c r="BO34" s="1723">
        <f t="shared" si="33"/>
        <v>0</v>
      </c>
      <c r="BP34" s="1723">
        <f t="shared" si="34"/>
        <v>0</v>
      </c>
      <c r="BQ34" s="1723">
        <f t="shared" si="35"/>
        <v>0</v>
      </c>
      <c r="BR34" s="1724"/>
      <c r="BS34" s="1725">
        <f>IF(SUM(BF$36:BG$36)=0,0,(BQ$36-W$58-N$64-W82-(L$79*0.15))/SUM(BF$36:BG$36)*BG34+BN34)</f>
        <v>0</v>
      </c>
      <c r="BT34" s="1723">
        <f>(AH34*Pricing!F$3+AI34*Pricing!G$3+AJ34*Pricing!H$3+AK34*Pricing!I$3+AL34*Pricing!J$3+AM34*Pricing!K$3)*IF(T$39="N",(1+V$39),1)</f>
        <v>0</v>
      </c>
      <c r="BU34" s="1723">
        <f t="shared" si="36"/>
        <v>0</v>
      </c>
      <c r="BV34" s="1723">
        <f t="shared" si="37"/>
        <v>0</v>
      </c>
      <c r="BW34" s="1724">
        <f t="shared" si="38"/>
        <v>0</v>
      </c>
      <c r="DB34" s="1726">
        <f t="shared" si="39"/>
        <v>0</v>
      </c>
      <c r="DC34" s="1723">
        <f t="shared" si="40"/>
        <v>0</v>
      </c>
      <c r="DD34" s="172">
        <f t="shared" si="41"/>
        <v>0</v>
      </c>
      <c r="DE34" s="847">
        <f t="shared" si="42"/>
        <v>0</v>
      </c>
      <c r="DF34" s="334">
        <f t="shared" si="43"/>
        <v>0</v>
      </c>
      <c r="DG34" s="847">
        <f t="shared" si="44"/>
        <v>0</v>
      </c>
      <c r="DH34" s="847">
        <f t="shared" si="45"/>
        <v>0</v>
      </c>
      <c r="DI34" s="847">
        <f t="shared" si="46"/>
        <v>0</v>
      </c>
      <c r="DJ34" s="1727">
        <f t="shared" si="47"/>
        <v>0</v>
      </c>
    </row>
    <row r="35" spans="1:114" s="1254" customFormat="1" ht="15.45">
      <c r="A35" s="482"/>
      <c r="B35" s="1177"/>
      <c r="C35" s="1729"/>
      <c r="D35" s="1711"/>
      <c r="E35" s="1837"/>
      <c r="F35" s="1108"/>
      <c r="G35" s="1109"/>
      <c r="H35" s="1110"/>
      <c r="I35" s="1108"/>
      <c r="J35" s="1109"/>
      <c r="K35" s="1110"/>
      <c r="L35" s="1108"/>
      <c r="M35" s="1108"/>
      <c r="N35" s="1713"/>
      <c r="O35" s="1108"/>
      <c r="P35" s="1108"/>
      <c r="Q35" s="1108"/>
      <c r="R35" s="1714"/>
      <c r="S35" s="1715"/>
      <c r="T35" s="77"/>
      <c r="U35" s="839"/>
      <c r="V35" s="1716">
        <f t="shared" si="0"/>
        <v>0</v>
      </c>
      <c r="W35" s="1717">
        <f t="shared" si="1"/>
        <v>0</v>
      </c>
      <c r="AH35" s="1730">
        <f t="shared" si="2"/>
        <v>0</v>
      </c>
      <c r="AI35" s="1731">
        <f t="shared" si="3"/>
        <v>0</v>
      </c>
      <c r="AJ35" s="1731">
        <f t="shared" si="4"/>
        <v>0</v>
      </c>
      <c r="AK35" s="1731">
        <f t="shared" si="5"/>
        <v>0</v>
      </c>
      <c r="AL35" s="1731">
        <f t="shared" si="6"/>
        <v>0</v>
      </c>
      <c r="AM35" s="1731">
        <f t="shared" si="7"/>
        <v>0</v>
      </c>
      <c r="AN35" s="1731">
        <f t="shared" si="8"/>
        <v>0</v>
      </c>
      <c r="AO35" s="1731">
        <f t="shared" si="9"/>
        <v>0</v>
      </c>
      <c r="AP35" s="1731">
        <f t="shared" si="10"/>
        <v>0</v>
      </c>
      <c r="AQ35" s="1731">
        <f t="shared" si="11"/>
        <v>0</v>
      </c>
      <c r="AR35" s="1730">
        <f t="shared" si="12"/>
        <v>0</v>
      </c>
      <c r="AS35" s="1731">
        <f t="shared" si="13"/>
        <v>0</v>
      </c>
      <c r="AT35" s="1731">
        <f t="shared" si="14"/>
        <v>0</v>
      </c>
      <c r="AU35" s="1731">
        <f t="shared" si="15"/>
        <v>0</v>
      </c>
      <c r="AV35" s="1731">
        <f t="shared" si="16"/>
        <v>0</v>
      </c>
      <c r="AW35" s="1731">
        <f t="shared" si="17"/>
        <v>0</v>
      </c>
      <c r="AX35" s="1731">
        <f t="shared" si="18"/>
        <v>0</v>
      </c>
      <c r="AY35" s="1731">
        <f t="shared" si="19"/>
        <v>0</v>
      </c>
      <c r="AZ35" s="1731">
        <f t="shared" si="20"/>
        <v>0</v>
      </c>
      <c r="BA35" s="1732">
        <f t="shared" si="21"/>
        <v>0</v>
      </c>
      <c r="BB35" s="1719">
        <f t="shared" si="22"/>
        <v>0</v>
      </c>
      <c r="BC35" s="1719">
        <f t="shared" si="23"/>
        <v>0</v>
      </c>
      <c r="BD35" s="1719">
        <f t="shared" si="24"/>
        <v>0</v>
      </c>
      <c r="BE35" s="1719">
        <f t="shared" si="25"/>
        <v>0</v>
      </c>
      <c r="BF35" s="1719">
        <f t="shared" si="26"/>
        <v>0</v>
      </c>
      <c r="BG35" s="1719">
        <f t="shared" si="27"/>
        <v>0</v>
      </c>
      <c r="BH35" s="1719">
        <f t="shared" si="28"/>
        <v>0</v>
      </c>
      <c r="BJ35" s="1733">
        <f t="shared" si="29"/>
        <v>0</v>
      </c>
      <c r="BK35" s="1734">
        <f>(AR35*Pricing!F$3+AS35*Pricing!G$3+AT35*Pricing!H$3+AU35*Pricing!I$3+AV35*Pricing!J$3+AW35*Pricing!K$3+AH35*Pricing!F$3+AI35*Pricing!G$3+AJ35*Pricing!H$3+AK35*Pricing!I$3+AL35*Pricing!J$3+AM35*Pricing!K$3)*IF(T$39="N",(1+V$39),1)</f>
        <v>0</v>
      </c>
      <c r="BL35" s="1734">
        <f t="shared" si="30"/>
        <v>0</v>
      </c>
      <c r="BM35" s="1734">
        <f t="shared" si="31"/>
        <v>0</v>
      </c>
      <c r="BN35" s="1734">
        <f t="shared" si="32"/>
        <v>0</v>
      </c>
      <c r="BO35" s="1734">
        <f t="shared" si="33"/>
        <v>0</v>
      </c>
      <c r="BP35" s="1734">
        <f t="shared" si="34"/>
        <v>0</v>
      </c>
      <c r="BQ35" s="1734">
        <f t="shared" si="35"/>
        <v>0</v>
      </c>
      <c r="BR35" s="1735"/>
      <c r="BS35" s="1736">
        <f>IF(SUM(BF$36:BG$36)=0,0,(BQ$36-W$58-N$64-W83-(L$79*0.15))/SUM(BF$36:BG$36)*BG35+BN35)</f>
        <v>0</v>
      </c>
      <c r="BT35" s="1734">
        <f>(AH35*Pricing!F$3+AI35*Pricing!G$3+AJ35*Pricing!H$3+AK35*Pricing!I$3+AL35*Pricing!J$3+AM35*Pricing!K$3)*IF(T$39="N",(1+V$39),1)</f>
        <v>0</v>
      </c>
      <c r="BU35" s="1734">
        <f t="shared" si="36"/>
        <v>0</v>
      </c>
      <c r="BV35" s="1734">
        <f t="shared" si="37"/>
        <v>0</v>
      </c>
      <c r="BW35" s="1735">
        <f t="shared" si="38"/>
        <v>0</v>
      </c>
      <c r="DB35" s="1726">
        <f t="shared" si="39"/>
        <v>0</v>
      </c>
      <c r="DC35" s="1723">
        <f t="shared" si="40"/>
        <v>0</v>
      </c>
      <c r="DD35" s="172">
        <f t="shared" si="41"/>
        <v>0</v>
      </c>
      <c r="DE35" s="847">
        <f t="shared" si="42"/>
        <v>0</v>
      </c>
      <c r="DF35" s="334">
        <f t="shared" si="43"/>
        <v>0</v>
      </c>
      <c r="DG35" s="847">
        <f t="shared" si="44"/>
        <v>0</v>
      </c>
      <c r="DH35" s="847">
        <f t="shared" si="45"/>
        <v>0</v>
      </c>
      <c r="DI35" s="847">
        <f t="shared" si="46"/>
        <v>0</v>
      </c>
      <c r="DJ35" s="1727">
        <f t="shared" si="47"/>
        <v>0</v>
      </c>
    </row>
    <row r="36" spans="1:114" s="1254" customFormat="1" ht="15.45">
      <c r="A36" s="381"/>
      <c r="B36" s="589"/>
      <c r="C36" s="589"/>
      <c r="D36" s="1737"/>
      <c r="E36" s="1120">
        <f>SUM(E10:E35)</f>
        <v>652</v>
      </c>
      <c r="F36" s="1737" t="s">
        <v>1398</v>
      </c>
      <c r="G36" s="1085"/>
      <c r="H36" s="1085"/>
      <c r="I36" s="589"/>
      <c r="J36" s="589"/>
      <c r="K36" s="589"/>
      <c r="L36" s="589"/>
      <c r="M36" s="589"/>
      <c r="N36" s="589"/>
      <c r="O36" s="1300" t="s">
        <v>1399</v>
      </c>
      <c r="P36" s="1301"/>
      <c r="Q36" s="1301"/>
      <c r="R36" s="1301"/>
      <c r="S36" s="589"/>
      <c r="T36" s="589"/>
      <c r="U36" s="1123">
        <f>SUM(V10:V35)</f>
        <v>33727.832260989453</v>
      </c>
      <c r="V36" s="1738"/>
      <c r="W36" s="1124">
        <f>ROUND(SUM(W10:W35),0)</f>
        <v>285</v>
      </c>
      <c r="AH36" s="1719">
        <f t="shared" ref="AH36:BQ36" si="49">SUM(AH10:AH35)</f>
        <v>0</v>
      </c>
      <c r="AI36" s="1719">
        <f t="shared" si="49"/>
        <v>0</v>
      </c>
      <c r="AJ36" s="1719">
        <f t="shared" si="49"/>
        <v>149.3160493827161</v>
      </c>
      <c r="AK36" s="1719">
        <f t="shared" si="49"/>
        <v>0</v>
      </c>
      <c r="AL36" s="1719">
        <f t="shared" si="49"/>
        <v>0</v>
      </c>
      <c r="AM36" s="1719">
        <f t="shared" si="49"/>
        <v>0</v>
      </c>
      <c r="AN36" s="1719">
        <f t="shared" si="49"/>
        <v>0</v>
      </c>
      <c r="AO36" s="1719">
        <f t="shared" si="49"/>
        <v>0</v>
      </c>
      <c r="AP36" s="1719">
        <f t="shared" si="49"/>
        <v>0</v>
      </c>
      <c r="AQ36" s="1719">
        <f t="shared" si="49"/>
        <v>0</v>
      </c>
      <c r="AR36" s="1719">
        <f t="shared" si="49"/>
        <v>0</v>
      </c>
      <c r="AS36" s="1719">
        <f t="shared" si="49"/>
        <v>0</v>
      </c>
      <c r="AT36" s="1719">
        <f t="shared" si="49"/>
        <v>0</v>
      </c>
      <c r="AU36" s="1719">
        <f t="shared" si="49"/>
        <v>0</v>
      </c>
      <c r="AV36" s="1719">
        <f t="shared" si="49"/>
        <v>135.54455555555555</v>
      </c>
      <c r="AW36" s="1719">
        <f t="shared" si="49"/>
        <v>0</v>
      </c>
      <c r="AX36" s="1719">
        <f t="shared" si="49"/>
        <v>0</v>
      </c>
      <c r="AY36" s="1719">
        <f t="shared" si="49"/>
        <v>0</v>
      </c>
      <c r="AZ36" s="1719">
        <f t="shared" si="49"/>
        <v>0</v>
      </c>
      <c r="BA36" s="1719">
        <f t="shared" si="49"/>
        <v>0</v>
      </c>
      <c r="BB36" s="1719">
        <f t="shared" si="49"/>
        <v>149.3160493827161</v>
      </c>
      <c r="BC36" s="1719">
        <f t="shared" si="49"/>
        <v>135.54455555555555</v>
      </c>
      <c r="BD36" s="1719">
        <f t="shared" si="49"/>
        <v>33727.832260989453</v>
      </c>
      <c r="BE36" s="1719">
        <f t="shared" si="49"/>
        <v>6905.0999999999995</v>
      </c>
      <c r="BF36" s="1719">
        <f t="shared" si="49"/>
        <v>3452.5499999999997</v>
      </c>
      <c r="BG36" s="1719">
        <f t="shared" si="49"/>
        <v>3803.3333333333321</v>
      </c>
      <c r="BH36" s="1719">
        <f t="shared" si="49"/>
        <v>384</v>
      </c>
      <c r="BI36" s="1254">
        <f t="shared" si="49"/>
        <v>0</v>
      </c>
      <c r="BJ36" s="1723">
        <f t="shared" si="49"/>
        <v>23731.745974638714</v>
      </c>
      <c r="BK36" s="1723">
        <f t="shared" si="49"/>
        <v>46987.875633796306</v>
      </c>
      <c r="BL36" s="1723">
        <f t="shared" si="49"/>
        <v>7679.9999999999991</v>
      </c>
      <c r="BM36" s="1723">
        <f t="shared" si="49"/>
        <v>28483.537500000002</v>
      </c>
      <c r="BN36" s="1723">
        <f t="shared" si="49"/>
        <v>30426.666666666657</v>
      </c>
      <c r="BO36" s="1723">
        <f t="shared" si="49"/>
        <v>7588.7622587226269</v>
      </c>
      <c r="BP36" s="1723">
        <f t="shared" si="49"/>
        <v>16524.000000000004</v>
      </c>
      <c r="BQ36" s="1723">
        <f t="shared" si="49"/>
        <v>46263.972002508686</v>
      </c>
      <c r="BR36" s="1723">
        <f>SUM(BJ36:BQ36)</f>
        <v>207686.56003633299</v>
      </c>
      <c r="BS36" s="1723">
        <f>SUM(BS10:BS35)</f>
        <v>49536.731593204408</v>
      </c>
      <c r="BT36" s="1723">
        <f>SUM(BT10:BT35)</f>
        <v>24245.193518518528</v>
      </c>
      <c r="BU36" s="1723"/>
      <c r="BV36" s="1723">
        <f>SUM(BV10:BV35)</f>
        <v>133904.63492461009</v>
      </c>
      <c r="BW36" s="1723">
        <f>SUM(BS36:BV36)</f>
        <v>207686.56003633302</v>
      </c>
      <c r="DB36" s="1739">
        <f t="shared" ref="DB36:DH36" si="50">SUM(DB10:DB35)</f>
        <v>238839.54404178285</v>
      </c>
      <c r="DC36" s="1739">
        <f t="shared" si="50"/>
        <v>230859.544041783</v>
      </c>
      <c r="DD36" s="1128">
        <f t="shared" si="50"/>
        <v>181</v>
      </c>
      <c r="DE36" s="1128">
        <f t="shared" si="50"/>
        <v>33727</v>
      </c>
      <c r="DF36" s="1128">
        <f t="shared" si="50"/>
        <v>979</v>
      </c>
      <c r="DG36" s="1128">
        <f t="shared" si="50"/>
        <v>3453</v>
      </c>
      <c r="DH36" s="1740">
        <f t="shared" si="50"/>
        <v>3459</v>
      </c>
      <c r="DI36" s="847">
        <f>IF(C36="Y",IF(D36&gt;0,D36,0),0)</f>
        <v>0</v>
      </c>
      <c r="DJ36" s="1128">
        <f>SUM(DJ10:DJ35)</f>
        <v>3808</v>
      </c>
    </row>
    <row r="37" spans="1:114" s="1254" customFormat="1">
      <c r="A37" s="653"/>
      <c r="B37" s="693"/>
      <c r="C37" s="693"/>
      <c r="D37" s="693"/>
      <c r="E37" s="693"/>
      <c r="F37" s="693"/>
      <c r="G37" s="693"/>
      <c r="H37" s="693"/>
      <c r="I37" s="693"/>
      <c r="J37" s="693"/>
      <c r="K37" s="693"/>
      <c r="L37" s="693"/>
      <c r="M37" s="693"/>
      <c r="N37" s="693"/>
      <c r="O37" s="1741" t="s">
        <v>1400</v>
      </c>
      <c r="P37" s="1742"/>
      <c r="Q37" s="1742"/>
      <c r="R37" s="1742"/>
      <c r="S37" s="693"/>
      <c r="T37" s="693"/>
      <c r="U37" s="1743">
        <f>ROUNDUP(U36/2000,0)</f>
        <v>17</v>
      </c>
      <c r="V37" s="1132"/>
      <c r="W37" s="1132"/>
      <c r="BJ37" s="1739">
        <f>N56+N57+N58</f>
        <v>23731.745974638703</v>
      </c>
      <c r="BK37" s="1739">
        <f>SUM(N51:O55)</f>
        <v>46987.875633796306</v>
      </c>
      <c r="BL37" s="1739">
        <f>N59+N60</f>
        <v>7680</v>
      </c>
      <c r="BM37" s="1739">
        <f>N67+N68+N69+N70</f>
        <v>28483.537499999999</v>
      </c>
      <c r="BN37" s="1739">
        <f>N66</f>
        <v>30426.666666666657</v>
      </c>
      <c r="BO37" s="1739">
        <f>N71</f>
        <v>7588.7622587226269</v>
      </c>
      <c r="BP37" s="1739">
        <f>N74+N73+N72</f>
        <v>16524</v>
      </c>
      <c r="BQ37" s="1739">
        <f>N83+N84+N85+N86+N87+N88+N90+N91+N92+N93+N94+N95+N96+W95+L79+N81</f>
        <v>46263.972002508672</v>
      </c>
      <c r="BR37" s="1739">
        <f>S40</f>
        <v>207686.56003633296</v>
      </c>
      <c r="DB37" s="1739">
        <f>D40-DB36</f>
        <v>0</v>
      </c>
      <c r="DC37" s="1739">
        <f>DC36-D40</f>
        <v>-7979.9999999998836</v>
      </c>
      <c r="DD37" s="1254">
        <f t="shared" ref="DD37:DJ37" si="51">SUM(DD10:DD36)</f>
        <v>362</v>
      </c>
      <c r="DE37" s="1254">
        <f t="shared" si="51"/>
        <v>67454</v>
      </c>
      <c r="DF37" s="1254">
        <f t="shared" si="51"/>
        <v>1958</v>
      </c>
      <c r="DG37" s="1254">
        <f t="shared" si="51"/>
        <v>6906</v>
      </c>
      <c r="DH37" s="1254">
        <f t="shared" si="51"/>
        <v>6918</v>
      </c>
      <c r="DI37" s="1121">
        <f t="shared" si="51"/>
        <v>652</v>
      </c>
      <c r="DJ37" s="1254">
        <f t="shared" si="51"/>
        <v>7616</v>
      </c>
    </row>
    <row r="38" spans="1:114" s="1254" customFormat="1" ht="15.45">
      <c r="A38" s="888"/>
      <c r="B38" s="889"/>
      <c r="C38" s="890" t="s">
        <v>1261</v>
      </c>
      <c r="D38" s="2784"/>
      <c r="E38" s="2784"/>
      <c r="F38" s="889"/>
      <c r="G38" s="889"/>
      <c r="H38" s="889"/>
      <c r="I38" s="889"/>
      <c r="J38" s="889"/>
      <c r="K38" s="891"/>
      <c r="L38" s="889"/>
      <c r="M38" s="889"/>
      <c r="N38" s="889"/>
      <c r="O38" s="1053"/>
      <c r="P38" s="889"/>
      <c r="Q38" s="889"/>
      <c r="R38" s="889"/>
      <c r="S38" s="889"/>
      <c r="T38" s="889"/>
      <c r="U38" s="889"/>
      <c r="V38" s="889"/>
      <c r="W38" s="894"/>
      <c r="BJ38" s="1739">
        <f t="shared" ref="BJ38:BR38" si="52">BJ36-BJ37</f>
        <v>0</v>
      </c>
      <c r="BK38" s="1739">
        <f t="shared" si="52"/>
        <v>0</v>
      </c>
      <c r="BL38" s="1739">
        <f t="shared" si="52"/>
        <v>0</v>
      </c>
      <c r="BM38" s="1739">
        <f t="shared" si="52"/>
        <v>0</v>
      </c>
      <c r="BN38" s="1739">
        <f t="shared" si="52"/>
        <v>0</v>
      </c>
      <c r="BO38" s="1739">
        <f t="shared" si="52"/>
        <v>0</v>
      </c>
      <c r="BP38" s="1739">
        <f t="shared" si="52"/>
        <v>0</v>
      </c>
      <c r="BQ38" s="1739">
        <f t="shared" si="52"/>
        <v>0</v>
      </c>
      <c r="BR38" s="1739">
        <f t="shared" si="52"/>
        <v>0</v>
      </c>
    </row>
    <row r="39" spans="1:114" s="1254" customFormat="1" ht="30.9">
      <c r="A39" s="2786" t="s">
        <v>1262</v>
      </c>
      <c r="B39" s="2786"/>
      <c r="C39" s="2786"/>
      <c r="D39" s="1476" t="s">
        <v>982</v>
      </c>
      <c r="E39" s="1478"/>
      <c r="F39" s="1744" t="s">
        <v>1263</v>
      </c>
      <c r="G39" s="1477"/>
      <c r="H39" s="1478"/>
      <c r="I39" s="1054" t="s">
        <v>1264</v>
      </c>
      <c r="J39" s="1055"/>
      <c r="K39" s="1056"/>
      <c r="L39" s="1057" t="s">
        <v>1265</v>
      </c>
      <c r="M39" s="1058"/>
      <c r="N39" s="1058"/>
      <c r="O39" s="1059"/>
      <c r="P39" s="895"/>
      <c r="Q39" s="795" t="s">
        <v>1266</v>
      </c>
      <c r="R39" s="983"/>
      <c r="S39" s="983" t="s">
        <v>1267</v>
      </c>
      <c r="T39" s="1745" t="str">
        <f>Summary!P62</f>
        <v>N</v>
      </c>
      <c r="U39" s="1259" t="s">
        <v>1268</v>
      </c>
      <c r="V39" s="1746">
        <f>Summary!R62</f>
        <v>8.2500000000000004E-2</v>
      </c>
      <c r="W39" s="898"/>
      <c r="DD39" s="1254" t="s">
        <v>1401</v>
      </c>
      <c r="DF39" s="1254" t="s">
        <v>1402</v>
      </c>
    </row>
    <row r="40" spans="1:114" s="1254" customFormat="1" ht="15.45">
      <c r="A40" s="899" t="s">
        <v>1269</v>
      </c>
      <c r="B40" s="2865">
        <f>IF(BF36=0,0,D40/BF36)</f>
        <v>69.177721985715749</v>
      </c>
      <c r="C40" s="2865"/>
      <c r="D40" s="2866">
        <f>(S40-N96)*(1+L40)</f>
        <v>238839.54404178288</v>
      </c>
      <c r="E40" s="2866"/>
      <c r="F40" s="1747">
        <f>IF(D40=0,0,G40/D40)</f>
        <v>0.13043478260869557</v>
      </c>
      <c r="G40" s="2792">
        <f>(D40-S40)</f>
        <v>31152.984005449922</v>
      </c>
      <c r="H40" s="2792"/>
      <c r="I40" s="3078">
        <f>IF(BF36=0,0,S40/BF36)</f>
        <v>60.154540857144134</v>
      </c>
      <c r="J40" s="3078"/>
      <c r="K40" s="1748"/>
      <c r="L40" s="1749">
        <v>0.15</v>
      </c>
      <c r="M40" s="1750"/>
      <c r="N40" s="1750"/>
      <c r="O40" s="1751"/>
      <c r="P40" s="1137"/>
      <c r="Q40" s="902" t="s">
        <v>980</v>
      </c>
      <c r="R40" s="18"/>
      <c r="S40" s="2942">
        <f>SUM(N51:O63)+SUM(N66:O75)+SUM(N78:O80)+SUM(N83:O88)+SUM(N90:O96)+W95+N64+SUM(K66:L75)+N81</f>
        <v>207686.56003633296</v>
      </c>
      <c r="T40" s="2942"/>
      <c r="U40" s="903"/>
      <c r="V40" s="798"/>
      <c r="W40" s="898"/>
      <c r="DB40" s="168"/>
      <c r="DC40" s="1140" t="s">
        <v>1403</v>
      </c>
      <c r="DD40" s="1141">
        <v>458</v>
      </c>
      <c r="DE40" s="1142"/>
    </row>
    <row r="41" spans="1:114" s="1254" customFormat="1" ht="15.45">
      <c r="A41" s="899"/>
      <c r="B41" s="1483"/>
      <c r="C41" s="1752" t="str">
        <f>IF(ROUND(D41,0)=0,"BINGO!!",IF(ROUND(D41,0)&lt;0,"To Low","T0 High"))</f>
        <v>T0 High</v>
      </c>
      <c r="D41" s="2796">
        <f>D40-D38</f>
        <v>238839.54404178288</v>
      </c>
      <c r="E41" s="2796"/>
      <c r="F41" s="1753"/>
      <c r="G41" s="1754"/>
      <c r="H41" s="1754"/>
      <c r="I41" s="1755"/>
      <c r="J41" s="1755"/>
      <c r="K41" s="1755"/>
      <c r="L41" s="1756"/>
      <c r="M41" s="1756"/>
      <c r="N41" s="1756"/>
      <c r="O41" s="1757"/>
      <c r="P41" s="1137"/>
      <c r="Q41" s="1758"/>
      <c r="R41" s="976"/>
      <c r="S41" s="1759"/>
      <c r="T41" s="1759"/>
      <c r="U41" s="1759"/>
      <c r="V41" s="1760"/>
      <c r="W41" s="898"/>
      <c r="DC41" s="928" t="s">
        <v>1406</v>
      </c>
      <c r="DD41" s="1148">
        <v>-5</v>
      </c>
      <c r="DE41" s="1149"/>
      <c r="DF41" s="1150">
        <f>DD40+DD41</f>
        <v>453</v>
      </c>
    </row>
    <row r="42" spans="1:114" s="1254" customFormat="1" ht="15.45">
      <c r="A42" s="1761" t="s">
        <v>1693</v>
      </c>
      <c r="B42" s="1762">
        <f>IF(F42=0,B40,IF(BF36=0,0,BV36/BF36)*(1+L40))</f>
        <v>44.601911677832796</v>
      </c>
      <c r="C42" s="1762"/>
      <c r="D42" s="1763" t="s">
        <v>1694</v>
      </c>
      <c r="E42" s="1763"/>
      <c r="F42" s="1764">
        <f>IF(BG36=0,0,(BT36+BS36)/BG36)*(1+L40)</f>
        <v>22.309171046051198</v>
      </c>
      <c r="G42" s="1764"/>
      <c r="H42" s="1765" t="s">
        <v>1270</v>
      </c>
      <c r="I42" s="1766"/>
      <c r="J42" s="1767"/>
      <c r="K42" s="1768"/>
      <c r="L42" s="904"/>
      <c r="M42" s="1769">
        <f>IF(J42&gt;0,(J42-D40)/(1+L40),0)</f>
        <v>0</v>
      </c>
      <c r="N42" s="1770"/>
      <c r="O42" s="913"/>
      <c r="P42" s="905"/>
      <c r="Q42" s="905"/>
      <c r="R42" s="905"/>
      <c r="S42" s="2946">
        <f>AE1</f>
        <v>0</v>
      </c>
      <c r="T42" s="2946"/>
      <c r="U42" s="1771"/>
      <c r="V42" s="905"/>
      <c r="W42" s="913"/>
      <c r="DC42" s="928" t="s">
        <v>1409</v>
      </c>
      <c r="DD42" s="1148">
        <v>460</v>
      </c>
      <c r="DE42" s="1149"/>
      <c r="DF42" s="1154">
        <f>DD42-DD40</f>
        <v>2</v>
      </c>
    </row>
    <row r="43" spans="1:114" s="1254" customFormat="1">
      <c r="A43" s="626"/>
      <c r="B43" s="626"/>
      <c r="C43" s="626"/>
      <c r="D43" s="626"/>
      <c r="E43" s="626"/>
      <c r="F43" s="626"/>
      <c r="G43" s="626"/>
      <c r="H43" s="626"/>
      <c r="I43" s="626" t="s">
        <v>1061</v>
      </c>
      <c r="J43" s="626" t="s">
        <v>1083</v>
      </c>
      <c r="K43" s="626"/>
      <c r="L43" s="626"/>
      <c r="M43" s="626"/>
      <c r="N43" s="626"/>
      <c r="O43" s="626"/>
      <c r="P43" s="626"/>
      <c r="Q43" s="626"/>
      <c r="R43" s="626" t="s">
        <v>1695</v>
      </c>
      <c r="S43" s="626"/>
      <c r="T43" s="634">
        <f>IF(SUM(W77:W82)=0,0,SUM(W77:W82)/H67)</f>
        <v>0.83179334786254955</v>
      </c>
      <c r="U43" s="626" t="s">
        <v>1696</v>
      </c>
      <c r="V43" s="626"/>
      <c r="W43" s="626"/>
      <c r="DB43" s="229"/>
      <c r="DC43" s="229"/>
      <c r="DD43" s="1157"/>
      <c r="DE43" s="715"/>
      <c r="DF43" s="1157"/>
    </row>
    <row r="44" spans="1:114" s="1254" customFormat="1" ht="15.45">
      <c r="A44" s="18" t="s">
        <v>1697</v>
      </c>
      <c r="B44" s="1772"/>
      <c r="C44" s="1772"/>
      <c r="D44" s="1773"/>
      <c r="E44" s="1774"/>
      <c r="F44" s="1775"/>
      <c r="G44" s="1776"/>
      <c r="H44" s="1773"/>
      <c r="I44" s="1530"/>
      <c r="J44" s="1143"/>
      <c r="K44" s="1143"/>
      <c r="L44" s="1143"/>
      <c r="M44" s="1143"/>
      <c r="N44" s="2803" t="s">
        <v>721</v>
      </c>
      <c r="O44" s="2803"/>
      <c r="P44" s="1145" t="s">
        <v>1272</v>
      </c>
      <c r="Q44" s="626"/>
      <c r="R44" s="748" t="s">
        <v>1698</v>
      </c>
      <c r="S44" s="1777"/>
      <c r="T44" s="1778">
        <f>IF(H67=0,0,(N64+W95-W77-W78-W79-W81-W82-W72-W71-W70-W69-W68-W67)/H67)</f>
        <v>5.6592587737602154</v>
      </c>
      <c r="U44" s="1779" t="s">
        <v>1699</v>
      </c>
      <c r="V44" s="1780"/>
      <c r="W44" s="626"/>
    </row>
    <row r="45" spans="1:114" s="1254" customFormat="1" ht="15.45">
      <c r="A45" s="626"/>
      <c r="B45" s="1772"/>
      <c r="C45" s="1772"/>
      <c r="D45" s="1773"/>
      <c r="E45" s="3079"/>
      <c r="F45" s="3079"/>
      <c r="G45" s="1773"/>
      <c r="H45" s="1773"/>
      <c r="I45" s="1772"/>
      <c r="J45" s="1540"/>
      <c r="K45" s="1143"/>
      <c r="L45" s="1143"/>
      <c r="M45" s="1143"/>
      <c r="N45" s="924" t="s">
        <v>1274</v>
      </c>
      <c r="O45" s="925"/>
      <c r="P45" s="926"/>
      <c r="Q45" s="1383"/>
      <c r="R45" s="1383" t="s">
        <v>1146</v>
      </c>
      <c r="S45" s="1383" t="s">
        <v>1268</v>
      </c>
      <c r="T45" s="1383" t="s">
        <v>1700</v>
      </c>
      <c r="U45" s="1383" t="s">
        <v>1701</v>
      </c>
      <c r="V45" s="1383"/>
      <c r="W45" s="1783"/>
    </row>
    <row r="46" spans="1:114" s="1254" customFormat="1" ht="15.45">
      <c r="A46" s="626"/>
      <c r="B46" s="1772"/>
      <c r="C46" s="1772"/>
      <c r="D46" s="1144"/>
      <c r="E46" s="1143"/>
      <c r="F46" s="1534"/>
      <c r="G46" s="1143"/>
      <c r="H46" s="1143"/>
      <c r="I46" s="1540"/>
      <c r="J46" s="1143"/>
      <c r="K46" s="1143"/>
      <c r="L46" s="1143"/>
      <c r="M46" s="1143"/>
      <c r="N46" s="932" t="s">
        <v>1276</v>
      </c>
      <c r="O46" s="933">
        <f>K56</f>
        <v>33727.832260989453</v>
      </c>
      <c r="P46" s="1155">
        <f>N56</f>
        <v>23731.745974638703</v>
      </c>
      <c r="Q46" s="626" t="s">
        <v>1702</v>
      </c>
      <c r="R46" s="628">
        <f>N67</f>
        <v>12083.924999999999</v>
      </c>
      <c r="S46" s="1785">
        <v>17.5</v>
      </c>
      <c r="T46" s="634">
        <f>S46*1.3</f>
        <v>22.75</v>
      </c>
      <c r="U46" s="1786">
        <f>R46/T46</f>
        <v>531.16153846153838</v>
      </c>
      <c r="V46" s="3080">
        <f>H67/U46</f>
        <v>6.5</v>
      </c>
      <c r="W46" s="3080"/>
    </row>
    <row r="47" spans="1:114" s="1254" customFormat="1" ht="15.45">
      <c r="A47" s="626"/>
      <c r="B47" s="1772"/>
      <c r="C47" s="1772"/>
      <c r="D47" s="1143"/>
      <c r="E47" s="1143"/>
      <c r="F47" s="1143"/>
      <c r="G47" s="1143"/>
      <c r="H47" s="1143"/>
      <c r="I47" s="1540"/>
      <c r="J47" s="1143"/>
      <c r="K47" s="1143"/>
      <c r="L47" s="1143"/>
      <c r="M47" s="1143"/>
      <c r="N47" s="1143"/>
      <c r="O47" s="1143"/>
      <c r="P47" s="626"/>
      <c r="Q47" s="805" t="s">
        <v>1703</v>
      </c>
      <c r="R47" s="628">
        <f>N68</f>
        <v>12083.924999999999</v>
      </c>
      <c r="S47" s="1785">
        <v>17.5</v>
      </c>
      <c r="T47" s="634">
        <f>S47*1.3</f>
        <v>22.75</v>
      </c>
      <c r="U47" s="1786">
        <f>R47/T47</f>
        <v>531.16153846153838</v>
      </c>
      <c r="V47" s="3081">
        <f>(K52+K55)/U47</f>
        <v>0.25518518518518518</v>
      </c>
      <c r="W47" s="3081"/>
    </row>
    <row r="48" spans="1:114" s="1254" customFormat="1" ht="15.45">
      <c r="A48" s="18"/>
      <c r="B48" s="1772"/>
      <c r="C48" s="1772"/>
      <c r="D48" s="1143"/>
      <c r="E48" s="1143"/>
      <c r="F48" s="1143"/>
      <c r="G48" s="1143"/>
      <c r="H48" s="1143"/>
      <c r="I48" s="1540"/>
      <c r="J48" s="1143"/>
      <c r="K48" s="1143"/>
      <c r="L48" s="1143"/>
      <c r="M48" s="1143"/>
      <c r="N48" s="1143"/>
      <c r="O48" s="1143"/>
      <c r="Q48" s="750"/>
      <c r="R48" s="749"/>
      <c r="S48" s="749"/>
      <c r="T48" s="749"/>
      <c r="U48" s="1789"/>
      <c r="V48" s="1789"/>
      <c r="W48" s="1790"/>
      <c r="DD48" s="1254">
        <f>2.52/7.53</f>
        <v>0.33466135458167329</v>
      </c>
    </row>
    <row r="49" spans="1:109" s="1254" customFormat="1">
      <c r="A49" s="626"/>
      <c r="B49" s="626"/>
      <c r="C49" s="626"/>
      <c r="D49" s="626"/>
      <c r="E49" s="626"/>
      <c r="F49" s="626"/>
      <c r="G49" s="626"/>
      <c r="H49" s="626"/>
      <c r="I49" s="628"/>
      <c r="J49" s="626"/>
      <c r="K49" s="628"/>
      <c r="L49" s="626"/>
      <c r="M49" s="626"/>
      <c r="N49" s="626"/>
      <c r="O49" s="626"/>
      <c r="P49" s="626"/>
      <c r="Q49" s="626"/>
      <c r="R49" s="626"/>
      <c r="S49" s="626"/>
      <c r="T49" s="693"/>
      <c r="U49" s="693"/>
      <c r="V49" s="693"/>
      <c r="W49" s="693"/>
      <c r="DB49" s="1254">
        <f>SUM(DE51:DE62)*(1+J56)</f>
        <v>38.861320265625004</v>
      </c>
      <c r="DC49" s="402" t="s">
        <v>612</v>
      </c>
    </row>
    <row r="50" spans="1:109" s="1254" customFormat="1" ht="45.45">
      <c r="A50" s="941" t="s">
        <v>1280</v>
      </c>
      <c r="B50" s="1163" t="s">
        <v>1281</v>
      </c>
      <c r="C50" s="1164"/>
      <c r="D50" s="1164"/>
      <c r="E50" s="1164"/>
      <c r="F50" s="1164"/>
      <c r="G50" s="1164"/>
      <c r="H50" s="1164"/>
      <c r="I50" s="1164"/>
      <c r="J50" s="943" t="s">
        <v>1282</v>
      </c>
      <c r="K50" s="3009" t="str">
        <f>IF(ROUND(SUM(K51:K55),0)=W36,"Good","Missing Concrete!!!")</f>
        <v>Good</v>
      </c>
      <c r="L50" s="3009"/>
      <c r="M50" s="1164"/>
      <c r="N50" s="1164"/>
      <c r="O50" s="1165"/>
      <c r="P50" s="1166" t="s">
        <v>1284</v>
      </c>
      <c r="Q50" s="946" t="s">
        <v>1283</v>
      </c>
      <c r="R50" s="1098"/>
      <c r="S50" s="818" t="s">
        <v>835</v>
      </c>
      <c r="T50" s="947"/>
      <c r="U50" s="948" t="s">
        <v>518</v>
      </c>
      <c r="V50" s="947"/>
      <c r="W50" s="949"/>
      <c r="DB50" s="1168" t="s">
        <v>1259</v>
      </c>
      <c r="DC50" s="1169" t="s">
        <v>1215</v>
      </c>
      <c r="DD50" s="1170" t="s">
        <v>1369</v>
      </c>
      <c r="DE50" s="1171" t="s">
        <v>1414</v>
      </c>
    </row>
    <row r="51" spans="1:109" s="1254" customFormat="1" ht="18" customHeight="1">
      <c r="A51" s="1791">
        <v>1</v>
      </c>
      <c r="B51" s="952" t="str">
        <f>IF(A51=1,Pricing!F$2,IF(A51=2,Pricing!G$2,IF(A51=3,Pricing!H$2,IF(A51=4,Pricing!I$2,IF(A51=5,Pricing!J$2,IF(A51=6,Pricing!K$2,IF(A51=7,Pricing!L$2,IF(A51=8,Pricing!M$2,IF(A51=9,Pricing!N$2,IF(A51=10,Pricing!O$2,0))))))))))</f>
        <v>3,000 PSI 5sk /Ash and Air</v>
      </c>
      <c r="C51" s="1549"/>
      <c r="D51" s="1549"/>
      <c r="E51" s="1549"/>
      <c r="F51" s="969">
        <f>IF(A51=1,Pricing!F$3,IF(A51=2,Pricing!G$3,IF(A51=3,Pricing!H$3,IF(A51=4,Pricing!I$3,IF(A51=5,Pricing!J$3,IF(A51=6,Pricing!K$3,IF(A51=7,Pricing!L$3,IF(A51=8,Pricing!M$3,IF(A51=9,Pricing!N$3,IF(A51=10,Pricing!O$3))))))))))</f>
        <v>134</v>
      </c>
      <c r="G51" s="18" t="s">
        <v>1285</v>
      </c>
      <c r="H51" s="3082"/>
      <c r="I51" s="3082"/>
      <c r="J51" s="3013">
        <v>0.06</v>
      </c>
      <c r="K51" s="2957">
        <f>IF(A51=1,AR$36,IF(A51=2,AS$36,IF(A51=3,AT$36,IF(A51=4,AU$36,IF(A51=5,AV$36,IF(A51=6,AW$36,IF(A51=7,AX$36,IF(A51=8,AY$36,IF(A51=9,AZ$36,IF(A51=10,BA$36))))))))))+IF(A51=1,AH$36,IF(A51=2,AI$36,IF(A51=3,AJ$36,IF(A51=4,AK$36,IF(A51=5,AL$36,IF(A51=6,AM$36,IF(A51=7,AN$36,IF(A51=8,AOJ$36,IF(A51=9,AP$36,IF(A51=10,AQ$36))))))))))</f>
        <v>0</v>
      </c>
      <c r="L51" s="2957"/>
      <c r="M51" s="17" t="s">
        <v>1286</v>
      </c>
      <c r="N51" s="2813">
        <f>K51*F51*(IF(T$39="N",1+V$39,1))</f>
        <v>0</v>
      </c>
      <c r="O51" s="2813"/>
      <c r="P51" s="1172"/>
      <c r="Q51" s="859" t="s">
        <v>1415</v>
      </c>
      <c r="R51" s="77"/>
      <c r="S51" s="1173">
        <v>0.4</v>
      </c>
      <c r="T51" s="77"/>
      <c r="U51" s="1174">
        <f>BJ71</f>
        <v>0</v>
      </c>
      <c r="V51" s="77"/>
      <c r="W51" s="1175"/>
      <c r="DB51" s="142">
        <v>20</v>
      </c>
      <c r="DC51" s="143">
        <v>4</v>
      </c>
      <c r="DD51" s="144">
        <v>1</v>
      </c>
      <c r="DE51" s="145">
        <f>DB51*(DC51*DC51*0.04180884375)*DD51</f>
        <v>13.378829999999999</v>
      </c>
    </row>
    <row r="52" spans="1:109" s="1254" customFormat="1" ht="18" customHeight="1">
      <c r="A52" s="1792">
        <v>2</v>
      </c>
      <c r="B52" s="574" t="str">
        <f>IF(A52=1,Pricing!F$2,IF(A52=2,Pricing!G$2,IF(A52=3,Pricing!H$2,IF(A52=4,Pricing!I$2,IF(A52=5,Pricing!J$2,IF(A52=6,Pricing!K$2,IF(A52=7,Pricing!L$2,IF(A52=8,Pricing!M$2,IF(A52=9,Pricing!N$2,IF(A52=10,Pricing!O$2,0))))))))))</f>
        <v>3,000 PSI / Ash no Air</v>
      </c>
      <c r="C52" s="18"/>
      <c r="D52" s="18"/>
      <c r="E52" s="18"/>
      <c r="F52" s="969">
        <f>IF(A52=1,Pricing!F$3,IF(A52=2,Pricing!G$3,IF(A52=3,Pricing!H$3,IF(A52=4,Pricing!I$3,IF(A52=5,Pricing!J$3,IF(A52=6,Pricing!K$3,IF(A52=7,Pricing!L$3,IF(A52=8,Pricing!M$3,IF(A52=9,Pricing!N$3,IF(A52=10,Pricing!O$3))))))))))</f>
        <v>145</v>
      </c>
      <c r="G52" s="18" t="s">
        <v>1285</v>
      </c>
      <c r="H52" s="3082"/>
      <c r="I52" s="3082"/>
      <c r="J52" s="3013"/>
      <c r="K52" s="3010">
        <f>IF(A52=1,AR$36,IF(A52=2,AS$36,IF(A52=3,AT$36,IF(A52=4,AU$36,IF(A52=5,AV$36,IF(A52=6,AW$36))))))+IF(A52=1,AH$36,IF(A52=2,AI$36,IF(A52=3,AJ$36,IF(A52=4,AK$36,IF(A52=5,AL$36,IF(A52=6,AM$36))))))</f>
        <v>0</v>
      </c>
      <c r="L52" s="3010"/>
      <c r="M52" s="17" t="s">
        <v>1286</v>
      </c>
      <c r="N52" s="2810">
        <f>K52*F52*(IF(T$39="N",1+V$39,1))</f>
        <v>0</v>
      </c>
      <c r="O52" s="2810"/>
      <c r="P52" s="1172" t="s">
        <v>1069</v>
      </c>
      <c r="Q52" s="859" t="s">
        <v>526</v>
      </c>
      <c r="R52" s="77"/>
      <c r="S52" s="1176">
        <f>H67*3.6*S51</f>
        <v>4971.6719999999996</v>
      </c>
      <c r="T52" s="1177" t="s">
        <v>1704</v>
      </c>
      <c r="U52" s="1174">
        <f>Pricing!Q4</f>
        <v>0.859375</v>
      </c>
      <c r="V52" s="77" t="s">
        <v>527</v>
      </c>
      <c r="W52" s="1175">
        <f t="shared" ref="W52:W67" si="53">IF(T$39="Y",S52*U52,S52*U52*(1+V$39))</f>
        <v>4625.0144015624992</v>
      </c>
      <c r="DB52" s="142">
        <v>3</v>
      </c>
      <c r="DC52" s="143">
        <v>5</v>
      </c>
      <c r="DD52" s="144">
        <v>3</v>
      </c>
      <c r="DE52" s="145">
        <f>DB52*(DC52*DC52*0.04180884375)*DD52</f>
        <v>9.406989843749999</v>
      </c>
    </row>
    <row r="53" spans="1:109" s="1254" customFormat="1" ht="18" customHeight="1">
      <c r="A53" s="1793">
        <v>3</v>
      </c>
      <c r="B53" s="574" t="str">
        <f>IF(A53=1,Pricing!F$2,IF(A53=2,Pricing!G$2,IF(A53=3,Pricing!H$2,IF(A53=4,Pricing!I$2,IF(A53=5,Pricing!J$2,IF(A53=6,Pricing!K$2,IF(A53=7,Pricing!L$2,IF(A53=8,Pricing!M$2,IF(A53=9,Pricing!N$2,IF(A53=10,Pricing!O$2,0))))))))))</f>
        <v>3,500 PSI 5.5sk /Ash and Air</v>
      </c>
      <c r="C53" s="18"/>
      <c r="D53" s="18"/>
      <c r="E53" s="18"/>
      <c r="F53" s="969">
        <f>IF(A53=1,Pricing!F$3,IF(A53=2,Pricing!G$3,IF(A53=3,Pricing!H$3,IF(A53=4,Pricing!I$3,IF(A53=5,Pricing!J$3,IF(A53=6,Pricing!K$3,IF(A53=7,Pricing!L$3,IF(A53=8,Pricing!M$3,IF(A53=9,Pricing!N$3,IF(A53=10,Pricing!O$3))))))))))</f>
        <v>150</v>
      </c>
      <c r="G53" s="18" t="s">
        <v>1285</v>
      </c>
      <c r="H53" s="3082"/>
      <c r="I53" s="3082"/>
      <c r="J53" s="3013"/>
      <c r="K53" s="3010">
        <f>IF(A53=1,AR$36,IF(A53=2,AS$36,IF(A53=3,AT$36,IF(A53=4,AU$36,IF(A53=5,AV$36,IF(A53=6,AW$36))))))+IF(A53=1,AH$36,IF(A53=2,AI$36,IF(A53=3,AJ$36,IF(A53=4,AK$36,IF(A53=5,AL$36,IF(A53=6,AM$36))))))</f>
        <v>149.3160493827161</v>
      </c>
      <c r="L53" s="3010"/>
      <c r="M53" s="17" t="s">
        <v>1286</v>
      </c>
      <c r="N53" s="2810">
        <f>K53*F53*(IF(T$39="N",1+V$39,1))</f>
        <v>24245.193518518528</v>
      </c>
      <c r="O53" s="2810"/>
      <c r="P53" s="1172"/>
      <c r="Q53" s="859"/>
      <c r="R53" s="77"/>
      <c r="S53" s="1176"/>
      <c r="T53" s="1177"/>
      <c r="U53" s="1174"/>
      <c r="V53" s="77"/>
      <c r="W53" s="1175">
        <f t="shared" si="53"/>
        <v>0</v>
      </c>
      <c r="DB53" s="142"/>
      <c r="DC53" s="143"/>
      <c r="DD53" s="144"/>
      <c r="DE53" s="145"/>
    </row>
    <row r="54" spans="1:109" s="1254" customFormat="1" ht="18" customHeight="1">
      <c r="A54" s="1793">
        <v>4</v>
      </c>
      <c r="B54" s="574" t="str">
        <f>IF(A54=1,Pricing!F$2,IF(A54=2,Pricing!G$2,IF(A54=3,Pricing!H$2,IF(A54=4,Pricing!I$2,IF(A54=5,Pricing!J$2,IF(A54=6,Pricing!K$2,IF(A54=7,Pricing!L$2,IF(A54=8,Pricing!M$2,IF(A54=9,Pricing!N$2,IF(A54=10,Pricing!O$2,0))))))))))</f>
        <v>3,500 PSI /Ash No Air</v>
      </c>
      <c r="C54" s="18"/>
      <c r="D54" s="18"/>
      <c r="E54" s="18"/>
      <c r="F54" s="969">
        <f>IF(A54=1,Pricing!F$3,IF(A54=2,Pricing!G$3,IF(A54=3,Pricing!H$3,IF(A54=4,Pricing!I$3,IF(A54=5,Pricing!J$3,IF(A54=6,Pricing!K$3,IF(A54=7,Pricing!L$3,IF(A54=8,Pricing!M$3,IF(A54=9,Pricing!N$3,IF(A54=10,Pricing!O$3))))))))))</f>
        <v>150</v>
      </c>
      <c r="G54" s="18" t="s">
        <v>1285</v>
      </c>
      <c r="H54" s="3082"/>
      <c r="I54" s="3082"/>
      <c r="J54" s="3013"/>
      <c r="K54" s="3010">
        <f>IF(A54=1,AR$36,IF(A54=2,AS$36,IF(A54=3,AT$36,IF(A54=4,AU$36,IF(A54=5,AV$36,IF(A54=6,AW$36))))))+IF(A54=1,AH$36,IF(A54=2,AI$36,IF(A54=3,AJ$36,IF(A54=4,AK$36,IF(A54=5,AL$36,IF(A54=6,AM$36))))))</f>
        <v>0</v>
      </c>
      <c r="L54" s="3010"/>
      <c r="M54" s="17" t="s">
        <v>1286</v>
      </c>
      <c r="N54" s="2810">
        <f>K54*F54*(IF(T$39="N",1+V$39,1))</f>
        <v>0</v>
      </c>
      <c r="O54" s="2810"/>
      <c r="P54" s="1172"/>
      <c r="Q54" s="859"/>
      <c r="R54" s="77"/>
      <c r="S54" s="1176"/>
      <c r="T54" s="1177"/>
      <c r="U54" s="1174"/>
      <c r="V54" s="77"/>
      <c r="W54" s="1175">
        <f t="shared" si="53"/>
        <v>0</v>
      </c>
      <c r="DB54" s="142"/>
      <c r="DC54" s="143"/>
      <c r="DD54" s="144"/>
      <c r="DE54" s="145"/>
    </row>
    <row r="55" spans="1:109" s="1254" customFormat="1" ht="18" customHeight="1">
      <c r="A55" s="1794">
        <v>5</v>
      </c>
      <c r="B55" s="966" t="str">
        <f>IF(A55=1,Pricing!F$2,IF(A55=2,Pricing!G$2,IF(A55=3,Pricing!H$2,IF(A55=4,Pricing!I$2,IF(A55=5,Pricing!J$2,IF(A55=6,Pricing!K$2,IF(A55=7,Pricing!L$2,IF(A55=8,Pricing!M$2,IF(A55=9,Pricing!N$2,IF(A55=10,Pricing!O$2,0))))))))))</f>
        <v>4,000 PSI /Ash and Air</v>
      </c>
      <c r="C55" s="373"/>
      <c r="D55" s="373"/>
      <c r="E55" s="373"/>
      <c r="F55" s="1180">
        <f>IF(A55=1,Pricing!F$3,IF(A55=2,Pricing!G$3,IF(A55=3,Pricing!H$3,IF(A55=4,Pricing!I$3,IF(A55=5,Pricing!J$3,IF(A55=6,Pricing!K$3,IF(A55=7,Pricing!L$3,IF(A55=8,Pricing!M$3,IF(A55=9,Pricing!N$3,IF(A55=10,Pricing!O$3))))))))))</f>
        <v>155</v>
      </c>
      <c r="G55" s="373" t="s">
        <v>1285</v>
      </c>
      <c r="H55" s="3082"/>
      <c r="I55" s="3082"/>
      <c r="J55" s="3013"/>
      <c r="K55" s="3011">
        <f>IF(A55=1,AR$36,IF(A55=2,AS$36,IF(A55=3,AT$36,IF(A55=4,AU$36,IF(A55=5,AV$36,IF(A55=6,AW$36))))))+IF(A55=1,AH$36,IF(A55=2,AI$36,IF(A55=3,AJ$36,IF(A55=4,AK$36,IF(A55=5,AL$36,IF(A55=6,AM$36))))))</f>
        <v>135.54455555555555</v>
      </c>
      <c r="L55" s="3011"/>
      <c r="M55" s="967" t="s">
        <v>1286</v>
      </c>
      <c r="N55" s="2819">
        <f>K55*F55*(IF(T$39="N",1+V$39,1))</f>
        <v>22742.682115277777</v>
      </c>
      <c r="O55" s="2819"/>
      <c r="P55" s="1172" t="s">
        <v>1069</v>
      </c>
      <c r="Q55" s="859" t="s">
        <v>534</v>
      </c>
      <c r="R55" s="77"/>
      <c r="S55" s="1176">
        <f>S52*0.2</f>
        <v>994.33439999999996</v>
      </c>
      <c r="T55" s="1177" t="s">
        <v>1704</v>
      </c>
      <c r="U55" s="1174">
        <f>Pricing!Q5</f>
        <v>1.4453125</v>
      </c>
      <c r="V55" s="77" t="s">
        <v>527</v>
      </c>
      <c r="W55" s="1175">
        <f t="shared" si="53"/>
        <v>1555.68666234375</v>
      </c>
      <c r="DB55" s="142">
        <v>6</v>
      </c>
      <c r="DC55" s="143">
        <v>5</v>
      </c>
      <c r="DD55" s="144">
        <v>2</v>
      </c>
      <c r="DE55" s="145">
        <f t="shared" ref="DE55:DE62" si="54">DB55*(DC55*DC55*0.04180884375)*DD55</f>
        <v>12.542653124999999</v>
      </c>
    </row>
    <row r="56" spans="1:109" s="1254" customFormat="1" ht="18" customHeight="1">
      <c r="A56" s="1795" t="str">
        <f>Summary!V60</f>
        <v>Import</v>
      </c>
      <c r="B56" s="963" t="s">
        <v>1287</v>
      </c>
      <c r="C56" s="18"/>
      <c r="D56" s="18"/>
      <c r="E56" s="18"/>
      <c r="F56" s="969">
        <f>Pricing!D23</f>
        <v>0.65</v>
      </c>
      <c r="G56" s="18" t="s">
        <v>555</v>
      </c>
      <c r="H56" s="3083"/>
      <c r="I56" s="3083"/>
      <c r="J56" s="970">
        <v>0.1</v>
      </c>
      <c r="K56" s="2957">
        <f>U36</f>
        <v>33727.832260989453</v>
      </c>
      <c r="L56" s="2957"/>
      <c r="M56" s="18" t="s">
        <v>1288</v>
      </c>
      <c r="N56" s="2813">
        <f>F56*K56*(IF(T39="N",1+V39,1))</f>
        <v>23731.745974638703</v>
      </c>
      <c r="O56" s="2813"/>
      <c r="P56" s="1172" t="s">
        <v>1069</v>
      </c>
      <c r="Q56" s="859" t="s">
        <v>536</v>
      </c>
      <c r="R56" s="77"/>
      <c r="S56" s="1176">
        <v>0</v>
      </c>
      <c r="T56" s="1177" t="s">
        <v>1704</v>
      </c>
      <c r="U56" s="1174">
        <f>Pricing!Q6</f>
        <v>1.171875</v>
      </c>
      <c r="V56" s="77" t="s">
        <v>527</v>
      </c>
      <c r="W56" s="1175">
        <f t="shared" si="53"/>
        <v>0</v>
      </c>
      <c r="DB56" s="142"/>
      <c r="DC56" s="143"/>
      <c r="DD56" s="144"/>
      <c r="DE56" s="145">
        <f t="shared" si="54"/>
        <v>0</v>
      </c>
    </row>
    <row r="57" spans="1:109" s="1254" customFormat="1" ht="18" customHeight="1">
      <c r="A57" s="574"/>
      <c r="B57" s="963"/>
      <c r="C57" s="18"/>
      <c r="D57" s="18"/>
      <c r="E57" s="18"/>
      <c r="F57" s="1182">
        <f>Pricing!F6</f>
        <v>0</v>
      </c>
      <c r="G57" s="18" t="s">
        <v>600</v>
      </c>
      <c r="H57" s="3084"/>
      <c r="I57" s="3084"/>
      <c r="J57" s="1184">
        <v>0.05</v>
      </c>
      <c r="K57" s="3010"/>
      <c r="L57" s="3010"/>
      <c r="M57" s="18" t="s">
        <v>1418</v>
      </c>
      <c r="N57" s="2810">
        <f>K57*F57*(IF(T39="N",1+V39,1))*(J57+1)</f>
        <v>0</v>
      </c>
      <c r="O57" s="2810"/>
      <c r="P57" s="1172" t="s">
        <v>1069</v>
      </c>
      <c r="Q57" s="859" t="s">
        <v>538</v>
      </c>
      <c r="R57" s="77"/>
      <c r="S57" s="1176">
        <f>E36*2*S51</f>
        <v>521.6</v>
      </c>
      <c r="T57" s="1177" t="s">
        <v>1704</v>
      </c>
      <c r="U57" s="1174">
        <f>Pricing!Q7</f>
        <v>1.09375</v>
      </c>
      <c r="V57" s="77" t="s">
        <v>527</v>
      </c>
      <c r="W57" s="1175">
        <f t="shared" si="53"/>
        <v>617.56624999999997</v>
      </c>
      <c r="DB57" s="1185"/>
      <c r="DC57" s="1186"/>
      <c r="DD57" s="1187"/>
      <c r="DE57" s="1188">
        <f t="shared" si="54"/>
        <v>0</v>
      </c>
    </row>
    <row r="58" spans="1:109" s="1254" customFormat="1" ht="18" customHeight="1">
      <c r="A58" s="574"/>
      <c r="B58" s="966" t="s">
        <v>1419</v>
      </c>
      <c r="C58" s="373"/>
      <c r="D58" s="373"/>
      <c r="E58" s="373"/>
      <c r="F58" s="1180">
        <v>0.35</v>
      </c>
      <c r="G58" s="373" t="s">
        <v>600</v>
      </c>
      <c r="H58" s="1209" t="s">
        <v>1291</v>
      </c>
      <c r="I58" s="972">
        <v>0</v>
      </c>
      <c r="J58" s="972"/>
      <c r="K58" s="3011"/>
      <c r="L58" s="3011"/>
      <c r="M58" s="373" t="s">
        <v>1418</v>
      </c>
      <c r="N58" s="2815">
        <f>IF(L35="y",IF(I58=0,K58*F58,I58),0)*(IF(S$65="N",1+U$65,1))</f>
        <v>0</v>
      </c>
      <c r="O58" s="2815"/>
      <c r="P58" s="1172" t="s">
        <v>1069</v>
      </c>
      <c r="Q58" s="859" t="s">
        <v>540</v>
      </c>
      <c r="R58" s="77"/>
      <c r="S58" s="1176">
        <f>ROUNDUP(H67*2/32*S51*1.1,0)</f>
        <v>95</v>
      </c>
      <c r="T58" s="77" t="s">
        <v>1420</v>
      </c>
      <c r="U58" s="1174">
        <f>Pricing!Q8</f>
        <v>74.75</v>
      </c>
      <c r="V58" s="77" t="s">
        <v>541</v>
      </c>
      <c r="W58" s="1175">
        <f t="shared" si="53"/>
        <v>7687.1031250000005</v>
      </c>
      <c r="DB58" s="142"/>
      <c r="DC58" s="143"/>
      <c r="DD58" s="144"/>
      <c r="DE58" s="145">
        <f t="shared" si="54"/>
        <v>0</v>
      </c>
    </row>
    <row r="59" spans="1:109" s="1254" customFormat="1" ht="18" customHeight="1">
      <c r="A59" s="1087"/>
      <c r="B59" s="17" t="s">
        <v>1421</v>
      </c>
      <c r="C59" s="18"/>
      <c r="D59" s="18"/>
      <c r="E59" s="18"/>
      <c r="F59" s="1191">
        <v>20</v>
      </c>
      <c r="G59" s="18" t="s">
        <v>1459</v>
      </c>
      <c r="H59" s="2816"/>
      <c r="I59" s="2816"/>
      <c r="J59" s="3013">
        <v>0.05</v>
      </c>
      <c r="K59" s="2957">
        <f>SUM(BH36)</f>
        <v>384</v>
      </c>
      <c r="L59" s="2957"/>
      <c r="M59" s="18" t="s">
        <v>1286</v>
      </c>
      <c r="N59" s="2813">
        <f>K59*F59*IF(Q29="N",1+T29,1)</f>
        <v>7680</v>
      </c>
      <c r="O59" s="2813"/>
      <c r="P59" s="1172" t="s">
        <v>1069</v>
      </c>
      <c r="Q59" s="859" t="s">
        <v>1298</v>
      </c>
      <c r="R59" s="77"/>
      <c r="S59" s="1176">
        <f>ROUNDUP(E36*2/25,0)*S51</f>
        <v>21.200000000000003</v>
      </c>
      <c r="T59" s="77" t="s">
        <v>1705</v>
      </c>
      <c r="U59" s="1174">
        <f>Pricing!Q15</f>
        <v>24</v>
      </c>
      <c r="V59" s="77" t="s">
        <v>1300</v>
      </c>
      <c r="W59" s="1175">
        <f t="shared" si="53"/>
        <v>550.77600000000007</v>
      </c>
      <c r="DB59" s="142"/>
      <c r="DC59" s="143"/>
      <c r="DD59" s="144"/>
      <c r="DE59" s="145">
        <f t="shared" si="54"/>
        <v>0</v>
      </c>
    </row>
    <row r="60" spans="1:109" s="1254" customFormat="1" ht="18" customHeight="1">
      <c r="A60" s="574"/>
      <c r="B60" s="987" t="s">
        <v>1424</v>
      </c>
      <c r="C60" s="373"/>
      <c r="D60" s="1192"/>
      <c r="E60" s="373"/>
      <c r="F60" s="1193">
        <v>38</v>
      </c>
      <c r="G60" s="373" t="s">
        <v>1285</v>
      </c>
      <c r="H60" s="2816"/>
      <c r="I60" s="2816"/>
      <c r="J60" s="3013"/>
      <c r="K60" s="3011"/>
      <c r="L60" s="3011"/>
      <c r="M60" s="373" t="s">
        <v>1418</v>
      </c>
      <c r="N60" s="2819">
        <f>K60*F60</f>
        <v>0</v>
      </c>
      <c r="O60" s="2819"/>
      <c r="P60" s="1172" t="s">
        <v>1069</v>
      </c>
      <c r="Q60" s="859" t="s">
        <v>561</v>
      </c>
      <c r="R60" s="77"/>
      <c r="S60" s="1176">
        <f>ROUNDUP(H67/1800,0)</f>
        <v>2</v>
      </c>
      <c r="T60" s="77" t="s">
        <v>1303</v>
      </c>
      <c r="U60" s="1174">
        <f>Pricing!Q16</f>
        <v>68.2</v>
      </c>
      <c r="V60" s="77" t="s">
        <v>562</v>
      </c>
      <c r="W60" s="1175">
        <f t="shared" si="53"/>
        <v>147.65300000000002</v>
      </c>
      <c r="DB60" s="142"/>
      <c r="DC60" s="143"/>
      <c r="DD60" s="144"/>
      <c r="DE60" s="145">
        <f t="shared" si="54"/>
        <v>0</v>
      </c>
    </row>
    <row r="61" spans="1:109" s="1254" customFormat="1" ht="18" customHeight="1">
      <c r="A61" s="574"/>
      <c r="B61" s="963"/>
      <c r="C61" s="18"/>
      <c r="D61" s="793"/>
      <c r="E61" s="18"/>
      <c r="F61" s="1796">
        <v>0.17</v>
      </c>
      <c r="G61" s="18" t="s">
        <v>1426</v>
      </c>
      <c r="H61" s="2816"/>
      <c r="I61" s="2816"/>
      <c r="J61" s="3013">
        <v>0.1</v>
      </c>
      <c r="K61" s="2957"/>
      <c r="L61" s="2957"/>
      <c r="M61" s="18" t="s">
        <v>1418</v>
      </c>
      <c r="N61" s="3085">
        <f>F61*K61</f>
        <v>0</v>
      </c>
      <c r="O61" s="3085"/>
      <c r="P61" s="1172" t="s">
        <v>1069</v>
      </c>
      <c r="Q61" s="859" t="s">
        <v>563</v>
      </c>
      <c r="R61" s="77"/>
      <c r="S61" s="1176">
        <f>ROUNDUP(H67/1000,0)</f>
        <v>4</v>
      </c>
      <c r="T61" s="77" t="s">
        <v>1303</v>
      </c>
      <c r="U61" s="1174">
        <f>Pricing!Q17</f>
        <v>68.2</v>
      </c>
      <c r="V61" s="77" t="s">
        <v>562</v>
      </c>
      <c r="W61" s="1175">
        <f t="shared" si="53"/>
        <v>295.30600000000004</v>
      </c>
      <c r="DB61" s="1195"/>
      <c r="DC61" s="143"/>
      <c r="DD61" s="144"/>
      <c r="DE61" s="145">
        <f t="shared" si="54"/>
        <v>0</v>
      </c>
    </row>
    <row r="62" spans="1:109" s="1254" customFormat="1" ht="18" customHeight="1">
      <c r="A62" s="963" t="s">
        <v>1706</v>
      </c>
      <c r="B62" s="17"/>
      <c r="C62" s="17"/>
      <c r="D62" s="793" t="s">
        <v>1428</v>
      </c>
      <c r="E62" s="1196" t="s">
        <v>1029</v>
      </c>
      <c r="F62" s="1197">
        <v>1.25</v>
      </c>
      <c r="G62" s="18" t="s">
        <v>600</v>
      </c>
      <c r="H62" s="2816"/>
      <c r="I62" s="2816"/>
      <c r="J62" s="3013"/>
      <c r="K62" s="3010">
        <f>IF(E62="Y",E36,0)*(1+J60)</f>
        <v>0</v>
      </c>
      <c r="L62" s="3010"/>
      <c r="M62" s="18" t="s">
        <v>1259</v>
      </c>
      <c r="N62" s="2859">
        <f>K62*F62</f>
        <v>0</v>
      </c>
      <c r="O62" s="2859"/>
      <c r="P62" s="1172" t="s">
        <v>1069</v>
      </c>
      <c r="Q62" s="859" t="s">
        <v>564</v>
      </c>
      <c r="R62" s="77"/>
      <c r="S62" s="1176">
        <f>S61</f>
        <v>4</v>
      </c>
      <c r="T62" s="77" t="s">
        <v>1303</v>
      </c>
      <c r="U62" s="1174">
        <f>Pricing!Q18</f>
        <v>68.2</v>
      </c>
      <c r="V62" s="77" t="s">
        <v>562</v>
      </c>
      <c r="W62" s="1175">
        <f t="shared" si="53"/>
        <v>295.30600000000004</v>
      </c>
      <c r="DB62" s="1185"/>
      <c r="DC62" s="1186"/>
      <c r="DD62" s="1187"/>
      <c r="DE62" s="1188">
        <f t="shared" si="54"/>
        <v>0</v>
      </c>
    </row>
    <row r="63" spans="1:109" s="1254" customFormat="1" ht="18" customHeight="1">
      <c r="A63" s="987" t="s">
        <v>1707</v>
      </c>
      <c r="B63" s="967"/>
      <c r="C63" s="967"/>
      <c r="D63" s="1192" t="s">
        <v>1428</v>
      </c>
      <c r="E63" s="1198" t="s">
        <v>1029</v>
      </c>
      <c r="F63" s="1199">
        <v>1.8</v>
      </c>
      <c r="G63" s="373" t="s">
        <v>1430</v>
      </c>
      <c r="H63" s="2816"/>
      <c r="I63" s="2816"/>
      <c r="J63" s="3013"/>
      <c r="K63" s="3011">
        <f>IF(E63="Y",E36*2,0)*(1+J61)</f>
        <v>0</v>
      </c>
      <c r="L63" s="3011"/>
      <c r="M63" s="373" t="s">
        <v>1259</v>
      </c>
      <c r="N63" s="2815">
        <f>K63*F63</f>
        <v>0</v>
      </c>
      <c r="O63" s="2815"/>
      <c r="P63" s="1172" t="s">
        <v>1069</v>
      </c>
      <c r="Q63" s="859" t="s">
        <v>1310</v>
      </c>
      <c r="R63" s="77"/>
      <c r="S63" s="1176">
        <f>AL23*12/48/50</f>
        <v>0</v>
      </c>
      <c r="T63" s="77" t="s">
        <v>1303</v>
      </c>
      <c r="U63" s="1174">
        <f>Pricing!Q34</f>
        <v>45.239999999999995</v>
      </c>
      <c r="V63" s="77" t="s">
        <v>562</v>
      </c>
      <c r="W63" s="1175">
        <f t="shared" si="53"/>
        <v>0</v>
      </c>
    </row>
    <row r="64" spans="1:109" s="1254" customFormat="1" ht="18" customHeight="1">
      <c r="A64" s="577"/>
      <c r="B64" s="577" t="s">
        <v>1431</v>
      </c>
      <c r="C64" s="976"/>
      <c r="D64" s="976"/>
      <c r="E64" s="976"/>
      <c r="F64" s="1798">
        <v>3.75</v>
      </c>
      <c r="G64" s="976" t="s">
        <v>1432</v>
      </c>
      <c r="H64" s="2820" t="s">
        <v>1708</v>
      </c>
      <c r="I64" s="2820"/>
      <c r="J64" s="978"/>
      <c r="K64" s="1201">
        <f>H67</f>
        <v>3452.5499999999997</v>
      </c>
      <c r="L64" s="1799"/>
      <c r="M64" s="976" t="s">
        <v>1418</v>
      </c>
      <c r="N64" s="3015">
        <f>F64*J64*K64</f>
        <v>0</v>
      </c>
      <c r="O64" s="3015"/>
      <c r="P64" s="1172" t="s">
        <v>1069</v>
      </c>
      <c r="Q64" s="859" t="s">
        <v>571</v>
      </c>
      <c r="R64" s="77"/>
      <c r="S64" s="1176">
        <f>BN51+AD122</f>
        <v>0</v>
      </c>
      <c r="T64" s="1177" t="s">
        <v>1704</v>
      </c>
      <c r="U64" s="1174">
        <f>Pricing!Q19</f>
        <v>0.95</v>
      </c>
      <c r="V64" s="77" t="s">
        <v>527</v>
      </c>
      <c r="W64" s="1175">
        <f t="shared" si="53"/>
        <v>0</v>
      </c>
    </row>
    <row r="65" spans="1:23" s="1254" customFormat="1" ht="18" customHeight="1">
      <c r="A65" s="1202" t="s">
        <v>1434</v>
      </c>
      <c r="B65" s="1203"/>
      <c r="C65" s="1203" t="s">
        <v>1296</v>
      </c>
      <c r="D65" s="1203"/>
      <c r="E65" s="1203"/>
      <c r="F65" s="1800"/>
      <c r="G65" s="1203"/>
      <c r="H65" s="1203"/>
      <c r="I65" s="1203"/>
      <c r="J65" s="1203"/>
      <c r="K65" s="1203" t="s">
        <v>973</v>
      </c>
      <c r="L65" s="1203"/>
      <c r="M65" s="1203" t="s">
        <v>1297</v>
      </c>
      <c r="N65" s="1801"/>
      <c r="O65" s="1086"/>
      <c r="P65" s="1172" t="s">
        <v>1069</v>
      </c>
      <c r="Q65" s="859" t="s">
        <v>576</v>
      </c>
      <c r="R65" s="77"/>
      <c r="S65" s="1176">
        <f>E36*2</f>
        <v>1304</v>
      </c>
      <c r="T65" s="1177" t="s">
        <v>1704</v>
      </c>
      <c r="U65" s="1174">
        <f>Pricing!Q20</f>
        <v>0.25</v>
      </c>
      <c r="V65" s="77" t="s">
        <v>527</v>
      </c>
      <c r="W65" s="1175">
        <f t="shared" si="53"/>
        <v>352.89499999999998</v>
      </c>
    </row>
    <row r="66" spans="1:23" s="1254" customFormat="1" ht="18" customHeight="1">
      <c r="A66" s="1593" t="s">
        <v>1709</v>
      </c>
      <c r="B66" s="983"/>
      <c r="C66" s="982" t="s">
        <v>1306</v>
      </c>
      <c r="D66" s="2825">
        <v>8</v>
      </c>
      <c r="E66" s="2825"/>
      <c r="F66" s="1802" t="s">
        <v>1618</v>
      </c>
      <c r="G66" s="983"/>
      <c r="H66" s="3018">
        <f>BG36</f>
        <v>3803.3333333333321</v>
      </c>
      <c r="I66" s="3018"/>
      <c r="J66" s="983" t="s">
        <v>1418</v>
      </c>
      <c r="K66" s="2828">
        <f>IF(C66="N",D66*H66,0)</f>
        <v>0</v>
      </c>
      <c r="L66" s="2828"/>
      <c r="M66" s="168"/>
      <c r="N66" s="2856">
        <f>IF(C66="y",D66*H66,0)</f>
        <v>30426.666666666657</v>
      </c>
      <c r="O66" s="2856"/>
      <c r="P66" s="1172" t="s">
        <v>1069</v>
      </c>
      <c r="Q66" s="859" t="s">
        <v>583</v>
      </c>
      <c r="R66" s="77"/>
      <c r="S66" s="1176">
        <f>H67/2.25/50</f>
        <v>30.68933333333333</v>
      </c>
      <c r="T66" s="77" t="s">
        <v>584</v>
      </c>
      <c r="U66" s="1174">
        <f>Pricing!Q21</f>
        <v>45</v>
      </c>
      <c r="V66" s="77" t="s">
        <v>562</v>
      </c>
      <c r="W66" s="1175">
        <f t="shared" si="53"/>
        <v>1494.9541499999998</v>
      </c>
    </row>
    <row r="67" spans="1:23" s="1254" customFormat="1" ht="18" customHeight="1">
      <c r="A67" s="482" t="s">
        <v>1437</v>
      </c>
      <c r="B67" s="380"/>
      <c r="C67" s="1206" t="s">
        <v>1306</v>
      </c>
      <c r="D67" s="2830">
        <v>3.5</v>
      </c>
      <c r="E67" s="2830"/>
      <c r="F67" s="77" t="s">
        <v>1618</v>
      </c>
      <c r="G67" s="3020">
        <f>SUM(D67:E69)</f>
        <v>8</v>
      </c>
      <c r="H67" s="3086">
        <f>BF36</f>
        <v>3452.5499999999997</v>
      </c>
      <c r="I67" s="3086"/>
      <c r="J67" s="18" t="s">
        <v>1439</v>
      </c>
      <c r="K67" s="2831">
        <f>IF(C67="N",D67*H$67,0)</f>
        <v>0</v>
      </c>
      <c r="L67" s="2831"/>
      <c r="N67" s="3087">
        <f>IF(C67="y",H$67*D67,0)</f>
        <v>12083.924999999999</v>
      </c>
      <c r="O67" s="3087"/>
      <c r="P67" s="1172" t="s">
        <v>1069</v>
      </c>
      <c r="Q67" s="859" t="s">
        <v>1710</v>
      </c>
      <c r="R67" s="77"/>
      <c r="S67" s="1176">
        <f>E36</f>
        <v>652</v>
      </c>
      <c r="T67" s="77" t="s">
        <v>1259</v>
      </c>
      <c r="U67" s="1174">
        <v>1</v>
      </c>
      <c r="V67" s="77" t="s">
        <v>1511</v>
      </c>
      <c r="W67" s="1175">
        <f t="shared" si="53"/>
        <v>705.79</v>
      </c>
    </row>
    <row r="68" spans="1:23" s="1254" customFormat="1" ht="18" customHeight="1">
      <c r="A68" s="482" t="s">
        <v>1442</v>
      </c>
      <c r="B68" s="380"/>
      <c r="C68" s="984" t="s">
        <v>1306</v>
      </c>
      <c r="D68" s="2830">
        <v>3.5</v>
      </c>
      <c r="E68" s="2830"/>
      <c r="F68" s="77" t="s">
        <v>1618</v>
      </c>
      <c r="G68" s="3020"/>
      <c r="H68" s="3086"/>
      <c r="I68" s="3086"/>
      <c r="J68" s="18" t="s">
        <v>1439</v>
      </c>
      <c r="K68" s="2831">
        <f>IF(C68="N",D68*H$67,0)</f>
        <v>0</v>
      </c>
      <c r="L68" s="2831"/>
      <c r="N68" s="2859">
        <f>IF(C68="y",H$67*D68,0)</f>
        <v>12083.924999999999</v>
      </c>
      <c r="O68" s="2859"/>
      <c r="P68" s="1172" t="s">
        <v>1069</v>
      </c>
      <c r="Q68" s="859" t="s">
        <v>1453</v>
      </c>
      <c r="R68" s="77"/>
      <c r="S68" s="1176">
        <v>0</v>
      </c>
      <c r="T68" s="77" t="s">
        <v>1711</v>
      </c>
      <c r="U68" s="1174">
        <f>Pricing!Q43</f>
        <v>105</v>
      </c>
      <c r="V68" s="77" t="s">
        <v>630</v>
      </c>
      <c r="W68" s="1175">
        <f t="shared" ref="W68:W76" si="55">U68*S68</f>
        <v>0</v>
      </c>
    </row>
    <row r="69" spans="1:23" s="1254" customFormat="1" ht="18" customHeight="1">
      <c r="A69" s="482" t="s">
        <v>1443</v>
      </c>
      <c r="B69" s="380"/>
      <c r="C69" s="984" t="s">
        <v>1306</v>
      </c>
      <c r="D69" s="2830">
        <v>1</v>
      </c>
      <c r="E69" s="2830"/>
      <c r="F69" s="77" t="s">
        <v>1618</v>
      </c>
      <c r="G69" s="3020"/>
      <c r="H69" s="3086"/>
      <c r="I69" s="3086"/>
      <c r="J69" s="18" t="s">
        <v>1439</v>
      </c>
      <c r="K69" s="2831">
        <f>IF(C69="N",D69*H$67,0)</f>
        <v>0</v>
      </c>
      <c r="L69" s="2831"/>
      <c r="N69" s="3087">
        <f>IF(C69="y",H$67*D69,0)</f>
        <v>3452.5499999999997</v>
      </c>
      <c r="O69" s="3087"/>
      <c r="P69" s="1172" t="s">
        <v>1069</v>
      </c>
      <c r="Q69" s="859" t="s">
        <v>1712</v>
      </c>
      <c r="R69" s="77"/>
      <c r="S69" s="1176">
        <f>I72</f>
        <v>652</v>
      </c>
      <c r="T69" s="77" t="s">
        <v>836</v>
      </c>
      <c r="U69" s="1174">
        <v>8.5</v>
      </c>
      <c r="V69" s="77"/>
      <c r="W69" s="1175">
        <f t="shared" si="55"/>
        <v>5542</v>
      </c>
    </row>
    <row r="70" spans="1:23" s="1254" customFormat="1" ht="18" customHeight="1">
      <c r="A70" s="482" t="s">
        <v>1444</v>
      </c>
      <c r="B70" s="380"/>
      <c r="C70" s="984" t="s">
        <v>1306</v>
      </c>
      <c r="D70" s="2830">
        <v>0.25</v>
      </c>
      <c r="E70" s="2830"/>
      <c r="F70" s="77" t="s">
        <v>1618</v>
      </c>
      <c r="G70" s="18"/>
      <c r="H70" s="3086"/>
      <c r="I70" s="3086"/>
      <c r="J70" s="18" t="s">
        <v>1439</v>
      </c>
      <c r="K70" s="2831">
        <f>IF(C70="N",D70*H$67,0)</f>
        <v>0</v>
      </c>
      <c r="L70" s="2831"/>
      <c r="N70" s="2859">
        <f>IF(C70="y",H$67*D70,0)</f>
        <v>863.13749999999993</v>
      </c>
      <c r="O70" s="2859"/>
      <c r="P70" s="1172" t="s">
        <v>1713</v>
      </c>
      <c r="Q70" s="859" t="s">
        <v>1714</v>
      </c>
      <c r="R70" s="77"/>
      <c r="S70" s="1176"/>
      <c r="T70" s="77" t="s">
        <v>1454</v>
      </c>
      <c r="U70" s="1174">
        <v>500</v>
      </c>
      <c r="V70" s="77"/>
      <c r="W70" s="1175">
        <f t="shared" si="55"/>
        <v>0</v>
      </c>
    </row>
    <row r="71" spans="1:23" s="1254" customFormat="1" ht="18" customHeight="1">
      <c r="A71" s="482" t="s">
        <v>1307</v>
      </c>
      <c r="B71" s="380"/>
      <c r="C71" s="984" t="s">
        <v>1306</v>
      </c>
      <c r="D71" s="3088">
        <v>450</v>
      </c>
      <c r="E71" s="3088"/>
      <c r="F71" s="77" t="s">
        <v>1308</v>
      </c>
      <c r="G71" s="18"/>
      <c r="H71" s="964"/>
      <c r="I71" s="964">
        <f>(K56/2000)</f>
        <v>16.863916130494726</v>
      </c>
      <c r="J71" s="18" t="s">
        <v>1309</v>
      </c>
      <c r="K71" s="2831">
        <f>IF(C71="N",D71*I71,0)</f>
        <v>0</v>
      </c>
      <c r="L71" s="2831"/>
      <c r="N71" s="2859">
        <f>IF(C71="y",I71*D71,0)</f>
        <v>7588.7622587226269</v>
      </c>
      <c r="O71" s="2859"/>
      <c r="P71" s="1172" t="s">
        <v>1069</v>
      </c>
      <c r="Q71" s="859"/>
      <c r="R71" s="77"/>
      <c r="S71" s="1176"/>
      <c r="T71" s="77" t="s">
        <v>1018</v>
      </c>
      <c r="U71" s="1174"/>
      <c r="V71" s="77"/>
      <c r="W71" s="1175">
        <f t="shared" si="55"/>
        <v>0</v>
      </c>
    </row>
    <row r="72" spans="1:23" s="1254" customFormat="1" ht="18" customHeight="1">
      <c r="A72" s="482" t="s">
        <v>1715</v>
      </c>
      <c r="B72" s="380"/>
      <c r="C72" s="984" t="s">
        <v>1306</v>
      </c>
      <c r="D72" s="2830">
        <v>10</v>
      </c>
      <c r="E72" s="2830"/>
      <c r="F72" s="77" t="s">
        <v>1338</v>
      </c>
      <c r="G72" s="18"/>
      <c r="H72" s="964"/>
      <c r="I72" s="964">
        <f>DI37</f>
        <v>652</v>
      </c>
      <c r="J72" s="18" t="s">
        <v>1259</v>
      </c>
      <c r="K72" s="2831">
        <f>IF(C72="N",D72*I72,0)</f>
        <v>0</v>
      </c>
      <c r="L72" s="2831"/>
      <c r="N72" s="2859">
        <f>IF(C72="y",I72*D72,0)</f>
        <v>6520</v>
      </c>
      <c r="O72" s="2859"/>
      <c r="P72" s="1172" t="s">
        <v>1069</v>
      </c>
      <c r="Q72" s="859"/>
      <c r="R72" s="77"/>
      <c r="S72" s="1176"/>
      <c r="T72" s="77" t="s">
        <v>1018</v>
      </c>
      <c r="U72" s="1174"/>
      <c r="V72" s="77"/>
      <c r="W72" s="1175">
        <f t="shared" si="55"/>
        <v>0</v>
      </c>
    </row>
    <row r="73" spans="1:23" s="1254" customFormat="1" ht="18" customHeight="1">
      <c r="A73" s="482" t="s">
        <v>1716</v>
      </c>
      <c r="B73" s="380"/>
      <c r="C73" s="984" t="s">
        <v>1306</v>
      </c>
      <c r="D73" s="2830">
        <v>12</v>
      </c>
      <c r="E73" s="2830"/>
      <c r="F73" s="77" t="s">
        <v>1285</v>
      </c>
      <c r="G73" s="18"/>
      <c r="H73" s="964"/>
      <c r="I73" s="964">
        <f>SUM(DD10:DD35)</f>
        <v>181</v>
      </c>
      <c r="J73" s="18" t="s">
        <v>998</v>
      </c>
      <c r="K73" s="2831">
        <f>IF(C73="N",D73*I73,0)</f>
        <v>0</v>
      </c>
      <c r="L73" s="2831"/>
      <c r="N73" s="2859">
        <f>IF(C73="y",I73*D73,0)</f>
        <v>2172</v>
      </c>
      <c r="O73" s="2859"/>
      <c r="P73" s="1172" t="s">
        <v>1069</v>
      </c>
      <c r="Q73" s="859"/>
      <c r="R73" s="77"/>
      <c r="S73" s="1176"/>
      <c r="T73" s="77"/>
      <c r="U73" s="1174"/>
      <c r="V73" s="77"/>
      <c r="W73" s="1175">
        <f t="shared" si="55"/>
        <v>0</v>
      </c>
    </row>
    <row r="74" spans="1:23" s="1254" customFormat="1" ht="18" customHeight="1">
      <c r="A74" s="482" t="s">
        <v>1660</v>
      </c>
      <c r="B74" s="380"/>
      <c r="C74" s="984" t="s">
        <v>1306</v>
      </c>
      <c r="D74" s="2830">
        <v>8</v>
      </c>
      <c r="E74" s="2830"/>
      <c r="F74" s="77" t="s">
        <v>1285</v>
      </c>
      <c r="G74" s="18"/>
      <c r="H74" s="964"/>
      <c r="I74" s="964">
        <f>SUM(DF10:DF35)</f>
        <v>979</v>
      </c>
      <c r="J74" s="18" t="s">
        <v>998</v>
      </c>
      <c r="K74" s="2831">
        <f>IF(C74="N",D74*I74,0)</f>
        <v>0</v>
      </c>
      <c r="L74" s="2831"/>
      <c r="N74" s="2859">
        <f>IF(C74="y",I74*D74,0)</f>
        <v>7832</v>
      </c>
      <c r="O74" s="2859"/>
      <c r="P74" s="1172" t="s">
        <v>1069</v>
      </c>
      <c r="Q74" s="859"/>
      <c r="R74" s="77"/>
      <c r="S74" s="1176"/>
      <c r="T74" s="77"/>
      <c r="U74" s="1174"/>
      <c r="V74" s="77"/>
      <c r="W74" s="1175">
        <f t="shared" si="55"/>
        <v>0</v>
      </c>
    </row>
    <row r="75" spans="1:23" s="1254" customFormat="1" ht="18" customHeight="1">
      <c r="A75" s="1566" t="s">
        <v>1313</v>
      </c>
      <c r="B75" s="988"/>
      <c r="C75" s="989" t="s">
        <v>1306</v>
      </c>
      <c r="D75" s="2833">
        <v>0</v>
      </c>
      <c r="E75" s="2833"/>
      <c r="F75" s="1209"/>
      <c r="G75" s="373"/>
      <c r="H75" s="973"/>
      <c r="I75" s="973"/>
      <c r="J75" s="373"/>
      <c r="K75" s="2834">
        <f>IF(C75="N",D75*I75,0)</f>
        <v>0</v>
      </c>
      <c r="L75" s="2834"/>
      <c r="M75" s="373"/>
      <c r="N75" s="2815">
        <f>IF(C75="y",D75,0)</f>
        <v>0</v>
      </c>
      <c r="O75" s="2815"/>
      <c r="P75" s="1172" t="s">
        <v>1069</v>
      </c>
      <c r="Q75" s="859"/>
      <c r="R75" s="77"/>
      <c r="S75" s="1176"/>
      <c r="T75" s="77"/>
      <c r="U75" s="1174"/>
      <c r="V75" s="77"/>
      <c r="W75" s="1175">
        <f t="shared" si="55"/>
        <v>0</v>
      </c>
    </row>
    <row r="76" spans="1:23" s="1254" customFormat="1" ht="18" customHeight="1">
      <c r="A76" s="990" t="s">
        <v>1447</v>
      </c>
      <c r="B76" s="991"/>
      <c r="C76" s="992"/>
      <c r="D76" s="993">
        <f>IF(H67=0,0,(N76-N75+K76)/H67)</f>
        <v>24.046854187597368</v>
      </c>
      <c r="E76" s="1803"/>
      <c r="F76" s="802"/>
      <c r="G76" s="976"/>
      <c r="H76" s="991" t="s">
        <v>980</v>
      </c>
      <c r="I76" s="991"/>
      <c r="J76" s="991"/>
      <c r="K76" s="2838">
        <f>SUM(K66:L75)</f>
        <v>0</v>
      </c>
      <c r="L76" s="2838"/>
      <c r="M76" s="229"/>
      <c r="N76" s="2867">
        <f>SUM(N66:O75)</f>
        <v>83022.966425389284</v>
      </c>
      <c r="O76" s="2867"/>
      <c r="P76" s="1172" t="s">
        <v>1069</v>
      </c>
      <c r="Q76" s="1208"/>
      <c r="R76" s="1209"/>
      <c r="S76" s="1210"/>
      <c r="T76" s="1804"/>
      <c r="U76" s="1211"/>
      <c r="V76" s="1209"/>
      <c r="W76" s="1189">
        <f t="shared" si="55"/>
        <v>0</v>
      </c>
    </row>
    <row r="77" spans="1:23" s="1254" customFormat="1" ht="18" customHeight="1">
      <c r="A77" s="3089" t="s">
        <v>1449</v>
      </c>
      <c r="B77" s="3089"/>
      <c r="C77" s="3089"/>
      <c r="D77" s="3089"/>
      <c r="E77" s="3089"/>
      <c r="F77" s="3089"/>
      <c r="G77" s="3089"/>
      <c r="H77" s="3089"/>
      <c r="I77" s="3089"/>
      <c r="J77" s="3089"/>
      <c r="K77" s="3089"/>
      <c r="L77" s="3089"/>
      <c r="M77" s="3089"/>
      <c r="N77" s="3089"/>
      <c r="O77" s="3089"/>
      <c r="P77" s="1172" t="s">
        <v>1448</v>
      </c>
      <c r="Q77" s="859" t="s">
        <v>601</v>
      </c>
      <c r="R77" s="77"/>
      <c r="S77" s="1176">
        <f>ROUNDUP(K64*0.55*S51,0)</f>
        <v>760</v>
      </c>
      <c r="T77" s="77" t="s">
        <v>1312</v>
      </c>
      <c r="U77" s="1174">
        <f>Pricing!Q26</f>
        <v>0.45</v>
      </c>
      <c r="V77" s="77" t="s">
        <v>595</v>
      </c>
      <c r="W77" s="1175">
        <f t="shared" ref="W77:W83" si="56">S77*U77</f>
        <v>342</v>
      </c>
    </row>
    <row r="78" spans="1:23" s="1254" customFormat="1" ht="18" customHeight="1">
      <c r="A78" s="1593" t="s">
        <v>1316</v>
      </c>
      <c r="B78" s="1802"/>
      <c r="C78" s="998"/>
      <c r="D78" s="999">
        <v>10</v>
      </c>
      <c r="E78" s="1802" t="s">
        <v>1317</v>
      </c>
      <c r="F78" s="1805">
        <v>425</v>
      </c>
      <c r="G78" s="1806" t="s">
        <v>1450</v>
      </c>
      <c r="H78" s="983"/>
      <c r="I78" s="983"/>
      <c r="J78" s="983"/>
      <c r="K78" s="983"/>
      <c r="L78" s="2974">
        <f>IF(D40=0,0,(SUM(N78:O81))/D40)</f>
        <v>2.5121468155835838E-2</v>
      </c>
      <c r="M78" s="2974"/>
      <c r="N78" s="3090">
        <f>D78*F78</f>
        <v>4250</v>
      </c>
      <c r="O78" s="3090"/>
      <c r="P78" s="1172">
        <v>39</v>
      </c>
      <c r="Q78" s="859" t="s">
        <v>604</v>
      </c>
      <c r="R78" s="77"/>
      <c r="S78" s="1176">
        <f>E36/4</f>
        <v>163</v>
      </c>
      <c r="T78" s="77" t="s">
        <v>1312</v>
      </c>
      <c r="U78" s="1174">
        <f>Pricing!Q27</f>
        <v>0.75</v>
      </c>
      <c r="V78" s="77" t="s">
        <v>1312</v>
      </c>
      <c r="W78" s="1175">
        <f t="shared" si="56"/>
        <v>122.25</v>
      </c>
    </row>
    <row r="79" spans="1:23" s="1254" customFormat="1" ht="18" customHeight="1">
      <c r="A79" s="482" t="s">
        <v>1318</v>
      </c>
      <c r="B79" s="77"/>
      <c r="C79" s="77"/>
      <c r="D79" s="1002">
        <v>5</v>
      </c>
      <c r="E79" s="1807" t="s">
        <v>1317</v>
      </c>
      <c r="F79" s="1808">
        <v>250</v>
      </c>
      <c r="G79" s="1809" t="s">
        <v>1450</v>
      </c>
      <c r="H79" s="18"/>
      <c r="I79" s="18"/>
      <c r="J79" s="18"/>
      <c r="K79" s="18"/>
      <c r="L79" s="2842">
        <f>SUM(N78:O80)</f>
        <v>6000</v>
      </c>
      <c r="M79" s="2842"/>
      <c r="N79" s="3091">
        <f>D79*F79</f>
        <v>1250</v>
      </c>
      <c r="O79" s="3091"/>
      <c r="P79" s="1172" t="s">
        <v>1451</v>
      </c>
      <c r="Q79" s="859" t="s">
        <v>1657</v>
      </c>
      <c r="R79" s="77"/>
      <c r="S79" s="1176">
        <f>H67/350</f>
        <v>9.8644285714285704</v>
      </c>
      <c r="T79" s="77" t="s">
        <v>1452</v>
      </c>
      <c r="U79" s="1174">
        <f>Pricing!Q28</f>
        <v>45</v>
      </c>
      <c r="V79" s="77" t="s">
        <v>607</v>
      </c>
      <c r="W79" s="1175">
        <f t="shared" si="56"/>
        <v>443.89928571428567</v>
      </c>
    </row>
    <row r="80" spans="1:23" s="1254" customFormat="1" ht="18" customHeight="1">
      <c r="A80" s="77" t="s">
        <v>1320</v>
      </c>
      <c r="B80" s="77"/>
      <c r="C80" s="77"/>
      <c r="D80" s="1810">
        <v>5</v>
      </c>
      <c r="E80" s="77"/>
      <c r="F80" s="1811">
        <v>100</v>
      </c>
      <c r="G80" s="77"/>
      <c r="H80" s="18"/>
      <c r="I80" s="18"/>
      <c r="J80" s="18"/>
      <c r="K80" s="18"/>
      <c r="L80" s="1812"/>
      <c r="M80" s="1812"/>
      <c r="N80" s="3091">
        <f>D80*F80</f>
        <v>500</v>
      </c>
      <c r="O80" s="3091"/>
      <c r="P80" s="1172"/>
      <c r="Q80" s="859"/>
      <c r="R80" s="77"/>
      <c r="S80" s="1176"/>
      <c r="T80" s="77"/>
      <c r="U80" s="1174"/>
      <c r="V80" s="77"/>
      <c r="W80" s="1175">
        <f t="shared" si="56"/>
        <v>0</v>
      </c>
    </row>
    <row r="81" spans="1:23" s="1254" customFormat="1" ht="18" customHeight="1">
      <c r="A81" s="1595" t="s">
        <v>1320</v>
      </c>
      <c r="B81" s="1621"/>
      <c r="C81" s="1621"/>
      <c r="D81" s="1008">
        <v>0</v>
      </c>
      <c r="E81" s="1621" t="s">
        <v>1317</v>
      </c>
      <c r="F81" s="1813">
        <v>200</v>
      </c>
      <c r="G81" s="1621" t="s">
        <v>1450</v>
      </c>
      <c r="H81" s="976"/>
      <c r="I81" s="976"/>
      <c r="J81" s="976"/>
      <c r="K81" s="976"/>
      <c r="L81" s="2843">
        <f>IF(D40=0,0,N81/D40)</f>
        <v>0</v>
      </c>
      <c r="M81" s="2843"/>
      <c r="N81" s="2839">
        <f>D81*F81</f>
        <v>0</v>
      </c>
      <c r="O81" s="2839"/>
      <c r="P81" s="1172" t="s">
        <v>1069</v>
      </c>
      <c r="Q81" s="859" t="s">
        <v>1717</v>
      </c>
      <c r="R81" s="77"/>
      <c r="S81" s="1176">
        <f>H67/30</f>
        <v>115.08499999999999</v>
      </c>
      <c r="T81" s="77" t="s">
        <v>1312</v>
      </c>
      <c r="U81" s="1174">
        <v>15</v>
      </c>
      <c r="V81" s="77" t="s">
        <v>595</v>
      </c>
      <c r="W81" s="1175">
        <f t="shared" si="56"/>
        <v>1726.2749999999999</v>
      </c>
    </row>
    <row r="82" spans="1:23" s="1254" customFormat="1" ht="18" customHeight="1">
      <c r="A82" s="3089" t="s">
        <v>1325</v>
      </c>
      <c r="B82" s="3089"/>
      <c r="C82" s="3089"/>
      <c r="D82" s="3089"/>
      <c r="E82" s="3089"/>
      <c r="F82" s="3089"/>
      <c r="G82" s="3089"/>
      <c r="H82" s="3089"/>
      <c r="I82" s="3089"/>
      <c r="J82" s="3089"/>
      <c r="K82" s="3089"/>
      <c r="L82" s="3089"/>
      <c r="M82" s="3089"/>
      <c r="N82" s="3089"/>
      <c r="O82" s="3089"/>
      <c r="P82" s="1172" t="s">
        <v>1069</v>
      </c>
      <c r="Q82" s="966" t="s">
        <v>1643</v>
      </c>
      <c r="R82" s="373"/>
      <c r="S82" s="1814">
        <f>SUM(K51:L55)/300</f>
        <v>0.94953534979423881</v>
      </c>
      <c r="T82" s="373" t="s">
        <v>1323</v>
      </c>
      <c r="U82" s="1006">
        <v>250</v>
      </c>
      <c r="V82" s="373" t="s">
        <v>1324</v>
      </c>
      <c r="W82" s="1189">
        <f t="shared" si="56"/>
        <v>237.38383744855972</v>
      </c>
    </row>
    <row r="83" spans="1:23" s="1254" customFormat="1" ht="18" customHeight="1">
      <c r="A83" s="1593" t="s">
        <v>1326</v>
      </c>
      <c r="B83" s="1596"/>
      <c r="C83" s="1597"/>
      <c r="D83" s="999">
        <v>0</v>
      </c>
      <c r="E83" s="1802" t="s">
        <v>1327</v>
      </c>
      <c r="F83" s="1805">
        <f>Pricing!D32</f>
        <v>425</v>
      </c>
      <c r="G83" s="1802" t="s">
        <v>1450</v>
      </c>
      <c r="H83" s="983"/>
      <c r="I83" s="983"/>
      <c r="J83" s="983"/>
      <c r="K83" s="983"/>
      <c r="L83" s="983"/>
      <c r="M83" s="983"/>
      <c r="N83" s="2856">
        <f>(IF(AND(D83&gt;0,D83&lt;4),D83*F83,0)+IF(AND(D83&gt;3,D83&lt;8),F83*3,0)+IF(AND(D83&gt;7,D83&lt;21),D83/7*F83*3,0)+IF(AND(D83&gt;20,D83&lt;30),F83*9,0)+IF(D83&gt;29,D83/30*F83*9,0))*(1+V$39+I$85)</f>
        <v>0</v>
      </c>
      <c r="O83" s="2856"/>
      <c r="P83" s="1172" t="s">
        <v>1073</v>
      </c>
      <c r="Q83" s="859" t="s">
        <v>618</v>
      </c>
      <c r="R83" s="77"/>
      <c r="S83" s="1176"/>
      <c r="T83" s="77" t="s">
        <v>1452</v>
      </c>
      <c r="U83" s="1174">
        <f>Pricing!Q31</f>
        <v>27</v>
      </c>
      <c r="V83" s="77" t="s">
        <v>607</v>
      </c>
      <c r="W83" s="1175">
        <f t="shared" si="56"/>
        <v>0</v>
      </c>
    </row>
    <row r="84" spans="1:23" s="1254" customFormat="1" ht="18" customHeight="1">
      <c r="A84" s="482" t="s">
        <v>622</v>
      </c>
      <c r="B84" s="1177"/>
      <c r="C84" s="1598"/>
      <c r="D84" s="1012">
        <f>IF(D$78&gt;0,IF(D$78&lt;=3,D$78,7),0)+IF(D$78&gt;5,IF(D$78&lt;=10,7,0),0)+IF(D$78&gt;10,IF(D$78&lt;=15,14,0),0)+IF(D$78&gt;15,IF(D$78&lt;=20,23,0),0)+IF(D$78&gt;20,IF(D$78&lt;=40,53,0),0)+IF(D$78&gt;40,IF(D$78&lt;=60,83,0),0)+IF(D$78&gt;60,IF(D$78&lt;=80,113,0),0)+IF(D$78&gt;80,IF(D$78&lt;=100,143,0),0)+IF(D$78&gt;100,IF(D$78&lt;=120,163,0),0)+IF(D$78&gt;120,IF(D$78&lt;=140,193,0),0)+IF(D$78&gt;140,IF(D$78&lt;=160,223,0),0)</f>
        <v>14</v>
      </c>
      <c r="E84" s="77" t="s">
        <v>1327</v>
      </c>
      <c r="F84" s="1805">
        <f>Pricing!D33</f>
        <v>475</v>
      </c>
      <c r="G84" s="77" t="s">
        <v>1450</v>
      </c>
      <c r="H84" s="18"/>
      <c r="I84" s="2977" t="s">
        <v>1329</v>
      </c>
      <c r="J84" s="2977"/>
      <c r="K84" s="18"/>
      <c r="L84" s="2841">
        <f>IF(D40=0,0,(SUM(N83:O88))/D40)</f>
        <v>3.6658502406403448E-2</v>
      </c>
      <c r="M84" s="2841"/>
      <c r="N84" s="3091">
        <f>(IF(AND(D84&gt;0,D84&lt;4),D84*F84,0)+IF(AND(D84&gt;3,D84&lt;8),F84*3,0)+IF(AND(D84&gt;7,D84&lt;21),D84/7*F84*3,0)+IF(AND(D84&gt;20,D84&lt;30),F84*9,0)+IF(D84&gt;29,D84/30*F84*9,0))*(1+V$39+I$85)</f>
        <v>4510.125</v>
      </c>
      <c r="O84" s="3091"/>
      <c r="P84" s="1172" t="s">
        <v>1073</v>
      </c>
      <c r="Q84" s="859" t="s">
        <v>1457</v>
      </c>
      <c r="R84" s="77"/>
      <c r="S84" s="1176">
        <v>0</v>
      </c>
      <c r="T84" s="77" t="s">
        <v>1511</v>
      </c>
      <c r="U84" s="1174">
        <f>Pricing!Q32</f>
        <v>1.25</v>
      </c>
      <c r="V84" s="77" t="s">
        <v>1417</v>
      </c>
      <c r="W84" s="1175">
        <f>U84*S84</f>
        <v>0</v>
      </c>
    </row>
    <row r="85" spans="1:23" s="1254" customFormat="1" ht="18" customHeight="1">
      <c r="A85" s="482" t="s">
        <v>626</v>
      </c>
      <c r="B85" s="1177"/>
      <c r="C85" s="1598"/>
      <c r="D85" s="1012">
        <f>IF(D$78&gt;0,IF(D$78&lt;=3,D$78,7),0)+IF(D$78&gt;5,IF(D$78&lt;=10,7,0),0)+IF(D$78&gt;10,IF(D$78&lt;=15,14,0),0)+IF(D$78&gt;15,IF(D$78&lt;=20,23,0),0)+IF(D$78&gt;20,IF(D$78&lt;=40,53,0),0)+IF(D$78&gt;40,IF(D$78&lt;=60,83,0),0)+IF(D$78&gt;60,IF(D$78&lt;=80,113,0),0)+IF(D$78&gt;80,IF(D$78&lt;=100,143,0),0)+IF(D$78&gt;100,IF(D$78&lt;=120,163,0),0)+IF(D$78&gt;120,IF(D$78&lt;=140,193,0),0)+IF(D$78&gt;140,IF(D$78&lt;=160,223,0),0)</f>
        <v>14</v>
      </c>
      <c r="E85" s="77" t="s">
        <v>1327</v>
      </c>
      <c r="F85" s="1808">
        <f>Pricing!D35</f>
        <v>325</v>
      </c>
      <c r="G85" s="77" t="s">
        <v>1450</v>
      </c>
      <c r="H85" s="18"/>
      <c r="I85" s="3092">
        <v>0.5</v>
      </c>
      <c r="J85" s="3092"/>
      <c r="K85" s="18"/>
      <c r="L85" s="2842">
        <f>SUM(N83:O88)</f>
        <v>8755.5</v>
      </c>
      <c r="M85" s="2842"/>
      <c r="N85" s="3091">
        <f>(IF(AND(D85&gt;0,D85&lt;4),D85*F85,0)+IF(AND(D85&gt;3,D85&lt;8),F85*3,0)+IF(AND(D85&gt;7,D85&lt;21),D85/7*F85*3,0)+IF(AND(D85&gt;20,D85&lt;30),F85*9,0)+IF(D85&gt;29,D85/30*F85*9,0))*(1+V$39+I$85)</f>
        <v>3085.875</v>
      </c>
      <c r="O85" s="3091"/>
      <c r="P85" s="1172" t="s">
        <v>1073</v>
      </c>
      <c r="Q85" s="1208" t="s">
        <v>554</v>
      </c>
      <c r="R85" s="1209"/>
      <c r="S85" s="1210">
        <f>K56</f>
        <v>33727.832260989453</v>
      </c>
      <c r="T85" s="1209" t="s">
        <v>1288</v>
      </c>
      <c r="U85" s="1211">
        <v>0.04</v>
      </c>
      <c r="V85" s="1209" t="s">
        <v>555</v>
      </c>
      <c r="W85" s="1189">
        <f>U85*S85</f>
        <v>1349.1132904395781</v>
      </c>
    </row>
    <row r="86" spans="1:23" s="1254" customFormat="1" ht="18" customHeight="1">
      <c r="A86" s="482" t="s">
        <v>1332</v>
      </c>
      <c r="B86" s="1177"/>
      <c r="C86" s="1598"/>
      <c r="D86" s="1012">
        <f>IF(D$78&gt;0,IF(D$78&lt;=3,D$78,7),0)+IF(D$78&gt;5,IF(D$78&lt;=10,7,0),0)+IF(D$78&gt;10,IF(D$78&lt;=15,14,0),0)+IF(D$78&gt;15,IF(D$78&lt;=20,23,0),0)+IF(D$78&gt;20,IF(D$78&lt;=40,53,0),0)+IF(D$78&gt;40,IF(D$78&lt;=60,83,0),0)+IF(D$78&gt;60,IF(D$78&lt;=80,113,0),0)+IF(D$78&gt;80,IF(D$78&lt;=100,143,0),0)+IF(D$78&gt;100,IF(D$78&lt;=120,163,0),0)+IF(D$78&gt;120,IF(D$78&lt;=140,193,0),0)+IF(D$78&gt;140,IF(D$78&lt;=160,223,0),0)</f>
        <v>14</v>
      </c>
      <c r="E86" s="77" t="s">
        <v>1327</v>
      </c>
      <c r="F86" s="1808">
        <f>Pricing!D39</f>
        <v>100</v>
      </c>
      <c r="G86" s="77" t="s">
        <v>1450</v>
      </c>
      <c r="H86" s="18"/>
      <c r="I86" s="3092"/>
      <c r="J86" s="3092"/>
      <c r="K86" s="18"/>
      <c r="L86" s="18"/>
      <c r="M86" s="18"/>
      <c r="N86" s="2859">
        <f>(IF(AND(D86&gt;0,D86&lt;4),D86*F86,0)+IF(AND(D86&gt;3,D86&lt;8),F86*3,0)+IF(AND(D86&gt;7,D86&lt;21),D86/7*F86*3,0)+IF(AND(D86&gt;20,D86&lt;30),F86*9,0)+IF(D86&gt;29,D86/30*F86*9,0))*(1+V$39+I$85)</f>
        <v>949.5</v>
      </c>
      <c r="O86" s="2859"/>
      <c r="P86" s="1172" t="s">
        <v>1078</v>
      </c>
      <c r="Q86" s="859" t="s">
        <v>1105</v>
      </c>
      <c r="R86" s="77"/>
      <c r="S86" s="1176"/>
      <c r="T86" s="77"/>
      <c r="U86" s="1174"/>
      <c r="V86" s="77"/>
      <c r="W86" s="1175">
        <v>0</v>
      </c>
    </row>
    <row r="87" spans="1:23" s="1254" customFormat="1" ht="18" customHeight="1">
      <c r="A87" s="482" t="s">
        <v>1333</v>
      </c>
      <c r="B87" s="1177"/>
      <c r="C87" s="1598"/>
      <c r="D87" s="1012">
        <v>0</v>
      </c>
      <c r="E87" s="77" t="s">
        <v>1327</v>
      </c>
      <c r="F87" s="1808">
        <v>50</v>
      </c>
      <c r="G87" s="77" t="s">
        <v>1450</v>
      </c>
      <c r="H87" s="18"/>
      <c r="I87" s="18"/>
      <c r="J87" s="18"/>
      <c r="K87" s="18"/>
      <c r="L87" s="18"/>
      <c r="M87" s="18"/>
      <c r="N87" s="2859">
        <f>(IF(AND(D87&gt;0,D87&lt;4),D87*F87,0)+IF(AND(D87&gt;3,D87&lt;8),F87*3,0)+IF(AND(D87&gt;7,D87&lt;21),D87/7*F87*3,0)+IF(AND(D87&gt;20,D87&lt;30),F87*9,0)+IF(D87&gt;29,D87/30*F87*9,0))*(1+V$39+I$85)</f>
        <v>0</v>
      </c>
      <c r="O87" s="2859"/>
      <c r="P87" s="1172" t="s">
        <v>1328</v>
      </c>
      <c r="Q87" s="859" t="s">
        <v>1105</v>
      </c>
      <c r="R87" s="77"/>
      <c r="S87" s="1176"/>
      <c r="T87" s="77"/>
      <c r="U87" s="1174"/>
      <c r="V87" s="77"/>
      <c r="W87" s="1175">
        <v>0</v>
      </c>
    </row>
    <row r="88" spans="1:23" s="1254" customFormat="1" ht="18" customHeight="1">
      <c r="A88" s="1595" t="s">
        <v>1067</v>
      </c>
      <c r="B88" s="1599"/>
      <c r="C88" s="1600"/>
      <c r="D88" s="1815">
        <f>IF(D$78&gt;0,IF(D$78&lt;=3,D$78,7),0)+IF(D$78&gt;5,IF(D$78&lt;=10,7,0),0)+IF(D$78&gt;10,IF(D$78&lt;=15,14,0),0)+IF(D$78&gt;15,IF(D$78&lt;=20,23,0),0)+IF(D$78&gt;20,IF(D$78&lt;=40,53,0),0)+IF(D$78&gt;40,IF(D$78&lt;=60,83,0),0)+IF(D$78&gt;60,IF(D$78&lt;=80,113,0),0)+IF(D$78&gt;80,IF(D$78&lt;=100,143,0),0)+IF(D$78&gt;100,IF(D$78&lt;=120,163,0),0)+IF(D$78&gt;120,IF(D$78&lt;=140,193,0),0)+IF(D$78&gt;140,IF(D$78&lt;=160,223,0),0)</f>
        <v>14</v>
      </c>
      <c r="E88" s="1621" t="s">
        <v>1327</v>
      </c>
      <c r="F88" s="1813">
        <v>35</v>
      </c>
      <c r="G88" s="1621" t="s">
        <v>1450</v>
      </c>
      <c r="H88" s="976"/>
      <c r="I88" s="976"/>
      <c r="J88" s="976"/>
      <c r="K88" s="976"/>
      <c r="L88" s="1021"/>
      <c r="M88" s="976"/>
      <c r="N88" s="2839">
        <f>(IF(AND(D88&gt;0,D88&lt;4),D88*F88,0)+IF(AND(D88&gt;3,D88&lt;8),F88*3,0)+IF(AND(D88&gt;7,D88&lt;21),D88/7*F88*3,0)+IF(AND(D88&gt;20,D88&lt;30),F88*9,0)+IF(D88&gt;29,D88/30*F88*9,0))</f>
        <v>210</v>
      </c>
      <c r="O88" s="2839"/>
      <c r="P88" s="1172" t="s">
        <v>1330</v>
      </c>
      <c r="Q88" s="1208" t="s">
        <v>1108</v>
      </c>
      <c r="R88" s="1209"/>
      <c r="S88" s="1210"/>
      <c r="T88" s="1209"/>
      <c r="U88" s="1211"/>
      <c r="V88" s="1209"/>
      <c r="W88" s="1189">
        <v>0</v>
      </c>
    </row>
    <row r="89" spans="1:23" s="1254" customFormat="1" ht="18" customHeight="1">
      <c r="A89" s="3089" t="s">
        <v>1336</v>
      </c>
      <c r="B89" s="3089"/>
      <c r="C89" s="3089"/>
      <c r="D89" s="3089"/>
      <c r="E89" s="3089"/>
      <c r="F89" s="3089"/>
      <c r="G89" s="3089"/>
      <c r="H89" s="3089"/>
      <c r="I89" s="3089"/>
      <c r="J89" s="3089"/>
      <c r="K89" s="3089"/>
      <c r="L89" s="3089"/>
      <c r="M89" s="3089"/>
      <c r="N89" s="3089"/>
      <c r="O89" s="3089"/>
      <c r="P89" s="1172" t="s">
        <v>1342</v>
      </c>
      <c r="Q89" s="574"/>
      <c r="R89" s="18"/>
      <c r="S89" s="959"/>
      <c r="T89" s="18"/>
      <c r="U89" s="861"/>
      <c r="V89" s="18"/>
      <c r="W89" s="1797"/>
    </row>
    <row r="90" spans="1:23" s="1254" customFormat="1" ht="18" customHeight="1">
      <c r="A90" s="1593" t="s">
        <v>1458</v>
      </c>
      <c r="B90" s="1816"/>
      <c r="C90" s="1817"/>
      <c r="D90" s="1818">
        <f>W36</f>
        <v>285</v>
      </c>
      <c r="E90" s="1597" t="s">
        <v>998</v>
      </c>
      <c r="F90" s="1228">
        <v>10</v>
      </c>
      <c r="G90" s="1802" t="s">
        <v>1285</v>
      </c>
      <c r="H90" s="983"/>
      <c r="I90" s="983"/>
      <c r="J90" s="983"/>
      <c r="K90" s="983"/>
      <c r="L90" s="983"/>
      <c r="M90" s="983"/>
      <c r="N90" s="2856">
        <f t="shared" ref="N90:N95" si="57">D90*F90</f>
        <v>2850</v>
      </c>
      <c r="O90" s="2856"/>
      <c r="P90" s="1172" t="s">
        <v>1342</v>
      </c>
      <c r="Q90" s="574" t="s">
        <v>646</v>
      </c>
      <c r="R90" s="18"/>
      <c r="S90" s="959">
        <f>ROUNDUP(H67/300/55,0)</f>
        <v>1</v>
      </c>
      <c r="T90" s="18" t="s">
        <v>1720</v>
      </c>
      <c r="U90" s="861">
        <f>Pricing!Q44</f>
        <v>567.5</v>
      </c>
      <c r="V90" s="18" t="s">
        <v>647</v>
      </c>
      <c r="W90" s="1175">
        <f>U90*S90</f>
        <v>567.5</v>
      </c>
    </row>
    <row r="91" spans="1:23" s="1254" customFormat="1" ht="18" customHeight="1">
      <c r="A91" s="482" t="s">
        <v>1721</v>
      </c>
      <c r="B91" s="503"/>
      <c r="C91" s="834"/>
      <c r="D91" s="1819">
        <v>0</v>
      </c>
      <c r="E91" s="77" t="s">
        <v>1418</v>
      </c>
      <c r="F91" s="1197">
        <v>5.25</v>
      </c>
      <c r="G91" s="77" t="s">
        <v>600</v>
      </c>
      <c r="H91" s="18"/>
      <c r="I91" s="18"/>
      <c r="J91" s="18"/>
      <c r="K91" s="18"/>
      <c r="L91" s="18"/>
      <c r="M91" s="18"/>
      <c r="N91" s="2859">
        <f t="shared" si="57"/>
        <v>0</v>
      </c>
      <c r="O91" s="2859"/>
      <c r="P91" s="1172" t="s">
        <v>1342</v>
      </c>
      <c r="Q91" s="966" t="s">
        <v>649</v>
      </c>
      <c r="R91" s="373"/>
      <c r="S91" s="1005">
        <f>BN66</f>
        <v>0</v>
      </c>
      <c r="T91" s="373" t="s">
        <v>1720</v>
      </c>
      <c r="U91" s="1006">
        <f>Pricing!Q45</f>
        <v>542</v>
      </c>
      <c r="V91" s="373" t="s">
        <v>647</v>
      </c>
      <c r="W91" s="1189">
        <f>U91*S91</f>
        <v>0</v>
      </c>
    </row>
    <row r="92" spans="1:23" s="1254" customFormat="1" ht="18" customHeight="1">
      <c r="A92" s="482" t="s">
        <v>1462</v>
      </c>
      <c r="B92" s="503"/>
      <c r="C92" s="834"/>
      <c r="D92" s="1819"/>
      <c r="E92" s="1807" t="s">
        <v>1341</v>
      </c>
      <c r="F92" s="1197">
        <v>0.25</v>
      </c>
      <c r="G92" s="77" t="s">
        <v>1341</v>
      </c>
      <c r="H92" s="18"/>
      <c r="I92" s="18"/>
      <c r="J92" s="18"/>
      <c r="K92" s="18"/>
      <c r="L92" s="18"/>
      <c r="M92" s="18"/>
      <c r="N92" s="2859">
        <f t="shared" si="57"/>
        <v>0</v>
      </c>
      <c r="O92" s="2859"/>
      <c r="P92" s="1172"/>
      <c r="Q92" s="574"/>
      <c r="R92" s="18"/>
      <c r="S92" s="18"/>
      <c r="T92" s="18"/>
      <c r="U92" s="844"/>
      <c r="V92" s="18"/>
      <c r="W92" s="1037"/>
    </row>
    <row r="93" spans="1:23" s="1254" customFormat="1" ht="18" customHeight="1">
      <c r="A93" s="1820" t="s">
        <v>1067</v>
      </c>
      <c r="B93" s="1821"/>
      <c r="C93" s="1822"/>
      <c r="D93" s="1823"/>
      <c r="E93" s="1824" t="s">
        <v>1000</v>
      </c>
      <c r="F93" s="1825">
        <v>1000</v>
      </c>
      <c r="G93" s="1826" t="s">
        <v>1624</v>
      </c>
      <c r="H93" s="18"/>
      <c r="I93" s="18"/>
      <c r="J93" s="18"/>
      <c r="K93" s="18"/>
      <c r="L93" s="18"/>
      <c r="M93" s="163"/>
      <c r="N93" s="2859">
        <f t="shared" si="57"/>
        <v>0</v>
      </c>
      <c r="O93" s="2859"/>
      <c r="P93" s="1172"/>
      <c r="Q93" s="1041" t="s">
        <v>1349</v>
      </c>
      <c r="R93" s="7"/>
      <c r="S93" s="919">
        <v>18</v>
      </c>
      <c r="T93" s="919" t="s">
        <v>1350</v>
      </c>
      <c r="U93" s="18"/>
      <c r="V93" s="18"/>
      <c r="W93" s="1042"/>
    </row>
    <row r="94" spans="1:23" s="1254" customFormat="1" ht="18" customHeight="1">
      <c r="A94" s="482" t="s">
        <v>1234</v>
      </c>
      <c r="B94" s="503"/>
      <c r="C94" s="834"/>
      <c r="D94" s="1819"/>
      <c r="E94" s="1174" t="s">
        <v>1285</v>
      </c>
      <c r="F94" s="1197">
        <v>6</v>
      </c>
      <c r="G94" s="77" t="s">
        <v>1285</v>
      </c>
      <c r="H94" s="18"/>
      <c r="I94" s="18"/>
      <c r="J94" s="18"/>
      <c r="K94" s="18"/>
      <c r="L94" s="18"/>
      <c r="M94" s="163"/>
      <c r="N94" s="2859">
        <f t="shared" si="57"/>
        <v>0</v>
      </c>
      <c r="O94" s="2859"/>
      <c r="P94" s="1172" t="s">
        <v>1072</v>
      </c>
      <c r="Q94" s="577" t="s">
        <v>1353</v>
      </c>
      <c r="R94" s="976"/>
      <c r="S94" s="976">
        <f>S64*12/S93</f>
        <v>0</v>
      </c>
      <c r="T94" s="976" t="s">
        <v>1354</v>
      </c>
      <c r="U94" s="1050">
        <f>Pricing!D30</f>
        <v>1</v>
      </c>
      <c r="V94" s="1050"/>
      <c r="W94" s="1827">
        <f>U94*S94</f>
        <v>0</v>
      </c>
    </row>
    <row r="95" spans="1:23" s="1254" customFormat="1" ht="18" customHeight="1">
      <c r="A95" s="1595" t="s">
        <v>1346</v>
      </c>
      <c r="B95" s="1441"/>
      <c r="C95" s="1445"/>
      <c r="D95" s="1828"/>
      <c r="E95" s="1829" t="s">
        <v>1347</v>
      </c>
      <c r="F95" s="1830">
        <v>200</v>
      </c>
      <c r="G95" s="1621" t="s">
        <v>620</v>
      </c>
      <c r="H95" s="976"/>
      <c r="I95" s="976"/>
      <c r="J95" s="976"/>
      <c r="K95" s="976"/>
      <c r="L95" s="976"/>
      <c r="M95" s="976"/>
      <c r="N95" s="2839">
        <f t="shared" si="57"/>
        <v>0</v>
      </c>
      <c r="O95" s="2839"/>
      <c r="P95" s="626"/>
      <c r="Q95" s="626"/>
      <c r="R95" s="626"/>
      <c r="S95" s="626"/>
      <c r="T95" s="626"/>
      <c r="U95" s="626"/>
      <c r="V95" s="626"/>
      <c r="W95" s="1236">
        <f>SUM(W52:W94)</f>
        <v>28658.472002508675</v>
      </c>
    </row>
    <row r="96" spans="1:23" s="1254" customFormat="1" ht="18" customHeight="1">
      <c r="A96" s="3029" t="s">
        <v>1191</v>
      </c>
      <c r="B96" s="3029"/>
      <c r="C96" s="3029"/>
      <c r="D96" s="1237">
        <f>Summary!P60</f>
        <v>0</v>
      </c>
      <c r="E96" s="1238" t="s">
        <v>1465</v>
      </c>
      <c r="F96" s="1831">
        <f>(SUM(N51:O64)+SUM(N66:O75)+SUM(K66:L75)+SUM(N78:O81)+SUM(N83:O88)+SUM(N90:O95))*D96</f>
        <v>0</v>
      </c>
      <c r="G96" s="1240" t="s">
        <v>1039</v>
      </c>
      <c r="H96" s="1240"/>
      <c r="I96" s="1240"/>
      <c r="J96" s="1240"/>
      <c r="K96" s="1240"/>
      <c r="L96" s="1240"/>
      <c r="M96" s="1240"/>
      <c r="N96" s="3030">
        <f>F96</f>
        <v>0</v>
      </c>
      <c r="O96" s="3030"/>
      <c r="P96" s="626"/>
      <c r="Q96" s="626"/>
      <c r="R96" s="626"/>
      <c r="S96" s="626"/>
      <c r="T96" s="626"/>
      <c r="U96" s="626"/>
      <c r="V96" s="626"/>
      <c r="W96" s="626"/>
    </row>
    <row r="97" spans="1:23" s="1254" customFormat="1" ht="18" customHeight="1">
      <c r="A97" s="888"/>
      <c r="B97" s="889"/>
      <c r="C97" s="889"/>
      <c r="D97" s="889"/>
      <c r="E97" s="889"/>
      <c r="F97" s="889"/>
      <c r="G97" s="889"/>
      <c r="H97" s="889"/>
      <c r="I97" s="889"/>
      <c r="J97" s="889"/>
      <c r="K97" s="891"/>
      <c r="L97" s="889"/>
      <c r="M97" s="889"/>
      <c r="N97" s="889"/>
      <c r="O97" s="889"/>
      <c r="P97" s="889"/>
      <c r="Q97" s="889"/>
      <c r="R97" s="889"/>
      <c r="S97" s="889"/>
      <c r="T97" s="889"/>
      <c r="U97" s="889"/>
      <c r="V97" s="889"/>
      <c r="W97" s="894"/>
    </row>
    <row r="98" spans="1:23" s="1254" customFormat="1" ht="18" customHeight="1">
      <c r="A98" s="1476" t="s">
        <v>1262</v>
      </c>
      <c r="B98" s="1477"/>
      <c r="C98" s="1478"/>
      <c r="D98" s="1476" t="s">
        <v>982</v>
      </c>
      <c r="E98" s="1478"/>
      <c r="F98" s="1476" t="s">
        <v>1263</v>
      </c>
      <c r="G98" s="1477"/>
      <c r="H98" s="1478"/>
      <c r="I98" s="1054" t="s">
        <v>1264</v>
      </c>
      <c r="J98" s="1055"/>
      <c r="K98" s="1056"/>
      <c r="L98" s="1057" t="s">
        <v>1265</v>
      </c>
      <c r="M98" s="1058"/>
      <c r="N98" s="1058"/>
      <c r="O98" s="1059"/>
      <c r="P98" s="895"/>
      <c r="Q98" s="574" t="s">
        <v>1266</v>
      </c>
      <c r="R98" s="18"/>
      <c r="S98" s="18" t="s">
        <v>1267</v>
      </c>
      <c r="T98" s="1060" t="str">
        <f>T39</f>
        <v>N</v>
      </c>
      <c r="U98" s="793" t="s">
        <v>1268</v>
      </c>
      <c r="V98" s="1242">
        <f>V39</f>
        <v>8.2500000000000004E-2</v>
      </c>
      <c r="W98" s="898"/>
    </row>
    <row r="99" spans="1:23" s="1254" customFormat="1" ht="18" customHeight="1">
      <c r="A99" s="899" t="s">
        <v>1269</v>
      </c>
      <c r="B99" s="2865">
        <f>B40</f>
        <v>69.177721985715749</v>
      </c>
      <c r="C99" s="2865"/>
      <c r="D99" s="2866">
        <f>D40</f>
        <v>238839.54404178288</v>
      </c>
      <c r="E99" s="2866"/>
      <c r="F99" s="901">
        <f>F40</f>
        <v>0.13043478260869557</v>
      </c>
      <c r="G99" s="2867">
        <f>G40</f>
        <v>31152.984005449922</v>
      </c>
      <c r="H99" s="2867"/>
      <c r="I99" s="1485">
        <f>I40</f>
        <v>60.154540857144134</v>
      </c>
      <c r="J99" s="1486"/>
      <c r="K99" s="1487"/>
      <c r="L99" s="3031">
        <f>L40</f>
        <v>0.15</v>
      </c>
      <c r="M99" s="3031"/>
      <c r="N99" s="3031"/>
      <c r="O99" s="3031"/>
      <c r="P99" s="1137"/>
      <c r="Q99" s="902" t="s">
        <v>980</v>
      </c>
      <c r="R99" s="18"/>
      <c r="S99" s="18"/>
      <c r="T99" s="2942">
        <f>S40</f>
        <v>207686.56003633296</v>
      </c>
      <c r="U99" s="2942"/>
      <c r="V99" s="18"/>
      <c r="W99" s="898"/>
    </row>
    <row r="100" spans="1:23" s="1254" customFormat="1" ht="18" customHeight="1">
      <c r="A100" s="909"/>
      <c r="B100" s="905"/>
      <c r="C100" s="905"/>
      <c r="D100" s="905"/>
      <c r="E100" s="905"/>
      <c r="F100" s="905"/>
      <c r="G100" s="905"/>
      <c r="H100" s="905"/>
      <c r="I100" s="905"/>
      <c r="J100" s="905"/>
      <c r="K100" s="905"/>
      <c r="L100" s="905"/>
      <c r="M100" s="905"/>
      <c r="N100" s="905"/>
      <c r="O100" s="905"/>
      <c r="P100" s="905"/>
      <c r="Q100" s="905"/>
      <c r="R100" s="905"/>
      <c r="S100" s="905"/>
      <c r="T100" s="905"/>
      <c r="U100" s="905"/>
      <c r="V100" s="905"/>
      <c r="W100" s="913"/>
    </row>
    <row r="101" spans="1:23" s="1254" customFormat="1">
      <c r="A101" s="626"/>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row>
    <row r="102" spans="1:23" s="1254" customFormat="1">
      <c r="A102" s="626"/>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row>
    <row r="103" spans="1:23" s="1254" customFormat="1" ht="15.45">
      <c r="A103" s="684" t="s">
        <v>1055</v>
      </c>
      <c r="B103" s="1243" t="s">
        <v>853</v>
      </c>
      <c r="C103" s="686"/>
      <c r="D103" s="689">
        <f>D104-T99</f>
        <v>0</v>
      </c>
      <c r="E103" s="626"/>
      <c r="F103" s="626"/>
      <c r="G103" s="626"/>
      <c r="H103" s="626"/>
      <c r="I103" s="626"/>
      <c r="J103" s="626"/>
      <c r="K103" s="626"/>
      <c r="L103" s="626"/>
      <c r="M103" s="626"/>
      <c r="N103" s="626"/>
      <c r="O103" s="626"/>
      <c r="P103" s="626"/>
      <c r="Q103" s="626"/>
      <c r="R103" s="626"/>
      <c r="S103" s="626"/>
    </row>
    <row r="104" spans="1:23" s="1254" customFormat="1">
      <c r="A104" s="700" t="s">
        <v>1070</v>
      </c>
      <c r="B104" s="702"/>
      <c r="C104" s="702"/>
      <c r="D104" s="703">
        <f>SUM(D105:D161)-D137-D147</f>
        <v>207686.56003633293</v>
      </c>
      <c r="E104" s="626"/>
      <c r="F104" s="626"/>
      <c r="G104" s="626"/>
      <c r="H104" s="626"/>
      <c r="I104" s="626"/>
      <c r="J104" s="626"/>
      <c r="K104" s="626"/>
      <c r="L104" s="626"/>
      <c r="M104" s="626"/>
      <c r="N104" s="626"/>
      <c r="O104" s="626"/>
      <c r="P104" s="626"/>
      <c r="Q104" s="626"/>
      <c r="R104" s="626"/>
      <c r="S104" s="626"/>
    </row>
    <row r="105" spans="1:23">
      <c r="A105" s="1244">
        <f>Summary!P74</f>
        <v>40001</v>
      </c>
      <c r="B105" s="707" t="str">
        <f>Summary!Q74</f>
        <v>General Requirements</v>
      </c>
      <c r="C105" s="296"/>
      <c r="D105" s="708">
        <f>SUM(L100:M102)</f>
        <v>0</v>
      </c>
    </row>
    <row r="106" spans="1:23">
      <c r="A106" s="1244">
        <f>Summary!P75</f>
        <v>40002</v>
      </c>
      <c r="B106" s="707" t="str">
        <f>Summary!Q75</f>
        <v>Lumber</v>
      </c>
      <c r="C106" s="296"/>
      <c r="D106" s="717">
        <f>SUM(W51:W76)+W77+W78+W79+W81+W82</f>
        <v>26741.858712069097</v>
      </c>
    </row>
    <row r="107" spans="1:23">
      <c r="A107" s="1244">
        <f>Summary!P76</f>
        <v>40003</v>
      </c>
      <c r="B107" s="707" t="str">
        <f>Summary!Q76</f>
        <v>Sand Material</v>
      </c>
      <c r="C107" s="296"/>
      <c r="D107" s="717">
        <f>N59</f>
        <v>7680</v>
      </c>
    </row>
    <row r="108" spans="1:23">
      <c r="A108" s="1244">
        <f>Summary!P77</f>
        <v>40004</v>
      </c>
      <c r="B108" s="707" t="str">
        <f>Summary!Q77</f>
        <v>Rock Material</v>
      </c>
      <c r="C108" s="296"/>
      <c r="D108" s="717">
        <f>N60</f>
        <v>0</v>
      </c>
    </row>
    <row r="109" spans="1:23">
      <c r="A109" s="1244">
        <f>Summary!P78</f>
        <v>40005</v>
      </c>
      <c r="B109" s="707" t="str">
        <f>Summary!Q78</f>
        <v>Reinforcement Material</v>
      </c>
      <c r="C109" s="296"/>
      <c r="D109" s="717">
        <f>N56+N57</f>
        <v>23731.745974638703</v>
      </c>
    </row>
    <row r="110" spans="1:23">
      <c r="A110" s="1244">
        <f>Summary!P79</f>
        <v>40006</v>
      </c>
      <c r="B110" s="707" t="str">
        <f>Summary!Q79</f>
        <v>Reinforcement Accessories</v>
      </c>
      <c r="C110" s="296"/>
      <c r="D110" s="717">
        <f>SUM(W83:DA85)+W94</f>
        <v>1349.1132904395781</v>
      </c>
    </row>
    <row r="111" spans="1:23">
      <c r="A111" s="1244">
        <f>Summary!P80</f>
        <v>40007</v>
      </c>
      <c r="B111" s="707" t="str">
        <f>Summary!Q80</f>
        <v>PT Cables</v>
      </c>
      <c r="C111" s="296"/>
      <c r="D111" s="717">
        <f>N58</f>
        <v>0</v>
      </c>
    </row>
    <row r="112" spans="1:23">
      <c r="A112" s="1244">
        <f>Summary!P81</f>
        <v>40008</v>
      </c>
      <c r="B112" s="707" t="str">
        <f>Summary!Q81</f>
        <v>Concrete Material</v>
      </c>
      <c r="C112" s="296"/>
      <c r="D112" s="717">
        <f>SUM(N51:O55)</f>
        <v>46987.875633796306</v>
      </c>
    </row>
    <row r="113" spans="1:4">
      <c r="A113" s="1244">
        <f>Summary!P82</f>
        <v>40009</v>
      </c>
      <c r="B113" s="707" t="str">
        <f>Summary!Q82</f>
        <v>Carton Forms</v>
      </c>
      <c r="C113" s="296"/>
      <c r="D113" s="717">
        <f>SUM(N61:O63)</f>
        <v>0</v>
      </c>
    </row>
    <row r="114" spans="1:4">
      <c r="A114" s="1244">
        <f>Summary!P83</f>
        <v>40010</v>
      </c>
      <c r="B114" s="707" t="str">
        <f>Summary!Q83</f>
        <v>Cure/Sealers</v>
      </c>
      <c r="C114" s="296"/>
      <c r="D114" s="717">
        <f>SUM(W89:W91)</f>
        <v>567.5</v>
      </c>
    </row>
    <row r="115" spans="1:4">
      <c r="A115" s="1244">
        <f>Summary!P84</f>
        <v>40011</v>
      </c>
      <c r="B115" s="707" t="str">
        <f>Summary!Q84</f>
        <v>Patch/Grout</v>
      </c>
      <c r="C115" s="296"/>
      <c r="D115" s="717"/>
    </row>
    <row r="116" spans="1:4">
      <c r="A116" s="1244">
        <f>Summary!P85</f>
        <v>40012</v>
      </c>
      <c r="B116" s="707" t="str">
        <f>Summary!Q85</f>
        <v>Poly/Vapor Barrier</v>
      </c>
      <c r="C116" s="296"/>
      <c r="D116" s="717"/>
    </row>
    <row r="117" spans="1:4">
      <c r="A117" s="1244">
        <f>Summary!P86</f>
        <v>40013</v>
      </c>
      <c r="B117" s="707" t="s">
        <v>1105</v>
      </c>
      <c r="C117" s="296"/>
      <c r="D117" s="717">
        <f>W86</f>
        <v>0</v>
      </c>
    </row>
    <row r="118" spans="1:4">
      <c r="A118" s="1244">
        <f>Summary!P87</f>
        <v>40014</v>
      </c>
      <c r="B118" s="707" t="s">
        <v>1105</v>
      </c>
      <c r="C118" s="296"/>
      <c r="D118" s="717">
        <f>W87</f>
        <v>0</v>
      </c>
    </row>
    <row r="119" spans="1:4">
      <c r="A119" s="1244">
        <f>Summary!P88</f>
        <v>40015</v>
      </c>
      <c r="B119" s="707" t="s">
        <v>1108</v>
      </c>
      <c r="C119" s="296"/>
      <c r="D119" s="717">
        <f>W88</f>
        <v>0</v>
      </c>
    </row>
    <row r="120" spans="1:4">
      <c r="A120" s="1244">
        <f>Summary!P89</f>
        <v>40020</v>
      </c>
      <c r="B120" s="707" t="str">
        <f>Summary!Q89</f>
        <v>Supervision</v>
      </c>
      <c r="C120" s="296"/>
      <c r="D120" s="717">
        <f>SUM(N78:O79)</f>
        <v>5500</v>
      </c>
    </row>
    <row r="121" spans="1:4">
      <c r="A121" s="1244">
        <f>Summary!P90</f>
        <v>40021</v>
      </c>
      <c r="B121" s="707" t="str">
        <f>Summary!Q90</f>
        <v>Supervision Expense</v>
      </c>
      <c r="C121" s="296"/>
      <c r="D121" s="717">
        <f>SUM(N80)</f>
        <v>500</v>
      </c>
    </row>
    <row r="122" spans="1:4">
      <c r="A122" s="1244">
        <f>Summary!P91</f>
        <v>40022</v>
      </c>
      <c r="B122" s="707" t="str">
        <f>Summary!Q91</f>
        <v>Project Management</v>
      </c>
      <c r="C122" s="296"/>
      <c r="D122" s="717">
        <f>N81</f>
        <v>0</v>
      </c>
    </row>
    <row r="123" spans="1:4">
      <c r="A123" s="1244">
        <f>Summary!P92</f>
        <v>40023</v>
      </c>
      <c r="B123" s="707" t="str">
        <f>Summary!Q92</f>
        <v>Labor Grade, Poly, Reinf.</v>
      </c>
      <c r="C123" s="296"/>
      <c r="D123" s="717">
        <f>K66</f>
        <v>0</v>
      </c>
    </row>
    <row r="124" spans="1:4">
      <c r="A124" s="1244">
        <f>Summary!P93</f>
        <v>40024</v>
      </c>
      <c r="B124" s="707" t="str">
        <f>Summary!Q93</f>
        <v>Labor Place &amp; Finish</v>
      </c>
      <c r="C124" s="296"/>
      <c r="D124" s="1245">
        <f>K68</f>
        <v>0</v>
      </c>
    </row>
    <row r="125" spans="1:4">
      <c r="A125" s="1244">
        <f>Summary!P94</f>
        <v>40025</v>
      </c>
      <c r="B125" s="707" t="str">
        <f>Summary!Q94</f>
        <v>Labor Drops</v>
      </c>
      <c r="C125" s="296"/>
      <c r="D125" s="717">
        <f>K70</f>
        <v>0</v>
      </c>
    </row>
    <row r="126" spans="1:4">
      <c r="A126" s="1244">
        <f>Summary!P95</f>
        <v>40026</v>
      </c>
      <c r="B126" s="707" t="str">
        <f>Summary!Q95</f>
        <v>Labor Strip Forms</v>
      </c>
      <c r="C126" s="296"/>
      <c r="D126" s="717">
        <f>K69</f>
        <v>0</v>
      </c>
    </row>
    <row r="127" spans="1:4">
      <c r="A127" s="1244">
        <f>Summary!P96</f>
        <v>40027</v>
      </c>
      <c r="B127" s="707" t="str">
        <f>Summary!Q96</f>
        <v>Labor Burden</v>
      </c>
      <c r="C127" s="296"/>
      <c r="D127" s="717"/>
    </row>
    <row r="128" spans="1:4">
      <c r="A128" s="1244">
        <f>Summary!P98</f>
        <v>40030</v>
      </c>
      <c r="B128" s="707" t="str">
        <f>Summary!Q98</f>
        <v>Pumping</v>
      </c>
      <c r="C128" s="296"/>
      <c r="D128" s="717">
        <f>N90</f>
        <v>2850</v>
      </c>
    </row>
    <row r="129" spans="1:4">
      <c r="A129" s="1244">
        <f>Summary!P99</f>
        <v>40031</v>
      </c>
      <c r="B129" s="707" t="str">
        <f>Summary!Q99</f>
        <v>Earth Work/Excavation</v>
      </c>
      <c r="C129" s="296"/>
      <c r="D129" s="717"/>
    </row>
    <row r="130" spans="1:4">
      <c r="A130" s="1244">
        <f>Summary!P100</f>
        <v>40032</v>
      </c>
      <c r="B130" s="707" t="str">
        <f>Summary!Q100</f>
        <v>Drilling</v>
      </c>
      <c r="C130" s="296"/>
      <c r="D130" s="717"/>
    </row>
    <row r="131" spans="1:4">
      <c r="A131" s="1244">
        <f>Summary!P101</f>
        <v>40033</v>
      </c>
      <c r="B131" s="707" t="str">
        <f>Summary!Q101</f>
        <v>Haul off</v>
      </c>
      <c r="C131" s="296"/>
      <c r="D131" s="717">
        <f>N94</f>
        <v>0</v>
      </c>
    </row>
    <row r="132" spans="1:4">
      <c r="A132" s="1244">
        <f>Summary!P102</f>
        <v>40034</v>
      </c>
      <c r="B132" s="707" t="str">
        <f>Summary!Q102</f>
        <v>Saw Cutting/Sealing</v>
      </c>
      <c r="C132" s="296"/>
      <c r="D132" s="717">
        <f>N92</f>
        <v>0</v>
      </c>
    </row>
    <row r="133" spans="1:4">
      <c r="A133" s="1244">
        <f>Summary!P103</f>
        <v>40035</v>
      </c>
      <c r="B133" s="707" t="str">
        <f>Summary!Q103</f>
        <v>Demolition</v>
      </c>
      <c r="C133" s="296"/>
      <c r="D133" s="717"/>
    </row>
    <row r="134" spans="1:4">
      <c r="A134" s="1244">
        <f>Summary!P104</f>
        <v>40037</v>
      </c>
      <c r="B134" s="707" t="str">
        <f>Summary!Q104</f>
        <v>Waterproofing</v>
      </c>
      <c r="C134" s="296"/>
      <c r="D134" s="717">
        <f>N91</f>
        <v>0</v>
      </c>
    </row>
    <row r="135" spans="1:4">
      <c r="A135" s="1244">
        <f>Summary!P105</f>
        <v>40038</v>
      </c>
      <c r="B135" s="707" t="str">
        <f>Summary!Q105</f>
        <v>Crain/Hoisting</v>
      </c>
      <c r="C135" s="296"/>
      <c r="D135" s="717"/>
    </row>
    <row r="136" spans="1:4">
      <c r="A136" s="1246">
        <f>Summary!P106</f>
        <v>40039</v>
      </c>
      <c r="B136" s="753" t="str">
        <f>Summary!Q106</f>
        <v>Forming Systems</v>
      </c>
      <c r="C136" s="765"/>
      <c r="D136" s="1832">
        <f>N64</f>
        <v>0</v>
      </c>
    </row>
    <row r="137" spans="1:4">
      <c r="A137" s="1833">
        <f>Summary!P107</f>
        <v>40040</v>
      </c>
      <c r="B137" s="1834" t="str">
        <f>Summary!Q107</f>
        <v>Total Sub Labor</v>
      </c>
      <c r="C137" s="1835"/>
      <c r="D137" s="1836">
        <f>SUM(D138:D145)</f>
        <v>83022.966425389284</v>
      </c>
    </row>
    <row r="138" spans="1:4">
      <c r="A138" s="1244">
        <f>Summary!P108</f>
        <v>40041</v>
      </c>
      <c r="B138" s="707" t="str">
        <f>Summary!Q108</f>
        <v>Labor Forming</v>
      </c>
      <c r="C138" s="296"/>
      <c r="D138" s="708">
        <f>N67</f>
        <v>12083.924999999999</v>
      </c>
    </row>
    <row r="139" spans="1:4">
      <c r="A139" s="1244">
        <f>Summary!P109</f>
        <v>40042</v>
      </c>
      <c r="B139" s="707" t="str">
        <f>Summary!Q109</f>
        <v>Labor Grade, Poly, Reinf.</v>
      </c>
      <c r="C139" s="715"/>
      <c r="D139" s="708">
        <f>N66+N74+N73</f>
        <v>40430.666666666657</v>
      </c>
    </row>
    <row r="140" spans="1:4">
      <c r="A140" s="1244">
        <f>Summary!P110</f>
        <v>40043</v>
      </c>
      <c r="B140" s="707" t="str">
        <f>Summary!Q110</f>
        <v>Labor Place &amp; Finish</v>
      </c>
      <c r="C140" s="715"/>
      <c r="D140" s="708">
        <f>N68</f>
        <v>12083.924999999999</v>
      </c>
    </row>
    <row r="141" spans="1:4">
      <c r="A141" s="1244">
        <f>Summary!P111</f>
        <v>40044</v>
      </c>
      <c r="B141" s="707" t="str">
        <f>Summary!Q111</f>
        <v>Labor Drops</v>
      </c>
      <c r="C141" s="715"/>
      <c r="D141" s="708"/>
    </row>
    <row r="142" spans="1:4">
      <c r="A142" s="1244">
        <f>Summary!P112</f>
        <v>40045</v>
      </c>
      <c r="B142" s="707" t="str">
        <f>Summary!Q112</f>
        <v>Labor Strip Forms</v>
      </c>
      <c r="C142" s="715"/>
      <c r="D142" s="708">
        <f>N69</f>
        <v>3452.5499999999997</v>
      </c>
    </row>
    <row r="143" spans="1:4">
      <c r="A143" s="1244">
        <f>Summary!P113</f>
        <v>40046</v>
      </c>
      <c r="B143" s="707" t="str">
        <f>Summary!Q113</f>
        <v>Labor Burden</v>
      </c>
      <c r="C143" s="296"/>
      <c r="D143" s="717">
        <f>N70+N72</f>
        <v>7383.1374999999998</v>
      </c>
    </row>
    <row r="144" spans="1:4">
      <c r="A144" s="1244">
        <f>Summary!P114</f>
        <v>40047</v>
      </c>
      <c r="B144" s="707" t="str">
        <f>Summary!Q114</f>
        <v>Rebar</v>
      </c>
      <c r="C144" s="715"/>
      <c r="D144" s="708">
        <f>N71</f>
        <v>7588.7622587226269</v>
      </c>
    </row>
    <row r="145" spans="1:4">
      <c r="A145" s="1246">
        <f>Summary!P115</f>
        <v>40048</v>
      </c>
      <c r="B145" s="753" t="str">
        <f>Summary!Q115</f>
        <v>PT Installation</v>
      </c>
      <c r="C145" s="765"/>
      <c r="D145" s="1832"/>
    </row>
    <row r="146" spans="1:4">
      <c r="A146" s="1246">
        <f>Summary!P116</f>
        <v>40049</v>
      </c>
      <c r="B146" s="753" t="str">
        <f>Summary!Q116</f>
        <v>Extra Hours</v>
      </c>
      <c r="C146" s="765"/>
      <c r="D146" s="722">
        <f>N75</f>
        <v>0</v>
      </c>
    </row>
    <row r="147" spans="1:4">
      <c r="A147" s="1833">
        <f>Summary!P117</f>
        <v>40060</v>
      </c>
      <c r="B147" s="1834" t="str">
        <f>Summary!Q117</f>
        <v>Total Equipment Rental</v>
      </c>
      <c r="C147" s="1835"/>
      <c r="D147" s="1836">
        <f>SUM(D148:D153)</f>
        <v>8755.5</v>
      </c>
    </row>
    <row r="148" spans="1:4">
      <c r="A148" s="1244">
        <f>Summary!P118</f>
        <v>40061</v>
      </c>
      <c r="B148" s="707" t="str">
        <f>Summary!Q118</f>
        <v>SkyTrack</v>
      </c>
      <c r="C148" s="296"/>
      <c r="D148" s="708">
        <f>N83/(1+V$39+I$85)</f>
        <v>0</v>
      </c>
    </row>
    <row r="149" spans="1:4">
      <c r="A149" s="1244">
        <f>Summary!P119</f>
        <v>40062</v>
      </c>
      <c r="B149" s="707" t="str">
        <f>Summary!Q119</f>
        <v>Mini Excavator</v>
      </c>
      <c r="C149" s="296"/>
      <c r="D149" s="708">
        <f>N84/(1+V$39+I$85)</f>
        <v>2850</v>
      </c>
    </row>
    <row r="150" spans="1:4">
      <c r="A150" s="1244">
        <f>Summary!P120</f>
        <v>40063</v>
      </c>
      <c r="B150" s="707" t="str">
        <f>Summary!Q120</f>
        <v>Trencher</v>
      </c>
      <c r="C150" s="296"/>
      <c r="D150" s="708">
        <f>N85/(1+V$39+I$85)</f>
        <v>1950</v>
      </c>
    </row>
    <row r="151" spans="1:4">
      <c r="A151" s="1244">
        <f>Summary!P121</f>
        <v>40064</v>
      </c>
      <c r="B151" s="707" t="str">
        <f>Summary!Q121</f>
        <v>Skid Steer</v>
      </c>
      <c r="C151" s="296"/>
      <c r="D151" s="708">
        <f>N86/(1+V$39+I$85)</f>
        <v>600</v>
      </c>
    </row>
    <row r="152" spans="1:4">
      <c r="A152" s="1244">
        <f>Summary!P122</f>
        <v>40065</v>
      </c>
      <c r="B152" s="707" t="str">
        <f>Summary!Q122</f>
        <v>General Equipment Rental</v>
      </c>
      <c r="C152" s="296"/>
      <c r="D152" s="708">
        <f>(N87+N88)/(1+V$39+I$85)</f>
        <v>132.70142180094786</v>
      </c>
    </row>
    <row r="153" spans="1:4">
      <c r="A153" s="1244">
        <f>Summary!P123</f>
        <v>40066</v>
      </c>
      <c r="B153" s="707" t="str">
        <f>Summary!Q123</f>
        <v>Fuel</v>
      </c>
      <c r="C153" s="296"/>
      <c r="D153" s="708">
        <f>L85-SUM(D148:D152)</f>
        <v>3222.7985781990519</v>
      </c>
    </row>
    <row r="154" spans="1:4">
      <c r="A154" s="1244">
        <f>Summary!P124</f>
        <v>40067</v>
      </c>
      <c r="B154" s="707" t="str">
        <f>Summary!Q124</f>
        <v>Purchased Tools</v>
      </c>
      <c r="C154" s="296"/>
      <c r="D154" s="708"/>
    </row>
    <row r="155" spans="1:4">
      <c r="A155" s="1244">
        <f>Summary!P125</f>
        <v>40068</v>
      </c>
      <c r="B155" s="707" t="str">
        <f>Summary!Q125</f>
        <v>Stolen/Damaged</v>
      </c>
      <c r="C155" s="296"/>
      <c r="D155" s="708"/>
    </row>
    <row r="156" spans="1:4">
      <c r="A156" s="1244">
        <f>Summary!P126</f>
        <v>40070</v>
      </c>
      <c r="B156" s="707" t="str">
        <f>Summary!Q126</f>
        <v>Out of Town Expense</v>
      </c>
      <c r="C156" s="296"/>
      <c r="D156" s="708">
        <f>N95</f>
        <v>0</v>
      </c>
    </row>
    <row r="157" spans="1:4">
      <c r="A157" s="1244">
        <f>Summary!P127</f>
        <v>40071</v>
      </c>
      <c r="B157" s="707" t="str">
        <f>Summary!Q127</f>
        <v>Miscellaneous</v>
      </c>
      <c r="C157" s="296"/>
      <c r="D157" s="717">
        <f>N93</f>
        <v>0</v>
      </c>
    </row>
    <row r="158" spans="1:4">
      <c r="A158" s="1244">
        <f>Summary!P128</f>
        <v>40072</v>
      </c>
      <c r="B158" s="707" t="str">
        <f>Summary!Q128</f>
        <v>Repairs</v>
      </c>
      <c r="C158" s="296"/>
      <c r="D158" s="717"/>
    </row>
    <row r="159" spans="1:4">
      <c r="A159" s="1244">
        <f>Summary!P129</f>
        <v>40073</v>
      </c>
      <c r="B159" s="707" t="str">
        <f>Summary!Q129</f>
        <v>Engineering</v>
      </c>
      <c r="C159" s="296"/>
      <c r="D159" s="717"/>
    </row>
    <row r="160" spans="1:4">
      <c r="A160" s="1244">
        <f>Summary!P130</f>
        <v>40090</v>
      </c>
      <c r="B160" s="707" t="str">
        <f>Summary!Q130</f>
        <v>Not Used</v>
      </c>
      <c r="C160" s="296"/>
      <c r="D160" s="717"/>
    </row>
    <row r="161" spans="1:4">
      <c r="A161" s="1244">
        <f>Summary!P131</f>
        <v>40091</v>
      </c>
      <c r="B161" s="707" t="str">
        <f>Summary!Q131</f>
        <v>Margin Contingency</v>
      </c>
      <c r="C161" s="296"/>
      <c r="D161" s="717">
        <f>N96</f>
        <v>0</v>
      </c>
    </row>
  </sheetData>
  <mergeCells count="123">
    <mergeCell ref="B99:C99"/>
    <mergeCell ref="D99:E99"/>
    <mergeCell ref="G99:H99"/>
    <mergeCell ref="L99:O99"/>
    <mergeCell ref="T99:U99"/>
    <mergeCell ref="A89:O89"/>
    <mergeCell ref="N90:O90"/>
    <mergeCell ref="N91:O91"/>
    <mergeCell ref="N92:O92"/>
    <mergeCell ref="N93:O93"/>
    <mergeCell ref="N94:O94"/>
    <mergeCell ref="N95:O95"/>
    <mergeCell ref="A96:C96"/>
    <mergeCell ref="N96:O96"/>
    <mergeCell ref="I84:J84"/>
    <mergeCell ref="L84:M84"/>
    <mergeCell ref="N84:O84"/>
    <mergeCell ref="I85:J86"/>
    <mergeCell ref="L85:M85"/>
    <mergeCell ref="N85:O85"/>
    <mergeCell ref="N86:O86"/>
    <mergeCell ref="N87:O87"/>
    <mergeCell ref="N88:O88"/>
    <mergeCell ref="L78:M78"/>
    <mergeCell ref="N78:O78"/>
    <mergeCell ref="L79:M79"/>
    <mergeCell ref="N79:O79"/>
    <mergeCell ref="N80:O80"/>
    <mergeCell ref="L81:M81"/>
    <mergeCell ref="N81:O81"/>
    <mergeCell ref="A82:O82"/>
    <mergeCell ref="N83:O83"/>
    <mergeCell ref="D74:E74"/>
    <mergeCell ref="K74:L74"/>
    <mergeCell ref="N74:O74"/>
    <mergeCell ref="D75:E75"/>
    <mergeCell ref="K75:L75"/>
    <mergeCell ref="N75:O75"/>
    <mergeCell ref="K76:L76"/>
    <mergeCell ref="N76:O76"/>
    <mergeCell ref="A77:O77"/>
    <mergeCell ref="D71:E71"/>
    <mergeCell ref="K71:L71"/>
    <mergeCell ref="N71:O71"/>
    <mergeCell ref="D72:E72"/>
    <mergeCell ref="K72:L72"/>
    <mergeCell ref="N72:O72"/>
    <mergeCell ref="D73:E73"/>
    <mergeCell ref="K73:L73"/>
    <mergeCell ref="N73:O73"/>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H61:I63"/>
    <mergeCell ref="J61:J63"/>
    <mergeCell ref="K61:L61"/>
    <mergeCell ref="N61:O61"/>
    <mergeCell ref="K62:L62"/>
    <mergeCell ref="N62:O62"/>
    <mergeCell ref="K63:L63"/>
    <mergeCell ref="N63:O63"/>
    <mergeCell ref="H64:I64"/>
    <mergeCell ref="N64:O64"/>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C6:D6"/>
    <mergeCell ref="C7:D7"/>
    <mergeCell ref="BJ8:BR8"/>
    <mergeCell ref="DD8:DG8"/>
    <mergeCell ref="A9:B9"/>
    <mergeCell ref="D38:E38"/>
    <mergeCell ref="A39:C39"/>
    <mergeCell ref="B40:C40"/>
    <mergeCell ref="D40:E40"/>
    <mergeCell ref="G40:H40"/>
    <mergeCell ref="I40:J40"/>
    <mergeCell ref="S40:T40"/>
  </mergeCells>
  <conditionalFormatting sqref="D10:D35">
    <cfRule type="expression" dxfId="11" priority="2">
      <formula>AND(E10&lt;&gt;"",ISERROR(MATCH(D10,$A$51:$A$55,0)))</formula>
    </cfRule>
  </conditionalFormatting>
  <conditionalFormatting sqref="K50:L50">
    <cfRule type="containsText" dxfId="10" priority="3" operator="containsText" text="Missing Concrete">
      <formula>NOT(ISERROR(SEARCH("Missing Concrete",K50)))</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9"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B9CDE5"/>
    <pageSetUpPr fitToPage="1"/>
  </sheetPr>
  <dimension ref="A1:DJ161"/>
  <sheetViews>
    <sheetView zoomScale="65" zoomScaleNormal="65" zoomScalePageLayoutView="70" workbookViewId="0">
      <selection activeCell="E28" sqref="E28"/>
    </sheetView>
  </sheetViews>
  <sheetFormatPr defaultColWidth="2.4609375" defaultRowHeight="15"/>
  <cols>
    <col min="1" max="1" width="12" style="18" customWidth="1"/>
    <col min="2" max="2" width="16.15234375" style="18" customWidth="1"/>
    <col min="3" max="3" width="16.84375" style="18" customWidth="1"/>
    <col min="4" max="4" width="14.15234375" style="18" customWidth="1"/>
    <col min="5" max="5" width="10.84375" style="18" customWidth="1"/>
    <col min="6" max="6" width="14.4609375" style="18" customWidth="1"/>
    <col min="7" max="8" width="10.84375" style="18" customWidth="1"/>
    <col min="9" max="9" width="12.15234375" style="18" customWidth="1"/>
    <col min="10" max="10" width="13.4609375" style="18" customWidth="1"/>
    <col min="11" max="13" width="10.84375" style="18" customWidth="1"/>
    <col min="14" max="14" width="13.4609375" style="18" customWidth="1"/>
    <col min="15" max="15" width="12.53515625" style="18" customWidth="1"/>
    <col min="16" max="16" width="14.15234375" style="18" customWidth="1"/>
    <col min="17" max="17" width="12.15234375" style="18" customWidth="1"/>
    <col min="18" max="20" width="10.84375" style="18" customWidth="1"/>
    <col min="21" max="21" width="12.53515625" style="18" customWidth="1"/>
    <col min="22" max="23" width="17.84375" style="18" customWidth="1"/>
    <col min="24" max="24" width="4.84375" customWidth="1"/>
    <col min="25" max="30" width="9.15234375" customWidth="1"/>
    <col min="31" max="31" width="14.15234375" customWidth="1"/>
    <col min="32" max="54" width="9.15234375" customWidth="1"/>
    <col min="55" max="55" width="11.15234375" customWidth="1"/>
    <col min="56" max="56" width="14.15234375" customWidth="1"/>
    <col min="57" max="58" width="10.15234375" customWidth="1"/>
    <col min="59" max="59" width="11.84375" customWidth="1"/>
    <col min="60" max="61" width="9.15234375" customWidth="1"/>
    <col min="62" max="62" width="11.53515625" customWidth="1"/>
    <col min="63" max="63" width="20.84375" customWidth="1"/>
    <col min="64" max="64" width="19.15234375" customWidth="1"/>
    <col min="65" max="65" width="19" customWidth="1"/>
    <col min="66" max="66" width="20.84375" customWidth="1"/>
    <col min="67" max="67" width="16.84375" customWidth="1"/>
    <col min="68" max="68" width="16" customWidth="1"/>
    <col min="69" max="69" width="26.53515625" customWidth="1"/>
    <col min="70" max="70" width="10.84375" customWidth="1"/>
    <col min="71" max="72" width="12.53515625" customWidth="1"/>
    <col min="73" max="73" width="9.15234375" customWidth="1"/>
    <col min="74" max="74" width="11.84375" customWidth="1"/>
    <col min="75" max="75" width="9.84375" customWidth="1"/>
    <col min="76" max="105" width="9.15234375" customWidth="1"/>
    <col min="106" max="106" width="13" customWidth="1"/>
    <col min="107" max="114" width="10.84375" customWidth="1"/>
    <col min="115" max="266" width="9.15234375" customWidth="1"/>
  </cols>
  <sheetData>
    <row r="1" spans="1:114" s="1254" customFormat="1" ht="15.45">
      <c r="A1" s="677"/>
      <c r="B1" s="589"/>
      <c r="C1" s="589"/>
      <c r="D1" s="589"/>
      <c r="E1" s="589"/>
      <c r="F1" s="589"/>
      <c r="G1" s="589"/>
      <c r="H1" s="589"/>
      <c r="I1" s="589"/>
      <c r="J1" s="589"/>
      <c r="K1" s="589"/>
      <c r="L1" s="589"/>
      <c r="M1" s="589"/>
      <c r="N1" s="589"/>
      <c r="O1" s="589"/>
      <c r="P1" s="589"/>
      <c r="Q1" s="589"/>
      <c r="R1" s="589"/>
      <c r="S1" s="983"/>
      <c r="T1" s="1081" t="s">
        <v>1193</v>
      </c>
      <c r="U1" s="1081"/>
      <c r="V1" s="1669">
        <v>37456</v>
      </c>
      <c r="W1" s="1082"/>
      <c r="AE1" s="1254">
        <f>SUM(AE67:AE127)</f>
        <v>0</v>
      </c>
    </row>
    <row r="2" spans="1:114" s="1254" customFormat="1" ht="15.45">
      <c r="A2" s="1255" t="str">
        <f>Summary!C1</f>
        <v>Trammell Crow – LBJ</v>
      </c>
      <c r="B2" s="1256"/>
      <c r="C2" s="1256"/>
      <c r="D2" s="1257"/>
      <c r="E2" s="626"/>
      <c r="F2" s="626"/>
      <c r="G2" s="381"/>
      <c r="H2" s="1140" t="s">
        <v>56</v>
      </c>
      <c r="I2" s="983"/>
      <c r="J2" s="1085" t="s">
        <v>57</v>
      </c>
      <c r="K2" s="589"/>
      <c r="L2" s="589"/>
      <c r="M2" s="589"/>
      <c r="N2" s="1085" t="s">
        <v>1</v>
      </c>
      <c r="O2" s="1085"/>
      <c r="P2" s="1085" t="s">
        <v>1194</v>
      </c>
      <c r="Q2" s="808"/>
      <c r="R2" s="626"/>
      <c r="S2" s="626"/>
      <c r="T2" s="795" t="s">
        <v>957</v>
      </c>
      <c r="U2" s="663"/>
      <c r="V2" s="796">
        <f>Information!C7</f>
        <v>0</v>
      </c>
      <c r="W2" s="797"/>
    </row>
    <row r="3" spans="1:114" s="1254" customFormat="1">
      <c r="A3" s="1260">
        <f>Summary!C2</f>
        <v>0</v>
      </c>
      <c r="B3" s="1261"/>
      <c r="C3" s="1261"/>
      <c r="D3" s="1262"/>
      <c r="E3" s="626"/>
      <c r="F3" s="626"/>
      <c r="G3" s="396"/>
      <c r="H3" s="928" t="s">
        <v>955</v>
      </c>
      <c r="I3" s="1670">
        <f>Summary!K2</f>
        <v>0</v>
      </c>
      <c r="J3" s="1671"/>
      <c r="K3" s="1671"/>
      <c r="L3" s="1671"/>
      <c r="M3" s="1671"/>
      <c r="N3" s="1672">
        <f>Summary!O2</f>
        <v>0</v>
      </c>
      <c r="O3" s="1672"/>
      <c r="P3" s="1263">
        <f>Summary!P2</f>
        <v>0</v>
      </c>
      <c r="Q3" s="1264"/>
      <c r="R3" s="626"/>
      <c r="S3" s="626"/>
      <c r="T3" s="574"/>
      <c r="U3" s="18"/>
      <c r="V3" s="18"/>
      <c r="W3" s="798"/>
    </row>
    <row r="4" spans="1:114" s="1254" customFormat="1">
      <c r="A4" s="1265" t="str">
        <f>Summary!C3</f>
        <v>Dallas, TX</v>
      </c>
      <c r="B4" s="1266"/>
      <c r="C4" s="1266"/>
      <c r="D4" s="1267"/>
      <c r="E4" s="626"/>
      <c r="F4" s="626"/>
      <c r="G4" s="396"/>
      <c r="H4" s="928" t="s">
        <v>71</v>
      </c>
      <c r="I4" s="1673">
        <f>Summary!K3</f>
        <v>0</v>
      </c>
      <c r="J4" s="1674"/>
      <c r="K4" s="1674"/>
      <c r="L4" s="1674"/>
      <c r="M4" s="1674"/>
      <c r="N4" s="1675">
        <f>Summary!O3</f>
        <v>0</v>
      </c>
      <c r="O4" s="1675"/>
      <c r="P4" s="1268">
        <f>Summary!P3</f>
        <v>0</v>
      </c>
      <c r="Q4" s="1269"/>
      <c r="R4" s="626"/>
      <c r="S4" s="626"/>
      <c r="T4" s="574" t="s">
        <v>958</v>
      </c>
      <c r="U4" s="18"/>
      <c r="V4" s="799"/>
      <c r="W4" s="800"/>
    </row>
    <row r="5" spans="1:114" s="1254" customFormat="1">
      <c r="A5" s="963" t="s">
        <v>0</v>
      </c>
      <c r="B5" s="626"/>
      <c r="C5" s="380" t="s">
        <v>1</v>
      </c>
      <c r="D5" s="18"/>
      <c r="E5" s="626"/>
      <c r="F5" s="626"/>
      <c r="G5" s="396"/>
      <c r="H5" s="928" t="s">
        <v>79</v>
      </c>
      <c r="I5" s="1676">
        <f>Summary!K4</f>
        <v>0</v>
      </c>
      <c r="J5" s="1677"/>
      <c r="K5" s="1677"/>
      <c r="L5" s="1677"/>
      <c r="M5" s="1677"/>
      <c r="N5" s="1272">
        <f>Summary!O4</f>
        <v>0</v>
      </c>
      <c r="O5" s="1272"/>
      <c r="P5" s="1678">
        <f>Summary!P4</f>
        <v>0</v>
      </c>
      <c r="Q5" s="1679"/>
      <c r="R5" s="626"/>
      <c r="S5" s="626"/>
      <c r="T5" s="574"/>
      <c r="U5" s="18"/>
      <c r="V5" s="18"/>
      <c r="W5" s="798"/>
    </row>
    <row r="6" spans="1:114" s="1254" customFormat="1">
      <c r="A6" s="1089">
        <v>0</v>
      </c>
      <c r="B6" s="626"/>
      <c r="C6" s="2760">
        <v>0</v>
      </c>
      <c r="D6" s="2760"/>
      <c r="E6" s="626"/>
      <c r="F6" s="626"/>
      <c r="G6" s="653"/>
      <c r="H6" s="1090" t="s">
        <v>87</v>
      </c>
      <c r="I6" s="1680">
        <f>Summary!K5</f>
        <v>0</v>
      </c>
      <c r="J6" s="1681"/>
      <c r="K6" s="1681"/>
      <c r="L6" s="1681"/>
      <c r="M6" s="1681"/>
      <c r="N6" s="1682">
        <f>Summary!O5</f>
        <v>0</v>
      </c>
      <c r="O6" s="1682"/>
      <c r="P6" s="1683">
        <f>Summary!P5</f>
        <v>0</v>
      </c>
      <c r="Q6" s="1684"/>
      <c r="R6" s="626"/>
      <c r="S6" s="626"/>
      <c r="T6" s="577" t="s">
        <v>958</v>
      </c>
      <c r="U6" s="802"/>
      <c r="V6" s="802"/>
      <c r="W6" s="803"/>
    </row>
    <row r="7" spans="1:114" s="1254" customFormat="1">
      <c r="A7" s="1091">
        <v>0</v>
      </c>
      <c r="B7" s="626"/>
      <c r="C7" s="2764">
        <v>0</v>
      </c>
      <c r="D7" s="2764"/>
      <c r="E7" s="626"/>
      <c r="F7" s="1090" t="s">
        <v>1196</v>
      </c>
      <c r="G7" s="1090"/>
      <c r="H7" s="1090"/>
      <c r="I7" s="806" t="str">
        <f>Pricing!A3</f>
        <v>SRM</v>
      </c>
      <c r="J7" s="806"/>
      <c r="K7" s="806"/>
      <c r="L7" s="806"/>
      <c r="M7" s="806"/>
      <c r="N7" s="693"/>
      <c r="O7" s="693"/>
      <c r="P7" s="693"/>
      <c r="Q7" s="693"/>
      <c r="R7" s="693"/>
      <c r="S7" s="626"/>
      <c r="T7" s="626"/>
      <c r="U7" s="626"/>
      <c r="V7" s="626"/>
      <c r="W7" s="1093"/>
    </row>
    <row r="8" spans="1:114" s="1254" customFormat="1" ht="30.45">
      <c r="A8" s="1094"/>
      <c r="B8" s="1685"/>
      <c r="C8" s="1686" t="s">
        <v>1660</v>
      </c>
      <c r="D8" s="1687" t="s">
        <v>1661</v>
      </c>
      <c r="E8" s="1688" t="s">
        <v>1662</v>
      </c>
      <c r="F8" s="1689"/>
      <c r="G8" s="1690"/>
      <c r="H8" s="1691" t="s">
        <v>1663</v>
      </c>
      <c r="I8" s="1689"/>
      <c r="J8" s="1690"/>
      <c r="K8" s="1691" t="s">
        <v>1664</v>
      </c>
      <c r="L8" s="1689"/>
      <c r="M8" s="1689"/>
      <c r="N8" s="1692" t="s">
        <v>1665</v>
      </c>
      <c r="O8" s="1296"/>
      <c r="P8" s="1296"/>
      <c r="Q8" s="1296" t="s">
        <v>785</v>
      </c>
      <c r="R8" s="1693">
        <v>3</v>
      </c>
      <c r="S8" s="1688" t="s">
        <v>1362</v>
      </c>
      <c r="T8" s="1296"/>
      <c r="U8" s="807"/>
      <c r="V8" s="1291" t="s">
        <v>1363</v>
      </c>
      <c r="W8" s="1501" t="s">
        <v>1219</v>
      </c>
      <c r="AI8" s="1254" t="s">
        <v>1666</v>
      </c>
      <c r="AS8" s="1254" t="s">
        <v>1667</v>
      </c>
      <c r="BJ8" s="3075" t="s">
        <v>1507</v>
      </c>
      <c r="BK8" s="3075"/>
      <c r="BL8" s="3075"/>
      <c r="BM8" s="3075"/>
      <c r="BN8" s="3075"/>
      <c r="BO8" s="3075"/>
      <c r="BP8" s="3075"/>
      <c r="BQ8" s="3075"/>
      <c r="BR8" s="3075"/>
      <c r="BS8" s="1694"/>
      <c r="BT8" s="1694"/>
      <c r="BU8" s="1694"/>
      <c r="BV8" s="1694"/>
      <c r="BW8" s="1695"/>
      <c r="DD8" s="3076" t="s">
        <v>1021</v>
      </c>
      <c r="DE8" s="3076"/>
      <c r="DF8" s="3076"/>
      <c r="DG8" s="3076"/>
      <c r="DH8" s="1696"/>
      <c r="DI8" s="1696"/>
      <c r="DJ8" s="1697"/>
    </row>
    <row r="9" spans="1:114" s="1254" customFormat="1" ht="28.5" customHeight="1">
      <c r="A9" s="3077" t="s">
        <v>1668</v>
      </c>
      <c r="B9" s="3077"/>
      <c r="C9" s="1101" t="s">
        <v>1428</v>
      </c>
      <c r="D9" s="1698" t="s">
        <v>1669</v>
      </c>
      <c r="E9" s="1314" t="s">
        <v>1366</v>
      </c>
      <c r="F9" s="1100" t="s">
        <v>1670</v>
      </c>
      <c r="G9" s="1099" t="s">
        <v>1596</v>
      </c>
      <c r="H9" s="1100" t="s">
        <v>1216</v>
      </c>
      <c r="I9" s="1100" t="s">
        <v>1215</v>
      </c>
      <c r="J9" s="1314" t="s">
        <v>1671</v>
      </c>
      <c r="K9" s="1100" t="s">
        <v>1216</v>
      </c>
      <c r="L9" s="1101" t="s">
        <v>1215</v>
      </c>
      <c r="M9" s="1100" t="s">
        <v>1672</v>
      </c>
      <c r="N9" s="1699" t="s">
        <v>1673</v>
      </c>
      <c r="O9" s="1101" t="s">
        <v>1674</v>
      </c>
      <c r="P9" s="1101" t="s">
        <v>1216</v>
      </c>
      <c r="Q9" s="1101" t="s">
        <v>1215</v>
      </c>
      <c r="R9" s="1508" t="s">
        <v>1672</v>
      </c>
      <c r="S9" s="1104" t="s">
        <v>835</v>
      </c>
      <c r="T9" s="1101" t="s">
        <v>1675</v>
      </c>
      <c r="U9" s="1314" t="s">
        <v>1676</v>
      </c>
      <c r="V9" s="1317"/>
      <c r="W9" s="1510"/>
      <c r="AH9" s="1700" t="s">
        <v>1374</v>
      </c>
      <c r="AI9" s="1701" t="s">
        <v>1375</v>
      </c>
      <c r="AJ9" s="1701" t="s">
        <v>1376</v>
      </c>
      <c r="AK9" s="1701" t="s">
        <v>1377</v>
      </c>
      <c r="AL9" s="1701" t="s">
        <v>1378</v>
      </c>
      <c r="AM9" s="1701" t="s">
        <v>1522</v>
      </c>
      <c r="AN9" s="1701" t="s">
        <v>1523</v>
      </c>
      <c r="AO9" s="1701" t="s">
        <v>1524</v>
      </c>
      <c r="AP9" s="1701" t="s">
        <v>1525</v>
      </c>
      <c r="AQ9" s="1702" t="s">
        <v>1526</v>
      </c>
      <c r="AR9" s="1700" t="s">
        <v>1374</v>
      </c>
      <c r="AS9" s="1701" t="s">
        <v>1375</v>
      </c>
      <c r="AT9" s="1701" t="s">
        <v>1376</v>
      </c>
      <c r="AU9" s="1701" t="s">
        <v>1377</v>
      </c>
      <c r="AV9" s="1701" t="s">
        <v>1378</v>
      </c>
      <c r="AW9" s="1701" t="s">
        <v>1522</v>
      </c>
      <c r="AX9" s="1701" t="s">
        <v>1523</v>
      </c>
      <c r="AY9" s="1701" t="s">
        <v>1524</v>
      </c>
      <c r="AZ9" s="1701" t="s">
        <v>1525</v>
      </c>
      <c r="BA9" s="1702" t="s">
        <v>1526</v>
      </c>
      <c r="BB9" s="1254" t="s">
        <v>1677</v>
      </c>
      <c r="BC9" s="1254" t="s">
        <v>1678</v>
      </c>
      <c r="BD9" s="1254" t="s">
        <v>1385</v>
      </c>
      <c r="BE9" s="1254" t="s">
        <v>1386</v>
      </c>
      <c r="BF9" s="1254" t="s">
        <v>1387</v>
      </c>
      <c r="BG9" s="1254" t="s">
        <v>1679</v>
      </c>
      <c r="BH9" s="402" t="s">
        <v>1680</v>
      </c>
      <c r="BJ9" s="1703" t="s">
        <v>577</v>
      </c>
      <c r="BK9" s="1704" t="s">
        <v>1388</v>
      </c>
      <c r="BL9" s="1705" t="s">
        <v>1681</v>
      </c>
      <c r="BM9" s="1704" t="s">
        <v>1389</v>
      </c>
      <c r="BN9" s="1704" t="s">
        <v>1682</v>
      </c>
      <c r="BO9" s="1704" t="s">
        <v>1391</v>
      </c>
      <c r="BP9" s="1705" t="s">
        <v>1683</v>
      </c>
      <c r="BQ9" s="1704" t="s">
        <v>1393</v>
      </c>
      <c r="BR9" s="1706"/>
      <c r="BS9" s="1704" t="s">
        <v>1684</v>
      </c>
      <c r="BT9" s="1704"/>
      <c r="BU9" s="1704" t="s">
        <v>1685</v>
      </c>
      <c r="BV9" s="1704" t="s">
        <v>1686</v>
      </c>
      <c r="BW9" s="1706" t="s">
        <v>1687</v>
      </c>
      <c r="DB9" s="402" t="s">
        <v>1688</v>
      </c>
      <c r="DC9" s="402" t="s">
        <v>1689</v>
      </c>
      <c r="DD9" s="1707" t="s">
        <v>1250</v>
      </c>
      <c r="DE9" s="1708" t="s">
        <v>1396</v>
      </c>
      <c r="DF9" s="1708" t="s">
        <v>1397</v>
      </c>
      <c r="DG9" s="1708" t="s">
        <v>1690</v>
      </c>
      <c r="DH9" s="1708" t="s">
        <v>1141</v>
      </c>
      <c r="DI9" s="1708" t="s">
        <v>1691</v>
      </c>
      <c r="DJ9" s="1709" t="s">
        <v>1692</v>
      </c>
    </row>
    <row r="10" spans="1:114" s="1254" customFormat="1" ht="15.45">
      <c r="A10" s="482"/>
      <c r="B10" s="1177"/>
      <c r="C10" s="1710"/>
      <c r="D10" s="1711"/>
      <c r="E10" s="1712"/>
      <c r="F10" s="1108"/>
      <c r="G10" s="1109"/>
      <c r="H10" s="1110"/>
      <c r="I10" s="1108"/>
      <c r="J10" s="1109"/>
      <c r="K10" s="1110"/>
      <c r="L10" s="1108"/>
      <c r="M10" s="1108"/>
      <c r="N10" s="1713"/>
      <c r="O10" s="1108"/>
      <c r="P10" s="1108"/>
      <c r="Q10" s="1108"/>
      <c r="R10" s="1714"/>
      <c r="S10" s="1715"/>
      <c r="T10" s="77"/>
      <c r="U10" s="839"/>
      <c r="V10" s="1716">
        <f t="shared" ref="V10:V35" si="0">((E10*I10/16*I10/16*10.680159*J10)*IF(H10=0,0,(G10/H10))+(G10/12*L10/16*L10/16*10.680159*M10)*IF(K10=0,0,(E10*12/K10))+(E10*IF(P10=0,0,N10/P10)*Q10/16*Q10/16*10.680159*R10)+(IF(P10=0,0,E10/P10*N10)*Q10/16*Q10/16*10.680159*R10)+((T10*U10*S10*0.03*0.2836*G10)/12+4)*IF(H10=0,0,(G10/H10))*I10/16*I10/16*10.680159)*(1+J$56)</f>
        <v>0</v>
      </c>
      <c r="W10" s="1717">
        <f t="shared" ref="W10:W35" si="1">((E10*F10/12*G10/324)+ROUNDUP(S10*T10*U10*G10/46656,0)+(N10*O10*E10/3888))*(1+J$51)</f>
        <v>0</v>
      </c>
      <c r="AH10" s="1718">
        <f t="shared" ref="AH10:AH35" si="2">IF($R$8=1,$N10*$O10*$E10/3888*(1+$J$51),0)</f>
        <v>0</v>
      </c>
      <c r="AI10" s="1719">
        <f t="shared" ref="AI10:AI35" si="3">IF($R$8=2,$N10*$O10*$E10/3888*(1+$J$51),0)</f>
        <v>0</v>
      </c>
      <c r="AJ10" s="1719">
        <f t="shared" ref="AJ10:AJ35" si="4">IF($R$8=3,$N10*$O10*$E10/3888*(1+$J$51),0)</f>
        <v>0</v>
      </c>
      <c r="AK10" s="1719">
        <f t="shared" ref="AK10:AK35" si="5">IF($R$8=4,$N10*$O10*$E10/3888*(1+$J$51),0)</f>
        <v>0</v>
      </c>
      <c r="AL10" s="1719">
        <f t="shared" ref="AL10:AL35" si="6">IF($R$8=5,$N10*$O10*$E10/3888*(1+$J$51),0)</f>
        <v>0</v>
      </c>
      <c r="AM10" s="1719">
        <f t="shared" ref="AM10:AM35" si="7">IF($R$8=6,$N10*$O10*$E10/3888*(1+$J$51),0)</f>
        <v>0</v>
      </c>
      <c r="AN10" s="1719">
        <f t="shared" ref="AN10:AN35" si="8">IF($R$8=7,$N10*$O10*$E10/3888*(1+$J$51),0)</f>
        <v>0</v>
      </c>
      <c r="AO10" s="1719">
        <f t="shared" ref="AO10:AO35" si="9">IF($R$8=8,$N10*$O10*$E10/3888*(1+$J$51),0)</f>
        <v>0</v>
      </c>
      <c r="AP10" s="1719">
        <f t="shared" ref="AP10:AP35" si="10">IF($R$8=9,$N10*$O10*$E10/3888*(1+$J$51),0)</f>
        <v>0</v>
      </c>
      <c r="AQ10" s="1719">
        <f t="shared" ref="AQ10:AQ35" si="11">IF($R$8=10,$N10*$O10*$E10/3888*(1+$J$51),0)</f>
        <v>0</v>
      </c>
      <c r="AR10" s="1720">
        <f t="shared" ref="AR10:AR35" si="12">IF($D10=1,$W10-SUM($AH10:$AQ10),0)</f>
        <v>0</v>
      </c>
      <c r="AS10" s="1719">
        <f t="shared" ref="AS10:AS35" si="13">IF($D10=2,W10-SUM($AH10:$AQ10),0)</f>
        <v>0</v>
      </c>
      <c r="AT10" s="1719">
        <f t="shared" ref="AT10:AT35" si="14">IF($D10=3,W10-SUM($AH10:$AQ10),0)</f>
        <v>0</v>
      </c>
      <c r="AU10" s="1719">
        <f t="shared" ref="AU10:AU35" si="15">IF($D10=4,W10-SUM($AH10:$AQ10),0)</f>
        <v>0</v>
      </c>
      <c r="AV10" s="1719">
        <f t="shared" ref="AV10:AV35" si="16">IF($D10=5,W10-SUM($AH10:$AQ10),0)</f>
        <v>0</v>
      </c>
      <c r="AW10" s="1719">
        <f t="shared" ref="AW10:AW35" si="17">IF($D10=6,W10-SUM($AH10:$AQ10),0)</f>
        <v>0</v>
      </c>
      <c r="AX10" s="1719">
        <f t="shared" ref="AX10:AX35" si="18">IF($D10=7,W10-SUM($AH10:$AQ10),0)</f>
        <v>0</v>
      </c>
      <c r="AY10" s="1719">
        <f t="shared" ref="AY10:AY35" si="19">IF($D10=8,W10-SUM($AH10:$AQ10),0)</f>
        <v>0</v>
      </c>
      <c r="AZ10" s="1719">
        <f t="shared" ref="AZ10:AZ35" si="20">IF($D10=9,W10-SUM($AH10:$AQ10),0)</f>
        <v>0</v>
      </c>
      <c r="BA10" s="1721">
        <f t="shared" ref="BA10:BA35" si="21">IF($D10=10,W10-SUM($AH10:$AQ10),0)</f>
        <v>0</v>
      </c>
      <c r="BB10" s="1719">
        <f t="shared" ref="BB10:BB35" si="22">SUM(AH10:AM10)</f>
        <v>0</v>
      </c>
      <c r="BC10" s="1719">
        <f t="shared" ref="BC10:BC35" si="23">SUM(AR10:AW10)</f>
        <v>0</v>
      </c>
      <c r="BD10" s="1719">
        <f t="shared" ref="BD10:BD35" si="24">V10</f>
        <v>0</v>
      </c>
      <c r="BE10" s="1719">
        <f t="shared" ref="BE10:BE35" si="25">E10*G10/12*2+(U10*U10*G10/1728*S10)</f>
        <v>0</v>
      </c>
      <c r="BF10" s="1719">
        <f t="shared" ref="BF10:BF35" si="26">BE10/2</f>
        <v>0</v>
      </c>
      <c r="BG10" s="1719">
        <f t="shared" ref="BG10:BG35" si="27">N10*E10/12</f>
        <v>0</v>
      </c>
      <c r="BH10" s="1719">
        <f t="shared" ref="BH10:BH35" si="28">ROUND(IF(C10="Y",BF10*3/27,0),0)</f>
        <v>0</v>
      </c>
      <c r="BJ10" s="1722">
        <f t="shared" ref="BJ10:BJ35" si="29">V10*F$56*IF(T$39="N",(1+V$39),1)</f>
        <v>0</v>
      </c>
      <c r="BK10" s="1723">
        <f>(AR10*Pricing!F$3+AS10*Pricing!G$3+AT10*Pricing!H$3+AU10*Pricing!I$3+AV10*Pricing!J$3+AW10*Pricing!K$3+AH10*Pricing!F$3+AI10*Pricing!G$3+AJ10*Pricing!H$3+AK10*Pricing!I$3+AL10*Pricing!J$3+AM10*Pricing!K$3)*IF(T$39="N",(1+V$39),1)</f>
        <v>0</v>
      </c>
      <c r="BL10" s="1723">
        <f t="shared" ref="BL10:BL35" si="30">IF(C10="Y",(N$59+N$60)/DF$36*DF10,0)</f>
        <v>0</v>
      </c>
      <c r="BM10" s="1723">
        <f t="shared" ref="BM10:BM35" si="31">BF10*(G$67+D$70)</f>
        <v>0</v>
      </c>
      <c r="BN10" s="1723">
        <f t="shared" ref="BN10:BN35" si="32">BG10*D$66</f>
        <v>0</v>
      </c>
      <c r="BO10" s="1723">
        <f t="shared" ref="BO10:BO35" si="33">V10/2000*D$71</f>
        <v>0</v>
      </c>
      <c r="BP10" s="1723">
        <f t="shared" ref="BP10:BP35" si="34">IF(C10="Y",(N$74+N$73+N$72)/DF$36*DF10,0)</f>
        <v>0</v>
      </c>
      <c r="BQ10" s="1723">
        <f t="shared" ref="BQ10:BQ35" si="35">IF(SUM(BF$36:BG$36)=0,0,(SUM(N$78:O$81)+SUM(N$83:O$88)+SUM(N$90:O$96)+W$95)/SUM(BF$36:BG$36)*(BF10+BG10))</f>
        <v>0</v>
      </c>
      <c r="BR10" s="1724"/>
      <c r="BS10" s="1725">
        <f>IF(SUM(BF$36:BG$36)=0,0,(BQ$36-W$58-N$64-W77-(L$79*0.15))/SUM(BF$36:BG$36)*BG10+BN10)</f>
        <v>0</v>
      </c>
      <c r="BT10" s="1723">
        <f>(AH10*Pricing!F$3+AI10*Pricing!G$3+AJ10*Pricing!H$3+AK10*Pricing!I$3+AL10*Pricing!J$3+AM10*Pricing!K$3)*IF(T$39="N",(1+V$39),1)</f>
        <v>0</v>
      </c>
      <c r="BU10" s="1723">
        <f t="shared" ref="BU10:BU35" si="36">IF(BG10=0,0,(BS10+BT10)/BG10)</f>
        <v>0</v>
      </c>
      <c r="BV10" s="1723">
        <f t="shared" ref="BV10:BV35" si="37">SUM(BJ10:BQ10)-BS10-BT10</f>
        <v>0</v>
      </c>
      <c r="BW10" s="1724">
        <f t="shared" ref="BW10:BW35" si="38">IF(BE10=0,0,BV10/BF10)</f>
        <v>0</v>
      </c>
      <c r="DB10" s="1726">
        <f t="shared" ref="DB10:DB35" si="39">IF(W10=0,0,D$40/SUM(W$10:W$35)*W10)</f>
        <v>0</v>
      </c>
      <c r="DC10" s="1723" t="e">
        <f t="shared" ref="DC10:DC35" si="40">E10*N10/12*(D$40-7980)/H$66</f>
        <v>#DIV/0!</v>
      </c>
      <c r="DD10" s="172">
        <f t="shared" ref="DD10:DD35" si="41">ROUND(N10*O10/3088*E10,0)</f>
        <v>0</v>
      </c>
      <c r="DE10" s="847">
        <f t="shared" ref="DE10:DE35" si="42">ROUND(V10,0)</f>
        <v>0</v>
      </c>
      <c r="DF10" s="334">
        <f t="shared" ref="DF10:DF35" si="43">ROUND(IF(C10="Y",(G10*0.25*E10+G10*G10/144*0.5*E10)/27*1.3,0),0)</f>
        <v>0</v>
      </c>
      <c r="DG10" s="847">
        <f t="shared" ref="DG10:DG35" si="44">ROUND(E10*G10/12,0)</f>
        <v>0</v>
      </c>
      <c r="DH10" s="847">
        <f t="shared" ref="DH10:DH35" si="45">IF(C10="y",ROUNDUP(E10*G10/12,0),0)</f>
        <v>0</v>
      </c>
      <c r="DI10" s="847">
        <f t="shared" ref="DI10:DI35" si="46">IF(C10="Y",IF(E10&gt;0,E10,0),0)</f>
        <v>0</v>
      </c>
      <c r="DJ10" s="1727">
        <f t="shared" ref="DJ10:DJ35" si="47">ROUND(E10*N10/12,0)</f>
        <v>0</v>
      </c>
    </row>
    <row r="11" spans="1:114" s="1254" customFormat="1" ht="15.45">
      <c r="A11" s="482"/>
      <c r="B11" s="1177"/>
      <c r="C11" s="1710"/>
      <c r="D11" s="1711"/>
      <c r="E11" s="1712"/>
      <c r="F11" s="1108"/>
      <c r="G11" s="1109"/>
      <c r="H11" s="1110"/>
      <c r="I11" s="1108"/>
      <c r="J11" s="1109"/>
      <c r="K11" s="1110"/>
      <c r="L11" s="1108"/>
      <c r="M11" s="1108"/>
      <c r="N11" s="1713"/>
      <c r="O11" s="1108"/>
      <c r="P11" s="1108"/>
      <c r="Q11" s="1111"/>
      <c r="R11" s="1714"/>
      <c r="S11" s="1715"/>
      <c r="T11" s="77"/>
      <c r="U11" s="839"/>
      <c r="V11" s="1716">
        <f t="shared" si="0"/>
        <v>0</v>
      </c>
      <c r="W11" s="1717">
        <f t="shared" si="1"/>
        <v>0</v>
      </c>
      <c r="AH11" s="1720">
        <f t="shared" si="2"/>
        <v>0</v>
      </c>
      <c r="AI11" s="1719">
        <f t="shared" si="3"/>
        <v>0</v>
      </c>
      <c r="AJ11" s="1719">
        <f t="shared" si="4"/>
        <v>0</v>
      </c>
      <c r="AK11" s="1719">
        <f t="shared" si="5"/>
        <v>0</v>
      </c>
      <c r="AL11" s="1719">
        <f t="shared" si="6"/>
        <v>0</v>
      </c>
      <c r="AM11" s="1719">
        <f t="shared" si="7"/>
        <v>0</v>
      </c>
      <c r="AN11" s="1719">
        <f t="shared" si="8"/>
        <v>0</v>
      </c>
      <c r="AO11" s="1719">
        <f t="shared" si="9"/>
        <v>0</v>
      </c>
      <c r="AP11" s="1719">
        <f t="shared" si="10"/>
        <v>0</v>
      </c>
      <c r="AQ11" s="1719">
        <f t="shared" si="11"/>
        <v>0</v>
      </c>
      <c r="AR11" s="1720">
        <f t="shared" si="12"/>
        <v>0</v>
      </c>
      <c r="AS11" s="1719">
        <f t="shared" si="13"/>
        <v>0</v>
      </c>
      <c r="AT11" s="1719">
        <f t="shared" si="14"/>
        <v>0</v>
      </c>
      <c r="AU11" s="1719">
        <f t="shared" si="15"/>
        <v>0</v>
      </c>
      <c r="AV11" s="1719">
        <f t="shared" si="16"/>
        <v>0</v>
      </c>
      <c r="AW11" s="1719">
        <f t="shared" si="17"/>
        <v>0</v>
      </c>
      <c r="AX11" s="1719">
        <f t="shared" si="18"/>
        <v>0</v>
      </c>
      <c r="AY11" s="1719">
        <f t="shared" si="19"/>
        <v>0</v>
      </c>
      <c r="AZ11" s="1719">
        <f t="shared" si="20"/>
        <v>0</v>
      </c>
      <c r="BA11" s="1721">
        <f t="shared" si="21"/>
        <v>0</v>
      </c>
      <c r="BB11" s="1719">
        <f t="shared" si="22"/>
        <v>0</v>
      </c>
      <c r="BC11" s="1719">
        <f t="shared" si="23"/>
        <v>0</v>
      </c>
      <c r="BD11" s="1719">
        <f t="shared" si="24"/>
        <v>0</v>
      </c>
      <c r="BE11" s="1719">
        <f t="shared" si="25"/>
        <v>0</v>
      </c>
      <c r="BF11" s="1719">
        <f t="shared" si="26"/>
        <v>0</v>
      </c>
      <c r="BG11" s="1719">
        <f t="shared" si="27"/>
        <v>0</v>
      </c>
      <c r="BH11" s="1719">
        <f t="shared" si="28"/>
        <v>0</v>
      </c>
      <c r="BJ11" s="1722">
        <f t="shared" si="29"/>
        <v>0</v>
      </c>
      <c r="BK11" s="1723">
        <f>(AR11*Pricing!F$3+AS11*Pricing!G$3+AT11*Pricing!H$3+AU11*Pricing!I$3+AV11*Pricing!J$3+AW11*Pricing!K$3+AH11*Pricing!F$3+AI11*Pricing!G$3+AJ11*Pricing!H$3+AK11*Pricing!I$3+AL11*Pricing!J$3+AM11*Pricing!K$3)*IF(T$39="N",(1+V$39),1)</f>
        <v>0</v>
      </c>
      <c r="BL11" s="1723">
        <f t="shared" si="30"/>
        <v>0</v>
      </c>
      <c r="BM11" s="1723">
        <f t="shared" si="31"/>
        <v>0</v>
      </c>
      <c r="BN11" s="1723">
        <f t="shared" si="32"/>
        <v>0</v>
      </c>
      <c r="BO11" s="1723">
        <f t="shared" si="33"/>
        <v>0</v>
      </c>
      <c r="BP11" s="1723">
        <f t="shared" si="34"/>
        <v>0</v>
      </c>
      <c r="BQ11" s="1723">
        <f t="shared" si="35"/>
        <v>0</v>
      </c>
      <c r="BR11" s="1724"/>
      <c r="BS11" s="1725">
        <f>IF(SUM(BF$36:BG$36)=0,0,(BQ$36-W$58-N$64-W59-(L$79*0.15))/SUM(BF$36:BG$36)*BG11+BN11)</f>
        <v>0</v>
      </c>
      <c r="BT11" s="1723">
        <f>(AH11*Pricing!F$3+AI11*Pricing!G$3+AJ11*Pricing!H$3+AK11*Pricing!I$3+AL11*Pricing!J$3+AM11*Pricing!K$3)*IF(T$39="N",(1+V$39),1)</f>
        <v>0</v>
      </c>
      <c r="BU11" s="1723">
        <f t="shared" si="36"/>
        <v>0</v>
      </c>
      <c r="BV11" s="1723">
        <f t="shared" si="37"/>
        <v>0</v>
      </c>
      <c r="BW11" s="1724">
        <f t="shared" si="38"/>
        <v>0</v>
      </c>
      <c r="DB11" s="1726">
        <f t="shared" si="39"/>
        <v>0</v>
      </c>
      <c r="DC11" s="1723" t="e">
        <f t="shared" si="40"/>
        <v>#DIV/0!</v>
      </c>
      <c r="DD11" s="172">
        <f t="shared" si="41"/>
        <v>0</v>
      </c>
      <c r="DE11" s="847">
        <f t="shared" si="42"/>
        <v>0</v>
      </c>
      <c r="DF11" s="334">
        <f t="shared" si="43"/>
        <v>0</v>
      </c>
      <c r="DG11" s="847">
        <f t="shared" si="44"/>
        <v>0</v>
      </c>
      <c r="DH11" s="847">
        <f t="shared" si="45"/>
        <v>0</v>
      </c>
      <c r="DI11" s="847">
        <f t="shared" si="46"/>
        <v>0</v>
      </c>
      <c r="DJ11" s="1727">
        <f t="shared" si="47"/>
        <v>0</v>
      </c>
    </row>
    <row r="12" spans="1:114" s="1254" customFormat="1" ht="15.45">
      <c r="A12" s="482"/>
      <c r="B12" s="1177"/>
      <c r="C12" s="1710"/>
      <c r="D12" s="1711"/>
      <c r="E12" s="1712"/>
      <c r="F12" s="1108"/>
      <c r="G12" s="1109"/>
      <c r="H12" s="1110"/>
      <c r="I12" s="1108"/>
      <c r="J12" s="1109"/>
      <c r="K12" s="1110"/>
      <c r="L12" s="1108"/>
      <c r="M12" s="1108"/>
      <c r="N12" s="1713"/>
      <c r="O12" s="1108"/>
      <c r="P12" s="1108"/>
      <c r="Q12" s="1111"/>
      <c r="R12" s="1714"/>
      <c r="S12" s="1715"/>
      <c r="T12" s="77"/>
      <c r="U12" s="839"/>
      <c r="V12" s="1716">
        <f t="shared" si="0"/>
        <v>0</v>
      </c>
      <c r="W12" s="1717">
        <f t="shared" si="1"/>
        <v>0</v>
      </c>
      <c r="AH12" s="1720">
        <f t="shared" si="2"/>
        <v>0</v>
      </c>
      <c r="AI12" s="1719">
        <f t="shared" si="3"/>
        <v>0</v>
      </c>
      <c r="AJ12" s="1719">
        <f t="shared" si="4"/>
        <v>0</v>
      </c>
      <c r="AK12" s="1719">
        <f t="shared" si="5"/>
        <v>0</v>
      </c>
      <c r="AL12" s="1719">
        <f t="shared" si="6"/>
        <v>0</v>
      </c>
      <c r="AM12" s="1719">
        <f t="shared" si="7"/>
        <v>0</v>
      </c>
      <c r="AN12" s="1719">
        <f t="shared" si="8"/>
        <v>0</v>
      </c>
      <c r="AO12" s="1719">
        <f t="shared" si="9"/>
        <v>0</v>
      </c>
      <c r="AP12" s="1719">
        <f t="shared" si="10"/>
        <v>0</v>
      </c>
      <c r="AQ12" s="1719">
        <f t="shared" si="11"/>
        <v>0</v>
      </c>
      <c r="AR12" s="1720">
        <f t="shared" si="12"/>
        <v>0</v>
      </c>
      <c r="AS12" s="1719">
        <f t="shared" si="13"/>
        <v>0</v>
      </c>
      <c r="AT12" s="1719">
        <f t="shared" si="14"/>
        <v>0</v>
      </c>
      <c r="AU12" s="1719">
        <f t="shared" si="15"/>
        <v>0</v>
      </c>
      <c r="AV12" s="1719">
        <f t="shared" si="16"/>
        <v>0</v>
      </c>
      <c r="AW12" s="1719">
        <f t="shared" si="17"/>
        <v>0</v>
      </c>
      <c r="AX12" s="1719">
        <f t="shared" si="18"/>
        <v>0</v>
      </c>
      <c r="AY12" s="1719">
        <f t="shared" si="19"/>
        <v>0</v>
      </c>
      <c r="AZ12" s="1719">
        <f t="shared" si="20"/>
        <v>0</v>
      </c>
      <c r="BA12" s="1721">
        <f t="shared" si="21"/>
        <v>0</v>
      </c>
      <c r="BB12" s="1719">
        <f t="shared" si="22"/>
        <v>0</v>
      </c>
      <c r="BC12" s="1719">
        <f t="shared" si="23"/>
        <v>0</v>
      </c>
      <c r="BD12" s="1719">
        <f t="shared" si="24"/>
        <v>0</v>
      </c>
      <c r="BE12" s="1719">
        <f t="shared" si="25"/>
        <v>0</v>
      </c>
      <c r="BF12" s="1719">
        <f t="shared" si="26"/>
        <v>0</v>
      </c>
      <c r="BG12" s="1719">
        <f t="shared" si="27"/>
        <v>0</v>
      </c>
      <c r="BH12" s="1719">
        <f t="shared" si="28"/>
        <v>0</v>
      </c>
      <c r="BJ12" s="1722">
        <f t="shared" si="29"/>
        <v>0</v>
      </c>
      <c r="BK12" s="1723">
        <f>(AR12*Pricing!F$3+AS12*Pricing!G$3+AT12*Pricing!H$3+AU12*Pricing!I$3+AV12*Pricing!J$3+AW12*Pricing!K$3+AH12*Pricing!F$3+AI12*Pricing!G$3+AJ12*Pricing!H$3+AK12*Pricing!I$3+AL12*Pricing!J$3+AM12*Pricing!K$3)*IF(T$39="N",(1+V$39),1)</f>
        <v>0</v>
      </c>
      <c r="BL12" s="1723">
        <f t="shared" si="30"/>
        <v>0</v>
      </c>
      <c r="BM12" s="1723">
        <f t="shared" si="31"/>
        <v>0</v>
      </c>
      <c r="BN12" s="1723">
        <f t="shared" si="32"/>
        <v>0</v>
      </c>
      <c r="BO12" s="1723">
        <f t="shared" si="33"/>
        <v>0</v>
      </c>
      <c r="BP12" s="1723">
        <f t="shared" si="34"/>
        <v>0</v>
      </c>
      <c r="BQ12" s="1723">
        <f t="shared" si="35"/>
        <v>0</v>
      </c>
      <c r="BR12" s="1724"/>
      <c r="BS12" s="1725">
        <f>IF(SUM(BF$36:BG$36)=0,0,(BQ$36-W$58-N$64-W56-(L$79*0.15))/SUM(BF$36:BG$36)*BG12+BN12)</f>
        <v>0</v>
      </c>
      <c r="BT12" s="1723">
        <f>(AH12*Pricing!F$3+AI12*Pricing!G$3+AJ12*Pricing!H$3+AK12*Pricing!I$3+AL12*Pricing!J$3+AM12*Pricing!K$3)*IF(T$39="N",(1+V$39),1)</f>
        <v>0</v>
      </c>
      <c r="BU12" s="1723">
        <f t="shared" si="36"/>
        <v>0</v>
      </c>
      <c r="BV12" s="1723">
        <f t="shared" si="37"/>
        <v>0</v>
      </c>
      <c r="BW12" s="1724">
        <f t="shared" si="38"/>
        <v>0</v>
      </c>
      <c r="DB12" s="1726">
        <f t="shared" si="39"/>
        <v>0</v>
      </c>
      <c r="DC12" s="1723" t="e">
        <f t="shared" si="40"/>
        <v>#DIV/0!</v>
      </c>
      <c r="DD12" s="172">
        <f t="shared" si="41"/>
        <v>0</v>
      </c>
      <c r="DE12" s="847">
        <f t="shared" si="42"/>
        <v>0</v>
      </c>
      <c r="DF12" s="334">
        <f t="shared" si="43"/>
        <v>0</v>
      </c>
      <c r="DG12" s="847">
        <f t="shared" si="44"/>
        <v>0</v>
      </c>
      <c r="DH12" s="847">
        <f t="shared" si="45"/>
        <v>0</v>
      </c>
      <c r="DI12" s="847">
        <f t="shared" si="46"/>
        <v>0</v>
      </c>
      <c r="DJ12" s="1727">
        <f t="shared" si="47"/>
        <v>0</v>
      </c>
    </row>
    <row r="13" spans="1:114" s="1254" customFormat="1" ht="15.45">
      <c r="A13" s="482"/>
      <c r="B13" s="1177"/>
      <c r="C13" s="1710"/>
      <c r="D13" s="1711"/>
      <c r="E13" s="1712"/>
      <c r="F13" s="1108"/>
      <c r="G13" s="1109"/>
      <c r="H13" s="1110"/>
      <c r="I13" s="1108"/>
      <c r="J13" s="1109"/>
      <c r="K13" s="1110"/>
      <c r="L13" s="1108"/>
      <c r="M13" s="1108"/>
      <c r="N13" s="1713"/>
      <c r="O13" s="1108"/>
      <c r="P13" s="1108"/>
      <c r="Q13" s="1111"/>
      <c r="R13" s="1714"/>
      <c r="S13" s="1715"/>
      <c r="T13" s="77"/>
      <c r="U13" s="839"/>
      <c r="V13" s="1716">
        <f t="shared" si="0"/>
        <v>0</v>
      </c>
      <c r="W13" s="1717">
        <f t="shared" si="1"/>
        <v>0</v>
      </c>
      <c r="AH13" s="1720">
        <f t="shared" si="2"/>
        <v>0</v>
      </c>
      <c r="AI13" s="1719">
        <f t="shared" si="3"/>
        <v>0</v>
      </c>
      <c r="AJ13" s="1719">
        <f t="shared" si="4"/>
        <v>0</v>
      </c>
      <c r="AK13" s="1719">
        <f t="shared" si="5"/>
        <v>0</v>
      </c>
      <c r="AL13" s="1719">
        <f t="shared" si="6"/>
        <v>0</v>
      </c>
      <c r="AM13" s="1719">
        <f t="shared" si="7"/>
        <v>0</v>
      </c>
      <c r="AN13" s="1719">
        <f t="shared" si="8"/>
        <v>0</v>
      </c>
      <c r="AO13" s="1719">
        <f t="shared" si="9"/>
        <v>0</v>
      </c>
      <c r="AP13" s="1719">
        <f t="shared" si="10"/>
        <v>0</v>
      </c>
      <c r="AQ13" s="1719">
        <f t="shared" si="11"/>
        <v>0</v>
      </c>
      <c r="AR13" s="1720">
        <f t="shared" si="12"/>
        <v>0</v>
      </c>
      <c r="AS13" s="1719">
        <f t="shared" si="13"/>
        <v>0</v>
      </c>
      <c r="AT13" s="1719">
        <f t="shared" si="14"/>
        <v>0</v>
      </c>
      <c r="AU13" s="1719">
        <f t="shared" si="15"/>
        <v>0</v>
      </c>
      <c r="AV13" s="1719">
        <f t="shared" si="16"/>
        <v>0</v>
      </c>
      <c r="AW13" s="1719">
        <f t="shared" si="17"/>
        <v>0</v>
      </c>
      <c r="AX13" s="1719">
        <f t="shared" si="18"/>
        <v>0</v>
      </c>
      <c r="AY13" s="1719">
        <f t="shared" si="19"/>
        <v>0</v>
      </c>
      <c r="AZ13" s="1719">
        <f t="shared" si="20"/>
        <v>0</v>
      </c>
      <c r="BA13" s="1721">
        <f t="shared" si="21"/>
        <v>0</v>
      </c>
      <c r="BB13" s="1719">
        <f t="shared" si="22"/>
        <v>0</v>
      </c>
      <c r="BC13" s="1719">
        <f t="shared" si="23"/>
        <v>0</v>
      </c>
      <c r="BD13" s="1719">
        <f t="shared" si="24"/>
        <v>0</v>
      </c>
      <c r="BE13" s="1719">
        <f t="shared" si="25"/>
        <v>0</v>
      </c>
      <c r="BF13" s="1719">
        <f t="shared" si="26"/>
        <v>0</v>
      </c>
      <c r="BG13" s="1719">
        <f t="shared" si="27"/>
        <v>0</v>
      </c>
      <c r="BH13" s="1719">
        <f t="shared" si="28"/>
        <v>0</v>
      </c>
      <c r="BJ13" s="1722">
        <f t="shared" si="29"/>
        <v>0</v>
      </c>
      <c r="BK13" s="1723">
        <f>(AR13*Pricing!F$3+AS13*Pricing!G$3+AT13*Pricing!H$3+AU13*Pricing!I$3+AV13*Pricing!J$3+AW13*Pricing!K$3+AH13*Pricing!F$3+AI13*Pricing!G$3+AJ13*Pricing!H$3+AK13*Pricing!I$3+AL13*Pricing!J$3+AM13*Pricing!K$3)*IF(T$39="N",(1+V$39),1)</f>
        <v>0</v>
      </c>
      <c r="BL13" s="1723">
        <f t="shared" si="30"/>
        <v>0</v>
      </c>
      <c r="BM13" s="1723">
        <f t="shared" si="31"/>
        <v>0</v>
      </c>
      <c r="BN13" s="1723">
        <f t="shared" si="32"/>
        <v>0</v>
      </c>
      <c r="BO13" s="1723">
        <f t="shared" si="33"/>
        <v>0</v>
      </c>
      <c r="BP13" s="1723">
        <f t="shared" si="34"/>
        <v>0</v>
      </c>
      <c r="BQ13" s="1723">
        <f t="shared" si="35"/>
        <v>0</v>
      </c>
      <c r="BR13" s="1724"/>
      <c r="BS13" s="1725">
        <f>IF(SUM(BF$36:BG$36)=0,0,(BQ$36-W$58-N$64-W58-(L$79*0.15))/SUM(BF$36:BG$36)*BG13+BN13)</f>
        <v>0</v>
      </c>
      <c r="BT13" s="1723">
        <f>(AH13*Pricing!F$3+AI13*Pricing!G$3+AJ13*Pricing!H$3+AK13*Pricing!I$3+AL13*Pricing!J$3+AM13*Pricing!K$3)*IF(T$39="N",(1+V$39),1)</f>
        <v>0</v>
      </c>
      <c r="BU13" s="1723">
        <f t="shared" si="36"/>
        <v>0</v>
      </c>
      <c r="BV13" s="1723">
        <f t="shared" si="37"/>
        <v>0</v>
      </c>
      <c r="BW13" s="1724">
        <f t="shared" si="38"/>
        <v>0</v>
      </c>
      <c r="DB13" s="1726">
        <f t="shared" si="39"/>
        <v>0</v>
      </c>
      <c r="DC13" s="1723" t="e">
        <f t="shared" si="40"/>
        <v>#DIV/0!</v>
      </c>
      <c r="DD13" s="172">
        <f t="shared" si="41"/>
        <v>0</v>
      </c>
      <c r="DE13" s="847">
        <f t="shared" si="42"/>
        <v>0</v>
      </c>
      <c r="DF13" s="334">
        <f t="shared" si="43"/>
        <v>0</v>
      </c>
      <c r="DG13" s="847">
        <f t="shared" si="44"/>
        <v>0</v>
      </c>
      <c r="DH13" s="847">
        <f t="shared" si="45"/>
        <v>0</v>
      </c>
      <c r="DI13" s="847">
        <f t="shared" si="46"/>
        <v>0</v>
      </c>
      <c r="DJ13" s="1727">
        <f t="shared" si="47"/>
        <v>0</v>
      </c>
    </row>
    <row r="14" spans="1:114" s="1254" customFormat="1" ht="15.45">
      <c r="A14" s="482"/>
      <c r="B14" s="1177"/>
      <c r="C14" s="1710"/>
      <c r="D14" s="1711"/>
      <c r="E14" s="1712"/>
      <c r="F14" s="1108"/>
      <c r="G14" s="1109"/>
      <c r="H14" s="1110"/>
      <c r="I14" s="1108"/>
      <c r="J14" s="1109"/>
      <c r="K14" s="1110"/>
      <c r="L14" s="1108"/>
      <c r="M14" s="1108"/>
      <c r="N14" s="1713"/>
      <c r="O14" s="1108"/>
      <c r="P14" s="1108"/>
      <c r="Q14" s="1111"/>
      <c r="R14" s="1714"/>
      <c r="S14" s="1715"/>
      <c r="T14" s="77"/>
      <c r="U14" s="839"/>
      <c r="V14" s="1716">
        <f t="shared" si="0"/>
        <v>0</v>
      </c>
      <c r="W14" s="1717">
        <f t="shared" si="1"/>
        <v>0</v>
      </c>
      <c r="AH14" s="1720">
        <f t="shared" si="2"/>
        <v>0</v>
      </c>
      <c r="AI14" s="1719">
        <f t="shared" si="3"/>
        <v>0</v>
      </c>
      <c r="AJ14" s="1719">
        <f t="shared" si="4"/>
        <v>0</v>
      </c>
      <c r="AK14" s="1719">
        <f t="shared" si="5"/>
        <v>0</v>
      </c>
      <c r="AL14" s="1719">
        <f t="shared" si="6"/>
        <v>0</v>
      </c>
      <c r="AM14" s="1719">
        <f t="shared" si="7"/>
        <v>0</v>
      </c>
      <c r="AN14" s="1719">
        <f t="shared" si="8"/>
        <v>0</v>
      </c>
      <c r="AO14" s="1719">
        <f t="shared" si="9"/>
        <v>0</v>
      </c>
      <c r="AP14" s="1719">
        <f t="shared" si="10"/>
        <v>0</v>
      </c>
      <c r="AQ14" s="1719">
        <f t="shared" si="11"/>
        <v>0</v>
      </c>
      <c r="AR14" s="1720">
        <f t="shared" si="12"/>
        <v>0</v>
      </c>
      <c r="AS14" s="1719">
        <f t="shared" si="13"/>
        <v>0</v>
      </c>
      <c r="AT14" s="1719">
        <f t="shared" si="14"/>
        <v>0</v>
      </c>
      <c r="AU14" s="1719">
        <f t="shared" si="15"/>
        <v>0</v>
      </c>
      <c r="AV14" s="1719">
        <f t="shared" si="16"/>
        <v>0</v>
      </c>
      <c r="AW14" s="1719">
        <f t="shared" si="17"/>
        <v>0</v>
      </c>
      <c r="AX14" s="1719">
        <f t="shared" si="18"/>
        <v>0</v>
      </c>
      <c r="AY14" s="1719">
        <f t="shared" si="19"/>
        <v>0</v>
      </c>
      <c r="AZ14" s="1719">
        <f t="shared" si="20"/>
        <v>0</v>
      </c>
      <c r="BA14" s="1721">
        <f t="shared" si="21"/>
        <v>0</v>
      </c>
      <c r="BB14" s="1719">
        <f t="shared" si="22"/>
        <v>0</v>
      </c>
      <c r="BC14" s="1719">
        <f t="shared" si="23"/>
        <v>0</v>
      </c>
      <c r="BD14" s="1719">
        <f t="shared" si="24"/>
        <v>0</v>
      </c>
      <c r="BE14" s="1719">
        <f t="shared" si="25"/>
        <v>0</v>
      </c>
      <c r="BF14" s="1719">
        <f t="shared" si="26"/>
        <v>0</v>
      </c>
      <c r="BG14" s="1719">
        <f t="shared" si="27"/>
        <v>0</v>
      </c>
      <c r="BH14" s="1719">
        <f t="shared" si="28"/>
        <v>0</v>
      </c>
      <c r="BJ14" s="1722">
        <f t="shared" si="29"/>
        <v>0</v>
      </c>
      <c r="BK14" s="1723">
        <f>(AR14*Pricing!F$3+AS14*Pricing!G$3+AT14*Pricing!H$3+AU14*Pricing!I$3+AV14*Pricing!J$3+AW14*Pricing!K$3+AH14*Pricing!F$3+AI14*Pricing!G$3+AJ14*Pricing!H$3+AK14*Pricing!I$3+AL14*Pricing!J$3+AM14*Pricing!K$3)*IF(T$39="N",(1+V$39),1)</f>
        <v>0</v>
      </c>
      <c r="BL14" s="1723">
        <f t="shared" si="30"/>
        <v>0</v>
      </c>
      <c r="BM14" s="1723">
        <f t="shared" si="31"/>
        <v>0</v>
      </c>
      <c r="BN14" s="1723">
        <f t="shared" si="32"/>
        <v>0</v>
      </c>
      <c r="BO14" s="1723">
        <f t="shared" si="33"/>
        <v>0</v>
      </c>
      <c r="BP14" s="1723">
        <f t="shared" si="34"/>
        <v>0</v>
      </c>
      <c r="BQ14" s="1723">
        <f t="shared" si="35"/>
        <v>0</v>
      </c>
      <c r="BR14" s="1724"/>
      <c r="BS14" s="1725">
        <f>IF(SUM(BF$36:BG$36)=0,0,(BQ$36-W$58-N$64-W78-(L$79*0.15))/SUM(BF$36:BG$36)*BG14+BN14)</f>
        <v>0</v>
      </c>
      <c r="BT14" s="1723">
        <f>(AH14*Pricing!F$3+AI14*Pricing!G$3+AJ14*Pricing!H$3+AK14*Pricing!I$3+AL14*Pricing!J$3+AM14*Pricing!K$3)*IF(T$39="N",(1+V$39),1)</f>
        <v>0</v>
      </c>
      <c r="BU14" s="1723">
        <f t="shared" si="36"/>
        <v>0</v>
      </c>
      <c r="BV14" s="1723">
        <f t="shared" si="37"/>
        <v>0</v>
      </c>
      <c r="BW14" s="1724">
        <f t="shared" si="38"/>
        <v>0</v>
      </c>
      <c r="DB14" s="1726">
        <f t="shared" si="39"/>
        <v>0</v>
      </c>
      <c r="DC14" s="1723" t="e">
        <f t="shared" si="40"/>
        <v>#DIV/0!</v>
      </c>
      <c r="DD14" s="172">
        <f t="shared" si="41"/>
        <v>0</v>
      </c>
      <c r="DE14" s="847">
        <f t="shared" si="42"/>
        <v>0</v>
      </c>
      <c r="DF14" s="334">
        <f t="shared" si="43"/>
        <v>0</v>
      </c>
      <c r="DG14" s="847">
        <f t="shared" si="44"/>
        <v>0</v>
      </c>
      <c r="DH14" s="847">
        <f t="shared" si="45"/>
        <v>0</v>
      </c>
      <c r="DI14" s="847">
        <f t="shared" si="46"/>
        <v>0</v>
      </c>
      <c r="DJ14" s="1727">
        <f t="shared" si="47"/>
        <v>0</v>
      </c>
    </row>
    <row r="15" spans="1:114" s="1254" customFormat="1" ht="15.45">
      <c r="A15" s="482"/>
      <c r="B15" s="1177"/>
      <c r="C15" s="1710"/>
      <c r="D15" s="1711"/>
      <c r="E15" s="1712"/>
      <c r="F15" s="1108"/>
      <c r="G15" s="1109"/>
      <c r="H15" s="1110"/>
      <c r="I15" s="1108"/>
      <c r="J15" s="1109"/>
      <c r="K15" s="1110"/>
      <c r="L15" s="1108"/>
      <c r="M15" s="1108"/>
      <c r="N15" s="1713"/>
      <c r="O15" s="1108"/>
      <c r="P15" s="1108"/>
      <c r="Q15" s="1111"/>
      <c r="R15" s="1714"/>
      <c r="S15" s="1715"/>
      <c r="T15" s="77"/>
      <c r="U15" s="839"/>
      <c r="V15" s="1716">
        <f t="shared" si="0"/>
        <v>0</v>
      </c>
      <c r="W15" s="1717">
        <f t="shared" si="1"/>
        <v>0</v>
      </c>
      <c r="AH15" s="1720">
        <f t="shared" si="2"/>
        <v>0</v>
      </c>
      <c r="AI15" s="1719">
        <f t="shared" si="3"/>
        <v>0</v>
      </c>
      <c r="AJ15" s="1719">
        <f t="shared" si="4"/>
        <v>0</v>
      </c>
      <c r="AK15" s="1719">
        <f t="shared" si="5"/>
        <v>0</v>
      </c>
      <c r="AL15" s="1719">
        <f t="shared" si="6"/>
        <v>0</v>
      </c>
      <c r="AM15" s="1719">
        <f t="shared" si="7"/>
        <v>0</v>
      </c>
      <c r="AN15" s="1719">
        <f t="shared" si="8"/>
        <v>0</v>
      </c>
      <c r="AO15" s="1719">
        <f t="shared" si="9"/>
        <v>0</v>
      </c>
      <c r="AP15" s="1719">
        <f t="shared" si="10"/>
        <v>0</v>
      </c>
      <c r="AQ15" s="1719">
        <f t="shared" si="11"/>
        <v>0</v>
      </c>
      <c r="AR15" s="1720">
        <f t="shared" si="12"/>
        <v>0</v>
      </c>
      <c r="AS15" s="1719">
        <f t="shared" si="13"/>
        <v>0</v>
      </c>
      <c r="AT15" s="1719">
        <f t="shared" si="14"/>
        <v>0</v>
      </c>
      <c r="AU15" s="1719">
        <f t="shared" si="15"/>
        <v>0</v>
      </c>
      <c r="AV15" s="1719">
        <f t="shared" si="16"/>
        <v>0</v>
      </c>
      <c r="AW15" s="1719">
        <f t="shared" si="17"/>
        <v>0</v>
      </c>
      <c r="AX15" s="1719">
        <f t="shared" si="18"/>
        <v>0</v>
      </c>
      <c r="AY15" s="1719">
        <f t="shared" si="19"/>
        <v>0</v>
      </c>
      <c r="AZ15" s="1719">
        <f t="shared" si="20"/>
        <v>0</v>
      </c>
      <c r="BA15" s="1721">
        <f t="shared" si="21"/>
        <v>0</v>
      </c>
      <c r="BB15" s="1719">
        <f t="shared" si="22"/>
        <v>0</v>
      </c>
      <c r="BC15" s="1719">
        <f t="shared" si="23"/>
        <v>0</v>
      </c>
      <c r="BD15" s="1719">
        <f t="shared" si="24"/>
        <v>0</v>
      </c>
      <c r="BE15" s="1719">
        <f t="shared" si="25"/>
        <v>0</v>
      </c>
      <c r="BF15" s="1719">
        <f t="shared" si="26"/>
        <v>0</v>
      </c>
      <c r="BG15" s="1719">
        <f t="shared" si="27"/>
        <v>0</v>
      </c>
      <c r="BH15" s="1719">
        <f t="shared" si="28"/>
        <v>0</v>
      </c>
      <c r="BJ15" s="1722">
        <f t="shared" si="29"/>
        <v>0</v>
      </c>
      <c r="BK15" s="1723">
        <f>(AR15*Pricing!F$3+AS15*Pricing!G$3+AT15*Pricing!H$3+AU15*Pricing!I$3+AV15*Pricing!J$3+AW15*Pricing!K$3+AH15*Pricing!F$3+AI15*Pricing!G$3+AJ15*Pricing!H$3+AK15*Pricing!I$3+AL15*Pricing!J$3+AM15*Pricing!K$3)*IF(T$39="N",(1+V$39),1)</f>
        <v>0</v>
      </c>
      <c r="BL15" s="1723">
        <f t="shared" si="30"/>
        <v>0</v>
      </c>
      <c r="BM15" s="1723">
        <f t="shared" si="31"/>
        <v>0</v>
      </c>
      <c r="BN15" s="1723">
        <f t="shared" si="32"/>
        <v>0</v>
      </c>
      <c r="BO15" s="1723">
        <f t="shared" si="33"/>
        <v>0</v>
      </c>
      <c r="BP15" s="1723">
        <f t="shared" si="34"/>
        <v>0</v>
      </c>
      <c r="BQ15" s="1723">
        <f t="shared" si="35"/>
        <v>0</v>
      </c>
      <c r="BR15" s="1724"/>
      <c r="BS15" s="1725">
        <f>IF(SUM(BF$36:BG$36)=0,0,(BQ$36-W$58-N$64-W79-(L$79*0.15))/SUM(BF$36:BG$36)*BG15+BN15)</f>
        <v>0</v>
      </c>
      <c r="BT15" s="1723">
        <f>(AH15*Pricing!F$3+AI15*Pricing!G$3+AJ15*Pricing!H$3+AK15*Pricing!I$3+AL15*Pricing!J$3+AM15*Pricing!K$3)*IF(T$39="N",(1+V$39),1)</f>
        <v>0</v>
      </c>
      <c r="BU15" s="1723">
        <f t="shared" si="36"/>
        <v>0</v>
      </c>
      <c r="BV15" s="1723">
        <f t="shared" si="37"/>
        <v>0</v>
      </c>
      <c r="BW15" s="1724">
        <f t="shared" si="38"/>
        <v>0</v>
      </c>
      <c r="DB15" s="1726">
        <f t="shared" si="39"/>
        <v>0</v>
      </c>
      <c r="DC15" s="1723" t="e">
        <f t="shared" si="40"/>
        <v>#DIV/0!</v>
      </c>
      <c r="DD15" s="172">
        <f t="shared" si="41"/>
        <v>0</v>
      </c>
      <c r="DE15" s="847">
        <f t="shared" si="42"/>
        <v>0</v>
      </c>
      <c r="DF15" s="334">
        <f t="shared" si="43"/>
        <v>0</v>
      </c>
      <c r="DG15" s="847">
        <f t="shared" si="44"/>
        <v>0</v>
      </c>
      <c r="DH15" s="847">
        <f t="shared" si="45"/>
        <v>0</v>
      </c>
      <c r="DI15" s="847">
        <f t="shared" si="46"/>
        <v>0</v>
      </c>
      <c r="DJ15" s="1727">
        <f t="shared" si="47"/>
        <v>0</v>
      </c>
    </row>
    <row r="16" spans="1:114" s="1254" customFormat="1" ht="15.45">
      <c r="A16" s="482"/>
      <c r="B16" s="1177"/>
      <c r="C16" s="1710"/>
      <c r="D16" s="1711"/>
      <c r="E16" s="1712"/>
      <c r="F16" s="1108"/>
      <c r="G16" s="1109"/>
      <c r="H16" s="1110"/>
      <c r="I16" s="1108"/>
      <c r="J16" s="1109"/>
      <c r="K16" s="1110"/>
      <c r="L16" s="1108"/>
      <c r="M16" s="1108"/>
      <c r="N16" s="1713"/>
      <c r="O16" s="1108"/>
      <c r="P16" s="1108"/>
      <c r="Q16" s="1111"/>
      <c r="R16" s="1714"/>
      <c r="S16" s="1715"/>
      <c r="T16" s="77"/>
      <c r="U16" s="839"/>
      <c r="V16" s="1716">
        <f t="shared" si="0"/>
        <v>0</v>
      </c>
      <c r="W16" s="1717">
        <f t="shared" si="1"/>
        <v>0</v>
      </c>
      <c r="AH16" s="1720">
        <f t="shared" si="2"/>
        <v>0</v>
      </c>
      <c r="AI16" s="1719">
        <f t="shared" si="3"/>
        <v>0</v>
      </c>
      <c r="AJ16" s="1719">
        <f t="shared" si="4"/>
        <v>0</v>
      </c>
      <c r="AK16" s="1719">
        <f t="shared" si="5"/>
        <v>0</v>
      </c>
      <c r="AL16" s="1719">
        <f t="shared" si="6"/>
        <v>0</v>
      </c>
      <c r="AM16" s="1719">
        <f t="shared" si="7"/>
        <v>0</v>
      </c>
      <c r="AN16" s="1719">
        <f t="shared" si="8"/>
        <v>0</v>
      </c>
      <c r="AO16" s="1719">
        <f t="shared" si="9"/>
        <v>0</v>
      </c>
      <c r="AP16" s="1719">
        <f t="shared" si="10"/>
        <v>0</v>
      </c>
      <c r="AQ16" s="1719">
        <f t="shared" si="11"/>
        <v>0</v>
      </c>
      <c r="AR16" s="1720">
        <f t="shared" si="12"/>
        <v>0</v>
      </c>
      <c r="AS16" s="1719">
        <f t="shared" si="13"/>
        <v>0</v>
      </c>
      <c r="AT16" s="1719">
        <f t="shared" si="14"/>
        <v>0</v>
      </c>
      <c r="AU16" s="1719">
        <f t="shared" si="15"/>
        <v>0</v>
      </c>
      <c r="AV16" s="1719">
        <f t="shared" si="16"/>
        <v>0</v>
      </c>
      <c r="AW16" s="1719">
        <f t="shared" si="17"/>
        <v>0</v>
      </c>
      <c r="AX16" s="1719">
        <f t="shared" si="18"/>
        <v>0</v>
      </c>
      <c r="AY16" s="1719">
        <f t="shared" si="19"/>
        <v>0</v>
      </c>
      <c r="AZ16" s="1719">
        <f t="shared" si="20"/>
        <v>0</v>
      </c>
      <c r="BA16" s="1721">
        <f t="shared" si="21"/>
        <v>0</v>
      </c>
      <c r="BB16" s="1719">
        <f t="shared" si="22"/>
        <v>0</v>
      </c>
      <c r="BC16" s="1719">
        <f t="shared" si="23"/>
        <v>0</v>
      </c>
      <c r="BD16" s="1719">
        <f t="shared" si="24"/>
        <v>0</v>
      </c>
      <c r="BE16" s="1719">
        <f t="shared" si="25"/>
        <v>0</v>
      </c>
      <c r="BF16" s="1719">
        <f t="shared" si="26"/>
        <v>0</v>
      </c>
      <c r="BG16" s="1719">
        <f t="shared" si="27"/>
        <v>0</v>
      </c>
      <c r="BH16" s="1719">
        <f t="shared" si="28"/>
        <v>0</v>
      </c>
      <c r="BJ16" s="1722">
        <f t="shared" si="29"/>
        <v>0</v>
      </c>
      <c r="BK16" s="1723">
        <f>(AR16*Pricing!F$3+AS16*Pricing!G$3+AT16*Pricing!H$3+AU16*Pricing!I$3+AV16*Pricing!J$3+AW16*Pricing!K$3+AH16*Pricing!F$3+AI16*Pricing!G$3+AJ16*Pricing!H$3+AK16*Pricing!I$3+AL16*Pricing!J$3+AM16*Pricing!K$3)*IF(T$39="N",(1+V$39),1)</f>
        <v>0</v>
      </c>
      <c r="BL16" s="1723">
        <f t="shared" si="30"/>
        <v>0</v>
      </c>
      <c r="BM16" s="1723">
        <f t="shared" si="31"/>
        <v>0</v>
      </c>
      <c r="BN16" s="1723">
        <f t="shared" si="32"/>
        <v>0</v>
      </c>
      <c r="BO16" s="1723">
        <f t="shared" si="33"/>
        <v>0</v>
      </c>
      <c r="BP16" s="1723">
        <f t="shared" si="34"/>
        <v>0</v>
      </c>
      <c r="BQ16" s="1723">
        <f t="shared" si="35"/>
        <v>0</v>
      </c>
      <c r="BR16" s="1724"/>
      <c r="BS16" s="1725">
        <f>IF(SUM(BF$36:BG$36)=0,0,(BQ$36-W$58-N$64-W71-(L$79*0.15))/SUM(BF$36:BG$36)*BG16+BN16)</f>
        <v>0</v>
      </c>
      <c r="BT16" s="1723">
        <f>(AH16*Pricing!F$3+AI16*Pricing!G$3+AJ16*Pricing!H$3+AK16*Pricing!I$3+AL16*Pricing!J$3+AM16*Pricing!K$3)*IF(T$39="N",(1+V$39),1)</f>
        <v>0</v>
      </c>
      <c r="BU16" s="1723">
        <f t="shared" si="36"/>
        <v>0</v>
      </c>
      <c r="BV16" s="1723">
        <f t="shared" si="37"/>
        <v>0</v>
      </c>
      <c r="BW16" s="1724">
        <f t="shared" si="38"/>
        <v>0</v>
      </c>
      <c r="DB16" s="1726">
        <f t="shared" si="39"/>
        <v>0</v>
      </c>
      <c r="DC16" s="1723" t="e">
        <f t="shared" si="40"/>
        <v>#DIV/0!</v>
      </c>
      <c r="DD16" s="172">
        <f t="shared" si="41"/>
        <v>0</v>
      </c>
      <c r="DE16" s="847">
        <f t="shared" si="42"/>
        <v>0</v>
      </c>
      <c r="DF16" s="334">
        <f t="shared" si="43"/>
        <v>0</v>
      </c>
      <c r="DG16" s="847">
        <f t="shared" si="44"/>
        <v>0</v>
      </c>
      <c r="DH16" s="847">
        <f t="shared" si="45"/>
        <v>0</v>
      </c>
      <c r="DI16" s="847">
        <f t="shared" si="46"/>
        <v>0</v>
      </c>
      <c r="DJ16" s="1727">
        <f t="shared" si="47"/>
        <v>0</v>
      </c>
    </row>
    <row r="17" spans="1:114" s="1254" customFormat="1" ht="15.45">
      <c r="A17" s="482"/>
      <c r="B17" s="1177"/>
      <c r="C17" s="1710"/>
      <c r="D17" s="1711"/>
      <c r="E17" s="1712"/>
      <c r="F17" s="1108"/>
      <c r="G17" s="1109"/>
      <c r="H17" s="1110"/>
      <c r="I17" s="1108"/>
      <c r="J17" s="1109"/>
      <c r="K17" s="1110"/>
      <c r="L17" s="1108"/>
      <c r="M17" s="1108"/>
      <c r="N17" s="1713"/>
      <c r="O17" s="1108"/>
      <c r="P17" s="1108"/>
      <c r="Q17" s="1111"/>
      <c r="R17" s="1714"/>
      <c r="S17" s="1715"/>
      <c r="T17" s="77"/>
      <c r="U17" s="839"/>
      <c r="V17" s="1716">
        <f t="shared" si="0"/>
        <v>0</v>
      </c>
      <c r="W17" s="1717">
        <f t="shared" si="1"/>
        <v>0</v>
      </c>
      <c r="AH17" s="1720">
        <f t="shared" si="2"/>
        <v>0</v>
      </c>
      <c r="AI17" s="1719">
        <f t="shared" si="3"/>
        <v>0</v>
      </c>
      <c r="AJ17" s="1719">
        <f t="shared" si="4"/>
        <v>0</v>
      </c>
      <c r="AK17" s="1719">
        <f t="shared" si="5"/>
        <v>0</v>
      </c>
      <c r="AL17" s="1719">
        <f t="shared" si="6"/>
        <v>0</v>
      </c>
      <c r="AM17" s="1719">
        <f t="shared" si="7"/>
        <v>0</v>
      </c>
      <c r="AN17" s="1719">
        <f t="shared" si="8"/>
        <v>0</v>
      </c>
      <c r="AO17" s="1719">
        <f t="shared" si="9"/>
        <v>0</v>
      </c>
      <c r="AP17" s="1719">
        <f t="shared" si="10"/>
        <v>0</v>
      </c>
      <c r="AQ17" s="1719">
        <f t="shared" si="11"/>
        <v>0</v>
      </c>
      <c r="AR17" s="1720">
        <f t="shared" si="12"/>
        <v>0</v>
      </c>
      <c r="AS17" s="1719">
        <f t="shared" si="13"/>
        <v>0</v>
      </c>
      <c r="AT17" s="1719">
        <f t="shared" si="14"/>
        <v>0</v>
      </c>
      <c r="AU17" s="1719">
        <f t="shared" si="15"/>
        <v>0</v>
      </c>
      <c r="AV17" s="1719">
        <f t="shared" si="16"/>
        <v>0</v>
      </c>
      <c r="AW17" s="1719">
        <f t="shared" si="17"/>
        <v>0</v>
      </c>
      <c r="AX17" s="1719">
        <f t="shared" si="18"/>
        <v>0</v>
      </c>
      <c r="AY17" s="1719">
        <f t="shared" si="19"/>
        <v>0</v>
      </c>
      <c r="AZ17" s="1719">
        <f t="shared" si="20"/>
        <v>0</v>
      </c>
      <c r="BA17" s="1721">
        <f t="shared" si="21"/>
        <v>0</v>
      </c>
      <c r="BB17" s="1719">
        <f t="shared" si="22"/>
        <v>0</v>
      </c>
      <c r="BC17" s="1719">
        <f t="shared" si="23"/>
        <v>0</v>
      </c>
      <c r="BD17" s="1719">
        <f t="shared" si="24"/>
        <v>0</v>
      </c>
      <c r="BE17" s="1719">
        <f t="shared" si="25"/>
        <v>0</v>
      </c>
      <c r="BF17" s="1719">
        <f t="shared" si="26"/>
        <v>0</v>
      </c>
      <c r="BG17" s="1719">
        <f t="shared" si="27"/>
        <v>0</v>
      </c>
      <c r="BH17" s="1719">
        <f t="shared" si="28"/>
        <v>0</v>
      </c>
      <c r="BJ17" s="1722">
        <f t="shared" si="29"/>
        <v>0</v>
      </c>
      <c r="BK17" s="1723">
        <f>(AR17*Pricing!F$3+AS17*Pricing!G$3+AT17*Pricing!H$3+AU17*Pricing!I$3+AV17*Pricing!J$3+AW17*Pricing!K$3+AH17*Pricing!F$3+AI17*Pricing!G$3+AJ17*Pricing!H$3+AK17*Pricing!I$3+AL17*Pricing!J$3+AM17*Pricing!K$3)*IF(T$39="N",(1+V$39),1)</f>
        <v>0</v>
      </c>
      <c r="BL17" s="1723">
        <f t="shared" si="30"/>
        <v>0</v>
      </c>
      <c r="BM17" s="1723">
        <f t="shared" si="31"/>
        <v>0</v>
      </c>
      <c r="BN17" s="1723">
        <f t="shared" si="32"/>
        <v>0</v>
      </c>
      <c r="BO17" s="1723">
        <f t="shared" si="33"/>
        <v>0</v>
      </c>
      <c r="BP17" s="1723">
        <f t="shared" si="34"/>
        <v>0</v>
      </c>
      <c r="BQ17" s="1723">
        <f t="shared" si="35"/>
        <v>0</v>
      </c>
      <c r="BR17" s="1724"/>
      <c r="BS17" s="1725">
        <f>IF(SUM(BF$36:BG$36)=0,0,(BQ$36-W$58-N$64-W64-(L$79*0.15))/SUM(BF$36:BG$36)*BG17+BN17)</f>
        <v>0</v>
      </c>
      <c r="BT17" s="1723">
        <f>(AH17*Pricing!F$3+AI17*Pricing!G$3+AJ17*Pricing!H$3+AK17*Pricing!I$3+AL17*Pricing!J$3+AM17*Pricing!K$3)*IF(T$39="N",(1+V$39),1)</f>
        <v>0</v>
      </c>
      <c r="BU17" s="1723">
        <f t="shared" si="36"/>
        <v>0</v>
      </c>
      <c r="BV17" s="1723">
        <f t="shared" si="37"/>
        <v>0</v>
      </c>
      <c r="BW17" s="1724">
        <f t="shared" si="38"/>
        <v>0</v>
      </c>
      <c r="DB17" s="1726">
        <f t="shared" si="39"/>
        <v>0</v>
      </c>
      <c r="DC17" s="1723" t="e">
        <f t="shared" si="40"/>
        <v>#DIV/0!</v>
      </c>
      <c r="DD17" s="172">
        <f t="shared" si="41"/>
        <v>0</v>
      </c>
      <c r="DE17" s="847">
        <f t="shared" si="42"/>
        <v>0</v>
      </c>
      <c r="DF17" s="334">
        <f t="shared" si="43"/>
        <v>0</v>
      </c>
      <c r="DG17" s="847">
        <f t="shared" si="44"/>
        <v>0</v>
      </c>
      <c r="DH17" s="847">
        <f t="shared" si="45"/>
        <v>0</v>
      </c>
      <c r="DI17" s="847">
        <f t="shared" si="46"/>
        <v>0</v>
      </c>
      <c r="DJ17" s="1727">
        <f t="shared" si="47"/>
        <v>0</v>
      </c>
    </row>
    <row r="18" spans="1:114" s="1254" customFormat="1" ht="15.45">
      <c r="A18" s="482"/>
      <c r="B18" s="1177"/>
      <c r="C18" s="1710"/>
      <c r="D18" s="1711"/>
      <c r="E18" s="1712"/>
      <c r="F18" s="1108"/>
      <c r="G18" s="1109"/>
      <c r="H18" s="1110"/>
      <c r="I18" s="1108"/>
      <c r="J18" s="1109"/>
      <c r="K18" s="1110"/>
      <c r="L18" s="1108"/>
      <c r="M18" s="1108"/>
      <c r="N18" s="1713"/>
      <c r="O18" s="1108"/>
      <c r="P18" s="1108"/>
      <c r="Q18" s="1111"/>
      <c r="R18" s="1714"/>
      <c r="S18" s="1715"/>
      <c r="T18" s="77"/>
      <c r="U18" s="839"/>
      <c r="V18" s="1716">
        <f t="shared" si="0"/>
        <v>0</v>
      </c>
      <c r="W18" s="1717">
        <f t="shared" si="1"/>
        <v>0</v>
      </c>
      <c r="AH18" s="1720">
        <f t="shared" si="2"/>
        <v>0</v>
      </c>
      <c r="AI18" s="1719">
        <f t="shared" si="3"/>
        <v>0</v>
      </c>
      <c r="AJ18" s="1719">
        <f t="shared" si="4"/>
        <v>0</v>
      </c>
      <c r="AK18" s="1719">
        <f t="shared" si="5"/>
        <v>0</v>
      </c>
      <c r="AL18" s="1719">
        <f t="shared" si="6"/>
        <v>0</v>
      </c>
      <c r="AM18" s="1719">
        <f t="shared" si="7"/>
        <v>0</v>
      </c>
      <c r="AN18" s="1719">
        <f t="shared" si="8"/>
        <v>0</v>
      </c>
      <c r="AO18" s="1719">
        <f t="shared" si="9"/>
        <v>0</v>
      </c>
      <c r="AP18" s="1719">
        <f t="shared" si="10"/>
        <v>0</v>
      </c>
      <c r="AQ18" s="1719">
        <f t="shared" si="11"/>
        <v>0</v>
      </c>
      <c r="AR18" s="1720">
        <f t="shared" si="12"/>
        <v>0</v>
      </c>
      <c r="AS18" s="1719">
        <f t="shared" si="13"/>
        <v>0</v>
      </c>
      <c r="AT18" s="1719">
        <f t="shared" si="14"/>
        <v>0</v>
      </c>
      <c r="AU18" s="1719">
        <f t="shared" si="15"/>
        <v>0</v>
      </c>
      <c r="AV18" s="1719">
        <f t="shared" si="16"/>
        <v>0</v>
      </c>
      <c r="AW18" s="1719">
        <f t="shared" si="17"/>
        <v>0</v>
      </c>
      <c r="AX18" s="1719">
        <f t="shared" si="18"/>
        <v>0</v>
      </c>
      <c r="AY18" s="1719">
        <f t="shared" si="19"/>
        <v>0</v>
      </c>
      <c r="AZ18" s="1719">
        <f t="shared" si="20"/>
        <v>0</v>
      </c>
      <c r="BA18" s="1721">
        <f t="shared" si="21"/>
        <v>0</v>
      </c>
      <c r="BB18" s="1719">
        <f t="shared" si="22"/>
        <v>0</v>
      </c>
      <c r="BC18" s="1719">
        <f t="shared" si="23"/>
        <v>0</v>
      </c>
      <c r="BD18" s="1719">
        <f t="shared" si="24"/>
        <v>0</v>
      </c>
      <c r="BE18" s="1719">
        <f t="shared" si="25"/>
        <v>0</v>
      </c>
      <c r="BF18" s="1719">
        <f t="shared" si="26"/>
        <v>0</v>
      </c>
      <c r="BG18" s="1719">
        <f t="shared" si="27"/>
        <v>0</v>
      </c>
      <c r="BH18" s="1719">
        <f t="shared" si="28"/>
        <v>0</v>
      </c>
      <c r="BJ18" s="1722">
        <f t="shared" si="29"/>
        <v>0</v>
      </c>
      <c r="BK18" s="1723">
        <f>(AR18*Pricing!F$3+AS18*Pricing!G$3+AT18*Pricing!H$3+AU18*Pricing!I$3+AV18*Pricing!J$3+AW18*Pricing!K$3+AH18*Pricing!F$3+AI18*Pricing!G$3+AJ18*Pricing!H$3+AK18*Pricing!I$3+AL18*Pricing!J$3+AM18*Pricing!K$3)*IF(T$39="N",(1+V$39),1)</f>
        <v>0</v>
      </c>
      <c r="BL18" s="1723">
        <f t="shared" si="30"/>
        <v>0</v>
      </c>
      <c r="BM18" s="1723">
        <f t="shared" si="31"/>
        <v>0</v>
      </c>
      <c r="BN18" s="1723">
        <f t="shared" si="32"/>
        <v>0</v>
      </c>
      <c r="BO18" s="1723">
        <f t="shared" si="33"/>
        <v>0</v>
      </c>
      <c r="BP18" s="1723">
        <f t="shared" si="34"/>
        <v>0</v>
      </c>
      <c r="BQ18" s="1723">
        <f t="shared" si="35"/>
        <v>0</v>
      </c>
      <c r="BR18" s="1724"/>
      <c r="BS18" s="1725">
        <f>IF(SUM(BF$36:BG$36)=0,0,(BQ$36-W$58-N$64-W60-(L$79*0.15))/SUM(BF$36:BG$36)*BG18+BN18)</f>
        <v>0</v>
      </c>
      <c r="BT18" s="1723">
        <f>(AH18*Pricing!F$3+AI18*Pricing!G$3+AJ18*Pricing!H$3+AK18*Pricing!I$3+AL18*Pricing!J$3+AM18*Pricing!K$3)*IF(T$39="N",(1+V$39),1)</f>
        <v>0</v>
      </c>
      <c r="BU18" s="1723">
        <f t="shared" si="36"/>
        <v>0</v>
      </c>
      <c r="BV18" s="1723">
        <f t="shared" si="37"/>
        <v>0</v>
      </c>
      <c r="BW18" s="1724">
        <f t="shared" si="38"/>
        <v>0</v>
      </c>
      <c r="DB18" s="1726">
        <f t="shared" si="39"/>
        <v>0</v>
      </c>
      <c r="DC18" s="1723" t="e">
        <f t="shared" si="40"/>
        <v>#DIV/0!</v>
      </c>
      <c r="DD18" s="172">
        <f t="shared" si="41"/>
        <v>0</v>
      </c>
      <c r="DE18" s="847">
        <f t="shared" si="42"/>
        <v>0</v>
      </c>
      <c r="DF18" s="334">
        <f t="shared" si="43"/>
        <v>0</v>
      </c>
      <c r="DG18" s="847">
        <f t="shared" si="44"/>
        <v>0</v>
      </c>
      <c r="DH18" s="847">
        <f t="shared" si="45"/>
        <v>0</v>
      </c>
      <c r="DI18" s="847">
        <f t="shared" si="46"/>
        <v>0</v>
      </c>
      <c r="DJ18" s="1727">
        <f t="shared" si="47"/>
        <v>0</v>
      </c>
    </row>
    <row r="19" spans="1:114" s="1254" customFormat="1" ht="15.45">
      <c r="A19" s="482"/>
      <c r="B19" s="1177"/>
      <c r="C19" s="1710"/>
      <c r="D19" s="1711"/>
      <c r="E19" s="1712"/>
      <c r="F19" s="1108"/>
      <c r="G19" s="1109"/>
      <c r="H19" s="1110"/>
      <c r="I19" s="1108"/>
      <c r="J19" s="1109"/>
      <c r="K19" s="1110"/>
      <c r="L19" s="1108"/>
      <c r="M19" s="1108"/>
      <c r="N19" s="1713"/>
      <c r="O19" s="1108"/>
      <c r="P19" s="1108"/>
      <c r="Q19" s="1111"/>
      <c r="R19" s="1714"/>
      <c r="S19" s="1715"/>
      <c r="T19" s="77"/>
      <c r="U19" s="839"/>
      <c r="V19" s="1716">
        <f t="shared" si="0"/>
        <v>0</v>
      </c>
      <c r="W19" s="1717">
        <f t="shared" si="1"/>
        <v>0</v>
      </c>
      <c r="AH19" s="1720">
        <f t="shared" si="2"/>
        <v>0</v>
      </c>
      <c r="AI19" s="1719">
        <f t="shared" si="3"/>
        <v>0</v>
      </c>
      <c r="AJ19" s="1719">
        <f t="shared" si="4"/>
        <v>0</v>
      </c>
      <c r="AK19" s="1719">
        <f t="shared" si="5"/>
        <v>0</v>
      </c>
      <c r="AL19" s="1719">
        <f t="shared" si="6"/>
        <v>0</v>
      </c>
      <c r="AM19" s="1719">
        <f t="shared" si="7"/>
        <v>0</v>
      </c>
      <c r="AN19" s="1719">
        <f t="shared" si="8"/>
        <v>0</v>
      </c>
      <c r="AO19" s="1719">
        <f t="shared" si="9"/>
        <v>0</v>
      </c>
      <c r="AP19" s="1719">
        <f t="shared" si="10"/>
        <v>0</v>
      </c>
      <c r="AQ19" s="1719">
        <f t="shared" si="11"/>
        <v>0</v>
      </c>
      <c r="AR19" s="1720">
        <f t="shared" si="12"/>
        <v>0</v>
      </c>
      <c r="AS19" s="1719">
        <f t="shared" si="13"/>
        <v>0</v>
      </c>
      <c r="AT19" s="1719">
        <f t="shared" si="14"/>
        <v>0</v>
      </c>
      <c r="AU19" s="1719">
        <f t="shared" si="15"/>
        <v>0</v>
      </c>
      <c r="AV19" s="1719">
        <f t="shared" si="16"/>
        <v>0</v>
      </c>
      <c r="AW19" s="1719">
        <f t="shared" si="17"/>
        <v>0</v>
      </c>
      <c r="AX19" s="1719">
        <f t="shared" si="18"/>
        <v>0</v>
      </c>
      <c r="AY19" s="1719">
        <f t="shared" si="19"/>
        <v>0</v>
      </c>
      <c r="AZ19" s="1719">
        <f t="shared" si="20"/>
        <v>0</v>
      </c>
      <c r="BA19" s="1721">
        <f t="shared" si="21"/>
        <v>0</v>
      </c>
      <c r="BB19" s="1719">
        <f t="shared" si="22"/>
        <v>0</v>
      </c>
      <c r="BC19" s="1719">
        <f t="shared" si="23"/>
        <v>0</v>
      </c>
      <c r="BD19" s="1719">
        <f t="shared" si="24"/>
        <v>0</v>
      </c>
      <c r="BE19" s="1719">
        <f t="shared" si="25"/>
        <v>0</v>
      </c>
      <c r="BF19" s="1719">
        <f t="shared" si="26"/>
        <v>0</v>
      </c>
      <c r="BG19" s="1719">
        <f t="shared" si="27"/>
        <v>0</v>
      </c>
      <c r="BH19" s="1719">
        <f t="shared" si="28"/>
        <v>0</v>
      </c>
      <c r="BJ19" s="1722">
        <f t="shared" si="29"/>
        <v>0</v>
      </c>
      <c r="BK19" s="1723">
        <f>(AR19*Pricing!F$3+AS19*Pricing!G$3+AT19*Pricing!H$3+AU19*Pricing!I$3+AV19*Pricing!J$3+AW19*Pricing!K$3+AH19*Pricing!F$3+AI19*Pricing!G$3+AJ19*Pricing!H$3+AK19*Pricing!I$3+AL19*Pricing!J$3+AM19*Pricing!K$3)*IF(T$39="N",(1+V$39),1)</f>
        <v>0</v>
      </c>
      <c r="BL19" s="1723">
        <f t="shared" si="30"/>
        <v>0</v>
      </c>
      <c r="BM19" s="1723">
        <f t="shared" si="31"/>
        <v>0</v>
      </c>
      <c r="BN19" s="1723">
        <f t="shared" si="32"/>
        <v>0</v>
      </c>
      <c r="BO19" s="1723">
        <f t="shared" si="33"/>
        <v>0</v>
      </c>
      <c r="BP19" s="1723">
        <f t="shared" si="34"/>
        <v>0</v>
      </c>
      <c r="BQ19" s="1723">
        <f t="shared" si="35"/>
        <v>0</v>
      </c>
      <c r="BR19" s="1724"/>
      <c r="BS19" s="1725">
        <f>IF(SUM(BF$36:BG$36)=0,0,(BQ$36-W$58-N$64-W61-(L$79*0.15))/SUM(BF$36:BG$36)*BG19+BN19)</f>
        <v>0</v>
      </c>
      <c r="BT19" s="1723">
        <f>(AH19*Pricing!F$3+AI19*Pricing!G$3+AJ19*Pricing!H$3+AK19*Pricing!I$3+AL19*Pricing!J$3+AM19*Pricing!K$3)*IF(T$39="N",(1+V$39),1)</f>
        <v>0</v>
      </c>
      <c r="BU19" s="1723">
        <f t="shared" si="36"/>
        <v>0</v>
      </c>
      <c r="BV19" s="1723">
        <f t="shared" si="37"/>
        <v>0</v>
      </c>
      <c r="BW19" s="1724">
        <f t="shared" si="38"/>
        <v>0</v>
      </c>
      <c r="DB19" s="1726">
        <f t="shared" si="39"/>
        <v>0</v>
      </c>
      <c r="DC19" s="1723" t="e">
        <f t="shared" si="40"/>
        <v>#DIV/0!</v>
      </c>
      <c r="DD19" s="172">
        <f t="shared" si="41"/>
        <v>0</v>
      </c>
      <c r="DE19" s="847">
        <f t="shared" si="42"/>
        <v>0</v>
      </c>
      <c r="DF19" s="334">
        <f t="shared" si="43"/>
        <v>0</v>
      </c>
      <c r="DG19" s="847">
        <f t="shared" si="44"/>
        <v>0</v>
      </c>
      <c r="DH19" s="847">
        <f t="shared" si="45"/>
        <v>0</v>
      </c>
      <c r="DI19" s="847">
        <f t="shared" si="46"/>
        <v>0</v>
      </c>
      <c r="DJ19" s="1727">
        <f t="shared" si="47"/>
        <v>0</v>
      </c>
    </row>
    <row r="20" spans="1:114" s="1254" customFormat="1" ht="15.45">
      <c r="A20" s="482"/>
      <c r="B20" s="1177"/>
      <c r="C20" s="1710"/>
      <c r="D20" s="1711"/>
      <c r="E20" s="1712"/>
      <c r="F20" s="1108"/>
      <c r="G20" s="1109"/>
      <c r="H20" s="1110"/>
      <c r="I20" s="1108"/>
      <c r="J20" s="1109"/>
      <c r="K20" s="1110"/>
      <c r="L20" s="1108"/>
      <c r="M20" s="1108"/>
      <c r="N20" s="1713"/>
      <c r="O20" s="1108"/>
      <c r="P20" s="1108"/>
      <c r="Q20" s="1111"/>
      <c r="R20" s="1714"/>
      <c r="S20" s="1715"/>
      <c r="T20" s="77"/>
      <c r="U20" s="839"/>
      <c r="V20" s="1716">
        <f t="shared" si="0"/>
        <v>0</v>
      </c>
      <c r="W20" s="1717">
        <f t="shared" si="1"/>
        <v>0</v>
      </c>
      <c r="AH20" s="1720">
        <f t="shared" si="2"/>
        <v>0</v>
      </c>
      <c r="AI20" s="1719">
        <f t="shared" si="3"/>
        <v>0</v>
      </c>
      <c r="AJ20" s="1719">
        <f t="shared" si="4"/>
        <v>0</v>
      </c>
      <c r="AK20" s="1719">
        <f t="shared" si="5"/>
        <v>0</v>
      </c>
      <c r="AL20" s="1719">
        <f t="shared" si="6"/>
        <v>0</v>
      </c>
      <c r="AM20" s="1719">
        <f t="shared" si="7"/>
        <v>0</v>
      </c>
      <c r="AN20" s="1719">
        <f t="shared" si="8"/>
        <v>0</v>
      </c>
      <c r="AO20" s="1719">
        <f t="shared" si="9"/>
        <v>0</v>
      </c>
      <c r="AP20" s="1719">
        <f t="shared" si="10"/>
        <v>0</v>
      </c>
      <c r="AQ20" s="1719">
        <f t="shared" si="11"/>
        <v>0</v>
      </c>
      <c r="AR20" s="1720">
        <f t="shared" si="12"/>
        <v>0</v>
      </c>
      <c r="AS20" s="1719">
        <f t="shared" si="13"/>
        <v>0</v>
      </c>
      <c r="AT20" s="1719">
        <f t="shared" si="14"/>
        <v>0</v>
      </c>
      <c r="AU20" s="1719">
        <f t="shared" si="15"/>
        <v>0</v>
      </c>
      <c r="AV20" s="1719">
        <f t="shared" si="16"/>
        <v>0</v>
      </c>
      <c r="AW20" s="1719">
        <f t="shared" si="17"/>
        <v>0</v>
      </c>
      <c r="AX20" s="1719">
        <f t="shared" si="18"/>
        <v>0</v>
      </c>
      <c r="AY20" s="1719">
        <f t="shared" si="19"/>
        <v>0</v>
      </c>
      <c r="AZ20" s="1719">
        <f t="shared" si="20"/>
        <v>0</v>
      </c>
      <c r="BA20" s="1721">
        <f t="shared" si="21"/>
        <v>0</v>
      </c>
      <c r="BB20" s="1719">
        <f t="shared" si="22"/>
        <v>0</v>
      </c>
      <c r="BC20" s="1719">
        <f t="shared" si="23"/>
        <v>0</v>
      </c>
      <c r="BD20" s="1719">
        <f t="shared" si="24"/>
        <v>0</v>
      </c>
      <c r="BE20" s="1719">
        <f t="shared" si="25"/>
        <v>0</v>
      </c>
      <c r="BF20" s="1719">
        <f t="shared" si="26"/>
        <v>0</v>
      </c>
      <c r="BG20" s="1719">
        <f t="shared" si="27"/>
        <v>0</v>
      </c>
      <c r="BH20" s="1719">
        <f t="shared" si="28"/>
        <v>0</v>
      </c>
      <c r="BJ20" s="1722">
        <f t="shared" si="29"/>
        <v>0</v>
      </c>
      <c r="BK20" s="1723">
        <f>(AR20*Pricing!F$3+AS20*Pricing!G$3+AT20*Pricing!H$3+AU20*Pricing!I$3+AV20*Pricing!J$3+AW20*Pricing!K$3+AH20*Pricing!F$3+AI20*Pricing!G$3+AJ20*Pricing!H$3+AK20*Pricing!I$3+AL20*Pricing!J$3+AM20*Pricing!K$3)*IF(T$39="N",(1+V$39),1)</f>
        <v>0</v>
      </c>
      <c r="BL20" s="1723">
        <f t="shared" si="30"/>
        <v>0</v>
      </c>
      <c r="BM20" s="1723">
        <f t="shared" si="31"/>
        <v>0</v>
      </c>
      <c r="BN20" s="1723">
        <f t="shared" si="32"/>
        <v>0</v>
      </c>
      <c r="BO20" s="1723">
        <f t="shared" si="33"/>
        <v>0</v>
      </c>
      <c r="BP20" s="1723">
        <f t="shared" si="34"/>
        <v>0</v>
      </c>
      <c r="BQ20" s="1723">
        <f t="shared" si="35"/>
        <v>0</v>
      </c>
      <c r="BR20" s="1724"/>
      <c r="BS20" s="1725">
        <f>IF(SUM(BF$36:BG$36)=0,0,(BQ$36-W$58-N$64-W62-(L$79*0.15))/SUM(BF$36:BG$36)*BG20+BN20)</f>
        <v>0</v>
      </c>
      <c r="BT20" s="1723">
        <f>(AH20*Pricing!F$3+AI20*Pricing!G$3+AJ20*Pricing!H$3+AK20*Pricing!I$3+AL20*Pricing!J$3+AM20*Pricing!K$3)*IF(T$39="N",(1+V$39),1)</f>
        <v>0</v>
      </c>
      <c r="BU20" s="1723">
        <f t="shared" si="36"/>
        <v>0</v>
      </c>
      <c r="BV20" s="1723">
        <f t="shared" si="37"/>
        <v>0</v>
      </c>
      <c r="BW20" s="1724">
        <f t="shared" si="38"/>
        <v>0</v>
      </c>
      <c r="DB20" s="1726">
        <f t="shared" si="39"/>
        <v>0</v>
      </c>
      <c r="DC20" s="1723" t="e">
        <f t="shared" si="40"/>
        <v>#DIV/0!</v>
      </c>
      <c r="DD20" s="172">
        <f t="shared" si="41"/>
        <v>0</v>
      </c>
      <c r="DE20" s="847">
        <f t="shared" si="42"/>
        <v>0</v>
      </c>
      <c r="DF20" s="334">
        <f t="shared" si="43"/>
        <v>0</v>
      </c>
      <c r="DG20" s="847">
        <f t="shared" si="44"/>
        <v>0</v>
      </c>
      <c r="DH20" s="847">
        <f t="shared" si="45"/>
        <v>0</v>
      </c>
      <c r="DI20" s="847">
        <f t="shared" si="46"/>
        <v>0</v>
      </c>
      <c r="DJ20" s="1727">
        <f t="shared" si="47"/>
        <v>0</v>
      </c>
    </row>
    <row r="21" spans="1:114" s="1254" customFormat="1" ht="15.45">
      <c r="A21" s="482"/>
      <c r="B21" s="1177"/>
      <c r="C21" s="1710"/>
      <c r="D21" s="1711"/>
      <c r="E21" s="1712"/>
      <c r="F21" s="1108"/>
      <c r="G21" s="1109"/>
      <c r="H21" s="1110"/>
      <c r="I21" s="1108"/>
      <c r="J21" s="1109"/>
      <c r="K21" s="1110"/>
      <c r="L21" s="1108"/>
      <c r="M21" s="1108"/>
      <c r="N21" s="1713"/>
      <c r="O21" s="1108"/>
      <c r="P21" s="1108"/>
      <c r="Q21" s="1111"/>
      <c r="R21" s="1714"/>
      <c r="S21" s="1715"/>
      <c r="T21" s="77"/>
      <c r="U21" s="839"/>
      <c r="V21" s="1716">
        <f t="shared" si="0"/>
        <v>0</v>
      </c>
      <c r="W21" s="1717">
        <f t="shared" si="1"/>
        <v>0</v>
      </c>
      <c r="AH21" s="1720">
        <f t="shared" si="2"/>
        <v>0</v>
      </c>
      <c r="AI21" s="1719">
        <f t="shared" si="3"/>
        <v>0</v>
      </c>
      <c r="AJ21" s="1719">
        <f t="shared" si="4"/>
        <v>0</v>
      </c>
      <c r="AK21" s="1719">
        <f t="shared" si="5"/>
        <v>0</v>
      </c>
      <c r="AL21" s="1719">
        <f t="shared" si="6"/>
        <v>0</v>
      </c>
      <c r="AM21" s="1719">
        <f t="shared" si="7"/>
        <v>0</v>
      </c>
      <c r="AN21" s="1719">
        <f t="shared" si="8"/>
        <v>0</v>
      </c>
      <c r="AO21" s="1719">
        <f t="shared" si="9"/>
        <v>0</v>
      </c>
      <c r="AP21" s="1719">
        <f t="shared" si="10"/>
        <v>0</v>
      </c>
      <c r="AQ21" s="1719">
        <f t="shared" si="11"/>
        <v>0</v>
      </c>
      <c r="AR21" s="1720">
        <f t="shared" si="12"/>
        <v>0</v>
      </c>
      <c r="AS21" s="1719">
        <f t="shared" si="13"/>
        <v>0</v>
      </c>
      <c r="AT21" s="1719">
        <f t="shared" si="14"/>
        <v>0</v>
      </c>
      <c r="AU21" s="1719">
        <f t="shared" si="15"/>
        <v>0</v>
      </c>
      <c r="AV21" s="1719">
        <f t="shared" si="16"/>
        <v>0</v>
      </c>
      <c r="AW21" s="1719">
        <f t="shared" si="17"/>
        <v>0</v>
      </c>
      <c r="AX21" s="1719">
        <f t="shared" si="18"/>
        <v>0</v>
      </c>
      <c r="AY21" s="1719">
        <f t="shared" si="19"/>
        <v>0</v>
      </c>
      <c r="AZ21" s="1719">
        <f t="shared" si="20"/>
        <v>0</v>
      </c>
      <c r="BA21" s="1721">
        <f t="shared" si="21"/>
        <v>0</v>
      </c>
      <c r="BB21" s="1719">
        <f t="shared" si="22"/>
        <v>0</v>
      </c>
      <c r="BC21" s="1719">
        <f t="shared" si="23"/>
        <v>0</v>
      </c>
      <c r="BD21" s="1719">
        <f t="shared" si="24"/>
        <v>0</v>
      </c>
      <c r="BE21" s="1719">
        <f t="shared" si="25"/>
        <v>0</v>
      </c>
      <c r="BF21" s="1719">
        <f t="shared" si="26"/>
        <v>0</v>
      </c>
      <c r="BG21" s="1719">
        <f t="shared" si="27"/>
        <v>0</v>
      </c>
      <c r="BH21" s="1719">
        <f t="shared" si="28"/>
        <v>0</v>
      </c>
      <c r="BJ21" s="1722">
        <f t="shared" si="29"/>
        <v>0</v>
      </c>
      <c r="BK21" s="1723">
        <f>(AR21*Pricing!F$3+AS21*Pricing!G$3+AT21*Pricing!H$3+AU21*Pricing!I$3+AV21*Pricing!J$3+AW21*Pricing!K$3+AH21*Pricing!F$3+AI21*Pricing!G$3+AJ21*Pricing!H$3+AK21*Pricing!I$3+AL21*Pricing!J$3+AM21*Pricing!K$3)*IF(T$39="N",(1+V$39),1)</f>
        <v>0</v>
      </c>
      <c r="BL21" s="1723">
        <f t="shared" si="30"/>
        <v>0</v>
      </c>
      <c r="BM21" s="1723">
        <f t="shared" si="31"/>
        <v>0</v>
      </c>
      <c r="BN21" s="1723">
        <f t="shared" si="32"/>
        <v>0</v>
      </c>
      <c r="BO21" s="1723">
        <f t="shared" si="33"/>
        <v>0</v>
      </c>
      <c r="BP21" s="1723">
        <f t="shared" si="34"/>
        <v>0</v>
      </c>
      <c r="BQ21" s="1723">
        <f t="shared" si="35"/>
        <v>0</v>
      </c>
      <c r="BR21" s="1724"/>
      <c r="BS21" s="1725">
        <f>IF(SUM(BF$36:BG$36)=0,0,(BQ$36-W$58-N$64-W52-(L$79*0.15))/SUM(BF$36:BG$36)*BG21+BN21)</f>
        <v>0</v>
      </c>
      <c r="BT21" s="1723">
        <f>(AH21*Pricing!F$3+AI21*Pricing!G$3+AJ21*Pricing!H$3+AK21*Pricing!I$3+AL21*Pricing!J$3+AM21*Pricing!K$3)*IF(T$39="N",(1+V$39),1)</f>
        <v>0</v>
      </c>
      <c r="BU21" s="1723">
        <f t="shared" si="36"/>
        <v>0</v>
      </c>
      <c r="BV21" s="1723">
        <f t="shared" si="37"/>
        <v>0</v>
      </c>
      <c r="BW21" s="1724">
        <f t="shared" si="38"/>
        <v>0</v>
      </c>
      <c r="DB21" s="1726">
        <f t="shared" si="39"/>
        <v>0</v>
      </c>
      <c r="DC21" s="1723" t="e">
        <f t="shared" si="40"/>
        <v>#DIV/0!</v>
      </c>
      <c r="DD21" s="172">
        <f t="shared" si="41"/>
        <v>0</v>
      </c>
      <c r="DE21" s="847">
        <f t="shared" si="42"/>
        <v>0</v>
      </c>
      <c r="DF21" s="334">
        <f t="shared" si="43"/>
        <v>0</v>
      </c>
      <c r="DG21" s="847">
        <f t="shared" si="44"/>
        <v>0</v>
      </c>
      <c r="DH21" s="847">
        <f t="shared" si="45"/>
        <v>0</v>
      </c>
      <c r="DI21" s="847">
        <f t="shared" si="46"/>
        <v>0</v>
      </c>
      <c r="DJ21" s="1727">
        <f t="shared" si="47"/>
        <v>0</v>
      </c>
    </row>
    <row r="22" spans="1:114" s="1254" customFormat="1" ht="15.45">
      <c r="A22" s="482"/>
      <c r="B22" s="1177"/>
      <c r="C22" s="1710"/>
      <c r="D22" s="1711"/>
      <c r="E22" s="1712"/>
      <c r="F22" s="1108"/>
      <c r="G22" s="1109"/>
      <c r="H22" s="1110"/>
      <c r="I22" s="1108"/>
      <c r="J22" s="1109"/>
      <c r="K22" s="1110"/>
      <c r="L22" s="1108"/>
      <c r="M22" s="1108"/>
      <c r="N22" s="1713"/>
      <c r="O22" s="1108"/>
      <c r="P22" s="1108"/>
      <c r="Q22" s="1111"/>
      <c r="R22" s="1714"/>
      <c r="S22" s="1715"/>
      <c r="T22" s="77"/>
      <c r="U22" s="839"/>
      <c r="V22" s="1716">
        <f t="shared" si="0"/>
        <v>0</v>
      </c>
      <c r="W22" s="1717">
        <f t="shared" si="1"/>
        <v>0</v>
      </c>
      <c r="AH22" s="1720">
        <f t="shared" si="2"/>
        <v>0</v>
      </c>
      <c r="AI22" s="1719">
        <f t="shared" si="3"/>
        <v>0</v>
      </c>
      <c r="AJ22" s="1719">
        <f t="shared" si="4"/>
        <v>0</v>
      </c>
      <c r="AK22" s="1719">
        <f t="shared" si="5"/>
        <v>0</v>
      </c>
      <c r="AL22" s="1719">
        <f t="shared" si="6"/>
        <v>0</v>
      </c>
      <c r="AM22" s="1719">
        <f t="shared" si="7"/>
        <v>0</v>
      </c>
      <c r="AN22" s="1719">
        <f t="shared" si="8"/>
        <v>0</v>
      </c>
      <c r="AO22" s="1719">
        <f t="shared" si="9"/>
        <v>0</v>
      </c>
      <c r="AP22" s="1719">
        <f t="shared" si="10"/>
        <v>0</v>
      </c>
      <c r="AQ22" s="1719">
        <f t="shared" si="11"/>
        <v>0</v>
      </c>
      <c r="AR22" s="1720">
        <f t="shared" si="12"/>
        <v>0</v>
      </c>
      <c r="AS22" s="1719">
        <f t="shared" si="13"/>
        <v>0</v>
      </c>
      <c r="AT22" s="1719">
        <f t="shared" si="14"/>
        <v>0</v>
      </c>
      <c r="AU22" s="1719">
        <f t="shared" si="15"/>
        <v>0</v>
      </c>
      <c r="AV22" s="1719">
        <f t="shared" si="16"/>
        <v>0</v>
      </c>
      <c r="AW22" s="1719">
        <f t="shared" si="17"/>
        <v>0</v>
      </c>
      <c r="AX22" s="1719">
        <f t="shared" si="18"/>
        <v>0</v>
      </c>
      <c r="AY22" s="1719">
        <f t="shared" si="19"/>
        <v>0</v>
      </c>
      <c r="AZ22" s="1719">
        <f t="shared" si="20"/>
        <v>0</v>
      </c>
      <c r="BA22" s="1721">
        <f t="shared" si="21"/>
        <v>0</v>
      </c>
      <c r="BB22" s="1719">
        <f t="shared" si="22"/>
        <v>0</v>
      </c>
      <c r="BC22" s="1719">
        <f t="shared" si="23"/>
        <v>0</v>
      </c>
      <c r="BD22" s="1719">
        <f t="shared" si="24"/>
        <v>0</v>
      </c>
      <c r="BE22" s="1719">
        <f t="shared" si="25"/>
        <v>0</v>
      </c>
      <c r="BF22" s="1719">
        <f t="shared" si="26"/>
        <v>0</v>
      </c>
      <c r="BG22" s="1719">
        <f t="shared" si="27"/>
        <v>0</v>
      </c>
      <c r="BH22" s="1719">
        <f t="shared" si="28"/>
        <v>0</v>
      </c>
      <c r="BJ22" s="1722">
        <f t="shared" si="29"/>
        <v>0</v>
      </c>
      <c r="BK22" s="1723">
        <f>(AR22*Pricing!F$3+AS22*Pricing!G$3+AT22*Pricing!H$3+AU22*Pricing!I$3+AV22*Pricing!J$3+AW22*Pricing!K$3+AH22*Pricing!F$3+AI22*Pricing!G$3+AJ22*Pricing!H$3+AK22*Pricing!I$3+AL22*Pricing!J$3+AM22*Pricing!K$3)*IF(T$39="N",(1+V$39),1)</f>
        <v>0</v>
      </c>
      <c r="BL22" s="1723">
        <f t="shared" si="30"/>
        <v>0</v>
      </c>
      <c r="BM22" s="1723">
        <f t="shared" si="31"/>
        <v>0</v>
      </c>
      <c r="BN22" s="1723">
        <f t="shared" si="32"/>
        <v>0</v>
      </c>
      <c r="BO22" s="1723">
        <f t="shared" si="33"/>
        <v>0</v>
      </c>
      <c r="BP22" s="1723">
        <f t="shared" si="34"/>
        <v>0</v>
      </c>
      <c r="BQ22" s="1723">
        <f t="shared" si="35"/>
        <v>0</v>
      </c>
      <c r="BR22" s="1724"/>
      <c r="BS22" s="1725">
        <f>IF(SUM(BF$36:BG$36)=0,0,(BQ$36-W$58-N$64-W55-(L$79*0.15))/SUM(BF$36:BG$36)*BG22+BN22)</f>
        <v>0</v>
      </c>
      <c r="BT22" s="1723">
        <f>(AH22*Pricing!F$3+AI22*Pricing!G$3+AJ22*Pricing!H$3+AK22*Pricing!I$3+AL22*Pricing!J$3+AM22*Pricing!K$3)*IF(T$39="N",(1+V$39),1)</f>
        <v>0</v>
      </c>
      <c r="BU22" s="1723">
        <f t="shared" si="36"/>
        <v>0</v>
      </c>
      <c r="BV22" s="1723">
        <f t="shared" si="37"/>
        <v>0</v>
      </c>
      <c r="BW22" s="1724">
        <f t="shared" si="38"/>
        <v>0</v>
      </c>
      <c r="DB22" s="1726">
        <f t="shared" si="39"/>
        <v>0</v>
      </c>
      <c r="DC22" s="1723" t="e">
        <f t="shared" si="40"/>
        <v>#DIV/0!</v>
      </c>
      <c r="DD22" s="172">
        <f t="shared" si="41"/>
        <v>0</v>
      </c>
      <c r="DE22" s="847">
        <f t="shared" si="42"/>
        <v>0</v>
      </c>
      <c r="DF22" s="334">
        <f t="shared" si="43"/>
        <v>0</v>
      </c>
      <c r="DG22" s="847">
        <f t="shared" si="44"/>
        <v>0</v>
      </c>
      <c r="DH22" s="847">
        <f t="shared" si="45"/>
        <v>0</v>
      </c>
      <c r="DI22" s="847">
        <f t="shared" si="46"/>
        <v>0</v>
      </c>
      <c r="DJ22" s="1727">
        <f t="shared" si="47"/>
        <v>0</v>
      </c>
    </row>
    <row r="23" spans="1:114" s="1254" customFormat="1" ht="15.45">
      <c r="A23" s="482"/>
      <c r="B23" s="1177"/>
      <c r="C23" s="1710"/>
      <c r="D23" s="1711"/>
      <c r="E23" s="1712"/>
      <c r="F23" s="1108"/>
      <c r="G23" s="1109"/>
      <c r="H23" s="1110"/>
      <c r="I23" s="1108"/>
      <c r="J23" s="1109"/>
      <c r="K23" s="1110"/>
      <c r="L23" s="1108"/>
      <c r="M23" s="1108"/>
      <c r="N23" s="1713"/>
      <c r="O23" s="1108"/>
      <c r="P23" s="1108"/>
      <c r="Q23" s="1111"/>
      <c r="R23" s="1714"/>
      <c r="S23" s="1715"/>
      <c r="T23" s="77"/>
      <c r="U23" s="839"/>
      <c r="V23" s="1716">
        <f t="shared" si="0"/>
        <v>0</v>
      </c>
      <c r="W23" s="1717">
        <f t="shared" si="1"/>
        <v>0</v>
      </c>
      <c r="AH23" s="1720">
        <f t="shared" si="2"/>
        <v>0</v>
      </c>
      <c r="AI23" s="1719">
        <f t="shared" si="3"/>
        <v>0</v>
      </c>
      <c r="AJ23" s="1719">
        <f t="shared" si="4"/>
        <v>0</v>
      </c>
      <c r="AK23" s="1719">
        <f t="shared" si="5"/>
        <v>0</v>
      </c>
      <c r="AL23" s="1719">
        <f t="shared" si="6"/>
        <v>0</v>
      </c>
      <c r="AM23" s="1719">
        <f t="shared" si="7"/>
        <v>0</v>
      </c>
      <c r="AN23" s="1719">
        <f t="shared" si="8"/>
        <v>0</v>
      </c>
      <c r="AO23" s="1719">
        <f t="shared" si="9"/>
        <v>0</v>
      </c>
      <c r="AP23" s="1719">
        <f t="shared" si="10"/>
        <v>0</v>
      </c>
      <c r="AQ23" s="1719">
        <f t="shared" si="11"/>
        <v>0</v>
      </c>
      <c r="AR23" s="1720">
        <f t="shared" si="12"/>
        <v>0</v>
      </c>
      <c r="AS23" s="1719">
        <f t="shared" si="13"/>
        <v>0</v>
      </c>
      <c r="AT23" s="1719">
        <f t="shared" si="14"/>
        <v>0</v>
      </c>
      <c r="AU23" s="1719">
        <f t="shared" si="15"/>
        <v>0</v>
      </c>
      <c r="AV23" s="1719">
        <f t="shared" si="16"/>
        <v>0</v>
      </c>
      <c r="AW23" s="1719">
        <f t="shared" si="17"/>
        <v>0</v>
      </c>
      <c r="AX23" s="1719">
        <f t="shared" si="18"/>
        <v>0</v>
      </c>
      <c r="AY23" s="1719">
        <f t="shared" si="19"/>
        <v>0</v>
      </c>
      <c r="AZ23" s="1719">
        <f t="shared" si="20"/>
        <v>0</v>
      </c>
      <c r="BA23" s="1721">
        <f t="shared" si="21"/>
        <v>0</v>
      </c>
      <c r="BB23" s="1719">
        <f t="shared" si="22"/>
        <v>0</v>
      </c>
      <c r="BC23" s="1719">
        <f t="shared" si="23"/>
        <v>0</v>
      </c>
      <c r="BD23" s="1719">
        <f t="shared" si="24"/>
        <v>0</v>
      </c>
      <c r="BE23" s="1719">
        <f t="shared" si="25"/>
        <v>0</v>
      </c>
      <c r="BF23" s="1719">
        <f t="shared" si="26"/>
        <v>0</v>
      </c>
      <c r="BG23" s="1719">
        <f t="shared" si="27"/>
        <v>0</v>
      </c>
      <c r="BH23" s="1719">
        <f t="shared" si="28"/>
        <v>0</v>
      </c>
      <c r="BJ23" s="1722">
        <f t="shared" si="29"/>
        <v>0</v>
      </c>
      <c r="BK23" s="1723">
        <f>(AR23*Pricing!F$3+AS23*Pricing!G$3+AT23*Pricing!H$3+AU23*Pricing!I$3+AV23*Pricing!J$3+AW23*Pricing!K$3+AH23*Pricing!F$3+AI23*Pricing!G$3+AJ23*Pricing!H$3+AK23*Pricing!I$3+AL23*Pricing!J$3+AM23*Pricing!K$3)*IF(T$39="N",(1+V$39),1)</f>
        <v>0</v>
      </c>
      <c r="BL23" s="1723">
        <f t="shared" si="30"/>
        <v>0</v>
      </c>
      <c r="BM23" s="1723">
        <f t="shared" si="31"/>
        <v>0</v>
      </c>
      <c r="BN23" s="1723">
        <f t="shared" si="32"/>
        <v>0</v>
      </c>
      <c r="BO23" s="1723">
        <f t="shared" si="33"/>
        <v>0</v>
      </c>
      <c r="BP23" s="1723">
        <f t="shared" si="34"/>
        <v>0</v>
      </c>
      <c r="BQ23" s="1723">
        <f t="shared" si="35"/>
        <v>0</v>
      </c>
      <c r="BR23" s="1724"/>
      <c r="BS23" s="1725">
        <f>IF(SUM(BF$36:BG$36)=0,0,(BQ$36-W$58-N$64-W74-(L$79*0.15))/SUM(BF$36:BG$36)*BG23+BN23)</f>
        <v>0</v>
      </c>
      <c r="BT23" s="1723">
        <f>(AH23*Pricing!F$3+AI23*Pricing!G$3+AJ23*Pricing!H$3+AK23*Pricing!I$3+AL23*Pricing!J$3+AM23*Pricing!K$3)*IF(T$39="N",(1+V$39),1)</f>
        <v>0</v>
      </c>
      <c r="BU23" s="1723">
        <f t="shared" si="36"/>
        <v>0</v>
      </c>
      <c r="BV23" s="1723">
        <f t="shared" si="37"/>
        <v>0</v>
      </c>
      <c r="BW23" s="1724">
        <f t="shared" si="38"/>
        <v>0</v>
      </c>
      <c r="DB23" s="1726">
        <f t="shared" si="39"/>
        <v>0</v>
      </c>
      <c r="DC23" s="1723" t="e">
        <f t="shared" si="40"/>
        <v>#DIV/0!</v>
      </c>
      <c r="DD23" s="172">
        <f t="shared" si="41"/>
        <v>0</v>
      </c>
      <c r="DE23" s="847">
        <f t="shared" si="42"/>
        <v>0</v>
      </c>
      <c r="DF23" s="334">
        <f t="shared" si="43"/>
        <v>0</v>
      </c>
      <c r="DG23" s="847">
        <f t="shared" si="44"/>
        <v>0</v>
      </c>
      <c r="DH23" s="847">
        <f t="shared" si="45"/>
        <v>0</v>
      </c>
      <c r="DI23" s="847">
        <f t="shared" si="46"/>
        <v>0</v>
      </c>
      <c r="DJ23" s="1727">
        <f t="shared" si="47"/>
        <v>0</v>
      </c>
    </row>
    <row r="24" spans="1:114" s="1254" customFormat="1" ht="15.45">
      <c r="A24" s="482"/>
      <c r="B24" s="1177"/>
      <c r="C24" s="1710"/>
      <c r="D24" s="1711"/>
      <c r="E24" s="1712"/>
      <c r="F24" s="1108"/>
      <c r="G24" s="1109"/>
      <c r="H24" s="1110"/>
      <c r="I24" s="1108"/>
      <c r="J24" s="1109"/>
      <c r="K24" s="1110"/>
      <c r="L24" s="1108"/>
      <c r="M24" s="1108"/>
      <c r="N24" s="1713"/>
      <c r="O24" s="1108"/>
      <c r="P24" s="1108"/>
      <c r="Q24" s="1111"/>
      <c r="R24" s="1714"/>
      <c r="S24" s="1715"/>
      <c r="T24" s="77"/>
      <c r="U24" s="839"/>
      <c r="V24" s="1716">
        <f t="shared" si="0"/>
        <v>0</v>
      </c>
      <c r="W24" s="1717">
        <f t="shared" si="1"/>
        <v>0</v>
      </c>
      <c r="AH24" s="1720">
        <f t="shared" si="2"/>
        <v>0</v>
      </c>
      <c r="AI24" s="1719">
        <f t="shared" si="3"/>
        <v>0</v>
      </c>
      <c r="AJ24" s="1719">
        <f t="shared" si="4"/>
        <v>0</v>
      </c>
      <c r="AK24" s="1719">
        <f t="shared" si="5"/>
        <v>0</v>
      </c>
      <c r="AL24" s="1719">
        <f t="shared" si="6"/>
        <v>0</v>
      </c>
      <c r="AM24" s="1719">
        <f t="shared" si="7"/>
        <v>0</v>
      </c>
      <c r="AN24" s="1719">
        <f t="shared" si="8"/>
        <v>0</v>
      </c>
      <c r="AO24" s="1719">
        <f t="shared" si="9"/>
        <v>0</v>
      </c>
      <c r="AP24" s="1719">
        <f t="shared" si="10"/>
        <v>0</v>
      </c>
      <c r="AQ24" s="1719">
        <f t="shared" si="11"/>
        <v>0</v>
      </c>
      <c r="AR24" s="1720">
        <f t="shared" si="12"/>
        <v>0</v>
      </c>
      <c r="AS24" s="1719">
        <f t="shared" si="13"/>
        <v>0</v>
      </c>
      <c r="AT24" s="1719">
        <f t="shared" si="14"/>
        <v>0</v>
      </c>
      <c r="AU24" s="1719">
        <f t="shared" si="15"/>
        <v>0</v>
      </c>
      <c r="AV24" s="1719">
        <f t="shared" si="16"/>
        <v>0</v>
      </c>
      <c r="AW24" s="1719">
        <f t="shared" si="17"/>
        <v>0</v>
      </c>
      <c r="AX24" s="1719">
        <f t="shared" si="18"/>
        <v>0</v>
      </c>
      <c r="AY24" s="1719">
        <f t="shared" si="19"/>
        <v>0</v>
      </c>
      <c r="AZ24" s="1719">
        <f t="shared" si="20"/>
        <v>0</v>
      </c>
      <c r="BA24" s="1721">
        <f t="shared" si="21"/>
        <v>0</v>
      </c>
      <c r="BB24" s="1719">
        <f t="shared" si="22"/>
        <v>0</v>
      </c>
      <c r="BC24" s="1719">
        <f t="shared" si="23"/>
        <v>0</v>
      </c>
      <c r="BD24" s="1719">
        <f t="shared" si="24"/>
        <v>0</v>
      </c>
      <c r="BE24" s="1719">
        <f t="shared" si="25"/>
        <v>0</v>
      </c>
      <c r="BF24" s="1719">
        <f t="shared" si="26"/>
        <v>0</v>
      </c>
      <c r="BG24" s="1719">
        <f t="shared" si="27"/>
        <v>0</v>
      </c>
      <c r="BH24" s="1719">
        <f t="shared" si="28"/>
        <v>0</v>
      </c>
      <c r="BJ24" s="1722">
        <f t="shared" si="29"/>
        <v>0</v>
      </c>
      <c r="BK24" s="1723">
        <f>(AR24*Pricing!F$3+AS24*Pricing!G$3+AT24*Pricing!H$3+AU24*Pricing!I$3+AV24*Pricing!J$3+AW24*Pricing!K$3+AH24*Pricing!F$3+AI24*Pricing!G$3+AJ24*Pricing!H$3+AK24*Pricing!I$3+AL24*Pricing!J$3+AM24*Pricing!K$3)*IF(T$39="N",(1+V$39),1)</f>
        <v>0</v>
      </c>
      <c r="BL24" s="1723">
        <f t="shared" si="30"/>
        <v>0</v>
      </c>
      <c r="BM24" s="1723">
        <f t="shared" si="31"/>
        <v>0</v>
      </c>
      <c r="BN24" s="1723">
        <f t="shared" si="32"/>
        <v>0</v>
      </c>
      <c r="BO24" s="1723">
        <f t="shared" si="33"/>
        <v>0</v>
      </c>
      <c r="BP24" s="1723">
        <f t="shared" si="34"/>
        <v>0</v>
      </c>
      <c r="BQ24" s="1723">
        <f t="shared" si="35"/>
        <v>0</v>
      </c>
      <c r="BR24" s="1724"/>
      <c r="BS24" s="1725">
        <f>IF(SUM(BF$36:BG$36)=0,0,(BQ$36-W$58-N$64-W76-(L$79*0.15))/SUM(BF$36:BG$36)*BG24+BN24)</f>
        <v>0</v>
      </c>
      <c r="BT24" s="1723">
        <f>(AH24*Pricing!F$3+AI24*Pricing!G$3+AJ24*Pricing!H$3+AK24*Pricing!I$3+AL24*Pricing!J$3+AM24*Pricing!K$3)*IF(T$39="N",(1+V$39),1)</f>
        <v>0</v>
      </c>
      <c r="BU24" s="1723">
        <f t="shared" si="36"/>
        <v>0</v>
      </c>
      <c r="BV24" s="1723">
        <f t="shared" si="37"/>
        <v>0</v>
      </c>
      <c r="BW24" s="1724">
        <f t="shared" si="38"/>
        <v>0</v>
      </c>
      <c r="DB24" s="1726">
        <f t="shared" si="39"/>
        <v>0</v>
      </c>
      <c r="DC24" s="1723" t="e">
        <f t="shared" si="40"/>
        <v>#DIV/0!</v>
      </c>
      <c r="DD24" s="172">
        <f t="shared" si="41"/>
        <v>0</v>
      </c>
      <c r="DE24" s="847">
        <f t="shared" si="42"/>
        <v>0</v>
      </c>
      <c r="DF24" s="334">
        <f t="shared" si="43"/>
        <v>0</v>
      </c>
      <c r="DG24" s="847">
        <f t="shared" si="44"/>
        <v>0</v>
      </c>
      <c r="DH24" s="847">
        <f t="shared" si="45"/>
        <v>0</v>
      </c>
      <c r="DI24" s="847">
        <f t="shared" si="46"/>
        <v>0</v>
      </c>
      <c r="DJ24" s="1727">
        <f t="shared" si="47"/>
        <v>0</v>
      </c>
    </row>
    <row r="25" spans="1:114" s="1254" customFormat="1" ht="15.45">
      <c r="A25" s="482"/>
      <c r="B25" s="1177"/>
      <c r="C25" s="1710"/>
      <c r="D25" s="1711"/>
      <c r="E25" s="1712"/>
      <c r="F25" s="1108"/>
      <c r="G25" s="1109"/>
      <c r="H25" s="1110"/>
      <c r="I25" s="1108"/>
      <c r="J25" s="1109"/>
      <c r="K25" s="1110"/>
      <c r="L25" s="1108"/>
      <c r="M25" s="1108"/>
      <c r="N25" s="1713"/>
      <c r="O25" s="1108"/>
      <c r="P25" s="1108"/>
      <c r="Q25" s="1111"/>
      <c r="R25" s="1714"/>
      <c r="S25" s="1715"/>
      <c r="T25" s="77"/>
      <c r="U25" s="839"/>
      <c r="V25" s="1716">
        <f t="shared" si="0"/>
        <v>0</v>
      </c>
      <c r="W25" s="1717">
        <f t="shared" si="1"/>
        <v>0</v>
      </c>
      <c r="AH25" s="1720">
        <f t="shared" si="2"/>
        <v>0</v>
      </c>
      <c r="AI25" s="1719">
        <f t="shared" si="3"/>
        <v>0</v>
      </c>
      <c r="AJ25" s="1719">
        <f t="shared" si="4"/>
        <v>0</v>
      </c>
      <c r="AK25" s="1719">
        <f t="shared" si="5"/>
        <v>0</v>
      </c>
      <c r="AL25" s="1719">
        <f t="shared" si="6"/>
        <v>0</v>
      </c>
      <c r="AM25" s="1719">
        <f t="shared" si="7"/>
        <v>0</v>
      </c>
      <c r="AN25" s="1719">
        <f t="shared" si="8"/>
        <v>0</v>
      </c>
      <c r="AO25" s="1719">
        <f t="shared" si="9"/>
        <v>0</v>
      </c>
      <c r="AP25" s="1719">
        <f t="shared" si="10"/>
        <v>0</v>
      </c>
      <c r="AQ25" s="1719">
        <f t="shared" si="11"/>
        <v>0</v>
      </c>
      <c r="AR25" s="1720">
        <f t="shared" si="12"/>
        <v>0</v>
      </c>
      <c r="AS25" s="1719">
        <f t="shared" si="13"/>
        <v>0</v>
      </c>
      <c r="AT25" s="1719">
        <f t="shared" si="14"/>
        <v>0</v>
      </c>
      <c r="AU25" s="1719">
        <f t="shared" si="15"/>
        <v>0</v>
      </c>
      <c r="AV25" s="1719">
        <f t="shared" si="16"/>
        <v>0</v>
      </c>
      <c r="AW25" s="1719">
        <f t="shared" si="17"/>
        <v>0</v>
      </c>
      <c r="AX25" s="1719">
        <f t="shared" si="18"/>
        <v>0</v>
      </c>
      <c r="AY25" s="1719">
        <f t="shared" si="19"/>
        <v>0</v>
      </c>
      <c r="AZ25" s="1719">
        <f t="shared" si="20"/>
        <v>0</v>
      </c>
      <c r="BA25" s="1721">
        <f t="shared" si="21"/>
        <v>0</v>
      </c>
      <c r="BB25" s="1719">
        <f t="shared" si="22"/>
        <v>0</v>
      </c>
      <c r="BC25" s="1719">
        <f t="shared" si="23"/>
        <v>0</v>
      </c>
      <c r="BD25" s="1719">
        <f t="shared" si="24"/>
        <v>0</v>
      </c>
      <c r="BE25" s="1719">
        <f t="shared" si="25"/>
        <v>0</v>
      </c>
      <c r="BF25" s="1719">
        <f t="shared" si="26"/>
        <v>0</v>
      </c>
      <c r="BG25" s="1719">
        <f t="shared" si="27"/>
        <v>0</v>
      </c>
      <c r="BH25" s="1719">
        <f t="shared" si="28"/>
        <v>0</v>
      </c>
      <c r="BJ25" s="1722">
        <f t="shared" si="29"/>
        <v>0</v>
      </c>
      <c r="BK25" s="1723">
        <f>(AR25*Pricing!F$3+AS25*Pricing!G$3+AT25*Pricing!H$3+AU25*Pricing!I$3+AV25*Pricing!J$3+AW25*Pricing!K$3+AH25*Pricing!F$3+AI25*Pricing!G$3+AJ25*Pricing!H$3+AK25*Pricing!I$3+AL25*Pricing!J$3+AM25*Pricing!K$3)*IF(T$39="N",(1+V$39),1)</f>
        <v>0</v>
      </c>
      <c r="BL25" s="1723">
        <f t="shared" si="30"/>
        <v>0</v>
      </c>
      <c r="BM25" s="1723">
        <f t="shared" si="31"/>
        <v>0</v>
      </c>
      <c r="BN25" s="1723">
        <f t="shared" si="32"/>
        <v>0</v>
      </c>
      <c r="BO25" s="1723">
        <f t="shared" si="33"/>
        <v>0</v>
      </c>
      <c r="BP25" s="1723">
        <f t="shared" si="34"/>
        <v>0</v>
      </c>
      <c r="BQ25" s="1723">
        <f t="shared" si="35"/>
        <v>0</v>
      </c>
      <c r="BR25" s="1724"/>
      <c r="BS25" s="1725">
        <f>IF(SUM(BF$36:BG$36)=0,0,(BQ$36-W$58-N$64-W63-(L$79*0.15))/SUM(BF$36:BG$36)*BG25+BN25)</f>
        <v>0</v>
      </c>
      <c r="BT25" s="1723">
        <f>(AH25*Pricing!F$3+AI25*Pricing!G$3+AJ25*Pricing!H$3+AK25*Pricing!I$3+AL25*Pricing!J$3+AM25*Pricing!K$3)*IF(T$39="N",(1+V$39),1)</f>
        <v>0</v>
      </c>
      <c r="BU25" s="1723">
        <f t="shared" si="36"/>
        <v>0</v>
      </c>
      <c r="BV25" s="1723">
        <f t="shared" si="37"/>
        <v>0</v>
      </c>
      <c r="BW25" s="1724">
        <f t="shared" si="38"/>
        <v>0</v>
      </c>
      <c r="DB25" s="1726">
        <f t="shared" si="39"/>
        <v>0</v>
      </c>
      <c r="DC25" s="1723" t="e">
        <f t="shared" si="40"/>
        <v>#DIV/0!</v>
      </c>
      <c r="DD25" s="172">
        <f t="shared" si="41"/>
        <v>0</v>
      </c>
      <c r="DE25" s="847">
        <f t="shared" si="42"/>
        <v>0</v>
      </c>
      <c r="DF25" s="334">
        <f t="shared" si="43"/>
        <v>0</v>
      </c>
      <c r="DG25" s="847">
        <f t="shared" si="44"/>
        <v>0</v>
      </c>
      <c r="DH25" s="847">
        <f t="shared" si="45"/>
        <v>0</v>
      </c>
      <c r="DI25" s="847">
        <f t="shared" si="46"/>
        <v>0</v>
      </c>
      <c r="DJ25" s="1727">
        <f t="shared" si="47"/>
        <v>0</v>
      </c>
    </row>
    <row r="26" spans="1:114" s="1254" customFormat="1" ht="15.45">
      <c r="A26" s="482"/>
      <c r="B26" s="1177"/>
      <c r="C26" s="1710"/>
      <c r="D26" s="1711"/>
      <c r="E26" s="1712"/>
      <c r="F26" s="1108"/>
      <c r="G26" s="1109"/>
      <c r="H26" s="1110"/>
      <c r="I26" s="1108"/>
      <c r="J26" s="1109"/>
      <c r="K26" s="1110"/>
      <c r="L26" s="1108"/>
      <c r="M26" s="1108"/>
      <c r="N26" s="1713"/>
      <c r="O26" s="1108"/>
      <c r="P26" s="1108"/>
      <c r="Q26" s="1111"/>
      <c r="R26" s="1714"/>
      <c r="S26" s="1715"/>
      <c r="T26" s="77"/>
      <c r="U26" s="839"/>
      <c r="V26" s="1716">
        <f t="shared" si="0"/>
        <v>0</v>
      </c>
      <c r="W26" s="1717">
        <f t="shared" si="1"/>
        <v>0</v>
      </c>
      <c r="AH26" s="1720">
        <f t="shared" si="2"/>
        <v>0</v>
      </c>
      <c r="AI26" s="1719">
        <f t="shared" si="3"/>
        <v>0</v>
      </c>
      <c r="AJ26" s="1719">
        <f t="shared" si="4"/>
        <v>0</v>
      </c>
      <c r="AK26" s="1719">
        <f t="shared" si="5"/>
        <v>0</v>
      </c>
      <c r="AL26" s="1719">
        <f t="shared" si="6"/>
        <v>0</v>
      </c>
      <c r="AM26" s="1719">
        <f t="shared" si="7"/>
        <v>0</v>
      </c>
      <c r="AN26" s="1719">
        <f t="shared" si="8"/>
        <v>0</v>
      </c>
      <c r="AO26" s="1719">
        <f t="shared" si="9"/>
        <v>0</v>
      </c>
      <c r="AP26" s="1719">
        <f t="shared" si="10"/>
        <v>0</v>
      </c>
      <c r="AQ26" s="1719">
        <f t="shared" si="11"/>
        <v>0</v>
      </c>
      <c r="AR26" s="1720">
        <f t="shared" si="12"/>
        <v>0</v>
      </c>
      <c r="AS26" s="1719">
        <f t="shared" si="13"/>
        <v>0</v>
      </c>
      <c r="AT26" s="1719">
        <f t="shared" si="14"/>
        <v>0</v>
      </c>
      <c r="AU26" s="1719">
        <f t="shared" si="15"/>
        <v>0</v>
      </c>
      <c r="AV26" s="1719">
        <f t="shared" si="16"/>
        <v>0</v>
      </c>
      <c r="AW26" s="1719">
        <f t="shared" si="17"/>
        <v>0</v>
      </c>
      <c r="AX26" s="1719">
        <f t="shared" si="18"/>
        <v>0</v>
      </c>
      <c r="AY26" s="1719">
        <f t="shared" si="19"/>
        <v>0</v>
      </c>
      <c r="AZ26" s="1719">
        <f t="shared" si="20"/>
        <v>0</v>
      </c>
      <c r="BA26" s="1721">
        <f t="shared" si="21"/>
        <v>0</v>
      </c>
      <c r="BB26" s="1719">
        <f t="shared" si="22"/>
        <v>0</v>
      </c>
      <c r="BC26" s="1719">
        <f t="shared" si="23"/>
        <v>0</v>
      </c>
      <c r="BD26" s="1719">
        <f t="shared" si="24"/>
        <v>0</v>
      </c>
      <c r="BE26" s="1719">
        <f t="shared" si="25"/>
        <v>0</v>
      </c>
      <c r="BF26" s="1719">
        <f t="shared" si="26"/>
        <v>0</v>
      </c>
      <c r="BG26" s="1719">
        <f t="shared" si="27"/>
        <v>0</v>
      </c>
      <c r="BH26" s="1719">
        <f t="shared" si="28"/>
        <v>0</v>
      </c>
      <c r="BJ26" s="1722">
        <f t="shared" si="29"/>
        <v>0</v>
      </c>
      <c r="BK26" s="1723">
        <f>(AR26*Pricing!F$3+AS26*Pricing!G$3+AT26*Pricing!H$3+AU26*Pricing!I$3+AV26*Pricing!J$3+AW26*Pricing!K$3+AH26*Pricing!F$3+AI26*Pricing!G$3+AJ26*Pricing!H$3+AK26*Pricing!I$3+AL26*Pricing!J$3+AM26*Pricing!K$3)*IF(T$39="N",(1+V$39),1)</f>
        <v>0</v>
      </c>
      <c r="BL26" s="1723">
        <f t="shared" si="30"/>
        <v>0</v>
      </c>
      <c r="BM26" s="1723">
        <f t="shared" si="31"/>
        <v>0</v>
      </c>
      <c r="BN26" s="1723">
        <f t="shared" si="32"/>
        <v>0</v>
      </c>
      <c r="BO26" s="1723">
        <f t="shared" si="33"/>
        <v>0</v>
      </c>
      <c r="BP26" s="1723">
        <f t="shared" si="34"/>
        <v>0</v>
      </c>
      <c r="BQ26" s="1723">
        <f t="shared" si="35"/>
        <v>0</v>
      </c>
      <c r="BR26" s="1724"/>
      <c r="BS26" s="1725">
        <f>IF(SUM(BF$36:BG$36)=0,0,(BQ$36-W$58-N$64-W57-(L$79*0.15))/SUM(BF$36:BG$36)*BG26+BN26)</f>
        <v>0</v>
      </c>
      <c r="BT26" s="1723">
        <f>(AH26*Pricing!F$3+AI26*Pricing!G$3+AJ26*Pricing!H$3+AK26*Pricing!I$3+AL26*Pricing!J$3+AM26*Pricing!K$3)*IF(T$39="N",(1+V$39),1)</f>
        <v>0</v>
      </c>
      <c r="BU26" s="1723">
        <f t="shared" si="36"/>
        <v>0</v>
      </c>
      <c r="BV26" s="1723">
        <f t="shared" si="37"/>
        <v>0</v>
      </c>
      <c r="BW26" s="1724">
        <f t="shared" si="38"/>
        <v>0</v>
      </c>
      <c r="DB26" s="1726">
        <f t="shared" si="39"/>
        <v>0</v>
      </c>
      <c r="DC26" s="1723" t="e">
        <f t="shared" si="40"/>
        <v>#DIV/0!</v>
      </c>
      <c r="DD26" s="172">
        <f t="shared" si="41"/>
        <v>0</v>
      </c>
      <c r="DE26" s="847">
        <f t="shared" si="42"/>
        <v>0</v>
      </c>
      <c r="DF26" s="334">
        <f t="shared" si="43"/>
        <v>0</v>
      </c>
      <c r="DG26" s="847">
        <f t="shared" si="44"/>
        <v>0</v>
      </c>
      <c r="DH26" s="847">
        <f t="shared" si="45"/>
        <v>0</v>
      </c>
      <c r="DI26" s="847">
        <f t="shared" si="46"/>
        <v>0</v>
      </c>
      <c r="DJ26" s="1727">
        <f t="shared" si="47"/>
        <v>0</v>
      </c>
    </row>
    <row r="27" spans="1:114" s="1254" customFormat="1" ht="15.45">
      <c r="A27" s="482"/>
      <c r="B27" s="1177"/>
      <c r="C27" s="1710"/>
      <c r="D27" s="1711"/>
      <c r="E27" s="1712"/>
      <c r="F27" s="1108"/>
      <c r="G27" s="1109"/>
      <c r="H27" s="1110"/>
      <c r="I27" s="1108"/>
      <c r="J27" s="1109"/>
      <c r="K27" s="1110"/>
      <c r="L27" s="1108"/>
      <c r="M27" s="1108"/>
      <c r="N27" s="1713"/>
      <c r="O27" s="1108"/>
      <c r="P27" s="1108"/>
      <c r="Q27" s="1111"/>
      <c r="R27" s="1714"/>
      <c r="S27" s="1715"/>
      <c r="T27" s="77"/>
      <c r="U27" s="839"/>
      <c r="V27" s="1716">
        <f t="shared" si="0"/>
        <v>0</v>
      </c>
      <c r="W27" s="1717">
        <f t="shared" si="1"/>
        <v>0</v>
      </c>
      <c r="AH27" s="1720">
        <f t="shared" si="2"/>
        <v>0</v>
      </c>
      <c r="AI27" s="1719">
        <f t="shared" si="3"/>
        <v>0</v>
      </c>
      <c r="AJ27" s="1719">
        <f t="shared" si="4"/>
        <v>0</v>
      </c>
      <c r="AK27" s="1719">
        <f t="shared" si="5"/>
        <v>0</v>
      </c>
      <c r="AL27" s="1719">
        <f t="shared" si="6"/>
        <v>0</v>
      </c>
      <c r="AM27" s="1719">
        <f t="shared" si="7"/>
        <v>0</v>
      </c>
      <c r="AN27" s="1719">
        <f t="shared" si="8"/>
        <v>0</v>
      </c>
      <c r="AO27" s="1719">
        <f t="shared" si="9"/>
        <v>0</v>
      </c>
      <c r="AP27" s="1719">
        <f t="shared" si="10"/>
        <v>0</v>
      </c>
      <c r="AQ27" s="1719">
        <f t="shared" si="11"/>
        <v>0</v>
      </c>
      <c r="AR27" s="1720">
        <f t="shared" si="12"/>
        <v>0</v>
      </c>
      <c r="AS27" s="1719">
        <f t="shared" si="13"/>
        <v>0</v>
      </c>
      <c r="AT27" s="1719">
        <f t="shared" si="14"/>
        <v>0</v>
      </c>
      <c r="AU27" s="1719">
        <f t="shared" si="15"/>
        <v>0</v>
      </c>
      <c r="AV27" s="1719">
        <f t="shared" si="16"/>
        <v>0</v>
      </c>
      <c r="AW27" s="1719">
        <f t="shared" si="17"/>
        <v>0</v>
      </c>
      <c r="AX27" s="1719">
        <f t="shared" si="18"/>
        <v>0</v>
      </c>
      <c r="AY27" s="1719">
        <f t="shared" si="19"/>
        <v>0</v>
      </c>
      <c r="AZ27" s="1719">
        <f t="shared" si="20"/>
        <v>0</v>
      </c>
      <c r="BA27" s="1721">
        <f t="shared" si="21"/>
        <v>0</v>
      </c>
      <c r="BB27" s="1719">
        <f t="shared" si="22"/>
        <v>0</v>
      </c>
      <c r="BC27" s="1719">
        <f t="shared" si="23"/>
        <v>0</v>
      </c>
      <c r="BD27" s="1719">
        <f t="shared" si="24"/>
        <v>0</v>
      </c>
      <c r="BE27" s="1719">
        <f t="shared" si="25"/>
        <v>0</v>
      </c>
      <c r="BF27" s="1719">
        <f t="shared" si="26"/>
        <v>0</v>
      </c>
      <c r="BG27" s="1719">
        <f t="shared" si="27"/>
        <v>0</v>
      </c>
      <c r="BH27" s="1719">
        <f t="shared" si="28"/>
        <v>0</v>
      </c>
      <c r="BJ27" s="1722">
        <f t="shared" si="29"/>
        <v>0</v>
      </c>
      <c r="BK27" s="1723">
        <f>(AR27*Pricing!F$3+AS27*Pricing!G$3+AT27*Pricing!H$3+AU27*Pricing!I$3+AV27*Pricing!J$3+AW27*Pricing!K$3+AH27*Pricing!F$3+AI27*Pricing!G$3+AJ27*Pricing!H$3+AK27*Pricing!I$3+AL27*Pricing!J$3+AM27*Pricing!K$3)*IF(T$39="N",(1+V$39),1)</f>
        <v>0</v>
      </c>
      <c r="BL27" s="1723">
        <f t="shared" si="30"/>
        <v>0</v>
      </c>
      <c r="BM27" s="1723">
        <f t="shared" si="31"/>
        <v>0</v>
      </c>
      <c r="BN27" s="1723">
        <f t="shared" si="32"/>
        <v>0</v>
      </c>
      <c r="BO27" s="1723">
        <f t="shared" si="33"/>
        <v>0</v>
      </c>
      <c r="BP27" s="1723">
        <f t="shared" si="34"/>
        <v>0</v>
      </c>
      <c r="BQ27" s="1723">
        <f t="shared" si="35"/>
        <v>0</v>
      </c>
      <c r="BR27" s="1724"/>
      <c r="BS27" s="1725">
        <f t="shared" ref="BS27:BS32" si="48">IF(SUM(BF$36:BG$36)=0,0,(BQ$36-W$58-N$64-W65-(L$79*0.15))/SUM(BF$36:BG$36)*BG27+BN27)</f>
        <v>0</v>
      </c>
      <c r="BT27" s="1723">
        <f>(AH27*Pricing!F$3+AI27*Pricing!G$3+AJ27*Pricing!H$3+AK27*Pricing!I$3+AL27*Pricing!J$3+AM27*Pricing!K$3)*IF(T$39="N",(1+V$39),1)</f>
        <v>0</v>
      </c>
      <c r="BU27" s="1723">
        <f t="shared" si="36"/>
        <v>0</v>
      </c>
      <c r="BV27" s="1723">
        <f t="shared" si="37"/>
        <v>0</v>
      </c>
      <c r="BW27" s="1724">
        <f t="shared" si="38"/>
        <v>0</v>
      </c>
      <c r="DB27" s="1726">
        <f t="shared" si="39"/>
        <v>0</v>
      </c>
      <c r="DC27" s="1723" t="e">
        <f t="shared" si="40"/>
        <v>#DIV/0!</v>
      </c>
      <c r="DD27" s="172">
        <f t="shared" si="41"/>
        <v>0</v>
      </c>
      <c r="DE27" s="847">
        <f t="shared" si="42"/>
        <v>0</v>
      </c>
      <c r="DF27" s="334">
        <f t="shared" si="43"/>
        <v>0</v>
      </c>
      <c r="DG27" s="847">
        <f t="shared" si="44"/>
        <v>0</v>
      </c>
      <c r="DH27" s="847">
        <f t="shared" si="45"/>
        <v>0</v>
      </c>
      <c r="DI27" s="847">
        <f t="shared" si="46"/>
        <v>0</v>
      </c>
      <c r="DJ27" s="1727">
        <f t="shared" si="47"/>
        <v>0</v>
      </c>
    </row>
    <row r="28" spans="1:114" s="1254" customFormat="1" ht="15.45">
      <c r="A28" s="482"/>
      <c r="B28" s="1177"/>
      <c r="C28" s="1710"/>
      <c r="D28" s="1711"/>
      <c r="E28" s="1712"/>
      <c r="F28" s="1108"/>
      <c r="G28" s="1109"/>
      <c r="H28" s="1110"/>
      <c r="I28" s="1108"/>
      <c r="J28" s="1109"/>
      <c r="K28" s="1110"/>
      <c r="L28" s="1108"/>
      <c r="M28" s="1108"/>
      <c r="N28" s="1713"/>
      <c r="O28" s="1108"/>
      <c r="P28" s="1108"/>
      <c r="Q28" s="1108"/>
      <c r="R28" s="1714"/>
      <c r="S28" s="1715"/>
      <c r="T28" s="77"/>
      <c r="U28" s="839"/>
      <c r="V28" s="1716">
        <f t="shared" si="0"/>
        <v>0</v>
      </c>
      <c r="W28" s="1717">
        <f t="shared" si="1"/>
        <v>0</v>
      </c>
      <c r="AH28" s="1720">
        <f t="shared" si="2"/>
        <v>0</v>
      </c>
      <c r="AI28" s="1719">
        <f t="shared" si="3"/>
        <v>0</v>
      </c>
      <c r="AJ28" s="1719">
        <f t="shared" si="4"/>
        <v>0</v>
      </c>
      <c r="AK28" s="1719">
        <f t="shared" si="5"/>
        <v>0</v>
      </c>
      <c r="AL28" s="1719">
        <f t="shared" si="6"/>
        <v>0</v>
      </c>
      <c r="AM28" s="1719">
        <f t="shared" si="7"/>
        <v>0</v>
      </c>
      <c r="AN28" s="1719">
        <f t="shared" si="8"/>
        <v>0</v>
      </c>
      <c r="AO28" s="1719">
        <f t="shared" si="9"/>
        <v>0</v>
      </c>
      <c r="AP28" s="1719">
        <f t="shared" si="10"/>
        <v>0</v>
      </c>
      <c r="AQ28" s="1719">
        <f t="shared" si="11"/>
        <v>0</v>
      </c>
      <c r="AR28" s="1720">
        <f t="shared" si="12"/>
        <v>0</v>
      </c>
      <c r="AS28" s="1719">
        <f t="shared" si="13"/>
        <v>0</v>
      </c>
      <c r="AT28" s="1719">
        <f t="shared" si="14"/>
        <v>0</v>
      </c>
      <c r="AU28" s="1719">
        <f t="shared" si="15"/>
        <v>0</v>
      </c>
      <c r="AV28" s="1719">
        <f t="shared" si="16"/>
        <v>0</v>
      </c>
      <c r="AW28" s="1719">
        <f t="shared" si="17"/>
        <v>0</v>
      </c>
      <c r="AX28" s="1719">
        <f t="shared" si="18"/>
        <v>0</v>
      </c>
      <c r="AY28" s="1719">
        <f t="shared" si="19"/>
        <v>0</v>
      </c>
      <c r="AZ28" s="1719">
        <f t="shared" si="20"/>
        <v>0</v>
      </c>
      <c r="BA28" s="1721">
        <f t="shared" si="21"/>
        <v>0</v>
      </c>
      <c r="BB28" s="1719">
        <f t="shared" si="22"/>
        <v>0</v>
      </c>
      <c r="BC28" s="1719">
        <f t="shared" si="23"/>
        <v>0</v>
      </c>
      <c r="BD28" s="1719">
        <f t="shared" si="24"/>
        <v>0</v>
      </c>
      <c r="BE28" s="1719">
        <f t="shared" si="25"/>
        <v>0</v>
      </c>
      <c r="BF28" s="1719">
        <f t="shared" si="26"/>
        <v>0</v>
      </c>
      <c r="BG28" s="1719">
        <f t="shared" si="27"/>
        <v>0</v>
      </c>
      <c r="BH28" s="1719">
        <f t="shared" si="28"/>
        <v>0</v>
      </c>
      <c r="BJ28" s="1722">
        <f t="shared" si="29"/>
        <v>0</v>
      </c>
      <c r="BK28" s="1723">
        <f>(AR28*Pricing!F$3+AS28*Pricing!G$3+AT28*Pricing!H$3+AU28*Pricing!I$3+AV28*Pricing!J$3+AW28*Pricing!K$3+AH28*Pricing!F$3+AI28*Pricing!G$3+AJ28*Pricing!H$3+AK28*Pricing!I$3+AL28*Pricing!J$3+AM28*Pricing!K$3)*IF(T$39="N",(1+V$39),1)</f>
        <v>0</v>
      </c>
      <c r="BL28" s="1723">
        <f t="shared" si="30"/>
        <v>0</v>
      </c>
      <c r="BM28" s="1723">
        <f t="shared" si="31"/>
        <v>0</v>
      </c>
      <c r="BN28" s="1723">
        <f t="shared" si="32"/>
        <v>0</v>
      </c>
      <c r="BO28" s="1723">
        <f t="shared" si="33"/>
        <v>0</v>
      </c>
      <c r="BP28" s="1723">
        <f t="shared" si="34"/>
        <v>0</v>
      </c>
      <c r="BQ28" s="1723">
        <f t="shared" si="35"/>
        <v>0</v>
      </c>
      <c r="BR28" s="1724"/>
      <c r="BS28" s="1725">
        <f t="shared" si="48"/>
        <v>0</v>
      </c>
      <c r="BT28" s="1723">
        <f>(AH28*Pricing!F$3+AI28*Pricing!G$3+AJ28*Pricing!H$3+AK28*Pricing!I$3+AL28*Pricing!J$3+AM28*Pricing!K$3)*IF(T$39="N",(1+V$39),1)</f>
        <v>0</v>
      </c>
      <c r="BU28" s="1723">
        <f t="shared" si="36"/>
        <v>0</v>
      </c>
      <c r="BV28" s="1723">
        <f t="shared" si="37"/>
        <v>0</v>
      </c>
      <c r="BW28" s="1724">
        <f t="shared" si="38"/>
        <v>0</v>
      </c>
      <c r="DB28" s="1726">
        <f t="shared" si="39"/>
        <v>0</v>
      </c>
      <c r="DC28" s="1723" t="e">
        <f t="shared" si="40"/>
        <v>#DIV/0!</v>
      </c>
      <c r="DD28" s="172">
        <f t="shared" si="41"/>
        <v>0</v>
      </c>
      <c r="DE28" s="847">
        <f t="shared" si="42"/>
        <v>0</v>
      </c>
      <c r="DF28" s="334">
        <f t="shared" si="43"/>
        <v>0</v>
      </c>
      <c r="DG28" s="847">
        <f t="shared" si="44"/>
        <v>0</v>
      </c>
      <c r="DH28" s="847">
        <f t="shared" si="45"/>
        <v>0</v>
      </c>
      <c r="DI28" s="847">
        <f t="shared" si="46"/>
        <v>0</v>
      </c>
      <c r="DJ28" s="1727">
        <f t="shared" si="47"/>
        <v>0</v>
      </c>
    </row>
    <row r="29" spans="1:114" s="1254" customFormat="1" ht="15.45">
      <c r="A29" s="482"/>
      <c r="B29" s="1177"/>
      <c r="C29" s="1710"/>
      <c r="D29" s="1711"/>
      <c r="E29" s="1712"/>
      <c r="F29" s="1108"/>
      <c r="G29" s="1109"/>
      <c r="H29" s="1110"/>
      <c r="I29" s="1108"/>
      <c r="J29" s="1109"/>
      <c r="K29" s="1110"/>
      <c r="L29" s="1108"/>
      <c r="M29" s="1108"/>
      <c r="N29" s="1713"/>
      <c r="O29" s="1108"/>
      <c r="P29" s="1108"/>
      <c r="Q29" s="1108"/>
      <c r="R29" s="1714"/>
      <c r="S29" s="1715"/>
      <c r="T29" s="77"/>
      <c r="U29" s="839"/>
      <c r="V29" s="1716">
        <f t="shared" si="0"/>
        <v>0</v>
      </c>
      <c r="W29" s="1717">
        <f t="shared" si="1"/>
        <v>0</v>
      </c>
      <c r="AH29" s="1720">
        <f t="shared" si="2"/>
        <v>0</v>
      </c>
      <c r="AI29" s="1719">
        <f t="shared" si="3"/>
        <v>0</v>
      </c>
      <c r="AJ29" s="1719">
        <f t="shared" si="4"/>
        <v>0</v>
      </c>
      <c r="AK29" s="1719">
        <f t="shared" si="5"/>
        <v>0</v>
      </c>
      <c r="AL29" s="1719">
        <f t="shared" si="6"/>
        <v>0</v>
      </c>
      <c r="AM29" s="1719">
        <f t="shared" si="7"/>
        <v>0</v>
      </c>
      <c r="AN29" s="1719">
        <f t="shared" si="8"/>
        <v>0</v>
      </c>
      <c r="AO29" s="1719">
        <f t="shared" si="9"/>
        <v>0</v>
      </c>
      <c r="AP29" s="1719">
        <f t="shared" si="10"/>
        <v>0</v>
      </c>
      <c r="AQ29" s="1719">
        <f t="shared" si="11"/>
        <v>0</v>
      </c>
      <c r="AR29" s="1720">
        <f t="shared" si="12"/>
        <v>0</v>
      </c>
      <c r="AS29" s="1719">
        <f t="shared" si="13"/>
        <v>0</v>
      </c>
      <c r="AT29" s="1719">
        <f t="shared" si="14"/>
        <v>0</v>
      </c>
      <c r="AU29" s="1719">
        <f t="shared" si="15"/>
        <v>0</v>
      </c>
      <c r="AV29" s="1719">
        <f t="shared" si="16"/>
        <v>0</v>
      </c>
      <c r="AW29" s="1719">
        <f t="shared" si="17"/>
        <v>0</v>
      </c>
      <c r="AX29" s="1719">
        <f t="shared" si="18"/>
        <v>0</v>
      </c>
      <c r="AY29" s="1719">
        <f t="shared" si="19"/>
        <v>0</v>
      </c>
      <c r="AZ29" s="1719">
        <f t="shared" si="20"/>
        <v>0</v>
      </c>
      <c r="BA29" s="1721">
        <f t="shared" si="21"/>
        <v>0</v>
      </c>
      <c r="BB29" s="1719">
        <f t="shared" si="22"/>
        <v>0</v>
      </c>
      <c r="BC29" s="1719">
        <f t="shared" si="23"/>
        <v>0</v>
      </c>
      <c r="BD29" s="1719">
        <f t="shared" si="24"/>
        <v>0</v>
      </c>
      <c r="BE29" s="1719">
        <f t="shared" si="25"/>
        <v>0</v>
      </c>
      <c r="BF29" s="1719">
        <f t="shared" si="26"/>
        <v>0</v>
      </c>
      <c r="BG29" s="1719">
        <f t="shared" si="27"/>
        <v>0</v>
      </c>
      <c r="BH29" s="1719">
        <f t="shared" si="28"/>
        <v>0</v>
      </c>
      <c r="BJ29" s="1722">
        <f t="shared" si="29"/>
        <v>0</v>
      </c>
      <c r="BK29" s="1723">
        <f>(AR29*Pricing!F$3+AS29*Pricing!G$3+AT29*Pricing!H$3+AU29*Pricing!I$3+AV29*Pricing!J$3+AW29*Pricing!K$3+AH29*Pricing!F$3+AI29*Pricing!G$3+AJ29*Pricing!H$3+AK29*Pricing!I$3+AL29*Pricing!J$3+AM29*Pricing!K$3)*IF(T$39="N",(1+V$39),1)</f>
        <v>0</v>
      </c>
      <c r="BL29" s="1723">
        <f t="shared" si="30"/>
        <v>0</v>
      </c>
      <c r="BM29" s="1723">
        <f t="shared" si="31"/>
        <v>0</v>
      </c>
      <c r="BN29" s="1723">
        <f t="shared" si="32"/>
        <v>0</v>
      </c>
      <c r="BO29" s="1723">
        <f t="shared" si="33"/>
        <v>0</v>
      </c>
      <c r="BP29" s="1723">
        <f t="shared" si="34"/>
        <v>0</v>
      </c>
      <c r="BQ29" s="1723">
        <f t="shared" si="35"/>
        <v>0</v>
      </c>
      <c r="BR29" s="1724"/>
      <c r="BS29" s="1725">
        <f t="shared" si="48"/>
        <v>0</v>
      </c>
      <c r="BT29" s="1723">
        <f>(AH29*Pricing!F$3+AI29*Pricing!G$3+AJ29*Pricing!H$3+AK29*Pricing!I$3+AL29*Pricing!J$3+AM29*Pricing!K$3)*IF(T$39="N",(1+V$39),1)</f>
        <v>0</v>
      </c>
      <c r="BU29" s="1723">
        <f t="shared" si="36"/>
        <v>0</v>
      </c>
      <c r="BV29" s="1723">
        <f t="shared" si="37"/>
        <v>0</v>
      </c>
      <c r="BW29" s="1724">
        <f t="shared" si="38"/>
        <v>0</v>
      </c>
      <c r="DB29" s="1726">
        <f t="shared" si="39"/>
        <v>0</v>
      </c>
      <c r="DC29" s="1723" t="e">
        <f t="shared" si="40"/>
        <v>#DIV/0!</v>
      </c>
      <c r="DD29" s="172">
        <f t="shared" si="41"/>
        <v>0</v>
      </c>
      <c r="DE29" s="847">
        <f t="shared" si="42"/>
        <v>0</v>
      </c>
      <c r="DF29" s="334">
        <f t="shared" si="43"/>
        <v>0</v>
      </c>
      <c r="DG29" s="847">
        <f t="shared" si="44"/>
        <v>0</v>
      </c>
      <c r="DH29" s="847">
        <f t="shared" si="45"/>
        <v>0</v>
      </c>
      <c r="DI29" s="847">
        <f t="shared" si="46"/>
        <v>0</v>
      </c>
      <c r="DJ29" s="1727">
        <f t="shared" si="47"/>
        <v>0</v>
      </c>
    </row>
    <row r="30" spans="1:114" s="1254" customFormat="1" ht="15.45">
      <c r="A30" s="482"/>
      <c r="B30" s="1177"/>
      <c r="C30" s="1710"/>
      <c r="D30" s="1711"/>
      <c r="E30" s="1712"/>
      <c r="F30" s="1108"/>
      <c r="G30" s="1109"/>
      <c r="H30" s="1110"/>
      <c r="I30" s="1108"/>
      <c r="J30" s="1109"/>
      <c r="K30" s="1110"/>
      <c r="L30" s="1108"/>
      <c r="M30" s="1108"/>
      <c r="N30" s="1713"/>
      <c r="O30" s="1108"/>
      <c r="P30" s="1108"/>
      <c r="Q30" s="1108"/>
      <c r="R30" s="1714"/>
      <c r="S30" s="1715"/>
      <c r="T30" s="77"/>
      <c r="U30" s="839"/>
      <c r="V30" s="1716">
        <f t="shared" si="0"/>
        <v>0</v>
      </c>
      <c r="W30" s="1717">
        <f t="shared" si="1"/>
        <v>0</v>
      </c>
      <c r="AH30" s="1720">
        <f t="shared" si="2"/>
        <v>0</v>
      </c>
      <c r="AI30" s="1719">
        <f t="shared" si="3"/>
        <v>0</v>
      </c>
      <c r="AJ30" s="1719">
        <f t="shared" si="4"/>
        <v>0</v>
      </c>
      <c r="AK30" s="1719">
        <f t="shared" si="5"/>
        <v>0</v>
      </c>
      <c r="AL30" s="1719">
        <f t="shared" si="6"/>
        <v>0</v>
      </c>
      <c r="AM30" s="1719">
        <f t="shared" si="7"/>
        <v>0</v>
      </c>
      <c r="AN30" s="1719">
        <f t="shared" si="8"/>
        <v>0</v>
      </c>
      <c r="AO30" s="1719">
        <f t="shared" si="9"/>
        <v>0</v>
      </c>
      <c r="AP30" s="1719">
        <f t="shared" si="10"/>
        <v>0</v>
      </c>
      <c r="AQ30" s="1719">
        <f t="shared" si="11"/>
        <v>0</v>
      </c>
      <c r="AR30" s="1720">
        <f t="shared" si="12"/>
        <v>0</v>
      </c>
      <c r="AS30" s="1719">
        <f t="shared" si="13"/>
        <v>0</v>
      </c>
      <c r="AT30" s="1719">
        <f t="shared" si="14"/>
        <v>0</v>
      </c>
      <c r="AU30" s="1719">
        <f t="shared" si="15"/>
        <v>0</v>
      </c>
      <c r="AV30" s="1719">
        <f t="shared" si="16"/>
        <v>0</v>
      </c>
      <c r="AW30" s="1719">
        <f t="shared" si="17"/>
        <v>0</v>
      </c>
      <c r="AX30" s="1719">
        <f t="shared" si="18"/>
        <v>0</v>
      </c>
      <c r="AY30" s="1719">
        <f t="shared" si="19"/>
        <v>0</v>
      </c>
      <c r="AZ30" s="1719">
        <f t="shared" si="20"/>
        <v>0</v>
      </c>
      <c r="BA30" s="1721">
        <f t="shared" si="21"/>
        <v>0</v>
      </c>
      <c r="BB30" s="1719">
        <f t="shared" si="22"/>
        <v>0</v>
      </c>
      <c r="BC30" s="1719">
        <f t="shared" si="23"/>
        <v>0</v>
      </c>
      <c r="BD30" s="1719">
        <f t="shared" si="24"/>
        <v>0</v>
      </c>
      <c r="BE30" s="1719">
        <f t="shared" si="25"/>
        <v>0</v>
      </c>
      <c r="BF30" s="1719">
        <f t="shared" si="26"/>
        <v>0</v>
      </c>
      <c r="BG30" s="1719">
        <f t="shared" si="27"/>
        <v>0</v>
      </c>
      <c r="BH30" s="1719">
        <f t="shared" si="28"/>
        <v>0</v>
      </c>
      <c r="BJ30" s="1722">
        <f t="shared" si="29"/>
        <v>0</v>
      </c>
      <c r="BK30" s="1723">
        <f>(AR30*Pricing!F$3+AS30*Pricing!G$3+AT30*Pricing!H$3+AU30*Pricing!I$3+AV30*Pricing!J$3+AW30*Pricing!K$3+AH30*Pricing!F$3+AI30*Pricing!G$3+AJ30*Pricing!H$3+AK30*Pricing!I$3+AL30*Pricing!J$3+AM30*Pricing!K$3)*IF(T$39="N",(1+V$39),1)</f>
        <v>0</v>
      </c>
      <c r="BL30" s="1723">
        <f t="shared" si="30"/>
        <v>0</v>
      </c>
      <c r="BM30" s="1723">
        <f t="shared" si="31"/>
        <v>0</v>
      </c>
      <c r="BN30" s="1723">
        <f t="shared" si="32"/>
        <v>0</v>
      </c>
      <c r="BO30" s="1723">
        <f t="shared" si="33"/>
        <v>0</v>
      </c>
      <c r="BP30" s="1723">
        <f t="shared" si="34"/>
        <v>0</v>
      </c>
      <c r="BQ30" s="1723">
        <f t="shared" si="35"/>
        <v>0</v>
      </c>
      <c r="BR30" s="1724"/>
      <c r="BS30" s="1725">
        <f t="shared" si="48"/>
        <v>0</v>
      </c>
      <c r="BT30" s="1723">
        <f>(AH30*Pricing!F$3+AI30*Pricing!G$3+AJ30*Pricing!H$3+AK30*Pricing!I$3+AL30*Pricing!J$3+AM30*Pricing!K$3)*IF(T$39="N",(1+V$39),1)</f>
        <v>0</v>
      </c>
      <c r="BU30" s="1723">
        <f t="shared" si="36"/>
        <v>0</v>
      </c>
      <c r="BV30" s="1723">
        <f t="shared" si="37"/>
        <v>0</v>
      </c>
      <c r="BW30" s="1724">
        <f t="shared" si="38"/>
        <v>0</v>
      </c>
      <c r="DB30" s="1726">
        <f t="shared" si="39"/>
        <v>0</v>
      </c>
      <c r="DC30" s="1723" t="e">
        <f t="shared" si="40"/>
        <v>#DIV/0!</v>
      </c>
      <c r="DD30" s="172">
        <f t="shared" si="41"/>
        <v>0</v>
      </c>
      <c r="DE30" s="847">
        <f t="shared" si="42"/>
        <v>0</v>
      </c>
      <c r="DF30" s="334">
        <f t="shared" si="43"/>
        <v>0</v>
      </c>
      <c r="DG30" s="847">
        <f t="shared" si="44"/>
        <v>0</v>
      </c>
      <c r="DH30" s="847">
        <f t="shared" si="45"/>
        <v>0</v>
      </c>
      <c r="DI30" s="847">
        <f t="shared" si="46"/>
        <v>0</v>
      </c>
      <c r="DJ30" s="1727">
        <f t="shared" si="47"/>
        <v>0</v>
      </c>
    </row>
    <row r="31" spans="1:114" s="1254" customFormat="1" ht="15.45">
      <c r="A31" s="482"/>
      <c r="B31" s="1177"/>
      <c r="C31" s="1710"/>
      <c r="D31" s="1711"/>
      <c r="E31" s="1712"/>
      <c r="F31" s="1108"/>
      <c r="G31" s="1109"/>
      <c r="H31" s="1110"/>
      <c r="I31" s="1108"/>
      <c r="J31" s="1109"/>
      <c r="K31" s="1110"/>
      <c r="L31" s="1108"/>
      <c r="M31" s="1108"/>
      <c r="N31" s="1713"/>
      <c r="O31" s="1108"/>
      <c r="P31" s="1108"/>
      <c r="Q31" s="1108"/>
      <c r="R31" s="1714"/>
      <c r="S31" s="1715"/>
      <c r="T31" s="77"/>
      <c r="U31" s="839"/>
      <c r="V31" s="1716">
        <f t="shared" si="0"/>
        <v>0</v>
      </c>
      <c r="W31" s="1717">
        <f t="shared" si="1"/>
        <v>0</v>
      </c>
      <c r="AH31" s="1720">
        <f t="shared" si="2"/>
        <v>0</v>
      </c>
      <c r="AI31" s="1719">
        <f t="shared" si="3"/>
        <v>0</v>
      </c>
      <c r="AJ31" s="1719">
        <f t="shared" si="4"/>
        <v>0</v>
      </c>
      <c r="AK31" s="1719">
        <f t="shared" si="5"/>
        <v>0</v>
      </c>
      <c r="AL31" s="1719">
        <f t="shared" si="6"/>
        <v>0</v>
      </c>
      <c r="AM31" s="1719">
        <f t="shared" si="7"/>
        <v>0</v>
      </c>
      <c r="AN31" s="1719">
        <f t="shared" si="8"/>
        <v>0</v>
      </c>
      <c r="AO31" s="1719">
        <f t="shared" si="9"/>
        <v>0</v>
      </c>
      <c r="AP31" s="1719">
        <f t="shared" si="10"/>
        <v>0</v>
      </c>
      <c r="AQ31" s="1719">
        <f t="shared" si="11"/>
        <v>0</v>
      </c>
      <c r="AR31" s="1720">
        <f t="shared" si="12"/>
        <v>0</v>
      </c>
      <c r="AS31" s="1719">
        <f t="shared" si="13"/>
        <v>0</v>
      </c>
      <c r="AT31" s="1719">
        <f t="shared" si="14"/>
        <v>0</v>
      </c>
      <c r="AU31" s="1719">
        <f t="shared" si="15"/>
        <v>0</v>
      </c>
      <c r="AV31" s="1719">
        <f t="shared" si="16"/>
        <v>0</v>
      </c>
      <c r="AW31" s="1719">
        <f t="shared" si="17"/>
        <v>0</v>
      </c>
      <c r="AX31" s="1719">
        <f t="shared" si="18"/>
        <v>0</v>
      </c>
      <c r="AY31" s="1719">
        <f t="shared" si="19"/>
        <v>0</v>
      </c>
      <c r="AZ31" s="1719">
        <f t="shared" si="20"/>
        <v>0</v>
      </c>
      <c r="BA31" s="1721">
        <f t="shared" si="21"/>
        <v>0</v>
      </c>
      <c r="BB31" s="1719">
        <f t="shared" si="22"/>
        <v>0</v>
      </c>
      <c r="BC31" s="1719">
        <f t="shared" si="23"/>
        <v>0</v>
      </c>
      <c r="BD31" s="1719">
        <f t="shared" si="24"/>
        <v>0</v>
      </c>
      <c r="BE31" s="1719">
        <f t="shared" si="25"/>
        <v>0</v>
      </c>
      <c r="BF31" s="1719">
        <f t="shared" si="26"/>
        <v>0</v>
      </c>
      <c r="BG31" s="1719">
        <f t="shared" si="27"/>
        <v>0</v>
      </c>
      <c r="BH31" s="1719">
        <f t="shared" si="28"/>
        <v>0</v>
      </c>
      <c r="BJ31" s="1722">
        <f t="shared" si="29"/>
        <v>0</v>
      </c>
      <c r="BK31" s="1723">
        <f>(AR31*Pricing!F$3+AS31*Pricing!G$3+AT31*Pricing!H$3+AU31*Pricing!I$3+AV31*Pricing!J$3+AW31*Pricing!K$3+AH31*Pricing!F$3+AI31*Pricing!G$3+AJ31*Pricing!H$3+AK31*Pricing!I$3+AL31*Pricing!J$3+AM31*Pricing!K$3)*IF(T$39="N",(1+V$39),1)</f>
        <v>0</v>
      </c>
      <c r="BL31" s="1723">
        <f t="shared" si="30"/>
        <v>0</v>
      </c>
      <c r="BM31" s="1723">
        <f t="shared" si="31"/>
        <v>0</v>
      </c>
      <c r="BN31" s="1723">
        <f t="shared" si="32"/>
        <v>0</v>
      </c>
      <c r="BO31" s="1723">
        <f t="shared" si="33"/>
        <v>0</v>
      </c>
      <c r="BP31" s="1723">
        <f t="shared" si="34"/>
        <v>0</v>
      </c>
      <c r="BQ31" s="1723">
        <f t="shared" si="35"/>
        <v>0</v>
      </c>
      <c r="BR31" s="1724"/>
      <c r="BS31" s="1725">
        <f t="shared" si="48"/>
        <v>0</v>
      </c>
      <c r="BT31" s="1723">
        <f>(AH31*Pricing!F$3+AI31*Pricing!G$3+AJ31*Pricing!H$3+AK31*Pricing!I$3+AL31*Pricing!J$3+AM31*Pricing!K$3)*IF(T$39="N",(1+V$39),1)</f>
        <v>0</v>
      </c>
      <c r="BU31" s="1723">
        <f t="shared" si="36"/>
        <v>0</v>
      </c>
      <c r="BV31" s="1723">
        <f t="shared" si="37"/>
        <v>0</v>
      </c>
      <c r="BW31" s="1724">
        <f t="shared" si="38"/>
        <v>0</v>
      </c>
      <c r="DB31" s="1726">
        <f t="shared" si="39"/>
        <v>0</v>
      </c>
      <c r="DC31" s="1723" t="e">
        <f t="shared" si="40"/>
        <v>#DIV/0!</v>
      </c>
      <c r="DD31" s="172">
        <f t="shared" si="41"/>
        <v>0</v>
      </c>
      <c r="DE31" s="847">
        <f t="shared" si="42"/>
        <v>0</v>
      </c>
      <c r="DF31" s="334">
        <f t="shared" si="43"/>
        <v>0</v>
      </c>
      <c r="DG31" s="847">
        <f t="shared" si="44"/>
        <v>0</v>
      </c>
      <c r="DH31" s="847">
        <f t="shared" si="45"/>
        <v>0</v>
      </c>
      <c r="DI31" s="847">
        <f t="shared" si="46"/>
        <v>0</v>
      </c>
      <c r="DJ31" s="1727">
        <f t="shared" si="47"/>
        <v>0</v>
      </c>
    </row>
    <row r="32" spans="1:114" s="1254" customFormat="1" ht="15.45">
      <c r="A32" s="482"/>
      <c r="B32" s="1177"/>
      <c r="C32" s="1710"/>
      <c r="D32" s="1711"/>
      <c r="E32" s="1712"/>
      <c r="F32" s="1108"/>
      <c r="G32" s="1109"/>
      <c r="H32" s="1110"/>
      <c r="I32" s="1108"/>
      <c r="J32" s="1109"/>
      <c r="K32" s="1110"/>
      <c r="L32" s="1108"/>
      <c r="M32" s="1108"/>
      <c r="N32" s="1713"/>
      <c r="O32" s="1108"/>
      <c r="P32" s="1108"/>
      <c r="Q32" s="1108"/>
      <c r="R32" s="1714"/>
      <c r="S32" s="1715"/>
      <c r="T32" s="77"/>
      <c r="U32" s="839"/>
      <c r="V32" s="1716">
        <f t="shared" si="0"/>
        <v>0</v>
      </c>
      <c r="W32" s="1717">
        <f t="shared" si="1"/>
        <v>0</v>
      </c>
      <c r="AH32" s="1720">
        <f t="shared" si="2"/>
        <v>0</v>
      </c>
      <c r="AI32" s="1719">
        <f t="shared" si="3"/>
        <v>0</v>
      </c>
      <c r="AJ32" s="1719">
        <f t="shared" si="4"/>
        <v>0</v>
      </c>
      <c r="AK32" s="1719">
        <f t="shared" si="5"/>
        <v>0</v>
      </c>
      <c r="AL32" s="1719">
        <f t="shared" si="6"/>
        <v>0</v>
      </c>
      <c r="AM32" s="1719">
        <f t="shared" si="7"/>
        <v>0</v>
      </c>
      <c r="AN32" s="1719">
        <f t="shared" si="8"/>
        <v>0</v>
      </c>
      <c r="AO32" s="1719">
        <f t="shared" si="9"/>
        <v>0</v>
      </c>
      <c r="AP32" s="1719">
        <f t="shared" si="10"/>
        <v>0</v>
      </c>
      <c r="AQ32" s="1719">
        <f t="shared" si="11"/>
        <v>0</v>
      </c>
      <c r="AR32" s="1720">
        <f t="shared" si="12"/>
        <v>0</v>
      </c>
      <c r="AS32" s="1719">
        <f t="shared" si="13"/>
        <v>0</v>
      </c>
      <c r="AT32" s="1719">
        <f t="shared" si="14"/>
        <v>0</v>
      </c>
      <c r="AU32" s="1719">
        <f t="shared" si="15"/>
        <v>0</v>
      </c>
      <c r="AV32" s="1719">
        <f t="shared" si="16"/>
        <v>0</v>
      </c>
      <c r="AW32" s="1719">
        <f t="shared" si="17"/>
        <v>0</v>
      </c>
      <c r="AX32" s="1719">
        <f t="shared" si="18"/>
        <v>0</v>
      </c>
      <c r="AY32" s="1719">
        <f t="shared" si="19"/>
        <v>0</v>
      </c>
      <c r="AZ32" s="1719">
        <f t="shared" si="20"/>
        <v>0</v>
      </c>
      <c r="BA32" s="1721">
        <f t="shared" si="21"/>
        <v>0</v>
      </c>
      <c r="BB32" s="1719">
        <f t="shared" si="22"/>
        <v>0</v>
      </c>
      <c r="BC32" s="1719">
        <f t="shared" si="23"/>
        <v>0</v>
      </c>
      <c r="BD32" s="1719">
        <f t="shared" si="24"/>
        <v>0</v>
      </c>
      <c r="BE32" s="1719">
        <f t="shared" si="25"/>
        <v>0</v>
      </c>
      <c r="BF32" s="1719">
        <f t="shared" si="26"/>
        <v>0</v>
      </c>
      <c r="BG32" s="1719">
        <f t="shared" si="27"/>
        <v>0</v>
      </c>
      <c r="BH32" s="1719">
        <f t="shared" si="28"/>
        <v>0</v>
      </c>
      <c r="BJ32" s="1722">
        <f t="shared" si="29"/>
        <v>0</v>
      </c>
      <c r="BK32" s="1723">
        <f>(AR32*Pricing!F$3+AS32*Pricing!G$3+AT32*Pricing!H$3+AU32*Pricing!I$3+AV32*Pricing!J$3+AW32*Pricing!K$3+AH32*Pricing!F$3+AI32*Pricing!G$3+AJ32*Pricing!H$3+AK32*Pricing!I$3+AL32*Pricing!J$3+AM32*Pricing!K$3)*IF(T$39="N",(1+V$39),1)</f>
        <v>0</v>
      </c>
      <c r="BL32" s="1723">
        <f t="shared" si="30"/>
        <v>0</v>
      </c>
      <c r="BM32" s="1723">
        <f t="shared" si="31"/>
        <v>0</v>
      </c>
      <c r="BN32" s="1723">
        <f t="shared" si="32"/>
        <v>0</v>
      </c>
      <c r="BO32" s="1723">
        <f t="shared" si="33"/>
        <v>0</v>
      </c>
      <c r="BP32" s="1723">
        <f t="shared" si="34"/>
        <v>0</v>
      </c>
      <c r="BQ32" s="1723">
        <f t="shared" si="35"/>
        <v>0</v>
      </c>
      <c r="BR32" s="1724"/>
      <c r="BS32" s="1725">
        <f t="shared" si="48"/>
        <v>0</v>
      </c>
      <c r="BT32" s="1723">
        <f>(AH32*Pricing!F$3+AI32*Pricing!G$3+AJ32*Pricing!H$3+AK32*Pricing!I$3+AL32*Pricing!J$3+AM32*Pricing!K$3)*IF(T$39="N",(1+V$39),1)</f>
        <v>0</v>
      </c>
      <c r="BU32" s="1723">
        <f t="shared" si="36"/>
        <v>0</v>
      </c>
      <c r="BV32" s="1723">
        <f t="shared" si="37"/>
        <v>0</v>
      </c>
      <c r="BW32" s="1724">
        <f t="shared" si="38"/>
        <v>0</v>
      </c>
      <c r="DB32" s="1726">
        <f t="shared" si="39"/>
        <v>0</v>
      </c>
      <c r="DC32" s="1723" t="e">
        <f t="shared" si="40"/>
        <v>#DIV/0!</v>
      </c>
      <c r="DD32" s="172">
        <f t="shared" si="41"/>
        <v>0</v>
      </c>
      <c r="DE32" s="847">
        <f t="shared" si="42"/>
        <v>0</v>
      </c>
      <c r="DF32" s="334">
        <f t="shared" si="43"/>
        <v>0</v>
      </c>
      <c r="DG32" s="847">
        <f t="shared" si="44"/>
        <v>0</v>
      </c>
      <c r="DH32" s="847">
        <f t="shared" si="45"/>
        <v>0</v>
      </c>
      <c r="DI32" s="847">
        <f t="shared" si="46"/>
        <v>0</v>
      </c>
      <c r="DJ32" s="1727">
        <f t="shared" si="47"/>
        <v>0</v>
      </c>
    </row>
    <row r="33" spans="1:114" s="1254" customFormat="1" ht="15.45">
      <c r="A33" s="482"/>
      <c r="B33" s="1177"/>
      <c r="C33" s="1710"/>
      <c r="D33" s="1711"/>
      <c r="E33" s="1712"/>
      <c r="F33" s="1108"/>
      <c r="G33" s="1109"/>
      <c r="H33" s="1110"/>
      <c r="I33" s="1108"/>
      <c r="J33" s="1109"/>
      <c r="K33" s="1110"/>
      <c r="L33" s="1108"/>
      <c r="M33" s="1108"/>
      <c r="N33" s="1713"/>
      <c r="O33" s="1108"/>
      <c r="P33" s="1108"/>
      <c r="Q33" s="1108"/>
      <c r="R33" s="1714"/>
      <c r="S33" s="1715"/>
      <c r="T33" s="77"/>
      <c r="U33" s="839"/>
      <c r="V33" s="1716">
        <f t="shared" si="0"/>
        <v>0</v>
      </c>
      <c r="W33" s="1717">
        <f t="shared" si="1"/>
        <v>0</v>
      </c>
      <c r="AH33" s="1720">
        <f t="shared" si="2"/>
        <v>0</v>
      </c>
      <c r="AI33" s="1719">
        <f t="shared" si="3"/>
        <v>0</v>
      </c>
      <c r="AJ33" s="1719">
        <f t="shared" si="4"/>
        <v>0</v>
      </c>
      <c r="AK33" s="1719">
        <f t="shared" si="5"/>
        <v>0</v>
      </c>
      <c r="AL33" s="1719">
        <f t="shared" si="6"/>
        <v>0</v>
      </c>
      <c r="AM33" s="1719">
        <f t="shared" si="7"/>
        <v>0</v>
      </c>
      <c r="AN33" s="1719">
        <f t="shared" si="8"/>
        <v>0</v>
      </c>
      <c r="AO33" s="1719">
        <f t="shared" si="9"/>
        <v>0</v>
      </c>
      <c r="AP33" s="1719">
        <f t="shared" si="10"/>
        <v>0</v>
      </c>
      <c r="AQ33" s="1719">
        <f t="shared" si="11"/>
        <v>0</v>
      </c>
      <c r="AR33" s="1720">
        <f t="shared" si="12"/>
        <v>0</v>
      </c>
      <c r="AS33" s="1719">
        <f t="shared" si="13"/>
        <v>0</v>
      </c>
      <c r="AT33" s="1719">
        <f t="shared" si="14"/>
        <v>0</v>
      </c>
      <c r="AU33" s="1719">
        <f t="shared" si="15"/>
        <v>0</v>
      </c>
      <c r="AV33" s="1719">
        <f t="shared" si="16"/>
        <v>0</v>
      </c>
      <c r="AW33" s="1719">
        <f t="shared" si="17"/>
        <v>0</v>
      </c>
      <c r="AX33" s="1719">
        <f t="shared" si="18"/>
        <v>0</v>
      </c>
      <c r="AY33" s="1719">
        <f t="shared" si="19"/>
        <v>0</v>
      </c>
      <c r="AZ33" s="1719">
        <f t="shared" si="20"/>
        <v>0</v>
      </c>
      <c r="BA33" s="1721">
        <f t="shared" si="21"/>
        <v>0</v>
      </c>
      <c r="BB33" s="1719">
        <f t="shared" si="22"/>
        <v>0</v>
      </c>
      <c r="BC33" s="1719">
        <f t="shared" si="23"/>
        <v>0</v>
      </c>
      <c r="BD33" s="1719">
        <f t="shared" si="24"/>
        <v>0</v>
      </c>
      <c r="BE33" s="1719">
        <f t="shared" si="25"/>
        <v>0</v>
      </c>
      <c r="BF33" s="1719">
        <f t="shared" si="26"/>
        <v>0</v>
      </c>
      <c r="BG33" s="1719">
        <f t="shared" si="27"/>
        <v>0</v>
      </c>
      <c r="BH33" s="1719">
        <f t="shared" si="28"/>
        <v>0</v>
      </c>
      <c r="BJ33" s="1722">
        <f t="shared" si="29"/>
        <v>0</v>
      </c>
      <c r="BK33" s="1723">
        <f>(AR33*Pricing!F$3+AS33*Pricing!G$3+AT33*Pricing!H$3+AU33*Pricing!I$3+AV33*Pricing!J$3+AW33*Pricing!K$3+AH33*Pricing!F$3+AI33*Pricing!G$3+AJ33*Pricing!H$3+AK33*Pricing!I$3+AL33*Pricing!J$3+AM33*Pricing!K$3)*IF(T$39="N",(1+V$39),1)</f>
        <v>0</v>
      </c>
      <c r="BL33" s="1723">
        <f t="shared" si="30"/>
        <v>0</v>
      </c>
      <c r="BM33" s="1723">
        <f t="shared" si="31"/>
        <v>0</v>
      </c>
      <c r="BN33" s="1723">
        <f t="shared" si="32"/>
        <v>0</v>
      </c>
      <c r="BO33" s="1723">
        <f t="shared" si="33"/>
        <v>0</v>
      </c>
      <c r="BP33" s="1723">
        <f t="shared" si="34"/>
        <v>0</v>
      </c>
      <c r="BQ33" s="1723">
        <f t="shared" si="35"/>
        <v>0</v>
      </c>
      <c r="BR33" s="1724"/>
      <c r="BS33" s="1725">
        <f>IF(SUM(BF$36:BG$36)=0,0,(BQ$36-W$58-N$64-W81-(L$79*0.15))/SUM(BF$36:BG$36)*BG33+BN33)</f>
        <v>0</v>
      </c>
      <c r="BT33" s="1723">
        <f>(AH33*Pricing!F$3+AI33*Pricing!G$3+AJ33*Pricing!H$3+AK33*Pricing!I$3+AL33*Pricing!J$3+AM33*Pricing!K$3)*IF(T$39="N",(1+V$39),1)</f>
        <v>0</v>
      </c>
      <c r="BU33" s="1723">
        <f t="shared" si="36"/>
        <v>0</v>
      </c>
      <c r="BV33" s="1723">
        <f t="shared" si="37"/>
        <v>0</v>
      </c>
      <c r="BW33" s="1724">
        <f t="shared" si="38"/>
        <v>0</v>
      </c>
      <c r="DB33" s="1726">
        <f t="shared" si="39"/>
        <v>0</v>
      </c>
      <c r="DC33" s="1723" t="e">
        <f t="shared" si="40"/>
        <v>#DIV/0!</v>
      </c>
      <c r="DD33" s="172">
        <f t="shared" si="41"/>
        <v>0</v>
      </c>
      <c r="DE33" s="847">
        <f t="shared" si="42"/>
        <v>0</v>
      </c>
      <c r="DF33" s="334">
        <f t="shared" si="43"/>
        <v>0</v>
      </c>
      <c r="DG33" s="847">
        <f t="shared" si="44"/>
        <v>0</v>
      </c>
      <c r="DH33" s="847">
        <f t="shared" si="45"/>
        <v>0</v>
      </c>
      <c r="DI33" s="847">
        <f t="shared" si="46"/>
        <v>0</v>
      </c>
      <c r="DJ33" s="1727">
        <f t="shared" si="47"/>
        <v>0</v>
      </c>
    </row>
    <row r="34" spans="1:114" s="1254" customFormat="1" ht="15.45">
      <c r="A34" s="482"/>
      <c r="B34" s="1177"/>
      <c r="C34" s="1710"/>
      <c r="D34" s="1711"/>
      <c r="E34" s="1712"/>
      <c r="F34" s="1108"/>
      <c r="G34" s="1109"/>
      <c r="H34" s="1110"/>
      <c r="I34" s="1108"/>
      <c r="J34" s="1109"/>
      <c r="K34" s="1110"/>
      <c r="L34" s="1108"/>
      <c r="M34" s="1108"/>
      <c r="N34" s="1713"/>
      <c r="O34" s="1108"/>
      <c r="P34" s="1108"/>
      <c r="Q34" s="1108"/>
      <c r="R34" s="1714"/>
      <c r="S34" s="1715"/>
      <c r="T34" s="77"/>
      <c r="U34" s="839"/>
      <c r="V34" s="1716">
        <f t="shared" si="0"/>
        <v>0</v>
      </c>
      <c r="W34" s="1717">
        <f t="shared" si="1"/>
        <v>0</v>
      </c>
      <c r="AH34" s="1720">
        <f t="shared" si="2"/>
        <v>0</v>
      </c>
      <c r="AI34" s="1719">
        <f t="shared" si="3"/>
        <v>0</v>
      </c>
      <c r="AJ34" s="1719">
        <f t="shared" si="4"/>
        <v>0</v>
      </c>
      <c r="AK34" s="1719">
        <f t="shared" si="5"/>
        <v>0</v>
      </c>
      <c r="AL34" s="1719">
        <f t="shared" si="6"/>
        <v>0</v>
      </c>
      <c r="AM34" s="1719">
        <f t="shared" si="7"/>
        <v>0</v>
      </c>
      <c r="AN34" s="1719">
        <f t="shared" si="8"/>
        <v>0</v>
      </c>
      <c r="AO34" s="1719">
        <f t="shared" si="9"/>
        <v>0</v>
      </c>
      <c r="AP34" s="1719">
        <f t="shared" si="10"/>
        <v>0</v>
      </c>
      <c r="AQ34" s="1719">
        <f t="shared" si="11"/>
        <v>0</v>
      </c>
      <c r="AR34" s="1720">
        <f t="shared" si="12"/>
        <v>0</v>
      </c>
      <c r="AS34" s="1719">
        <f t="shared" si="13"/>
        <v>0</v>
      </c>
      <c r="AT34" s="1719">
        <f t="shared" si="14"/>
        <v>0</v>
      </c>
      <c r="AU34" s="1719">
        <f t="shared" si="15"/>
        <v>0</v>
      </c>
      <c r="AV34" s="1719">
        <f t="shared" si="16"/>
        <v>0</v>
      </c>
      <c r="AW34" s="1719">
        <f t="shared" si="17"/>
        <v>0</v>
      </c>
      <c r="AX34" s="1719">
        <f t="shared" si="18"/>
        <v>0</v>
      </c>
      <c r="AY34" s="1719">
        <f t="shared" si="19"/>
        <v>0</v>
      </c>
      <c r="AZ34" s="1719">
        <f t="shared" si="20"/>
        <v>0</v>
      </c>
      <c r="BA34" s="1721">
        <f t="shared" si="21"/>
        <v>0</v>
      </c>
      <c r="BB34" s="1719">
        <f t="shared" si="22"/>
        <v>0</v>
      </c>
      <c r="BC34" s="1719">
        <f t="shared" si="23"/>
        <v>0</v>
      </c>
      <c r="BD34" s="1719">
        <f t="shared" si="24"/>
        <v>0</v>
      </c>
      <c r="BE34" s="1719">
        <f t="shared" si="25"/>
        <v>0</v>
      </c>
      <c r="BF34" s="1719">
        <f t="shared" si="26"/>
        <v>0</v>
      </c>
      <c r="BG34" s="1719">
        <f t="shared" si="27"/>
        <v>0</v>
      </c>
      <c r="BH34" s="1719">
        <f t="shared" si="28"/>
        <v>0</v>
      </c>
      <c r="BJ34" s="1722">
        <f t="shared" si="29"/>
        <v>0</v>
      </c>
      <c r="BK34" s="1723">
        <f>(AR34*Pricing!F$3+AS34*Pricing!G$3+AT34*Pricing!H$3+AU34*Pricing!I$3+AV34*Pricing!J$3+AW34*Pricing!K$3+AH34*Pricing!F$3+AI34*Pricing!G$3+AJ34*Pricing!H$3+AK34*Pricing!I$3+AL34*Pricing!J$3+AM34*Pricing!K$3)*IF(T$39="N",(1+V$39),1)</f>
        <v>0</v>
      </c>
      <c r="BL34" s="1723">
        <f t="shared" si="30"/>
        <v>0</v>
      </c>
      <c r="BM34" s="1723">
        <f t="shared" si="31"/>
        <v>0</v>
      </c>
      <c r="BN34" s="1723">
        <f t="shared" si="32"/>
        <v>0</v>
      </c>
      <c r="BO34" s="1723">
        <f t="shared" si="33"/>
        <v>0</v>
      </c>
      <c r="BP34" s="1723">
        <f t="shared" si="34"/>
        <v>0</v>
      </c>
      <c r="BQ34" s="1723">
        <f t="shared" si="35"/>
        <v>0</v>
      </c>
      <c r="BR34" s="1724"/>
      <c r="BS34" s="1725">
        <f>IF(SUM(BF$36:BG$36)=0,0,(BQ$36-W$58-N$64-W82-(L$79*0.15))/SUM(BF$36:BG$36)*BG34+BN34)</f>
        <v>0</v>
      </c>
      <c r="BT34" s="1723">
        <f>(AH34*Pricing!F$3+AI34*Pricing!G$3+AJ34*Pricing!H$3+AK34*Pricing!I$3+AL34*Pricing!J$3+AM34*Pricing!K$3)*IF(T$39="N",(1+V$39),1)</f>
        <v>0</v>
      </c>
      <c r="BU34" s="1723">
        <f t="shared" si="36"/>
        <v>0</v>
      </c>
      <c r="BV34" s="1723">
        <f t="shared" si="37"/>
        <v>0</v>
      </c>
      <c r="BW34" s="1724">
        <f t="shared" si="38"/>
        <v>0</v>
      </c>
      <c r="DB34" s="1726">
        <f t="shared" si="39"/>
        <v>0</v>
      </c>
      <c r="DC34" s="1723" t="e">
        <f t="shared" si="40"/>
        <v>#DIV/0!</v>
      </c>
      <c r="DD34" s="172">
        <f t="shared" si="41"/>
        <v>0</v>
      </c>
      <c r="DE34" s="847">
        <f t="shared" si="42"/>
        <v>0</v>
      </c>
      <c r="DF34" s="334">
        <f t="shared" si="43"/>
        <v>0</v>
      </c>
      <c r="DG34" s="847">
        <f t="shared" si="44"/>
        <v>0</v>
      </c>
      <c r="DH34" s="847">
        <f t="shared" si="45"/>
        <v>0</v>
      </c>
      <c r="DI34" s="847">
        <f t="shared" si="46"/>
        <v>0</v>
      </c>
      <c r="DJ34" s="1727">
        <f t="shared" si="47"/>
        <v>0</v>
      </c>
    </row>
    <row r="35" spans="1:114" s="1254" customFormat="1" ht="15.45">
      <c r="A35" s="482"/>
      <c r="B35" s="1177"/>
      <c r="C35" s="1729"/>
      <c r="D35" s="1711"/>
      <c r="E35" s="1712"/>
      <c r="F35" s="1108"/>
      <c r="G35" s="1109"/>
      <c r="H35" s="1110"/>
      <c r="I35" s="1108"/>
      <c r="J35" s="1109"/>
      <c r="K35" s="1110"/>
      <c r="L35" s="1108"/>
      <c r="M35" s="1108"/>
      <c r="N35" s="1713"/>
      <c r="O35" s="1108"/>
      <c r="P35" s="1108"/>
      <c r="Q35" s="1108"/>
      <c r="R35" s="1714"/>
      <c r="S35" s="1715"/>
      <c r="T35" s="77"/>
      <c r="U35" s="839"/>
      <c r="V35" s="1716">
        <f t="shared" si="0"/>
        <v>0</v>
      </c>
      <c r="W35" s="1717">
        <f t="shared" si="1"/>
        <v>0</v>
      </c>
      <c r="AH35" s="1730">
        <f t="shared" si="2"/>
        <v>0</v>
      </c>
      <c r="AI35" s="1731">
        <f t="shared" si="3"/>
        <v>0</v>
      </c>
      <c r="AJ35" s="1731">
        <f t="shared" si="4"/>
        <v>0</v>
      </c>
      <c r="AK35" s="1731">
        <f t="shared" si="5"/>
        <v>0</v>
      </c>
      <c r="AL35" s="1731">
        <f t="shared" si="6"/>
        <v>0</v>
      </c>
      <c r="AM35" s="1731">
        <f t="shared" si="7"/>
        <v>0</v>
      </c>
      <c r="AN35" s="1731">
        <f t="shared" si="8"/>
        <v>0</v>
      </c>
      <c r="AO35" s="1731">
        <f t="shared" si="9"/>
        <v>0</v>
      </c>
      <c r="AP35" s="1731">
        <f t="shared" si="10"/>
        <v>0</v>
      </c>
      <c r="AQ35" s="1731">
        <f t="shared" si="11"/>
        <v>0</v>
      </c>
      <c r="AR35" s="1730">
        <f t="shared" si="12"/>
        <v>0</v>
      </c>
      <c r="AS35" s="1731">
        <f t="shared" si="13"/>
        <v>0</v>
      </c>
      <c r="AT35" s="1731">
        <f t="shared" si="14"/>
        <v>0</v>
      </c>
      <c r="AU35" s="1731">
        <f t="shared" si="15"/>
        <v>0</v>
      </c>
      <c r="AV35" s="1731">
        <f t="shared" si="16"/>
        <v>0</v>
      </c>
      <c r="AW35" s="1731">
        <f t="shared" si="17"/>
        <v>0</v>
      </c>
      <c r="AX35" s="1731">
        <f t="shared" si="18"/>
        <v>0</v>
      </c>
      <c r="AY35" s="1731">
        <f t="shared" si="19"/>
        <v>0</v>
      </c>
      <c r="AZ35" s="1731">
        <f t="shared" si="20"/>
        <v>0</v>
      </c>
      <c r="BA35" s="1732">
        <f t="shared" si="21"/>
        <v>0</v>
      </c>
      <c r="BB35" s="1719">
        <f t="shared" si="22"/>
        <v>0</v>
      </c>
      <c r="BC35" s="1719">
        <f t="shared" si="23"/>
        <v>0</v>
      </c>
      <c r="BD35" s="1719">
        <f t="shared" si="24"/>
        <v>0</v>
      </c>
      <c r="BE35" s="1719">
        <f t="shared" si="25"/>
        <v>0</v>
      </c>
      <c r="BF35" s="1719">
        <f t="shared" si="26"/>
        <v>0</v>
      </c>
      <c r="BG35" s="1719">
        <f t="shared" si="27"/>
        <v>0</v>
      </c>
      <c r="BH35" s="1719">
        <f t="shared" si="28"/>
        <v>0</v>
      </c>
      <c r="BJ35" s="1733">
        <f t="shared" si="29"/>
        <v>0</v>
      </c>
      <c r="BK35" s="1734">
        <f>(AR35*Pricing!F$3+AS35*Pricing!G$3+AT35*Pricing!H$3+AU35*Pricing!I$3+AV35*Pricing!J$3+AW35*Pricing!K$3+AH35*Pricing!F$3+AI35*Pricing!G$3+AJ35*Pricing!H$3+AK35*Pricing!I$3+AL35*Pricing!J$3+AM35*Pricing!K$3)*IF(T$39="N",(1+V$39),1)</f>
        <v>0</v>
      </c>
      <c r="BL35" s="1734">
        <f t="shared" si="30"/>
        <v>0</v>
      </c>
      <c r="BM35" s="1734">
        <f t="shared" si="31"/>
        <v>0</v>
      </c>
      <c r="BN35" s="1734">
        <f t="shared" si="32"/>
        <v>0</v>
      </c>
      <c r="BO35" s="1734">
        <f t="shared" si="33"/>
        <v>0</v>
      </c>
      <c r="BP35" s="1734">
        <f t="shared" si="34"/>
        <v>0</v>
      </c>
      <c r="BQ35" s="1734">
        <f t="shared" si="35"/>
        <v>0</v>
      </c>
      <c r="BR35" s="1735"/>
      <c r="BS35" s="1736">
        <f>IF(SUM(BF$36:BG$36)=0,0,(BQ$36-W$58-N$64-W83-(L$79*0.15))/SUM(BF$36:BG$36)*BG35+BN35)</f>
        <v>0</v>
      </c>
      <c r="BT35" s="1734">
        <f>(AH35*Pricing!F$3+AI35*Pricing!G$3+AJ35*Pricing!H$3+AK35*Pricing!I$3+AL35*Pricing!J$3+AM35*Pricing!K$3)*IF(T$39="N",(1+V$39),1)</f>
        <v>0</v>
      </c>
      <c r="BU35" s="1734">
        <f t="shared" si="36"/>
        <v>0</v>
      </c>
      <c r="BV35" s="1734">
        <f t="shared" si="37"/>
        <v>0</v>
      </c>
      <c r="BW35" s="1735">
        <f t="shared" si="38"/>
        <v>0</v>
      </c>
      <c r="DB35" s="1726">
        <f t="shared" si="39"/>
        <v>0</v>
      </c>
      <c r="DC35" s="1723" t="e">
        <f t="shared" si="40"/>
        <v>#DIV/0!</v>
      </c>
      <c r="DD35" s="172">
        <f t="shared" si="41"/>
        <v>0</v>
      </c>
      <c r="DE35" s="847">
        <f t="shared" si="42"/>
        <v>0</v>
      </c>
      <c r="DF35" s="334">
        <f t="shared" si="43"/>
        <v>0</v>
      </c>
      <c r="DG35" s="847">
        <f t="shared" si="44"/>
        <v>0</v>
      </c>
      <c r="DH35" s="847">
        <f t="shared" si="45"/>
        <v>0</v>
      </c>
      <c r="DI35" s="847">
        <f t="shared" si="46"/>
        <v>0</v>
      </c>
      <c r="DJ35" s="1727">
        <f t="shared" si="47"/>
        <v>0</v>
      </c>
    </row>
    <row r="36" spans="1:114" s="1254" customFormat="1" ht="15.45">
      <c r="A36" s="381"/>
      <c r="B36" s="589"/>
      <c r="C36" s="589"/>
      <c r="D36" s="1737"/>
      <c r="E36" s="1120">
        <f>SUM(E10:E35)</f>
        <v>0</v>
      </c>
      <c r="F36" s="1737" t="s">
        <v>1398</v>
      </c>
      <c r="G36" s="1085"/>
      <c r="H36" s="1085"/>
      <c r="I36" s="589"/>
      <c r="J36" s="589"/>
      <c r="K36" s="589"/>
      <c r="L36" s="589"/>
      <c r="M36" s="589"/>
      <c r="N36" s="589"/>
      <c r="O36" s="1300" t="s">
        <v>1399</v>
      </c>
      <c r="P36" s="1301"/>
      <c r="Q36" s="1301"/>
      <c r="R36" s="1301"/>
      <c r="S36" s="589"/>
      <c r="T36" s="589"/>
      <c r="U36" s="1123">
        <f>SUM(V10:V35)</f>
        <v>0</v>
      </c>
      <c r="V36" s="1738"/>
      <c r="W36" s="1124">
        <f>ROUND(SUM(W10:W35),0)</f>
        <v>0</v>
      </c>
      <c r="AH36" s="1719">
        <f t="shared" ref="AH36:BQ36" si="49">SUM(AH10:AH35)</f>
        <v>0</v>
      </c>
      <c r="AI36" s="1719">
        <f t="shared" si="49"/>
        <v>0</v>
      </c>
      <c r="AJ36" s="1719">
        <f t="shared" si="49"/>
        <v>0</v>
      </c>
      <c r="AK36" s="1719">
        <f t="shared" si="49"/>
        <v>0</v>
      </c>
      <c r="AL36" s="1719">
        <f t="shared" si="49"/>
        <v>0</v>
      </c>
      <c r="AM36" s="1719">
        <f t="shared" si="49"/>
        <v>0</v>
      </c>
      <c r="AN36" s="1719">
        <f t="shared" si="49"/>
        <v>0</v>
      </c>
      <c r="AO36" s="1719">
        <f t="shared" si="49"/>
        <v>0</v>
      </c>
      <c r="AP36" s="1719">
        <f t="shared" si="49"/>
        <v>0</v>
      </c>
      <c r="AQ36" s="1719">
        <f t="shared" si="49"/>
        <v>0</v>
      </c>
      <c r="AR36" s="1719">
        <f t="shared" si="49"/>
        <v>0</v>
      </c>
      <c r="AS36" s="1719">
        <f t="shared" si="49"/>
        <v>0</v>
      </c>
      <c r="AT36" s="1719">
        <f t="shared" si="49"/>
        <v>0</v>
      </c>
      <c r="AU36" s="1719">
        <f t="shared" si="49"/>
        <v>0</v>
      </c>
      <c r="AV36" s="1719">
        <f t="shared" si="49"/>
        <v>0</v>
      </c>
      <c r="AW36" s="1719">
        <f t="shared" si="49"/>
        <v>0</v>
      </c>
      <c r="AX36" s="1719">
        <f t="shared" si="49"/>
        <v>0</v>
      </c>
      <c r="AY36" s="1719">
        <f t="shared" si="49"/>
        <v>0</v>
      </c>
      <c r="AZ36" s="1719">
        <f t="shared" si="49"/>
        <v>0</v>
      </c>
      <c r="BA36" s="1719">
        <f t="shared" si="49"/>
        <v>0</v>
      </c>
      <c r="BB36" s="1719">
        <f t="shared" si="49"/>
        <v>0</v>
      </c>
      <c r="BC36" s="1719">
        <f t="shared" si="49"/>
        <v>0</v>
      </c>
      <c r="BD36" s="1719">
        <f t="shared" si="49"/>
        <v>0</v>
      </c>
      <c r="BE36" s="1719">
        <f t="shared" si="49"/>
        <v>0</v>
      </c>
      <c r="BF36" s="1719">
        <f t="shared" si="49"/>
        <v>0</v>
      </c>
      <c r="BG36" s="1719">
        <f t="shared" si="49"/>
        <v>0</v>
      </c>
      <c r="BH36" s="1719">
        <f t="shared" si="49"/>
        <v>0</v>
      </c>
      <c r="BI36" s="1254">
        <f t="shared" si="49"/>
        <v>0</v>
      </c>
      <c r="BJ36" s="1723">
        <f t="shared" si="49"/>
        <v>0</v>
      </c>
      <c r="BK36" s="1723">
        <f t="shared" si="49"/>
        <v>0</v>
      </c>
      <c r="BL36" s="1723">
        <f t="shared" si="49"/>
        <v>0</v>
      </c>
      <c r="BM36" s="1723">
        <f t="shared" si="49"/>
        <v>0</v>
      </c>
      <c r="BN36" s="1723">
        <f t="shared" si="49"/>
        <v>0</v>
      </c>
      <c r="BO36" s="1723">
        <f t="shared" si="49"/>
        <v>0</v>
      </c>
      <c r="BP36" s="1723">
        <f t="shared" si="49"/>
        <v>0</v>
      </c>
      <c r="BQ36" s="1723">
        <f t="shared" si="49"/>
        <v>0</v>
      </c>
      <c r="BR36" s="1723">
        <f>SUM(BJ36:BQ36)</f>
        <v>0</v>
      </c>
      <c r="BS36" s="1723">
        <f>SUM(BS10:BS35)</f>
        <v>0</v>
      </c>
      <c r="BT36" s="1723">
        <f>SUM(BT10:BT35)</f>
        <v>0</v>
      </c>
      <c r="BU36" s="1723"/>
      <c r="BV36" s="1723">
        <f>SUM(BV10:BV35)</f>
        <v>0</v>
      </c>
      <c r="BW36" s="1723">
        <f>SUM(BS36:BV36)</f>
        <v>0</v>
      </c>
      <c r="DB36" s="1739">
        <f t="shared" ref="DB36:DH36" si="50">SUM(DB10:DB35)</f>
        <v>0</v>
      </c>
      <c r="DC36" s="1739" t="e">
        <f t="shared" si="50"/>
        <v>#DIV/0!</v>
      </c>
      <c r="DD36" s="1128">
        <f t="shared" si="50"/>
        <v>0</v>
      </c>
      <c r="DE36" s="1128">
        <f t="shared" si="50"/>
        <v>0</v>
      </c>
      <c r="DF36" s="1128">
        <f t="shared" si="50"/>
        <v>0</v>
      </c>
      <c r="DG36" s="1128">
        <f t="shared" si="50"/>
        <v>0</v>
      </c>
      <c r="DH36" s="1740">
        <f t="shared" si="50"/>
        <v>0</v>
      </c>
      <c r="DI36" s="847">
        <f>IF(C36="Y",IF(D36&gt;0,D36,0),0)</f>
        <v>0</v>
      </c>
      <c r="DJ36" s="1128">
        <f>SUM(DJ10:DJ35)</f>
        <v>0</v>
      </c>
    </row>
    <row r="37" spans="1:114" s="1254" customFormat="1">
      <c r="A37" s="653"/>
      <c r="B37" s="693"/>
      <c r="C37" s="693"/>
      <c r="D37" s="693"/>
      <c r="E37" s="693"/>
      <c r="F37" s="693"/>
      <c r="G37" s="693"/>
      <c r="H37" s="693"/>
      <c r="I37" s="693"/>
      <c r="J37" s="693"/>
      <c r="K37" s="693"/>
      <c r="L37" s="693"/>
      <c r="M37" s="693"/>
      <c r="N37" s="693"/>
      <c r="O37" s="1741" t="s">
        <v>1400</v>
      </c>
      <c r="P37" s="1742"/>
      <c r="Q37" s="1742"/>
      <c r="R37" s="1742"/>
      <c r="S37" s="693"/>
      <c r="T37" s="693"/>
      <c r="U37" s="1743">
        <f>ROUNDUP(U36/2000,0)</f>
        <v>0</v>
      </c>
      <c r="V37" s="1132"/>
      <c r="W37" s="1132"/>
      <c r="BJ37" s="1739">
        <f>N56+N57+N58</f>
        <v>0</v>
      </c>
      <c r="BK37" s="1739">
        <f>SUM(N51:O55)</f>
        <v>0</v>
      </c>
      <c r="BL37" s="1739">
        <f>N59+N60</f>
        <v>0</v>
      </c>
      <c r="BM37" s="1739">
        <f>N67+N68+N69+N70</f>
        <v>0</v>
      </c>
      <c r="BN37" s="1739">
        <f>N66</f>
        <v>0</v>
      </c>
      <c r="BO37" s="1739">
        <f>N71</f>
        <v>0</v>
      </c>
      <c r="BP37" s="1739">
        <f>N74+N73+N72</f>
        <v>0</v>
      </c>
      <c r="BQ37" s="1739">
        <f>N83+N84+N85+N86+N87+N88+N90+N91+N92+N93+N94+N95+N96+W95+L79+N81</f>
        <v>0</v>
      </c>
      <c r="BR37" s="1739">
        <f>S40</f>
        <v>0</v>
      </c>
      <c r="DB37" s="1739">
        <f>D40-DB36</f>
        <v>0</v>
      </c>
      <c r="DC37" s="1739" t="e">
        <f>DC36-D40</f>
        <v>#DIV/0!</v>
      </c>
      <c r="DD37" s="1254">
        <f t="shared" ref="DD37:DJ37" si="51">SUM(DD10:DD36)</f>
        <v>0</v>
      </c>
      <c r="DE37" s="1254">
        <f t="shared" si="51"/>
        <v>0</v>
      </c>
      <c r="DF37" s="1254">
        <f t="shared" si="51"/>
        <v>0</v>
      </c>
      <c r="DG37" s="1254">
        <f t="shared" si="51"/>
        <v>0</v>
      </c>
      <c r="DH37" s="1254">
        <f t="shared" si="51"/>
        <v>0</v>
      </c>
      <c r="DI37" s="1121">
        <f t="shared" si="51"/>
        <v>0</v>
      </c>
      <c r="DJ37" s="1254">
        <f t="shared" si="51"/>
        <v>0</v>
      </c>
    </row>
    <row r="38" spans="1:114" s="1254" customFormat="1" ht="15.45">
      <c r="A38" s="888"/>
      <c r="B38" s="889"/>
      <c r="C38" s="890" t="s">
        <v>1261</v>
      </c>
      <c r="D38" s="2784"/>
      <c r="E38" s="2784"/>
      <c r="F38" s="889"/>
      <c r="G38" s="889"/>
      <c r="H38" s="889"/>
      <c r="I38" s="889"/>
      <c r="J38" s="889"/>
      <c r="K38" s="891"/>
      <c r="L38" s="889"/>
      <c r="M38" s="889"/>
      <c r="N38" s="889"/>
      <c r="O38" s="1053"/>
      <c r="P38" s="889"/>
      <c r="Q38" s="889"/>
      <c r="R38" s="889"/>
      <c r="S38" s="889"/>
      <c r="T38" s="889"/>
      <c r="U38" s="889"/>
      <c r="V38" s="889"/>
      <c r="W38" s="894"/>
      <c r="BJ38" s="1739">
        <f t="shared" ref="BJ38:BR38" si="52">BJ36-BJ37</f>
        <v>0</v>
      </c>
      <c r="BK38" s="1739">
        <f t="shared" si="52"/>
        <v>0</v>
      </c>
      <c r="BL38" s="1739">
        <f t="shared" si="52"/>
        <v>0</v>
      </c>
      <c r="BM38" s="1739">
        <f t="shared" si="52"/>
        <v>0</v>
      </c>
      <c r="BN38" s="1739">
        <f t="shared" si="52"/>
        <v>0</v>
      </c>
      <c r="BO38" s="1739">
        <f t="shared" si="52"/>
        <v>0</v>
      </c>
      <c r="BP38" s="1739">
        <f t="shared" si="52"/>
        <v>0</v>
      </c>
      <c r="BQ38" s="1739">
        <f t="shared" si="52"/>
        <v>0</v>
      </c>
      <c r="BR38" s="1739">
        <f t="shared" si="52"/>
        <v>0</v>
      </c>
    </row>
    <row r="39" spans="1:114" s="1254" customFormat="1" ht="30.9">
      <c r="A39" s="2786" t="s">
        <v>1262</v>
      </c>
      <c r="B39" s="2786"/>
      <c r="C39" s="2786"/>
      <c r="D39" s="1476" t="s">
        <v>982</v>
      </c>
      <c r="E39" s="1478"/>
      <c r="F39" s="1744" t="s">
        <v>1263</v>
      </c>
      <c r="G39" s="1477"/>
      <c r="H39" s="1478"/>
      <c r="I39" s="1054" t="s">
        <v>1264</v>
      </c>
      <c r="J39" s="1055"/>
      <c r="K39" s="1056"/>
      <c r="L39" s="1057" t="s">
        <v>1265</v>
      </c>
      <c r="M39" s="1058"/>
      <c r="N39" s="1058"/>
      <c r="O39" s="1059"/>
      <c r="P39" s="895"/>
      <c r="Q39" s="795" t="s">
        <v>1266</v>
      </c>
      <c r="R39" s="983"/>
      <c r="S39" s="983" t="s">
        <v>1267</v>
      </c>
      <c r="T39" s="1745" t="str">
        <f>Summary!P62</f>
        <v>N</v>
      </c>
      <c r="U39" s="1259" t="s">
        <v>1268</v>
      </c>
      <c r="V39" s="1746">
        <f>Summary!R62</f>
        <v>8.2500000000000004E-2</v>
      </c>
      <c r="W39" s="898"/>
      <c r="DD39" s="1254" t="s">
        <v>1401</v>
      </c>
      <c r="DF39" s="1254" t="s">
        <v>1402</v>
      </c>
    </row>
    <row r="40" spans="1:114" s="1254" customFormat="1" ht="15.45">
      <c r="A40" s="899" t="s">
        <v>1269</v>
      </c>
      <c r="B40" s="2865">
        <f>IF(BF36=0,0,D40/BF36)</f>
        <v>0</v>
      </c>
      <c r="C40" s="2865"/>
      <c r="D40" s="2866">
        <f>(S40-N96)*(1+L40)</f>
        <v>0</v>
      </c>
      <c r="E40" s="2866"/>
      <c r="F40" s="1747">
        <f>IF(D40=0,0,G40/D40)</f>
        <v>0</v>
      </c>
      <c r="G40" s="2792">
        <f>(D40-S40)</f>
        <v>0</v>
      </c>
      <c r="H40" s="2792"/>
      <c r="I40" s="3078">
        <f>IF(BF36=0,0,S40/BF36)</f>
        <v>0</v>
      </c>
      <c r="J40" s="3078"/>
      <c r="K40" s="1748"/>
      <c r="L40" s="1749">
        <f>Summary!P59</f>
        <v>0.18</v>
      </c>
      <c r="M40" s="1750"/>
      <c r="N40" s="1750"/>
      <c r="O40" s="1751"/>
      <c r="P40" s="1137"/>
      <c r="Q40" s="902" t="s">
        <v>980</v>
      </c>
      <c r="R40" s="18"/>
      <c r="S40" s="2942">
        <f>SUM(N51:O63)+SUM(N66:O75)+SUM(N78:O80)+SUM(N83:O88)+SUM(N90:O96)+W95+N64+SUM(K66:L75)+N81</f>
        <v>0</v>
      </c>
      <c r="T40" s="2942"/>
      <c r="U40" s="903"/>
      <c r="V40" s="798"/>
      <c r="W40" s="898"/>
      <c r="DB40" s="168"/>
      <c r="DC40" s="1140" t="s">
        <v>1403</v>
      </c>
      <c r="DD40" s="1141">
        <v>458</v>
      </c>
      <c r="DE40" s="1142"/>
    </row>
    <row r="41" spans="1:114" s="1254" customFormat="1" ht="15.45">
      <c r="A41" s="899"/>
      <c r="B41" s="1483"/>
      <c r="C41" s="1752" t="str">
        <f>IF(ROUND(D41,0)=0,"BINGO!!",IF(ROUND(D41,0)&lt;0,"To Low","T0 High"))</f>
        <v>BINGO!!</v>
      </c>
      <c r="D41" s="2796">
        <f>D40-D38</f>
        <v>0</v>
      </c>
      <c r="E41" s="2796"/>
      <c r="F41" s="1753"/>
      <c r="G41" s="1754"/>
      <c r="H41" s="1754"/>
      <c r="I41" s="1755"/>
      <c r="J41" s="1755"/>
      <c r="K41" s="1755"/>
      <c r="L41" s="1756"/>
      <c r="M41" s="1756"/>
      <c r="N41" s="1756"/>
      <c r="O41" s="1757"/>
      <c r="P41" s="1137"/>
      <c r="Q41" s="1758"/>
      <c r="R41" s="976"/>
      <c r="S41" s="1759"/>
      <c r="T41" s="1759"/>
      <c r="U41" s="1759"/>
      <c r="V41" s="1760"/>
      <c r="W41" s="898"/>
      <c r="DC41" s="928" t="s">
        <v>1406</v>
      </c>
      <c r="DD41" s="1148">
        <v>-5</v>
      </c>
      <c r="DE41" s="1149"/>
      <c r="DF41" s="1150">
        <f>DD40+DD41</f>
        <v>453</v>
      </c>
    </row>
    <row r="42" spans="1:114" s="1254" customFormat="1" ht="15.45">
      <c r="A42" s="1761" t="s">
        <v>1693</v>
      </c>
      <c r="B42" s="1762">
        <f>IF(F42=0,B40,IF(BF36=0,0,BV36/BF36)*(1+L40))</f>
        <v>0</v>
      </c>
      <c r="C42" s="1762"/>
      <c r="D42" s="1763" t="s">
        <v>1694</v>
      </c>
      <c r="E42" s="1763"/>
      <c r="F42" s="1764">
        <f>IF(BG36=0,0,(BT36+BS36)/BG36)*(1+L40)</f>
        <v>0</v>
      </c>
      <c r="G42" s="1764"/>
      <c r="H42" s="1765" t="s">
        <v>1270</v>
      </c>
      <c r="I42" s="1766"/>
      <c r="J42" s="1767"/>
      <c r="K42" s="1768"/>
      <c r="L42" s="904"/>
      <c r="M42" s="1769">
        <f>IF(J42&gt;0,(J42-D40)/(1+L40),0)</f>
        <v>0</v>
      </c>
      <c r="N42" s="1770"/>
      <c r="O42" s="913"/>
      <c r="P42" s="905"/>
      <c r="Q42" s="905"/>
      <c r="R42" s="905"/>
      <c r="S42" s="2946">
        <f>AE1</f>
        <v>0</v>
      </c>
      <c r="T42" s="2946"/>
      <c r="U42" s="1771"/>
      <c r="V42" s="905"/>
      <c r="W42" s="913"/>
      <c r="DC42" s="928" t="s">
        <v>1409</v>
      </c>
      <c r="DD42" s="1148">
        <v>460</v>
      </c>
      <c r="DE42" s="1149"/>
      <c r="DF42" s="1154">
        <f>DD42-DD40</f>
        <v>2</v>
      </c>
    </row>
    <row r="43" spans="1:114" s="1254" customFormat="1">
      <c r="A43" s="626"/>
      <c r="B43" s="626"/>
      <c r="C43" s="626"/>
      <c r="D43" s="626"/>
      <c r="E43" s="626"/>
      <c r="F43" s="626"/>
      <c r="G43" s="626"/>
      <c r="H43" s="626"/>
      <c r="I43" s="626" t="s">
        <v>1061</v>
      </c>
      <c r="J43" s="626" t="s">
        <v>1083</v>
      </c>
      <c r="K43" s="626"/>
      <c r="L43" s="626"/>
      <c r="M43" s="626"/>
      <c r="N43" s="626"/>
      <c r="O43" s="626"/>
      <c r="P43" s="626"/>
      <c r="Q43" s="626"/>
      <c r="R43" s="626" t="s">
        <v>1695</v>
      </c>
      <c r="S43" s="626"/>
      <c r="T43" s="634">
        <f>IF(SUM(W77:W82)=0,0,SUM(W77:W82)/H67)</f>
        <v>0</v>
      </c>
      <c r="U43" s="626" t="s">
        <v>1696</v>
      </c>
      <c r="V43" s="626"/>
      <c r="W43" s="626"/>
      <c r="DB43" s="229"/>
      <c r="DC43" s="229"/>
      <c r="DD43" s="1157"/>
      <c r="DE43" s="715"/>
      <c r="DF43" s="1157"/>
    </row>
    <row r="44" spans="1:114" s="1254" customFormat="1" ht="15.45">
      <c r="A44" s="18" t="s">
        <v>1697</v>
      </c>
      <c r="B44" s="1772"/>
      <c r="C44" s="1772"/>
      <c r="D44" s="1773"/>
      <c r="E44" s="1774"/>
      <c r="F44" s="1775"/>
      <c r="G44" s="1776"/>
      <c r="H44" s="1773"/>
      <c r="I44" s="1530"/>
      <c r="J44" s="1143"/>
      <c r="K44" s="1143"/>
      <c r="L44" s="1143"/>
      <c r="M44" s="1143"/>
      <c r="N44" s="2803" t="s">
        <v>721</v>
      </c>
      <c r="O44" s="2803"/>
      <c r="P44" s="1145" t="s">
        <v>1272</v>
      </c>
      <c r="Q44" s="626"/>
      <c r="R44" s="748" t="s">
        <v>1698</v>
      </c>
      <c r="S44" s="1777"/>
      <c r="T44" s="1778">
        <f>IF(H67=0,0,(N64+W95-W77-W78-W79-W81-W82-W72-W71-W70-W69-W68-W67)/H67)</f>
        <v>0</v>
      </c>
      <c r="U44" s="1779" t="s">
        <v>1699</v>
      </c>
      <c r="V44" s="1780"/>
      <c r="W44" s="626"/>
    </row>
    <row r="45" spans="1:114" s="1254" customFormat="1" ht="15.45">
      <c r="A45" s="626"/>
      <c r="B45" s="1772"/>
      <c r="C45" s="1772"/>
      <c r="D45" s="1773"/>
      <c r="E45" s="3079"/>
      <c r="F45" s="3079"/>
      <c r="G45" s="1773"/>
      <c r="H45" s="1773"/>
      <c r="I45" s="1772"/>
      <c r="J45" s="1540"/>
      <c r="K45" s="1143"/>
      <c r="L45" s="1143"/>
      <c r="M45" s="1143"/>
      <c r="N45" s="924" t="s">
        <v>1274</v>
      </c>
      <c r="O45" s="925"/>
      <c r="P45" s="926"/>
      <c r="Q45" s="1383"/>
      <c r="R45" s="1383" t="s">
        <v>1146</v>
      </c>
      <c r="S45" s="1383" t="s">
        <v>1268</v>
      </c>
      <c r="T45" s="1383" t="s">
        <v>1700</v>
      </c>
      <c r="U45" s="1383" t="s">
        <v>1701</v>
      </c>
      <c r="V45" s="1383"/>
      <c r="W45" s="1783"/>
    </row>
    <row r="46" spans="1:114" s="1254" customFormat="1" ht="15.45">
      <c r="A46" s="626"/>
      <c r="B46" s="1772"/>
      <c r="C46" s="1772"/>
      <c r="D46" s="1144"/>
      <c r="E46" s="1143"/>
      <c r="F46" s="1534"/>
      <c r="G46" s="1143"/>
      <c r="H46" s="1143"/>
      <c r="I46" s="1540"/>
      <c r="J46" s="1143"/>
      <c r="K46" s="1143"/>
      <c r="L46" s="1143"/>
      <c r="M46" s="1143"/>
      <c r="N46" s="932" t="s">
        <v>1276</v>
      </c>
      <c r="O46" s="933">
        <f>K56</f>
        <v>0</v>
      </c>
      <c r="P46" s="1155">
        <f>N56</f>
        <v>0</v>
      </c>
      <c r="Q46" s="626" t="s">
        <v>1702</v>
      </c>
      <c r="R46" s="628">
        <f>N67</f>
        <v>0</v>
      </c>
      <c r="S46" s="1785">
        <v>17.5</v>
      </c>
      <c r="T46" s="634">
        <f>S46*1.3</f>
        <v>22.75</v>
      </c>
      <c r="U46" s="1786">
        <f>R46/T46</f>
        <v>0</v>
      </c>
      <c r="V46" s="3080" t="e">
        <f>H67/U46</f>
        <v>#DIV/0!</v>
      </c>
      <c r="W46" s="3080"/>
    </row>
    <row r="47" spans="1:114" s="1254" customFormat="1" ht="15.45">
      <c r="A47" s="626"/>
      <c r="B47" s="1772"/>
      <c r="C47" s="1772"/>
      <c r="D47" s="1143"/>
      <c r="E47" s="1143"/>
      <c r="F47" s="1143"/>
      <c r="G47" s="1143"/>
      <c r="H47" s="1143"/>
      <c r="I47" s="1540"/>
      <c r="J47" s="1143"/>
      <c r="K47" s="1143"/>
      <c r="L47" s="1143"/>
      <c r="M47" s="1143"/>
      <c r="N47" s="1143"/>
      <c r="O47" s="1143"/>
      <c r="P47" s="626"/>
      <c r="Q47" s="805" t="s">
        <v>1703</v>
      </c>
      <c r="R47" s="628">
        <f>N68</f>
        <v>0</v>
      </c>
      <c r="S47" s="1785">
        <v>17.5</v>
      </c>
      <c r="T47" s="634">
        <f>S47*1.3</f>
        <v>22.75</v>
      </c>
      <c r="U47" s="1786">
        <f>R47/T47</f>
        <v>0</v>
      </c>
      <c r="V47" s="3081" t="e">
        <f>(K52+K55)/U47</f>
        <v>#DIV/0!</v>
      </c>
      <c r="W47" s="3081"/>
    </row>
    <row r="48" spans="1:114" s="1254" customFormat="1" ht="15.45">
      <c r="A48" s="18"/>
      <c r="B48" s="1772"/>
      <c r="C48" s="1772"/>
      <c r="D48" s="1143"/>
      <c r="E48" s="1143"/>
      <c r="F48" s="1143"/>
      <c r="G48" s="1143"/>
      <c r="H48" s="1143"/>
      <c r="I48" s="1540"/>
      <c r="J48" s="1143"/>
      <c r="K48" s="1143"/>
      <c r="L48" s="1143"/>
      <c r="M48" s="1143"/>
      <c r="N48" s="1143"/>
      <c r="O48" s="1143"/>
      <c r="Q48" s="750"/>
      <c r="R48" s="749"/>
      <c r="S48" s="749"/>
      <c r="T48" s="749"/>
      <c r="U48" s="1789"/>
      <c r="V48" s="1789"/>
      <c r="W48" s="1790"/>
      <c r="DD48" s="1254">
        <f>2.52/7.53</f>
        <v>0.33466135458167329</v>
      </c>
    </row>
    <row r="49" spans="1:109" s="1254" customFormat="1">
      <c r="A49" s="626"/>
      <c r="B49" s="626"/>
      <c r="C49" s="626"/>
      <c r="D49" s="626"/>
      <c r="E49" s="626"/>
      <c r="F49" s="626"/>
      <c r="G49" s="626"/>
      <c r="H49" s="626"/>
      <c r="I49" s="628"/>
      <c r="J49" s="626"/>
      <c r="K49" s="628"/>
      <c r="L49" s="626"/>
      <c r="M49" s="626"/>
      <c r="N49" s="626"/>
      <c r="O49" s="626"/>
      <c r="P49" s="626"/>
      <c r="Q49" s="626"/>
      <c r="R49" s="626"/>
      <c r="S49" s="626"/>
      <c r="T49" s="693"/>
      <c r="U49" s="693"/>
      <c r="V49" s="693"/>
      <c r="W49" s="693"/>
      <c r="DB49" s="1254">
        <f>SUM(DE51:DE62)*(1+J56)</f>
        <v>38.861320265625004</v>
      </c>
      <c r="DC49" s="402" t="s">
        <v>612</v>
      </c>
    </row>
    <row r="50" spans="1:109" s="1254" customFormat="1" ht="45.45">
      <c r="A50" s="941" t="s">
        <v>1280</v>
      </c>
      <c r="B50" s="1163" t="s">
        <v>1281</v>
      </c>
      <c r="C50" s="1164"/>
      <c r="D50" s="1164"/>
      <c r="E50" s="1164"/>
      <c r="F50" s="1164"/>
      <c r="G50" s="1164"/>
      <c r="H50" s="1164"/>
      <c r="I50" s="1164"/>
      <c r="J50" s="943" t="s">
        <v>1282</v>
      </c>
      <c r="K50" s="3009" t="str">
        <f>IF(ROUND(SUM(K51:K55),0)=W36,"Good","Missing Concrete!!!")</f>
        <v>Good</v>
      </c>
      <c r="L50" s="3009"/>
      <c r="M50" s="1164"/>
      <c r="N50" s="1164"/>
      <c r="O50" s="1165"/>
      <c r="P50" s="1166" t="s">
        <v>1284</v>
      </c>
      <c r="Q50" s="946" t="s">
        <v>1283</v>
      </c>
      <c r="R50" s="1098"/>
      <c r="S50" s="818" t="s">
        <v>835</v>
      </c>
      <c r="T50" s="947"/>
      <c r="U50" s="948" t="s">
        <v>518</v>
      </c>
      <c r="V50" s="947"/>
      <c r="W50" s="949"/>
      <c r="DB50" s="1168" t="s">
        <v>1259</v>
      </c>
      <c r="DC50" s="1169" t="s">
        <v>1215</v>
      </c>
      <c r="DD50" s="1170" t="s">
        <v>1369</v>
      </c>
      <c r="DE50" s="1171" t="s">
        <v>1414</v>
      </c>
    </row>
    <row r="51" spans="1:109" s="1254" customFormat="1" ht="18" customHeight="1">
      <c r="A51" s="1791">
        <v>1</v>
      </c>
      <c r="B51" s="952" t="str">
        <f>IF(A51=1,Pricing!F$2,IF(A51=2,Pricing!G$2,IF(A51=3,Pricing!H$2,IF(A51=4,Pricing!I$2,IF(A51=5,Pricing!J$2,IF(A51=6,Pricing!K$2,IF(A51=7,Pricing!L$2,IF(A51=8,Pricing!M$2,IF(A51=9,Pricing!N$2,IF(A51=10,Pricing!O$2,0))))))))))</f>
        <v>3,000 PSI 5sk /Ash and Air</v>
      </c>
      <c r="C51" s="1549"/>
      <c r="D51" s="1549"/>
      <c r="E51" s="1549"/>
      <c r="F51" s="969">
        <f>IF(A51=1,Pricing!F$3,IF(A51=2,Pricing!G$3,IF(A51=3,Pricing!H$3,IF(A51=4,Pricing!I$3,IF(A51=5,Pricing!J$3,IF(A51=6,Pricing!K$3,IF(A51=7,Pricing!L$3,IF(A51=8,Pricing!M$3,IF(A51=9,Pricing!N$3,IF(A51=10,Pricing!O$3))))))))))</f>
        <v>134</v>
      </c>
      <c r="G51" s="18" t="s">
        <v>1285</v>
      </c>
      <c r="H51" s="3082"/>
      <c r="I51" s="3082"/>
      <c r="J51" s="3013">
        <v>0.06</v>
      </c>
      <c r="K51" s="2957">
        <f>IF(A51=1,AR$36,IF(A51=2,AS$36,IF(A51=3,AT$36,IF(A51=4,AU$36,IF(A51=5,AV$36,IF(A51=6,AW$36,IF(A51=7,AX$36,IF(A51=8,AY$36,IF(A51=9,AZ$36,IF(A51=10,BA$36))))))))))+IF(A51=1,AH$36,IF(A51=2,AI$36,IF(A51=3,AJ$36,IF(A51=4,AK$36,IF(A51=5,AL$36,IF(A51=6,AM$36,IF(A51=7,AN$36,IF(A51=8,AOJ$36,IF(A51=9,AP$36,IF(A51=10,AQ$36))))))))))</f>
        <v>0</v>
      </c>
      <c r="L51" s="2957"/>
      <c r="M51" s="17" t="s">
        <v>1286</v>
      </c>
      <c r="N51" s="2813">
        <f>K51*F51*(IF(T$39="N",1+V$39,1))</f>
        <v>0</v>
      </c>
      <c r="O51" s="2813"/>
      <c r="P51" s="1172"/>
      <c r="Q51" s="859" t="s">
        <v>1415</v>
      </c>
      <c r="R51" s="77"/>
      <c r="S51" s="1173">
        <v>0.4</v>
      </c>
      <c r="T51" s="77"/>
      <c r="U51" s="1174">
        <f>BJ71</f>
        <v>0</v>
      </c>
      <c r="V51" s="77"/>
      <c r="W51" s="1175"/>
      <c r="DB51" s="142">
        <v>20</v>
      </c>
      <c r="DC51" s="143">
        <v>4</v>
      </c>
      <c r="DD51" s="144">
        <v>1</v>
      </c>
      <c r="DE51" s="145">
        <f>DB51*(DC51*DC51*0.04180884375)*DD51</f>
        <v>13.378829999999999</v>
      </c>
    </row>
    <row r="52" spans="1:109" s="1254" customFormat="1" ht="18" customHeight="1">
      <c r="A52" s="1792">
        <v>2</v>
      </c>
      <c r="B52" s="574" t="str">
        <f>IF(A52=1,Pricing!F$2,IF(A52=2,Pricing!G$2,IF(A52=3,Pricing!H$2,IF(A52=4,Pricing!I$2,IF(A52=5,Pricing!J$2,IF(A52=6,Pricing!K$2,IF(A52=7,Pricing!L$2,IF(A52=8,Pricing!M$2,IF(A52=9,Pricing!N$2,IF(A52=10,Pricing!O$2,0))))))))))</f>
        <v>3,000 PSI / Ash no Air</v>
      </c>
      <c r="C52" s="18"/>
      <c r="D52" s="18"/>
      <c r="E52" s="18"/>
      <c r="F52" s="969">
        <f>IF(A52=1,Pricing!F$3,IF(A52=2,Pricing!G$3,IF(A52=3,Pricing!H$3,IF(A52=4,Pricing!I$3,IF(A52=5,Pricing!J$3,IF(A52=6,Pricing!K$3,IF(A52=7,Pricing!L$3,IF(A52=8,Pricing!M$3,IF(A52=9,Pricing!N$3,IF(A52=10,Pricing!O$3))))))))))</f>
        <v>145</v>
      </c>
      <c r="G52" s="18" t="s">
        <v>1285</v>
      </c>
      <c r="H52" s="3082"/>
      <c r="I52" s="3082"/>
      <c r="J52" s="3013"/>
      <c r="K52" s="3010">
        <f>IF(A52=1,AR$36,IF(A52=2,AS$36,IF(A52=3,AT$36,IF(A52=4,AU$36,IF(A52=5,AV$36,IF(A52=6,AW$36))))))+IF(A52=1,AH$36,IF(A52=2,AI$36,IF(A52=3,AJ$36,IF(A52=4,AK$36,IF(A52=5,AL$36,IF(A52=6,AM$36))))))</f>
        <v>0</v>
      </c>
      <c r="L52" s="3010"/>
      <c r="M52" s="17" t="s">
        <v>1286</v>
      </c>
      <c r="N52" s="2810">
        <f>K52*F52*(IF(T$39="N",1+V$39,1))</f>
        <v>0</v>
      </c>
      <c r="O52" s="2810"/>
      <c r="P52" s="1172" t="s">
        <v>1069</v>
      </c>
      <c r="Q52" s="859" t="s">
        <v>526</v>
      </c>
      <c r="R52" s="77"/>
      <c r="S52" s="1176">
        <f>H67*3.6*S51</f>
        <v>0</v>
      </c>
      <c r="T52" s="1177" t="s">
        <v>1704</v>
      </c>
      <c r="U52" s="1174">
        <f>Pricing!Q4</f>
        <v>0.859375</v>
      </c>
      <c r="V52" s="77" t="s">
        <v>527</v>
      </c>
      <c r="W52" s="1175">
        <f t="shared" ref="W52:W67" si="53">IF(T$39="Y",S52*U52,S52*U52*(1+V$39))</f>
        <v>0</v>
      </c>
      <c r="DB52" s="142">
        <v>3</v>
      </c>
      <c r="DC52" s="143">
        <v>5</v>
      </c>
      <c r="DD52" s="144">
        <v>3</v>
      </c>
      <c r="DE52" s="145">
        <f>DB52*(DC52*DC52*0.04180884375)*DD52</f>
        <v>9.406989843749999</v>
      </c>
    </row>
    <row r="53" spans="1:109" s="1254" customFormat="1" ht="18" customHeight="1">
      <c r="A53" s="1793">
        <v>3</v>
      </c>
      <c r="B53" s="574" t="str">
        <f>IF(A53=1,Pricing!F$2,IF(A53=2,Pricing!G$2,IF(A53=3,Pricing!H$2,IF(A53=4,Pricing!I$2,IF(A53=5,Pricing!J$2,IF(A53=6,Pricing!K$2,IF(A53=7,Pricing!L$2,IF(A53=8,Pricing!M$2,IF(A53=9,Pricing!N$2,IF(A53=10,Pricing!O$2,0))))))))))</f>
        <v>3,500 PSI 5.5sk /Ash and Air</v>
      </c>
      <c r="C53" s="18"/>
      <c r="D53" s="18"/>
      <c r="E53" s="18"/>
      <c r="F53" s="969">
        <f>IF(A53=1,Pricing!F$3,IF(A53=2,Pricing!G$3,IF(A53=3,Pricing!H$3,IF(A53=4,Pricing!I$3,IF(A53=5,Pricing!J$3,IF(A53=6,Pricing!K$3,IF(A53=7,Pricing!L$3,IF(A53=8,Pricing!M$3,IF(A53=9,Pricing!N$3,IF(A53=10,Pricing!O$3))))))))))</f>
        <v>150</v>
      </c>
      <c r="G53" s="18" t="s">
        <v>1285</v>
      </c>
      <c r="H53" s="3082"/>
      <c r="I53" s="3082"/>
      <c r="J53" s="3013"/>
      <c r="K53" s="3010">
        <f>IF(A53=1,AR$36,IF(A53=2,AS$36,IF(A53=3,AT$36,IF(A53=4,AU$36,IF(A53=5,AV$36,IF(A53=6,AW$36))))))+IF(A53=1,AH$36,IF(A53=2,AI$36,IF(A53=3,AJ$36,IF(A53=4,AK$36,IF(A53=5,AL$36,IF(A53=6,AM$36))))))</f>
        <v>0</v>
      </c>
      <c r="L53" s="3010"/>
      <c r="M53" s="17" t="s">
        <v>1286</v>
      </c>
      <c r="N53" s="2810">
        <f>K53*F53*(IF(T$39="N",1+V$39,1))</f>
        <v>0</v>
      </c>
      <c r="O53" s="2810"/>
      <c r="P53" s="1172"/>
      <c r="Q53" s="859"/>
      <c r="R53" s="77"/>
      <c r="S53" s="1176"/>
      <c r="T53" s="1177"/>
      <c r="U53" s="1174"/>
      <c r="V53" s="77"/>
      <c r="W53" s="1175">
        <f t="shared" si="53"/>
        <v>0</v>
      </c>
      <c r="DB53" s="142"/>
      <c r="DC53" s="143"/>
      <c r="DD53" s="144"/>
      <c r="DE53" s="145"/>
    </row>
    <row r="54" spans="1:109" s="1254" customFormat="1" ht="18" customHeight="1">
      <c r="A54" s="1793">
        <v>4</v>
      </c>
      <c r="B54" s="574" t="str">
        <f>IF(A54=1,Pricing!F$2,IF(A54=2,Pricing!G$2,IF(A54=3,Pricing!H$2,IF(A54=4,Pricing!I$2,IF(A54=5,Pricing!J$2,IF(A54=6,Pricing!K$2,IF(A54=7,Pricing!L$2,IF(A54=8,Pricing!M$2,IF(A54=9,Pricing!N$2,IF(A54=10,Pricing!O$2,0))))))))))</f>
        <v>3,500 PSI /Ash No Air</v>
      </c>
      <c r="C54" s="18"/>
      <c r="D54" s="18"/>
      <c r="E54" s="18"/>
      <c r="F54" s="969">
        <f>IF(A54=1,Pricing!F$3,IF(A54=2,Pricing!G$3,IF(A54=3,Pricing!H$3,IF(A54=4,Pricing!I$3,IF(A54=5,Pricing!J$3,IF(A54=6,Pricing!K$3,IF(A54=7,Pricing!L$3,IF(A54=8,Pricing!M$3,IF(A54=9,Pricing!N$3,IF(A54=10,Pricing!O$3))))))))))</f>
        <v>150</v>
      </c>
      <c r="G54" s="18" t="s">
        <v>1285</v>
      </c>
      <c r="H54" s="3082"/>
      <c r="I54" s="3082"/>
      <c r="J54" s="3013"/>
      <c r="K54" s="3010">
        <f>IF(A54=1,AR$36,IF(A54=2,AS$36,IF(A54=3,AT$36,IF(A54=4,AU$36,IF(A54=5,AV$36,IF(A54=6,AW$36))))))+IF(A54=1,AH$36,IF(A54=2,AI$36,IF(A54=3,AJ$36,IF(A54=4,AK$36,IF(A54=5,AL$36,IF(A54=6,AM$36))))))</f>
        <v>0</v>
      </c>
      <c r="L54" s="3010"/>
      <c r="M54" s="17" t="s">
        <v>1286</v>
      </c>
      <c r="N54" s="2810">
        <f>K54*F54*(IF(T$39="N",1+V$39,1))</f>
        <v>0</v>
      </c>
      <c r="O54" s="2810"/>
      <c r="P54" s="1172"/>
      <c r="Q54" s="859"/>
      <c r="R54" s="77"/>
      <c r="S54" s="1176"/>
      <c r="T54" s="1177"/>
      <c r="U54" s="1174"/>
      <c r="V54" s="77"/>
      <c r="W54" s="1175">
        <f t="shared" si="53"/>
        <v>0</v>
      </c>
      <c r="DB54" s="142"/>
      <c r="DC54" s="143"/>
      <c r="DD54" s="144"/>
      <c r="DE54" s="145"/>
    </row>
    <row r="55" spans="1:109" s="1254" customFormat="1" ht="18" customHeight="1">
      <c r="A55" s="1794">
        <v>5</v>
      </c>
      <c r="B55" s="966" t="str">
        <f>IF(A55=1,Pricing!F$2,IF(A55=2,Pricing!G$2,IF(A55=3,Pricing!H$2,IF(A55=4,Pricing!I$2,IF(A55=5,Pricing!J$2,IF(A55=6,Pricing!K$2,IF(A55=7,Pricing!L$2,IF(A55=8,Pricing!M$2,IF(A55=9,Pricing!N$2,IF(A55=10,Pricing!O$2,0))))))))))</f>
        <v>4,000 PSI /Ash and Air</v>
      </c>
      <c r="C55" s="373"/>
      <c r="D55" s="373"/>
      <c r="E55" s="373"/>
      <c r="F55" s="1180">
        <f>IF(A55=1,Pricing!F$3,IF(A55=2,Pricing!G$3,IF(A55=3,Pricing!H$3,IF(A55=4,Pricing!I$3,IF(A55=5,Pricing!J$3,IF(A55=6,Pricing!K$3,IF(A55=7,Pricing!L$3,IF(A55=8,Pricing!M$3,IF(A55=9,Pricing!N$3,IF(A55=10,Pricing!O$3))))))))))</f>
        <v>155</v>
      </c>
      <c r="G55" s="373" t="s">
        <v>1285</v>
      </c>
      <c r="H55" s="3082"/>
      <c r="I55" s="3082"/>
      <c r="J55" s="3013"/>
      <c r="K55" s="3011">
        <f>IF(A55=1,AR$36,IF(A55=2,AS$36,IF(A55=3,AT$36,IF(A55=4,AU$36,IF(A55=5,AV$36,IF(A55=6,AW$36))))))+IF(A55=1,AH$36,IF(A55=2,AI$36,IF(A55=3,AJ$36,IF(A55=4,AK$36,IF(A55=5,AL$36,IF(A55=6,AM$36))))))</f>
        <v>0</v>
      </c>
      <c r="L55" s="3011"/>
      <c r="M55" s="967" t="s">
        <v>1286</v>
      </c>
      <c r="N55" s="2819">
        <f>K55*F55*(IF(T$39="N",1+V$39,1))</f>
        <v>0</v>
      </c>
      <c r="O55" s="2819"/>
      <c r="P55" s="1172" t="s">
        <v>1069</v>
      </c>
      <c r="Q55" s="859" t="s">
        <v>534</v>
      </c>
      <c r="R55" s="77"/>
      <c r="S55" s="1176">
        <f>S52*0.2</f>
        <v>0</v>
      </c>
      <c r="T55" s="1177" t="s">
        <v>1704</v>
      </c>
      <c r="U55" s="1174">
        <f>Pricing!Q5</f>
        <v>1.4453125</v>
      </c>
      <c r="V55" s="77" t="s">
        <v>527</v>
      </c>
      <c r="W55" s="1175">
        <f t="shared" si="53"/>
        <v>0</v>
      </c>
      <c r="DB55" s="142">
        <v>6</v>
      </c>
      <c r="DC55" s="143">
        <v>5</v>
      </c>
      <c r="DD55" s="144">
        <v>2</v>
      </c>
      <c r="DE55" s="145">
        <f t="shared" ref="DE55:DE62" si="54">DB55*(DC55*DC55*0.04180884375)*DD55</f>
        <v>12.542653124999999</v>
      </c>
    </row>
    <row r="56" spans="1:109" s="1254" customFormat="1" ht="18" customHeight="1">
      <c r="A56" s="1795" t="str">
        <f>Summary!V60</f>
        <v>Import</v>
      </c>
      <c r="B56" s="963" t="s">
        <v>1287</v>
      </c>
      <c r="C56" s="18"/>
      <c r="D56" s="18"/>
      <c r="E56" s="18"/>
      <c r="F56" s="969">
        <f>Pricing!D23</f>
        <v>0.65</v>
      </c>
      <c r="G56" s="18" t="s">
        <v>555</v>
      </c>
      <c r="H56" s="3083"/>
      <c r="I56" s="3083"/>
      <c r="J56" s="970">
        <v>0.1</v>
      </c>
      <c r="K56" s="2957">
        <f>U36</f>
        <v>0</v>
      </c>
      <c r="L56" s="2957"/>
      <c r="M56" s="18" t="s">
        <v>1288</v>
      </c>
      <c r="N56" s="2813">
        <f>F56*K56*(IF(T39="N",1+V39,1))</f>
        <v>0</v>
      </c>
      <c r="O56" s="2813"/>
      <c r="P56" s="1172" t="s">
        <v>1069</v>
      </c>
      <c r="Q56" s="859" t="s">
        <v>536</v>
      </c>
      <c r="R56" s="77"/>
      <c r="S56" s="1176">
        <v>0</v>
      </c>
      <c r="T56" s="1177" t="s">
        <v>1704</v>
      </c>
      <c r="U56" s="1174">
        <f>Pricing!Q6</f>
        <v>1.171875</v>
      </c>
      <c r="V56" s="77" t="s">
        <v>527</v>
      </c>
      <c r="W56" s="1175">
        <f t="shared" si="53"/>
        <v>0</v>
      </c>
      <c r="DB56" s="142"/>
      <c r="DC56" s="143"/>
      <c r="DD56" s="144"/>
      <c r="DE56" s="145">
        <f t="shared" si="54"/>
        <v>0</v>
      </c>
    </row>
    <row r="57" spans="1:109" s="1254" customFormat="1" ht="18" customHeight="1">
      <c r="A57" s="574"/>
      <c r="B57" s="963"/>
      <c r="C57" s="18"/>
      <c r="D57" s="18"/>
      <c r="E57" s="18"/>
      <c r="F57" s="1182">
        <f>Pricing!F6</f>
        <v>0</v>
      </c>
      <c r="G57" s="18" t="s">
        <v>600</v>
      </c>
      <c r="H57" s="3084"/>
      <c r="I57" s="3084"/>
      <c r="J57" s="1184">
        <v>0.05</v>
      </c>
      <c r="K57" s="3010"/>
      <c r="L57" s="3010"/>
      <c r="M57" s="18" t="s">
        <v>1418</v>
      </c>
      <c r="N57" s="2810">
        <f>K57*F57*(IF(T39="N",1+V39,1))*(J57+1)</f>
        <v>0</v>
      </c>
      <c r="O57" s="2810"/>
      <c r="P57" s="1172" t="s">
        <v>1069</v>
      </c>
      <c r="Q57" s="859" t="s">
        <v>538</v>
      </c>
      <c r="R57" s="77"/>
      <c r="S57" s="1176">
        <f>E36*2*S51</f>
        <v>0</v>
      </c>
      <c r="T57" s="1177" t="s">
        <v>1704</v>
      </c>
      <c r="U57" s="1174">
        <f>Pricing!Q7</f>
        <v>1.09375</v>
      </c>
      <c r="V57" s="77" t="s">
        <v>527</v>
      </c>
      <c r="W57" s="1175">
        <f t="shared" si="53"/>
        <v>0</v>
      </c>
      <c r="DB57" s="1185"/>
      <c r="DC57" s="1186"/>
      <c r="DD57" s="1187"/>
      <c r="DE57" s="1188">
        <f t="shared" si="54"/>
        <v>0</v>
      </c>
    </row>
    <row r="58" spans="1:109" s="1254" customFormat="1" ht="18" customHeight="1">
      <c r="A58" s="574"/>
      <c r="B58" s="966" t="s">
        <v>1419</v>
      </c>
      <c r="C58" s="373"/>
      <c r="D58" s="373"/>
      <c r="E58" s="373"/>
      <c r="F58" s="1180">
        <v>0.35</v>
      </c>
      <c r="G58" s="373" t="s">
        <v>600</v>
      </c>
      <c r="H58" s="1209" t="s">
        <v>1291</v>
      </c>
      <c r="I58" s="972">
        <v>0</v>
      </c>
      <c r="J58" s="972"/>
      <c r="K58" s="3011"/>
      <c r="L58" s="3011"/>
      <c r="M58" s="373" t="s">
        <v>1418</v>
      </c>
      <c r="N58" s="2815">
        <f>IF(L35="y",IF(I58=0,K58*F58,I58),0)*(IF(S$65="N",1+U$65,1))</f>
        <v>0</v>
      </c>
      <c r="O58" s="2815"/>
      <c r="P58" s="1172" t="s">
        <v>1069</v>
      </c>
      <c r="Q58" s="859" t="s">
        <v>540</v>
      </c>
      <c r="R58" s="77"/>
      <c r="S58" s="1176">
        <f>ROUNDUP(H67*2/32*S51*1.1,0)</f>
        <v>0</v>
      </c>
      <c r="T58" s="77" t="s">
        <v>1420</v>
      </c>
      <c r="U58" s="1174">
        <f>Pricing!Q8</f>
        <v>74.75</v>
      </c>
      <c r="V58" s="77" t="s">
        <v>541</v>
      </c>
      <c r="W58" s="1175">
        <f t="shared" si="53"/>
        <v>0</v>
      </c>
      <c r="DB58" s="142"/>
      <c r="DC58" s="143"/>
      <c r="DD58" s="144"/>
      <c r="DE58" s="145">
        <f t="shared" si="54"/>
        <v>0</v>
      </c>
    </row>
    <row r="59" spans="1:109" s="1254" customFormat="1" ht="18" customHeight="1">
      <c r="A59" s="1087"/>
      <c r="B59" s="17" t="s">
        <v>1421</v>
      </c>
      <c r="C59" s="18"/>
      <c r="D59" s="18"/>
      <c r="E59" s="18"/>
      <c r="F59" s="1191">
        <v>20</v>
      </c>
      <c r="G59" s="18" t="s">
        <v>1459</v>
      </c>
      <c r="H59" s="2816"/>
      <c r="I59" s="2816"/>
      <c r="J59" s="3013">
        <v>0.05</v>
      </c>
      <c r="K59" s="2957">
        <f>SUM(BH36)</f>
        <v>0</v>
      </c>
      <c r="L59" s="2957"/>
      <c r="M59" s="18" t="s">
        <v>1286</v>
      </c>
      <c r="N59" s="2813">
        <f>K59*F59*IF(Q29="N",1+T29,1)</f>
        <v>0</v>
      </c>
      <c r="O59" s="2813"/>
      <c r="P59" s="1172" t="s">
        <v>1069</v>
      </c>
      <c r="Q59" s="859" t="s">
        <v>1298</v>
      </c>
      <c r="R59" s="77"/>
      <c r="S59" s="1176">
        <f>ROUNDUP(E36*2/25,0)*S51</f>
        <v>0</v>
      </c>
      <c r="T59" s="77" t="s">
        <v>1705</v>
      </c>
      <c r="U59" s="1174">
        <f>Pricing!Q15</f>
        <v>24</v>
      </c>
      <c r="V59" s="77" t="s">
        <v>1300</v>
      </c>
      <c r="W59" s="1175">
        <f t="shared" si="53"/>
        <v>0</v>
      </c>
      <c r="DB59" s="142"/>
      <c r="DC59" s="143"/>
      <c r="DD59" s="144"/>
      <c r="DE59" s="145">
        <f t="shared" si="54"/>
        <v>0</v>
      </c>
    </row>
    <row r="60" spans="1:109" s="1254" customFormat="1" ht="18" customHeight="1">
      <c r="A60" s="574"/>
      <c r="B60" s="987" t="s">
        <v>1424</v>
      </c>
      <c r="C60" s="373"/>
      <c r="D60" s="1192"/>
      <c r="E60" s="373"/>
      <c r="F60" s="1193">
        <v>38</v>
      </c>
      <c r="G60" s="373" t="s">
        <v>1285</v>
      </c>
      <c r="H60" s="2816"/>
      <c r="I60" s="2816"/>
      <c r="J60" s="3013"/>
      <c r="K60" s="3011"/>
      <c r="L60" s="3011"/>
      <c r="M60" s="373" t="s">
        <v>1418</v>
      </c>
      <c r="N60" s="2819">
        <f>K60*F60</f>
        <v>0</v>
      </c>
      <c r="O60" s="2819"/>
      <c r="P60" s="1172" t="s">
        <v>1069</v>
      </c>
      <c r="Q60" s="859" t="s">
        <v>561</v>
      </c>
      <c r="R60" s="77"/>
      <c r="S60" s="1176">
        <f>ROUNDUP(H67/1800,0)</f>
        <v>0</v>
      </c>
      <c r="T60" s="77" t="s">
        <v>1303</v>
      </c>
      <c r="U60" s="1174">
        <f>Pricing!Q16</f>
        <v>68.2</v>
      </c>
      <c r="V60" s="77" t="s">
        <v>562</v>
      </c>
      <c r="W60" s="1175">
        <f t="shared" si="53"/>
        <v>0</v>
      </c>
      <c r="DB60" s="142"/>
      <c r="DC60" s="143"/>
      <c r="DD60" s="144"/>
      <c r="DE60" s="145">
        <f t="shared" si="54"/>
        <v>0</v>
      </c>
    </row>
    <row r="61" spans="1:109" s="1254" customFormat="1" ht="18" customHeight="1">
      <c r="A61" s="574"/>
      <c r="B61" s="963"/>
      <c r="C61" s="18"/>
      <c r="D61" s="793"/>
      <c r="E61" s="18"/>
      <c r="F61" s="1796">
        <v>0.17</v>
      </c>
      <c r="G61" s="18" t="s">
        <v>1426</v>
      </c>
      <c r="H61" s="2816"/>
      <c r="I61" s="2816"/>
      <c r="J61" s="3013">
        <v>0.1</v>
      </c>
      <c r="K61" s="2957"/>
      <c r="L61" s="2957"/>
      <c r="M61" s="18" t="s">
        <v>1418</v>
      </c>
      <c r="N61" s="3085">
        <f>F61*K61</f>
        <v>0</v>
      </c>
      <c r="O61" s="3085"/>
      <c r="P61" s="1172" t="s">
        <v>1069</v>
      </c>
      <c r="Q61" s="859" t="s">
        <v>563</v>
      </c>
      <c r="R61" s="77"/>
      <c r="S61" s="1176">
        <f>ROUNDUP(H67/1000,0)</f>
        <v>0</v>
      </c>
      <c r="T61" s="77" t="s">
        <v>1303</v>
      </c>
      <c r="U61" s="1174">
        <f>Pricing!Q17</f>
        <v>68.2</v>
      </c>
      <c r="V61" s="77" t="s">
        <v>562</v>
      </c>
      <c r="W61" s="1175">
        <f t="shared" si="53"/>
        <v>0</v>
      </c>
      <c r="DB61" s="1195"/>
      <c r="DC61" s="143"/>
      <c r="DD61" s="144"/>
      <c r="DE61" s="145">
        <f t="shared" si="54"/>
        <v>0</v>
      </c>
    </row>
    <row r="62" spans="1:109" s="1254" customFormat="1" ht="18" customHeight="1">
      <c r="A62" s="963" t="s">
        <v>1706</v>
      </c>
      <c r="B62" s="17"/>
      <c r="C62" s="17"/>
      <c r="D62" s="793" t="s">
        <v>1428</v>
      </c>
      <c r="E62" s="1196" t="s">
        <v>1029</v>
      </c>
      <c r="F62" s="1197">
        <v>1.25</v>
      </c>
      <c r="G62" s="18" t="s">
        <v>600</v>
      </c>
      <c r="H62" s="2816"/>
      <c r="I62" s="2816"/>
      <c r="J62" s="3013"/>
      <c r="K62" s="3010">
        <f>IF(E62="Y",E36,0)*(1+J60)</f>
        <v>0</v>
      </c>
      <c r="L62" s="3010"/>
      <c r="M62" s="18" t="s">
        <v>1259</v>
      </c>
      <c r="N62" s="2859">
        <f>K62*F62</f>
        <v>0</v>
      </c>
      <c r="O62" s="2859"/>
      <c r="P62" s="1172" t="s">
        <v>1069</v>
      </c>
      <c r="Q62" s="859" t="s">
        <v>564</v>
      </c>
      <c r="R62" s="77"/>
      <c r="S62" s="1176">
        <f>S61</f>
        <v>0</v>
      </c>
      <c r="T62" s="77" t="s">
        <v>1303</v>
      </c>
      <c r="U62" s="1174">
        <f>Pricing!Q18</f>
        <v>68.2</v>
      </c>
      <c r="V62" s="77" t="s">
        <v>562</v>
      </c>
      <c r="W62" s="1175">
        <f t="shared" si="53"/>
        <v>0</v>
      </c>
      <c r="DB62" s="1185"/>
      <c r="DC62" s="1186"/>
      <c r="DD62" s="1187"/>
      <c r="DE62" s="1188">
        <f t="shared" si="54"/>
        <v>0</v>
      </c>
    </row>
    <row r="63" spans="1:109" s="1254" customFormat="1" ht="18" customHeight="1">
      <c r="A63" s="987" t="s">
        <v>1707</v>
      </c>
      <c r="B63" s="967"/>
      <c r="C63" s="967"/>
      <c r="D63" s="1192" t="s">
        <v>1428</v>
      </c>
      <c r="E63" s="1198" t="s">
        <v>1029</v>
      </c>
      <c r="F63" s="1199">
        <v>1.8</v>
      </c>
      <c r="G63" s="373" t="s">
        <v>1430</v>
      </c>
      <c r="H63" s="2816"/>
      <c r="I63" s="2816"/>
      <c r="J63" s="3013"/>
      <c r="K63" s="3011">
        <f>IF(E63="Y",E36*2,0)*(1+J61)</f>
        <v>0</v>
      </c>
      <c r="L63" s="3011"/>
      <c r="M63" s="373" t="s">
        <v>1259</v>
      </c>
      <c r="N63" s="2815">
        <f>K63*F63</f>
        <v>0</v>
      </c>
      <c r="O63" s="2815"/>
      <c r="P63" s="1172" t="s">
        <v>1069</v>
      </c>
      <c r="Q63" s="859" t="s">
        <v>1310</v>
      </c>
      <c r="R63" s="77"/>
      <c r="S63" s="1176">
        <f>AL23*12/48/50</f>
        <v>0</v>
      </c>
      <c r="T63" s="77" t="s">
        <v>1303</v>
      </c>
      <c r="U63" s="1174">
        <f>Pricing!Q34</f>
        <v>45.239999999999995</v>
      </c>
      <c r="V63" s="77" t="s">
        <v>562</v>
      </c>
      <c r="W63" s="1175">
        <f t="shared" si="53"/>
        <v>0</v>
      </c>
    </row>
    <row r="64" spans="1:109" s="1254" customFormat="1" ht="18" customHeight="1">
      <c r="A64" s="577"/>
      <c r="B64" s="577" t="s">
        <v>1431</v>
      </c>
      <c r="C64" s="976"/>
      <c r="D64" s="976"/>
      <c r="E64" s="976"/>
      <c r="F64" s="1798">
        <v>3.75</v>
      </c>
      <c r="G64" s="976" t="s">
        <v>1432</v>
      </c>
      <c r="H64" s="2820" t="s">
        <v>1708</v>
      </c>
      <c r="I64" s="2820"/>
      <c r="J64" s="978"/>
      <c r="K64" s="1201">
        <f>H67</f>
        <v>0</v>
      </c>
      <c r="L64" s="1799"/>
      <c r="M64" s="976" t="s">
        <v>1418</v>
      </c>
      <c r="N64" s="3015">
        <f>F64*J64*K64</f>
        <v>0</v>
      </c>
      <c r="O64" s="3015"/>
      <c r="P64" s="1172" t="s">
        <v>1069</v>
      </c>
      <c r="Q64" s="859" t="s">
        <v>571</v>
      </c>
      <c r="R64" s="77"/>
      <c r="S64" s="1176">
        <f>BN51+AD122</f>
        <v>0</v>
      </c>
      <c r="T64" s="1177" t="s">
        <v>1704</v>
      </c>
      <c r="U64" s="1174">
        <f>Pricing!Q19</f>
        <v>0.95</v>
      </c>
      <c r="V64" s="77" t="s">
        <v>527</v>
      </c>
      <c r="W64" s="1175">
        <f t="shared" si="53"/>
        <v>0</v>
      </c>
    </row>
    <row r="65" spans="1:23" s="1254" customFormat="1" ht="18" customHeight="1">
      <c r="A65" s="1202" t="s">
        <v>1434</v>
      </c>
      <c r="B65" s="1203"/>
      <c r="C65" s="1203" t="s">
        <v>1296</v>
      </c>
      <c r="D65" s="1203"/>
      <c r="E65" s="1203"/>
      <c r="F65" s="1800"/>
      <c r="G65" s="1203"/>
      <c r="H65" s="1203"/>
      <c r="I65" s="1203"/>
      <c r="J65" s="1203"/>
      <c r="K65" s="1203" t="s">
        <v>973</v>
      </c>
      <c r="L65" s="1203"/>
      <c r="M65" s="1203" t="s">
        <v>1297</v>
      </c>
      <c r="N65" s="1801"/>
      <c r="O65" s="1086"/>
      <c r="P65" s="1172" t="s">
        <v>1069</v>
      </c>
      <c r="Q65" s="859" t="s">
        <v>576</v>
      </c>
      <c r="R65" s="77"/>
      <c r="S65" s="1176">
        <f>E36*2</f>
        <v>0</v>
      </c>
      <c r="T65" s="1177" t="s">
        <v>1704</v>
      </c>
      <c r="U65" s="1174">
        <f>Pricing!Q20</f>
        <v>0.25</v>
      </c>
      <c r="V65" s="77" t="s">
        <v>527</v>
      </c>
      <c r="W65" s="1175">
        <f t="shared" si="53"/>
        <v>0</v>
      </c>
    </row>
    <row r="66" spans="1:23" s="1254" customFormat="1" ht="18" customHeight="1">
      <c r="A66" s="1593" t="s">
        <v>1709</v>
      </c>
      <c r="B66" s="983"/>
      <c r="C66" s="982" t="s">
        <v>1306</v>
      </c>
      <c r="D66" s="2825">
        <v>8</v>
      </c>
      <c r="E66" s="2825"/>
      <c r="F66" s="1802" t="s">
        <v>1618</v>
      </c>
      <c r="G66" s="983"/>
      <c r="H66" s="3018">
        <f>BG36</f>
        <v>0</v>
      </c>
      <c r="I66" s="3018"/>
      <c r="J66" s="983" t="s">
        <v>1418</v>
      </c>
      <c r="K66" s="2828">
        <f>IF(C66="N",D66*H66,0)</f>
        <v>0</v>
      </c>
      <c r="L66" s="2828"/>
      <c r="M66" s="168"/>
      <c r="N66" s="2856">
        <f>IF(C66="y",D66*H66,0)</f>
        <v>0</v>
      </c>
      <c r="O66" s="2856"/>
      <c r="P66" s="1172" t="s">
        <v>1069</v>
      </c>
      <c r="Q66" s="859" t="s">
        <v>583</v>
      </c>
      <c r="R66" s="77"/>
      <c r="S66" s="1176">
        <f>H67/2.25/50</f>
        <v>0</v>
      </c>
      <c r="T66" s="77" t="s">
        <v>584</v>
      </c>
      <c r="U66" s="1174">
        <f>Pricing!Q21</f>
        <v>45</v>
      </c>
      <c r="V66" s="77" t="s">
        <v>562</v>
      </c>
      <c r="W66" s="1175">
        <f t="shared" si="53"/>
        <v>0</v>
      </c>
    </row>
    <row r="67" spans="1:23" s="1254" customFormat="1" ht="18" customHeight="1">
      <c r="A67" s="482" t="s">
        <v>1437</v>
      </c>
      <c r="B67" s="380"/>
      <c r="C67" s="1206" t="s">
        <v>1306</v>
      </c>
      <c r="D67" s="2830">
        <v>3.5</v>
      </c>
      <c r="E67" s="2830"/>
      <c r="F67" s="77" t="s">
        <v>1618</v>
      </c>
      <c r="G67" s="3020">
        <f>SUM(D67:E69)</f>
        <v>8</v>
      </c>
      <c r="H67" s="3086">
        <f>BF36</f>
        <v>0</v>
      </c>
      <c r="I67" s="3086"/>
      <c r="J67" s="18" t="s">
        <v>1439</v>
      </c>
      <c r="K67" s="2831">
        <f>IF(C67="N",D67*H$67,0)</f>
        <v>0</v>
      </c>
      <c r="L67" s="2831"/>
      <c r="N67" s="3087">
        <f>IF(C67="y",H$67*D67,0)</f>
        <v>0</v>
      </c>
      <c r="O67" s="3087"/>
      <c r="P67" s="1172" t="s">
        <v>1069</v>
      </c>
      <c r="Q67" s="859" t="s">
        <v>1710</v>
      </c>
      <c r="R67" s="77"/>
      <c r="S67" s="1176">
        <f>E36</f>
        <v>0</v>
      </c>
      <c r="T67" s="77" t="s">
        <v>1259</v>
      </c>
      <c r="U67" s="1174">
        <v>1</v>
      </c>
      <c r="V67" s="77" t="s">
        <v>1511</v>
      </c>
      <c r="W67" s="1175">
        <f t="shared" si="53"/>
        <v>0</v>
      </c>
    </row>
    <row r="68" spans="1:23" s="1254" customFormat="1" ht="18" customHeight="1">
      <c r="A68" s="482" t="s">
        <v>1442</v>
      </c>
      <c r="B68" s="380"/>
      <c r="C68" s="984" t="s">
        <v>1306</v>
      </c>
      <c r="D68" s="2830">
        <v>3.5</v>
      </c>
      <c r="E68" s="2830"/>
      <c r="F68" s="77" t="s">
        <v>1618</v>
      </c>
      <c r="G68" s="3020"/>
      <c r="H68" s="3086"/>
      <c r="I68" s="3086"/>
      <c r="J68" s="18" t="s">
        <v>1439</v>
      </c>
      <c r="K68" s="2831">
        <f>IF(C68="N",D68*H$67,0)</f>
        <v>0</v>
      </c>
      <c r="L68" s="2831"/>
      <c r="N68" s="2859">
        <f>IF(C68="y",H$67*D68,0)</f>
        <v>0</v>
      </c>
      <c r="O68" s="2859"/>
      <c r="P68" s="1172" t="s">
        <v>1069</v>
      </c>
      <c r="Q68" s="859" t="s">
        <v>1453</v>
      </c>
      <c r="R68" s="77"/>
      <c r="S68" s="1176">
        <v>0</v>
      </c>
      <c r="T68" s="77" t="s">
        <v>1711</v>
      </c>
      <c r="U68" s="1174">
        <f>Pricing!Q43</f>
        <v>105</v>
      </c>
      <c r="V68" s="77" t="s">
        <v>630</v>
      </c>
      <c r="W68" s="1175">
        <f t="shared" ref="W68:W76" si="55">U68*S68</f>
        <v>0</v>
      </c>
    </row>
    <row r="69" spans="1:23" s="1254" customFormat="1" ht="18" customHeight="1">
      <c r="A69" s="482" t="s">
        <v>1443</v>
      </c>
      <c r="B69" s="380"/>
      <c r="C69" s="984" t="s">
        <v>1306</v>
      </c>
      <c r="D69" s="2830">
        <v>1</v>
      </c>
      <c r="E69" s="2830"/>
      <c r="F69" s="77" t="s">
        <v>1618</v>
      </c>
      <c r="G69" s="3020"/>
      <c r="H69" s="3086"/>
      <c r="I69" s="3086"/>
      <c r="J69" s="18" t="s">
        <v>1439</v>
      </c>
      <c r="K69" s="2831">
        <f>IF(C69="N",D69*H$67,0)</f>
        <v>0</v>
      </c>
      <c r="L69" s="2831"/>
      <c r="N69" s="3087">
        <f>IF(C69="y",H$67*D69,0)</f>
        <v>0</v>
      </c>
      <c r="O69" s="3087"/>
      <c r="P69" s="1172" t="s">
        <v>1069</v>
      </c>
      <c r="Q69" s="859" t="s">
        <v>1712</v>
      </c>
      <c r="R69" s="77"/>
      <c r="S69" s="1176">
        <f>I72</f>
        <v>0</v>
      </c>
      <c r="T69" s="77" t="s">
        <v>836</v>
      </c>
      <c r="U69" s="1174">
        <v>8.5</v>
      </c>
      <c r="V69" s="77"/>
      <c r="W69" s="1175">
        <f t="shared" si="55"/>
        <v>0</v>
      </c>
    </row>
    <row r="70" spans="1:23" s="1254" customFormat="1" ht="18" customHeight="1">
      <c r="A70" s="482" t="s">
        <v>1444</v>
      </c>
      <c r="B70" s="380"/>
      <c r="C70" s="984" t="s">
        <v>1306</v>
      </c>
      <c r="D70" s="2830">
        <v>0.25</v>
      </c>
      <c r="E70" s="2830"/>
      <c r="F70" s="77" t="s">
        <v>1618</v>
      </c>
      <c r="G70" s="18"/>
      <c r="H70" s="3086"/>
      <c r="I70" s="3086"/>
      <c r="J70" s="18" t="s">
        <v>1439</v>
      </c>
      <c r="K70" s="2831">
        <f>IF(C70="N",D70*H$67,0)</f>
        <v>0</v>
      </c>
      <c r="L70" s="2831"/>
      <c r="N70" s="2859">
        <f>IF(C70="y",H$67*D70,0)</f>
        <v>0</v>
      </c>
      <c r="O70" s="2859"/>
      <c r="P70" s="1172" t="s">
        <v>1713</v>
      </c>
      <c r="Q70" s="859" t="s">
        <v>1714</v>
      </c>
      <c r="R70" s="77"/>
      <c r="S70" s="1176"/>
      <c r="T70" s="77" t="s">
        <v>1454</v>
      </c>
      <c r="U70" s="1174">
        <v>500</v>
      </c>
      <c r="V70" s="77"/>
      <c r="W70" s="1175">
        <f t="shared" si="55"/>
        <v>0</v>
      </c>
    </row>
    <row r="71" spans="1:23" s="1254" customFormat="1" ht="18" customHeight="1">
      <c r="A71" s="482" t="s">
        <v>1307</v>
      </c>
      <c r="B71" s="380"/>
      <c r="C71" s="984" t="s">
        <v>1306</v>
      </c>
      <c r="D71" s="3088">
        <v>450</v>
      </c>
      <c r="E71" s="3088"/>
      <c r="F71" s="77" t="s">
        <v>1308</v>
      </c>
      <c r="G71" s="18"/>
      <c r="H71" s="964"/>
      <c r="I71" s="964">
        <f>(K56/2000)</f>
        <v>0</v>
      </c>
      <c r="J71" s="18" t="s">
        <v>1309</v>
      </c>
      <c r="K71" s="2831">
        <f>IF(C71="N",D71*I71,0)</f>
        <v>0</v>
      </c>
      <c r="L71" s="2831"/>
      <c r="N71" s="2859">
        <f>IF(C71="y",I71*D71,0)</f>
        <v>0</v>
      </c>
      <c r="O71" s="2859"/>
      <c r="P71" s="1172" t="s">
        <v>1069</v>
      </c>
      <c r="Q71" s="859"/>
      <c r="R71" s="77"/>
      <c r="S71" s="1176"/>
      <c r="T71" s="77" t="s">
        <v>1018</v>
      </c>
      <c r="U71" s="1174"/>
      <c r="V71" s="77"/>
      <c r="W71" s="1175">
        <f t="shared" si="55"/>
        <v>0</v>
      </c>
    </row>
    <row r="72" spans="1:23" s="1254" customFormat="1" ht="18" customHeight="1">
      <c r="A72" s="482" t="s">
        <v>1715</v>
      </c>
      <c r="B72" s="380"/>
      <c r="C72" s="984" t="s">
        <v>1306</v>
      </c>
      <c r="D72" s="2830">
        <v>10</v>
      </c>
      <c r="E72" s="2830"/>
      <c r="F72" s="77" t="s">
        <v>1338</v>
      </c>
      <c r="G72" s="18"/>
      <c r="H72" s="964"/>
      <c r="I72" s="964">
        <f>DI37</f>
        <v>0</v>
      </c>
      <c r="J72" s="18" t="s">
        <v>1259</v>
      </c>
      <c r="K72" s="2831">
        <f>IF(C72="N",D72*I72,0)</f>
        <v>0</v>
      </c>
      <c r="L72" s="2831"/>
      <c r="N72" s="2859">
        <f>IF(C72="y",I72*D72,0)</f>
        <v>0</v>
      </c>
      <c r="O72" s="2859"/>
      <c r="P72" s="1172" t="s">
        <v>1069</v>
      </c>
      <c r="Q72" s="859"/>
      <c r="R72" s="77"/>
      <c r="S72" s="1176"/>
      <c r="T72" s="77" t="s">
        <v>1018</v>
      </c>
      <c r="U72" s="1174"/>
      <c r="V72" s="77"/>
      <c r="W72" s="1175">
        <f t="shared" si="55"/>
        <v>0</v>
      </c>
    </row>
    <row r="73" spans="1:23" s="1254" customFormat="1" ht="18" customHeight="1">
      <c r="A73" s="482" t="s">
        <v>1716</v>
      </c>
      <c r="B73" s="380"/>
      <c r="C73" s="984" t="s">
        <v>1306</v>
      </c>
      <c r="D73" s="2830">
        <v>12</v>
      </c>
      <c r="E73" s="2830"/>
      <c r="F73" s="77" t="s">
        <v>1285</v>
      </c>
      <c r="G73" s="18"/>
      <c r="H73" s="964"/>
      <c r="I73" s="964">
        <f>SUM(DD10:DD35)</f>
        <v>0</v>
      </c>
      <c r="J73" s="18" t="s">
        <v>998</v>
      </c>
      <c r="K73" s="2831">
        <f>IF(C73="N",D73*I73,0)</f>
        <v>0</v>
      </c>
      <c r="L73" s="2831"/>
      <c r="N73" s="2859">
        <f>IF(C73="y",I73*D73,0)</f>
        <v>0</v>
      </c>
      <c r="O73" s="2859"/>
      <c r="P73" s="1172" t="s">
        <v>1069</v>
      </c>
      <c r="Q73" s="859"/>
      <c r="R73" s="77"/>
      <c r="S73" s="1176"/>
      <c r="T73" s="77"/>
      <c r="U73" s="1174"/>
      <c r="V73" s="77"/>
      <c r="W73" s="1175">
        <f t="shared" si="55"/>
        <v>0</v>
      </c>
    </row>
    <row r="74" spans="1:23" s="1254" customFormat="1" ht="18" customHeight="1">
      <c r="A74" s="482" t="s">
        <v>1660</v>
      </c>
      <c r="B74" s="380"/>
      <c r="C74" s="984" t="s">
        <v>1306</v>
      </c>
      <c r="D74" s="2830">
        <v>8</v>
      </c>
      <c r="E74" s="2830"/>
      <c r="F74" s="77" t="s">
        <v>1285</v>
      </c>
      <c r="G74" s="18"/>
      <c r="H74" s="964"/>
      <c r="I74" s="964">
        <f>SUM(DF10:DF35)</f>
        <v>0</v>
      </c>
      <c r="J74" s="18" t="s">
        <v>998</v>
      </c>
      <c r="K74" s="2831">
        <f>IF(C74="N",D74*I74,0)</f>
        <v>0</v>
      </c>
      <c r="L74" s="2831"/>
      <c r="N74" s="2859">
        <f>IF(C74="y",I74*D74,0)</f>
        <v>0</v>
      </c>
      <c r="O74" s="2859"/>
      <c r="P74" s="1172" t="s">
        <v>1069</v>
      </c>
      <c r="Q74" s="859"/>
      <c r="R74" s="77"/>
      <c r="S74" s="1176"/>
      <c r="T74" s="77"/>
      <c r="U74" s="1174"/>
      <c r="V74" s="77"/>
      <c r="W74" s="1175">
        <f t="shared" si="55"/>
        <v>0</v>
      </c>
    </row>
    <row r="75" spans="1:23" s="1254" customFormat="1" ht="18" customHeight="1">
      <c r="A75" s="1566" t="s">
        <v>1313</v>
      </c>
      <c r="B75" s="988"/>
      <c r="C75" s="989" t="s">
        <v>1306</v>
      </c>
      <c r="D75" s="2833">
        <v>0</v>
      </c>
      <c r="E75" s="2833"/>
      <c r="F75" s="1209"/>
      <c r="G75" s="373"/>
      <c r="H75" s="973"/>
      <c r="I75" s="973"/>
      <c r="J75" s="373"/>
      <c r="K75" s="2834">
        <f>IF(C75="N",D75*I75,0)</f>
        <v>0</v>
      </c>
      <c r="L75" s="2834"/>
      <c r="M75" s="373"/>
      <c r="N75" s="2815">
        <f>IF(C75="y",D75,0)</f>
        <v>0</v>
      </c>
      <c r="O75" s="2815"/>
      <c r="P75" s="1172" t="s">
        <v>1069</v>
      </c>
      <c r="Q75" s="859"/>
      <c r="R75" s="77"/>
      <c r="S75" s="1176"/>
      <c r="T75" s="77"/>
      <c r="U75" s="1174"/>
      <c r="V75" s="77"/>
      <c r="W75" s="1175">
        <f t="shared" si="55"/>
        <v>0</v>
      </c>
    </row>
    <row r="76" spans="1:23" s="1254" customFormat="1" ht="18" customHeight="1">
      <c r="A76" s="990" t="s">
        <v>1447</v>
      </c>
      <c r="B76" s="991"/>
      <c r="C76" s="992"/>
      <c r="D76" s="993">
        <f>IF(H67=0,0,(N76-N75+K76)/H67)</f>
        <v>0</v>
      </c>
      <c r="E76" s="1803"/>
      <c r="F76" s="802"/>
      <c r="G76" s="976"/>
      <c r="H76" s="991" t="s">
        <v>980</v>
      </c>
      <c r="I76" s="991"/>
      <c r="J76" s="991"/>
      <c r="K76" s="2838">
        <f>SUM(K66:L75)</f>
        <v>0</v>
      </c>
      <c r="L76" s="2838"/>
      <c r="M76" s="229"/>
      <c r="N76" s="2867">
        <f>SUM(N66:O75)</f>
        <v>0</v>
      </c>
      <c r="O76" s="2867"/>
      <c r="P76" s="1172" t="s">
        <v>1069</v>
      </c>
      <c r="Q76" s="1208"/>
      <c r="R76" s="1209"/>
      <c r="S76" s="1210"/>
      <c r="T76" s="1804"/>
      <c r="U76" s="1211"/>
      <c r="V76" s="1209"/>
      <c r="W76" s="1189">
        <f t="shared" si="55"/>
        <v>0</v>
      </c>
    </row>
    <row r="77" spans="1:23" s="1254" customFormat="1" ht="18" customHeight="1">
      <c r="A77" s="3089" t="s">
        <v>1449</v>
      </c>
      <c r="B77" s="3089"/>
      <c r="C77" s="3089"/>
      <c r="D77" s="3089"/>
      <c r="E77" s="3089"/>
      <c r="F77" s="3089"/>
      <c r="G77" s="3089"/>
      <c r="H77" s="3089"/>
      <c r="I77" s="3089"/>
      <c r="J77" s="3089"/>
      <c r="K77" s="3089"/>
      <c r="L77" s="3089"/>
      <c r="M77" s="3089"/>
      <c r="N77" s="3089"/>
      <c r="O77" s="3089"/>
      <c r="P77" s="1172" t="s">
        <v>1448</v>
      </c>
      <c r="Q77" s="859" t="s">
        <v>601</v>
      </c>
      <c r="R77" s="77"/>
      <c r="S77" s="1176">
        <f>ROUNDUP(K64*0.55*S51,0)</f>
        <v>0</v>
      </c>
      <c r="T77" s="77" t="s">
        <v>1312</v>
      </c>
      <c r="U77" s="1174">
        <f>Pricing!Q26</f>
        <v>0.45</v>
      </c>
      <c r="V77" s="77" t="s">
        <v>595</v>
      </c>
      <c r="W77" s="1175">
        <f t="shared" ref="W77:W83" si="56">S77*U77</f>
        <v>0</v>
      </c>
    </row>
    <row r="78" spans="1:23" s="1254" customFormat="1" ht="18" customHeight="1">
      <c r="A78" s="1593" t="s">
        <v>1316</v>
      </c>
      <c r="B78" s="1802"/>
      <c r="C78" s="998"/>
      <c r="D78" s="999"/>
      <c r="E78" s="1802" t="s">
        <v>1317</v>
      </c>
      <c r="F78" s="1805">
        <v>425</v>
      </c>
      <c r="G78" s="1806" t="s">
        <v>1450</v>
      </c>
      <c r="H78" s="983"/>
      <c r="I78" s="983"/>
      <c r="J78" s="983"/>
      <c r="K78" s="983"/>
      <c r="L78" s="2974">
        <f>IF(D40=0,0,(SUM(N78:O81))/D40)</f>
        <v>0</v>
      </c>
      <c r="M78" s="2974"/>
      <c r="N78" s="3090">
        <f>D78*F78</f>
        <v>0</v>
      </c>
      <c r="O78" s="3090"/>
      <c r="P78" s="1172">
        <v>39</v>
      </c>
      <c r="Q78" s="859" t="s">
        <v>604</v>
      </c>
      <c r="R78" s="77"/>
      <c r="S78" s="1176">
        <f>E36/4</f>
        <v>0</v>
      </c>
      <c r="T78" s="77" t="s">
        <v>1312</v>
      </c>
      <c r="U78" s="1174">
        <f>Pricing!Q27</f>
        <v>0.75</v>
      </c>
      <c r="V78" s="77" t="s">
        <v>1312</v>
      </c>
      <c r="W78" s="1175">
        <f t="shared" si="56"/>
        <v>0</v>
      </c>
    </row>
    <row r="79" spans="1:23" s="1254" customFormat="1" ht="18" customHeight="1">
      <c r="A79" s="482" t="s">
        <v>1318</v>
      </c>
      <c r="B79" s="77"/>
      <c r="C79" s="77"/>
      <c r="D79" s="1002">
        <f>D78</f>
        <v>0</v>
      </c>
      <c r="E79" s="1807" t="s">
        <v>1317</v>
      </c>
      <c r="F79" s="1808">
        <v>250</v>
      </c>
      <c r="G79" s="1809" t="s">
        <v>1450</v>
      </c>
      <c r="H79" s="18"/>
      <c r="I79" s="18"/>
      <c r="J79" s="18"/>
      <c r="K79" s="18"/>
      <c r="L79" s="2842">
        <f>SUM(N78:O80)</f>
        <v>0</v>
      </c>
      <c r="M79" s="2842"/>
      <c r="N79" s="3091">
        <f>D79*F79</f>
        <v>0</v>
      </c>
      <c r="O79" s="3091"/>
      <c r="P79" s="1172" t="s">
        <v>1451</v>
      </c>
      <c r="Q79" s="859" t="s">
        <v>1657</v>
      </c>
      <c r="R79" s="77"/>
      <c r="S79" s="1176">
        <f>H67/350</f>
        <v>0</v>
      </c>
      <c r="T79" s="77" t="s">
        <v>1452</v>
      </c>
      <c r="U79" s="1174">
        <f>Pricing!Q28</f>
        <v>45</v>
      </c>
      <c r="V79" s="77" t="s">
        <v>607</v>
      </c>
      <c r="W79" s="1175">
        <f t="shared" si="56"/>
        <v>0</v>
      </c>
    </row>
    <row r="80" spans="1:23" s="1254" customFormat="1" ht="18" customHeight="1">
      <c r="A80" s="77" t="s">
        <v>1320</v>
      </c>
      <c r="B80" s="77"/>
      <c r="C80" s="77"/>
      <c r="D80" s="1810">
        <f>IF(D77=0,D78,D77)</f>
        <v>0</v>
      </c>
      <c r="E80" s="77"/>
      <c r="F80" s="1811">
        <v>100</v>
      </c>
      <c r="G80" s="77"/>
      <c r="H80" s="18"/>
      <c r="I80" s="18"/>
      <c r="J80" s="18"/>
      <c r="K80" s="18"/>
      <c r="L80" s="1812"/>
      <c r="M80" s="1812"/>
      <c r="N80" s="3091">
        <f>D80*F80</f>
        <v>0</v>
      </c>
      <c r="O80" s="3091"/>
      <c r="P80" s="1172"/>
      <c r="Q80" s="859"/>
      <c r="R80" s="77"/>
      <c r="S80" s="1176"/>
      <c r="T80" s="77"/>
      <c r="U80" s="1174"/>
      <c r="V80" s="77"/>
      <c r="W80" s="1175">
        <f t="shared" si="56"/>
        <v>0</v>
      </c>
    </row>
    <row r="81" spans="1:23" s="1254" customFormat="1" ht="18" customHeight="1">
      <c r="A81" s="1595" t="s">
        <v>1320</v>
      </c>
      <c r="B81" s="1621"/>
      <c r="C81" s="1621"/>
      <c r="D81" s="1008">
        <f>IF(D78=0,D79,D78)</f>
        <v>0</v>
      </c>
      <c r="E81" s="1621" t="s">
        <v>1317</v>
      </c>
      <c r="F81" s="1813">
        <v>200</v>
      </c>
      <c r="G81" s="1621" t="s">
        <v>1450</v>
      </c>
      <c r="H81" s="976"/>
      <c r="I81" s="976"/>
      <c r="J81" s="976"/>
      <c r="K81" s="976"/>
      <c r="L81" s="2843">
        <f>IF(D40=0,0,N81/D40)</f>
        <v>0</v>
      </c>
      <c r="M81" s="2843"/>
      <c r="N81" s="2839">
        <f>D81*F81</f>
        <v>0</v>
      </c>
      <c r="O81" s="2839"/>
      <c r="P81" s="1172" t="s">
        <v>1069</v>
      </c>
      <c r="Q81" s="859" t="s">
        <v>1717</v>
      </c>
      <c r="R81" s="77"/>
      <c r="S81" s="1176">
        <f>H67/30</f>
        <v>0</v>
      </c>
      <c r="T81" s="77" t="s">
        <v>1312</v>
      </c>
      <c r="U81" s="1174">
        <v>15</v>
      </c>
      <c r="V81" s="77" t="s">
        <v>595</v>
      </c>
      <c r="W81" s="1175">
        <f t="shared" si="56"/>
        <v>0</v>
      </c>
    </row>
    <row r="82" spans="1:23" s="1254" customFormat="1" ht="18" customHeight="1">
      <c r="A82" s="3089" t="s">
        <v>1325</v>
      </c>
      <c r="B82" s="3089"/>
      <c r="C82" s="3089"/>
      <c r="D82" s="3089"/>
      <c r="E82" s="3089"/>
      <c r="F82" s="3089"/>
      <c r="G82" s="3089"/>
      <c r="H82" s="3089"/>
      <c r="I82" s="3089"/>
      <c r="J82" s="3089"/>
      <c r="K82" s="3089"/>
      <c r="L82" s="3089"/>
      <c r="M82" s="3089"/>
      <c r="N82" s="3089"/>
      <c r="O82" s="3089"/>
      <c r="P82" s="1172" t="s">
        <v>1069</v>
      </c>
      <c r="Q82" s="966" t="s">
        <v>1643</v>
      </c>
      <c r="R82" s="373"/>
      <c r="S82" s="1814">
        <f>SUM(K51:L55)/300</f>
        <v>0</v>
      </c>
      <c r="T82" s="373" t="s">
        <v>1323</v>
      </c>
      <c r="U82" s="1006">
        <v>250</v>
      </c>
      <c r="V82" s="373" t="s">
        <v>1324</v>
      </c>
      <c r="W82" s="1189">
        <f t="shared" si="56"/>
        <v>0</v>
      </c>
    </row>
    <row r="83" spans="1:23" s="1254" customFormat="1" ht="18" customHeight="1">
      <c r="A83" s="1593" t="s">
        <v>1326</v>
      </c>
      <c r="B83" s="1596"/>
      <c r="C83" s="1597"/>
      <c r="D83" s="999">
        <f>D84</f>
        <v>0</v>
      </c>
      <c r="E83" s="1802" t="s">
        <v>1327</v>
      </c>
      <c r="F83" s="1805">
        <f>Pricing!D32</f>
        <v>425</v>
      </c>
      <c r="G83" s="1802" t="s">
        <v>1450</v>
      </c>
      <c r="H83" s="983"/>
      <c r="I83" s="983"/>
      <c r="J83" s="983"/>
      <c r="K83" s="983"/>
      <c r="L83" s="983"/>
      <c r="M83" s="983"/>
      <c r="N83" s="2856">
        <f>(IF(AND(D83&gt;0,D83&lt;4),D83*F83,0)+IF(AND(D83&gt;3,D83&lt;8),F83*3,0)+IF(AND(D83&gt;7,D83&lt;21),D83/7*F83*3,0)+IF(AND(D83&gt;20,D83&lt;30),F83*9,0)+IF(D83&gt;29,D83/30*F83*9,0))*(1+V$39+I$85)</f>
        <v>0</v>
      </c>
      <c r="O83" s="2856"/>
      <c r="P83" s="1172" t="s">
        <v>1073</v>
      </c>
      <c r="Q83" s="859" t="s">
        <v>618</v>
      </c>
      <c r="R83" s="77"/>
      <c r="S83" s="1176"/>
      <c r="T83" s="77" t="s">
        <v>1452</v>
      </c>
      <c r="U83" s="1174">
        <f>Pricing!Q31</f>
        <v>27</v>
      </c>
      <c r="V83" s="77" t="s">
        <v>607</v>
      </c>
      <c r="W83" s="1175">
        <f t="shared" si="56"/>
        <v>0</v>
      </c>
    </row>
    <row r="84" spans="1:23" s="1254" customFormat="1" ht="18" customHeight="1">
      <c r="A84" s="482" t="s">
        <v>622</v>
      </c>
      <c r="B84" s="1177"/>
      <c r="C84" s="1598"/>
      <c r="D84" s="1012">
        <f>IF(D$78&gt;0,IF(D$78&lt;=3,D$78,7),0)+IF(D$78&gt;5,IF(D$78&lt;=10,7,0),0)+IF(D$78&gt;10,IF(D$78&lt;=15,14,0),0)+IF(D$78&gt;15,IF(D$78&lt;=20,23,0),0)+IF(D$78&gt;20,IF(D$78&lt;=40,53,0),0)+IF(D$78&gt;40,IF(D$78&lt;=60,83,0),0)+IF(D$78&gt;60,IF(D$78&lt;=80,113,0),0)+IF(D$78&gt;80,IF(D$78&lt;=100,143,0),0)+IF(D$78&gt;100,IF(D$78&lt;=120,163,0),0)+IF(D$78&gt;120,IF(D$78&lt;=140,193,0),0)+IF(D$78&gt;140,IF(D$78&lt;=160,223,0),0)</f>
        <v>0</v>
      </c>
      <c r="E84" s="77" t="s">
        <v>1327</v>
      </c>
      <c r="F84" s="1805">
        <f>Pricing!D33</f>
        <v>475</v>
      </c>
      <c r="G84" s="77" t="s">
        <v>1450</v>
      </c>
      <c r="H84" s="18"/>
      <c r="I84" s="2977" t="s">
        <v>1329</v>
      </c>
      <c r="J84" s="2977"/>
      <c r="K84" s="18"/>
      <c r="L84" s="2841">
        <f>IF(D40=0,0,(SUM(N83:O88))/D40)</f>
        <v>0</v>
      </c>
      <c r="M84" s="2841"/>
      <c r="N84" s="3091">
        <f>(IF(AND(D84&gt;0,D84&lt;4),D84*F84,0)+IF(AND(D84&gt;3,D84&lt;8),F84*3,0)+IF(AND(D84&gt;7,D84&lt;21),D84/7*F84*3,0)+IF(AND(D84&gt;20,D84&lt;30),F84*9,0)+IF(D84&gt;29,D84/30*F84*9,0))*(1+V$39+I$85)</f>
        <v>0</v>
      </c>
      <c r="O84" s="3091"/>
      <c r="P84" s="1172" t="s">
        <v>1073</v>
      </c>
      <c r="Q84" s="859" t="s">
        <v>1457</v>
      </c>
      <c r="R84" s="77"/>
      <c r="S84" s="1176">
        <v>0</v>
      </c>
      <c r="T84" s="77" t="s">
        <v>1511</v>
      </c>
      <c r="U84" s="1174">
        <f>Pricing!Q32</f>
        <v>1.25</v>
      </c>
      <c r="V84" s="77" t="s">
        <v>1417</v>
      </c>
      <c r="W84" s="1175">
        <f>U84*S84</f>
        <v>0</v>
      </c>
    </row>
    <row r="85" spans="1:23" s="1254" customFormat="1" ht="18" customHeight="1">
      <c r="A85" s="482" t="s">
        <v>626</v>
      </c>
      <c r="B85" s="1177"/>
      <c r="C85" s="1598"/>
      <c r="D85" s="1012">
        <f>IF(D$78&gt;0,IF(D$78&lt;=3,D$78,7),0)+IF(D$78&gt;5,IF(D$78&lt;=10,7,0),0)+IF(D$78&gt;10,IF(D$78&lt;=15,14,0),0)+IF(D$78&gt;15,IF(D$78&lt;=20,23,0),0)+IF(D$78&gt;20,IF(D$78&lt;=40,53,0),0)+IF(D$78&gt;40,IF(D$78&lt;=60,83,0),0)+IF(D$78&gt;60,IF(D$78&lt;=80,113,0),0)+IF(D$78&gt;80,IF(D$78&lt;=100,143,0),0)+IF(D$78&gt;100,IF(D$78&lt;=120,163,0),0)+IF(D$78&gt;120,IF(D$78&lt;=140,193,0),0)+IF(D$78&gt;140,IF(D$78&lt;=160,223,0),0)</f>
        <v>0</v>
      </c>
      <c r="E85" s="77" t="s">
        <v>1327</v>
      </c>
      <c r="F85" s="1808">
        <v>275</v>
      </c>
      <c r="G85" s="77" t="s">
        <v>1450</v>
      </c>
      <c r="H85" s="18"/>
      <c r="I85" s="3092">
        <v>0.5</v>
      </c>
      <c r="J85" s="3092"/>
      <c r="K85" s="18"/>
      <c r="L85" s="2842">
        <f>SUM(N83:O88)</f>
        <v>0</v>
      </c>
      <c r="M85" s="2842"/>
      <c r="N85" s="3091">
        <f>(IF(AND(D85&gt;0,D85&lt;4),D85*F85,0)+IF(AND(D85&gt;3,D85&lt;8),F85*3,0)+IF(AND(D85&gt;7,D85&lt;21),D85/7*F85*3,0)+IF(AND(D85&gt;20,D85&lt;30),F85*9,0)+IF(D85&gt;29,D85/30*F85*9,0))*(1+V$39+I$85)</f>
        <v>0</v>
      </c>
      <c r="O85" s="3091"/>
      <c r="P85" s="1172" t="s">
        <v>1073</v>
      </c>
      <c r="Q85" s="1208" t="s">
        <v>554</v>
      </c>
      <c r="R85" s="1209"/>
      <c r="S85" s="1210">
        <f>K56</f>
        <v>0</v>
      </c>
      <c r="T85" s="1209" t="s">
        <v>1288</v>
      </c>
      <c r="U85" s="1211">
        <v>0.04</v>
      </c>
      <c r="V85" s="1209" t="s">
        <v>555</v>
      </c>
      <c r="W85" s="1189">
        <f>U85*S85</f>
        <v>0</v>
      </c>
    </row>
    <row r="86" spans="1:23" s="1254" customFormat="1" ht="18" customHeight="1">
      <c r="A86" s="482" t="s">
        <v>1332</v>
      </c>
      <c r="B86" s="1177"/>
      <c r="C86" s="1598"/>
      <c r="D86" s="1012">
        <f>IF(D$78&gt;0,IF(D$78&lt;=3,D$78,7),0)+IF(D$78&gt;5,IF(D$78&lt;=10,7,0),0)+IF(D$78&gt;10,IF(D$78&lt;=15,14,0),0)+IF(D$78&gt;15,IF(D$78&lt;=20,23,0),0)+IF(D$78&gt;20,IF(D$78&lt;=40,53,0),0)+IF(D$78&gt;40,IF(D$78&lt;=60,83,0),0)+IF(D$78&gt;60,IF(D$78&lt;=80,113,0),0)+IF(D$78&gt;80,IF(D$78&lt;=100,143,0),0)+IF(D$78&gt;100,IF(D$78&lt;=120,163,0),0)+IF(D$78&gt;120,IF(D$78&lt;=140,193,0),0)+IF(D$78&gt;140,IF(D$78&lt;=160,223,0),0)</f>
        <v>0</v>
      </c>
      <c r="E86" s="77" t="s">
        <v>1327</v>
      </c>
      <c r="F86" s="1808">
        <f>Pricing!D39</f>
        <v>100</v>
      </c>
      <c r="G86" s="77" t="s">
        <v>1450</v>
      </c>
      <c r="H86" s="18"/>
      <c r="I86" s="3092"/>
      <c r="J86" s="3092"/>
      <c r="K86" s="18"/>
      <c r="L86" s="18"/>
      <c r="M86" s="18"/>
      <c r="N86" s="2859">
        <f>(IF(AND(D86&gt;0,D86&lt;4),D86*F86,0)+IF(AND(D86&gt;3,D86&lt;8),F86*3,0)+IF(AND(D86&gt;7,D86&lt;21),D86/7*F86*3,0)+IF(AND(D86&gt;20,D86&lt;30),F86*9,0)+IF(D86&gt;29,D86/30*F86*9,0))*(1+V$39+I$85)</f>
        <v>0</v>
      </c>
      <c r="O86" s="2859"/>
      <c r="P86" s="1172" t="s">
        <v>1078</v>
      </c>
      <c r="Q86" s="859" t="s">
        <v>1105</v>
      </c>
      <c r="R86" s="77"/>
      <c r="S86" s="1176"/>
      <c r="T86" s="77"/>
      <c r="U86" s="1174"/>
      <c r="V86" s="77"/>
      <c r="W86" s="1175">
        <v>0</v>
      </c>
    </row>
    <row r="87" spans="1:23" s="1254" customFormat="1" ht="18" customHeight="1">
      <c r="A87" s="482" t="s">
        <v>1333</v>
      </c>
      <c r="B87" s="1177"/>
      <c r="C87" s="1598"/>
      <c r="D87" s="1012">
        <f>IF(D$78&gt;0,IF(D$78&lt;=3,D$78,7),0)+IF(D$78&gt;5,IF(D$78&lt;=10,7,0),0)+IF(D$78&gt;10,IF(D$78&lt;=15,14,0),0)+IF(D$78&gt;15,IF(D$78&lt;=20,23,0),0)+IF(D$78&gt;20,IF(D$78&lt;=40,53,0),0)+IF(D$78&gt;40,IF(D$78&lt;=60,83,0),0)+IF(D$78&gt;60,IF(D$78&lt;=80,113,0),0)+IF(D$78&gt;80,IF(D$78&lt;=100,143,0),0)+IF(D$78&gt;100,IF(D$78&lt;=120,163,0),0)+IF(D$78&gt;120,IF(D$78&lt;=140,193,0),0)+IF(D$78&gt;140,IF(D$78&lt;=160,223,0),0)</f>
        <v>0</v>
      </c>
      <c r="E87" s="77" t="s">
        <v>1327</v>
      </c>
      <c r="F87" s="1808">
        <v>50</v>
      </c>
      <c r="G87" s="77" t="s">
        <v>1450</v>
      </c>
      <c r="H87" s="18"/>
      <c r="I87" s="18"/>
      <c r="J87" s="18"/>
      <c r="K87" s="18"/>
      <c r="L87" s="18"/>
      <c r="M87" s="18"/>
      <c r="N87" s="2859">
        <f>(IF(AND(D87&gt;0,D87&lt;4),D87*F87,0)+IF(AND(D87&gt;3,D87&lt;8),F87*3,0)+IF(AND(D87&gt;7,D87&lt;21),D87/7*F87*3,0)+IF(AND(D87&gt;20,D87&lt;30),F87*9,0)+IF(D87&gt;29,D87/30*F87*9,0))*(1+V$39+I$85)</f>
        <v>0</v>
      </c>
      <c r="O87" s="2859"/>
      <c r="P87" s="1172" t="s">
        <v>1328</v>
      </c>
      <c r="Q87" s="859" t="s">
        <v>1105</v>
      </c>
      <c r="R87" s="77"/>
      <c r="S87" s="1176"/>
      <c r="T87" s="77"/>
      <c r="U87" s="1174"/>
      <c r="V87" s="77"/>
      <c r="W87" s="1175">
        <v>0</v>
      </c>
    </row>
    <row r="88" spans="1:23" s="1254" customFormat="1" ht="18" customHeight="1">
      <c r="A88" s="1595" t="s">
        <v>1067</v>
      </c>
      <c r="B88" s="1599"/>
      <c r="C88" s="1600"/>
      <c r="D88" s="1815">
        <f>IF(D$78&gt;0,IF(D$78&lt;=3,D$78,7),0)+IF(D$78&gt;5,IF(D$78&lt;=10,7,0),0)+IF(D$78&gt;10,IF(D$78&lt;=15,14,0),0)+IF(D$78&gt;15,IF(D$78&lt;=20,23,0),0)+IF(D$78&gt;20,IF(D$78&lt;=40,53,0),0)+IF(D$78&gt;40,IF(D$78&lt;=60,83,0),0)+IF(D$78&gt;60,IF(D$78&lt;=80,113,0),0)+IF(D$78&gt;80,IF(D$78&lt;=100,143,0),0)+IF(D$78&gt;100,IF(D$78&lt;=120,163,0),0)+IF(D$78&gt;120,IF(D$78&lt;=140,193,0),0)+IF(D$78&gt;140,IF(D$78&lt;=160,223,0),0)</f>
        <v>0</v>
      </c>
      <c r="E88" s="1621" t="s">
        <v>1327</v>
      </c>
      <c r="F88" s="1813">
        <v>35</v>
      </c>
      <c r="G88" s="1621" t="s">
        <v>1450</v>
      </c>
      <c r="H88" s="976"/>
      <c r="I88" s="976"/>
      <c r="J88" s="976"/>
      <c r="K88" s="976"/>
      <c r="L88" s="1021"/>
      <c r="M88" s="976"/>
      <c r="N88" s="2839">
        <f>(IF(AND(D88&gt;0,D88&lt;4),D88*F88,0)+IF(AND(D88&gt;3,D88&lt;8),F88*3,0)+IF(AND(D88&gt;7,D88&lt;21),D88/7*F88*3,0)+IF(AND(D88&gt;20,D88&lt;30),F88*9,0)+IF(D88&gt;29,D88/30*F88*9,0))</f>
        <v>0</v>
      </c>
      <c r="O88" s="2839"/>
      <c r="P88" s="1172" t="s">
        <v>1330</v>
      </c>
      <c r="Q88" s="1208" t="s">
        <v>1108</v>
      </c>
      <c r="R88" s="1209"/>
      <c r="S88" s="1210"/>
      <c r="T88" s="1209"/>
      <c r="U88" s="1211"/>
      <c r="V88" s="1209"/>
      <c r="W88" s="1189">
        <v>0</v>
      </c>
    </row>
    <row r="89" spans="1:23" s="1254" customFormat="1" ht="18" customHeight="1">
      <c r="A89" s="3089" t="s">
        <v>1336</v>
      </c>
      <c r="B89" s="3089"/>
      <c r="C89" s="3089"/>
      <c r="D89" s="3089"/>
      <c r="E89" s="3089"/>
      <c r="F89" s="3089"/>
      <c r="G89" s="3089"/>
      <c r="H89" s="3089"/>
      <c r="I89" s="3089"/>
      <c r="J89" s="3089"/>
      <c r="K89" s="3089"/>
      <c r="L89" s="3089"/>
      <c r="M89" s="3089"/>
      <c r="N89" s="3089"/>
      <c r="O89" s="3089"/>
      <c r="P89" s="1172" t="s">
        <v>1342</v>
      </c>
      <c r="Q89" s="574"/>
      <c r="R89" s="18"/>
      <c r="S89" s="959"/>
      <c r="T89" s="18"/>
      <c r="U89" s="861"/>
      <c r="V89" s="18"/>
      <c r="W89" s="1797"/>
    </row>
    <row r="90" spans="1:23" s="1254" customFormat="1" ht="18" customHeight="1">
      <c r="A90" s="1593" t="s">
        <v>1458</v>
      </c>
      <c r="B90" s="1816"/>
      <c r="C90" s="1817"/>
      <c r="D90" s="1818">
        <f>W36</f>
        <v>0</v>
      </c>
      <c r="E90" s="1597" t="s">
        <v>998</v>
      </c>
      <c r="F90" s="1228">
        <v>10</v>
      </c>
      <c r="G90" s="1802" t="s">
        <v>1285</v>
      </c>
      <c r="H90" s="983"/>
      <c r="I90" s="983"/>
      <c r="J90" s="983"/>
      <c r="K90" s="983"/>
      <c r="L90" s="983"/>
      <c r="M90" s="983"/>
      <c r="N90" s="2856">
        <f t="shared" ref="N90:N95" si="57">D90*F90</f>
        <v>0</v>
      </c>
      <c r="O90" s="2856"/>
      <c r="P90" s="1172" t="s">
        <v>1342</v>
      </c>
      <c r="Q90" s="574" t="s">
        <v>646</v>
      </c>
      <c r="R90" s="18"/>
      <c r="S90" s="959">
        <f>ROUNDUP(H67/300/55,0)</f>
        <v>0</v>
      </c>
      <c r="T90" s="18" t="s">
        <v>1720</v>
      </c>
      <c r="U90" s="861">
        <f>Pricing!Q44</f>
        <v>567.5</v>
      </c>
      <c r="V90" s="18" t="s">
        <v>647</v>
      </c>
      <c r="W90" s="1175">
        <f>U90*S90</f>
        <v>0</v>
      </c>
    </row>
    <row r="91" spans="1:23" s="1254" customFormat="1" ht="18" customHeight="1">
      <c r="A91" s="482" t="s">
        <v>1721</v>
      </c>
      <c r="B91" s="503"/>
      <c r="C91" s="834"/>
      <c r="D91" s="1819">
        <f>DH36</f>
        <v>0</v>
      </c>
      <c r="E91" s="77" t="s">
        <v>1418</v>
      </c>
      <c r="F91" s="1197">
        <v>5.25</v>
      </c>
      <c r="G91" s="77" t="s">
        <v>600</v>
      </c>
      <c r="H91" s="18"/>
      <c r="I91" s="18"/>
      <c r="J91" s="18"/>
      <c r="K91" s="18"/>
      <c r="L91" s="18"/>
      <c r="M91" s="18"/>
      <c r="N91" s="2859">
        <f t="shared" si="57"/>
        <v>0</v>
      </c>
      <c r="O91" s="2859"/>
      <c r="P91" s="1172" t="s">
        <v>1342</v>
      </c>
      <c r="Q91" s="966" t="s">
        <v>649</v>
      </c>
      <c r="R91" s="373"/>
      <c r="S91" s="1005">
        <f>BN66</f>
        <v>0</v>
      </c>
      <c r="T91" s="373" t="s">
        <v>1720</v>
      </c>
      <c r="U91" s="1006">
        <f>Pricing!Q45</f>
        <v>542</v>
      </c>
      <c r="V91" s="373" t="s">
        <v>647</v>
      </c>
      <c r="W91" s="1189">
        <f>U91*S91</f>
        <v>0</v>
      </c>
    </row>
    <row r="92" spans="1:23" s="1254" customFormat="1" ht="18" customHeight="1">
      <c r="A92" s="482" t="s">
        <v>1462</v>
      </c>
      <c r="B92" s="503"/>
      <c r="C92" s="834"/>
      <c r="D92" s="1819"/>
      <c r="E92" s="1807" t="s">
        <v>1341</v>
      </c>
      <c r="F92" s="1197">
        <v>0.25</v>
      </c>
      <c r="G92" s="77" t="s">
        <v>1341</v>
      </c>
      <c r="H92" s="18"/>
      <c r="I92" s="18"/>
      <c r="J92" s="18"/>
      <c r="K92" s="18"/>
      <c r="L92" s="18"/>
      <c r="M92" s="18"/>
      <c r="N92" s="2859">
        <f t="shared" si="57"/>
        <v>0</v>
      </c>
      <c r="O92" s="2859"/>
      <c r="P92" s="1172"/>
      <c r="Q92" s="574"/>
      <c r="R92" s="18"/>
      <c r="S92" s="18"/>
      <c r="T92" s="18"/>
      <c r="U92" s="844"/>
      <c r="V92" s="18"/>
      <c r="W92" s="1037"/>
    </row>
    <row r="93" spans="1:23" s="1254" customFormat="1" ht="18" customHeight="1">
      <c r="A93" s="1820" t="s">
        <v>1067</v>
      </c>
      <c r="B93" s="1821"/>
      <c r="C93" s="1822"/>
      <c r="D93" s="1823"/>
      <c r="E93" s="1824" t="s">
        <v>1000</v>
      </c>
      <c r="F93" s="1825">
        <v>1000</v>
      </c>
      <c r="G93" s="1826" t="s">
        <v>1624</v>
      </c>
      <c r="H93" s="18"/>
      <c r="I93" s="18"/>
      <c r="J93" s="18"/>
      <c r="K93" s="18"/>
      <c r="L93" s="18"/>
      <c r="M93" s="163"/>
      <c r="N93" s="2859">
        <f t="shared" si="57"/>
        <v>0</v>
      </c>
      <c r="O93" s="2859"/>
      <c r="P93" s="1172"/>
      <c r="Q93" s="1041" t="s">
        <v>1349</v>
      </c>
      <c r="R93" s="7"/>
      <c r="S93" s="919">
        <v>18</v>
      </c>
      <c r="T93" s="919" t="s">
        <v>1350</v>
      </c>
      <c r="U93" s="18"/>
      <c r="V93" s="18"/>
      <c r="W93" s="1042"/>
    </row>
    <row r="94" spans="1:23" s="1254" customFormat="1" ht="18" customHeight="1">
      <c r="A94" s="482" t="s">
        <v>1234</v>
      </c>
      <c r="B94" s="503"/>
      <c r="C94" s="834"/>
      <c r="D94" s="1819"/>
      <c r="E94" s="1174" t="s">
        <v>1285</v>
      </c>
      <c r="F94" s="1197">
        <v>6</v>
      </c>
      <c r="G94" s="77" t="s">
        <v>1285</v>
      </c>
      <c r="H94" s="18"/>
      <c r="I94" s="18"/>
      <c r="J94" s="18"/>
      <c r="K94" s="18"/>
      <c r="L94" s="18"/>
      <c r="M94" s="163"/>
      <c r="N94" s="2859">
        <f t="shared" si="57"/>
        <v>0</v>
      </c>
      <c r="O94" s="2859"/>
      <c r="P94" s="1172" t="s">
        <v>1072</v>
      </c>
      <c r="Q94" s="577" t="s">
        <v>1353</v>
      </c>
      <c r="R94" s="976"/>
      <c r="S94" s="976">
        <f>S64*12/S93</f>
        <v>0</v>
      </c>
      <c r="T94" s="976" t="s">
        <v>1354</v>
      </c>
      <c r="U94" s="1050">
        <f>Pricing!D30</f>
        <v>1</v>
      </c>
      <c r="V94" s="1050"/>
      <c r="W94" s="1827">
        <f>U94*S94</f>
        <v>0</v>
      </c>
    </row>
    <row r="95" spans="1:23" s="1254" customFormat="1" ht="18" customHeight="1">
      <c r="A95" s="1595" t="s">
        <v>1346</v>
      </c>
      <c r="B95" s="1441"/>
      <c r="C95" s="1445"/>
      <c r="D95" s="1828"/>
      <c r="E95" s="1829" t="s">
        <v>1347</v>
      </c>
      <c r="F95" s="1830">
        <v>200</v>
      </c>
      <c r="G95" s="1621" t="s">
        <v>620</v>
      </c>
      <c r="H95" s="976"/>
      <c r="I95" s="976"/>
      <c r="J95" s="976"/>
      <c r="K95" s="976"/>
      <c r="L95" s="976"/>
      <c r="M95" s="976"/>
      <c r="N95" s="2839">
        <f t="shared" si="57"/>
        <v>0</v>
      </c>
      <c r="O95" s="2839"/>
      <c r="P95" s="626"/>
      <c r="Q95" s="626"/>
      <c r="R95" s="626"/>
      <c r="S95" s="626"/>
      <c r="T95" s="626"/>
      <c r="U95" s="626"/>
      <c r="V95" s="626"/>
      <c r="W95" s="1236">
        <f>SUM(W52:W94)</f>
        <v>0</v>
      </c>
    </row>
    <row r="96" spans="1:23" s="1254" customFormat="1" ht="18" customHeight="1">
      <c r="A96" s="3029" t="s">
        <v>1191</v>
      </c>
      <c r="B96" s="3029"/>
      <c r="C96" s="3029"/>
      <c r="D96" s="1237">
        <f>Summary!P60</f>
        <v>0</v>
      </c>
      <c r="E96" s="1238" t="s">
        <v>1465</v>
      </c>
      <c r="F96" s="1831">
        <f>(SUM(N51:O64)+SUM(N66:O75)+SUM(K66:L75)+SUM(N78:O81)+SUM(N83:O88)+SUM(N90:O95))*D96</f>
        <v>0</v>
      </c>
      <c r="G96" s="1240" t="s">
        <v>1039</v>
      </c>
      <c r="H96" s="1240"/>
      <c r="I96" s="1240"/>
      <c r="J96" s="1240"/>
      <c r="K96" s="1240"/>
      <c r="L96" s="1240"/>
      <c r="M96" s="1240"/>
      <c r="N96" s="3030">
        <f>F96</f>
        <v>0</v>
      </c>
      <c r="O96" s="3030"/>
      <c r="P96" s="626"/>
      <c r="Q96" s="626"/>
      <c r="R96" s="626"/>
      <c r="S96" s="626"/>
      <c r="T96" s="626"/>
      <c r="U96" s="626"/>
      <c r="V96" s="626"/>
      <c r="W96" s="626"/>
    </row>
    <row r="97" spans="1:23" s="1254" customFormat="1" ht="18" customHeight="1">
      <c r="A97" s="888"/>
      <c r="B97" s="889"/>
      <c r="C97" s="889"/>
      <c r="D97" s="889"/>
      <c r="E97" s="889"/>
      <c r="F97" s="889"/>
      <c r="G97" s="889"/>
      <c r="H97" s="889"/>
      <c r="I97" s="889"/>
      <c r="J97" s="889"/>
      <c r="K97" s="891"/>
      <c r="L97" s="889"/>
      <c r="M97" s="889"/>
      <c r="N97" s="889"/>
      <c r="O97" s="889"/>
      <c r="P97" s="889"/>
      <c r="Q97" s="889"/>
      <c r="R97" s="889"/>
      <c r="S97" s="889"/>
      <c r="T97" s="889"/>
      <c r="U97" s="889"/>
      <c r="V97" s="889"/>
      <c r="W97" s="894"/>
    </row>
    <row r="98" spans="1:23" s="1254" customFormat="1" ht="18" customHeight="1">
      <c r="A98" s="1476" t="s">
        <v>1262</v>
      </c>
      <c r="B98" s="1477"/>
      <c r="C98" s="1478"/>
      <c r="D98" s="1476" t="s">
        <v>982</v>
      </c>
      <c r="E98" s="1478"/>
      <c r="F98" s="1476" t="s">
        <v>1263</v>
      </c>
      <c r="G98" s="1477"/>
      <c r="H98" s="1478"/>
      <c r="I98" s="1054" t="s">
        <v>1264</v>
      </c>
      <c r="J98" s="1055"/>
      <c r="K98" s="1056"/>
      <c r="L98" s="1057" t="s">
        <v>1265</v>
      </c>
      <c r="M98" s="1058"/>
      <c r="N98" s="1058"/>
      <c r="O98" s="1059"/>
      <c r="P98" s="895"/>
      <c r="Q98" s="574" t="s">
        <v>1266</v>
      </c>
      <c r="R98" s="18"/>
      <c r="S98" s="18" t="s">
        <v>1267</v>
      </c>
      <c r="T98" s="1060" t="str">
        <f>T39</f>
        <v>N</v>
      </c>
      <c r="U98" s="793" t="s">
        <v>1268</v>
      </c>
      <c r="V98" s="1242">
        <f>V39</f>
        <v>8.2500000000000004E-2</v>
      </c>
      <c r="W98" s="898"/>
    </row>
    <row r="99" spans="1:23" s="1254" customFormat="1" ht="18" customHeight="1">
      <c r="A99" s="899" t="s">
        <v>1269</v>
      </c>
      <c r="B99" s="2865">
        <f>B40</f>
        <v>0</v>
      </c>
      <c r="C99" s="2865"/>
      <c r="D99" s="2866">
        <f>D40</f>
        <v>0</v>
      </c>
      <c r="E99" s="2866"/>
      <c r="F99" s="901">
        <f>F40</f>
        <v>0</v>
      </c>
      <c r="G99" s="2867">
        <f>G40</f>
        <v>0</v>
      </c>
      <c r="H99" s="2867"/>
      <c r="I99" s="1485">
        <f>I40</f>
        <v>0</v>
      </c>
      <c r="J99" s="1486"/>
      <c r="K99" s="1487"/>
      <c r="L99" s="3031">
        <f>L40</f>
        <v>0.18</v>
      </c>
      <c r="M99" s="3031"/>
      <c r="N99" s="3031"/>
      <c r="O99" s="3031"/>
      <c r="P99" s="1137"/>
      <c r="Q99" s="902" t="s">
        <v>980</v>
      </c>
      <c r="R99" s="18"/>
      <c r="S99" s="18"/>
      <c r="T99" s="2942">
        <f>S40</f>
        <v>0</v>
      </c>
      <c r="U99" s="2942"/>
      <c r="V99" s="18"/>
      <c r="W99" s="898"/>
    </row>
    <row r="100" spans="1:23" s="1254" customFormat="1" ht="18" customHeight="1">
      <c r="A100" s="909"/>
      <c r="B100" s="905"/>
      <c r="C100" s="905"/>
      <c r="D100" s="905"/>
      <c r="E100" s="905"/>
      <c r="F100" s="905"/>
      <c r="G100" s="905"/>
      <c r="H100" s="905"/>
      <c r="I100" s="905"/>
      <c r="J100" s="905"/>
      <c r="K100" s="905"/>
      <c r="L100" s="905"/>
      <c r="M100" s="905"/>
      <c r="N100" s="905"/>
      <c r="O100" s="905"/>
      <c r="P100" s="905"/>
      <c r="Q100" s="905"/>
      <c r="R100" s="905"/>
      <c r="S100" s="905"/>
      <c r="T100" s="905"/>
      <c r="U100" s="905"/>
      <c r="V100" s="905"/>
      <c r="W100" s="913"/>
    </row>
    <row r="101" spans="1:23" s="1254" customFormat="1">
      <c r="A101" s="626"/>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row>
    <row r="102" spans="1:23" s="1254" customFormat="1">
      <c r="A102" s="626"/>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row>
    <row r="103" spans="1:23" s="1254" customFormat="1" ht="15.45">
      <c r="A103" s="684" t="s">
        <v>1055</v>
      </c>
      <c r="B103" s="1243" t="s">
        <v>853</v>
      </c>
      <c r="C103" s="686"/>
      <c r="D103" s="689">
        <f>D104-T99</f>
        <v>0</v>
      </c>
      <c r="E103" s="626"/>
      <c r="F103" s="626"/>
      <c r="G103" s="626"/>
      <c r="H103" s="626"/>
      <c r="I103" s="626"/>
      <c r="J103" s="626"/>
      <c r="K103" s="626"/>
      <c r="L103" s="626"/>
      <c r="M103" s="626"/>
      <c r="N103" s="626"/>
      <c r="O103" s="626"/>
      <c r="P103" s="626"/>
      <c r="Q103" s="626"/>
      <c r="R103" s="626"/>
      <c r="S103" s="626"/>
    </row>
    <row r="104" spans="1:23" s="1254" customFormat="1">
      <c r="A104" s="700" t="s">
        <v>1070</v>
      </c>
      <c r="B104" s="702"/>
      <c r="C104" s="702"/>
      <c r="D104" s="703">
        <f>SUM(D105:D161)-D137-D147</f>
        <v>0</v>
      </c>
      <c r="E104" s="626"/>
      <c r="F104" s="626"/>
      <c r="G104" s="626"/>
      <c r="H104" s="626"/>
      <c r="I104" s="626"/>
      <c r="J104" s="626"/>
      <c r="K104" s="626"/>
      <c r="L104" s="626"/>
      <c r="M104" s="626"/>
      <c r="N104" s="626"/>
      <c r="O104" s="626"/>
      <c r="P104" s="626"/>
      <c r="Q104" s="626"/>
      <c r="R104" s="626"/>
      <c r="S104" s="626"/>
    </row>
    <row r="105" spans="1:23">
      <c r="A105" s="1244">
        <f>Summary!P74</f>
        <v>40001</v>
      </c>
      <c r="B105" s="707" t="str">
        <f>Summary!Q74</f>
        <v>General Requirements</v>
      </c>
      <c r="C105" s="296"/>
      <c r="D105" s="708">
        <f>SUM(L100:M102)</f>
        <v>0</v>
      </c>
    </row>
    <row r="106" spans="1:23">
      <c r="A106" s="1244">
        <f>Summary!P75</f>
        <v>40002</v>
      </c>
      <c r="B106" s="707" t="str">
        <f>Summary!Q75</f>
        <v>Lumber</v>
      </c>
      <c r="C106" s="296"/>
      <c r="D106" s="717">
        <f>SUM(W51:W76)+W77+W78+W79+W81+W82</f>
        <v>0</v>
      </c>
    </row>
    <row r="107" spans="1:23">
      <c r="A107" s="1244">
        <f>Summary!P76</f>
        <v>40003</v>
      </c>
      <c r="B107" s="707" t="str">
        <f>Summary!Q76</f>
        <v>Sand Material</v>
      </c>
      <c r="C107" s="296"/>
      <c r="D107" s="717">
        <f>N59</f>
        <v>0</v>
      </c>
    </row>
    <row r="108" spans="1:23">
      <c r="A108" s="1244">
        <f>Summary!P77</f>
        <v>40004</v>
      </c>
      <c r="B108" s="707" t="str">
        <f>Summary!Q77</f>
        <v>Rock Material</v>
      </c>
      <c r="C108" s="296"/>
      <c r="D108" s="717">
        <f>N60</f>
        <v>0</v>
      </c>
    </row>
    <row r="109" spans="1:23">
      <c r="A109" s="1244">
        <f>Summary!P78</f>
        <v>40005</v>
      </c>
      <c r="B109" s="707" t="str">
        <f>Summary!Q78</f>
        <v>Reinforcement Material</v>
      </c>
      <c r="C109" s="296"/>
      <c r="D109" s="717">
        <f>N56+N57</f>
        <v>0</v>
      </c>
    </row>
    <row r="110" spans="1:23">
      <c r="A110" s="1244">
        <f>Summary!P79</f>
        <v>40006</v>
      </c>
      <c r="B110" s="707" t="str">
        <f>Summary!Q79</f>
        <v>Reinforcement Accessories</v>
      </c>
      <c r="C110" s="296"/>
      <c r="D110" s="717">
        <f>SUM(W83:DA85)+W94</f>
        <v>0</v>
      </c>
    </row>
    <row r="111" spans="1:23">
      <c r="A111" s="1244">
        <f>Summary!P80</f>
        <v>40007</v>
      </c>
      <c r="B111" s="707" t="str">
        <f>Summary!Q80</f>
        <v>PT Cables</v>
      </c>
      <c r="C111" s="296"/>
      <c r="D111" s="717">
        <f>N58</f>
        <v>0</v>
      </c>
    </row>
    <row r="112" spans="1:23">
      <c r="A112" s="1244">
        <f>Summary!P81</f>
        <v>40008</v>
      </c>
      <c r="B112" s="707" t="str">
        <f>Summary!Q81</f>
        <v>Concrete Material</v>
      </c>
      <c r="C112" s="296"/>
      <c r="D112" s="717">
        <f>SUM(N51:O55)</f>
        <v>0</v>
      </c>
    </row>
    <row r="113" spans="1:4">
      <c r="A113" s="1244">
        <f>Summary!P82</f>
        <v>40009</v>
      </c>
      <c r="B113" s="707" t="str">
        <f>Summary!Q82</f>
        <v>Carton Forms</v>
      </c>
      <c r="C113" s="296"/>
      <c r="D113" s="717">
        <f>SUM(N61:O63)</f>
        <v>0</v>
      </c>
    </row>
    <row r="114" spans="1:4">
      <c r="A114" s="1244">
        <f>Summary!P83</f>
        <v>40010</v>
      </c>
      <c r="B114" s="707" t="str">
        <f>Summary!Q83</f>
        <v>Cure/Sealers</v>
      </c>
      <c r="C114" s="296"/>
      <c r="D114" s="717">
        <f>SUM(W89:W91)</f>
        <v>0</v>
      </c>
    </row>
    <row r="115" spans="1:4">
      <c r="A115" s="1244">
        <f>Summary!P84</f>
        <v>40011</v>
      </c>
      <c r="B115" s="707" t="str">
        <f>Summary!Q84</f>
        <v>Patch/Grout</v>
      </c>
      <c r="C115" s="296"/>
      <c r="D115" s="717"/>
    </row>
    <row r="116" spans="1:4">
      <c r="A116" s="1244">
        <f>Summary!P85</f>
        <v>40012</v>
      </c>
      <c r="B116" s="707" t="str">
        <f>Summary!Q85</f>
        <v>Poly/Vapor Barrier</v>
      </c>
      <c r="C116" s="296"/>
      <c r="D116" s="717"/>
    </row>
    <row r="117" spans="1:4">
      <c r="A117" s="1244">
        <f>Summary!P86</f>
        <v>40013</v>
      </c>
      <c r="B117" s="707" t="s">
        <v>1105</v>
      </c>
      <c r="C117" s="296"/>
      <c r="D117" s="717">
        <f>W86</f>
        <v>0</v>
      </c>
    </row>
    <row r="118" spans="1:4">
      <c r="A118" s="1244">
        <f>Summary!P87</f>
        <v>40014</v>
      </c>
      <c r="B118" s="707" t="s">
        <v>1105</v>
      </c>
      <c r="C118" s="296"/>
      <c r="D118" s="717">
        <f>W87</f>
        <v>0</v>
      </c>
    </row>
    <row r="119" spans="1:4">
      <c r="A119" s="1244">
        <f>Summary!P88</f>
        <v>40015</v>
      </c>
      <c r="B119" s="707" t="s">
        <v>1108</v>
      </c>
      <c r="C119" s="296"/>
      <c r="D119" s="717">
        <f>W88</f>
        <v>0</v>
      </c>
    </row>
    <row r="120" spans="1:4">
      <c r="A120" s="1244">
        <f>Summary!P89</f>
        <v>40020</v>
      </c>
      <c r="B120" s="707" t="str">
        <f>Summary!Q89</f>
        <v>Supervision</v>
      </c>
      <c r="C120" s="296"/>
      <c r="D120" s="717">
        <f>SUM(N78:O79)</f>
        <v>0</v>
      </c>
    </row>
    <row r="121" spans="1:4">
      <c r="A121" s="1244">
        <f>Summary!P90</f>
        <v>40021</v>
      </c>
      <c r="B121" s="707" t="str">
        <f>Summary!Q90</f>
        <v>Supervision Expense</v>
      </c>
      <c r="C121" s="296"/>
      <c r="D121" s="717">
        <f>SUM(N80)</f>
        <v>0</v>
      </c>
    </row>
    <row r="122" spans="1:4">
      <c r="A122" s="1244">
        <f>Summary!P91</f>
        <v>40022</v>
      </c>
      <c r="B122" s="707" t="str">
        <f>Summary!Q91</f>
        <v>Project Management</v>
      </c>
      <c r="C122" s="296"/>
      <c r="D122" s="717">
        <f>N81</f>
        <v>0</v>
      </c>
    </row>
    <row r="123" spans="1:4">
      <c r="A123" s="1244">
        <f>Summary!P92</f>
        <v>40023</v>
      </c>
      <c r="B123" s="707" t="str">
        <f>Summary!Q92</f>
        <v>Labor Grade, Poly, Reinf.</v>
      </c>
      <c r="C123" s="296"/>
      <c r="D123" s="717">
        <f>K66</f>
        <v>0</v>
      </c>
    </row>
    <row r="124" spans="1:4">
      <c r="A124" s="1244">
        <f>Summary!P93</f>
        <v>40024</v>
      </c>
      <c r="B124" s="707" t="str">
        <f>Summary!Q93</f>
        <v>Labor Place &amp; Finish</v>
      </c>
      <c r="C124" s="296"/>
      <c r="D124" s="1245">
        <f>K68</f>
        <v>0</v>
      </c>
    </row>
    <row r="125" spans="1:4">
      <c r="A125" s="1244">
        <f>Summary!P94</f>
        <v>40025</v>
      </c>
      <c r="B125" s="707" t="str">
        <f>Summary!Q94</f>
        <v>Labor Drops</v>
      </c>
      <c r="C125" s="296"/>
      <c r="D125" s="717">
        <f>K70</f>
        <v>0</v>
      </c>
    </row>
    <row r="126" spans="1:4">
      <c r="A126" s="1244">
        <f>Summary!P95</f>
        <v>40026</v>
      </c>
      <c r="B126" s="707" t="str">
        <f>Summary!Q95</f>
        <v>Labor Strip Forms</v>
      </c>
      <c r="C126" s="296"/>
      <c r="D126" s="717">
        <f>K69</f>
        <v>0</v>
      </c>
    </row>
    <row r="127" spans="1:4">
      <c r="A127" s="1244">
        <f>Summary!P96</f>
        <v>40027</v>
      </c>
      <c r="B127" s="707" t="str">
        <f>Summary!Q96</f>
        <v>Labor Burden</v>
      </c>
      <c r="C127" s="296"/>
      <c r="D127" s="717"/>
    </row>
    <row r="128" spans="1:4">
      <c r="A128" s="1244">
        <f>Summary!P98</f>
        <v>40030</v>
      </c>
      <c r="B128" s="707" t="str">
        <f>Summary!Q98</f>
        <v>Pumping</v>
      </c>
      <c r="C128" s="296"/>
      <c r="D128" s="717">
        <f>N90</f>
        <v>0</v>
      </c>
    </row>
    <row r="129" spans="1:4">
      <c r="A129" s="1244">
        <f>Summary!P99</f>
        <v>40031</v>
      </c>
      <c r="B129" s="707" t="str">
        <f>Summary!Q99</f>
        <v>Earth Work/Excavation</v>
      </c>
      <c r="C129" s="296"/>
      <c r="D129" s="717"/>
    </row>
    <row r="130" spans="1:4">
      <c r="A130" s="1244">
        <f>Summary!P100</f>
        <v>40032</v>
      </c>
      <c r="B130" s="707" t="str">
        <f>Summary!Q100</f>
        <v>Drilling</v>
      </c>
      <c r="C130" s="296"/>
      <c r="D130" s="717"/>
    </row>
    <row r="131" spans="1:4">
      <c r="A131" s="1244">
        <f>Summary!P101</f>
        <v>40033</v>
      </c>
      <c r="B131" s="707" t="str">
        <f>Summary!Q101</f>
        <v>Haul off</v>
      </c>
      <c r="C131" s="296"/>
      <c r="D131" s="717">
        <f>N94</f>
        <v>0</v>
      </c>
    </row>
    <row r="132" spans="1:4">
      <c r="A132" s="1244">
        <f>Summary!P102</f>
        <v>40034</v>
      </c>
      <c r="B132" s="707" t="str">
        <f>Summary!Q102</f>
        <v>Saw Cutting/Sealing</v>
      </c>
      <c r="C132" s="296"/>
      <c r="D132" s="717">
        <f>N92</f>
        <v>0</v>
      </c>
    </row>
    <row r="133" spans="1:4">
      <c r="A133" s="1244">
        <f>Summary!P103</f>
        <v>40035</v>
      </c>
      <c r="B133" s="707" t="str">
        <f>Summary!Q103</f>
        <v>Demolition</v>
      </c>
      <c r="C133" s="296"/>
      <c r="D133" s="717"/>
    </row>
    <row r="134" spans="1:4">
      <c r="A134" s="1244">
        <f>Summary!P104</f>
        <v>40037</v>
      </c>
      <c r="B134" s="707" t="str">
        <f>Summary!Q104</f>
        <v>Waterproofing</v>
      </c>
      <c r="C134" s="296"/>
      <c r="D134" s="717">
        <f>N91</f>
        <v>0</v>
      </c>
    </row>
    <row r="135" spans="1:4">
      <c r="A135" s="1244">
        <f>Summary!P105</f>
        <v>40038</v>
      </c>
      <c r="B135" s="707" t="str">
        <f>Summary!Q105</f>
        <v>Crain/Hoisting</v>
      </c>
      <c r="C135" s="296"/>
      <c r="D135" s="717"/>
    </row>
    <row r="136" spans="1:4">
      <c r="A136" s="1246">
        <f>Summary!P106</f>
        <v>40039</v>
      </c>
      <c r="B136" s="753" t="str">
        <f>Summary!Q106</f>
        <v>Forming Systems</v>
      </c>
      <c r="C136" s="765"/>
      <c r="D136" s="1832">
        <f>N64</f>
        <v>0</v>
      </c>
    </row>
    <row r="137" spans="1:4">
      <c r="A137" s="1833">
        <f>Summary!P107</f>
        <v>40040</v>
      </c>
      <c r="B137" s="1834" t="str">
        <f>Summary!Q107</f>
        <v>Total Sub Labor</v>
      </c>
      <c r="C137" s="1835"/>
      <c r="D137" s="1836">
        <f>SUM(D138:D145)</f>
        <v>0</v>
      </c>
    </row>
    <row r="138" spans="1:4">
      <c r="A138" s="1244">
        <f>Summary!P108</f>
        <v>40041</v>
      </c>
      <c r="B138" s="707" t="str">
        <f>Summary!Q108</f>
        <v>Labor Forming</v>
      </c>
      <c r="C138" s="296"/>
      <c r="D138" s="708">
        <f>N67</f>
        <v>0</v>
      </c>
    </row>
    <row r="139" spans="1:4">
      <c r="A139" s="1244">
        <f>Summary!P109</f>
        <v>40042</v>
      </c>
      <c r="B139" s="707" t="str">
        <f>Summary!Q109</f>
        <v>Labor Grade, Poly, Reinf.</v>
      </c>
      <c r="C139" s="715"/>
      <c r="D139" s="708">
        <f>N66+N74+N73</f>
        <v>0</v>
      </c>
    </row>
    <row r="140" spans="1:4">
      <c r="A140" s="1244">
        <f>Summary!P110</f>
        <v>40043</v>
      </c>
      <c r="B140" s="707" t="str">
        <f>Summary!Q110</f>
        <v>Labor Place &amp; Finish</v>
      </c>
      <c r="C140" s="715"/>
      <c r="D140" s="708">
        <f>N68</f>
        <v>0</v>
      </c>
    </row>
    <row r="141" spans="1:4">
      <c r="A141" s="1244">
        <f>Summary!P111</f>
        <v>40044</v>
      </c>
      <c r="B141" s="707" t="str">
        <f>Summary!Q111</f>
        <v>Labor Drops</v>
      </c>
      <c r="C141" s="715"/>
      <c r="D141" s="708"/>
    </row>
    <row r="142" spans="1:4">
      <c r="A142" s="1244">
        <f>Summary!P112</f>
        <v>40045</v>
      </c>
      <c r="B142" s="707" t="str">
        <f>Summary!Q112</f>
        <v>Labor Strip Forms</v>
      </c>
      <c r="C142" s="715"/>
      <c r="D142" s="708">
        <f>N69</f>
        <v>0</v>
      </c>
    </row>
    <row r="143" spans="1:4">
      <c r="A143" s="1244">
        <f>Summary!P113</f>
        <v>40046</v>
      </c>
      <c r="B143" s="707" t="str">
        <f>Summary!Q113</f>
        <v>Labor Burden</v>
      </c>
      <c r="C143" s="296"/>
      <c r="D143" s="717">
        <f>N70+N72</f>
        <v>0</v>
      </c>
    </row>
    <row r="144" spans="1:4">
      <c r="A144" s="1244">
        <f>Summary!P114</f>
        <v>40047</v>
      </c>
      <c r="B144" s="707" t="str">
        <f>Summary!Q114</f>
        <v>Rebar</v>
      </c>
      <c r="C144" s="715"/>
      <c r="D144" s="708">
        <f>N71</f>
        <v>0</v>
      </c>
    </row>
    <row r="145" spans="1:4">
      <c r="A145" s="1246">
        <f>Summary!P115</f>
        <v>40048</v>
      </c>
      <c r="B145" s="753" t="str">
        <f>Summary!Q115</f>
        <v>PT Installation</v>
      </c>
      <c r="C145" s="765"/>
      <c r="D145" s="1832"/>
    </row>
    <row r="146" spans="1:4">
      <c r="A146" s="1246">
        <f>Summary!P116</f>
        <v>40049</v>
      </c>
      <c r="B146" s="753" t="str">
        <f>Summary!Q116</f>
        <v>Extra Hours</v>
      </c>
      <c r="C146" s="765"/>
      <c r="D146" s="722">
        <f>N75</f>
        <v>0</v>
      </c>
    </row>
    <row r="147" spans="1:4">
      <c r="A147" s="1833">
        <f>Summary!P117</f>
        <v>40060</v>
      </c>
      <c r="B147" s="1834" t="str">
        <f>Summary!Q117</f>
        <v>Total Equipment Rental</v>
      </c>
      <c r="C147" s="1835"/>
      <c r="D147" s="1836">
        <f>SUM(D148:D153)</f>
        <v>0</v>
      </c>
    </row>
    <row r="148" spans="1:4">
      <c r="A148" s="1244">
        <f>Summary!P118</f>
        <v>40061</v>
      </c>
      <c r="B148" s="707" t="str">
        <f>Summary!Q118</f>
        <v>SkyTrack</v>
      </c>
      <c r="C148" s="296"/>
      <c r="D148" s="708">
        <f>N83/(1+V$39+I$85)</f>
        <v>0</v>
      </c>
    </row>
    <row r="149" spans="1:4">
      <c r="A149" s="1244">
        <f>Summary!P119</f>
        <v>40062</v>
      </c>
      <c r="B149" s="707" t="str">
        <f>Summary!Q119</f>
        <v>Mini Excavator</v>
      </c>
      <c r="C149" s="296"/>
      <c r="D149" s="708">
        <f>N84/(1+V$39+I$85)</f>
        <v>0</v>
      </c>
    </row>
    <row r="150" spans="1:4">
      <c r="A150" s="1244">
        <f>Summary!P120</f>
        <v>40063</v>
      </c>
      <c r="B150" s="707" t="str">
        <f>Summary!Q120</f>
        <v>Trencher</v>
      </c>
      <c r="C150" s="296"/>
      <c r="D150" s="708">
        <f>N85/(1+V$39+I$85)</f>
        <v>0</v>
      </c>
    </row>
    <row r="151" spans="1:4">
      <c r="A151" s="1244">
        <f>Summary!P121</f>
        <v>40064</v>
      </c>
      <c r="B151" s="707" t="str">
        <f>Summary!Q121</f>
        <v>Skid Steer</v>
      </c>
      <c r="C151" s="296"/>
      <c r="D151" s="708">
        <f>N86/(1+V$39+I$85)</f>
        <v>0</v>
      </c>
    </row>
    <row r="152" spans="1:4">
      <c r="A152" s="1244">
        <f>Summary!P122</f>
        <v>40065</v>
      </c>
      <c r="B152" s="707" t="str">
        <f>Summary!Q122</f>
        <v>General Equipment Rental</v>
      </c>
      <c r="C152" s="296"/>
      <c r="D152" s="708">
        <f>(N87+N88)/(1+V$39+I$85)</f>
        <v>0</v>
      </c>
    </row>
    <row r="153" spans="1:4">
      <c r="A153" s="1244">
        <f>Summary!P123</f>
        <v>40066</v>
      </c>
      <c r="B153" s="707" t="str">
        <f>Summary!Q123</f>
        <v>Fuel</v>
      </c>
      <c r="C153" s="296"/>
      <c r="D153" s="708">
        <f>L85-SUM(D148:D152)</f>
        <v>0</v>
      </c>
    </row>
    <row r="154" spans="1:4">
      <c r="A154" s="1244">
        <f>Summary!P124</f>
        <v>40067</v>
      </c>
      <c r="B154" s="707" t="str">
        <f>Summary!Q124</f>
        <v>Purchased Tools</v>
      </c>
      <c r="C154" s="296"/>
      <c r="D154" s="708"/>
    </row>
    <row r="155" spans="1:4">
      <c r="A155" s="1244">
        <f>Summary!P125</f>
        <v>40068</v>
      </c>
      <c r="B155" s="707" t="str">
        <f>Summary!Q125</f>
        <v>Stolen/Damaged</v>
      </c>
      <c r="C155" s="296"/>
      <c r="D155" s="708"/>
    </row>
    <row r="156" spans="1:4">
      <c r="A156" s="1244">
        <f>Summary!P126</f>
        <v>40070</v>
      </c>
      <c r="B156" s="707" t="str">
        <f>Summary!Q126</f>
        <v>Out of Town Expense</v>
      </c>
      <c r="C156" s="296"/>
      <c r="D156" s="708">
        <f>N95</f>
        <v>0</v>
      </c>
    </row>
    <row r="157" spans="1:4">
      <c r="A157" s="1244">
        <f>Summary!P127</f>
        <v>40071</v>
      </c>
      <c r="B157" s="707" t="str">
        <f>Summary!Q127</f>
        <v>Miscellaneous</v>
      </c>
      <c r="C157" s="296"/>
      <c r="D157" s="717">
        <f>N93</f>
        <v>0</v>
      </c>
    </row>
    <row r="158" spans="1:4">
      <c r="A158" s="1244">
        <f>Summary!P128</f>
        <v>40072</v>
      </c>
      <c r="B158" s="707" t="str">
        <f>Summary!Q128</f>
        <v>Repairs</v>
      </c>
      <c r="C158" s="296"/>
      <c r="D158" s="717"/>
    </row>
    <row r="159" spans="1:4">
      <c r="A159" s="1244">
        <f>Summary!P129</f>
        <v>40073</v>
      </c>
      <c r="B159" s="707" t="str">
        <f>Summary!Q129</f>
        <v>Engineering</v>
      </c>
      <c r="C159" s="296"/>
      <c r="D159" s="717"/>
    </row>
    <row r="160" spans="1:4">
      <c r="A160" s="1244">
        <f>Summary!P130</f>
        <v>40090</v>
      </c>
      <c r="B160" s="707" t="str">
        <f>Summary!Q130</f>
        <v>Not Used</v>
      </c>
      <c r="C160" s="296"/>
      <c r="D160" s="717"/>
    </row>
    <row r="161" spans="1:4">
      <c r="A161" s="1244">
        <f>Summary!P131</f>
        <v>40091</v>
      </c>
      <c r="B161" s="707" t="str">
        <f>Summary!Q131</f>
        <v>Margin Contingency</v>
      </c>
      <c r="C161" s="296"/>
      <c r="D161" s="717">
        <f>N96</f>
        <v>0</v>
      </c>
    </row>
  </sheetData>
  <mergeCells count="123">
    <mergeCell ref="B99:C99"/>
    <mergeCell ref="D99:E99"/>
    <mergeCell ref="G99:H99"/>
    <mergeCell ref="L99:O99"/>
    <mergeCell ref="T99:U99"/>
    <mergeCell ref="A89:O89"/>
    <mergeCell ref="N90:O90"/>
    <mergeCell ref="N91:O91"/>
    <mergeCell ref="N92:O92"/>
    <mergeCell ref="N93:O93"/>
    <mergeCell ref="N94:O94"/>
    <mergeCell ref="N95:O95"/>
    <mergeCell ref="A96:C96"/>
    <mergeCell ref="N96:O96"/>
    <mergeCell ref="I84:J84"/>
    <mergeCell ref="L84:M84"/>
    <mergeCell ref="N84:O84"/>
    <mergeCell ref="I85:J86"/>
    <mergeCell ref="L85:M85"/>
    <mergeCell ref="N85:O85"/>
    <mergeCell ref="N86:O86"/>
    <mergeCell ref="N87:O87"/>
    <mergeCell ref="N88:O88"/>
    <mergeCell ref="L78:M78"/>
    <mergeCell ref="N78:O78"/>
    <mergeCell ref="L79:M79"/>
    <mergeCell ref="N79:O79"/>
    <mergeCell ref="N80:O80"/>
    <mergeCell ref="L81:M81"/>
    <mergeCell ref="N81:O81"/>
    <mergeCell ref="A82:O82"/>
    <mergeCell ref="N83:O83"/>
    <mergeCell ref="D74:E74"/>
    <mergeCell ref="K74:L74"/>
    <mergeCell ref="N74:O74"/>
    <mergeCell ref="D75:E75"/>
    <mergeCell ref="K75:L75"/>
    <mergeCell ref="N75:O75"/>
    <mergeCell ref="K76:L76"/>
    <mergeCell ref="N76:O76"/>
    <mergeCell ref="A77:O77"/>
    <mergeCell ref="D71:E71"/>
    <mergeCell ref="K71:L71"/>
    <mergeCell ref="N71:O71"/>
    <mergeCell ref="D72:E72"/>
    <mergeCell ref="K72:L72"/>
    <mergeCell ref="N72:O72"/>
    <mergeCell ref="D73:E73"/>
    <mergeCell ref="K73:L73"/>
    <mergeCell ref="N73:O73"/>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H61:I63"/>
    <mergeCell ref="J61:J63"/>
    <mergeCell ref="K61:L61"/>
    <mergeCell ref="N61:O61"/>
    <mergeCell ref="K62:L62"/>
    <mergeCell ref="N62:O62"/>
    <mergeCell ref="K63:L63"/>
    <mergeCell ref="N63:O63"/>
    <mergeCell ref="H64:I64"/>
    <mergeCell ref="N64:O64"/>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C6:D6"/>
    <mergeCell ref="C7:D7"/>
    <mergeCell ref="BJ8:BR8"/>
    <mergeCell ref="DD8:DG8"/>
    <mergeCell ref="A9:B9"/>
    <mergeCell ref="D38:E38"/>
    <mergeCell ref="A39:C39"/>
    <mergeCell ref="B40:C40"/>
    <mergeCell ref="D40:E40"/>
    <mergeCell ref="G40:H40"/>
    <mergeCell ref="I40:J40"/>
    <mergeCell ref="S40:T40"/>
  </mergeCells>
  <conditionalFormatting sqref="D11:D27">
    <cfRule type="expression" dxfId="9" priority="2">
      <formula>AND(E11&lt;&gt;"",ISERROR(MATCH(D11,$A$51:$A$55,0)))</formula>
    </cfRule>
  </conditionalFormatting>
  <conditionalFormatting sqref="K50:L50">
    <cfRule type="containsText" dxfId="8" priority="3" operator="containsText" text="Missing Concrete">
      <formula>NOT(ISERROR(SEARCH("Missing Concrete",K50)))</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B9CDE5"/>
    <pageSetUpPr fitToPage="1"/>
  </sheetPr>
  <dimension ref="A1:DJ161"/>
  <sheetViews>
    <sheetView zoomScale="65" zoomScaleNormal="65" zoomScalePageLayoutView="70" workbookViewId="0">
      <selection activeCell="C11" sqref="C11"/>
    </sheetView>
  </sheetViews>
  <sheetFormatPr defaultColWidth="2.4609375" defaultRowHeight="15"/>
  <cols>
    <col min="1" max="1" width="12" style="18" customWidth="1"/>
    <col min="2" max="2" width="16.15234375" style="18" customWidth="1"/>
    <col min="3" max="3" width="16.84375" style="18" customWidth="1"/>
    <col min="4" max="4" width="14.15234375" style="18" customWidth="1"/>
    <col min="5" max="5" width="10.84375" style="18" customWidth="1"/>
    <col min="6" max="6" width="14.4609375" style="18" customWidth="1"/>
    <col min="7" max="8" width="10.84375" style="18" customWidth="1"/>
    <col min="9" max="9" width="12.15234375" style="18" customWidth="1"/>
    <col min="10" max="10" width="13.4609375" style="18" customWidth="1"/>
    <col min="11" max="13" width="10.84375" style="18" customWidth="1"/>
    <col min="14" max="14" width="13.4609375" style="18" customWidth="1"/>
    <col min="15" max="15" width="12.53515625" style="18" customWidth="1"/>
    <col min="16" max="16" width="14.15234375" style="18" customWidth="1"/>
    <col min="17" max="17" width="12.15234375" style="18" customWidth="1"/>
    <col min="18" max="20" width="10.84375" style="18" customWidth="1"/>
    <col min="21" max="21" width="12.53515625" style="18" customWidth="1"/>
    <col min="22" max="23" width="17.84375" style="18" customWidth="1"/>
    <col min="24" max="24" width="4.84375" customWidth="1"/>
    <col min="25" max="30" width="9.15234375" customWidth="1"/>
    <col min="31" max="31" width="14.15234375" customWidth="1"/>
    <col min="32" max="54" width="9.15234375" customWidth="1"/>
    <col min="55" max="55" width="11.15234375" customWidth="1"/>
    <col min="56" max="56" width="14.15234375" customWidth="1"/>
    <col min="57" max="58" width="10.15234375" customWidth="1"/>
    <col min="59" max="59" width="11.84375" customWidth="1"/>
    <col min="60" max="61" width="9.15234375" customWidth="1"/>
    <col min="62" max="62" width="11.53515625" customWidth="1"/>
    <col min="63" max="63" width="20.84375" customWidth="1"/>
    <col min="64" max="64" width="19.15234375" customWidth="1"/>
    <col min="65" max="65" width="19" customWidth="1"/>
    <col min="66" max="66" width="20.84375" customWidth="1"/>
    <col min="67" max="67" width="16.84375" customWidth="1"/>
    <col min="68" max="68" width="16" customWidth="1"/>
    <col min="69" max="69" width="26.53515625" customWidth="1"/>
    <col min="70" max="70" width="10.84375" customWidth="1"/>
    <col min="71" max="72" width="12.53515625" customWidth="1"/>
    <col min="73" max="73" width="9.15234375" customWidth="1"/>
    <col min="74" max="74" width="11.84375" customWidth="1"/>
    <col min="75" max="75" width="9.84375" customWidth="1"/>
    <col min="76" max="105" width="9.15234375" customWidth="1"/>
    <col min="106" max="106" width="13" customWidth="1"/>
    <col min="107" max="114" width="10.84375" customWidth="1"/>
    <col min="115" max="266" width="9.15234375" customWidth="1"/>
  </cols>
  <sheetData>
    <row r="1" spans="1:114" s="1254" customFormat="1" ht="15.45">
      <c r="A1" s="677"/>
      <c r="B1" s="589"/>
      <c r="C1" s="589"/>
      <c r="D1" s="589"/>
      <c r="E1" s="589"/>
      <c r="F1" s="589"/>
      <c r="G1" s="589"/>
      <c r="H1" s="589"/>
      <c r="I1" s="589"/>
      <c r="J1" s="589"/>
      <c r="K1" s="589"/>
      <c r="L1" s="589"/>
      <c r="M1" s="589"/>
      <c r="N1" s="589"/>
      <c r="O1" s="589"/>
      <c r="P1" s="589"/>
      <c r="Q1" s="589"/>
      <c r="R1" s="589"/>
      <c r="S1" s="983"/>
      <c r="T1" s="1081" t="s">
        <v>1193</v>
      </c>
      <c r="U1" s="1081"/>
      <c r="V1" s="1669">
        <v>37456</v>
      </c>
      <c r="W1" s="1082"/>
      <c r="AE1" s="1254">
        <f>SUM(AE67:AE127)</f>
        <v>0</v>
      </c>
    </row>
    <row r="2" spans="1:114" s="1254" customFormat="1" ht="15.45">
      <c r="A2" s="1255" t="str">
        <f>Summary!C1</f>
        <v>Trammell Crow – LBJ</v>
      </c>
      <c r="B2" s="1256"/>
      <c r="C2" s="1256"/>
      <c r="D2" s="1257"/>
      <c r="E2" s="626"/>
      <c r="F2" s="626"/>
      <c r="G2" s="381"/>
      <c r="H2" s="1140" t="s">
        <v>56</v>
      </c>
      <c r="I2" s="983"/>
      <c r="J2" s="1085" t="s">
        <v>57</v>
      </c>
      <c r="K2" s="589"/>
      <c r="L2" s="589"/>
      <c r="M2" s="589"/>
      <c r="N2" s="1085" t="s">
        <v>1</v>
      </c>
      <c r="O2" s="1085"/>
      <c r="P2" s="1085" t="s">
        <v>1194</v>
      </c>
      <c r="Q2" s="808"/>
      <c r="R2" s="626"/>
      <c r="S2" s="626"/>
      <c r="T2" s="795" t="s">
        <v>957</v>
      </c>
      <c r="U2" s="663"/>
      <c r="V2" s="796">
        <f>Information!C7</f>
        <v>0</v>
      </c>
      <c r="W2" s="797"/>
    </row>
    <row r="3" spans="1:114" s="1254" customFormat="1">
      <c r="A3" s="1260">
        <f>Summary!C2</f>
        <v>0</v>
      </c>
      <c r="B3" s="1261"/>
      <c r="C3" s="1261"/>
      <c r="D3" s="1262"/>
      <c r="E3" s="626"/>
      <c r="F3" s="626"/>
      <c r="G3" s="396"/>
      <c r="H3" s="928" t="s">
        <v>955</v>
      </c>
      <c r="I3" s="1670">
        <f>Summary!K2</f>
        <v>0</v>
      </c>
      <c r="J3" s="1671"/>
      <c r="K3" s="1671"/>
      <c r="L3" s="1671"/>
      <c r="M3" s="1671"/>
      <c r="N3" s="1672">
        <f>Summary!O2</f>
        <v>0</v>
      </c>
      <c r="O3" s="1672"/>
      <c r="P3" s="1263">
        <f>Summary!P2</f>
        <v>0</v>
      </c>
      <c r="Q3" s="1264"/>
      <c r="R3" s="626"/>
      <c r="S3" s="626"/>
      <c r="T3" s="574"/>
      <c r="U3" s="18"/>
      <c r="V3" s="18"/>
      <c r="W3" s="798"/>
    </row>
    <row r="4" spans="1:114" s="1254" customFormat="1">
      <c r="A4" s="1265" t="str">
        <f>Summary!C3</f>
        <v>Dallas, TX</v>
      </c>
      <c r="B4" s="1266"/>
      <c r="C4" s="1266"/>
      <c r="D4" s="1267"/>
      <c r="E4" s="626"/>
      <c r="F4" s="626"/>
      <c r="G4" s="396"/>
      <c r="H4" s="928" t="s">
        <v>71</v>
      </c>
      <c r="I4" s="1673">
        <f>Summary!K3</f>
        <v>0</v>
      </c>
      <c r="J4" s="1674"/>
      <c r="K4" s="1674"/>
      <c r="L4" s="1674"/>
      <c r="M4" s="1674"/>
      <c r="N4" s="1675">
        <f>Summary!O3</f>
        <v>0</v>
      </c>
      <c r="O4" s="1675"/>
      <c r="P4" s="1268">
        <f>Summary!P3</f>
        <v>0</v>
      </c>
      <c r="Q4" s="1269"/>
      <c r="R4" s="626"/>
      <c r="S4" s="626"/>
      <c r="T4" s="574" t="s">
        <v>958</v>
      </c>
      <c r="U4" s="18"/>
      <c r="V4" s="799"/>
      <c r="W4" s="800"/>
    </row>
    <row r="5" spans="1:114" s="1254" customFormat="1">
      <c r="A5" s="963" t="s">
        <v>0</v>
      </c>
      <c r="B5" s="626"/>
      <c r="C5" s="380" t="s">
        <v>1</v>
      </c>
      <c r="D5" s="18"/>
      <c r="E5" s="626"/>
      <c r="F5" s="626"/>
      <c r="G5" s="396"/>
      <c r="H5" s="928" t="s">
        <v>79</v>
      </c>
      <c r="I5" s="1676">
        <f>Summary!K4</f>
        <v>0</v>
      </c>
      <c r="J5" s="1677"/>
      <c r="K5" s="1677"/>
      <c r="L5" s="1677"/>
      <c r="M5" s="1677"/>
      <c r="N5" s="1272">
        <f>Summary!O4</f>
        <v>0</v>
      </c>
      <c r="O5" s="1272"/>
      <c r="P5" s="1678">
        <f>Summary!P4</f>
        <v>0</v>
      </c>
      <c r="Q5" s="1679"/>
      <c r="R5" s="626"/>
      <c r="S5" s="626"/>
      <c r="T5" s="574"/>
      <c r="U5" s="18"/>
      <c r="V5" s="18"/>
      <c r="W5" s="798"/>
    </row>
    <row r="6" spans="1:114" s="1254" customFormat="1">
      <c r="A6" s="1089">
        <v>0</v>
      </c>
      <c r="B6" s="626"/>
      <c r="C6" s="2760">
        <v>0</v>
      </c>
      <c r="D6" s="2760"/>
      <c r="E6" s="626"/>
      <c r="F6" s="626"/>
      <c r="G6" s="653"/>
      <c r="H6" s="1090" t="s">
        <v>87</v>
      </c>
      <c r="I6" s="1680">
        <f>Summary!K5</f>
        <v>0</v>
      </c>
      <c r="J6" s="1681"/>
      <c r="K6" s="1681"/>
      <c r="L6" s="1681"/>
      <c r="M6" s="1681"/>
      <c r="N6" s="1682">
        <f>Summary!O5</f>
        <v>0</v>
      </c>
      <c r="O6" s="1682"/>
      <c r="P6" s="1683">
        <f>Summary!P5</f>
        <v>0</v>
      </c>
      <c r="Q6" s="1684"/>
      <c r="R6" s="626"/>
      <c r="S6" s="626"/>
      <c r="T6" s="577" t="s">
        <v>958</v>
      </c>
      <c r="U6" s="802"/>
      <c r="V6" s="802"/>
      <c r="W6" s="803"/>
    </row>
    <row r="7" spans="1:114" s="1254" customFormat="1">
      <c r="A7" s="1091">
        <v>0</v>
      </c>
      <c r="B7" s="626"/>
      <c r="C7" s="2764">
        <v>0</v>
      </c>
      <c r="D7" s="2764"/>
      <c r="E7" s="626"/>
      <c r="F7" s="1090" t="s">
        <v>1196</v>
      </c>
      <c r="G7" s="1090"/>
      <c r="H7" s="1090"/>
      <c r="I7" s="806" t="str">
        <f>Pricing!A3</f>
        <v>SRM</v>
      </c>
      <c r="J7" s="806"/>
      <c r="K7" s="806"/>
      <c r="L7" s="806"/>
      <c r="M7" s="806"/>
      <c r="N7" s="693"/>
      <c r="O7" s="693"/>
      <c r="P7" s="693"/>
      <c r="Q7" s="693"/>
      <c r="R7" s="693"/>
      <c r="S7" s="626"/>
      <c r="T7" s="626"/>
      <c r="U7" s="626"/>
      <c r="V7" s="626"/>
      <c r="W7" s="1093"/>
    </row>
    <row r="8" spans="1:114" s="1254" customFormat="1" ht="30.45">
      <c r="A8" s="1094"/>
      <c r="B8" s="1685"/>
      <c r="C8" s="1686" t="s">
        <v>1660</v>
      </c>
      <c r="D8" s="1687" t="s">
        <v>1661</v>
      </c>
      <c r="E8" s="1688" t="s">
        <v>1662</v>
      </c>
      <c r="F8" s="1689"/>
      <c r="G8" s="1690"/>
      <c r="H8" s="1691" t="s">
        <v>1663</v>
      </c>
      <c r="I8" s="1689"/>
      <c r="J8" s="1690"/>
      <c r="K8" s="1691" t="s">
        <v>1664</v>
      </c>
      <c r="L8" s="1689"/>
      <c r="M8" s="1689"/>
      <c r="N8" s="1692" t="s">
        <v>1665</v>
      </c>
      <c r="O8" s="1296"/>
      <c r="P8" s="1296"/>
      <c r="Q8" s="1296" t="s">
        <v>785</v>
      </c>
      <c r="R8" s="1693">
        <v>3</v>
      </c>
      <c r="S8" s="1688" t="s">
        <v>1362</v>
      </c>
      <c r="T8" s="1296"/>
      <c r="U8" s="807"/>
      <c r="V8" s="1291" t="s">
        <v>1363</v>
      </c>
      <c r="W8" s="1501" t="s">
        <v>1219</v>
      </c>
      <c r="AI8" s="1254" t="s">
        <v>1666</v>
      </c>
      <c r="AS8" s="1254" t="s">
        <v>1667</v>
      </c>
      <c r="BJ8" s="3075" t="s">
        <v>1507</v>
      </c>
      <c r="BK8" s="3075"/>
      <c r="BL8" s="3075"/>
      <c r="BM8" s="3075"/>
      <c r="BN8" s="3075"/>
      <c r="BO8" s="3075"/>
      <c r="BP8" s="3075"/>
      <c r="BQ8" s="3075"/>
      <c r="BR8" s="3075"/>
      <c r="BS8" s="1694"/>
      <c r="BT8" s="1694"/>
      <c r="BU8" s="1694"/>
      <c r="BV8" s="1694"/>
      <c r="BW8" s="1695"/>
      <c r="DD8" s="3076" t="s">
        <v>1021</v>
      </c>
      <c r="DE8" s="3076"/>
      <c r="DF8" s="3076"/>
      <c r="DG8" s="3076"/>
      <c r="DH8" s="1696"/>
      <c r="DI8" s="1696"/>
      <c r="DJ8" s="1697"/>
    </row>
    <row r="9" spans="1:114" s="1254" customFormat="1" ht="28.5" customHeight="1">
      <c r="A9" s="3077" t="s">
        <v>1668</v>
      </c>
      <c r="B9" s="3077"/>
      <c r="C9" s="1101" t="s">
        <v>1428</v>
      </c>
      <c r="D9" s="1698" t="s">
        <v>1669</v>
      </c>
      <c r="E9" s="1314" t="s">
        <v>1366</v>
      </c>
      <c r="F9" s="1100" t="s">
        <v>1670</v>
      </c>
      <c r="G9" s="1099" t="s">
        <v>1596</v>
      </c>
      <c r="H9" s="1100" t="s">
        <v>1216</v>
      </c>
      <c r="I9" s="1100" t="s">
        <v>1215</v>
      </c>
      <c r="J9" s="1314" t="s">
        <v>1671</v>
      </c>
      <c r="K9" s="1100" t="s">
        <v>1216</v>
      </c>
      <c r="L9" s="1101" t="s">
        <v>1215</v>
      </c>
      <c r="M9" s="1100" t="s">
        <v>1672</v>
      </c>
      <c r="N9" s="1699" t="s">
        <v>1673</v>
      </c>
      <c r="O9" s="1101" t="s">
        <v>1674</v>
      </c>
      <c r="P9" s="1101" t="s">
        <v>1216</v>
      </c>
      <c r="Q9" s="1101" t="s">
        <v>1215</v>
      </c>
      <c r="R9" s="1508" t="s">
        <v>1672</v>
      </c>
      <c r="S9" s="1104" t="s">
        <v>835</v>
      </c>
      <c r="T9" s="1101" t="s">
        <v>1675</v>
      </c>
      <c r="U9" s="1314" t="s">
        <v>1676</v>
      </c>
      <c r="V9" s="1317"/>
      <c r="W9" s="1510"/>
      <c r="AH9" s="1700" t="s">
        <v>1374</v>
      </c>
      <c r="AI9" s="1701" t="s">
        <v>1375</v>
      </c>
      <c r="AJ9" s="1701" t="s">
        <v>1376</v>
      </c>
      <c r="AK9" s="1701" t="s">
        <v>1377</v>
      </c>
      <c r="AL9" s="1701" t="s">
        <v>1378</v>
      </c>
      <c r="AM9" s="1701" t="s">
        <v>1522</v>
      </c>
      <c r="AN9" s="1701" t="s">
        <v>1523</v>
      </c>
      <c r="AO9" s="1701" t="s">
        <v>1524</v>
      </c>
      <c r="AP9" s="1701" t="s">
        <v>1525</v>
      </c>
      <c r="AQ9" s="1702" t="s">
        <v>1526</v>
      </c>
      <c r="AR9" s="1700" t="s">
        <v>1374</v>
      </c>
      <c r="AS9" s="1701" t="s">
        <v>1375</v>
      </c>
      <c r="AT9" s="1701" t="s">
        <v>1376</v>
      </c>
      <c r="AU9" s="1701" t="s">
        <v>1377</v>
      </c>
      <c r="AV9" s="1701" t="s">
        <v>1378</v>
      </c>
      <c r="AW9" s="1701" t="s">
        <v>1522</v>
      </c>
      <c r="AX9" s="1701" t="s">
        <v>1523</v>
      </c>
      <c r="AY9" s="1701" t="s">
        <v>1524</v>
      </c>
      <c r="AZ9" s="1701" t="s">
        <v>1525</v>
      </c>
      <c r="BA9" s="1702" t="s">
        <v>1526</v>
      </c>
      <c r="BB9" s="1254" t="s">
        <v>1677</v>
      </c>
      <c r="BC9" s="1254" t="s">
        <v>1678</v>
      </c>
      <c r="BD9" s="1254" t="s">
        <v>1385</v>
      </c>
      <c r="BE9" s="1254" t="s">
        <v>1386</v>
      </c>
      <c r="BF9" s="1254" t="s">
        <v>1387</v>
      </c>
      <c r="BG9" s="1254" t="s">
        <v>1679</v>
      </c>
      <c r="BH9" s="402" t="s">
        <v>1680</v>
      </c>
      <c r="BJ9" s="1703" t="s">
        <v>577</v>
      </c>
      <c r="BK9" s="1704" t="s">
        <v>1388</v>
      </c>
      <c r="BL9" s="1705" t="s">
        <v>1681</v>
      </c>
      <c r="BM9" s="1704" t="s">
        <v>1389</v>
      </c>
      <c r="BN9" s="1704" t="s">
        <v>1682</v>
      </c>
      <c r="BO9" s="1704" t="s">
        <v>1391</v>
      </c>
      <c r="BP9" s="1705" t="s">
        <v>1683</v>
      </c>
      <c r="BQ9" s="1704" t="s">
        <v>1393</v>
      </c>
      <c r="BR9" s="1706"/>
      <c r="BS9" s="1704" t="s">
        <v>1684</v>
      </c>
      <c r="BT9" s="1704"/>
      <c r="BU9" s="1704" t="s">
        <v>1685</v>
      </c>
      <c r="BV9" s="1704" t="s">
        <v>1686</v>
      </c>
      <c r="BW9" s="1706" t="s">
        <v>1687</v>
      </c>
      <c r="DB9" s="402" t="s">
        <v>1688</v>
      </c>
      <c r="DC9" s="402" t="s">
        <v>1689</v>
      </c>
      <c r="DD9" s="1707" t="s">
        <v>1250</v>
      </c>
      <c r="DE9" s="1708" t="s">
        <v>1396</v>
      </c>
      <c r="DF9" s="1708" t="s">
        <v>1397</v>
      </c>
      <c r="DG9" s="1708" t="s">
        <v>1690</v>
      </c>
      <c r="DH9" s="1708" t="s">
        <v>1141</v>
      </c>
      <c r="DI9" s="1708" t="s">
        <v>1691</v>
      </c>
      <c r="DJ9" s="1709" t="s">
        <v>1692</v>
      </c>
    </row>
    <row r="10" spans="1:114" s="1254" customFormat="1" ht="15.45">
      <c r="A10" s="482"/>
      <c r="B10" s="1177"/>
      <c r="C10" s="1710"/>
      <c r="D10" s="1711"/>
      <c r="E10" s="1712"/>
      <c r="F10" s="1108"/>
      <c r="G10" s="1109"/>
      <c r="H10" s="1110"/>
      <c r="I10" s="1108"/>
      <c r="J10" s="1109"/>
      <c r="K10" s="1110"/>
      <c r="L10" s="1108"/>
      <c r="M10" s="1108"/>
      <c r="N10" s="1713"/>
      <c r="O10" s="1108"/>
      <c r="P10" s="1108"/>
      <c r="Q10" s="1108"/>
      <c r="R10" s="1714"/>
      <c r="S10" s="1715"/>
      <c r="T10" s="77"/>
      <c r="U10" s="839"/>
      <c r="V10" s="1716">
        <f t="shared" ref="V10:V35" si="0">((E10*I10/16*I10/16*10.680159*J10)*IF(H10=0,0,(G10/H10))+(G10/12*L10/16*L10/16*10.680159*M10)*IF(K10=0,0,(E10*12/K10))+(E10*IF(P10=0,0,N10/P10)*Q10/16*Q10/16*10.680159*R10)+(IF(P10=0,0,E10/P10*N10)*Q10/16*Q10/16*10.680159*R10)+((T10*U10*S10*0.03*0.2836*G10)/12+4)*IF(H10=0,0,(G10/H10))*I10/16*I10/16*10.680159)*(1+J$56)</f>
        <v>0</v>
      </c>
      <c r="W10" s="1717">
        <f t="shared" ref="W10:W35" si="1">((E10*F10/12*G10/324)+ROUNDUP(S10*T10*U10*G10/46656,0)+(N10*O10*E10/3888))*(1+J$51)</f>
        <v>0</v>
      </c>
      <c r="AH10" s="1718">
        <f t="shared" ref="AH10:AH35" si="2">IF($R$8=1,$N10*$O10*$E10/3888*(1+$J$51),0)</f>
        <v>0</v>
      </c>
      <c r="AI10" s="1719">
        <f t="shared" ref="AI10:AI35" si="3">IF($R$8=2,$N10*$O10*$E10/3888*(1+$J$51),0)</f>
        <v>0</v>
      </c>
      <c r="AJ10" s="1719">
        <f t="shared" ref="AJ10:AJ35" si="4">IF($R$8=3,$N10*$O10*$E10/3888*(1+$J$51),0)</f>
        <v>0</v>
      </c>
      <c r="AK10" s="1719">
        <f t="shared" ref="AK10:AK35" si="5">IF($R$8=4,$N10*$O10*$E10/3888*(1+$J$51),0)</f>
        <v>0</v>
      </c>
      <c r="AL10" s="1719">
        <f t="shared" ref="AL10:AL35" si="6">IF($R$8=5,$N10*$O10*$E10/3888*(1+$J$51),0)</f>
        <v>0</v>
      </c>
      <c r="AM10" s="1719">
        <f t="shared" ref="AM10:AM35" si="7">IF($R$8=6,$N10*$O10*$E10/3888*(1+$J$51),0)</f>
        <v>0</v>
      </c>
      <c r="AN10" s="1719">
        <f t="shared" ref="AN10:AN35" si="8">IF($R$8=7,$N10*$O10*$E10/3888*(1+$J$51),0)</f>
        <v>0</v>
      </c>
      <c r="AO10" s="1719">
        <f t="shared" ref="AO10:AO35" si="9">IF($R$8=8,$N10*$O10*$E10/3888*(1+$J$51),0)</f>
        <v>0</v>
      </c>
      <c r="AP10" s="1719">
        <f t="shared" ref="AP10:AP35" si="10">IF($R$8=9,$N10*$O10*$E10/3888*(1+$J$51),0)</f>
        <v>0</v>
      </c>
      <c r="AQ10" s="1719">
        <f t="shared" ref="AQ10:AQ35" si="11">IF($R$8=10,$N10*$O10*$E10/3888*(1+$J$51),0)</f>
        <v>0</v>
      </c>
      <c r="AR10" s="1720">
        <f t="shared" ref="AR10:AR35" si="12">IF($D10=1,$W10-SUM($AH10:$AQ10),0)</f>
        <v>0</v>
      </c>
      <c r="AS10" s="1719">
        <f t="shared" ref="AS10:AS35" si="13">IF($D10=2,W10-SUM($AH10:$AQ10),0)</f>
        <v>0</v>
      </c>
      <c r="AT10" s="1719">
        <f t="shared" ref="AT10:AT35" si="14">IF($D10=3,W10-SUM($AH10:$AQ10),0)</f>
        <v>0</v>
      </c>
      <c r="AU10" s="1719">
        <f t="shared" ref="AU10:AU35" si="15">IF($D10=4,W10-SUM($AH10:$AQ10),0)</f>
        <v>0</v>
      </c>
      <c r="AV10" s="1719">
        <f t="shared" ref="AV10:AV35" si="16">IF($D10=5,W10-SUM($AH10:$AQ10),0)</f>
        <v>0</v>
      </c>
      <c r="AW10" s="1719">
        <f t="shared" ref="AW10:AW35" si="17">IF($D10=6,W10-SUM($AH10:$AQ10),0)</f>
        <v>0</v>
      </c>
      <c r="AX10" s="1719">
        <f t="shared" ref="AX10:AX35" si="18">IF($D10=7,W10-SUM($AH10:$AQ10),0)</f>
        <v>0</v>
      </c>
      <c r="AY10" s="1719">
        <f t="shared" ref="AY10:AY35" si="19">IF($D10=8,W10-SUM($AH10:$AQ10),0)</f>
        <v>0</v>
      </c>
      <c r="AZ10" s="1719">
        <f t="shared" ref="AZ10:AZ35" si="20">IF($D10=9,W10-SUM($AH10:$AQ10),0)</f>
        <v>0</v>
      </c>
      <c r="BA10" s="1721">
        <f t="shared" ref="BA10:BA35" si="21">IF($D10=10,W10-SUM($AH10:$AQ10),0)</f>
        <v>0</v>
      </c>
      <c r="BB10" s="1719">
        <f t="shared" ref="BB10:BB35" si="22">SUM(AH10:AM10)</f>
        <v>0</v>
      </c>
      <c r="BC10" s="1719">
        <f t="shared" ref="BC10:BC35" si="23">SUM(AR10:AW10)</f>
        <v>0</v>
      </c>
      <c r="BD10" s="1719">
        <f t="shared" ref="BD10:BD35" si="24">V10</f>
        <v>0</v>
      </c>
      <c r="BE10" s="1719">
        <f t="shared" ref="BE10:BE35" si="25">E10*G10/12*2+(U10*U10*G10/1728*S10)</f>
        <v>0</v>
      </c>
      <c r="BF10" s="1719">
        <f t="shared" ref="BF10:BF35" si="26">BE10/2</f>
        <v>0</v>
      </c>
      <c r="BG10" s="1719">
        <f t="shared" ref="BG10:BG35" si="27">N10*E10/12</f>
        <v>0</v>
      </c>
      <c r="BH10" s="1719">
        <f t="shared" ref="BH10:BH35" si="28">ROUND(IF(C10="Y",BF10*3/27,0),0)</f>
        <v>0</v>
      </c>
      <c r="BJ10" s="1722">
        <f t="shared" ref="BJ10:BJ35" si="29">V10*F$56*IF(T$39="N",(1+V$39),1)</f>
        <v>0</v>
      </c>
      <c r="BK10" s="1723">
        <f>(AR10*Pricing!F$3+AS10*Pricing!G$3+AT10*Pricing!H$3+AU10*Pricing!I$3+AV10*Pricing!J$3+AW10*Pricing!K$3+AH10*Pricing!F$3+AI10*Pricing!G$3+AJ10*Pricing!H$3+AK10*Pricing!I$3+AL10*Pricing!J$3+AM10*Pricing!K$3)*IF(T$39="N",(1+V$39),1)</f>
        <v>0</v>
      </c>
      <c r="BL10" s="1723">
        <f t="shared" ref="BL10:BL35" si="30">IF(C10="Y",(N$59+N$60)/DF$36*DF10,0)</f>
        <v>0</v>
      </c>
      <c r="BM10" s="1723">
        <f t="shared" ref="BM10:BM35" si="31">BF10*(G$67+D$70)</f>
        <v>0</v>
      </c>
      <c r="BN10" s="1723">
        <f t="shared" ref="BN10:BN35" si="32">BG10*D$66</f>
        <v>0</v>
      </c>
      <c r="BO10" s="1723">
        <f t="shared" ref="BO10:BO35" si="33">V10/2000*D$71</f>
        <v>0</v>
      </c>
      <c r="BP10" s="1723">
        <f t="shared" ref="BP10:BP35" si="34">IF(C10="Y",(N$74+N$73+N$72)/DF$36*DF10,0)</f>
        <v>0</v>
      </c>
      <c r="BQ10" s="1723">
        <f t="shared" ref="BQ10:BQ35" si="35">IF(SUM(BF$36:BG$36)=0,0,(SUM(N$78:O$81)+SUM(N$83:O$88)+SUM(N$90:O$96)+W$95)/SUM(BF$36:BG$36)*(BF10+BG10))</f>
        <v>0</v>
      </c>
      <c r="BR10" s="1724"/>
      <c r="BS10" s="1725">
        <f>IF(SUM(BF$36:BG$36)=0,0,(BQ$36-W$58-N$64-W77-(L$79*0.15))/SUM(BF$36:BG$36)*BG10+BN10)</f>
        <v>0</v>
      </c>
      <c r="BT10" s="1723">
        <f>(AH10*Pricing!F$3+AI10*Pricing!G$3+AJ10*Pricing!H$3+AK10*Pricing!I$3+AL10*Pricing!J$3+AM10*Pricing!K$3)*IF(T$39="N",(1+V$39),1)</f>
        <v>0</v>
      </c>
      <c r="BU10" s="1723">
        <f t="shared" ref="BU10:BU35" si="36">IF(BG10=0,0,(BS10+BT10)/BG10)</f>
        <v>0</v>
      </c>
      <c r="BV10" s="1723">
        <f t="shared" ref="BV10:BV35" si="37">SUM(BJ10:BQ10)-BS10-BT10</f>
        <v>0</v>
      </c>
      <c r="BW10" s="1724">
        <f t="shared" ref="BW10:BW35" si="38">IF(BE10=0,0,BV10/BF10)</f>
        <v>0</v>
      </c>
      <c r="DB10" s="1726">
        <f t="shared" ref="DB10:DB35" si="39">IF(W10=0,0,D$40/SUM(W$10:W$35)*W10)</f>
        <v>0</v>
      </c>
      <c r="DC10" s="1723" t="e">
        <f t="shared" ref="DC10:DC35" si="40">E10*N10/12*(D$40-7980)/H$66</f>
        <v>#DIV/0!</v>
      </c>
      <c r="DD10" s="172">
        <f t="shared" ref="DD10:DD35" si="41">ROUND(N10*O10/3088*E10,0)</f>
        <v>0</v>
      </c>
      <c r="DE10" s="847">
        <f t="shared" ref="DE10:DE35" si="42">ROUND(V10,0)</f>
        <v>0</v>
      </c>
      <c r="DF10" s="334">
        <f t="shared" ref="DF10:DF35" si="43">ROUND(IF(C10="Y",(G10*0.25*E10+G10*G10/144*0.5*E10)/27*1.3,0),0)</f>
        <v>0</v>
      </c>
      <c r="DG10" s="847">
        <f t="shared" ref="DG10:DG35" si="44">ROUND(E10*G10/12,0)</f>
        <v>0</v>
      </c>
      <c r="DH10" s="847">
        <f t="shared" ref="DH10:DH35" si="45">IF(C10="y",ROUNDUP(E10*G10/12,0),0)</f>
        <v>0</v>
      </c>
      <c r="DI10" s="847">
        <f t="shared" ref="DI10:DI35" si="46">IF(C10="Y",IF(E10&gt;0,E10,0),0)</f>
        <v>0</v>
      </c>
      <c r="DJ10" s="1727">
        <f t="shared" ref="DJ10:DJ35" si="47">ROUND(E10*N10/12,0)</f>
        <v>0</v>
      </c>
    </row>
    <row r="11" spans="1:114" s="1254" customFormat="1" ht="15.45">
      <c r="A11" s="482"/>
      <c r="B11" s="1177"/>
      <c r="C11" s="1710"/>
      <c r="D11" s="1711"/>
      <c r="E11" s="1712"/>
      <c r="F11" s="1108"/>
      <c r="G11" s="1109"/>
      <c r="H11" s="1110"/>
      <c r="I11" s="1108"/>
      <c r="J11" s="1109"/>
      <c r="K11" s="1110"/>
      <c r="L11" s="1108"/>
      <c r="M11" s="1108"/>
      <c r="N11" s="1713"/>
      <c r="O11" s="1108"/>
      <c r="P11" s="1108"/>
      <c r="Q11" s="1111"/>
      <c r="R11" s="1714"/>
      <c r="S11" s="1715"/>
      <c r="T11" s="77"/>
      <c r="U11" s="839"/>
      <c r="V11" s="1716">
        <f t="shared" si="0"/>
        <v>0</v>
      </c>
      <c r="W11" s="1717">
        <f t="shared" si="1"/>
        <v>0</v>
      </c>
      <c r="AH11" s="1720">
        <f t="shared" si="2"/>
        <v>0</v>
      </c>
      <c r="AI11" s="1719">
        <f t="shared" si="3"/>
        <v>0</v>
      </c>
      <c r="AJ11" s="1719">
        <f t="shared" si="4"/>
        <v>0</v>
      </c>
      <c r="AK11" s="1719">
        <f t="shared" si="5"/>
        <v>0</v>
      </c>
      <c r="AL11" s="1719">
        <f t="shared" si="6"/>
        <v>0</v>
      </c>
      <c r="AM11" s="1719">
        <f t="shared" si="7"/>
        <v>0</v>
      </c>
      <c r="AN11" s="1719">
        <f t="shared" si="8"/>
        <v>0</v>
      </c>
      <c r="AO11" s="1719">
        <f t="shared" si="9"/>
        <v>0</v>
      </c>
      <c r="AP11" s="1719">
        <f t="shared" si="10"/>
        <v>0</v>
      </c>
      <c r="AQ11" s="1719">
        <f t="shared" si="11"/>
        <v>0</v>
      </c>
      <c r="AR11" s="1720">
        <f t="shared" si="12"/>
        <v>0</v>
      </c>
      <c r="AS11" s="1719">
        <f t="shared" si="13"/>
        <v>0</v>
      </c>
      <c r="AT11" s="1719">
        <f t="shared" si="14"/>
        <v>0</v>
      </c>
      <c r="AU11" s="1719">
        <f t="shared" si="15"/>
        <v>0</v>
      </c>
      <c r="AV11" s="1719">
        <f t="shared" si="16"/>
        <v>0</v>
      </c>
      <c r="AW11" s="1719">
        <f t="shared" si="17"/>
        <v>0</v>
      </c>
      <c r="AX11" s="1719">
        <f t="shared" si="18"/>
        <v>0</v>
      </c>
      <c r="AY11" s="1719">
        <f t="shared" si="19"/>
        <v>0</v>
      </c>
      <c r="AZ11" s="1719">
        <f t="shared" si="20"/>
        <v>0</v>
      </c>
      <c r="BA11" s="1721">
        <f t="shared" si="21"/>
        <v>0</v>
      </c>
      <c r="BB11" s="1719">
        <f t="shared" si="22"/>
        <v>0</v>
      </c>
      <c r="BC11" s="1719">
        <f t="shared" si="23"/>
        <v>0</v>
      </c>
      <c r="BD11" s="1719">
        <f t="shared" si="24"/>
        <v>0</v>
      </c>
      <c r="BE11" s="1719">
        <f t="shared" si="25"/>
        <v>0</v>
      </c>
      <c r="BF11" s="1719">
        <f t="shared" si="26"/>
        <v>0</v>
      </c>
      <c r="BG11" s="1719">
        <f t="shared" si="27"/>
        <v>0</v>
      </c>
      <c r="BH11" s="1719">
        <f t="shared" si="28"/>
        <v>0</v>
      </c>
      <c r="BJ11" s="1722">
        <f t="shared" si="29"/>
        <v>0</v>
      </c>
      <c r="BK11" s="1723">
        <f>(AR11*Pricing!F$3+AS11*Pricing!G$3+AT11*Pricing!H$3+AU11*Pricing!I$3+AV11*Pricing!J$3+AW11*Pricing!K$3+AH11*Pricing!F$3+AI11*Pricing!G$3+AJ11*Pricing!H$3+AK11*Pricing!I$3+AL11*Pricing!J$3+AM11*Pricing!K$3)*IF(T$39="N",(1+V$39),1)</f>
        <v>0</v>
      </c>
      <c r="BL11" s="1723">
        <f t="shared" si="30"/>
        <v>0</v>
      </c>
      <c r="BM11" s="1723">
        <f t="shared" si="31"/>
        <v>0</v>
      </c>
      <c r="BN11" s="1723">
        <f t="shared" si="32"/>
        <v>0</v>
      </c>
      <c r="BO11" s="1723">
        <f t="shared" si="33"/>
        <v>0</v>
      </c>
      <c r="BP11" s="1723">
        <f t="shared" si="34"/>
        <v>0</v>
      </c>
      <c r="BQ11" s="1723">
        <f t="shared" si="35"/>
        <v>0</v>
      </c>
      <c r="BR11" s="1724"/>
      <c r="BS11" s="1725">
        <f>IF(SUM(BF$36:BG$36)=0,0,(BQ$36-W$58-N$64-W59-(L$79*0.15))/SUM(BF$36:BG$36)*BG11+BN11)</f>
        <v>0</v>
      </c>
      <c r="BT11" s="1723">
        <f>(AH11*Pricing!F$3+AI11*Pricing!G$3+AJ11*Pricing!H$3+AK11*Pricing!I$3+AL11*Pricing!J$3+AM11*Pricing!K$3)*IF(T$39="N",(1+V$39),1)</f>
        <v>0</v>
      </c>
      <c r="BU11" s="1723">
        <f t="shared" si="36"/>
        <v>0</v>
      </c>
      <c r="BV11" s="1723">
        <f t="shared" si="37"/>
        <v>0</v>
      </c>
      <c r="BW11" s="1724">
        <f t="shared" si="38"/>
        <v>0</v>
      </c>
      <c r="DB11" s="1726">
        <f t="shared" si="39"/>
        <v>0</v>
      </c>
      <c r="DC11" s="1723" t="e">
        <f t="shared" si="40"/>
        <v>#DIV/0!</v>
      </c>
      <c r="DD11" s="172">
        <f t="shared" si="41"/>
        <v>0</v>
      </c>
      <c r="DE11" s="847">
        <f t="shared" si="42"/>
        <v>0</v>
      </c>
      <c r="DF11" s="334">
        <f t="shared" si="43"/>
        <v>0</v>
      </c>
      <c r="DG11" s="847">
        <f t="shared" si="44"/>
        <v>0</v>
      </c>
      <c r="DH11" s="847">
        <f t="shared" si="45"/>
        <v>0</v>
      </c>
      <c r="DI11" s="847">
        <f t="shared" si="46"/>
        <v>0</v>
      </c>
      <c r="DJ11" s="1727">
        <f t="shared" si="47"/>
        <v>0</v>
      </c>
    </row>
    <row r="12" spans="1:114" s="1254" customFormat="1" ht="15.45">
      <c r="A12" s="482"/>
      <c r="B12" s="1177"/>
      <c r="C12" s="1710"/>
      <c r="D12" s="1711"/>
      <c r="E12" s="1712"/>
      <c r="F12" s="1108"/>
      <c r="G12" s="1109"/>
      <c r="H12" s="1110"/>
      <c r="I12" s="1108"/>
      <c r="J12" s="1109"/>
      <c r="K12" s="1110"/>
      <c r="L12" s="1108"/>
      <c r="M12" s="1108"/>
      <c r="N12" s="1713"/>
      <c r="O12" s="1108"/>
      <c r="P12" s="1108"/>
      <c r="Q12" s="1111"/>
      <c r="R12" s="1714"/>
      <c r="S12" s="1715"/>
      <c r="T12" s="77"/>
      <c r="U12" s="839"/>
      <c r="V12" s="1716">
        <f t="shared" si="0"/>
        <v>0</v>
      </c>
      <c r="W12" s="1717">
        <f t="shared" si="1"/>
        <v>0</v>
      </c>
      <c r="AH12" s="1720">
        <f t="shared" si="2"/>
        <v>0</v>
      </c>
      <c r="AI12" s="1719">
        <f t="shared" si="3"/>
        <v>0</v>
      </c>
      <c r="AJ12" s="1719">
        <f t="shared" si="4"/>
        <v>0</v>
      </c>
      <c r="AK12" s="1719">
        <f t="shared" si="5"/>
        <v>0</v>
      </c>
      <c r="AL12" s="1719">
        <f t="shared" si="6"/>
        <v>0</v>
      </c>
      <c r="AM12" s="1719">
        <f t="shared" si="7"/>
        <v>0</v>
      </c>
      <c r="AN12" s="1719">
        <f t="shared" si="8"/>
        <v>0</v>
      </c>
      <c r="AO12" s="1719">
        <f t="shared" si="9"/>
        <v>0</v>
      </c>
      <c r="AP12" s="1719">
        <f t="shared" si="10"/>
        <v>0</v>
      </c>
      <c r="AQ12" s="1719">
        <f t="shared" si="11"/>
        <v>0</v>
      </c>
      <c r="AR12" s="1720">
        <f t="shared" si="12"/>
        <v>0</v>
      </c>
      <c r="AS12" s="1719">
        <f t="shared" si="13"/>
        <v>0</v>
      </c>
      <c r="AT12" s="1719">
        <f t="shared" si="14"/>
        <v>0</v>
      </c>
      <c r="AU12" s="1719">
        <f t="shared" si="15"/>
        <v>0</v>
      </c>
      <c r="AV12" s="1719">
        <f t="shared" si="16"/>
        <v>0</v>
      </c>
      <c r="AW12" s="1719">
        <f t="shared" si="17"/>
        <v>0</v>
      </c>
      <c r="AX12" s="1719">
        <f t="shared" si="18"/>
        <v>0</v>
      </c>
      <c r="AY12" s="1719">
        <f t="shared" si="19"/>
        <v>0</v>
      </c>
      <c r="AZ12" s="1719">
        <f t="shared" si="20"/>
        <v>0</v>
      </c>
      <c r="BA12" s="1721">
        <f t="shared" si="21"/>
        <v>0</v>
      </c>
      <c r="BB12" s="1719">
        <f t="shared" si="22"/>
        <v>0</v>
      </c>
      <c r="BC12" s="1719">
        <f t="shared" si="23"/>
        <v>0</v>
      </c>
      <c r="BD12" s="1719">
        <f t="shared" si="24"/>
        <v>0</v>
      </c>
      <c r="BE12" s="1719">
        <f t="shared" si="25"/>
        <v>0</v>
      </c>
      <c r="BF12" s="1719">
        <f t="shared" si="26"/>
        <v>0</v>
      </c>
      <c r="BG12" s="1719">
        <f t="shared" si="27"/>
        <v>0</v>
      </c>
      <c r="BH12" s="1719">
        <f t="shared" si="28"/>
        <v>0</v>
      </c>
      <c r="BJ12" s="1722">
        <f t="shared" si="29"/>
        <v>0</v>
      </c>
      <c r="BK12" s="1723">
        <f>(AR12*Pricing!F$3+AS12*Pricing!G$3+AT12*Pricing!H$3+AU12*Pricing!I$3+AV12*Pricing!J$3+AW12*Pricing!K$3+AH12*Pricing!F$3+AI12*Pricing!G$3+AJ12*Pricing!H$3+AK12*Pricing!I$3+AL12*Pricing!J$3+AM12*Pricing!K$3)*IF(T$39="N",(1+V$39),1)</f>
        <v>0</v>
      </c>
      <c r="BL12" s="1723">
        <f t="shared" si="30"/>
        <v>0</v>
      </c>
      <c r="BM12" s="1723">
        <f t="shared" si="31"/>
        <v>0</v>
      </c>
      <c r="BN12" s="1723">
        <f t="shared" si="32"/>
        <v>0</v>
      </c>
      <c r="BO12" s="1723">
        <f t="shared" si="33"/>
        <v>0</v>
      </c>
      <c r="BP12" s="1723">
        <f t="shared" si="34"/>
        <v>0</v>
      </c>
      <c r="BQ12" s="1723">
        <f t="shared" si="35"/>
        <v>0</v>
      </c>
      <c r="BR12" s="1724"/>
      <c r="BS12" s="1725">
        <f>IF(SUM(BF$36:BG$36)=0,0,(BQ$36-W$58-N$64-W56-(L$79*0.15))/SUM(BF$36:BG$36)*BG12+BN12)</f>
        <v>0</v>
      </c>
      <c r="BT12" s="1723">
        <f>(AH12*Pricing!F$3+AI12*Pricing!G$3+AJ12*Pricing!H$3+AK12*Pricing!I$3+AL12*Pricing!J$3+AM12*Pricing!K$3)*IF(T$39="N",(1+V$39),1)</f>
        <v>0</v>
      </c>
      <c r="BU12" s="1723">
        <f t="shared" si="36"/>
        <v>0</v>
      </c>
      <c r="BV12" s="1723">
        <f t="shared" si="37"/>
        <v>0</v>
      </c>
      <c r="BW12" s="1724">
        <f t="shared" si="38"/>
        <v>0</v>
      </c>
      <c r="DB12" s="1726">
        <f t="shared" si="39"/>
        <v>0</v>
      </c>
      <c r="DC12" s="1723" t="e">
        <f t="shared" si="40"/>
        <v>#DIV/0!</v>
      </c>
      <c r="DD12" s="172">
        <f t="shared" si="41"/>
        <v>0</v>
      </c>
      <c r="DE12" s="847">
        <f t="shared" si="42"/>
        <v>0</v>
      </c>
      <c r="DF12" s="334">
        <f t="shared" si="43"/>
        <v>0</v>
      </c>
      <c r="DG12" s="847">
        <f t="shared" si="44"/>
        <v>0</v>
      </c>
      <c r="DH12" s="847">
        <f t="shared" si="45"/>
        <v>0</v>
      </c>
      <c r="DI12" s="847">
        <f t="shared" si="46"/>
        <v>0</v>
      </c>
      <c r="DJ12" s="1727">
        <f t="shared" si="47"/>
        <v>0</v>
      </c>
    </row>
    <row r="13" spans="1:114" s="1254" customFormat="1" ht="15.45">
      <c r="A13" s="482"/>
      <c r="B13" s="1177"/>
      <c r="C13" s="1710"/>
      <c r="D13" s="1711"/>
      <c r="E13" s="1712"/>
      <c r="F13" s="1108"/>
      <c r="G13" s="1109"/>
      <c r="H13" s="1110"/>
      <c r="I13" s="1108"/>
      <c r="J13" s="1109"/>
      <c r="K13" s="1110"/>
      <c r="L13" s="1108"/>
      <c r="M13" s="1108"/>
      <c r="N13" s="1713"/>
      <c r="O13" s="1108"/>
      <c r="P13" s="1108"/>
      <c r="Q13" s="1111"/>
      <c r="R13" s="1714"/>
      <c r="S13" s="1715"/>
      <c r="T13" s="77"/>
      <c r="U13" s="839"/>
      <c r="V13" s="1716">
        <f t="shared" si="0"/>
        <v>0</v>
      </c>
      <c r="W13" s="1717">
        <f t="shared" si="1"/>
        <v>0</v>
      </c>
      <c r="AH13" s="1720">
        <f t="shared" si="2"/>
        <v>0</v>
      </c>
      <c r="AI13" s="1719">
        <f t="shared" si="3"/>
        <v>0</v>
      </c>
      <c r="AJ13" s="1719">
        <f t="shared" si="4"/>
        <v>0</v>
      </c>
      <c r="AK13" s="1719">
        <f t="shared" si="5"/>
        <v>0</v>
      </c>
      <c r="AL13" s="1719">
        <f t="shared" si="6"/>
        <v>0</v>
      </c>
      <c r="AM13" s="1719">
        <f t="shared" si="7"/>
        <v>0</v>
      </c>
      <c r="AN13" s="1719">
        <f t="shared" si="8"/>
        <v>0</v>
      </c>
      <c r="AO13" s="1719">
        <f t="shared" si="9"/>
        <v>0</v>
      </c>
      <c r="AP13" s="1719">
        <f t="shared" si="10"/>
        <v>0</v>
      </c>
      <c r="AQ13" s="1719">
        <f t="shared" si="11"/>
        <v>0</v>
      </c>
      <c r="AR13" s="1720">
        <f t="shared" si="12"/>
        <v>0</v>
      </c>
      <c r="AS13" s="1719">
        <f t="shared" si="13"/>
        <v>0</v>
      </c>
      <c r="AT13" s="1719">
        <f t="shared" si="14"/>
        <v>0</v>
      </c>
      <c r="AU13" s="1719">
        <f t="shared" si="15"/>
        <v>0</v>
      </c>
      <c r="AV13" s="1719">
        <f t="shared" si="16"/>
        <v>0</v>
      </c>
      <c r="AW13" s="1719">
        <f t="shared" si="17"/>
        <v>0</v>
      </c>
      <c r="AX13" s="1719">
        <f t="shared" si="18"/>
        <v>0</v>
      </c>
      <c r="AY13" s="1719">
        <f t="shared" si="19"/>
        <v>0</v>
      </c>
      <c r="AZ13" s="1719">
        <f t="shared" si="20"/>
        <v>0</v>
      </c>
      <c r="BA13" s="1721">
        <f t="shared" si="21"/>
        <v>0</v>
      </c>
      <c r="BB13" s="1719">
        <f t="shared" si="22"/>
        <v>0</v>
      </c>
      <c r="BC13" s="1719">
        <f t="shared" si="23"/>
        <v>0</v>
      </c>
      <c r="BD13" s="1719">
        <f t="shared" si="24"/>
        <v>0</v>
      </c>
      <c r="BE13" s="1719">
        <f t="shared" si="25"/>
        <v>0</v>
      </c>
      <c r="BF13" s="1719">
        <f t="shared" si="26"/>
        <v>0</v>
      </c>
      <c r="BG13" s="1719">
        <f t="shared" si="27"/>
        <v>0</v>
      </c>
      <c r="BH13" s="1719">
        <f t="shared" si="28"/>
        <v>0</v>
      </c>
      <c r="BJ13" s="1722">
        <f t="shared" si="29"/>
        <v>0</v>
      </c>
      <c r="BK13" s="1723">
        <f>(AR13*Pricing!F$3+AS13*Pricing!G$3+AT13*Pricing!H$3+AU13*Pricing!I$3+AV13*Pricing!J$3+AW13*Pricing!K$3+AH13*Pricing!F$3+AI13*Pricing!G$3+AJ13*Pricing!H$3+AK13*Pricing!I$3+AL13*Pricing!J$3+AM13*Pricing!K$3)*IF(T$39="N",(1+V$39),1)</f>
        <v>0</v>
      </c>
      <c r="BL13" s="1723">
        <f t="shared" si="30"/>
        <v>0</v>
      </c>
      <c r="BM13" s="1723">
        <f t="shared" si="31"/>
        <v>0</v>
      </c>
      <c r="BN13" s="1723">
        <f t="shared" si="32"/>
        <v>0</v>
      </c>
      <c r="BO13" s="1723">
        <f t="shared" si="33"/>
        <v>0</v>
      </c>
      <c r="BP13" s="1723">
        <f t="shared" si="34"/>
        <v>0</v>
      </c>
      <c r="BQ13" s="1723">
        <f t="shared" si="35"/>
        <v>0</v>
      </c>
      <c r="BR13" s="1724"/>
      <c r="BS13" s="1725">
        <f>IF(SUM(BF$36:BG$36)=0,0,(BQ$36-W$58-N$64-W58-(L$79*0.15))/SUM(BF$36:BG$36)*BG13+BN13)</f>
        <v>0</v>
      </c>
      <c r="BT13" s="1723">
        <f>(AH13*Pricing!F$3+AI13*Pricing!G$3+AJ13*Pricing!H$3+AK13*Pricing!I$3+AL13*Pricing!J$3+AM13*Pricing!K$3)*IF(T$39="N",(1+V$39),1)</f>
        <v>0</v>
      </c>
      <c r="BU13" s="1723">
        <f t="shared" si="36"/>
        <v>0</v>
      </c>
      <c r="BV13" s="1723">
        <f t="shared" si="37"/>
        <v>0</v>
      </c>
      <c r="BW13" s="1724">
        <f t="shared" si="38"/>
        <v>0</v>
      </c>
      <c r="DB13" s="1726">
        <f t="shared" si="39"/>
        <v>0</v>
      </c>
      <c r="DC13" s="1723" t="e">
        <f t="shared" si="40"/>
        <v>#DIV/0!</v>
      </c>
      <c r="DD13" s="172">
        <f t="shared" si="41"/>
        <v>0</v>
      </c>
      <c r="DE13" s="847">
        <f t="shared" si="42"/>
        <v>0</v>
      </c>
      <c r="DF13" s="334">
        <f t="shared" si="43"/>
        <v>0</v>
      </c>
      <c r="DG13" s="847">
        <f t="shared" si="44"/>
        <v>0</v>
      </c>
      <c r="DH13" s="847">
        <f t="shared" si="45"/>
        <v>0</v>
      </c>
      <c r="DI13" s="847">
        <f t="shared" si="46"/>
        <v>0</v>
      </c>
      <c r="DJ13" s="1727">
        <f t="shared" si="47"/>
        <v>0</v>
      </c>
    </row>
    <row r="14" spans="1:114" s="1254" customFormat="1" ht="15.45">
      <c r="A14" s="482"/>
      <c r="B14" s="1177"/>
      <c r="C14" s="1710"/>
      <c r="D14" s="1711"/>
      <c r="E14" s="1712"/>
      <c r="F14" s="1108"/>
      <c r="G14" s="1109"/>
      <c r="H14" s="1110"/>
      <c r="I14" s="1108"/>
      <c r="J14" s="1109"/>
      <c r="K14" s="1110"/>
      <c r="L14" s="1108"/>
      <c r="M14" s="1108"/>
      <c r="N14" s="1713"/>
      <c r="O14" s="1108"/>
      <c r="P14" s="1108"/>
      <c r="Q14" s="1111"/>
      <c r="R14" s="1714"/>
      <c r="S14" s="1715"/>
      <c r="T14" s="77"/>
      <c r="U14" s="839"/>
      <c r="V14" s="1716">
        <f t="shared" si="0"/>
        <v>0</v>
      </c>
      <c r="W14" s="1717">
        <f t="shared" si="1"/>
        <v>0</v>
      </c>
      <c r="AH14" s="1720">
        <f t="shared" si="2"/>
        <v>0</v>
      </c>
      <c r="AI14" s="1719">
        <f t="shared" si="3"/>
        <v>0</v>
      </c>
      <c r="AJ14" s="1719">
        <f t="shared" si="4"/>
        <v>0</v>
      </c>
      <c r="AK14" s="1719">
        <f t="shared" si="5"/>
        <v>0</v>
      </c>
      <c r="AL14" s="1719">
        <f t="shared" si="6"/>
        <v>0</v>
      </c>
      <c r="AM14" s="1719">
        <f t="shared" si="7"/>
        <v>0</v>
      </c>
      <c r="AN14" s="1719">
        <f t="shared" si="8"/>
        <v>0</v>
      </c>
      <c r="AO14" s="1719">
        <f t="shared" si="9"/>
        <v>0</v>
      </c>
      <c r="AP14" s="1719">
        <f t="shared" si="10"/>
        <v>0</v>
      </c>
      <c r="AQ14" s="1719">
        <f t="shared" si="11"/>
        <v>0</v>
      </c>
      <c r="AR14" s="1720">
        <f t="shared" si="12"/>
        <v>0</v>
      </c>
      <c r="AS14" s="1719">
        <f t="shared" si="13"/>
        <v>0</v>
      </c>
      <c r="AT14" s="1719">
        <f t="shared" si="14"/>
        <v>0</v>
      </c>
      <c r="AU14" s="1719">
        <f t="shared" si="15"/>
        <v>0</v>
      </c>
      <c r="AV14" s="1719">
        <f t="shared" si="16"/>
        <v>0</v>
      </c>
      <c r="AW14" s="1719">
        <f t="shared" si="17"/>
        <v>0</v>
      </c>
      <c r="AX14" s="1719">
        <f t="shared" si="18"/>
        <v>0</v>
      </c>
      <c r="AY14" s="1719">
        <f t="shared" si="19"/>
        <v>0</v>
      </c>
      <c r="AZ14" s="1719">
        <f t="shared" si="20"/>
        <v>0</v>
      </c>
      <c r="BA14" s="1721">
        <f t="shared" si="21"/>
        <v>0</v>
      </c>
      <c r="BB14" s="1719">
        <f t="shared" si="22"/>
        <v>0</v>
      </c>
      <c r="BC14" s="1719">
        <f t="shared" si="23"/>
        <v>0</v>
      </c>
      <c r="BD14" s="1719">
        <f t="shared" si="24"/>
        <v>0</v>
      </c>
      <c r="BE14" s="1719">
        <f t="shared" si="25"/>
        <v>0</v>
      </c>
      <c r="BF14" s="1719">
        <f t="shared" si="26"/>
        <v>0</v>
      </c>
      <c r="BG14" s="1719">
        <f t="shared" si="27"/>
        <v>0</v>
      </c>
      <c r="BH14" s="1719">
        <f t="shared" si="28"/>
        <v>0</v>
      </c>
      <c r="BJ14" s="1722">
        <f t="shared" si="29"/>
        <v>0</v>
      </c>
      <c r="BK14" s="1723">
        <f>(AR14*Pricing!F$3+AS14*Pricing!G$3+AT14*Pricing!H$3+AU14*Pricing!I$3+AV14*Pricing!J$3+AW14*Pricing!K$3+AH14*Pricing!F$3+AI14*Pricing!G$3+AJ14*Pricing!H$3+AK14*Pricing!I$3+AL14*Pricing!J$3+AM14*Pricing!K$3)*IF(T$39="N",(1+V$39),1)</f>
        <v>0</v>
      </c>
      <c r="BL14" s="1723">
        <f t="shared" si="30"/>
        <v>0</v>
      </c>
      <c r="BM14" s="1723">
        <f t="shared" si="31"/>
        <v>0</v>
      </c>
      <c r="BN14" s="1723">
        <f t="shared" si="32"/>
        <v>0</v>
      </c>
      <c r="BO14" s="1723">
        <f t="shared" si="33"/>
        <v>0</v>
      </c>
      <c r="BP14" s="1723">
        <f t="shared" si="34"/>
        <v>0</v>
      </c>
      <c r="BQ14" s="1723">
        <f t="shared" si="35"/>
        <v>0</v>
      </c>
      <c r="BR14" s="1724"/>
      <c r="BS14" s="1725">
        <f>IF(SUM(BF$36:BG$36)=0,0,(BQ$36-W$58-N$64-W78-(L$79*0.15))/SUM(BF$36:BG$36)*BG14+BN14)</f>
        <v>0</v>
      </c>
      <c r="BT14" s="1723">
        <f>(AH14*Pricing!F$3+AI14*Pricing!G$3+AJ14*Pricing!H$3+AK14*Pricing!I$3+AL14*Pricing!J$3+AM14*Pricing!K$3)*IF(T$39="N",(1+V$39),1)</f>
        <v>0</v>
      </c>
      <c r="BU14" s="1723">
        <f t="shared" si="36"/>
        <v>0</v>
      </c>
      <c r="BV14" s="1723">
        <f t="shared" si="37"/>
        <v>0</v>
      </c>
      <c r="BW14" s="1724">
        <f t="shared" si="38"/>
        <v>0</v>
      </c>
      <c r="DB14" s="1726">
        <f t="shared" si="39"/>
        <v>0</v>
      </c>
      <c r="DC14" s="1723" t="e">
        <f t="shared" si="40"/>
        <v>#DIV/0!</v>
      </c>
      <c r="DD14" s="172">
        <f t="shared" si="41"/>
        <v>0</v>
      </c>
      <c r="DE14" s="847">
        <f t="shared" si="42"/>
        <v>0</v>
      </c>
      <c r="DF14" s="334">
        <f t="shared" si="43"/>
        <v>0</v>
      </c>
      <c r="DG14" s="847">
        <f t="shared" si="44"/>
        <v>0</v>
      </c>
      <c r="DH14" s="847">
        <f t="shared" si="45"/>
        <v>0</v>
      </c>
      <c r="DI14" s="847">
        <f t="shared" si="46"/>
        <v>0</v>
      </c>
      <c r="DJ14" s="1727">
        <f t="shared" si="47"/>
        <v>0</v>
      </c>
    </row>
    <row r="15" spans="1:114" s="1254" customFormat="1" ht="15.45">
      <c r="A15" s="482"/>
      <c r="B15" s="1177"/>
      <c r="C15" s="1710"/>
      <c r="D15" s="1711"/>
      <c r="E15" s="1712"/>
      <c r="F15" s="1108"/>
      <c r="G15" s="1109"/>
      <c r="H15" s="1110"/>
      <c r="I15" s="1108"/>
      <c r="J15" s="1109"/>
      <c r="K15" s="1110"/>
      <c r="L15" s="1108"/>
      <c r="M15" s="1108"/>
      <c r="N15" s="1713"/>
      <c r="O15" s="1108"/>
      <c r="P15" s="1108"/>
      <c r="Q15" s="1111"/>
      <c r="R15" s="1714"/>
      <c r="S15" s="1715"/>
      <c r="T15" s="77"/>
      <c r="U15" s="839"/>
      <c r="V15" s="1716">
        <f t="shared" si="0"/>
        <v>0</v>
      </c>
      <c r="W15" s="1717">
        <f t="shared" si="1"/>
        <v>0</v>
      </c>
      <c r="AH15" s="1720">
        <f t="shared" si="2"/>
        <v>0</v>
      </c>
      <c r="AI15" s="1719">
        <f t="shared" si="3"/>
        <v>0</v>
      </c>
      <c r="AJ15" s="1719">
        <f t="shared" si="4"/>
        <v>0</v>
      </c>
      <c r="AK15" s="1719">
        <f t="shared" si="5"/>
        <v>0</v>
      </c>
      <c r="AL15" s="1719">
        <f t="shared" si="6"/>
        <v>0</v>
      </c>
      <c r="AM15" s="1719">
        <f t="shared" si="7"/>
        <v>0</v>
      </c>
      <c r="AN15" s="1719">
        <f t="shared" si="8"/>
        <v>0</v>
      </c>
      <c r="AO15" s="1719">
        <f t="shared" si="9"/>
        <v>0</v>
      </c>
      <c r="AP15" s="1719">
        <f t="shared" si="10"/>
        <v>0</v>
      </c>
      <c r="AQ15" s="1719">
        <f t="shared" si="11"/>
        <v>0</v>
      </c>
      <c r="AR15" s="1720">
        <f t="shared" si="12"/>
        <v>0</v>
      </c>
      <c r="AS15" s="1719">
        <f t="shared" si="13"/>
        <v>0</v>
      </c>
      <c r="AT15" s="1719">
        <f t="shared" si="14"/>
        <v>0</v>
      </c>
      <c r="AU15" s="1719">
        <f t="shared" si="15"/>
        <v>0</v>
      </c>
      <c r="AV15" s="1719">
        <f t="shared" si="16"/>
        <v>0</v>
      </c>
      <c r="AW15" s="1719">
        <f t="shared" si="17"/>
        <v>0</v>
      </c>
      <c r="AX15" s="1719">
        <f t="shared" si="18"/>
        <v>0</v>
      </c>
      <c r="AY15" s="1719">
        <f t="shared" si="19"/>
        <v>0</v>
      </c>
      <c r="AZ15" s="1719">
        <f t="shared" si="20"/>
        <v>0</v>
      </c>
      <c r="BA15" s="1721">
        <f t="shared" si="21"/>
        <v>0</v>
      </c>
      <c r="BB15" s="1719">
        <f t="shared" si="22"/>
        <v>0</v>
      </c>
      <c r="BC15" s="1719">
        <f t="shared" si="23"/>
        <v>0</v>
      </c>
      <c r="BD15" s="1719">
        <f t="shared" si="24"/>
        <v>0</v>
      </c>
      <c r="BE15" s="1719">
        <f t="shared" si="25"/>
        <v>0</v>
      </c>
      <c r="BF15" s="1719">
        <f t="shared" si="26"/>
        <v>0</v>
      </c>
      <c r="BG15" s="1719">
        <f t="shared" si="27"/>
        <v>0</v>
      </c>
      <c r="BH15" s="1719">
        <f t="shared" si="28"/>
        <v>0</v>
      </c>
      <c r="BJ15" s="1722">
        <f t="shared" si="29"/>
        <v>0</v>
      </c>
      <c r="BK15" s="1723">
        <f>(AR15*Pricing!F$3+AS15*Pricing!G$3+AT15*Pricing!H$3+AU15*Pricing!I$3+AV15*Pricing!J$3+AW15*Pricing!K$3+AH15*Pricing!F$3+AI15*Pricing!G$3+AJ15*Pricing!H$3+AK15*Pricing!I$3+AL15*Pricing!J$3+AM15*Pricing!K$3)*IF(T$39="N",(1+V$39),1)</f>
        <v>0</v>
      </c>
      <c r="BL15" s="1723">
        <f t="shared" si="30"/>
        <v>0</v>
      </c>
      <c r="BM15" s="1723">
        <f t="shared" si="31"/>
        <v>0</v>
      </c>
      <c r="BN15" s="1723">
        <f t="shared" si="32"/>
        <v>0</v>
      </c>
      <c r="BO15" s="1723">
        <f t="shared" si="33"/>
        <v>0</v>
      </c>
      <c r="BP15" s="1723">
        <f t="shared" si="34"/>
        <v>0</v>
      </c>
      <c r="BQ15" s="1723">
        <f t="shared" si="35"/>
        <v>0</v>
      </c>
      <c r="BR15" s="1724"/>
      <c r="BS15" s="1725">
        <f>IF(SUM(BF$36:BG$36)=0,0,(BQ$36-W$58-N$64-W79-(L$79*0.15))/SUM(BF$36:BG$36)*BG15+BN15)</f>
        <v>0</v>
      </c>
      <c r="BT15" s="1723">
        <f>(AH15*Pricing!F$3+AI15*Pricing!G$3+AJ15*Pricing!H$3+AK15*Pricing!I$3+AL15*Pricing!J$3+AM15*Pricing!K$3)*IF(T$39="N",(1+V$39),1)</f>
        <v>0</v>
      </c>
      <c r="BU15" s="1723">
        <f t="shared" si="36"/>
        <v>0</v>
      </c>
      <c r="BV15" s="1723">
        <f t="shared" si="37"/>
        <v>0</v>
      </c>
      <c r="BW15" s="1724">
        <f t="shared" si="38"/>
        <v>0</v>
      </c>
      <c r="DB15" s="1726">
        <f t="shared" si="39"/>
        <v>0</v>
      </c>
      <c r="DC15" s="1723" t="e">
        <f t="shared" si="40"/>
        <v>#DIV/0!</v>
      </c>
      <c r="DD15" s="172">
        <f t="shared" si="41"/>
        <v>0</v>
      </c>
      <c r="DE15" s="847">
        <f t="shared" si="42"/>
        <v>0</v>
      </c>
      <c r="DF15" s="334">
        <f t="shared" si="43"/>
        <v>0</v>
      </c>
      <c r="DG15" s="847">
        <f t="shared" si="44"/>
        <v>0</v>
      </c>
      <c r="DH15" s="847">
        <f t="shared" si="45"/>
        <v>0</v>
      </c>
      <c r="DI15" s="847">
        <f t="shared" si="46"/>
        <v>0</v>
      </c>
      <c r="DJ15" s="1727">
        <f t="shared" si="47"/>
        <v>0</v>
      </c>
    </row>
    <row r="16" spans="1:114" s="1254" customFormat="1" ht="15.45">
      <c r="A16" s="482"/>
      <c r="B16" s="1177"/>
      <c r="C16" s="1710"/>
      <c r="D16" s="1711"/>
      <c r="E16" s="1712"/>
      <c r="F16" s="1108"/>
      <c r="G16" s="1109"/>
      <c r="H16" s="1110"/>
      <c r="I16" s="1108"/>
      <c r="J16" s="1109"/>
      <c r="K16" s="1110"/>
      <c r="L16" s="1108"/>
      <c r="M16" s="1108"/>
      <c r="N16" s="1713"/>
      <c r="O16" s="1108"/>
      <c r="P16" s="1108"/>
      <c r="Q16" s="1111"/>
      <c r="R16" s="1714"/>
      <c r="S16" s="1715"/>
      <c r="T16" s="77"/>
      <c r="U16" s="839"/>
      <c r="V16" s="1716">
        <f t="shared" si="0"/>
        <v>0</v>
      </c>
      <c r="W16" s="1717">
        <f t="shared" si="1"/>
        <v>0</v>
      </c>
      <c r="AH16" s="1720">
        <f t="shared" si="2"/>
        <v>0</v>
      </c>
      <c r="AI16" s="1719">
        <f t="shared" si="3"/>
        <v>0</v>
      </c>
      <c r="AJ16" s="1719">
        <f t="shared" si="4"/>
        <v>0</v>
      </c>
      <c r="AK16" s="1719">
        <f t="shared" si="5"/>
        <v>0</v>
      </c>
      <c r="AL16" s="1719">
        <f t="shared" si="6"/>
        <v>0</v>
      </c>
      <c r="AM16" s="1719">
        <f t="shared" si="7"/>
        <v>0</v>
      </c>
      <c r="AN16" s="1719">
        <f t="shared" si="8"/>
        <v>0</v>
      </c>
      <c r="AO16" s="1719">
        <f t="shared" si="9"/>
        <v>0</v>
      </c>
      <c r="AP16" s="1719">
        <f t="shared" si="10"/>
        <v>0</v>
      </c>
      <c r="AQ16" s="1719">
        <f t="shared" si="11"/>
        <v>0</v>
      </c>
      <c r="AR16" s="1720">
        <f t="shared" si="12"/>
        <v>0</v>
      </c>
      <c r="AS16" s="1719">
        <f t="shared" si="13"/>
        <v>0</v>
      </c>
      <c r="AT16" s="1719">
        <f t="shared" si="14"/>
        <v>0</v>
      </c>
      <c r="AU16" s="1719">
        <f t="shared" si="15"/>
        <v>0</v>
      </c>
      <c r="AV16" s="1719">
        <f t="shared" si="16"/>
        <v>0</v>
      </c>
      <c r="AW16" s="1719">
        <f t="shared" si="17"/>
        <v>0</v>
      </c>
      <c r="AX16" s="1719">
        <f t="shared" si="18"/>
        <v>0</v>
      </c>
      <c r="AY16" s="1719">
        <f t="shared" si="19"/>
        <v>0</v>
      </c>
      <c r="AZ16" s="1719">
        <f t="shared" si="20"/>
        <v>0</v>
      </c>
      <c r="BA16" s="1721">
        <f t="shared" si="21"/>
        <v>0</v>
      </c>
      <c r="BB16" s="1719">
        <f t="shared" si="22"/>
        <v>0</v>
      </c>
      <c r="BC16" s="1719">
        <f t="shared" si="23"/>
        <v>0</v>
      </c>
      <c r="BD16" s="1719">
        <f t="shared" si="24"/>
        <v>0</v>
      </c>
      <c r="BE16" s="1719">
        <f t="shared" si="25"/>
        <v>0</v>
      </c>
      <c r="BF16" s="1719">
        <f t="shared" si="26"/>
        <v>0</v>
      </c>
      <c r="BG16" s="1719">
        <f t="shared" si="27"/>
        <v>0</v>
      </c>
      <c r="BH16" s="1719">
        <f t="shared" si="28"/>
        <v>0</v>
      </c>
      <c r="BJ16" s="1722">
        <f t="shared" si="29"/>
        <v>0</v>
      </c>
      <c r="BK16" s="1723">
        <f>(AR16*Pricing!F$3+AS16*Pricing!G$3+AT16*Pricing!H$3+AU16*Pricing!I$3+AV16*Pricing!J$3+AW16*Pricing!K$3+AH16*Pricing!F$3+AI16*Pricing!G$3+AJ16*Pricing!H$3+AK16*Pricing!I$3+AL16*Pricing!J$3+AM16*Pricing!K$3)*IF(T$39="N",(1+V$39),1)</f>
        <v>0</v>
      </c>
      <c r="BL16" s="1723">
        <f t="shared" si="30"/>
        <v>0</v>
      </c>
      <c r="BM16" s="1723">
        <f t="shared" si="31"/>
        <v>0</v>
      </c>
      <c r="BN16" s="1723">
        <f t="shared" si="32"/>
        <v>0</v>
      </c>
      <c r="BO16" s="1723">
        <f t="shared" si="33"/>
        <v>0</v>
      </c>
      <c r="BP16" s="1723">
        <f t="shared" si="34"/>
        <v>0</v>
      </c>
      <c r="BQ16" s="1723">
        <f t="shared" si="35"/>
        <v>0</v>
      </c>
      <c r="BR16" s="1724"/>
      <c r="BS16" s="1725">
        <f>IF(SUM(BF$36:BG$36)=0,0,(BQ$36-W$58-N$64-W71-(L$79*0.15))/SUM(BF$36:BG$36)*BG16+BN16)</f>
        <v>0</v>
      </c>
      <c r="BT16" s="1723">
        <f>(AH16*Pricing!F$3+AI16*Pricing!G$3+AJ16*Pricing!H$3+AK16*Pricing!I$3+AL16*Pricing!J$3+AM16*Pricing!K$3)*IF(T$39="N",(1+V$39),1)</f>
        <v>0</v>
      </c>
      <c r="BU16" s="1723">
        <f t="shared" si="36"/>
        <v>0</v>
      </c>
      <c r="BV16" s="1723">
        <f t="shared" si="37"/>
        <v>0</v>
      </c>
      <c r="BW16" s="1724">
        <f t="shared" si="38"/>
        <v>0</v>
      </c>
      <c r="DB16" s="1726">
        <f t="shared" si="39"/>
        <v>0</v>
      </c>
      <c r="DC16" s="1723" t="e">
        <f t="shared" si="40"/>
        <v>#DIV/0!</v>
      </c>
      <c r="DD16" s="172">
        <f t="shared" si="41"/>
        <v>0</v>
      </c>
      <c r="DE16" s="847">
        <f t="shared" si="42"/>
        <v>0</v>
      </c>
      <c r="DF16" s="334">
        <f t="shared" si="43"/>
        <v>0</v>
      </c>
      <c r="DG16" s="847">
        <f t="shared" si="44"/>
        <v>0</v>
      </c>
      <c r="DH16" s="847">
        <f t="shared" si="45"/>
        <v>0</v>
      </c>
      <c r="DI16" s="847">
        <f t="shared" si="46"/>
        <v>0</v>
      </c>
      <c r="DJ16" s="1727">
        <f t="shared" si="47"/>
        <v>0</v>
      </c>
    </row>
    <row r="17" spans="1:114" s="1254" customFormat="1" ht="15.45">
      <c r="A17" s="482"/>
      <c r="B17" s="1177"/>
      <c r="C17" s="1710"/>
      <c r="D17" s="1711"/>
      <c r="E17" s="1712"/>
      <c r="F17" s="1108"/>
      <c r="G17" s="1109"/>
      <c r="H17" s="1110"/>
      <c r="I17" s="1108"/>
      <c r="J17" s="1109"/>
      <c r="K17" s="1110"/>
      <c r="L17" s="1108"/>
      <c r="M17" s="1108"/>
      <c r="N17" s="1713"/>
      <c r="O17" s="1108"/>
      <c r="P17" s="1108"/>
      <c r="Q17" s="1111"/>
      <c r="R17" s="1714"/>
      <c r="S17" s="1715"/>
      <c r="T17" s="77"/>
      <c r="U17" s="839"/>
      <c r="V17" s="1716">
        <f t="shared" si="0"/>
        <v>0</v>
      </c>
      <c r="W17" s="1717">
        <f t="shared" si="1"/>
        <v>0</v>
      </c>
      <c r="AH17" s="1720">
        <f t="shared" si="2"/>
        <v>0</v>
      </c>
      <c r="AI17" s="1719">
        <f t="shared" si="3"/>
        <v>0</v>
      </c>
      <c r="AJ17" s="1719">
        <f t="shared" si="4"/>
        <v>0</v>
      </c>
      <c r="AK17" s="1719">
        <f t="shared" si="5"/>
        <v>0</v>
      </c>
      <c r="AL17" s="1719">
        <f t="shared" si="6"/>
        <v>0</v>
      </c>
      <c r="AM17" s="1719">
        <f t="shared" si="7"/>
        <v>0</v>
      </c>
      <c r="AN17" s="1719">
        <f t="shared" si="8"/>
        <v>0</v>
      </c>
      <c r="AO17" s="1719">
        <f t="shared" si="9"/>
        <v>0</v>
      </c>
      <c r="AP17" s="1719">
        <f t="shared" si="10"/>
        <v>0</v>
      </c>
      <c r="AQ17" s="1719">
        <f t="shared" si="11"/>
        <v>0</v>
      </c>
      <c r="AR17" s="1720">
        <f t="shared" si="12"/>
        <v>0</v>
      </c>
      <c r="AS17" s="1719">
        <f t="shared" si="13"/>
        <v>0</v>
      </c>
      <c r="AT17" s="1719">
        <f t="shared" si="14"/>
        <v>0</v>
      </c>
      <c r="AU17" s="1719">
        <f t="shared" si="15"/>
        <v>0</v>
      </c>
      <c r="AV17" s="1719">
        <f t="shared" si="16"/>
        <v>0</v>
      </c>
      <c r="AW17" s="1719">
        <f t="shared" si="17"/>
        <v>0</v>
      </c>
      <c r="AX17" s="1719">
        <f t="shared" si="18"/>
        <v>0</v>
      </c>
      <c r="AY17" s="1719">
        <f t="shared" si="19"/>
        <v>0</v>
      </c>
      <c r="AZ17" s="1719">
        <f t="shared" si="20"/>
        <v>0</v>
      </c>
      <c r="BA17" s="1721">
        <f t="shared" si="21"/>
        <v>0</v>
      </c>
      <c r="BB17" s="1719">
        <f t="shared" si="22"/>
        <v>0</v>
      </c>
      <c r="BC17" s="1719">
        <f t="shared" si="23"/>
        <v>0</v>
      </c>
      <c r="BD17" s="1719">
        <f t="shared" si="24"/>
        <v>0</v>
      </c>
      <c r="BE17" s="1719">
        <f t="shared" si="25"/>
        <v>0</v>
      </c>
      <c r="BF17" s="1719">
        <f t="shared" si="26"/>
        <v>0</v>
      </c>
      <c r="BG17" s="1719">
        <f t="shared" si="27"/>
        <v>0</v>
      </c>
      <c r="BH17" s="1719">
        <f t="shared" si="28"/>
        <v>0</v>
      </c>
      <c r="BJ17" s="1722">
        <f t="shared" si="29"/>
        <v>0</v>
      </c>
      <c r="BK17" s="1723">
        <f>(AR17*Pricing!F$3+AS17*Pricing!G$3+AT17*Pricing!H$3+AU17*Pricing!I$3+AV17*Pricing!J$3+AW17*Pricing!K$3+AH17*Pricing!F$3+AI17*Pricing!G$3+AJ17*Pricing!H$3+AK17*Pricing!I$3+AL17*Pricing!J$3+AM17*Pricing!K$3)*IF(T$39="N",(1+V$39),1)</f>
        <v>0</v>
      </c>
      <c r="BL17" s="1723">
        <f t="shared" si="30"/>
        <v>0</v>
      </c>
      <c r="BM17" s="1723">
        <f t="shared" si="31"/>
        <v>0</v>
      </c>
      <c r="BN17" s="1723">
        <f t="shared" si="32"/>
        <v>0</v>
      </c>
      <c r="BO17" s="1723">
        <f t="shared" si="33"/>
        <v>0</v>
      </c>
      <c r="BP17" s="1723">
        <f t="shared" si="34"/>
        <v>0</v>
      </c>
      <c r="BQ17" s="1723">
        <f t="shared" si="35"/>
        <v>0</v>
      </c>
      <c r="BR17" s="1724"/>
      <c r="BS17" s="1725">
        <f>IF(SUM(BF$36:BG$36)=0,0,(BQ$36-W$58-N$64-W64-(L$79*0.15))/SUM(BF$36:BG$36)*BG17+BN17)</f>
        <v>0</v>
      </c>
      <c r="BT17" s="1723">
        <f>(AH17*Pricing!F$3+AI17*Pricing!G$3+AJ17*Pricing!H$3+AK17*Pricing!I$3+AL17*Pricing!J$3+AM17*Pricing!K$3)*IF(T$39="N",(1+V$39),1)</f>
        <v>0</v>
      </c>
      <c r="BU17" s="1723">
        <f t="shared" si="36"/>
        <v>0</v>
      </c>
      <c r="BV17" s="1723">
        <f t="shared" si="37"/>
        <v>0</v>
      </c>
      <c r="BW17" s="1724">
        <f t="shared" si="38"/>
        <v>0</v>
      </c>
      <c r="DB17" s="1726">
        <f t="shared" si="39"/>
        <v>0</v>
      </c>
      <c r="DC17" s="1723" t="e">
        <f t="shared" si="40"/>
        <v>#DIV/0!</v>
      </c>
      <c r="DD17" s="172">
        <f t="shared" si="41"/>
        <v>0</v>
      </c>
      <c r="DE17" s="847">
        <f t="shared" si="42"/>
        <v>0</v>
      </c>
      <c r="DF17" s="334">
        <f t="shared" si="43"/>
        <v>0</v>
      </c>
      <c r="DG17" s="847">
        <f t="shared" si="44"/>
        <v>0</v>
      </c>
      <c r="DH17" s="847">
        <f t="shared" si="45"/>
        <v>0</v>
      </c>
      <c r="DI17" s="847">
        <f t="shared" si="46"/>
        <v>0</v>
      </c>
      <c r="DJ17" s="1727">
        <f t="shared" si="47"/>
        <v>0</v>
      </c>
    </row>
    <row r="18" spans="1:114" s="1254" customFormat="1" ht="15.45">
      <c r="A18" s="482"/>
      <c r="B18" s="1177"/>
      <c r="C18" s="1710"/>
      <c r="D18" s="1711"/>
      <c r="E18" s="1712"/>
      <c r="F18" s="1108"/>
      <c r="G18" s="1109"/>
      <c r="H18" s="1110"/>
      <c r="I18" s="1108"/>
      <c r="J18" s="1109"/>
      <c r="K18" s="1110"/>
      <c r="L18" s="1108"/>
      <c r="M18" s="1108"/>
      <c r="N18" s="1713"/>
      <c r="O18" s="1108"/>
      <c r="P18" s="1108"/>
      <c r="Q18" s="1111"/>
      <c r="R18" s="1714"/>
      <c r="S18" s="1715"/>
      <c r="T18" s="77"/>
      <c r="U18" s="839"/>
      <c r="V18" s="1716">
        <f t="shared" si="0"/>
        <v>0</v>
      </c>
      <c r="W18" s="1717">
        <f t="shared" si="1"/>
        <v>0</v>
      </c>
      <c r="AH18" s="1720">
        <f t="shared" si="2"/>
        <v>0</v>
      </c>
      <c r="AI18" s="1719">
        <f t="shared" si="3"/>
        <v>0</v>
      </c>
      <c r="AJ18" s="1719">
        <f t="shared" si="4"/>
        <v>0</v>
      </c>
      <c r="AK18" s="1719">
        <f t="shared" si="5"/>
        <v>0</v>
      </c>
      <c r="AL18" s="1719">
        <f t="shared" si="6"/>
        <v>0</v>
      </c>
      <c r="AM18" s="1719">
        <f t="shared" si="7"/>
        <v>0</v>
      </c>
      <c r="AN18" s="1719">
        <f t="shared" si="8"/>
        <v>0</v>
      </c>
      <c r="AO18" s="1719">
        <f t="shared" si="9"/>
        <v>0</v>
      </c>
      <c r="AP18" s="1719">
        <f t="shared" si="10"/>
        <v>0</v>
      </c>
      <c r="AQ18" s="1719">
        <f t="shared" si="11"/>
        <v>0</v>
      </c>
      <c r="AR18" s="1720">
        <f t="shared" si="12"/>
        <v>0</v>
      </c>
      <c r="AS18" s="1719">
        <f t="shared" si="13"/>
        <v>0</v>
      </c>
      <c r="AT18" s="1719">
        <f t="shared" si="14"/>
        <v>0</v>
      </c>
      <c r="AU18" s="1719">
        <f t="shared" si="15"/>
        <v>0</v>
      </c>
      <c r="AV18" s="1719">
        <f t="shared" si="16"/>
        <v>0</v>
      </c>
      <c r="AW18" s="1719">
        <f t="shared" si="17"/>
        <v>0</v>
      </c>
      <c r="AX18" s="1719">
        <f t="shared" si="18"/>
        <v>0</v>
      </c>
      <c r="AY18" s="1719">
        <f t="shared" si="19"/>
        <v>0</v>
      </c>
      <c r="AZ18" s="1719">
        <f t="shared" si="20"/>
        <v>0</v>
      </c>
      <c r="BA18" s="1721">
        <f t="shared" si="21"/>
        <v>0</v>
      </c>
      <c r="BB18" s="1719">
        <f t="shared" si="22"/>
        <v>0</v>
      </c>
      <c r="BC18" s="1719">
        <f t="shared" si="23"/>
        <v>0</v>
      </c>
      <c r="BD18" s="1719">
        <f t="shared" si="24"/>
        <v>0</v>
      </c>
      <c r="BE18" s="1719">
        <f t="shared" si="25"/>
        <v>0</v>
      </c>
      <c r="BF18" s="1719">
        <f t="shared" si="26"/>
        <v>0</v>
      </c>
      <c r="BG18" s="1719">
        <f t="shared" si="27"/>
        <v>0</v>
      </c>
      <c r="BH18" s="1719">
        <f t="shared" si="28"/>
        <v>0</v>
      </c>
      <c r="BJ18" s="1722">
        <f t="shared" si="29"/>
        <v>0</v>
      </c>
      <c r="BK18" s="1723">
        <f>(AR18*Pricing!F$3+AS18*Pricing!G$3+AT18*Pricing!H$3+AU18*Pricing!I$3+AV18*Pricing!J$3+AW18*Pricing!K$3+AH18*Pricing!F$3+AI18*Pricing!G$3+AJ18*Pricing!H$3+AK18*Pricing!I$3+AL18*Pricing!J$3+AM18*Pricing!K$3)*IF(T$39="N",(1+V$39),1)</f>
        <v>0</v>
      </c>
      <c r="BL18" s="1723">
        <f t="shared" si="30"/>
        <v>0</v>
      </c>
      <c r="BM18" s="1723">
        <f t="shared" si="31"/>
        <v>0</v>
      </c>
      <c r="BN18" s="1723">
        <f t="shared" si="32"/>
        <v>0</v>
      </c>
      <c r="BO18" s="1723">
        <f t="shared" si="33"/>
        <v>0</v>
      </c>
      <c r="BP18" s="1723">
        <f t="shared" si="34"/>
        <v>0</v>
      </c>
      <c r="BQ18" s="1723">
        <f t="shared" si="35"/>
        <v>0</v>
      </c>
      <c r="BR18" s="1724"/>
      <c r="BS18" s="1725">
        <f>IF(SUM(BF$36:BG$36)=0,0,(BQ$36-W$58-N$64-W60-(L$79*0.15))/SUM(BF$36:BG$36)*BG18+BN18)</f>
        <v>0</v>
      </c>
      <c r="BT18" s="1723">
        <f>(AH18*Pricing!F$3+AI18*Pricing!G$3+AJ18*Pricing!H$3+AK18*Pricing!I$3+AL18*Pricing!J$3+AM18*Pricing!K$3)*IF(T$39="N",(1+V$39),1)</f>
        <v>0</v>
      </c>
      <c r="BU18" s="1723">
        <f t="shared" si="36"/>
        <v>0</v>
      </c>
      <c r="BV18" s="1723">
        <f t="shared" si="37"/>
        <v>0</v>
      </c>
      <c r="BW18" s="1724">
        <f t="shared" si="38"/>
        <v>0</v>
      </c>
      <c r="DB18" s="1726">
        <f t="shared" si="39"/>
        <v>0</v>
      </c>
      <c r="DC18" s="1723" t="e">
        <f t="shared" si="40"/>
        <v>#DIV/0!</v>
      </c>
      <c r="DD18" s="172">
        <f t="shared" si="41"/>
        <v>0</v>
      </c>
      <c r="DE18" s="847">
        <f t="shared" si="42"/>
        <v>0</v>
      </c>
      <c r="DF18" s="334">
        <f t="shared" si="43"/>
        <v>0</v>
      </c>
      <c r="DG18" s="847">
        <f t="shared" si="44"/>
        <v>0</v>
      </c>
      <c r="DH18" s="847">
        <f t="shared" si="45"/>
        <v>0</v>
      </c>
      <c r="DI18" s="847">
        <f t="shared" si="46"/>
        <v>0</v>
      </c>
      <c r="DJ18" s="1727">
        <f t="shared" si="47"/>
        <v>0</v>
      </c>
    </row>
    <row r="19" spans="1:114" s="1254" customFormat="1" ht="15.45">
      <c r="A19" s="482"/>
      <c r="B19" s="1177"/>
      <c r="C19" s="1710"/>
      <c r="D19" s="1711"/>
      <c r="E19" s="1712"/>
      <c r="F19" s="1108"/>
      <c r="G19" s="1109"/>
      <c r="H19" s="1110"/>
      <c r="I19" s="1108"/>
      <c r="J19" s="1109"/>
      <c r="K19" s="1110"/>
      <c r="L19" s="1108"/>
      <c r="M19" s="1108"/>
      <c r="N19" s="1713"/>
      <c r="O19" s="1108"/>
      <c r="P19" s="1108"/>
      <c r="Q19" s="1111"/>
      <c r="R19" s="1714"/>
      <c r="S19" s="1715"/>
      <c r="T19" s="77"/>
      <c r="U19" s="839"/>
      <c r="V19" s="1716">
        <f t="shared" si="0"/>
        <v>0</v>
      </c>
      <c r="W19" s="1717">
        <f t="shared" si="1"/>
        <v>0</v>
      </c>
      <c r="AH19" s="1720">
        <f t="shared" si="2"/>
        <v>0</v>
      </c>
      <c r="AI19" s="1719">
        <f t="shared" si="3"/>
        <v>0</v>
      </c>
      <c r="AJ19" s="1719">
        <f t="shared" si="4"/>
        <v>0</v>
      </c>
      <c r="AK19" s="1719">
        <f t="shared" si="5"/>
        <v>0</v>
      </c>
      <c r="AL19" s="1719">
        <f t="shared" si="6"/>
        <v>0</v>
      </c>
      <c r="AM19" s="1719">
        <f t="shared" si="7"/>
        <v>0</v>
      </c>
      <c r="AN19" s="1719">
        <f t="shared" si="8"/>
        <v>0</v>
      </c>
      <c r="AO19" s="1719">
        <f t="shared" si="9"/>
        <v>0</v>
      </c>
      <c r="AP19" s="1719">
        <f t="shared" si="10"/>
        <v>0</v>
      </c>
      <c r="AQ19" s="1719">
        <f t="shared" si="11"/>
        <v>0</v>
      </c>
      <c r="AR19" s="1720">
        <f t="shared" si="12"/>
        <v>0</v>
      </c>
      <c r="AS19" s="1719">
        <f t="shared" si="13"/>
        <v>0</v>
      </c>
      <c r="AT19" s="1719">
        <f t="shared" si="14"/>
        <v>0</v>
      </c>
      <c r="AU19" s="1719">
        <f t="shared" si="15"/>
        <v>0</v>
      </c>
      <c r="AV19" s="1719">
        <f t="shared" si="16"/>
        <v>0</v>
      </c>
      <c r="AW19" s="1719">
        <f t="shared" si="17"/>
        <v>0</v>
      </c>
      <c r="AX19" s="1719">
        <f t="shared" si="18"/>
        <v>0</v>
      </c>
      <c r="AY19" s="1719">
        <f t="shared" si="19"/>
        <v>0</v>
      </c>
      <c r="AZ19" s="1719">
        <f t="shared" si="20"/>
        <v>0</v>
      </c>
      <c r="BA19" s="1721">
        <f t="shared" si="21"/>
        <v>0</v>
      </c>
      <c r="BB19" s="1719">
        <f t="shared" si="22"/>
        <v>0</v>
      </c>
      <c r="BC19" s="1719">
        <f t="shared" si="23"/>
        <v>0</v>
      </c>
      <c r="BD19" s="1719">
        <f t="shared" si="24"/>
        <v>0</v>
      </c>
      <c r="BE19" s="1719">
        <f t="shared" si="25"/>
        <v>0</v>
      </c>
      <c r="BF19" s="1719">
        <f t="shared" si="26"/>
        <v>0</v>
      </c>
      <c r="BG19" s="1719">
        <f t="shared" si="27"/>
        <v>0</v>
      </c>
      <c r="BH19" s="1719">
        <f t="shared" si="28"/>
        <v>0</v>
      </c>
      <c r="BJ19" s="1722">
        <f t="shared" si="29"/>
        <v>0</v>
      </c>
      <c r="BK19" s="1723">
        <f>(AR19*Pricing!F$3+AS19*Pricing!G$3+AT19*Pricing!H$3+AU19*Pricing!I$3+AV19*Pricing!J$3+AW19*Pricing!K$3+AH19*Pricing!F$3+AI19*Pricing!G$3+AJ19*Pricing!H$3+AK19*Pricing!I$3+AL19*Pricing!J$3+AM19*Pricing!K$3)*IF(T$39="N",(1+V$39),1)</f>
        <v>0</v>
      </c>
      <c r="BL19" s="1723">
        <f t="shared" si="30"/>
        <v>0</v>
      </c>
      <c r="BM19" s="1723">
        <f t="shared" si="31"/>
        <v>0</v>
      </c>
      <c r="BN19" s="1723">
        <f t="shared" si="32"/>
        <v>0</v>
      </c>
      <c r="BO19" s="1723">
        <f t="shared" si="33"/>
        <v>0</v>
      </c>
      <c r="BP19" s="1723">
        <f t="shared" si="34"/>
        <v>0</v>
      </c>
      <c r="BQ19" s="1723">
        <f t="shared" si="35"/>
        <v>0</v>
      </c>
      <c r="BR19" s="1724"/>
      <c r="BS19" s="1725">
        <f>IF(SUM(BF$36:BG$36)=0,0,(BQ$36-W$58-N$64-W61-(L$79*0.15))/SUM(BF$36:BG$36)*BG19+BN19)</f>
        <v>0</v>
      </c>
      <c r="BT19" s="1723">
        <f>(AH19*Pricing!F$3+AI19*Pricing!G$3+AJ19*Pricing!H$3+AK19*Pricing!I$3+AL19*Pricing!J$3+AM19*Pricing!K$3)*IF(T$39="N",(1+V$39),1)</f>
        <v>0</v>
      </c>
      <c r="BU19" s="1723">
        <f t="shared" si="36"/>
        <v>0</v>
      </c>
      <c r="BV19" s="1723">
        <f t="shared" si="37"/>
        <v>0</v>
      </c>
      <c r="BW19" s="1724">
        <f t="shared" si="38"/>
        <v>0</v>
      </c>
      <c r="DB19" s="1726">
        <f t="shared" si="39"/>
        <v>0</v>
      </c>
      <c r="DC19" s="1723" t="e">
        <f t="shared" si="40"/>
        <v>#DIV/0!</v>
      </c>
      <c r="DD19" s="172">
        <f t="shared" si="41"/>
        <v>0</v>
      </c>
      <c r="DE19" s="847">
        <f t="shared" si="42"/>
        <v>0</v>
      </c>
      <c r="DF19" s="334">
        <f t="shared" si="43"/>
        <v>0</v>
      </c>
      <c r="DG19" s="847">
        <f t="shared" si="44"/>
        <v>0</v>
      </c>
      <c r="DH19" s="847">
        <f t="shared" si="45"/>
        <v>0</v>
      </c>
      <c r="DI19" s="847">
        <f t="shared" si="46"/>
        <v>0</v>
      </c>
      <c r="DJ19" s="1727">
        <f t="shared" si="47"/>
        <v>0</v>
      </c>
    </row>
    <row r="20" spans="1:114" s="1254" customFormat="1" ht="15.45">
      <c r="A20" s="482"/>
      <c r="B20" s="1177"/>
      <c r="C20" s="1710"/>
      <c r="D20" s="1711"/>
      <c r="E20" s="1712"/>
      <c r="F20" s="1108"/>
      <c r="G20" s="1109"/>
      <c r="H20" s="1110"/>
      <c r="I20" s="1108"/>
      <c r="J20" s="1109"/>
      <c r="K20" s="1110"/>
      <c r="L20" s="1108"/>
      <c r="M20" s="1108"/>
      <c r="N20" s="1713"/>
      <c r="O20" s="1108"/>
      <c r="P20" s="1108"/>
      <c r="Q20" s="1111"/>
      <c r="R20" s="1714"/>
      <c r="S20" s="1715"/>
      <c r="T20" s="77"/>
      <c r="U20" s="839"/>
      <c r="V20" s="1716">
        <f t="shared" si="0"/>
        <v>0</v>
      </c>
      <c r="W20" s="1717">
        <f t="shared" si="1"/>
        <v>0</v>
      </c>
      <c r="AH20" s="1720">
        <f t="shared" si="2"/>
        <v>0</v>
      </c>
      <c r="AI20" s="1719">
        <f t="shared" si="3"/>
        <v>0</v>
      </c>
      <c r="AJ20" s="1719">
        <f t="shared" si="4"/>
        <v>0</v>
      </c>
      <c r="AK20" s="1719">
        <f t="shared" si="5"/>
        <v>0</v>
      </c>
      <c r="AL20" s="1719">
        <f t="shared" si="6"/>
        <v>0</v>
      </c>
      <c r="AM20" s="1719">
        <f t="shared" si="7"/>
        <v>0</v>
      </c>
      <c r="AN20" s="1719">
        <f t="shared" si="8"/>
        <v>0</v>
      </c>
      <c r="AO20" s="1719">
        <f t="shared" si="9"/>
        <v>0</v>
      </c>
      <c r="AP20" s="1719">
        <f t="shared" si="10"/>
        <v>0</v>
      </c>
      <c r="AQ20" s="1719">
        <f t="shared" si="11"/>
        <v>0</v>
      </c>
      <c r="AR20" s="1720">
        <f t="shared" si="12"/>
        <v>0</v>
      </c>
      <c r="AS20" s="1719">
        <f t="shared" si="13"/>
        <v>0</v>
      </c>
      <c r="AT20" s="1719">
        <f t="shared" si="14"/>
        <v>0</v>
      </c>
      <c r="AU20" s="1719">
        <f t="shared" si="15"/>
        <v>0</v>
      </c>
      <c r="AV20" s="1719">
        <f t="shared" si="16"/>
        <v>0</v>
      </c>
      <c r="AW20" s="1719">
        <f t="shared" si="17"/>
        <v>0</v>
      </c>
      <c r="AX20" s="1719">
        <f t="shared" si="18"/>
        <v>0</v>
      </c>
      <c r="AY20" s="1719">
        <f t="shared" si="19"/>
        <v>0</v>
      </c>
      <c r="AZ20" s="1719">
        <f t="shared" si="20"/>
        <v>0</v>
      </c>
      <c r="BA20" s="1721">
        <f t="shared" si="21"/>
        <v>0</v>
      </c>
      <c r="BB20" s="1719">
        <f t="shared" si="22"/>
        <v>0</v>
      </c>
      <c r="BC20" s="1719">
        <f t="shared" si="23"/>
        <v>0</v>
      </c>
      <c r="BD20" s="1719">
        <f t="shared" si="24"/>
        <v>0</v>
      </c>
      <c r="BE20" s="1719">
        <f t="shared" si="25"/>
        <v>0</v>
      </c>
      <c r="BF20" s="1719">
        <f t="shared" si="26"/>
        <v>0</v>
      </c>
      <c r="BG20" s="1719">
        <f t="shared" si="27"/>
        <v>0</v>
      </c>
      <c r="BH20" s="1719">
        <f t="shared" si="28"/>
        <v>0</v>
      </c>
      <c r="BJ20" s="1722">
        <f t="shared" si="29"/>
        <v>0</v>
      </c>
      <c r="BK20" s="1723">
        <f>(AR20*Pricing!F$3+AS20*Pricing!G$3+AT20*Pricing!H$3+AU20*Pricing!I$3+AV20*Pricing!J$3+AW20*Pricing!K$3+AH20*Pricing!F$3+AI20*Pricing!G$3+AJ20*Pricing!H$3+AK20*Pricing!I$3+AL20*Pricing!J$3+AM20*Pricing!K$3)*IF(T$39="N",(1+V$39),1)</f>
        <v>0</v>
      </c>
      <c r="BL20" s="1723">
        <f t="shared" si="30"/>
        <v>0</v>
      </c>
      <c r="BM20" s="1723">
        <f t="shared" si="31"/>
        <v>0</v>
      </c>
      <c r="BN20" s="1723">
        <f t="shared" si="32"/>
        <v>0</v>
      </c>
      <c r="BO20" s="1723">
        <f t="shared" si="33"/>
        <v>0</v>
      </c>
      <c r="BP20" s="1723">
        <f t="shared" si="34"/>
        <v>0</v>
      </c>
      <c r="BQ20" s="1723">
        <f t="shared" si="35"/>
        <v>0</v>
      </c>
      <c r="BR20" s="1724"/>
      <c r="BS20" s="1725">
        <f>IF(SUM(BF$36:BG$36)=0,0,(BQ$36-W$58-N$64-W62-(L$79*0.15))/SUM(BF$36:BG$36)*BG20+BN20)</f>
        <v>0</v>
      </c>
      <c r="BT20" s="1723">
        <f>(AH20*Pricing!F$3+AI20*Pricing!G$3+AJ20*Pricing!H$3+AK20*Pricing!I$3+AL20*Pricing!J$3+AM20*Pricing!K$3)*IF(T$39="N",(1+V$39),1)</f>
        <v>0</v>
      </c>
      <c r="BU20" s="1723">
        <f t="shared" si="36"/>
        <v>0</v>
      </c>
      <c r="BV20" s="1723">
        <f t="shared" si="37"/>
        <v>0</v>
      </c>
      <c r="BW20" s="1724">
        <f t="shared" si="38"/>
        <v>0</v>
      </c>
      <c r="DB20" s="1726">
        <f t="shared" si="39"/>
        <v>0</v>
      </c>
      <c r="DC20" s="1723" t="e">
        <f t="shared" si="40"/>
        <v>#DIV/0!</v>
      </c>
      <c r="DD20" s="172">
        <f t="shared" si="41"/>
        <v>0</v>
      </c>
      <c r="DE20" s="847">
        <f t="shared" si="42"/>
        <v>0</v>
      </c>
      <c r="DF20" s="334">
        <f t="shared" si="43"/>
        <v>0</v>
      </c>
      <c r="DG20" s="847">
        <f t="shared" si="44"/>
        <v>0</v>
      </c>
      <c r="DH20" s="847">
        <f t="shared" si="45"/>
        <v>0</v>
      </c>
      <c r="DI20" s="847">
        <f t="shared" si="46"/>
        <v>0</v>
      </c>
      <c r="DJ20" s="1727">
        <f t="shared" si="47"/>
        <v>0</v>
      </c>
    </row>
    <row r="21" spans="1:114" s="1254" customFormat="1" ht="15.45">
      <c r="A21" s="482"/>
      <c r="B21" s="1177"/>
      <c r="C21" s="1710"/>
      <c r="D21" s="1711"/>
      <c r="E21" s="1712"/>
      <c r="F21" s="1108"/>
      <c r="G21" s="1109"/>
      <c r="H21" s="1110"/>
      <c r="I21" s="1108"/>
      <c r="J21" s="1109"/>
      <c r="K21" s="1110"/>
      <c r="L21" s="1108"/>
      <c r="M21" s="1108"/>
      <c r="N21" s="1713"/>
      <c r="O21" s="1108"/>
      <c r="P21" s="1108"/>
      <c r="Q21" s="1111"/>
      <c r="R21" s="1714"/>
      <c r="S21" s="1715"/>
      <c r="T21" s="77"/>
      <c r="U21" s="839"/>
      <c r="V21" s="1716">
        <f t="shared" si="0"/>
        <v>0</v>
      </c>
      <c r="W21" s="1717">
        <f t="shared" si="1"/>
        <v>0</v>
      </c>
      <c r="AH21" s="1720">
        <f t="shared" si="2"/>
        <v>0</v>
      </c>
      <c r="AI21" s="1719">
        <f t="shared" si="3"/>
        <v>0</v>
      </c>
      <c r="AJ21" s="1719">
        <f t="shared" si="4"/>
        <v>0</v>
      </c>
      <c r="AK21" s="1719">
        <f t="shared" si="5"/>
        <v>0</v>
      </c>
      <c r="AL21" s="1719">
        <f t="shared" si="6"/>
        <v>0</v>
      </c>
      <c r="AM21" s="1719">
        <f t="shared" si="7"/>
        <v>0</v>
      </c>
      <c r="AN21" s="1719">
        <f t="shared" si="8"/>
        <v>0</v>
      </c>
      <c r="AO21" s="1719">
        <f t="shared" si="9"/>
        <v>0</v>
      </c>
      <c r="AP21" s="1719">
        <f t="shared" si="10"/>
        <v>0</v>
      </c>
      <c r="AQ21" s="1719">
        <f t="shared" si="11"/>
        <v>0</v>
      </c>
      <c r="AR21" s="1720">
        <f t="shared" si="12"/>
        <v>0</v>
      </c>
      <c r="AS21" s="1719">
        <f t="shared" si="13"/>
        <v>0</v>
      </c>
      <c r="AT21" s="1719">
        <f t="shared" si="14"/>
        <v>0</v>
      </c>
      <c r="AU21" s="1719">
        <f t="shared" si="15"/>
        <v>0</v>
      </c>
      <c r="AV21" s="1719">
        <f t="shared" si="16"/>
        <v>0</v>
      </c>
      <c r="AW21" s="1719">
        <f t="shared" si="17"/>
        <v>0</v>
      </c>
      <c r="AX21" s="1719">
        <f t="shared" si="18"/>
        <v>0</v>
      </c>
      <c r="AY21" s="1719">
        <f t="shared" si="19"/>
        <v>0</v>
      </c>
      <c r="AZ21" s="1719">
        <f t="shared" si="20"/>
        <v>0</v>
      </c>
      <c r="BA21" s="1721">
        <f t="shared" si="21"/>
        <v>0</v>
      </c>
      <c r="BB21" s="1719">
        <f t="shared" si="22"/>
        <v>0</v>
      </c>
      <c r="BC21" s="1719">
        <f t="shared" si="23"/>
        <v>0</v>
      </c>
      <c r="BD21" s="1719">
        <f t="shared" si="24"/>
        <v>0</v>
      </c>
      <c r="BE21" s="1719">
        <f t="shared" si="25"/>
        <v>0</v>
      </c>
      <c r="BF21" s="1719">
        <f t="shared" si="26"/>
        <v>0</v>
      </c>
      <c r="BG21" s="1719">
        <f t="shared" si="27"/>
        <v>0</v>
      </c>
      <c r="BH21" s="1719">
        <f t="shared" si="28"/>
        <v>0</v>
      </c>
      <c r="BJ21" s="1722">
        <f t="shared" si="29"/>
        <v>0</v>
      </c>
      <c r="BK21" s="1723">
        <f>(AR21*Pricing!F$3+AS21*Pricing!G$3+AT21*Pricing!H$3+AU21*Pricing!I$3+AV21*Pricing!J$3+AW21*Pricing!K$3+AH21*Pricing!F$3+AI21*Pricing!G$3+AJ21*Pricing!H$3+AK21*Pricing!I$3+AL21*Pricing!J$3+AM21*Pricing!K$3)*IF(T$39="N",(1+V$39),1)</f>
        <v>0</v>
      </c>
      <c r="BL21" s="1723">
        <f t="shared" si="30"/>
        <v>0</v>
      </c>
      <c r="BM21" s="1723">
        <f t="shared" si="31"/>
        <v>0</v>
      </c>
      <c r="BN21" s="1723">
        <f t="shared" si="32"/>
        <v>0</v>
      </c>
      <c r="BO21" s="1723">
        <f t="shared" si="33"/>
        <v>0</v>
      </c>
      <c r="BP21" s="1723">
        <f t="shared" si="34"/>
        <v>0</v>
      </c>
      <c r="BQ21" s="1723">
        <f t="shared" si="35"/>
        <v>0</v>
      </c>
      <c r="BR21" s="1724"/>
      <c r="BS21" s="1725">
        <f>IF(SUM(BF$36:BG$36)=0,0,(BQ$36-W$58-N$64-W52-(L$79*0.15))/SUM(BF$36:BG$36)*BG21+BN21)</f>
        <v>0</v>
      </c>
      <c r="BT21" s="1723">
        <f>(AH21*Pricing!F$3+AI21*Pricing!G$3+AJ21*Pricing!H$3+AK21*Pricing!I$3+AL21*Pricing!J$3+AM21*Pricing!K$3)*IF(T$39="N",(1+V$39),1)</f>
        <v>0</v>
      </c>
      <c r="BU21" s="1723">
        <f t="shared" si="36"/>
        <v>0</v>
      </c>
      <c r="BV21" s="1723">
        <f t="shared" si="37"/>
        <v>0</v>
      </c>
      <c r="BW21" s="1724">
        <f t="shared" si="38"/>
        <v>0</v>
      </c>
      <c r="DB21" s="1726">
        <f t="shared" si="39"/>
        <v>0</v>
      </c>
      <c r="DC21" s="1723" t="e">
        <f t="shared" si="40"/>
        <v>#DIV/0!</v>
      </c>
      <c r="DD21" s="172">
        <f t="shared" si="41"/>
        <v>0</v>
      </c>
      <c r="DE21" s="847">
        <f t="shared" si="42"/>
        <v>0</v>
      </c>
      <c r="DF21" s="334">
        <f t="shared" si="43"/>
        <v>0</v>
      </c>
      <c r="DG21" s="847">
        <f t="shared" si="44"/>
        <v>0</v>
      </c>
      <c r="DH21" s="847">
        <f t="shared" si="45"/>
        <v>0</v>
      </c>
      <c r="DI21" s="847">
        <f t="shared" si="46"/>
        <v>0</v>
      </c>
      <c r="DJ21" s="1727">
        <f t="shared" si="47"/>
        <v>0</v>
      </c>
    </row>
    <row r="22" spans="1:114" s="1254" customFormat="1" ht="15.45">
      <c r="A22" s="482"/>
      <c r="B22" s="1177"/>
      <c r="C22" s="1710"/>
      <c r="D22" s="1711"/>
      <c r="E22" s="1712"/>
      <c r="F22" s="1108"/>
      <c r="G22" s="1109"/>
      <c r="H22" s="1110"/>
      <c r="I22" s="1108"/>
      <c r="J22" s="1109"/>
      <c r="K22" s="1110"/>
      <c r="L22" s="1108"/>
      <c r="M22" s="1108"/>
      <c r="N22" s="1713"/>
      <c r="O22" s="1108"/>
      <c r="P22" s="1108"/>
      <c r="Q22" s="1111"/>
      <c r="R22" s="1714"/>
      <c r="S22" s="1715"/>
      <c r="T22" s="77"/>
      <c r="U22" s="839"/>
      <c r="V22" s="1716">
        <f t="shared" si="0"/>
        <v>0</v>
      </c>
      <c r="W22" s="1717">
        <f t="shared" si="1"/>
        <v>0</v>
      </c>
      <c r="AH22" s="1720">
        <f t="shared" si="2"/>
        <v>0</v>
      </c>
      <c r="AI22" s="1719">
        <f t="shared" si="3"/>
        <v>0</v>
      </c>
      <c r="AJ22" s="1719">
        <f t="shared" si="4"/>
        <v>0</v>
      </c>
      <c r="AK22" s="1719">
        <f t="shared" si="5"/>
        <v>0</v>
      </c>
      <c r="AL22" s="1719">
        <f t="shared" si="6"/>
        <v>0</v>
      </c>
      <c r="AM22" s="1719">
        <f t="shared" si="7"/>
        <v>0</v>
      </c>
      <c r="AN22" s="1719">
        <f t="shared" si="8"/>
        <v>0</v>
      </c>
      <c r="AO22" s="1719">
        <f t="shared" si="9"/>
        <v>0</v>
      </c>
      <c r="AP22" s="1719">
        <f t="shared" si="10"/>
        <v>0</v>
      </c>
      <c r="AQ22" s="1719">
        <f t="shared" si="11"/>
        <v>0</v>
      </c>
      <c r="AR22" s="1720">
        <f t="shared" si="12"/>
        <v>0</v>
      </c>
      <c r="AS22" s="1719">
        <f t="shared" si="13"/>
        <v>0</v>
      </c>
      <c r="AT22" s="1719">
        <f t="shared" si="14"/>
        <v>0</v>
      </c>
      <c r="AU22" s="1719">
        <f t="shared" si="15"/>
        <v>0</v>
      </c>
      <c r="AV22" s="1719">
        <f t="shared" si="16"/>
        <v>0</v>
      </c>
      <c r="AW22" s="1719">
        <f t="shared" si="17"/>
        <v>0</v>
      </c>
      <c r="AX22" s="1719">
        <f t="shared" si="18"/>
        <v>0</v>
      </c>
      <c r="AY22" s="1719">
        <f t="shared" si="19"/>
        <v>0</v>
      </c>
      <c r="AZ22" s="1719">
        <f t="shared" si="20"/>
        <v>0</v>
      </c>
      <c r="BA22" s="1721">
        <f t="shared" si="21"/>
        <v>0</v>
      </c>
      <c r="BB22" s="1719">
        <f t="shared" si="22"/>
        <v>0</v>
      </c>
      <c r="BC22" s="1719">
        <f t="shared" si="23"/>
        <v>0</v>
      </c>
      <c r="BD22" s="1719">
        <f t="shared" si="24"/>
        <v>0</v>
      </c>
      <c r="BE22" s="1719">
        <f t="shared" si="25"/>
        <v>0</v>
      </c>
      <c r="BF22" s="1719">
        <f t="shared" si="26"/>
        <v>0</v>
      </c>
      <c r="BG22" s="1719">
        <f t="shared" si="27"/>
        <v>0</v>
      </c>
      <c r="BH22" s="1719">
        <f t="shared" si="28"/>
        <v>0</v>
      </c>
      <c r="BJ22" s="1722">
        <f t="shared" si="29"/>
        <v>0</v>
      </c>
      <c r="BK22" s="1723">
        <f>(AR22*Pricing!F$3+AS22*Pricing!G$3+AT22*Pricing!H$3+AU22*Pricing!I$3+AV22*Pricing!J$3+AW22*Pricing!K$3+AH22*Pricing!F$3+AI22*Pricing!G$3+AJ22*Pricing!H$3+AK22*Pricing!I$3+AL22*Pricing!J$3+AM22*Pricing!K$3)*IF(T$39="N",(1+V$39),1)</f>
        <v>0</v>
      </c>
      <c r="BL22" s="1723">
        <f t="shared" si="30"/>
        <v>0</v>
      </c>
      <c r="BM22" s="1723">
        <f t="shared" si="31"/>
        <v>0</v>
      </c>
      <c r="BN22" s="1723">
        <f t="shared" si="32"/>
        <v>0</v>
      </c>
      <c r="BO22" s="1723">
        <f t="shared" si="33"/>
        <v>0</v>
      </c>
      <c r="BP22" s="1723">
        <f t="shared" si="34"/>
        <v>0</v>
      </c>
      <c r="BQ22" s="1723">
        <f t="shared" si="35"/>
        <v>0</v>
      </c>
      <c r="BR22" s="1724"/>
      <c r="BS22" s="1725">
        <f>IF(SUM(BF$36:BG$36)=0,0,(BQ$36-W$58-N$64-W55-(L$79*0.15))/SUM(BF$36:BG$36)*BG22+BN22)</f>
        <v>0</v>
      </c>
      <c r="BT22" s="1723">
        <f>(AH22*Pricing!F$3+AI22*Pricing!G$3+AJ22*Pricing!H$3+AK22*Pricing!I$3+AL22*Pricing!J$3+AM22*Pricing!K$3)*IF(T$39="N",(1+V$39),1)</f>
        <v>0</v>
      </c>
      <c r="BU22" s="1723">
        <f t="shared" si="36"/>
        <v>0</v>
      </c>
      <c r="BV22" s="1723">
        <f t="shared" si="37"/>
        <v>0</v>
      </c>
      <c r="BW22" s="1724">
        <f t="shared" si="38"/>
        <v>0</v>
      </c>
      <c r="DB22" s="1726">
        <f t="shared" si="39"/>
        <v>0</v>
      </c>
      <c r="DC22" s="1723" t="e">
        <f t="shared" si="40"/>
        <v>#DIV/0!</v>
      </c>
      <c r="DD22" s="172">
        <f t="shared" si="41"/>
        <v>0</v>
      </c>
      <c r="DE22" s="847">
        <f t="shared" si="42"/>
        <v>0</v>
      </c>
      <c r="DF22" s="334">
        <f t="shared" si="43"/>
        <v>0</v>
      </c>
      <c r="DG22" s="847">
        <f t="shared" si="44"/>
        <v>0</v>
      </c>
      <c r="DH22" s="847">
        <f t="shared" si="45"/>
        <v>0</v>
      </c>
      <c r="DI22" s="847">
        <f t="shared" si="46"/>
        <v>0</v>
      </c>
      <c r="DJ22" s="1727">
        <f t="shared" si="47"/>
        <v>0</v>
      </c>
    </row>
    <row r="23" spans="1:114" s="1254" customFormat="1" ht="15.45">
      <c r="A23" s="482"/>
      <c r="B23" s="1177"/>
      <c r="C23" s="1710"/>
      <c r="D23" s="1711"/>
      <c r="E23" s="1712"/>
      <c r="F23" s="1108"/>
      <c r="G23" s="1109"/>
      <c r="H23" s="1110"/>
      <c r="I23" s="1108"/>
      <c r="J23" s="1109"/>
      <c r="K23" s="1110"/>
      <c r="L23" s="1108"/>
      <c r="M23" s="1108"/>
      <c r="N23" s="1713"/>
      <c r="O23" s="1108"/>
      <c r="P23" s="1108"/>
      <c r="Q23" s="1111"/>
      <c r="R23" s="1714"/>
      <c r="S23" s="1715"/>
      <c r="T23" s="77"/>
      <c r="U23" s="839"/>
      <c r="V23" s="1716">
        <f t="shared" si="0"/>
        <v>0</v>
      </c>
      <c r="W23" s="1717">
        <f t="shared" si="1"/>
        <v>0</v>
      </c>
      <c r="AH23" s="1720">
        <f t="shared" si="2"/>
        <v>0</v>
      </c>
      <c r="AI23" s="1719">
        <f t="shared" si="3"/>
        <v>0</v>
      </c>
      <c r="AJ23" s="1719">
        <f t="shared" si="4"/>
        <v>0</v>
      </c>
      <c r="AK23" s="1719">
        <f t="shared" si="5"/>
        <v>0</v>
      </c>
      <c r="AL23" s="1719">
        <f t="shared" si="6"/>
        <v>0</v>
      </c>
      <c r="AM23" s="1719">
        <f t="shared" si="7"/>
        <v>0</v>
      </c>
      <c r="AN23" s="1719">
        <f t="shared" si="8"/>
        <v>0</v>
      </c>
      <c r="AO23" s="1719">
        <f t="shared" si="9"/>
        <v>0</v>
      </c>
      <c r="AP23" s="1719">
        <f t="shared" si="10"/>
        <v>0</v>
      </c>
      <c r="AQ23" s="1719">
        <f t="shared" si="11"/>
        <v>0</v>
      </c>
      <c r="AR23" s="1720">
        <f t="shared" si="12"/>
        <v>0</v>
      </c>
      <c r="AS23" s="1719">
        <f t="shared" si="13"/>
        <v>0</v>
      </c>
      <c r="AT23" s="1719">
        <f t="shared" si="14"/>
        <v>0</v>
      </c>
      <c r="AU23" s="1719">
        <f t="shared" si="15"/>
        <v>0</v>
      </c>
      <c r="AV23" s="1719">
        <f t="shared" si="16"/>
        <v>0</v>
      </c>
      <c r="AW23" s="1719">
        <f t="shared" si="17"/>
        <v>0</v>
      </c>
      <c r="AX23" s="1719">
        <f t="shared" si="18"/>
        <v>0</v>
      </c>
      <c r="AY23" s="1719">
        <f t="shared" si="19"/>
        <v>0</v>
      </c>
      <c r="AZ23" s="1719">
        <f t="shared" si="20"/>
        <v>0</v>
      </c>
      <c r="BA23" s="1721">
        <f t="shared" si="21"/>
        <v>0</v>
      </c>
      <c r="BB23" s="1719">
        <f t="shared" si="22"/>
        <v>0</v>
      </c>
      <c r="BC23" s="1719">
        <f t="shared" si="23"/>
        <v>0</v>
      </c>
      <c r="BD23" s="1719">
        <f t="shared" si="24"/>
        <v>0</v>
      </c>
      <c r="BE23" s="1719">
        <f t="shared" si="25"/>
        <v>0</v>
      </c>
      <c r="BF23" s="1719">
        <f t="shared" si="26"/>
        <v>0</v>
      </c>
      <c r="BG23" s="1719">
        <f t="shared" si="27"/>
        <v>0</v>
      </c>
      <c r="BH23" s="1719">
        <f t="shared" si="28"/>
        <v>0</v>
      </c>
      <c r="BJ23" s="1722">
        <f t="shared" si="29"/>
        <v>0</v>
      </c>
      <c r="BK23" s="1723">
        <f>(AR23*Pricing!F$3+AS23*Pricing!G$3+AT23*Pricing!H$3+AU23*Pricing!I$3+AV23*Pricing!J$3+AW23*Pricing!K$3+AH23*Pricing!F$3+AI23*Pricing!G$3+AJ23*Pricing!H$3+AK23*Pricing!I$3+AL23*Pricing!J$3+AM23*Pricing!K$3)*IF(T$39="N",(1+V$39),1)</f>
        <v>0</v>
      </c>
      <c r="BL23" s="1723">
        <f t="shared" si="30"/>
        <v>0</v>
      </c>
      <c r="BM23" s="1723">
        <f t="shared" si="31"/>
        <v>0</v>
      </c>
      <c r="BN23" s="1723">
        <f t="shared" si="32"/>
        <v>0</v>
      </c>
      <c r="BO23" s="1723">
        <f t="shared" si="33"/>
        <v>0</v>
      </c>
      <c r="BP23" s="1723">
        <f t="shared" si="34"/>
        <v>0</v>
      </c>
      <c r="BQ23" s="1723">
        <f t="shared" si="35"/>
        <v>0</v>
      </c>
      <c r="BR23" s="1724"/>
      <c r="BS23" s="1725">
        <f>IF(SUM(BF$36:BG$36)=0,0,(BQ$36-W$58-N$64-W74-(L$79*0.15))/SUM(BF$36:BG$36)*BG23+BN23)</f>
        <v>0</v>
      </c>
      <c r="BT23" s="1723">
        <f>(AH23*Pricing!F$3+AI23*Pricing!G$3+AJ23*Pricing!H$3+AK23*Pricing!I$3+AL23*Pricing!J$3+AM23*Pricing!K$3)*IF(T$39="N",(1+V$39),1)</f>
        <v>0</v>
      </c>
      <c r="BU23" s="1723">
        <f t="shared" si="36"/>
        <v>0</v>
      </c>
      <c r="BV23" s="1723">
        <f t="shared" si="37"/>
        <v>0</v>
      </c>
      <c r="BW23" s="1724">
        <f t="shared" si="38"/>
        <v>0</v>
      </c>
      <c r="DB23" s="1726">
        <f t="shared" si="39"/>
        <v>0</v>
      </c>
      <c r="DC23" s="1723" t="e">
        <f t="shared" si="40"/>
        <v>#DIV/0!</v>
      </c>
      <c r="DD23" s="172">
        <f t="shared" si="41"/>
        <v>0</v>
      </c>
      <c r="DE23" s="847">
        <f t="shared" si="42"/>
        <v>0</v>
      </c>
      <c r="DF23" s="334">
        <f t="shared" si="43"/>
        <v>0</v>
      </c>
      <c r="DG23" s="847">
        <f t="shared" si="44"/>
        <v>0</v>
      </c>
      <c r="DH23" s="847">
        <f t="shared" si="45"/>
        <v>0</v>
      </c>
      <c r="DI23" s="847">
        <f t="shared" si="46"/>
        <v>0</v>
      </c>
      <c r="DJ23" s="1727">
        <f t="shared" si="47"/>
        <v>0</v>
      </c>
    </row>
    <row r="24" spans="1:114" s="1254" customFormat="1" ht="15.45">
      <c r="A24" s="482"/>
      <c r="B24" s="1177"/>
      <c r="C24" s="1710"/>
      <c r="D24" s="1711"/>
      <c r="E24" s="1712"/>
      <c r="F24" s="1108"/>
      <c r="G24" s="1109"/>
      <c r="H24" s="1110"/>
      <c r="I24" s="1108"/>
      <c r="J24" s="1109"/>
      <c r="K24" s="1110"/>
      <c r="L24" s="1108"/>
      <c r="M24" s="1108"/>
      <c r="N24" s="1713"/>
      <c r="O24" s="1108"/>
      <c r="P24" s="1108"/>
      <c r="Q24" s="1111"/>
      <c r="R24" s="1714"/>
      <c r="S24" s="1715"/>
      <c r="T24" s="77"/>
      <c r="U24" s="839"/>
      <c r="V24" s="1716">
        <f t="shared" si="0"/>
        <v>0</v>
      </c>
      <c r="W24" s="1717">
        <f t="shared" si="1"/>
        <v>0</v>
      </c>
      <c r="AH24" s="1720">
        <f t="shared" si="2"/>
        <v>0</v>
      </c>
      <c r="AI24" s="1719">
        <f t="shared" si="3"/>
        <v>0</v>
      </c>
      <c r="AJ24" s="1719">
        <f t="shared" si="4"/>
        <v>0</v>
      </c>
      <c r="AK24" s="1719">
        <f t="shared" si="5"/>
        <v>0</v>
      </c>
      <c r="AL24" s="1719">
        <f t="shared" si="6"/>
        <v>0</v>
      </c>
      <c r="AM24" s="1719">
        <f t="shared" si="7"/>
        <v>0</v>
      </c>
      <c r="AN24" s="1719">
        <f t="shared" si="8"/>
        <v>0</v>
      </c>
      <c r="AO24" s="1719">
        <f t="shared" si="9"/>
        <v>0</v>
      </c>
      <c r="AP24" s="1719">
        <f t="shared" si="10"/>
        <v>0</v>
      </c>
      <c r="AQ24" s="1719">
        <f t="shared" si="11"/>
        <v>0</v>
      </c>
      <c r="AR24" s="1720">
        <f t="shared" si="12"/>
        <v>0</v>
      </c>
      <c r="AS24" s="1719">
        <f t="shared" si="13"/>
        <v>0</v>
      </c>
      <c r="AT24" s="1719">
        <f t="shared" si="14"/>
        <v>0</v>
      </c>
      <c r="AU24" s="1719">
        <f t="shared" si="15"/>
        <v>0</v>
      </c>
      <c r="AV24" s="1719">
        <f t="shared" si="16"/>
        <v>0</v>
      </c>
      <c r="AW24" s="1719">
        <f t="shared" si="17"/>
        <v>0</v>
      </c>
      <c r="AX24" s="1719">
        <f t="shared" si="18"/>
        <v>0</v>
      </c>
      <c r="AY24" s="1719">
        <f t="shared" si="19"/>
        <v>0</v>
      </c>
      <c r="AZ24" s="1719">
        <f t="shared" si="20"/>
        <v>0</v>
      </c>
      <c r="BA24" s="1721">
        <f t="shared" si="21"/>
        <v>0</v>
      </c>
      <c r="BB24" s="1719">
        <f t="shared" si="22"/>
        <v>0</v>
      </c>
      <c r="BC24" s="1719">
        <f t="shared" si="23"/>
        <v>0</v>
      </c>
      <c r="BD24" s="1719">
        <f t="shared" si="24"/>
        <v>0</v>
      </c>
      <c r="BE24" s="1719">
        <f t="shared" si="25"/>
        <v>0</v>
      </c>
      <c r="BF24" s="1719">
        <f t="shared" si="26"/>
        <v>0</v>
      </c>
      <c r="BG24" s="1719">
        <f t="shared" si="27"/>
        <v>0</v>
      </c>
      <c r="BH24" s="1719">
        <f t="shared" si="28"/>
        <v>0</v>
      </c>
      <c r="BJ24" s="1722">
        <f t="shared" si="29"/>
        <v>0</v>
      </c>
      <c r="BK24" s="1723">
        <f>(AR24*Pricing!F$3+AS24*Pricing!G$3+AT24*Pricing!H$3+AU24*Pricing!I$3+AV24*Pricing!J$3+AW24*Pricing!K$3+AH24*Pricing!F$3+AI24*Pricing!G$3+AJ24*Pricing!H$3+AK24*Pricing!I$3+AL24*Pricing!J$3+AM24*Pricing!K$3)*IF(T$39="N",(1+V$39),1)</f>
        <v>0</v>
      </c>
      <c r="BL24" s="1723">
        <f t="shared" si="30"/>
        <v>0</v>
      </c>
      <c r="BM24" s="1723">
        <f t="shared" si="31"/>
        <v>0</v>
      </c>
      <c r="BN24" s="1723">
        <f t="shared" si="32"/>
        <v>0</v>
      </c>
      <c r="BO24" s="1723">
        <f t="shared" si="33"/>
        <v>0</v>
      </c>
      <c r="BP24" s="1723">
        <f t="shared" si="34"/>
        <v>0</v>
      </c>
      <c r="BQ24" s="1723">
        <f t="shared" si="35"/>
        <v>0</v>
      </c>
      <c r="BR24" s="1724"/>
      <c r="BS24" s="1725">
        <f>IF(SUM(BF$36:BG$36)=0,0,(BQ$36-W$58-N$64-W76-(L$79*0.15))/SUM(BF$36:BG$36)*BG24+BN24)</f>
        <v>0</v>
      </c>
      <c r="BT24" s="1723">
        <f>(AH24*Pricing!F$3+AI24*Pricing!G$3+AJ24*Pricing!H$3+AK24*Pricing!I$3+AL24*Pricing!J$3+AM24*Pricing!K$3)*IF(T$39="N",(1+V$39),1)</f>
        <v>0</v>
      </c>
      <c r="BU24" s="1723">
        <f t="shared" si="36"/>
        <v>0</v>
      </c>
      <c r="BV24" s="1723">
        <f t="shared" si="37"/>
        <v>0</v>
      </c>
      <c r="BW24" s="1724">
        <f t="shared" si="38"/>
        <v>0</v>
      </c>
      <c r="DB24" s="1726">
        <f t="shared" si="39"/>
        <v>0</v>
      </c>
      <c r="DC24" s="1723" t="e">
        <f t="shared" si="40"/>
        <v>#DIV/0!</v>
      </c>
      <c r="DD24" s="172">
        <f t="shared" si="41"/>
        <v>0</v>
      </c>
      <c r="DE24" s="847">
        <f t="shared" si="42"/>
        <v>0</v>
      </c>
      <c r="DF24" s="334">
        <f t="shared" si="43"/>
        <v>0</v>
      </c>
      <c r="DG24" s="847">
        <f t="shared" si="44"/>
        <v>0</v>
      </c>
      <c r="DH24" s="847">
        <f t="shared" si="45"/>
        <v>0</v>
      </c>
      <c r="DI24" s="847">
        <f t="shared" si="46"/>
        <v>0</v>
      </c>
      <c r="DJ24" s="1727">
        <f t="shared" si="47"/>
        <v>0</v>
      </c>
    </row>
    <row r="25" spans="1:114" s="1254" customFormat="1" ht="15.45">
      <c r="A25" s="482"/>
      <c r="B25" s="1177"/>
      <c r="C25" s="1710"/>
      <c r="D25" s="1711"/>
      <c r="E25" s="1712"/>
      <c r="F25" s="1108"/>
      <c r="G25" s="1109"/>
      <c r="H25" s="1110"/>
      <c r="I25" s="1108"/>
      <c r="J25" s="1109"/>
      <c r="K25" s="1110"/>
      <c r="L25" s="1108"/>
      <c r="M25" s="1108"/>
      <c r="N25" s="1713"/>
      <c r="O25" s="1108"/>
      <c r="P25" s="1108"/>
      <c r="Q25" s="1111"/>
      <c r="R25" s="1714"/>
      <c r="S25" s="1715"/>
      <c r="T25" s="77"/>
      <c r="U25" s="839"/>
      <c r="V25" s="1716">
        <f t="shared" si="0"/>
        <v>0</v>
      </c>
      <c r="W25" s="1717">
        <f t="shared" si="1"/>
        <v>0</v>
      </c>
      <c r="AH25" s="1720">
        <f t="shared" si="2"/>
        <v>0</v>
      </c>
      <c r="AI25" s="1719">
        <f t="shared" si="3"/>
        <v>0</v>
      </c>
      <c r="AJ25" s="1719">
        <f t="shared" si="4"/>
        <v>0</v>
      </c>
      <c r="AK25" s="1719">
        <f t="shared" si="5"/>
        <v>0</v>
      </c>
      <c r="AL25" s="1719">
        <f t="shared" si="6"/>
        <v>0</v>
      </c>
      <c r="AM25" s="1719">
        <f t="shared" si="7"/>
        <v>0</v>
      </c>
      <c r="AN25" s="1719">
        <f t="shared" si="8"/>
        <v>0</v>
      </c>
      <c r="AO25" s="1719">
        <f t="shared" si="9"/>
        <v>0</v>
      </c>
      <c r="AP25" s="1719">
        <f t="shared" si="10"/>
        <v>0</v>
      </c>
      <c r="AQ25" s="1719">
        <f t="shared" si="11"/>
        <v>0</v>
      </c>
      <c r="AR25" s="1720">
        <f t="shared" si="12"/>
        <v>0</v>
      </c>
      <c r="AS25" s="1719">
        <f t="shared" si="13"/>
        <v>0</v>
      </c>
      <c r="AT25" s="1719">
        <f t="shared" si="14"/>
        <v>0</v>
      </c>
      <c r="AU25" s="1719">
        <f t="shared" si="15"/>
        <v>0</v>
      </c>
      <c r="AV25" s="1719">
        <f t="shared" si="16"/>
        <v>0</v>
      </c>
      <c r="AW25" s="1719">
        <f t="shared" si="17"/>
        <v>0</v>
      </c>
      <c r="AX25" s="1719">
        <f t="shared" si="18"/>
        <v>0</v>
      </c>
      <c r="AY25" s="1719">
        <f t="shared" si="19"/>
        <v>0</v>
      </c>
      <c r="AZ25" s="1719">
        <f t="shared" si="20"/>
        <v>0</v>
      </c>
      <c r="BA25" s="1721">
        <f t="shared" si="21"/>
        <v>0</v>
      </c>
      <c r="BB25" s="1719">
        <f t="shared" si="22"/>
        <v>0</v>
      </c>
      <c r="BC25" s="1719">
        <f t="shared" si="23"/>
        <v>0</v>
      </c>
      <c r="BD25" s="1719">
        <f t="shared" si="24"/>
        <v>0</v>
      </c>
      <c r="BE25" s="1719">
        <f t="shared" si="25"/>
        <v>0</v>
      </c>
      <c r="BF25" s="1719">
        <f t="shared" si="26"/>
        <v>0</v>
      </c>
      <c r="BG25" s="1719">
        <f t="shared" si="27"/>
        <v>0</v>
      </c>
      <c r="BH25" s="1719">
        <f t="shared" si="28"/>
        <v>0</v>
      </c>
      <c r="BJ25" s="1722">
        <f t="shared" si="29"/>
        <v>0</v>
      </c>
      <c r="BK25" s="1723">
        <f>(AR25*Pricing!F$3+AS25*Pricing!G$3+AT25*Pricing!H$3+AU25*Pricing!I$3+AV25*Pricing!J$3+AW25*Pricing!K$3+AH25*Pricing!F$3+AI25*Pricing!G$3+AJ25*Pricing!H$3+AK25*Pricing!I$3+AL25*Pricing!J$3+AM25*Pricing!K$3)*IF(T$39="N",(1+V$39),1)</f>
        <v>0</v>
      </c>
      <c r="BL25" s="1723">
        <f t="shared" si="30"/>
        <v>0</v>
      </c>
      <c r="BM25" s="1723">
        <f t="shared" si="31"/>
        <v>0</v>
      </c>
      <c r="BN25" s="1723">
        <f t="shared" si="32"/>
        <v>0</v>
      </c>
      <c r="BO25" s="1723">
        <f t="shared" si="33"/>
        <v>0</v>
      </c>
      <c r="BP25" s="1723">
        <f t="shared" si="34"/>
        <v>0</v>
      </c>
      <c r="BQ25" s="1723">
        <f t="shared" si="35"/>
        <v>0</v>
      </c>
      <c r="BR25" s="1724"/>
      <c r="BS25" s="1725">
        <f>IF(SUM(BF$36:BG$36)=0,0,(BQ$36-W$58-N$64-W63-(L$79*0.15))/SUM(BF$36:BG$36)*BG25+BN25)</f>
        <v>0</v>
      </c>
      <c r="BT25" s="1723">
        <f>(AH25*Pricing!F$3+AI25*Pricing!G$3+AJ25*Pricing!H$3+AK25*Pricing!I$3+AL25*Pricing!J$3+AM25*Pricing!K$3)*IF(T$39="N",(1+V$39),1)</f>
        <v>0</v>
      </c>
      <c r="BU25" s="1723">
        <f t="shared" si="36"/>
        <v>0</v>
      </c>
      <c r="BV25" s="1723">
        <f t="shared" si="37"/>
        <v>0</v>
      </c>
      <c r="BW25" s="1724">
        <f t="shared" si="38"/>
        <v>0</v>
      </c>
      <c r="DB25" s="1726">
        <f t="shared" si="39"/>
        <v>0</v>
      </c>
      <c r="DC25" s="1723" t="e">
        <f t="shared" si="40"/>
        <v>#DIV/0!</v>
      </c>
      <c r="DD25" s="172">
        <f t="shared" si="41"/>
        <v>0</v>
      </c>
      <c r="DE25" s="847">
        <f t="shared" si="42"/>
        <v>0</v>
      </c>
      <c r="DF25" s="334">
        <f t="shared" si="43"/>
        <v>0</v>
      </c>
      <c r="DG25" s="847">
        <f t="shared" si="44"/>
        <v>0</v>
      </c>
      <c r="DH25" s="847">
        <f t="shared" si="45"/>
        <v>0</v>
      </c>
      <c r="DI25" s="847">
        <f t="shared" si="46"/>
        <v>0</v>
      </c>
      <c r="DJ25" s="1727">
        <f t="shared" si="47"/>
        <v>0</v>
      </c>
    </row>
    <row r="26" spans="1:114" s="1254" customFormat="1" ht="15.45">
      <c r="A26" s="482"/>
      <c r="B26" s="1177"/>
      <c r="C26" s="1710"/>
      <c r="D26" s="1711"/>
      <c r="E26" s="1712"/>
      <c r="F26" s="1108"/>
      <c r="G26" s="1109"/>
      <c r="H26" s="1110"/>
      <c r="I26" s="1108"/>
      <c r="J26" s="1109"/>
      <c r="K26" s="1110"/>
      <c r="L26" s="1108"/>
      <c r="M26" s="1108"/>
      <c r="N26" s="1713"/>
      <c r="O26" s="1108"/>
      <c r="P26" s="1108"/>
      <c r="Q26" s="1111"/>
      <c r="R26" s="1714"/>
      <c r="S26" s="1715"/>
      <c r="T26" s="77"/>
      <c r="U26" s="839"/>
      <c r="V26" s="1716">
        <f t="shared" si="0"/>
        <v>0</v>
      </c>
      <c r="W26" s="1717">
        <f t="shared" si="1"/>
        <v>0</v>
      </c>
      <c r="AH26" s="1720">
        <f t="shared" si="2"/>
        <v>0</v>
      </c>
      <c r="AI26" s="1719">
        <f t="shared" si="3"/>
        <v>0</v>
      </c>
      <c r="AJ26" s="1719">
        <f t="shared" si="4"/>
        <v>0</v>
      </c>
      <c r="AK26" s="1719">
        <f t="shared" si="5"/>
        <v>0</v>
      </c>
      <c r="AL26" s="1719">
        <f t="shared" si="6"/>
        <v>0</v>
      </c>
      <c r="AM26" s="1719">
        <f t="shared" si="7"/>
        <v>0</v>
      </c>
      <c r="AN26" s="1719">
        <f t="shared" si="8"/>
        <v>0</v>
      </c>
      <c r="AO26" s="1719">
        <f t="shared" si="9"/>
        <v>0</v>
      </c>
      <c r="AP26" s="1719">
        <f t="shared" si="10"/>
        <v>0</v>
      </c>
      <c r="AQ26" s="1719">
        <f t="shared" si="11"/>
        <v>0</v>
      </c>
      <c r="AR26" s="1720">
        <f t="shared" si="12"/>
        <v>0</v>
      </c>
      <c r="AS26" s="1719">
        <f t="shared" si="13"/>
        <v>0</v>
      </c>
      <c r="AT26" s="1719">
        <f t="shared" si="14"/>
        <v>0</v>
      </c>
      <c r="AU26" s="1719">
        <f t="shared" si="15"/>
        <v>0</v>
      </c>
      <c r="AV26" s="1719">
        <f t="shared" si="16"/>
        <v>0</v>
      </c>
      <c r="AW26" s="1719">
        <f t="shared" si="17"/>
        <v>0</v>
      </c>
      <c r="AX26" s="1719">
        <f t="shared" si="18"/>
        <v>0</v>
      </c>
      <c r="AY26" s="1719">
        <f t="shared" si="19"/>
        <v>0</v>
      </c>
      <c r="AZ26" s="1719">
        <f t="shared" si="20"/>
        <v>0</v>
      </c>
      <c r="BA26" s="1721">
        <f t="shared" si="21"/>
        <v>0</v>
      </c>
      <c r="BB26" s="1719">
        <f t="shared" si="22"/>
        <v>0</v>
      </c>
      <c r="BC26" s="1719">
        <f t="shared" si="23"/>
        <v>0</v>
      </c>
      <c r="BD26" s="1719">
        <f t="shared" si="24"/>
        <v>0</v>
      </c>
      <c r="BE26" s="1719">
        <f t="shared" si="25"/>
        <v>0</v>
      </c>
      <c r="BF26" s="1719">
        <f t="shared" si="26"/>
        <v>0</v>
      </c>
      <c r="BG26" s="1719">
        <f t="shared" si="27"/>
        <v>0</v>
      </c>
      <c r="BH26" s="1719">
        <f t="shared" si="28"/>
        <v>0</v>
      </c>
      <c r="BJ26" s="1722">
        <f t="shared" si="29"/>
        <v>0</v>
      </c>
      <c r="BK26" s="1723">
        <f>(AR26*Pricing!F$3+AS26*Pricing!G$3+AT26*Pricing!H$3+AU26*Pricing!I$3+AV26*Pricing!J$3+AW26*Pricing!K$3+AH26*Pricing!F$3+AI26*Pricing!G$3+AJ26*Pricing!H$3+AK26*Pricing!I$3+AL26*Pricing!J$3+AM26*Pricing!K$3)*IF(T$39="N",(1+V$39),1)</f>
        <v>0</v>
      </c>
      <c r="BL26" s="1723">
        <f t="shared" si="30"/>
        <v>0</v>
      </c>
      <c r="BM26" s="1723">
        <f t="shared" si="31"/>
        <v>0</v>
      </c>
      <c r="BN26" s="1723">
        <f t="shared" si="32"/>
        <v>0</v>
      </c>
      <c r="BO26" s="1723">
        <f t="shared" si="33"/>
        <v>0</v>
      </c>
      <c r="BP26" s="1723">
        <f t="shared" si="34"/>
        <v>0</v>
      </c>
      <c r="BQ26" s="1723">
        <f t="shared" si="35"/>
        <v>0</v>
      </c>
      <c r="BR26" s="1724"/>
      <c r="BS26" s="1725">
        <f>IF(SUM(BF$36:BG$36)=0,0,(BQ$36-W$58-N$64-W57-(L$79*0.15))/SUM(BF$36:BG$36)*BG26+BN26)</f>
        <v>0</v>
      </c>
      <c r="BT26" s="1723">
        <f>(AH26*Pricing!F$3+AI26*Pricing!G$3+AJ26*Pricing!H$3+AK26*Pricing!I$3+AL26*Pricing!J$3+AM26*Pricing!K$3)*IF(T$39="N",(1+V$39),1)</f>
        <v>0</v>
      </c>
      <c r="BU26" s="1723">
        <f t="shared" si="36"/>
        <v>0</v>
      </c>
      <c r="BV26" s="1723">
        <f t="shared" si="37"/>
        <v>0</v>
      </c>
      <c r="BW26" s="1724">
        <f t="shared" si="38"/>
        <v>0</v>
      </c>
      <c r="DB26" s="1726">
        <f t="shared" si="39"/>
        <v>0</v>
      </c>
      <c r="DC26" s="1723" t="e">
        <f t="shared" si="40"/>
        <v>#DIV/0!</v>
      </c>
      <c r="DD26" s="172">
        <f t="shared" si="41"/>
        <v>0</v>
      </c>
      <c r="DE26" s="847">
        <f t="shared" si="42"/>
        <v>0</v>
      </c>
      <c r="DF26" s="334">
        <f t="shared" si="43"/>
        <v>0</v>
      </c>
      <c r="DG26" s="847">
        <f t="shared" si="44"/>
        <v>0</v>
      </c>
      <c r="DH26" s="847">
        <f t="shared" si="45"/>
        <v>0</v>
      </c>
      <c r="DI26" s="847">
        <f t="shared" si="46"/>
        <v>0</v>
      </c>
      <c r="DJ26" s="1727">
        <f t="shared" si="47"/>
        <v>0</v>
      </c>
    </row>
    <row r="27" spans="1:114" s="1254" customFormat="1" ht="15.45">
      <c r="A27" s="482"/>
      <c r="B27" s="1177"/>
      <c r="C27" s="1710"/>
      <c r="D27" s="1711"/>
      <c r="E27" s="1712"/>
      <c r="F27" s="1108"/>
      <c r="G27" s="1109"/>
      <c r="H27" s="1110"/>
      <c r="I27" s="1108"/>
      <c r="J27" s="1109"/>
      <c r="K27" s="1110"/>
      <c r="L27" s="1108"/>
      <c r="M27" s="1108"/>
      <c r="N27" s="1713"/>
      <c r="O27" s="1108"/>
      <c r="P27" s="1108"/>
      <c r="Q27" s="1111"/>
      <c r="R27" s="1714"/>
      <c r="S27" s="1715"/>
      <c r="T27" s="77"/>
      <c r="U27" s="839"/>
      <c r="V27" s="1716">
        <f t="shared" si="0"/>
        <v>0</v>
      </c>
      <c r="W27" s="1717">
        <f t="shared" si="1"/>
        <v>0</v>
      </c>
      <c r="AH27" s="1720">
        <f t="shared" si="2"/>
        <v>0</v>
      </c>
      <c r="AI27" s="1719">
        <f t="shared" si="3"/>
        <v>0</v>
      </c>
      <c r="AJ27" s="1719">
        <f t="shared" si="4"/>
        <v>0</v>
      </c>
      <c r="AK27" s="1719">
        <f t="shared" si="5"/>
        <v>0</v>
      </c>
      <c r="AL27" s="1719">
        <f t="shared" si="6"/>
        <v>0</v>
      </c>
      <c r="AM27" s="1719">
        <f t="shared" si="7"/>
        <v>0</v>
      </c>
      <c r="AN27" s="1719">
        <f t="shared" si="8"/>
        <v>0</v>
      </c>
      <c r="AO27" s="1719">
        <f t="shared" si="9"/>
        <v>0</v>
      </c>
      <c r="AP27" s="1719">
        <f t="shared" si="10"/>
        <v>0</v>
      </c>
      <c r="AQ27" s="1719">
        <f t="shared" si="11"/>
        <v>0</v>
      </c>
      <c r="AR27" s="1720">
        <f t="shared" si="12"/>
        <v>0</v>
      </c>
      <c r="AS27" s="1719">
        <f t="shared" si="13"/>
        <v>0</v>
      </c>
      <c r="AT27" s="1719">
        <f t="shared" si="14"/>
        <v>0</v>
      </c>
      <c r="AU27" s="1719">
        <f t="shared" si="15"/>
        <v>0</v>
      </c>
      <c r="AV27" s="1719">
        <f t="shared" si="16"/>
        <v>0</v>
      </c>
      <c r="AW27" s="1719">
        <f t="shared" si="17"/>
        <v>0</v>
      </c>
      <c r="AX27" s="1719">
        <f t="shared" si="18"/>
        <v>0</v>
      </c>
      <c r="AY27" s="1719">
        <f t="shared" si="19"/>
        <v>0</v>
      </c>
      <c r="AZ27" s="1719">
        <f t="shared" si="20"/>
        <v>0</v>
      </c>
      <c r="BA27" s="1721">
        <f t="shared" si="21"/>
        <v>0</v>
      </c>
      <c r="BB27" s="1719">
        <f t="shared" si="22"/>
        <v>0</v>
      </c>
      <c r="BC27" s="1719">
        <f t="shared" si="23"/>
        <v>0</v>
      </c>
      <c r="BD27" s="1719">
        <f t="shared" si="24"/>
        <v>0</v>
      </c>
      <c r="BE27" s="1719">
        <f t="shared" si="25"/>
        <v>0</v>
      </c>
      <c r="BF27" s="1719">
        <f t="shared" si="26"/>
        <v>0</v>
      </c>
      <c r="BG27" s="1719">
        <f t="shared" si="27"/>
        <v>0</v>
      </c>
      <c r="BH27" s="1719">
        <f t="shared" si="28"/>
        <v>0</v>
      </c>
      <c r="BJ27" s="1722">
        <f t="shared" si="29"/>
        <v>0</v>
      </c>
      <c r="BK27" s="1723">
        <f>(AR27*Pricing!F$3+AS27*Pricing!G$3+AT27*Pricing!H$3+AU27*Pricing!I$3+AV27*Pricing!J$3+AW27*Pricing!K$3+AH27*Pricing!F$3+AI27*Pricing!G$3+AJ27*Pricing!H$3+AK27*Pricing!I$3+AL27*Pricing!J$3+AM27*Pricing!K$3)*IF(T$39="N",(1+V$39),1)</f>
        <v>0</v>
      </c>
      <c r="BL27" s="1723">
        <f t="shared" si="30"/>
        <v>0</v>
      </c>
      <c r="BM27" s="1723">
        <f t="shared" si="31"/>
        <v>0</v>
      </c>
      <c r="BN27" s="1723">
        <f t="shared" si="32"/>
        <v>0</v>
      </c>
      <c r="BO27" s="1723">
        <f t="shared" si="33"/>
        <v>0</v>
      </c>
      <c r="BP27" s="1723">
        <f t="shared" si="34"/>
        <v>0</v>
      </c>
      <c r="BQ27" s="1723">
        <f t="shared" si="35"/>
        <v>0</v>
      </c>
      <c r="BR27" s="1724"/>
      <c r="BS27" s="1725">
        <f t="shared" ref="BS27:BS32" si="48">IF(SUM(BF$36:BG$36)=0,0,(BQ$36-W$58-N$64-W65-(L$79*0.15))/SUM(BF$36:BG$36)*BG27+BN27)</f>
        <v>0</v>
      </c>
      <c r="BT27" s="1723">
        <f>(AH27*Pricing!F$3+AI27*Pricing!G$3+AJ27*Pricing!H$3+AK27*Pricing!I$3+AL27*Pricing!J$3+AM27*Pricing!K$3)*IF(T$39="N",(1+V$39),1)</f>
        <v>0</v>
      </c>
      <c r="BU27" s="1723">
        <f t="shared" si="36"/>
        <v>0</v>
      </c>
      <c r="BV27" s="1723">
        <f t="shared" si="37"/>
        <v>0</v>
      </c>
      <c r="BW27" s="1724">
        <f t="shared" si="38"/>
        <v>0</v>
      </c>
      <c r="DB27" s="1726">
        <f t="shared" si="39"/>
        <v>0</v>
      </c>
      <c r="DC27" s="1723" t="e">
        <f t="shared" si="40"/>
        <v>#DIV/0!</v>
      </c>
      <c r="DD27" s="172">
        <f t="shared" si="41"/>
        <v>0</v>
      </c>
      <c r="DE27" s="847">
        <f t="shared" si="42"/>
        <v>0</v>
      </c>
      <c r="DF27" s="334">
        <f t="shared" si="43"/>
        <v>0</v>
      </c>
      <c r="DG27" s="847">
        <f t="shared" si="44"/>
        <v>0</v>
      </c>
      <c r="DH27" s="847">
        <f t="shared" si="45"/>
        <v>0</v>
      </c>
      <c r="DI27" s="847">
        <f t="shared" si="46"/>
        <v>0</v>
      </c>
      <c r="DJ27" s="1727">
        <f t="shared" si="47"/>
        <v>0</v>
      </c>
    </row>
    <row r="28" spans="1:114" s="1254" customFormat="1" ht="15.45">
      <c r="A28" s="482"/>
      <c r="B28" s="1177"/>
      <c r="C28" s="1710"/>
      <c r="D28" s="1711"/>
      <c r="E28" s="1712"/>
      <c r="F28" s="1108"/>
      <c r="G28" s="1109"/>
      <c r="H28" s="1110"/>
      <c r="I28" s="1108"/>
      <c r="J28" s="1109"/>
      <c r="K28" s="1110"/>
      <c r="L28" s="1108"/>
      <c r="M28" s="1108"/>
      <c r="N28" s="1713"/>
      <c r="O28" s="1108"/>
      <c r="P28" s="1108"/>
      <c r="Q28" s="1108"/>
      <c r="R28" s="1714"/>
      <c r="S28" s="1715"/>
      <c r="T28" s="77"/>
      <c r="U28" s="839"/>
      <c r="V28" s="1716">
        <f t="shared" si="0"/>
        <v>0</v>
      </c>
      <c r="W28" s="1717">
        <f t="shared" si="1"/>
        <v>0</v>
      </c>
      <c r="AH28" s="1720">
        <f t="shared" si="2"/>
        <v>0</v>
      </c>
      <c r="AI28" s="1719">
        <f t="shared" si="3"/>
        <v>0</v>
      </c>
      <c r="AJ28" s="1719">
        <f t="shared" si="4"/>
        <v>0</v>
      </c>
      <c r="AK28" s="1719">
        <f t="shared" si="5"/>
        <v>0</v>
      </c>
      <c r="AL28" s="1719">
        <f t="shared" si="6"/>
        <v>0</v>
      </c>
      <c r="AM28" s="1719">
        <f t="shared" si="7"/>
        <v>0</v>
      </c>
      <c r="AN28" s="1719">
        <f t="shared" si="8"/>
        <v>0</v>
      </c>
      <c r="AO28" s="1719">
        <f t="shared" si="9"/>
        <v>0</v>
      </c>
      <c r="AP28" s="1719">
        <f t="shared" si="10"/>
        <v>0</v>
      </c>
      <c r="AQ28" s="1719">
        <f t="shared" si="11"/>
        <v>0</v>
      </c>
      <c r="AR28" s="1720">
        <f t="shared" si="12"/>
        <v>0</v>
      </c>
      <c r="AS28" s="1719">
        <f t="shared" si="13"/>
        <v>0</v>
      </c>
      <c r="AT28" s="1719">
        <f t="shared" si="14"/>
        <v>0</v>
      </c>
      <c r="AU28" s="1719">
        <f t="shared" si="15"/>
        <v>0</v>
      </c>
      <c r="AV28" s="1719">
        <f t="shared" si="16"/>
        <v>0</v>
      </c>
      <c r="AW28" s="1719">
        <f t="shared" si="17"/>
        <v>0</v>
      </c>
      <c r="AX28" s="1719">
        <f t="shared" si="18"/>
        <v>0</v>
      </c>
      <c r="AY28" s="1719">
        <f t="shared" si="19"/>
        <v>0</v>
      </c>
      <c r="AZ28" s="1719">
        <f t="shared" si="20"/>
        <v>0</v>
      </c>
      <c r="BA28" s="1721">
        <f t="shared" si="21"/>
        <v>0</v>
      </c>
      <c r="BB28" s="1719">
        <f t="shared" si="22"/>
        <v>0</v>
      </c>
      <c r="BC28" s="1719">
        <f t="shared" si="23"/>
        <v>0</v>
      </c>
      <c r="BD28" s="1719">
        <f t="shared" si="24"/>
        <v>0</v>
      </c>
      <c r="BE28" s="1719">
        <f t="shared" si="25"/>
        <v>0</v>
      </c>
      <c r="BF28" s="1719">
        <f t="shared" si="26"/>
        <v>0</v>
      </c>
      <c r="BG28" s="1719">
        <f t="shared" si="27"/>
        <v>0</v>
      </c>
      <c r="BH28" s="1719">
        <f t="shared" si="28"/>
        <v>0</v>
      </c>
      <c r="BJ28" s="1722">
        <f t="shared" si="29"/>
        <v>0</v>
      </c>
      <c r="BK28" s="1723">
        <f>(AR28*Pricing!F$3+AS28*Pricing!G$3+AT28*Pricing!H$3+AU28*Pricing!I$3+AV28*Pricing!J$3+AW28*Pricing!K$3+AH28*Pricing!F$3+AI28*Pricing!G$3+AJ28*Pricing!H$3+AK28*Pricing!I$3+AL28*Pricing!J$3+AM28*Pricing!K$3)*IF(T$39="N",(1+V$39),1)</f>
        <v>0</v>
      </c>
      <c r="BL28" s="1723">
        <f t="shared" si="30"/>
        <v>0</v>
      </c>
      <c r="BM28" s="1723">
        <f t="shared" si="31"/>
        <v>0</v>
      </c>
      <c r="BN28" s="1723">
        <f t="shared" si="32"/>
        <v>0</v>
      </c>
      <c r="BO28" s="1723">
        <f t="shared" si="33"/>
        <v>0</v>
      </c>
      <c r="BP28" s="1723">
        <f t="shared" si="34"/>
        <v>0</v>
      </c>
      <c r="BQ28" s="1723">
        <f t="shared" si="35"/>
        <v>0</v>
      </c>
      <c r="BR28" s="1724"/>
      <c r="BS28" s="1725">
        <f t="shared" si="48"/>
        <v>0</v>
      </c>
      <c r="BT28" s="1723">
        <f>(AH28*Pricing!F$3+AI28*Pricing!G$3+AJ28*Pricing!H$3+AK28*Pricing!I$3+AL28*Pricing!J$3+AM28*Pricing!K$3)*IF(T$39="N",(1+V$39),1)</f>
        <v>0</v>
      </c>
      <c r="BU28" s="1723">
        <f t="shared" si="36"/>
        <v>0</v>
      </c>
      <c r="BV28" s="1723">
        <f t="shared" si="37"/>
        <v>0</v>
      </c>
      <c r="BW28" s="1724">
        <f t="shared" si="38"/>
        <v>0</v>
      </c>
      <c r="DB28" s="1726">
        <f t="shared" si="39"/>
        <v>0</v>
      </c>
      <c r="DC28" s="1723" t="e">
        <f t="shared" si="40"/>
        <v>#DIV/0!</v>
      </c>
      <c r="DD28" s="172">
        <f t="shared" si="41"/>
        <v>0</v>
      </c>
      <c r="DE28" s="847">
        <f t="shared" si="42"/>
        <v>0</v>
      </c>
      <c r="DF28" s="334">
        <f t="shared" si="43"/>
        <v>0</v>
      </c>
      <c r="DG28" s="847">
        <f t="shared" si="44"/>
        <v>0</v>
      </c>
      <c r="DH28" s="847">
        <f t="shared" si="45"/>
        <v>0</v>
      </c>
      <c r="DI28" s="847">
        <f t="shared" si="46"/>
        <v>0</v>
      </c>
      <c r="DJ28" s="1727">
        <f t="shared" si="47"/>
        <v>0</v>
      </c>
    </row>
    <row r="29" spans="1:114" s="1254" customFormat="1" ht="15.45">
      <c r="A29" s="482"/>
      <c r="B29" s="1177"/>
      <c r="C29" s="1710"/>
      <c r="D29" s="1711"/>
      <c r="E29" s="1712"/>
      <c r="F29" s="1108"/>
      <c r="G29" s="1109"/>
      <c r="H29" s="1110"/>
      <c r="I29" s="1108"/>
      <c r="J29" s="1109"/>
      <c r="K29" s="1110"/>
      <c r="L29" s="1108"/>
      <c r="M29" s="1108"/>
      <c r="N29" s="1713"/>
      <c r="O29" s="1108"/>
      <c r="P29" s="1108"/>
      <c r="Q29" s="1108"/>
      <c r="R29" s="1714"/>
      <c r="S29" s="1715"/>
      <c r="T29" s="77"/>
      <c r="U29" s="839"/>
      <c r="V29" s="1716">
        <f t="shared" si="0"/>
        <v>0</v>
      </c>
      <c r="W29" s="1717">
        <f t="shared" si="1"/>
        <v>0</v>
      </c>
      <c r="AH29" s="1720">
        <f t="shared" si="2"/>
        <v>0</v>
      </c>
      <c r="AI29" s="1719">
        <f t="shared" si="3"/>
        <v>0</v>
      </c>
      <c r="AJ29" s="1719">
        <f t="shared" si="4"/>
        <v>0</v>
      </c>
      <c r="AK29" s="1719">
        <f t="shared" si="5"/>
        <v>0</v>
      </c>
      <c r="AL29" s="1719">
        <f t="shared" si="6"/>
        <v>0</v>
      </c>
      <c r="AM29" s="1719">
        <f t="shared" si="7"/>
        <v>0</v>
      </c>
      <c r="AN29" s="1719">
        <f t="shared" si="8"/>
        <v>0</v>
      </c>
      <c r="AO29" s="1719">
        <f t="shared" si="9"/>
        <v>0</v>
      </c>
      <c r="AP29" s="1719">
        <f t="shared" si="10"/>
        <v>0</v>
      </c>
      <c r="AQ29" s="1719">
        <f t="shared" si="11"/>
        <v>0</v>
      </c>
      <c r="AR29" s="1720">
        <f t="shared" si="12"/>
        <v>0</v>
      </c>
      <c r="AS29" s="1719">
        <f t="shared" si="13"/>
        <v>0</v>
      </c>
      <c r="AT29" s="1719">
        <f t="shared" si="14"/>
        <v>0</v>
      </c>
      <c r="AU29" s="1719">
        <f t="shared" si="15"/>
        <v>0</v>
      </c>
      <c r="AV29" s="1719">
        <f t="shared" si="16"/>
        <v>0</v>
      </c>
      <c r="AW29" s="1719">
        <f t="shared" si="17"/>
        <v>0</v>
      </c>
      <c r="AX29" s="1719">
        <f t="shared" si="18"/>
        <v>0</v>
      </c>
      <c r="AY29" s="1719">
        <f t="shared" si="19"/>
        <v>0</v>
      </c>
      <c r="AZ29" s="1719">
        <f t="shared" si="20"/>
        <v>0</v>
      </c>
      <c r="BA29" s="1721">
        <f t="shared" si="21"/>
        <v>0</v>
      </c>
      <c r="BB29" s="1719">
        <f t="shared" si="22"/>
        <v>0</v>
      </c>
      <c r="BC29" s="1719">
        <f t="shared" si="23"/>
        <v>0</v>
      </c>
      <c r="BD29" s="1719">
        <f t="shared" si="24"/>
        <v>0</v>
      </c>
      <c r="BE29" s="1719">
        <f t="shared" si="25"/>
        <v>0</v>
      </c>
      <c r="BF29" s="1719">
        <f t="shared" si="26"/>
        <v>0</v>
      </c>
      <c r="BG29" s="1719">
        <f t="shared" si="27"/>
        <v>0</v>
      </c>
      <c r="BH29" s="1719">
        <f t="shared" si="28"/>
        <v>0</v>
      </c>
      <c r="BJ29" s="1722">
        <f t="shared" si="29"/>
        <v>0</v>
      </c>
      <c r="BK29" s="1723">
        <f>(AR29*Pricing!F$3+AS29*Pricing!G$3+AT29*Pricing!H$3+AU29*Pricing!I$3+AV29*Pricing!J$3+AW29*Pricing!K$3+AH29*Pricing!F$3+AI29*Pricing!G$3+AJ29*Pricing!H$3+AK29*Pricing!I$3+AL29*Pricing!J$3+AM29*Pricing!K$3)*IF(T$39="N",(1+V$39),1)</f>
        <v>0</v>
      </c>
      <c r="BL29" s="1723">
        <f t="shared" si="30"/>
        <v>0</v>
      </c>
      <c r="BM29" s="1723">
        <f t="shared" si="31"/>
        <v>0</v>
      </c>
      <c r="BN29" s="1723">
        <f t="shared" si="32"/>
        <v>0</v>
      </c>
      <c r="BO29" s="1723">
        <f t="shared" si="33"/>
        <v>0</v>
      </c>
      <c r="BP29" s="1723">
        <f t="shared" si="34"/>
        <v>0</v>
      </c>
      <c r="BQ29" s="1723">
        <f t="shared" si="35"/>
        <v>0</v>
      </c>
      <c r="BR29" s="1724"/>
      <c r="BS29" s="1725">
        <f t="shared" si="48"/>
        <v>0</v>
      </c>
      <c r="BT29" s="1723">
        <f>(AH29*Pricing!F$3+AI29*Pricing!G$3+AJ29*Pricing!H$3+AK29*Pricing!I$3+AL29*Pricing!J$3+AM29*Pricing!K$3)*IF(T$39="N",(1+V$39),1)</f>
        <v>0</v>
      </c>
      <c r="BU29" s="1723">
        <f t="shared" si="36"/>
        <v>0</v>
      </c>
      <c r="BV29" s="1723">
        <f t="shared" si="37"/>
        <v>0</v>
      </c>
      <c r="BW29" s="1724">
        <f t="shared" si="38"/>
        <v>0</v>
      </c>
      <c r="DB29" s="1726">
        <f t="shared" si="39"/>
        <v>0</v>
      </c>
      <c r="DC29" s="1723" t="e">
        <f t="shared" si="40"/>
        <v>#DIV/0!</v>
      </c>
      <c r="DD29" s="172">
        <f t="shared" si="41"/>
        <v>0</v>
      </c>
      <c r="DE29" s="847">
        <f t="shared" si="42"/>
        <v>0</v>
      </c>
      <c r="DF29" s="334">
        <f t="shared" si="43"/>
        <v>0</v>
      </c>
      <c r="DG29" s="847">
        <f t="shared" si="44"/>
        <v>0</v>
      </c>
      <c r="DH29" s="847">
        <f t="shared" si="45"/>
        <v>0</v>
      </c>
      <c r="DI29" s="847">
        <f t="shared" si="46"/>
        <v>0</v>
      </c>
      <c r="DJ29" s="1727">
        <f t="shared" si="47"/>
        <v>0</v>
      </c>
    </row>
    <row r="30" spans="1:114" s="1254" customFormat="1" ht="15.45">
      <c r="A30" s="482"/>
      <c r="B30" s="1177"/>
      <c r="C30" s="1710"/>
      <c r="D30" s="1711"/>
      <c r="E30" s="1712"/>
      <c r="F30" s="1108"/>
      <c r="G30" s="1109"/>
      <c r="H30" s="1110"/>
      <c r="I30" s="1108"/>
      <c r="J30" s="1109"/>
      <c r="K30" s="1110"/>
      <c r="L30" s="1108"/>
      <c r="M30" s="1108"/>
      <c r="N30" s="1713"/>
      <c r="O30" s="1108"/>
      <c r="P30" s="1108"/>
      <c r="Q30" s="1108"/>
      <c r="R30" s="1714"/>
      <c r="S30" s="1715"/>
      <c r="T30" s="77"/>
      <c r="U30" s="839"/>
      <c r="V30" s="1716">
        <f t="shared" si="0"/>
        <v>0</v>
      </c>
      <c r="W30" s="1717">
        <f t="shared" si="1"/>
        <v>0</v>
      </c>
      <c r="AH30" s="1720">
        <f t="shared" si="2"/>
        <v>0</v>
      </c>
      <c r="AI30" s="1719">
        <f t="shared" si="3"/>
        <v>0</v>
      </c>
      <c r="AJ30" s="1719">
        <f t="shared" si="4"/>
        <v>0</v>
      </c>
      <c r="AK30" s="1719">
        <f t="shared" si="5"/>
        <v>0</v>
      </c>
      <c r="AL30" s="1719">
        <f t="shared" si="6"/>
        <v>0</v>
      </c>
      <c r="AM30" s="1719">
        <f t="shared" si="7"/>
        <v>0</v>
      </c>
      <c r="AN30" s="1719">
        <f t="shared" si="8"/>
        <v>0</v>
      </c>
      <c r="AO30" s="1719">
        <f t="shared" si="9"/>
        <v>0</v>
      </c>
      <c r="AP30" s="1719">
        <f t="shared" si="10"/>
        <v>0</v>
      </c>
      <c r="AQ30" s="1719">
        <f t="shared" si="11"/>
        <v>0</v>
      </c>
      <c r="AR30" s="1720">
        <f t="shared" si="12"/>
        <v>0</v>
      </c>
      <c r="AS30" s="1719">
        <f t="shared" si="13"/>
        <v>0</v>
      </c>
      <c r="AT30" s="1719">
        <f t="shared" si="14"/>
        <v>0</v>
      </c>
      <c r="AU30" s="1719">
        <f t="shared" si="15"/>
        <v>0</v>
      </c>
      <c r="AV30" s="1719">
        <f t="shared" si="16"/>
        <v>0</v>
      </c>
      <c r="AW30" s="1719">
        <f t="shared" si="17"/>
        <v>0</v>
      </c>
      <c r="AX30" s="1719">
        <f t="shared" si="18"/>
        <v>0</v>
      </c>
      <c r="AY30" s="1719">
        <f t="shared" si="19"/>
        <v>0</v>
      </c>
      <c r="AZ30" s="1719">
        <f t="shared" si="20"/>
        <v>0</v>
      </c>
      <c r="BA30" s="1721">
        <f t="shared" si="21"/>
        <v>0</v>
      </c>
      <c r="BB30" s="1719">
        <f t="shared" si="22"/>
        <v>0</v>
      </c>
      <c r="BC30" s="1719">
        <f t="shared" si="23"/>
        <v>0</v>
      </c>
      <c r="BD30" s="1719">
        <f t="shared" si="24"/>
        <v>0</v>
      </c>
      <c r="BE30" s="1719">
        <f t="shared" si="25"/>
        <v>0</v>
      </c>
      <c r="BF30" s="1719">
        <f t="shared" si="26"/>
        <v>0</v>
      </c>
      <c r="BG30" s="1719">
        <f t="shared" si="27"/>
        <v>0</v>
      </c>
      <c r="BH30" s="1719">
        <f t="shared" si="28"/>
        <v>0</v>
      </c>
      <c r="BJ30" s="1722">
        <f t="shared" si="29"/>
        <v>0</v>
      </c>
      <c r="BK30" s="1723">
        <f>(AR30*Pricing!F$3+AS30*Pricing!G$3+AT30*Pricing!H$3+AU30*Pricing!I$3+AV30*Pricing!J$3+AW30*Pricing!K$3+AH30*Pricing!F$3+AI30*Pricing!G$3+AJ30*Pricing!H$3+AK30*Pricing!I$3+AL30*Pricing!J$3+AM30*Pricing!K$3)*IF(T$39="N",(1+V$39),1)</f>
        <v>0</v>
      </c>
      <c r="BL30" s="1723">
        <f t="shared" si="30"/>
        <v>0</v>
      </c>
      <c r="BM30" s="1723">
        <f t="shared" si="31"/>
        <v>0</v>
      </c>
      <c r="BN30" s="1723">
        <f t="shared" si="32"/>
        <v>0</v>
      </c>
      <c r="BO30" s="1723">
        <f t="shared" si="33"/>
        <v>0</v>
      </c>
      <c r="BP30" s="1723">
        <f t="shared" si="34"/>
        <v>0</v>
      </c>
      <c r="BQ30" s="1723">
        <f t="shared" si="35"/>
        <v>0</v>
      </c>
      <c r="BR30" s="1724"/>
      <c r="BS30" s="1725">
        <f t="shared" si="48"/>
        <v>0</v>
      </c>
      <c r="BT30" s="1723">
        <f>(AH30*Pricing!F$3+AI30*Pricing!G$3+AJ30*Pricing!H$3+AK30*Pricing!I$3+AL30*Pricing!J$3+AM30*Pricing!K$3)*IF(T$39="N",(1+V$39),1)</f>
        <v>0</v>
      </c>
      <c r="BU30" s="1723">
        <f t="shared" si="36"/>
        <v>0</v>
      </c>
      <c r="BV30" s="1723">
        <f t="shared" si="37"/>
        <v>0</v>
      </c>
      <c r="BW30" s="1724">
        <f t="shared" si="38"/>
        <v>0</v>
      </c>
      <c r="DB30" s="1726">
        <f t="shared" si="39"/>
        <v>0</v>
      </c>
      <c r="DC30" s="1723" t="e">
        <f t="shared" si="40"/>
        <v>#DIV/0!</v>
      </c>
      <c r="DD30" s="172">
        <f t="shared" si="41"/>
        <v>0</v>
      </c>
      <c r="DE30" s="847">
        <f t="shared" si="42"/>
        <v>0</v>
      </c>
      <c r="DF30" s="334">
        <f t="shared" si="43"/>
        <v>0</v>
      </c>
      <c r="DG30" s="847">
        <f t="shared" si="44"/>
        <v>0</v>
      </c>
      <c r="DH30" s="847">
        <f t="shared" si="45"/>
        <v>0</v>
      </c>
      <c r="DI30" s="847">
        <f t="shared" si="46"/>
        <v>0</v>
      </c>
      <c r="DJ30" s="1727">
        <f t="shared" si="47"/>
        <v>0</v>
      </c>
    </row>
    <row r="31" spans="1:114" s="1254" customFormat="1" ht="15.45">
      <c r="A31" s="482"/>
      <c r="B31" s="1177"/>
      <c r="C31" s="1710"/>
      <c r="D31" s="1711"/>
      <c r="E31" s="1712"/>
      <c r="F31" s="1108"/>
      <c r="G31" s="1109"/>
      <c r="H31" s="1110"/>
      <c r="I31" s="1108"/>
      <c r="J31" s="1109"/>
      <c r="K31" s="1110"/>
      <c r="L31" s="1108"/>
      <c r="M31" s="1108"/>
      <c r="N31" s="1713"/>
      <c r="O31" s="1108"/>
      <c r="P31" s="1108"/>
      <c r="Q31" s="1108"/>
      <c r="R31" s="1714"/>
      <c r="S31" s="1715"/>
      <c r="T31" s="77"/>
      <c r="U31" s="839"/>
      <c r="V31" s="1716">
        <f t="shared" si="0"/>
        <v>0</v>
      </c>
      <c r="W31" s="1717">
        <f t="shared" si="1"/>
        <v>0</v>
      </c>
      <c r="AH31" s="1720">
        <f t="shared" si="2"/>
        <v>0</v>
      </c>
      <c r="AI31" s="1719">
        <f t="shared" si="3"/>
        <v>0</v>
      </c>
      <c r="AJ31" s="1719">
        <f t="shared" si="4"/>
        <v>0</v>
      </c>
      <c r="AK31" s="1719">
        <f t="shared" si="5"/>
        <v>0</v>
      </c>
      <c r="AL31" s="1719">
        <f t="shared" si="6"/>
        <v>0</v>
      </c>
      <c r="AM31" s="1719">
        <f t="shared" si="7"/>
        <v>0</v>
      </c>
      <c r="AN31" s="1719">
        <f t="shared" si="8"/>
        <v>0</v>
      </c>
      <c r="AO31" s="1719">
        <f t="shared" si="9"/>
        <v>0</v>
      </c>
      <c r="AP31" s="1719">
        <f t="shared" si="10"/>
        <v>0</v>
      </c>
      <c r="AQ31" s="1719">
        <f t="shared" si="11"/>
        <v>0</v>
      </c>
      <c r="AR31" s="1720">
        <f t="shared" si="12"/>
        <v>0</v>
      </c>
      <c r="AS31" s="1719">
        <f t="shared" si="13"/>
        <v>0</v>
      </c>
      <c r="AT31" s="1719">
        <f t="shared" si="14"/>
        <v>0</v>
      </c>
      <c r="AU31" s="1719">
        <f t="shared" si="15"/>
        <v>0</v>
      </c>
      <c r="AV31" s="1719">
        <f t="shared" si="16"/>
        <v>0</v>
      </c>
      <c r="AW31" s="1719">
        <f t="shared" si="17"/>
        <v>0</v>
      </c>
      <c r="AX31" s="1719">
        <f t="shared" si="18"/>
        <v>0</v>
      </c>
      <c r="AY31" s="1719">
        <f t="shared" si="19"/>
        <v>0</v>
      </c>
      <c r="AZ31" s="1719">
        <f t="shared" si="20"/>
        <v>0</v>
      </c>
      <c r="BA31" s="1721">
        <f t="shared" si="21"/>
        <v>0</v>
      </c>
      <c r="BB31" s="1719">
        <f t="shared" si="22"/>
        <v>0</v>
      </c>
      <c r="BC31" s="1719">
        <f t="shared" si="23"/>
        <v>0</v>
      </c>
      <c r="BD31" s="1719">
        <f t="shared" si="24"/>
        <v>0</v>
      </c>
      <c r="BE31" s="1719">
        <f t="shared" si="25"/>
        <v>0</v>
      </c>
      <c r="BF31" s="1719">
        <f t="shared" si="26"/>
        <v>0</v>
      </c>
      <c r="BG31" s="1719">
        <f t="shared" si="27"/>
        <v>0</v>
      </c>
      <c r="BH31" s="1719">
        <f t="shared" si="28"/>
        <v>0</v>
      </c>
      <c r="BJ31" s="1722">
        <f t="shared" si="29"/>
        <v>0</v>
      </c>
      <c r="BK31" s="1723">
        <f>(AR31*Pricing!F$3+AS31*Pricing!G$3+AT31*Pricing!H$3+AU31*Pricing!I$3+AV31*Pricing!J$3+AW31*Pricing!K$3+AH31*Pricing!F$3+AI31*Pricing!G$3+AJ31*Pricing!H$3+AK31*Pricing!I$3+AL31*Pricing!J$3+AM31*Pricing!K$3)*IF(T$39="N",(1+V$39),1)</f>
        <v>0</v>
      </c>
      <c r="BL31" s="1723">
        <f t="shared" si="30"/>
        <v>0</v>
      </c>
      <c r="BM31" s="1723">
        <f t="shared" si="31"/>
        <v>0</v>
      </c>
      <c r="BN31" s="1723">
        <f t="shared" si="32"/>
        <v>0</v>
      </c>
      <c r="BO31" s="1723">
        <f t="shared" si="33"/>
        <v>0</v>
      </c>
      <c r="BP31" s="1723">
        <f t="shared" si="34"/>
        <v>0</v>
      </c>
      <c r="BQ31" s="1723">
        <f t="shared" si="35"/>
        <v>0</v>
      </c>
      <c r="BR31" s="1724"/>
      <c r="BS31" s="1725">
        <f t="shared" si="48"/>
        <v>0</v>
      </c>
      <c r="BT31" s="1723">
        <f>(AH31*Pricing!F$3+AI31*Pricing!G$3+AJ31*Pricing!H$3+AK31*Pricing!I$3+AL31*Pricing!J$3+AM31*Pricing!K$3)*IF(T$39="N",(1+V$39),1)</f>
        <v>0</v>
      </c>
      <c r="BU31" s="1723">
        <f t="shared" si="36"/>
        <v>0</v>
      </c>
      <c r="BV31" s="1723">
        <f t="shared" si="37"/>
        <v>0</v>
      </c>
      <c r="BW31" s="1724">
        <f t="shared" si="38"/>
        <v>0</v>
      </c>
      <c r="DB31" s="1726">
        <f t="shared" si="39"/>
        <v>0</v>
      </c>
      <c r="DC31" s="1723" t="e">
        <f t="shared" si="40"/>
        <v>#DIV/0!</v>
      </c>
      <c r="DD31" s="172">
        <f t="shared" si="41"/>
        <v>0</v>
      </c>
      <c r="DE31" s="847">
        <f t="shared" si="42"/>
        <v>0</v>
      </c>
      <c r="DF31" s="334">
        <f t="shared" si="43"/>
        <v>0</v>
      </c>
      <c r="DG31" s="847">
        <f t="shared" si="44"/>
        <v>0</v>
      </c>
      <c r="DH31" s="847">
        <f t="shared" si="45"/>
        <v>0</v>
      </c>
      <c r="DI31" s="847">
        <f t="shared" si="46"/>
        <v>0</v>
      </c>
      <c r="DJ31" s="1727">
        <f t="shared" si="47"/>
        <v>0</v>
      </c>
    </row>
    <row r="32" spans="1:114" s="1254" customFormat="1" ht="15.45">
      <c r="A32" s="482"/>
      <c r="B32" s="1177"/>
      <c r="C32" s="1710"/>
      <c r="D32" s="1711"/>
      <c r="E32" s="1712"/>
      <c r="F32" s="1108"/>
      <c r="G32" s="1109"/>
      <c r="H32" s="1110"/>
      <c r="I32" s="1108"/>
      <c r="J32" s="1109"/>
      <c r="K32" s="1110"/>
      <c r="L32" s="1108"/>
      <c r="M32" s="1108"/>
      <c r="N32" s="1713"/>
      <c r="O32" s="1108"/>
      <c r="P32" s="1108"/>
      <c r="Q32" s="1108"/>
      <c r="R32" s="1714"/>
      <c r="S32" s="1715"/>
      <c r="T32" s="77"/>
      <c r="U32" s="839"/>
      <c r="V32" s="1716">
        <f t="shared" si="0"/>
        <v>0</v>
      </c>
      <c r="W32" s="1717">
        <f t="shared" si="1"/>
        <v>0</v>
      </c>
      <c r="AH32" s="1720">
        <f t="shared" si="2"/>
        <v>0</v>
      </c>
      <c r="AI32" s="1719">
        <f t="shared" si="3"/>
        <v>0</v>
      </c>
      <c r="AJ32" s="1719">
        <f t="shared" si="4"/>
        <v>0</v>
      </c>
      <c r="AK32" s="1719">
        <f t="shared" si="5"/>
        <v>0</v>
      </c>
      <c r="AL32" s="1719">
        <f t="shared" si="6"/>
        <v>0</v>
      </c>
      <c r="AM32" s="1719">
        <f t="shared" si="7"/>
        <v>0</v>
      </c>
      <c r="AN32" s="1719">
        <f t="shared" si="8"/>
        <v>0</v>
      </c>
      <c r="AO32" s="1719">
        <f t="shared" si="9"/>
        <v>0</v>
      </c>
      <c r="AP32" s="1719">
        <f t="shared" si="10"/>
        <v>0</v>
      </c>
      <c r="AQ32" s="1719">
        <f t="shared" si="11"/>
        <v>0</v>
      </c>
      <c r="AR32" s="1720">
        <f t="shared" si="12"/>
        <v>0</v>
      </c>
      <c r="AS32" s="1719">
        <f t="shared" si="13"/>
        <v>0</v>
      </c>
      <c r="AT32" s="1719">
        <f t="shared" si="14"/>
        <v>0</v>
      </c>
      <c r="AU32" s="1719">
        <f t="shared" si="15"/>
        <v>0</v>
      </c>
      <c r="AV32" s="1719">
        <f t="shared" si="16"/>
        <v>0</v>
      </c>
      <c r="AW32" s="1719">
        <f t="shared" si="17"/>
        <v>0</v>
      </c>
      <c r="AX32" s="1719">
        <f t="shared" si="18"/>
        <v>0</v>
      </c>
      <c r="AY32" s="1719">
        <f t="shared" si="19"/>
        <v>0</v>
      </c>
      <c r="AZ32" s="1719">
        <f t="shared" si="20"/>
        <v>0</v>
      </c>
      <c r="BA32" s="1721">
        <f t="shared" si="21"/>
        <v>0</v>
      </c>
      <c r="BB32" s="1719">
        <f t="shared" si="22"/>
        <v>0</v>
      </c>
      <c r="BC32" s="1719">
        <f t="shared" si="23"/>
        <v>0</v>
      </c>
      <c r="BD32" s="1719">
        <f t="shared" si="24"/>
        <v>0</v>
      </c>
      <c r="BE32" s="1719">
        <f t="shared" si="25"/>
        <v>0</v>
      </c>
      <c r="BF32" s="1719">
        <f t="shared" si="26"/>
        <v>0</v>
      </c>
      <c r="BG32" s="1719">
        <f t="shared" si="27"/>
        <v>0</v>
      </c>
      <c r="BH32" s="1719">
        <f t="shared" si="28"/>
        <v>0</v>
      </c>
      <c r="BJ32" s="1722">
        <f t="shared" si="29"/>
        <v>0</v>
      </c>
      <c r="BK32" s="1723">
        <f>(AR32*Pricing!F$3+AS32*Pricing!G$3+AT32*Pricing!H$3+AU32*Pricing!I$3+AV32*Pricing!J$3+AW32*Pricing!K$3+AH32*Pricing!F$3+AI32*Pricing!G$3+AJ32*Pricing!H$3+AK32*Pricing!I$3+AL32*Pricing!J$3+AM32*Pricing!K$3)*IF(T$39="N",(1+V$39),1)</f>
        <v>0</v>
      </c>
      <c r="BL32" s="1723">
        <f t="shared" si="30"/>
        <v>0</v>
      </c>
      <c r="BM32" s="1723">
        <f t="shared" si="31"/>
        <v>0</v>
      </c>
      <c r="BN32" s="1723">
        <f t="shared" si="32"/>
        <v>0</v>
      </c>
      <c r="BO32" s="1723">
        <f t="shared" si="33"/>
        <v>0</v>
      </c>
      <c r="BP32" s="1723">
        <f t="shared" si="34"/>
        <v>0</v>
      </c>
      <c r="BQ32" s="1723">
        <f t="shared" si="35"/>
        <v>0</v>
      </c>
      <c r="BR32" s="1724"/>
      <c r="BS32" s="1725">
        <f t="shared" si="48"/>
        <v>0</v>
      </c>
      <c r="BT32" s="1723">
        <f>(AH32*Pricing!F$3+AI32*Pricing!G$3+AJ32*Pricing!H$3+AK32*Pricing!I$3+AL32*Pricing!J$3+AM32*Pricing!K$3)*IF(T$39="N",(1+V$39),1)</f>
        <v>0</v>
      </c>
      <c r="BU32" s="1723">
        <f t="shared" si="36"/>
        <v>0</v>
      </c>
      <c r="BV32" s="1723">
        <f t="shared" si="37"/>
        <v>0</v>
      </c>
      <c r="BW32" s="1724">
        <f t="shared" si="38"/>
        <v>0</v>
      </c>
      <c r="DB32" s="1726">
        <f t="shared" si="39"/>
        <v>0</v>
      </c>
      <c r="DC32" s="1723" t="e">
        <f t="shared" si="40"/>
        <v>#DIV/0!</v>
      </c>
      <c r="DD32" s="172">
        <f t="shared" si="41"/>
        <v>0</v>
      </c>
      <c r="DE32" s="847">
        <f t="shared" si="42"/>
        <v>0</v>
      </c>
      <c r="DF32" s="334">
        <f t="shared" si="43"/>
        <v>0</v>
      </c>
      <c r="DG32" s="847">
        <f t="shared" si="44"/>
        <v>0</v>
      </c>
      <c r="DH32" s="847">
        <f t="shared" si="45"/>
        <v>0</v>
      </c>
      <c r="DI32" s="847">
        <f t="shared" si="46"/>
        <v>0</v>
      </c>
      <c r="DJ32" s="1727">
        <f t="shared" si="47"/>
        <v>0</v>
      </c>
    </row>
    <row r="33" spans="1:114" s="1254" customFormat="1" ht="15.45">
      <c r="A33" s="482"/>
      <c r="B33" s="1177"/>
      <c r="C33" s="1710"/>
      <c r="D33" s="1711"/>
      <c r="E33" s="1712"/>
      <c r="F33" s="1108"/>
      <c r="G33" s="1109"/>
      <c r="H33" s="1110"/>
      <c r="I33" s="1108"/>
      <c r="J33" s="1109"/>
      <c r="K33" s="1110"/>
      <c r="L33" s="1108"/>
      <c r="M33" s="1108"/>
      <c r="N33" s="1713"/>
      <c r="O33" s="1108"/>
      <c r="P33" s="1108"/>
      <c r="Q33" s="1108"/>
      <c r="R33" s="1714"/>
      <c r="S33" s="1715"/>
      <c r="T33" s="77"/>
      <c r="U33" s="839"/>
      <c r="V33" s="1716">
        <f t="shared" si="0"/>
        <v>0</v>
      </c>
      <c r="W33" s="1717">
        <f t="shared" si="1"/>
        <v>0</v>
      </c>
      <c r="AH33" s="1720">
        <f t="shared" si="2"/>
        <v>0</v>
      </c>
      <c r="AI33" s="1719">
        <f t="shared" si="3"/>
        <v>0</v>
      </c>
      <c r="AJ33" s="1719">
        <f t="shared" si="4"/>
        <v>0</v>
      </c>
      <c r="AK33" s="1719">
        <f t="shared" si="5"/>
        <v>0</v>
      </c>
      <c r="AL33" s="1719">
        <f t="shared" si="6"/>
        <v>0</v>
      </c>
      <c r="AM33" s="1719">
        <f t="shared" si="7"/>
        <v>0</v>
      </c>
      <c r="AN33" s="1719">
        <f t="shared" si="8"/>
        <v>0</v>
      </c>
      <c r="AO33" s="1719">
        <f t="shared" si="9"/>
        <v>0</v>
      </c>
      <c r="AP33" s="1719">
        <f t="shared" si="10"/>
        <v>0</v>
      </c>
      <c r="AQ33" s="1719">
        <f t="shared" si="11"/>
        <v>0</v>
      </c>
      <c r="AR33" s="1720">
        <f t="shared" si="12"/>
        <v>0</v>
      </c>
      <c r="AS33" s="1719">
        <f t="shared" si="13"/>
        <v>0</v>
      </c>
      <c r="AT33" s="1719">
        <f t="shared" si="14"/>
        <v>0</v>
      </c>
      <c r="AU33" s="1719">
        <f t="shared" si="15"/>
        <v>0</v>
      </c>
      <c r="AV33" s="1719">
        <f t="shared" si="16"/>
        <v>0</v>
      </c>
      <c r="AW33" s="1719">
        <f t="shared" si="17"/>
        <v>0</v>
      </c>
      <c r="AX33" s="1719">
        <f t="shared" si="18"/>
        <v>0</v>
      </c>
      <c r="AY33" s="1719">
        <f t="shared" si="19"/>
        <v>0</v>
      </c>
      <c r="AZ33" s="1719">
        <f t="shared" si="20"/>
        <v>0</v>
      </c>
      <c r="BA33" s="1721">
        <f t="shared" si="21"/>
        <v>0</v>
      </c>
      <c r="BB33" s="1719">
        <f t="shared" si="22"/>
        <v>0</v>
      </c>
      <c r="BC33" s="1719">
        <f t="shared" si="23"/>
        <v>0</v>
      </c>
      <c r="BD33" s="1719">
        <f t="shared" si="24"/>
        <v>0</v>
      </c>
      <c r="BE33" s="1719">
        <f t="shared" si="25"/>
        <v>0</v>
      </c>
      <c r="BF33" s="1719">
        <f t="shared" si="26"/>
        <v>0</v>
      </c>
      <c r="BG33" s="1719">
        <f t="shared" si="27"/>
        <v>0</v>
      </c>
      <c r="BH33" s="1719">
        <f t="shared" si="28"/>
        <v>0</v>
      </c>
      <c r="BJ33" s="1722">
        <f t="shared" si="29"/>
        <v>0</v>
      </c>
      <c r="BK33" s="1723">
        <f>(AR33*Pricing!F$3+AS33*Pricing!G$3+AT33*Pricing!H$3+AU33*Pricing!I$3+AV33*Pricing!J$3+AW33*Pricing!K$3+AH33*Pricing!F$3+AI33*Pricing!G$3+AJ33*Pricing!H$3+AK33*Pricing!I$3+AL33*Pricing!J$3+AM33*Pricing!K$3)*IF(T$39="N",(1+V$39),1)</f>
        <v>0</v>
      </c>
      <c r="BL33" s="1723">
        <f t="shared" si="30"/>
        <v>0</v>
      </c>
      <c r="BM33" s="1723">
        <f t="shared" si="31"/>
        <v>0</v>
      </c>
      <c r="BN33" s="1723">
        <f t="shared" si="32"/>
        <v>0</v>
      </c>
      <c r="BO33" s="1723">
        <f t="shared" si="33"/>
        <v>0</v>
      </c>
      <c r="BP33" s="1723">
        <f t="shared" si="34"/>
        <v>0</v>
      </c>
      <c r="BQ33" s="1723">
        <f t="shared" si="35"/>
        <v>0</v>
      </c>
      <c r="BR33" s="1724"/>
      <c r="BS33" s="1725">
        <f>IF(SUM(BF$36:BG$36)=0,0,(BQ$36-W$58-N$64-W81-(L$79*0.15))/SUM(BF$36:BG$36)*BG33+BN33)</f>
        <v>0</v>
      </c>
      <c r="BT33" s="1723">
        <f>(AH33*Pricing!F$3+AI33*Pricing!G$3+AJ33*Pricing!H$3+AK33*Pricing!I$3+AL33*Pricing!J$3+AM33*Pricing!K$3)*IF(T$39="N",(1+V$39),1)</f>
        <v>0</v>
      </c>
      <c r="BU33" s="1723">
        <f t="shared" si="36"/>
        <v>0</v>
      </c>
      <c r="BV33" s="1723">
        <f t="shared" si="37"/>
        <v>0</v>
      </c>
      <c r="BW33" s="1724">
        <f t="shared" si="38"/>
        <v>0</v>
      </c>
      <c r="DB33" s="1726">
        <f t="shared" si="39"/>
        <v>0</v>
      </c>
      <c r="DC33" s="1723" t="e">
        <f t="shared" si="40"/>
        <v>#DIV/0!</v>
      </c>
      <c r="DD33" s="172">
        <f t="shared" si="41"/>
        <v>0</v>
      </c>
      <c r="DE33" s="847">
        <f t="shared" si="42"/>
        <v>0</v>
      </c>
      <c r="DF33" s="334">
        <f t="shared" si="43"/>
        <v>0</v>
      </c>
      <c r="DG33" s="847">
        <f t="shared" si="44"/>
        <v>0</v>
      </c>
      <c r="DH33" s="847">
        <f t="shared" si="45"/>
        <v>0</v>
      </c>
      <c r="DI33" s="847">
        <f t="shared" si="46"/>
        <v>0</v>
      </c>
      <c r="DJ33" s="1727">
        <f t="shared" si="47"/>
        <v>0</v>
      </c>
    </row>
    <row r="34" spans="1:114" s="1254" customFormat="1" ht="15.45">
      <c r="A34" s="482"/>
      <c r="B34" s="1177"/>
      <c r="C34" s="1710"/>
      <c r="D34" s="1711"/>
      <c r="E34" s="1712"/>
      <c r="F34" s="1108"/>
      <c r="G34" s="1109"/>
      <c r="H34" s="1110"/>
      <c r="I34" s="1108"/>
      <c r="J34" s="1109"/>
      <c r="K34" s="1110"/>
      <c r="L34" s="1108"/>
      <c r="M34" s="1108"/>
      <c r="N34" s="1713"/>
      <c r="O34" s="1108"/>
      <c r="P34" s="1108"/>
      <c r="Q34" s="1108"/>
      <c r="R34" s="1714"/>
      <c r="S34" s="1715"/>
      <c r="T34" s="77"/>
      <c r="U34" s="839"/>
      <c r="V34" s="1716">
        <f t="shared" si="0"/>
        <v>0</v>
      </c>
      <c r="W34" s="1717">
        <f t="shared" si="1"/>
        <v>0</v>
      </c>
      <c r="AH34" s="1720">
        <f t="shared" si="2"/>
        <v>0</v>
      </c>
      <c r="AI34" s="1719">
        <f t="shared" si="3"/>
        <v>0</v>
      </c>
      <c r="AJ34" s="1719">
        <f t="shared" si="4"/>
        <v>0</v>
      </c>
      <c r="AK34" s="1719">
        <f t="shared" si="5"/>
        <v>0</v>
      </c>
      <c r="AL34" s="1719">
        <f t="shared" si="6"/>
        <v>0</v>
      </c>
      <c r="AM34" s="1719">
        <f t="shared" si="7"/>
        <v>0</v>
      </c>
      <c r="AN34" s="1719">
        <f t="shared" si="8"/>
        <v>0</v>
      </c>
      <c r="AO34" s="1719">
        <f t="shared" si="9"/>
        <v>0</v>
      </c>
      <c r="AP34" s="1719">
        <f t="shared" si="10"/>
        <v>0</v>
      </c>
      <c r="AQ34" s="1719">
        <f t="shared" si="11"/>
        <v>0</v>
      </c>
      <c r="AR34" s="1720">
        <f t="shared" si="12"/>
        <v>0</v>
      </c>
      <c r="AS34" s="1719">
        <f t="shared" si="13"/>
        <v>0</v>
      </c>
      <c r="AT34" s="1719">
        <f t="shared" si="14"/>
        <v>0</v>
      </c>
      <c r="AU34" s="1719">
        <f t="shared" si="15"/>
        <v>0</v>
      </c>
      <c r="AV34" s="1719">
        <f t="shared" si="16"/>
        <v>0</v>
      </c>
      <c r="AW34" s="1719">
        <f t="shared" si="17"/>
        <v>0</v>
      </c>
      <c r="AX34" s="1719">
        <f t="shared" si="18"/>
        <v>0</v>
      </c>
      <c r="AY34" s="1719">
        <f t="shared" si="19"/>
        <v>0</v>
      </c>
      <c r="AZ34" s="1719">
        <f t="shared" si="20"/>
        <v>0</v>
      </c>
      <c r="BA34" s="1721">
        <f t="shared" si="21"/>
        <v>0</v>
      </c>
      <c r="BB34" s="1719">
        <f t="shared" si="22"/>
        <v>0</v>
      </c>
      <c r="BC34" s="1719">
        <f t="shared" si="23"/>
        <v>0</v>
      </c>
      <c r="BD34" s="1719">
        <f t="shared" si="24"/>
        <v>0</v>
      </c>
      <c r="BE34" s="1719">
        <f t="shared" si="25"/>
        <v>0</v>
      </c>
      <c r="BF34" s="1719">
        <f t="shared" si="26"/>
        <v>0</v>
      </c>
      <c r="BG34" s="1719">
        <f t="shared" si="27"/>
        <v>0</v>
      </c>
      <c r="BH34" s="1719">
        <f t="shared" si="28"/>
        <v>0</v>
      </c>
      <c r="BJ34" s="1722">
        <f t="shared" si="29"/>
        <v>0</v>
      </c>
      <c r="BK34" s="1723">
        <f>(AR34*Pricing!F$3+AS34*Pricing!G$3+AT34*Pricing!H$3+AU34*Pricing!I$3+AV34*Pricing!J$3+AW34*Pricing!K$3+AH34*Pricing!F$3+AI34*Pricing!G$3+AJ34*Pricing!H$3+AK34*Pricing!I$3+AL34*Pricing!J$3+AM34*Pricing!K$3)*IF(T$39="N",(1+V$39),1)</f>
        <v>0</v>
      </c>
      <c r="BL34" s="1723">
        <f t="shared" si="30"/>
        <v>0</v>
      </c>
      <c r="BM34" s="1723">
        <f t="shared" si="31"/>
        <v>0</v>
      </c>
      <c r="BN34" s="1723">
        <f t="shared" si="32"/>
        <v>0</v>
      </c>
      <c r="BO34" s="1723">
        <f t="shared" si="33"/>
        <v>0</v>
      </c>
      <c r="BP34" s="1723">
        <f t="shared" si="34"/>
        <v>0</v>
      </c>
      <c r="BQ34" s="1723">
        <f t="shared" si="35"/>
        <v>0</v>
      </c>
      <c r="BR34" s="1724"/>
      <c r="BS34" s="1725">
        <f>IF(SUM(BF$36:BG$36)=0,0,(BQ$36-W$58-N$64-W82-(L$79*0.15))/SUM(BF$36:BG$36)*BG34+BN34)</f>
        <v>0</v>
      </c>
      <c r="BT34" s="1723">
        <f>(AH34*Pricing!F$3+AI34*Pricing!G$3+AJ34*Pricing!H$3+AK34*Pricing!I$3+AL34*Pricing!J$3+AM34*Pricing!K$3)*IF(T$39="N",(1+V$39),1)</f>
        <v>0</v>
      </c>
      <c r="BU34" s="1723">
        <f t="shared" si="36"/>
        <v>0</v>
      </c>
      <c r="BV34" s="1723">
        <f t="shared" si="37"/>
        <v>0</v>
      </c>
      <c r="BW34" s="1724">
        <f t="shared" si="38"/>
        <v>0</v>
      </c>
      <c r="DB34" s="1726">
        <f t="shared" si="39"/>
        <v>0</v>
      </c>
      <c r="DC34" s="1723" t="e">
        <f t="shared" si="40"/>
        <v>#DIV/0!</v>
      </c>
      <c r="DD34" s="172">
        <f t="shared" si="41"/>
        <v>0</v>
      </c>
      <c r="DE34" s="847">
        <f t="shared" si="42"/>
        <v>0</v>
      </c>
      <c r="DF34" s="334">
        <f t="shared" si="43"/>
        <v>0</v>
      </c>
      <c r="DG34" s="847">
        <f t="shared" si="44"/>
        <v>0</v>
      </c>
      <c r="DH34" s="847">
        <f t="shared" si="45"/>
        <v>0</v>
      </c>
      <c r="DI34" s="847">
        <f t="shared" si="46"/>
        <v>0</v>
      </c>
      <c r="DJ34" s="1727">
        <f t="shared" si="47"/>
        <v>0</v>
      </c>
    </row>
    <row r="35" spans="1:114" s="1254" customFormat="1" ht="15.45">
      <c r="A35" s="482"/>
      <c r="B35" s="1177"/>
      <c r="C35" s="1729"/>
      <c r="D35" s="1711"/>
      <c r="E35" s="1712"/>
      <c r="F35" s="1108"/>
      <c r="G35" s="1109"/>
      <c r="H35" s="1110"/>
      <c r="I35" s="1108"/>
      <c r="J35" s="1109"/>
      <c r="K35" s="1110"/>
      <c r="L35" s="1108"/>
      <c r="M35" s="1108"/>
      <c r="N35" s="1713"/>
      <c r="O35" s="1108"/>
      <c r="P35" s="1108"/>
      <c r="Q35" s="1108"/>
      <c r="R35" s="1714"/>
      <c r="S35" s="1715"/>
      <c r="T35" s="77"/>
      <c r="U35" s="839"/>
      <c r="V35" s="1716">
        <f t="shared" si="0"/>
        <v>0</v>
      </c>
      <c r="W35" s="1717">
        <f t="shared" si="1"/>
        <v>0</v>
      </c>
      <c r="AH35" s="1730">
        <f t="shared" si="2"/>
        <v>0</v>
      </c>
      <c r="AI35" s="1731">
        <f t="shared" si="3"/>
        <v>0</v>
      </c>
      <c r="AJ35" s="1731">
        <f t="shared" si="4"/>
        <v>0</v>
      </c>
      <c r="AK35" s="1731">
        <f t="shared" si="5"/>
        <v>0</v>
      </c>
      <c r="AL35" s="1731">
        <f t="shared" si="6"/>
        <v>0</v>
      </c>
      <c r="AM35" s="1731">
        <f t="shared" si="7"/>
        <v>0</v>
      </c>
      <c r="AN35" s="1731">
        <f t="shared" si="8"/>
        <v>0</v>
      </c>
      <c r="AO35" s="1731">
        <f t="shared" si="9"/>
        <v>0</v>
      </c>
      <c r="AP35" s="1731">
        <f t="shared" si="10"/>
        <v>0</v>
      </c>
      <c r="AQ35" s="1731">
        <f t="shared" si="11"/>
        <v>0</v>
      </c>
      <c r="AR35" s="1730">
        <f t="shared" si="12"/>
        <v>0</v>
      </c>
      <c r="AS35" s="1731">
        <f t="shared" si="13"/>
        <v>0</v>
      </c>
      <c r="AT35" s="1731">
        <f t="shared" si="14"/>
        <v>0</v>
      </c>
      <c r="AU35" s="1731">
        <f t="shared" si="15"/>
        <v>0</v>
      </c>
      <c r="AV35" s="1731">
        <f t="shared" si="16"/>
        <v>0</v>
      </c>
      <c r="AW35" s="1731">
        <f t="shared" si="17"/>
        <v>0</v>
      </c>
      <c r="AX35" s="1731">
        <f t="shared" si="18"/>
        <v>0</v>
      </c>
      <c r="AY35" s="1731">
        <f t="shared" si="19"/>
        <v>0</v>
      </c>
      <c r="AZ35" s="1731">
        <f t="shared" si="20"/>
        <v>0</v>
      </c>
      <c r="BA35" s="1732">
        <f t="shared" si="21"/>
        <v>0</v>
      </c>
      <c r="BB35" s="1719">
        <f t="shared" si="22"/>
        <v>0</v>
      </c>
      <c r="BC35" s="1719">
        <f t="shared" si="23"/>
        <v>0</v>
      </c>
      <c r="BD35" s="1719">
        <f t="shared" si="24"/>
        <v>0</v>
      </c>
      <c r="BE35" s="1719">
        <f t="shared" si="25"/>
        <v>0</v>
      </c>
      <c r="BF35" s="1719">
        <f t="shared" si="26"/>
        <v>0</v>
      </c>
      <c r="BG35" s="1719">
        <f t="shared" si="27"/>
        <v>0</v>
      </c>
      <c r="BH35" s="1719">
        <f t="shared" si="28"/>
        <v>0</v>
      </c>
      <c r="BJ35" s="1733">
        <f t="shared" si="29"/>
        <v>0</v>
      </c>
      <c r="BK35" s="1734">
        <f>(AR35*Pricing!F$3+AS35*Pricing!G$3+AT35*Pricing!H$3+AU35*Pricing!I$3+AV35*Pricing!J$3+AW35*Pricing!K$3+AH35*Pricing!F$3+AI35*Pricing!G$3+AJ35*Pricing!H$3+AK35*Pricing!I$3+AL35*Pricing!J$3+AM35*Pricing!K$3)*IF(T$39="N",(1+V$39),1)</f>
        <v>0</v>
      </c>
      <c r="BL35" s="1734">
        <f t="shared" si="30"/>
        <v>0</v>
      </c>
      <c r="BM35" s="1734">
        <f t="shared" si="31"/>
        <v>0</v>
      </c>
      <c r="BN35" s="1734">
        <f t="shared" si="32"/>
        <v>0</v>
      </c>
      <c r="BO35" s="1734">
        <f t="shared" si="33"/>
        <v>0</v>
      </c>
      <c r="BP35" s="1734">
        <f t="shared" si="34"/>
        <v>0</v>
      </c>
      <c r="BQ35" s="1734">
        <f t="shared" si="35"/>
        <v>0</v>
      </c>
      <c r="BR35" s="1735"/>
      <c r="BS35" s="1736">
        <f>IF(SUM(BF$36:BG$36)=0,0,(BQ$36-W$58-N$64-W83-(L$79*0.15))/SUM(BF$36:BG$36)*BG35+BN35)</f>
        <v>0</v>
      </c>
      <c r="BT35" s="1734">
        <f>(AH35*Pricing!F$3+AI35*Pricing!G$3+AJ35*Pricing!H$3+AK35*Pricing!I$3+AL35*Pricing!J$3+AM35*Pricing!K$3)*IF(T$39="N",(1+V$39),1)</f>
        <v>0</v>
      </c>
      <c r="BU35" s="1734">
        <f t="shared" si="36"/>
        <v>0</v>
      </c>
      <c r="BV35" s="1734">
        <f t="shared" si="37"/>
        <v>0</v>
      </c>
      <c r="BW35" s="1735">
        <f t="shared" si="38"/>
        <v>0</v>
      </c>
      <c r="DB35" s="1726">
        <f t="shared" si="39"/>
        <v>0</v>
      </c>
      <c r="DC35" s="1723" t="e">
        <f t="shared" si="40"/>
        <v>#DIV/0!</v>
      </c>
      <c r="DD35" s="172">
        <f t="shared" si="41"/>
        <v>0</v>
      </c>
      <c r="DE35" s="847">
        <f t="shared" si="42"/>
        <v>0</v>
      </c>
      <c r="DF35" s="334">
        <f t="shared" si="43"/>
        <v>0</v>
      </c>
      <c r="DG35" s="847">
        <f t="shared" si="44"/>
        <v>0</v>
      </c>
      <c r="DH35" s="847">
        <f t="shared" si="45"/>
        <v>0</v>
      </c>
      <c r="DI35" s="847">
        <f t="shared" si="46"/>
        <v>0</v>
      </c>
      <c r="DJ35" s="1727">
        <f t="shared" si="47"/>
        <v>0</v>
      </c>
    </row>
    <row r="36" spans="1:114" s="1254" customFormat="1" ht="15.45">
      <c r="A36" s="381"/>
      <c r="B36" s="589"/>
      <c r="C36" s="589"/>
      <c r="D36" s="1737"/>
      <c r="E36" s="1120">
        <f>SUM(E10:E35)</f>
        <v>0</v>
      </c>
      <c r="F36" s="1737" t="s">
        <v>1398</v>
      </c>
      <c r="G36" s="1085"/>
      <c r="H36" s="1085"/>
      <c r="I36" s="589"/>
      <c r="J36" s="589"/>
      <c r="K36" s="589"/>
      <c r="L36" s="589"/>
      <c r="M36" s="589"/>
      <c r="N36" s="589"/>
      <c r="O36" s="1300" t="s">
        <v>1399</v>
      </c>
      <c r="P36" s="1301"/>
      <c r="Q36" s="1301"/>
      <c r="R36" s="1301"/>
      <c r="S36" s="589"/>
      <c r="T36" s="589"/>
      <c r="U36" s="1123">
        <f>SUM(V10:V35)</f>
        <v>0</v>
      </c>
      <c r="V36" s="1738"/>
      <c r="W36" s="1124">
        <f>ROUND(SUM(W10:W35),0)</f>
        <v>0</v>
      </c>
      <c r="AH36" s="1719">
        <f t="shared" ref="AH36:BQ36" si="49">SUM(AH10:AH35)</f>
        <v>0</v>
      </c>
      <c r="AI36" s="1719">
        <f t="shared" si="49"/>
        <v>0</v>
      </c>
      <c r="AJ36" s="1719">
        <f t="shared" si="49"/>
        <v>0</v>
      </c>
      <c r="AK36" s="1719">
        <f t="shared" si="49"/>
        <v>0</v>
      </c>
      <c r="AL36" s="1719">
        <f t="shared" si="49"/>
        <v>0</v>
      </c>
      <c r="AM36" s="1719">
        <f t="shared" si="49"/>
        <v>0</v>
      </c>
      <c r="AN36" s="1719">
        <f t="shared" si="49"/>
        <v>0</v>
      </c>
      <c r="AO36" s="1719">
        <f t="shared" si="49"/>
        <v>0</v>
      </c>
      <c r="AP36" s="1719">
        <f t="shared" si="49"/>
        <v>0</v>
      </c>
      <c r="AQ36" s="1719">
        <f t="shared" si="49"/>
        <v>0</v>
      </c>
      <c r="AR36" s="1719">
        <f t="shared" si="49"/>
        <v>0</v>
      </c>
      <c r="AS36" s="1719">
        <f t="shared" si="49"/>
        <v>0</v>
      </c>
      <c r="AT36" s="1719">
        <f t="shared" si="49"/>
        <v>0</v>
      </c>
      <c r="AU36" s="1719">
        <f t="shared" si="49"/>
        <v>0</v>
      </c>
      <c r="AV36" s="1719">
        <f t="shared" si="49"/>
        <v>0</v>
      </c>
      <c r="AW36" s="1719">
        <f t="shared" si="49"/>
        <v>0</v>
      </c>
      <c r="AX36" s="1719">
        <f t="shared" si="49"/>
        <v>0</v>
      </c>
      <c r="AY36" s="1719">
        <f t="shared" si="49"/>
        <v>0</v>
      </c>
      <c r="AZ36" s="1719">
        <f t="shared" si="49"/>
        <v>0</v>
      </c>
      <c r="BA36" s="1719">
        <f t="shared" si="49"/>
        <v>0</v>
      </c>
      <c r="BB36" s="1719">
        <f t="shared" si="49"/>
        <v>0</v>
      </c>
      <c r="BC36" s="1719">
        <f t="shared" si="49"/>
        <v>0</v>
      </c>
      <c r="BD36" s="1719">
        <f t="shared" si="49"/>
        <v>0</v>
      </c>
      <c r="BE36" s="1719">
        <f t="shared" si="49"/>
        <v>0</v>
      </c>
      <c r="BF36" s="1719">
        <f t="shared" si="49"/>
        <v>0</v>
      </c>
      <c r="BG36" s="1719">
        <f t="shared" si="49"/>
        <v>0</v>
      </c>
      <c r="BH36" s="1719">
        <f t="shared" si="49"/>
        <v>0</v>
      </c>
      <c r="BI36" s="1254">
        <f t="shared" si="49"/>
        <v>0</v>
      </c>
      <c r="BJ36" s="1723">
        <f t="shared" si="49"/>
        <v>0</v>
      </c>
      <c r="BK36" s="1723">
        <f t="shared" si="49"/>
        <v>0</v>
      </c>
      <c r="BL36" s="1723">
        <f t="shared" si="49"/>
        <v>0</v>
      </c>
      <c r="BM36" s="1723">
        <f t="shared" si="49"/>
        <v>0</v>
      </c>
      <c r="BN36" s="1723">
        <f t="shared" si="49"/>
        <v>0</v>
      </c>
      <c r="BO36" s="1723">
        <f t="shared" si="49"/>
        <v>0</v>
      </c>
      <c r="BP36" s="1723">
        <f t="shared" si="49"/>
        <v>0</v>
      </c>
      <c r="BQ36" s="1723">
        <f t="shared" si="49"/>
        <v>0</v>
      </c>
      <c r="BR36" s="1723">
        <f>SUM(BJ36:BQ36)</f>
        <v>0</v>
      </c>
      <c r="BS36" s="1723">
        <f>SUM(BS10:BS35)</f>
        <v>0</v>
      </c>
      <c r="BT36" s="1723">
        <f>SUM(BT10:BT35)</f>
        <v>0</v>
      </c>
      <c r="BU36" s="1723"/>
      <c r="BV36" s="1723">
        <f>SUM(BV10:BV35)</f>
        <v>0</v>
      </c>
      <c r="BW36" s="1723">
        <f>SUM(BS36:BV36)</f>
        <v>0</v>
      </c>
      <c r="DB36" s="1739">
        <f t="shared" ref="DB36:DH36" si="50">SUM(DB10:DB35)</f>
        <v>0</v>
      </c>
      <c r="DC36" s="1739" t="e">
        <f t="shared" si="50"/>
        <v>#DIV/0!</v>
      </c>
      <c r="DD36" s="1128">
        <f t="shared" si="50"/>
        <v>0</v>
      </c>
      <c r="DE36" s="1128">
        <f t="shared" si="50"/>
        <v>0</v>
      </c>
      <c r="DF36" s="1128">
        <f t="shared" si="50"/>
        <v>0</v>
      </c>
      <c r="DG36" s="1128">
        <f t="shared" si="50"/>
        <v>0</v>
      </c>
      <c r="DH36" s="1740">
        <f t="shared" si="50"/>
        <v>0</v>
      </c>
      <c r="DI36" s="847">
        <f>IF(C36="Y",IF(D36&gt;0,D36,0),0)</f>
        <v>0</v>
      </c>
      <c r="DJ36" s="1128">
        <f>SUM(DJ10:DJ35)</f>
        <v>0</v>
      </c>
    </row>
    <row r="37" spans="1:114" s="1254" customFormat="1">
      <c r="A37" s="653"/>
      <c r="B37" s="693"/>
      <c r="C37" s="693"/>
      <c r="D37" s="693"/>
      <c r="E37" s="693"/>
      <c r="F37" s="693"/>
      <c r="G37" s="693"/>
      <c r="H37" s="693"/>
      <c r="I37" s="693"/>
      <c r="J37" s="693"/>
      <c r="K37" s="693"/>
      <c r="L37" s="693"/>
      <c r="M37" s="693"/>
      <c r="N37" s="693"/>
      <c r="O37" s="1741" t="s">
        <v>1400</v>
      </c>
      <c r="P37" s="1742"/>
      <c r="Q37" s="1742"/>
      <c r="R37" s="1742"/>
      <c r="S37" s="693"/>
      <c r="T37" s="693"/>
      <c r="U37" s="1743">
        <f>ROUNDUP(U36/2000,0)</f>
        <v>0</v>
      </c>
      <c r="V37" s="1132"/>
      <c r="W37" s="1132"/>
      <c r="BJ37" s="1739">
        <f>N56+N57+N58</f>
        <v>0</v>
      </c>
      <c r="BK37" s="1739">
        <f>SUM(N51:O55)</f>
        <v>0</v>
      </c>
      <c r="BL37" s="1739">
        <f>N59+N60</f>
        <v>0</v>
      </c>
      <c r="BM37" s="1739">
        <f>N67+N68+N69+N70</f>
        <v>0</v>
      </c>
      <c r="BN37" s="1739">
        <f>N66</f>
        <v>0</v>
      </c>
      <c r="BO37" s="1739">
        <f>N71</f>
        <v>0</v>
      </c>
      <c r="BP37" s="1739">
        <f>N74+N73+N72</f>
        <v>0</v>
      </c>
      <c r="BQ37" s="1739">
        <f>N83+N84+N85+N86+N87+N88+N90+N91+N92+N93+N94+N95+N96+W95+L79+N81</f>
        <v>0</v>
      </c>
      <c r="BR37" s="1739">
        <f>S40</f>
        <v>0</v>
      </c>
      <c r="DB37" s="1739">
        <f>D40-DB36</f>
        <v>0</v>
      </c>
      <c r="DC37" s="1739" t="e">
        <f>DC36-D40</f>
        <v>#DIV/0!</v>
      </c>
      <c r="DD37" s="1254">
        <f t="shared" ref="DD37:DJ37" si="51">SUM(DD10:DD36)</f>
        <v>0</v>
      </c>
      <c r="DE37" s="1254">
        <f t="shared" si="51"/>
        <v>0</v>
      </c>
      <c r="DF37" s="1254">
        <f t="shared" si="51"/>
        <v>0</v>
      </c>
      <c r="DG37" s="1254">
        <f t="shared" si="51"/>
        <v>0</v>
      </c>
      <c r="DH37" s="1254">
        <f t="shared" si="51"/>
        <v>0</v>
      </c>
      <c r="DI37" s="1121">
        <f t="shared" si="51"/>
        <v>0</v>
      </c>
      <c r="DJ37" s="1254">
        <f t="shared" si="51"/>
        <v>0</v>
      </c>
    </row>
    <row r="38" spans="1:114" s="1254" customFormat="1" ht="15.45">
      <c r="A38" s="888"/>
      <c r="B38" s="889"/>
      <c r="C38" s="890" t="s">
        <v>1261</v>
      </c>
      <c r="D38" s="2784"/>
      <c r="E38" s="2784"/>
      <c r="F38" s="889"/>
      <c r="G38" s="889"/>
      <c r="H38" s="889"/>
      <c r="I38" s="889"/>
      <c r="J38" s="889"/>
      <c r="K38" s="891"/>
      <c r="L38" s="889"/>
      <c r="M38" s="889"/>
      <c r="N38" s="889"/>
      <c r="O38" s="1053"/>
      <c r="P38" s="889"/>
      <c r="Q38" s="889"/>
      <c r="R38" s="889"/>
      <c r="S38" s="889"/>
      <c r="T38" s="889"/>
      <c r="U38" s="889"/>
      <c r="V38" s="889"/>
      <c r="W38" s="894"/>
      <c r="BJ38" s="1739">
        <f t="shared" ref="BJ38:BR38" si="52">BJ36-BJ37</f>
        <v>0</v>
      </c>
      <c r="BK38" s="1739">
        <f t="shared" si="52"/>
        <v>0</v>
      </c>
      <c r="BL38" s="1739">
        <f t="shared" si="52"/>
        <v>0</v>
      </c>
      <c r="BM38" s="1739">
        <f t="shared" si="52"/>
        <v>0</v>
      </c>
      <c r="BN38" s="1739">
        <f t="shared" si="52"/>
        <v>0</v>
      </c>
      <c r="BO38" s="1739">
        <f t="shared" si="52"/>
        <v>0</v>
      </c>
      <c r="BP38" s="1739">
        <f t="shared" si="52"/>
        <v>0</v>
      </c>
      <c r="BQ38" s="1739">
        <f t="shared" si="52"/>
        <v>0</v>
      </c>
      <c r="BR38" s="1739">
        <f t="shared" si="52"/>
        <v>0</v>
      </c>
    </row>
    <row r="39" spans="1:114" s="1254" customFormat="1" ht="30.9">
      <c r="A39" s="2786" t="s">
        <v>1262</v>
      </c>
      <c r="B39" s="2786"/>
      <c r="C39" s="2786"/>
      <c r="D39" s="1476" t="s">
        <v>982</v>
      </c>
      <c r="E39" s="1478"/>
      <c r="F39" s="1744" t="s">
        <v>1263</v>
      </c>
      <c r="G39" s="1477"/>
      <c r="H39" s="1478"/>
      <c r="I39" s="1054" t="s">
        <v>1264</v>
      </c>
      <c r="J39" s="1055"/>
      <c r="K39" s="1056"/>
      <c r="L39" s="1057" t="s">
        <v>1265</v>
      </c>
      <c r="M39" s="1058"/>
      <c r="N39" s="1058"/>
      <c r="O39" s="1059"/>
      <c r="P39" s="895"/>
      <c r="Q39" s="795" t="s">
        <v>1266</v>
      </c>
      <c r="R39" s="983"/>
      <c r="S39" s="983" t="s">
        <v>1267</v>
      </c>
      <c r="T39" s="1745" t="str">
        <f>Summary!P62</f>
        <v>N</v>
      </c>
      <c r="U39" s="1259" t="s">
        <v>1268</v>
      </c>
      <c r="V39" s="1746">
        <f>Summary!R62</f>
        <v>8.2500000000000004E-2</v>
      </c>
      <c r="W39" s="898"/>
      <c r="DD39" s="1254" t="s">
        <v>1401</v>
      </c>
      <c r="DF39" s="1254" t="s">
        <v>1402</v>
      </c>
    </row>
    <row r="40" spans="1:114" s="1254" customFormat="1" ht="15.45">
      <c r="A40" s="899" t="s">
        <v>1269</v>
      </c>
      <c r="B40" s="2865">
        <f>IF(BF36=0,0,D40/BF36)</f>
        <v>0</v>
      </c>
      <c r="C40" s="2865"/>
      <c r="D40" s="2866">
        <f>(S40-N96)*(1+L40)</f>
        <v>0</v>
      </c>
      <c r="E40" s="2866"/>
      <c r="F40" s="1747">
        <f>IF(D40=0,0,G40/D40)</f>
        <v>0</v>
      </c>
      <c r="G40" s="2792">
        <f>(D40-S40)</f>
        <v>0</v>
      </c>
      <c r="H40" s="2792"/>
      <c r="I40" s="3078">
        <f>IF(BF36=0,0,S40/BF36)</f>
        <v>0</v>
      </c>
      <c r="J40" s="3078"/>
      <c r="K40" s="1748"/>
      <c r="L40" s="1749">
        <f>Summary!P59</f>
        <v>0.18</v>
      </c>
      <c r="M40" s="1750"/>
      <c r="N40" s="1750"/>
      <c r="O40" s="1751"/>
      <c r="P40" s="1137"/>
      <c r="Q40" s="902" t="s">
        <v>980</v>
      </c>
      <c r="R40" s="18"/>
      <c r="S40" s="2942">
        <f>SUM(N51:O63)+SUM(N66:O75)+SUM(N78:O80)+SUM(N83:O88)+SUM(N90:O96)+W95+N64+SUM(K66:L75)+N81</f>
        <v>0</v>
      </c>
      <c r="T40" s="2942"/>
      <c r="U40" s="903"/>
      <c r="V40" s="798"/>
      <c r="W40" s="898"/>
      <c r="DB40" s="168"/>
      <c r="DC40" s="1140" t="s">
        <v>1403</v>
      </c>
      <c r="DD40" s="1141">
        <v>458</v>
      </c>
      <c r="DE40" s="1142"/>
    </row>
    <row r="41" spans="1:114" s="1254" customFormat="1" ht="15.45">
      <c r="A41" s="899"/>
      <c r="B41" s="1483"/>
      <c r="C41" s="1752" t="str">
        <f>IF(ROUND(D41,0)=0,"BINGO!!",IF(ROUND(D41,0)&lt;0,"To Low","T0 High"))</f>
        <v>BINGO!!</v>
      </c>
      <c r="D41" s="2796">
        <f>D40-D38</f>
        <v>0</v>
      </c>
      <c r="E41" s="2796"/>
      <c r="F41" s="1753"/>
      <c r="G41" s="1754"/>
      <c r="H41" s="1754"/>
      <c r="I41" s="1755"/>
      <c r="J41" s="1755"/>
      <c r="K41" s="1755"/>
      <c r="L41" s="1756"/>
      <c r="M41" s="1756"/>
      <c r="N41" s="1756"/>
      <c r="O41" s="1757"/>
      <c r="P41" s="1137"/>
      <c r="Q41" s="1758"/>
      <c r="R41" s="976"/>
      <c r="S41" s="1759"/>
      <c r="T41" s="1759"/>
      <c r="U41" s="1759"/>
      <c r="V41" s="1760"/>
      <c r="W41" s="898"/>
      <c r="DC41" s="928" t="s">
        <v>1406</v>
      </c>
      <c r="DD41" s="1148">
        <v>-5</v>
      </c>
      <c r="DE41" s="1149"/>
      <c r="DF41" s="1150">
        <f>DD40+DD41</f>
        <v>453</v>
      </c>
    </row>
    <row r="42" spans="1:114" s="1254" customFormat="1" ht="15.45">
      <c r="A42" s="1761" t="s">
        <v>1693</v>
      </c>
      <c r="B42" s="1762">
        <f>IF(F42=0,B40,IF(BF36=0,0,BV36/BF36)*(1+L40))</f>
        <v>0</v>
      </c>
      <c r="C42" s="1762"/>
      <c r="D42" s="1763" t="s">
        <v>1694</v>
      </c>
      <c r="E42" s="1763"/>
      <c r="F42" s="1764">
        <f>IF(BG36=0,0,(BT36+BS36)/BG36)*(1+L40)</f>
        <v>0</v>
      </c>
      <c r="G42" s="1764"/>
      <c r="H42" s="1765" t="s">
        <v>1270</v>
      </c>
      <c r="I42" s="1766"/>
      <c r="J42" s="1767"/>
      <c r="K42" s="1768"/>
      <c r="L42" s="904"/>
      <c r="M42" s="1769">
        <f>IF(J42&gt;0,(J42-D40)/(1+L40),0)</f>
        <v>0</v>
      </c>
      <c r="N42" s="1770"/>
      <c r="O42" s="913"/>
      <c r="P42" s="905"/>
      <c r="Q42" s="905"/>
      <c r="R42" s="905"/>
      <c r="S42" s="2946">
        <f>AE1</f>
        <v>0</v>
      </c>
      <c r="T42" s="2946"/>
      <c r="U42" s="1771"/>
      <c r="V42" s="905"/>
      <c r="W42" s="913"/>
      <c r="DC42" s="928" t="s">
        <v>1409</v>
      </c>
      <c r="DD42" s="1148">
        <v>460</v>
      </c>
      <c r="DE42" s="1149"/>
      <c r="DF42" s="1154">
        <f>DD42-DD40</f>
        <v>2</v>
      </c>
    </row>
    <row r="43" spans="1:114" s="1254" customFormat="1">
      <c r="A43" s="626"/>
      <c r="B43" s="626"/>
      <c r="C43" s="626"/>
      <c r="D43" s="626"/>
      <c r="E43" s="626"/>
      <c r="F43" s="626"/>
      <c r="G43" s="626"/>
      <c r="H43" s="626"/>
      <c r="I43" s="626" t="s">
        <v>1061</v>
      </c>
      <c r="J43" s="626" t="s">
        <v>1083</v>
      </c>
      <c r="K43" s="626"/>
      <c r="L43" s="626"/>
      <c r="M43" s="626"/>
      <c r="N43" s="626"/>
      <c r="O43" s="626"/>
      <c r="P43" s="626"/>
      <c r="Q43" s="626"/>
      <c r="R43" s="626" t="s">
        <v>1695</v>
      </c>
      <c r="S43" s="626"/>
      <c r="T43" s="634">
        <f>IF(SUM(W77:W82)=0,0,SUM(W77:W82)/H67)</f>
        <v>0</v>
      </c>
      <c r="U43" s="626" t="s">
        <v>1696</v>
      </c>
      <c r="V43" s="626"/>
      <c r="W43" s="626"/>
      <c r="DB43" s="229"/>
      <c r="DC43" s="229"/>
      <c r="DD43" s="1157"/>
      <c r="DE43" s="715"/>
      <c r="DF43" s="1157"/>
    </row>
    <row r="44" spans="1:114" s="1254" customFormat="1" ht="15.45">
      <c r="A44" s="18" t="s">
        <v>1697</v>
      </c>
      <c r="B44" s="1772"/>
      <c r="C44" s="1772"/>
      <c r="D44" s="1773"/>
      <c r="E44" s="1774"/>
      <c r="F44" s="1775"/>
      <c r="G44" s="1776"/>
      <c r="H44" s="1773"/>
      <c r="I44" s="1530"/>
      <c r="J44" s="1143"/>
      <c r="K44" s="1143"/>
      <c r="L44" s="1143"/>
      <c r="M44" s="1143"/>
      <c r="N44" s="2803" t="s">
        <v>721</v>
      </c>
      <c r="O44" s="2803"/>
      <c r="P44" s="1145" t="s">
        <v>1272</v>
      </c>
      <c r="Q44" s="626"/>
      <c r="R44" s="748" t="s">
        <v>1698</v>
      </c>
      <c r="S44" s="1777"/>
      <c r="T44" s="1778">
        <f>IF(H67=0,0,(N64+W95-W77-W78-W79-W81-W82-W72-W71-W70-W69-W68-W67)/H67)</f>
        <v>0</v>
      </c>
      <c r="U44" s="1779" t="s">
        <v>1699</v>
      </c>
      <c r="V44" s="1780"/>
      <c r="W44" s="626"/>
    </row>
    <row r="45" spans="1:114" s="1254" customFormat="1" ht="15.45">
      <c r="A45" s="626"/>
      <c r="B45" s="1772"/>
      <c r="C45" s="1772"/>
      <c r="D45" s="1773"/>
      <c r="E45" s="3079"/>
      <c r="F45" s="3079"/>
      <c r="G45" s="1773"/>
      <c r="H45" s="1773"/>
      <c r="I45" s="1772"/>
      <c r="J45" s="1540"/>
      <c r="K45" s="1143"/>
      <c r="L45" s="1143"/>
      <c r="M45" s="1143"/>
      <c r="N45" s="924" t="s">
        <v>1274</v>
      </c>
      <c r="O45" s="925"/>
      <c r="P45" s="926"/>
      <c r="Q45" s="1383"/>
      <c r="R45" s="1383" t="s">
        <v>1146</v>
      </c>
      <c r="S45" s="1383" t="s">
        <v>1268</v>
      </c>
      <c r="T45" s="1383" t="s">
        <v>1700</v>
      </c>
      <c r="U45" s="1383" t="s">
        <v>1701</v>
      </c>
      <c r="V45" s="1383"/>
      <c r="W45" s="1783"/>
    </row>
    <row r="46" spans="1:114" s="1254" customFormat="1" ht="15.45">
      <c r="A46" s="626"/>
      <c r="B46" s="1772"/>
      <c r="C46" s="1772"/>
      <c r="D46" s="1144"/>
      <c r="E46" s="1143"/>
      <c r="F46" s="1534"/>
      <c r="G46" s="1143"/>
      <c r="H46" s="1143"/>
      <c r="I46" s="1540"/>
      <c r="J46" s="1143"/>
      <c r="K46" s="1143"/>
      <c r="L46" s="1143"/>
      <c r="M46" s="1143"/>
      <c r="N46" s="932" t="s">
        <v>1276</v>
      </c>
      <c r="O46" s="933">
        <f>K56</f>
        <v>0</v>
      </c>
      <c r="P46" s="1155">
        <f>N56</f>
        <v>0</v>
      </c>
      <c r="Q46" s="626" t="s">
        <v>1702</v>
      </c>
      <c r="R46" s="628">
        <f>N67</f>
        <v>0</v>
      </c>
      <c r="S46" s="1785">
        <v>17.5</v>
      </c>
      <c r="T46" s="634">
        <f>S46*1.3</f>
        <v>22.75</v>
      </c>
      <c r="U46" s="1786">
        <f>R46/T46</f>
        <v>0</v>
      </c>
      <c r="V46" s="3080" t="e">
        <f>H67/U46</f>
        <v>#DIV/0!</v>
      </c>
      <c r="W46" s="3080"/>
    </row>
    <row r="47" spans="1:114" s="1254" customFormat="1" ht="15.45">
      <c r="A47" s="626"/>
      <c r="B47" s="1772"/>
      <c r="C47" s="1772"/>
      <c r="D47" s="1143"/>
      <c r="E47" s="1143"/>
      <c r="F47" s="1143"/>
      <c r="G47" s="1143"/>
      <c r="H47" s="1143"/>
      <c r="I47" s="1540"/>
      <c r="J47" s="1143"/>
      <c r="K47" s="1143"/>
      <c r="L47" s="1143"/>
      <c r="M47" s="1143"/>
      <c r="N47" s="1143"/>
      <c r="O47" s="1143"/>
      <c r="P47" s="626"/>
      <c r="Q47" s="805" t="s">
        <v>1703</v>
      </c>
      <c r="R47" s="628">
        <f>N68</f>
        <v>0</v>
      </c>
      <c r="S47" s="1785">
        <v>17.5</v>
      </c>
      <c r="T47" s="634">
        <f>S47*1.3</f>
        <v>22.75</v>
      </c>
      <c r="U47" s="1786">
        <f>R47/T47</f>
        <v>0</v>
      </c>
      <c r="V47" s="3081" t="e">
        <f>(K52+K55)/U47</f>
        <v>#DIV/0!</v>
      </c>
      <c r="W47" s="3081"/>
    </row>
    <row r="48" spans="1:114" s="1254" customFormat="1" ht="15.45">
      <c r="A48" s="18"/>
      <c r="B48" s="1772"/>
      <c r="C48" s="1772"/>
      <c r="D48" s="1143"/>
      <c r="E48" s="1143"/>
      <c r="F48" s="1143"/>
      <c r="G48" s="1143"/>
      <c r="H48" s="1143"/>
      <c r="I48" s="1540"/>
      <c r="J48" s="1143"/>
      <c r="K48" s="1143"/>
      <c r="L48" s="1143"/>
      <c r="M48" s="1143"/>
      <c r="N48" s="1143"/>
      <c r="O48" s="1143"/>
      <c r="Q48" s="750"/>
      <c r="R48" s="749"/>
      <c r="S48" s="749"/>
      <c r="T48" s="749"/>
      <c r="U48" s="1789"/>
      <c r="V48" s="1789"/>
      <c r="W48" s="1790"/>
      <c r="DD48" s="1254">
        <f>2.52/7.53</f>
        <v>0.33466135458167329</v>
      </c>
    </row>
    <row r="49" spans="1:109" s="1254" customFormat="1">
      <c r="A49" s="626"/>
      <c r="B49" s="626"/>
      <c r="C49" s="626"/>
      <c r="D49" s="626"/>
      <c r="E49" s="626"/>
      <c r="F49" s="626"/>
      <c r="G49" s="626"/>
      <c r="H49" s="626"/>
      <c r="I49" s="628"/>
      <c r="J49" s="626"/>
      <c r="K49" s="628"/>
      <c r="L49" s="626"/>
      <c r="M49" s="626"/>
      <c r="N49" s="626"/>
      <c r="O49" s="626"/>
      <c r="P49" s="626"/>
      <c r="Q49" s="626"/>
      <c r="R49" s="626"/>
      <c r="S49" s="626"/>
      <c r="T49" s="693"/>
      <c r="U49" s="693"/>
      <c r="V49" s="693"/>
      <c r="W49" s="693"/>
      <c r="DB49" s="1254">
        <f>SUM(DE51:DE62)*(1+J56)</f>
        <v>38.861320265625004</v>
      </c>
      <c r="DC49" s="402" t="s">
        <v>612</v>
      </c>
    </row>
    <row r="50" spans="1:109" s="1254" customFormat="1" ht="45.45">
      <c r="A50" s="941" t="s">
        <v>1280</v>
      </c>
      <c r="B50" s="1163" t="s">
        <v>1281</v>
      </c>
      <c r="C50" s="1164"/>
      <c r="D50" s="1164"/>
      <c r="E50" s="1164"/>
      <c r="F50" s="1164"/>
      <c r="G50" s="1164"/>
      <c r="H50" s="1164"/>
      <c r="I50" s="1164"/>
      <c r="J50" s="943" t="s">
        <v>1282</v>
      </c>
      <c r="K50" s="3009" t="str">
        <f>IF(ROUND(SUM(K51:K55),0)=W36,"Good","Missing Concrete!!!")</f>
        <v>Good</v>
      </c>
      <c r="L50" s="3009"/>
      <c r="M50" s="1164"/>
      <c r="N50" s="1164"/>
      <c r="O50" s="1165"/>
      <c r="P50" s="1166" t="s">
        <v>1284</v>
      </c>
      <c r="Q50" s="946" t="s">
        <v>1283</v>
      </c>
      <c r="R50" s="1098"/>
      <c r="S50" s="818" t="s">
        <v>835</v>
      </c>
      <c r="T50" s="947"/>
      <c r="U50" s="948" t="s">
        <v>518</v>
      </c>
      <c r="V50" s="947"/>
      <c r="W50" s="949"/>
      <c r="DB50" s="1168" t="s">
        <v>1259</v>
      </c>
      <c r="DC50" s="1169" t="s">
        <v>1215</v>
      </c>
      <c r="DD50" s="1170" t="s">
        <v>1369</v>
      </c>
      <c r="DE50" s="1171" t="s">
        <v>1414</v>
      </c>
    </row>
    <row r="51" spans="1:109" s="1254" customFormat="1" ht="18" customHeight="1">
      <c r="A51" s="1791">
        <v>1</v>
      </c>
      <c r="B51" s="952" t="str">
        <f>IF(A51=1,Pricing!F$2,IF(A51=2,Pricing!G$2,IF(A51=3,Pricing!H$2,IF(A51=4,Pricing!I$2,IF(A51=5,Pricing!J$2,IF(A51=6,Pricing!K$2,IF(A51=7,Pricing!L$2,IF(A51=8,Pricing!M$2,IF(A51=9,Pricing!N$2,IF(A51=10,Pricing!O$2,0))))))))))</f>
        <v>3,000 PSI 5sk /Ash and Air</v>
      </c>
      <c r="C51" s="1549"/>
      <c r="D51" s="1549"/>
      <c r="E51" s="1549"/>
      <c r="F51" s="969">
        <f>IF(A51=1,Pricing!F$3,IF(A51=2,Pricing!G$3,IF(A51=3,Pricing!H$3,IF(A51=4,Pricing!I$3,IF(A51=5,Pricing!J$3,IF(A51=6,Pricing!K$3,IF(A51=7,Pricing!L$3,IF(A51=8,Pricing!M$3,IF(A51=9,Pricing!N$3,IF(A51=10,Pricing!O$3))))))))))</f>
        <v>134</v>
      </c>
      <c r="G51" s="18" t="s">
        <v>1285</v>
      </c>
      <c r="H51" s="3082"/>
      <c r="I51" s="3082"/>
      <c r="J51" s="3013">
        <v>0.06</v>
      </c>
      <c r="K51" s="2957">
        <f>IF(A51=1,AR$36,IF(A51=2,AS$36,IF(A51=3,AT$36,IF(A51=4,AU$36,IF(A51=5,AV$36,IF(A51=6,AW$36,IF(A51=7,AX$36,IF(A51=8,AY$36,IF(A51=9,AZ$36,IF(A51=10,BA$36))))))))))+IF(A51=1,AH$36,IF(A51=2,AI$36,IF(A51=3,AJ$36,IF(A51=4,AK$36,IF(A51=5,AL$36,IF(A51=6,AM$36,IF(A51=7,AN$36,IF(A51=8,AOJ$36,IF(A51=9,AP$36,IF(A51=10,AQ$36))))))))))</f>
        <v>0</v>
      </c>
      <c r="L51" s="2957"/>
      <c r="M51" s="17" t="s">
        <v>1286</v>
      </c>
      <c r="N51" s="2813">
        <f>K51*F51*(IF(T$39="N",1+V$39,1))</f>
        <v>0</v>
      </c>
      <c r="O51" s="2813"/>
      <c r="P51" s="1172"/>
      <c r="Q51" s="859" t="s">
        <v>1415</v>
      </c>
      <c r="R51" s="77"/>
      <c r="S51" s="1173">
        <v>0.4</v>
      </c>
      <c r="T51" s="77"/>
      <c r="U51" s="1174">
        <f>BJ71</f>
        <v>0</v>
      </c>
      <c r="V51" s="77"/>
      <c r="W51" s="1175"/>
      <c r="DB51" s="142">
        <v>20</v>
      </c>
      <c r="DC51" s="143">
        <v>4</v>
      </c>
      <c r="DD51" s="144">
        <v>1</v>
      </c>
      <c r="DE51" s="145">
        <f>DB51*(DC51*DC51*0.04180884375)*DD51</f>
        <v>13.378829999999999</v>
      </c>
    </row>
    <row r="52" spans="1:109" s="1254" customFormat="1" ht="18" customHeight="1">
      <c r="A52" s="1792">
        <v>2</v>
      </c>
      <c r="B52" s="574" t="str">
        <f>IF(A52=1,Pricing!F$2,IF(A52=2,Pricing!G$2,IF(A52=3,Pricing!H$2,IF(A52=4,Pricing!I$2,IF(A52=5,Pricing!J$2,IF(A52=6,Pricing!K$2,IF(A52=7,Pricing!L$2,IF(A52=8,Pricing!M$2,IF(A52=9,Pricing!N$2,IF(A52=10,Pricing!O$2,0))))))))))</f>
        <v>3,000 PSI / Ash no Air</v>
      </c>
      <c r="C52" s="18"/>
      <c r="D52" s="18"/>
      <c r="E52" s="18"/>
      <c r="F52" s="969">
        <f>IF(A52=1,Pricing!F$3,IF(A52=2,Pricing!G$3,IF(A52=3,Pricing!H$3,IF(A52=4,Pricing!I$3,IF(A52=5,Pricing!J$3,IF(A52=6,Pricing!K$3,IF(A52=7,Pricing!L$3,IF(A52=8,Pricing!M$3,IF(A52=9,Pricing!N$3,IF(A52=10,Pricing!O$3))))))))))</f>
        <v>145</v>
      </c>
      <c r="G52" s="18" t="s">
        <v>1285</v>
      </c>
      <c r="H52" s="3082"/>
      <c r="I52" s="3082"/>
      <c r="J52" s="3013"/>
      <c r="K52" s="3010">
        <f>IF(A52=1,AR$36,IF(A52=2,AS$36,IF(A52=3,AT$36,IF(A52=4,AU$36,IF(A52=5,AV$36,IF(A52=6,AW$36))))))+IF(A52=1,AH$36,IF(A52=2,AI$36,IF(A52=3,AJ$36,IF(A52=4,AK$36,IF(A52=5,AL$36,IF(A52=6,AM$36))))))</f>
        <v>0</v>
      </c>
      <c r="L52" s="3010"/>
      <c r="M52" s="17" t="s">
        <v>1286</v>
      </c>
      <c r="N52" s="2810">
        <f>K52*F52*(IF(T$39="N",1+V$39,1))</f>
        <v>0</v>
      </c>
      <c r="O52" s="2810"/>
      <c r="P52" s="1172" t="s">
        <v>1069</v>
      </c>
      <c r="Q52" s="859" t="s">
        <v>526</v>
      </c>
      <c r="R52" s="77"/>
      <c r="S52" s="1176">
        <f>H67*3.6*S51</f>
        <v>0</v>
      </c>
      <c r="T52" s="1177" t="s">
        <v>1704</v>
      </c>
      <c r="U52" s="1174">
        <f>Pricing!Q4</f>
        <v>0.859375</v>
      </c>
      <c r="V52" s="77" t="s">
        <v>527</v>
      </c>
      <c r="W52" s="1175">
        <f t="shared" ref="W52:W67" si="53">IF(T$39="Y",S52*U52,S52*U52*(1+V$39))</f>
        <v>0</v>
      </c>
      <c r="DB52" s="142">
        <v>3</v>
      </c>
      <c r="DC52" s="143">
        <v>5</v>
      </c>
      <c r="DD52" s="144">
        <v>3</v>
      </c>
      <c r="DE52" s="145">
        <f>DB52*(DC52*DC52*0.04180884375)*DD52</f>
        <v>9.406989843749999</v>
      </c>
    </row>
    <row r="53" spans="1:109" s="1254" customFormat="1" ht="18" customHeight="1">
      <c r="A53" s="1793">
        <v>3</v>
      </c>
      <c r="B53" s="574" t="str">
        <f>IF(A53=1,Pricing!F$2,IF(A53=2,Pricing!G$2,IF(A53=3,Pricing!H$2,IF(A53=4,Pricing!I$2,IF(A53=5,Pricing!J$2,IF(A53=6,Pricing!K$2,IF(A53=7,Pricing!L$2,IF(A53=8,Pricing!M$2,IF(A53=9,Pricing!N$2,IF(A53=10,Pricing!O$2,0))))))))))</f>
        <v>3,500 PSI 5.5sk /Ash and Air</v>
      </c>
      <c r="C53" s="18"/>
      <c r="D53" s="18"/>
      <c r="E53" s="18"/>
      <c r="F53" s="969">
        <f>IF(A53=1,Pricing!F$3,IF(A53=2,Pricing!G$3,IF(A53=3,Pricing!H$3,IF(A53=4,Pricing!I$3,IF(A53=5,Pricing!J$3,IF(A53=6,Pricing!K$3,IF(A53=7,Pricing!L$3,IF(A53=8,Pricing!M$3,IF(A53=9,Pricing!N$3,IF(A53=10,Pricing!O$3))))))))))</f>
        <v>150</v>
      </c>
      <c r="G53" s="18" t="s">
        <v>1285</v>
      </c>
      <c r="H53" s="3082"/>
      <c r="I53" s="3082"/>
      <c r="J53" s="3013"/>
      <c r="K53" s="3010">
        <f>IF(A53=1,AR$36,IF(A53=2,AS$36,IF(A53=3,AT$36,IF(A53=4,AU$36,IF(A53=5,AV$36,IF(A53=6,AW$36))))))+IF(A53=1,AH$36,IF(A53=2,AI$36,IF(A53=3,AJ$36,IF(A53=4,AK$36,IF(A53=5,AL$36,IF(A53=6,AM$36))))))</f>
        <v>0</v>
      </c>
      <c r="L53" s="3010"/>
      <c r="M53" s="17" t="s">
        <v>1286</v>
      </c>
      <c r="N53" s="2810">
        <f>K53*F53*(IF(T$39="N",1+V$39,1))</f>
        <v>0</v>
      </c>
      <c r="O53" s="2810"/>
      <c r="P53" s="1172"/>
      <c r="Q53" s="859"/>
      <c r="R53" s="77"/>
      <c r="S53" s="1176"/>
      <c r="T53" s="1177"/>
      <c r="U53" s="1174"/>
      <c r="V53" s="77"/>
      <c r="W53" s="1175">
        <f t="shared" si="53"/>
        <v>0</v>
      </c>
      <c r="DB53" s="142"/>
      <c r="DC53" s="143"/>
      <c r="DD53" s="144"/>
      <c r="DE53" s="145"/>
    </row>
    <row r="54" spans="1:109" s="1254" customFormat="1" ht="18" customHeight="1">
      <c r="A54" s="1793">
        <v>4</v>
      </c>
      <c r="B54" s="574" t="str">
        <f>IF(A54=1,Pricing!F$2,IF(A54=2,Pricing!G$2,IF(A54=3,Pricing!H$2,IF(A54=4,Pricing!I$2,IF(A54=5,Pricing!J$2,IF(A54=6,Pricing!K$2,IF(A54=7,Pricing!L$2,IF(A54=8,Pricing!M$2,IF(A54=9,Pricing!N$2,IF(A54=10,Pricing!O$2,0))))))))))</f>
        <v>3,500 PSI /Ash No Air</v>
      </c>
      <c r="C54" s="18"/>
      <c r="D54" s="18"/>
      <c r="E54" s="18"/>
      <c r="F54" s="969">
        <f>IF(A54=1,Pricing!F$3,IF(A54=2,Pricing!G$3,IF(A54=3,Pricing!H$3,IF(A54=4,Pricing!I$3,IF(A54=5,Pricing!J$3,IF(A54=6,Pricing!K$3,IF(A54=7,Pricing!L$3,IF(A54=8,Pricing!M$3,IF(A54=9,Pricing!N$3,IF(A54=10,Pricing!O$3))))))))))</f>
        <v>150</v>
      </c>
      <c r="G54" s="18" t="s">
        <v>1285</v>
      </c>
      <c r="H54" s="3082"/>
      <c r="I54" s="3082"/>
      <c r="J54" s="3013"/>
      <c r="K54" s="3010">
        <f>IF(A54=1,AR$36,IF(A54=2,AS$36,IF(A54=3,AT$36,IF(A54=4,AU$36,IF(A54=5,AV$36,IF(A54=6,AW$36))))))+IF(A54=1,AH$36,IF(A54=2,AI$36,IF(A54=3,AJ$36,IF(A54=4,AK$36,IF(A54=5,AL$36,IF(A54=6,AM$36))))))</f>
        <v>0</v>
      </c>
      <c r="L54" s="3010"/>
      <c r="M54" s="17" t="s">
        <v>1286</v>
      </c>
      <c r="N54" s="2810">
        <f>K54*F54*(IF(T$39="N",1+V$39,1))</f>
        <v>0</v>
      </c>
      <c r="O54" s="2810"/>
      <c r="P54" s="1172"/>
      <c r="Q54" s="859"/>
      <c r="R54" s="77"/>
      <c r="S54" s="1176"/>
      <c r="T54" s="1177"/>
      <c r="U54" s="1174"/>
      <c r="V54" s="77"/>
      <c r="W54" s="1175">
        <f t="shared" si="53"/>
        <v>0</v>
      </c>
      <c r="DB54" s="142"/>
      <c r="DC54" s="143"/>
      <c r="DD54" s="144"/>
      <c r="DE54" s="145"/>
    </row>
    <row r="55" spans="1:109" s="1254" customFormat="1" ht="18" customHeight="1">
      <c r="A55" s="1794">
        <v>5</v>
      </c>
      <c r="B55" s="966" t="str">
        <f>IF(A55=1,Pricing!F$2,IF(A55=2,Pricing!G$2,IF(A55=3,Pricing!H$2,IF(A55=4,Pricing!I$2,IF(A55=5,Pricing!J$2,IF(A55=6,Pricing!K$2,IF(A55=7,Pricing!L$2,IF(A55=8,Pricing!M$2,IF(A55=9,Pricing!N$2,IF(A55=10,Pricing!O$2,0))))))))))</f>
        <v>4,000 PSI /Ash and Air</v>
      </c>
      <c r="C55" s="373"/>
      <c r="D55" s="373"/>
      <c r="E55" s="373"/>
      <c r="F55" s="1180">
        <f>IF(A55=1,Pricing!F$3,IF(A55=2,Pricing!G$3,IF(A55=3,Pricing!H$3,IF(A55=4,Pricing!I$3,IF(A55=5,Pricing!J$3,IF(A55=6,Pricing!K$3,IF(A55=7,Pricing!L$3,IF(A55=8,Pricing!M$3,IF(A55=9,Pricing!N$3,IF(A55=10,Pricing!O$3))))))))))</f>
        <v>155</v>
      </c>
      <c r="G55" s="373" t="s">
        <v>1285</v>
      </c>
      <c r="H55" s="3082"/>
      <c r="I55" s="3082"/>
      <c r="J55" s="3013"/>
      <c r="K55" s="3011">
        <f>IF(A55=1,AR$36,IF(A55=2,AS$36,IF(A55=3,AT$36,IF(A55=4,AU$36,IF(A55=5,AV$36,IF(A55=6,AW$36))))))+IF(A55=1,AH$36,IF(A55=2,AI$36,IF(A55=3,AJ$36,IF(A55=4,AK$36,IF(A55=5,AL$36,IF(A55=6,AM$36))))))</f>
        <v>0</v>
      </c>
      <c r="L55" s="3011"/>
      <c r="M55" s="967" t="s">
        <v>1286</v>
      </c>
      <c r="N55" s="2819">
        <f>K55*F55*(IF(T$39="N",1+V$39,1))</f>
        <v>0</v>
      </c>
      <c r="O55" s="2819"/>
      <c r="P55" s="1172" t="s">
        <v>1069</v>
      </c>
      <c r="Q55" s="859" t="s">
        <v>534</v>
      </c>
      <c r="R55" s="77"/>
      <c r="S55" s="1176">
        <f>S52*0.2</f>
        <v>0</v>
      </c>
      <c r="T55" s="1177" t="s">
        <v>1704</v>
      </c>
      <c r="U55" s="1174">
        <f>Pricing!Q5</f>
        <v>1.4453125</v>
      </c>
      <c r="V55" s="77" t="s">
        <v>527</v>
      </c>
      <c r="W55" s="1175">
        <f t="shared" si="53"/>
        <v>0</v>
      </c>
      <c r="DB55" s="142">
        <v>6</v>
      </c>
      <c r="DC55" s="143">
        <v>5</v>
      </c>
      <c r="DD55" s="144">
        <v>2</v>
      </c>
      <c r="DE55" s="145">
        <f t="shared" ref="DE55:DE62" si="54">DB55*(DC55*DC55*0.04180884375)*DD55</f>
        <v>12.542653124999999</v>
      </c>
    </row>
    <row r="56" spans="1:109" s="1254" customFormat="1" ht="18" customHeight="1">
      <c r="A56" s="1795" t="str">
        <f>Summary!V60</f>
        <v>Import</v>
      </c>
      <c r="B56" s="963" t="s">
        <v>1287</v>
      </c>
      <c r="C56" s="18"/>
      <c r="D56" s="18"/>
      <c r="E56" s="18"/>
      <c r="F56" s="969">
        <f>Pricing!D23</f>
        <v>0.65</v>
      </c>
      <c r="G56" s="18" t="s">
        <v>555</v>
      </c>
      <c r="H56" s="3083"/>
      <c r="I56" s="3083"/>
      <c r="J56" s="970">
        <v>0.1</v>
      </c>
      <c r="K56" s="2957">
        <f>U36</f>
        <v>0</v>
      </c>
      <c r="L56" s="2957"/>
      <c r="M56" s="18" t="s">
        <v>1288</v>
      </c>
      <c r="N56" s="2813">
        <f>F56*K56*(IF(T39="N",1+V39,1))</f>
        <v>0</v>
      </c>
      <c r="O56" s="2813"/>
      <c r="P56" s="1172" t="s">
        <v>1069</v>
      </c>
      <c r="Q56" s="859" t="s">
        <v>536</v>
      </c>
      <c r="R56" s="77"/>
      <c r="S56" s="1176">
        <v>0</v>
      </c>
      <c r="T56" s="1177" t="s">
        <v>1704</v>
      </c>
      <c r="U56" s="1174">
        <f>Pricing!Q6</f>
        <v>1.171875</v>
      </c>
      <c r="V56" s="77" t="s">
        <v>527</v>
      </c>
      <c r="W56" s="1175">
        <f t="shared" si="53"/>
        <v>0</v>
      </c>
      <c r="DB56" s="142"/>
      <c r="DC56" s="143"/>
      <c r="DD56" s="144"/>
      <c r="DE56" s="145">
        <f t="shared" si="54"/>
        <v>0</v>
      </c>
    </row>
    <row r="57" spans="1:109" s="1254" customFormat="1" ht="18" customHeight="1">
      <c r="A57" s="574"/>
      <c r="B57" s="963"/>
      <c r="C57" s="18"/>
      <c r="D57" s="18"/>
      <c r="E57" s="18"/>
      <c r="F57" s="1182">
        <f>Pricing!F6</f>
        <v>0</v>
      </c>
      <c r="G57" s="18" t="s">
        <v>600</v>
      </c>
      <c r="H57" s="3084"/>
      <c r="I57" s="3084"/>
      <c r="J57" s="1184">
        <v>0.05</v>
      </c>
      <c r="K57" s="3010"/>
      <c r="L57" s="3010"/>
      <c r="M57" s="18" t="s">
        <v>1418</v>
      </c>
      <c r="N57" s="2810">
        <f>K57*F57*(IF(T39="N",1+V39,1))*(J57+1)</f>
        <v>0</v>
      </c>
      <c r="O57" s="2810"/>
      <c r="P57" s="1172" t="s">
        <v>1069</v>
      </c>
      <c r="Q57" s="859" t="s">
        <v>538</v>
      </c>
      <c r="R57" s="77"/>
      <c r="S57" s="1176">
        <f>E36*2*S51</f>
        <v>0</v>
      </c>
      <c r="T57" s="1177" t="s">
        <v>1704</v>
      </c>
      <c r="U57" s="1174">
        <f>Pricing!Q7</f>
        <v>1.09375</v>
      </c>
      <c r="V57" s="77" t="s">
        <v>527</v>
      </c>
      <c r="W57" s="1175">
        <f t="shared" si="53"/>
        <v>0</v>
      </c>
      <c r="DB57" s="1185"/>
      <c r="DC57" s="1186"/>
      <c r="DD57" s="1187"/>
      <c r="DE57" s="1188">
        <f t="shared" si="54"/>
        <v>0</v>
      </c>
    </row>
    <row r="58" spans="1:109" s="1254" customFormat="1" ht="18" customHeight="1">
      <c r="A58" s="574"/>
      <c r="B58" s="966" t="s">
        <v>1419</v>
      </c>
      <c r="C58" s="373"/>
      <c r="D58" s="373"/>
      <c r="E58" s="373"/>
      <c r="F58" s="1180">
        <v>0.35</v>
      </c>
      <c r="G58" s="373" t="s">
        <v>600</v>
      </c>
      <c r="H58" s="1209" t="s">
        <v>1291</v>
      </c>
      <c r="I58" s="972">
        <v>0</v>
      </c>
      <c r="J58" s="972"/>
      <c r="K58" s="3011"/>
      <c r="L58" s="3011"/>
      <c r="M58" s="373" t="s">
        <v>1418</v>
      </c>
      <c r="N58" s="2815">
        <f>IF(L35="y",IF(I58=0,K58*F58,I58),0)*(IF(S$65="N",1+U$65,1))</f>
        <v>0</v>
      </c>
      <c r="O58" s="2815"/>
      <c r="P58" s="1172" t="s">
        <v>1069</v>
      </c>
      <c r="Q58" s="859" t="s">
        <v>540</v>
      </c>
      <c r="R58" s="77"/>
      <c r="S58" s="1176">
        <f>ROUNDUP(H67*2/32*S51*1.1,0)</f>
        <v>0</v>
      </c>
      <c r="T58" s="77" t="s">
        <v>1420</v>
      </c>
      <c r="U58" s="1174">
        <f>Pricing!Q8</f>
        <v>74.75</v>
      </c>
      <c r="V58" s="77" t="s">
        <v>541</v>
      </c>
      <c r="W58" s="1175">
        <f t="shared" si="53"/>
        <v>0</v>
      </c>
      <c r="DB58" s="142"/>
      <c r="DC58" s="143"/>
      <c r="DD58" s="144"/>
      <c r="DE58" s="145">
        <f t="shared" si="54"/>
        <v>0</v>
      </c>
    </row>
    <row r="59" spans="1:109" s="1254" customFormat="1" ht="18" customHeight="1">
      <c r="A59" s="1087"/>
      <c r="B59" s="17" t="s">
        <v>1421</v>
      </c>
      <c r="C59" s="18"/>
      <c r="D59" s="18"/>
      <c r="E59" s="18"/>
      <c r="F59" s="1191">
        <v>20</v>
      </c>
      <c r="G59" s="18" t="s">
        <v>1459</v>
      </c>
      <c r="H59" s="2816"/>
      <c r="I59" s="2816"/>
      <c r="J59" s="3013">
        <v>0.05</v>
      </c>
      <c r="K59" s="2957">
        <f>SUM(BH36)</f>
        <v>0</v>
      </c>
      <c r="L59" s="2957"/>
      <c r="M59" s="18" t="s">
        <v>1286</v>
      </c>
      <c r="N59" s="2813">
        <f>K59*F59*IF(Q29="N",1+T29,1)</f>
        <v>0</v>
      </c>
      <c r="O59" s="2813"/>
      <c r="P59" s="1172" t="s">
        <v>1069</v>
      </c>
      <c r="Q59" s="859" t="s">
        <v>1298</v>
      </c>
      <c r="R59" s="77"/>
      <c r="S59" s="1176">
        <f>ROUNDUP(E36*2/25,0)*S51</f>
        <v>0</v>
      </c>
      <c r="T59" s="77" t="s">
        <v>1705</v>
      </c>
      <c r="U59" s="1174">
        <f>Pricing!Q15</f>
        <v>24</v>
      </c>
      <c r="V59" s="77" t="s">
        <v>1300</v>
      </c>
      <c r="W59" s="1175">
        <f t="shared" si="53"/>
        <v>0</v>
      </c>
      <c r="DB59" s="142"/>
      <c r="DC59" s="143"/>
      <c r="DD59" s="144"/>
      <c r="DE59" s="145">
        <f t="shared" si="54"/>
        <v>0</v>
      </c>
    </row>
    <row r="60" spans="1:109" s="1254" customFormat="1" ht="18" customHeight="1">
      <c r="A60" s="574"/>
      <c r="B60" s="987" t="s">
        <v>1424</v>
      </c>
      <c r="C60" s="373"/>
      <c r="D60" s="1192"/>
      <c r="E60" s="373"/>
      <c r="F60" s="1193">
        <v>38</v>
      </c>
      <c r="G60" s="373" t="s">
        <v>1285</v>
      </c>
      <c r="H60" s="2816"/>
      <c r="I60" s="2816"/>
      <c r="J60" s="3013"/>
      <c r="K60" s="3011"/>
      <c r="L60" s="3011"/>
      <c r="M60" s="373" t="s">
        <v>1418</v>
      </c>
      <c r="N60" s="2819">
        <f>K60*F60</f>
        <v>0</v>
      </c>
      <c r="O60" s="2819"/>
      <c r="P60" s="1172" t="s">
        <v>1069</v>
      </c>
      <c r="Q60" s="859" t="s">
        <v>561</v>
      </c>
      <c r="R60" s="77"/>
      <c r="S60" s="1176">
        <f>ROUNDUP(H67/1800,0)</f>
        <v>0</v>
      </c>
      <c r="T60" s="77" t="s">
        <v>1303</v>
      </c>
      <c r="U60" s="1174">
        <f>Pricing!Q16</f>
        <v>68.2</v>
      </c>
      <c r="V60" s="77" t="s">
        <v>562</v>
      </c>
      <c r="W60" s="1175">
        <f t="shared" si="53"/>
        <v>0</v>
      </c>
      <c r="DB60" s="142"/>
      <c r="DC60" s="143"/>
      <c r="DD60" s="144"/>
      <c r="DE60" s="145">
        <f t="shared" si="54"/>
        <v>0</v>
      </c>
    </row>
    <row r="61" spans="1:109" s="1254" customFormat="1" ht="18" customHeight="1">
      <c r="A61" s="574"/>
      <c r="B61" s="963"/>
      <c r="C61" s="18"/>
      <c r="D61" s="793"/>
      <c r="E61" s="18"/>
      <c r="F61" s="1796">
        <v>0.17</v>
      </c>
      <c r="G61" s="18" t="s">
        <v>1426</v>
      </c>
      <c r="H61" s="2816"/>
      <c r="I61" s="2816"/>
      <c r="J61" s="3013">
        <v>0.1</v>
      </c>
      <c r="K61" s="2957"/>
      <c r="L61" s="2957"/>
      <c r="M61" s="18" t="s">
        <v>1418</v>
      </c>
      <c r="N61" s="3085">
        <f>F61*K61</f>
        <v>0</v>
      </c>
      <c r="O61" s="3085"/>
      <c r="P61" s="1172" t="s">
        <v>1069</v>
      </c>
      <c r="Q61" s="859" t="s">
        <v>563</v>
      </c>
      <c r="R61" s="77"/>
      <c r="S61" s="1176">
        <f>ROUNDUP(H67/1000,0)</f>
        <v>0</v>
      </c>
      <c r="T61" s="77" t="s">
        <v>1303</v>
      </c>
      <c r="U61" s="1174">
        <f>Pricing!Q17</f>
        <v>68.2</v>
      </c>
      <c r="V61" s="77" t="s">
        <v>562</v>
      </c>
      <c r="W61" s="1175">
        <f t="shared" si="53"/>
        <v>0</v>
      </c>
      <c r="DB61" s="1195"/>
      <c r="DC61" s="143"/>
      <c r="DD61" s="144"/>
      <c r="DE61" s="145">
        <f t="shared" si="54"/>
        <v>0</v>
      </c>
    </row>
    <row r="62" spans="1:109" s="1254" customFormat="1" ht="18" customHeight="1">
      <c r="A62" s="963" t="s">
        <v>1706</v>
      </c>
      <c r="B62" s="17"/>
      <c r="C62" s="17"/>
      <c r="D62" s="793" t="s">
        <v>1428</v>
      </c>
      <c r="E62" s="1196" t="s">
        <v>1029</v>
      </c>
      <c r="F62" s="1197">
        <v>1.25</v>
      </c>
      <c r="G62" s="18" t="s">
        <v>600</v>
      </c>
      <c r="H62" s="2816"/>
      <c r="I62" s="2816"/>
      <c r="J62" s="3013"/>
      <c r="K62" s="3010">
        <f>IF(E62="Y",E36,0)*(1+J60)</f>
        <v>0</v>
      </c>
      <c r="L62" s="3010"/>
      <c r="M62" s="18" t="s">
        <v>1259</v>
      </c>
      <c r="N62" s="2859">
        <f>K62*F62</f>
        <v>0</v>
      </c>
      <c r="O62" s="2859"/>
      <c r="P62" s="1172" t="s">
        <v>1069</v>
      </c>
      <c r="Q62" s="859" t="s">
        <v>564</v>
      </c>
      <c r="R62" s="77"/>
      <c r="S62" s="1176">
        <f>S61</f>
        <v>0</v>
      </c>
      <c r="T62" s="77" t="s">
        <v>1303</v>
      </c>
      <c r="U62" s="1174">
        <f>Pricing!Q18</f>
        <v>68.2</v>
      </c>
      <c r="V62" s="77" t="s">
        <v>562</v>
      </c>
      <c r="W62" s="1175">
        <f t="shared" si="53"/>
        <v>0</v>
      </c>
      <c r="DB62" s="1185"/>
      <c r="DC62" s="1186"/>
      <c r="DD62" s="1187"/>
      <c r="DE62" s="1188">
        <f t="shared" si="54"/>
        <v>0</v>
      </c>
    </row>
    <row r="63" spans="1:109" s="1254" customFormat="1" ht="18" customHeight="1">
      <c r="A63" s="987" t="s">
        <v>1707</v>
      </c>
      <c r="B63" s="967"/>
      <c r="C63" s="967"/>
      <c r="D63" s="1192" t="s">
        <v>1428</v>
      </c>
      <c r="E63" s="1198" t="s">
        <v>1029</v>
      </c>
      <c r="F63" s="1199">
        <v>1.8</v>
      </c>
      <c r="G63" s="373" t="s">
        <v>1430</v>
      </c>
      <c r="H63" s="2816"/>
      <c r="I63" s="2816"/>
      <c r="J63" s="3013"/>
      <c r="K63" s="3011">
        <f>IF(E63="Y",E36*2,0)*(1+J61)</f>
        <v>0</v>
      </c>
      <c r="L63" s="3011"/>
      <c r="M63" s="373" t="s">
        <v>1259</v>
      </c>
      <c r="N63" s="2815">
        <f>K63*F63</f>
        <v>0</v>
      </c>
      <c r="O63" s="2815"/>
      <c r="P63" s="1172" t="s">
        <v>1069</v>
      </c>
      <c r="Q63" s="859" t="s">
        <v>1310</v>
      </c>
      <c r="R63" s="77"/>
      <c r="S63" s="1176">
        <f>AL23*12/48/50</f>
        <v>0</v>
      </c>
      <c r="T63" s="77" t="s">
        <v>1303</v>
      </c>
      <c r="U63" s="1174">
        <f>Pricing!Q34</f>
        <v>45.239999999999995</v>
      </c>
      <c r="V63" s="77" t="s">
        <v>562</v>
      </c>
      <c r="W63" s="1175">
        <f t="shared" si="53"/>
        <v>0</v>
      </c>
    </row>
    <row r="64" spans="1:109" s="1254" customFormat="1" ht="18" customHeight="1">
      <c r="A64" s="577"/>
      <c r="B64" s="577" t="s">
        <v>1431</v>
      </c>
      <c r="C64" s="976"/>
      <c r="D64" s="976"/>
      <c r="E64" s="976"/>
      <c r="F64" s="1798">
        <v>3.75</v>
      </c>
      <c r="G64" s="976" t="s">
        <v>1432</v>
      </c>
      <c r="H64" s="2820" t="s">
        <v>1708</v>
      </c>
      <c r="I64" s="2820"/>
      <c r="J64" s="978"/>
      <c r="K64" s="1201">
        <f>H67</f>
        <v>0</v>
      </c>
      <c r="L64" s="1799"/>
      <c r="M64" s="976" t="s">
        <v>1418</v>
      </c>
      <c r="N64" s="3015">
        <f>F64*J64*K64</f>
        <v>0</v>
      </c>
      <c r="O64" s="3015"/>
      <c r="P64" s="1172" t="s">
        <v>1069</v>
      </c>
      <c r="Q64" s="859" t="s">
        <v>571</v>
      </c>
      <c r="R64" s="77"/>
      <c r="S64" s="1176">
        <f>BN51+AD122</f>
        <v>0</v>
      </c>
      <c r="T64" s="1177" t="s">
        <v>1704</v>
      </c>
      <c r="U64" s="1174">
        <f>Pricing!Q19</f>
        <v>0.95</v>
      </c>
      <c r="V64" s="77" t="s">
        <v>527</v>
      </c>
      <c r="W64" s="1175">
        <f t="shared" si="53"/>
        <v>0</v>
      </c>
    </row>
    <row r="65" spans="1:23" s="1254" customFormat="1" ht="18" customHeight="1">
      <c r="A65" s="1202" t="s">
        <v>1434</v>
      </c>
      <c r="B65" s="1203"/>
      <c r="C65" s="1203" t="s">
        <v>1296</v>
      </c>
      <c r="D65" s="1203"/>
      <c r="E65" s="1203"/>
      <c r="F65" s="1800"/>
      <c r="G65" s="1203"/>
      <c r="H65" s="1203"/>
      <c r="I65" s="1203"/>
      <c r="J65" s="1203"/>
      <c r="K65" s="1203" t="s">
        <v>973</v>
      </c>
      <c r="L65" s="1203"/>
      <c r="M65" s="1203" t="s">
        <v>1297</v>
      </c>
      <c r="N65" s="1801"/>
      <c r="O65" s="1086"/>
      <c r="P65" s="1172" t="s">
        <v>1069</v>
      </c>
      <c r="Q65" s="859" t="s">
        <v>576</v>
      </c>
      <c r="R65" s="77"/>
      <c r="S65" s="1176">
        <f>E36*2</f>
        <v>0</v>
      </c>
      <c r="T65" s="1177" t="s">
        <v>1704</v>
      </c>
      <c r="U65" s="1174">
        <f>Pricing!Q20</f>
        <v>0.25</v>
      </c>
      <c r="V65" s="77" t="s">
        <v>527</v>
      </c>
      <c r="W65" s="1175">
        <f t="shared" si="53"/>
        <v>0</v>
      </c>
    </row>
    <row r="66" spans="1:23" s="1254" customFormat="1" ht="18" customHeight="1">
      <c r="A66" s="1593" t="s">
        <v>1709</v>
      </c>
      <c r="B66" s="983"/>
      <c r="C66" s="982" t="s">
        <v>1306</v>
      </c>
      <c r="D66" s="2825">
        <v>8</v>
      </c>
      <c r="E66" s="2825"/>
      <c r="F66" s="1802" t="s">
        <v>1618</v>
      </c>
      <c r="G66" s="983"/>
      <c r="H66" s="3018">
        <f>BG36</f>
        <v>0</v>
      </c>
      <c r="I66" s="3018"/>
      <c r="J66" s="983" t="s">
        <v>1418</v>
      </c>
      <c r="K66" s="2828">
        <f>IF(C66="N",D66*H66,0)</f>
        <v>0</v>
      </c>
      <c r="L66" s="2828"/>
      <c r="M66" s="168"/>
      <c r="N66" s="2856">
        <f>IF(C66="y",D66*H66,0)</f>
        <v>0</v>
      </c>
      <c r="O66" s="2856"/>
      <c r="P66" s="1172" t="s">
        <v>1069</v>
      </c>
      <c r="Q66" s="859" t="s">
        <v>583</v>
      </c>
      <c r="R66" s="77"/>
      <c r="S66" s="1176">
        <f>H67/2.25/50</f>
        <v>0</v>
      </c>
      <c r="T66" s="77" t="s">
        <v>584</v>
      </c>
      <c r="U66" s="1174">
        <f>Pricing!Q21</f>
        <v>45</v>
      </c>
      <c r="V66" s="77" t="s">
        <v>562</v>
      </c>
      <c r="W66" s="1175">
        <f t="shared" si="53"/>
        <v>0</v>
      </c>
    </row>
    <row r="67" spans="1:23" s="1254" customFormat="1" ht="18" customHeight="1">
      <c r="A67" s="482" t="s">
        <v>1437</v>
      </c>
      <c r="B67" s="380"/>
      <c r="C67" s="1206" t="s">
        <v>1306</v>
      </c>
      <c r="D67" s="2830">
        <v>3.5</v>
      </c>
      <c r="E67" s="2830"/>
      <c r="F67" s="77" t="s">
        <v>1618</v>
      </c>
      <c r="G67" s="3020">
        <f>SUM(D67:E69)</f>
        <v>8</v>
      </c>
      <c r="H67" s="3086">
        <f>BF36</f>
        <v>0</v>
      </c>
      <c r="I67" s="3086"/>
      <c r="J67" s="18" t="s">
        <v>1439</v>
      </c>
      <c r="K67" s="2831">
        <f>IF(C67="N",D67*H$67,0)</f>
        <v>0</v>
      </c>
      <c r="L67" s="2831"/>
      <c r="N67" s="3087">
        <f>IF(C67="y",H$67*D67,0)</f>
        <v>0</v>
      </c>
      <c r="O67" s="3087"/>
      <c r="P67" s="1172" t="s">
        <v>1069</v>
      </c>
      <c r="Q67" s="859" t="s">
        <v>1710</v>
      </c>
      <c r="R67" s="77"/>
      <c r="S67" s="1176">
        <f>E36</f>
        <v>0</v>
      </c>
      <c r="T67" s="77" t="s">
        <v>1259</v>
      </c>
      <c r="U67" s="1174">
        <v>1</v>
      </c>
      <c r="V67" s="77" t="s">
        <v>1511</v>
      </c>
      <c r="W67" s="1175">
        <f t="shared" si="53"/>
        <v>0</v>
      </c>
    </row>
    <row r="68" spans="1:23" s="1254" customFormat="1" ht="18" customHeight="1">
      <c r="A68" s="482" t="s">
        <v>1442</v>
      </c>
      <c r="B68" s="380"/>
      <c r="C68" s="984" t="s">
        <v>1306</v>
      </c>
      <c r="D68" s="2830">
        <v>3.5</v>
      </c>
      <c r="E68" s="2830"/>
      <c r="F68" s="77" t="s">
        <v>1618</v>
      </c>
      <c r="G68" s="3020"/>
      <c r="H68" s="3086"/>
      <c r="I68" s="3086"/>
      <c r="J68" s="18" t="s">
        <v>1439</v>
      </c>
      <c r="K68" s="2831">
        <f>IF(C68="N",D68*H$67,0)</f>
        <v>0</v>
      </c>
      <c r="L68" s="2831"/>
      <c r="N68" s="2859">
        <f>IF(C68="y",H$67*D68,0)</f>
        <v>0</v>
      </c>
      <c r="O68" s="2859"/>
      <c r="P68" s="1172" t="s">
        <v>1069</v>
      </c>
      <c r="Q68" s="859" t="s">
        <v>1453</v>
      </c>
      <c r="R68" s="77"/>
      <c r="S68" s="1176">
        <v>0</v>
      </c>
      <c r="T68" s="77" t="s">
        <v>1711</v>
      </c>
      <c r="U68" s="1174">
        <f>Pricing!Q43</f>
        <v>105</v>
      </c>
      <c r="V68" s="77" t="s">
        <v>630</v>
      </c>
      <c r="W68" s="1175">
        <f t="shared" ref="W68:W76" si="55">U68*S68</f>
        <v>0</v>
      </c>
    </row>
    <row r="69" spans="1:23" s="1254" customFormat="1" ht="18" customHeight="1">
      <c r="A69" s="482" t="s">
        <v>1443</v>
      </c>
      <c r="B69" s="380"/>
      <c r="C69" s="984" t="s">
        <v>1306</v>
      </c>
      <c r="D69" s="2830">
        <v>1</v>
      </c>
      <c r="E69" s="2830"/>
      <c r="F69" s="77" t="s">
        <v>1618</v>
      </c>
      <c r="G69" s="3020"/>
      <c r="H69" s="3086"/>
      <c r="I69" s="3086"/>
      <c r="J69" s="18" t="s">
        <v>1439</v>
      </c>
      <c r="K69" s="2831">
        <f>IF(C69="N",D69*H$67,0)</f>
        <v>0</v>
      </c>
      <c r="L69" s="2831"/>
      <c r="N69" s="3087">
        <f>IF(C69="y",H$67*D69,0)</f>
        <v>0</v>
      </c>
      <c r="O69" s="3087"/>
      <c r="P69" s="1172" t="s">
        <v>1069</v>
      </c>
      <c r="Q69" s="859" t="s">
        <v>1712</v>
      </c>
      <c r="R69" s="77"/>
      <c r="S69" s="1176">
        <f>I72</f>
        <v>0</v>
      </c>
      <c r="T69" s="77" t="s">
        <v>836</v>
      </c>
      <c r="U69" s="1174">
        <v>8.5</v>
      </c>
      <c r="V69" s="77"/>
      <c r="W69" s="1175">
        <f t="shared" si="55"/>
        <v>0</v>
      </c>
    </row>
    <row r="70" spans="1:23" s="1254" customFormat="1" ht="18" customHeight="1">
      <c r="A70" s="482" t="s">
        <v>1444</v>
      </c>
      <c r="B70" s="380"/>
      <c r="C70" s="984" t="s">
        <v>1306</v>
      </c>
      <c r="D70" s="2830">
        <v>0.25</v>
      </c>
      <c r="E70" s="2830"/>
      <c r="F70" s="77" t="s">
        <v>1618</v>
      </c>
      <c r="G70" s="18"/>
      <c r="H70" s="3086"/>
      <c r="I70" s="3086"/>
      <c r="J70" s="18" t="s">
        <v>1439</v>
      </c>
      <c r="K70" s="2831">
        <f>IF(C70="N",D70*H$67,0)</f>
        <v>0</v>
      </c>
      <c r="L70" s="2831"/>
      <c r="N70" s="2859">
        <f>IF(C70="y",H$67*D70,0)</f>
        <v>0</v>
      </c>
      <c r="O70" s="2859"/>
      <c r="P70" s="1172" t="s">
        <v>1713</v>
      </c>
      <c r="Q70" s="859" t="s">
        <v>1714</v>
      </c>
      <c r="R70" s="77"/>
      <c r="S70" s="1176"/>
      <c r="T70" s="77" t="s">
        <v>1454</v>
      </c>
      <c r="U70" s="1174">
        <v>500</v>
      </c>
      <c r="V70" s="77"/>
      <c r="W70" s="1175">
        <f t="shared" si="55"/>
        <v>0</v>
      </c>
    </row>
    <row r="71" spans="1:23" s="1254" customFormat="1" ht="18" customHeight="1">
      <c r="A71" s="482" t="s">
        <v>1307</v>
      </c>
      <c r="B71" s="380"/>
      <c r="C71" s="984" t="s">
        <v>1306</v>
      </c>
      <c r="D71" s="3088">
        <v>450</v>
      </c>
      <c r="E71" s="3088"/>
      <c r="F71" s="77" t="s">
        <v>1308</v>
      </c>
      <c r="G71" s="18"/>
      <c r="H71" s="964"/>
      <c r="I71" s="964">
        <f>(K56/2000)</f>
        <v>0</v>
      </c>
      <c r="J71" s="18" t="s">
        <v>1309</v>
      </c>
      <c r="K71" s="2831">
        <f>IF(C71="N",D71*I71,0)</f>
        <v>0</v>
      </c>
      <c r="L71" s="2831"/>
      <c r="N71" s="2859">
        <f>IF(C71="y",I71*D71,0)</f>
        <v>0</v>
      </c>
      <c r="O71" s="2859"/>
      <c r="P71" s="1172" t="s">
        <v>1069</v>
      </c>
      <c r="Q71" s="859"/>
      <c r="R71" s="77"/>
      <c r="S71" s="1176"/>
      <c r="T71" s="77" t="s">
        <v>1018</v>
      </c>
      <c r="U71" s="1174"/>
      <c r="V71" s="77"/>
      <c r="W71" s="1175">
        <f t="shared" si="55"/>
        <v>0</v>
      </c>
    </row>
    <row r="72" spans="1:23" s="1254" customFormat="1" ht="18" customHeight="1">
      <c r="A72" s="482" t="s">
        <v>1715</v>
      </c>
      <c r="B72" s="380"/>
      <c r="C72" s="984" t="s">
        <v>1306</v>
      </c>
      <c r="D72" s="2830">
        <v>10</v>
      </c>
      <c r="E72" s="2830"/>
      <c r="F72" s="77" t="s">
        <v>1338</v>
      </c>
      <c r="G72" s="18"/>
      <c r="H72" s="964"/>
      <c r="I72" s="964">
        <f>DI37</f>
        <v>0</v>
      </c>
      <c r="J72" s="18" t="s">
        <v>1259</v>
      </c>
      <c r="K72" s="2831">
        <f>IF(C72="N",D72*I72,0)</f>
        <v>0</v>
      </c>
      <c r="L72" s="2831"/>
      <c r="N72" s="2859">
        <f>IF(C72="y",I72*D72,0)</f>
        <v>0</v>
      </c>
      <c r="O72" s="2859"/>
      <c r="P72" s="1172" t="s">
        <v>1069</v>
      </c>
      <c r="Q72" s="859"/>
      <c r="R72" s="77"/>
      <c r="S72" s="1176"/>
      <c r="T72" s="77" t="s">
        <v>1018</v>
      </c>
      <c r="U72" s="1174"/>
      <c r="V72" s="77"/>
      <c r="W72" s="1175">
        <f t="shared" si="55"/>
        <v>0</v>
      </c>
    </row>
    <row r="73" spans="1:23" s="1254" customFormat="1" ht="18" customHeight="1">
      <c r="A73" s="482" t="s">
        <v>1716</v>
      </c>
      <c r="B73" s="380"/>
      <c r="C73" s="984" t="s">
        <v>1306</v>
      </c>
      <c r="D73" s="2830">
        <v>12</v>
      </c>
      <c r="E73" s="2830"/>
      <c r="F73" s="77" t="s">
        <v>1285</v>
      </c>
      <c r="G73" s="18"/>
      <c r="H73" s="964"/>
      <c r="I73" s="964">
        <f>SUM(DD10:DD35)</f>
        <v>0</v>
      </c>
      <c r="J73" s="18" t="s">
        <v>998</v>
      </c>
      <c r="K73" s="2831">
        <f>IF(C73="N",D73*I73,0)</f>
        <v>0</v>
      </c>
      <c r="L73" s="2831"/>
      <c r="N73" s="2859">
        <f>IF(C73="y",I73*D73,0)</f>
        <v>0</v>
      </c>
      <c r="O73" s="2859"/>
      <c r="P73" s="1172" t="s">
        <v>1069</v>
      </c>
      <c r="Q73" s="859"/>
      <c r="R73" s="77"/>
      <c r="S73" s="1176"/>
      <c r="T73" s="77"/>
      <c r="U73" s="1174"/>
      <c r="V73" s="77"/>
      <c r="W73" s="1175">
        <f t="shared" si="55"/>
        <v>0</v>
      </c>
    </row>
    <row r="74" spans="1:23" s="1254" customFormat="1" ht="18" customHeight="1">
      <c r="A74" s="482" t="s">
        <v>1660</v>
      </c>
      <c r="B74" s="380"/>
      <c r="C74" s="984" t="s">
        <v>1306</v>
      </c>
      <c r="D74" s="2830">
        <v>8</v>
      </c>
      <c r="E74" s="2830"/>
      <c r="F74" s="77" t="s">
        <v>1285</v>
      </c>
      <c r="G74" s="18"/>
      <c r="H74" s="964"/>
      <c r="I74" s="964">
        <f>SUM(DF10:DF35)</f>
        <v>0</v>
      </c>
      <c r="J74" s="18" t="s">
        <v>998</v>
      </c>
      <c r="K74" s="2831">
        <f>IF(C74="N",D74*I74,0)</f>
        <v>0</v>
      </c>
      <c r="L74" s="2831"/>
      <c r="N74" s="2859">
        <f>IF(C74="y",I74*D74,0)</f>
        <v>0</v>
      </c>
      <c r="O74" s="2859"/>
      <c r="P74" s="1172" t="s">
        <v>1069</v>
      </c>
      <c r="Q74" s="859"/>
      <c r="R74" s="77"/>
      <c r="S74" s="1176"/>
      <c r="T74" s="77"/>
      <c r="U74" s="1174"/>
      <c r="V74" s="77"/>
      <c r="W74" s="1175">
        <f t="shared" si="55"/>
        <v>0</v>
      </c>
    </row>
    <row r="75" spans="1:23" s="1254" customFormat="1" ht="18" customHeight="1">
      <c r="A75" s="1566" t="s">
        <v>1313</v>
      </c>
      <c r="B75" s="988"/>
      <c r="C75" s="989" t="s">
        <v>1306</v>
      </c>
      <c r="D75" s="2833">
        <v>0</v>
      </c>
      <c r="E75" s="2833"/>
      <c r="F75" s="1209"/>
      <c r="G75" s="373"/>
      <c r="H75" s="973"/>
      <c r="I75" s="973"/>
      <c r="J75" s="373"/>
      <c r="K75" s="2834">
        <f>IF(C75="N",D75*I75,0)</f>
        <v>0</v>
      </c>
      <c r="L75" s="2834"/>
      <c r="M75" s="373"/>
      <c r="N75" s="2815">
        <f>IF(C75="y",D75,0)</f>
        <v>0</v>
      </c>
      <c r="O75" s="2815"/>
      <c r="P75" s="1172" t="s">
        <v>1069</v>
      </c>
      <c r="Q75" s="859"/>
      <c r="R75" s="77"/>
      <c r="S75" s="1176"/>
      <c r="T75" s="77"/>
      <c r="U75" s="1174"/>
      <c r="V75" s="77"/>
      <c r="W75" s="1175">
        <f t="shared" si="55"/>
        <v>0</v>
      </c>
    </row>
    <row r="76" spans="1:23" s="1254" customFormat="1" ht="18" customHeight="1">
      <c r="A76" s="990" t="s">
        <v>1447</v>
      </c>
      <c r="B76" s="991"/>
      <c r="C76" s="992"/>
      <c r="D76" s="993">
        <f>IF(H67=0,0,(N76-N75+K76)/H67)</f>
        <v>0</v>
      </c>
      <c r="E76" s="1803"/>
      <c r="F76" s="802"/>
      <c r="G76" s="976"/>
      <c r="H76" s="991" t="s">
        <v>980</v>
      </c>
      <c r="I76" s="991"/>
      <c r="J76" s="991"/>
      <c r="K76" s="2838">
        <f>SUM(K66:L75)</f>
        <v>0</v>
      </c>
      <c r="L76" s="2838"/>
      <c r="M76" s="229"/>
      <c r="N76" s="2867">
        <f>SUM(N66:O75)</f>
        <v>0</v>
      </c>
      <c r="O76" s="2867"/>
      <c r="P76" s="1172" t="s">
        <v>1069</v>
      </c>
      <c r="Q76" s="1208"/>
      <c r="R76" s="1209"/>
      <c r="S76" s="1210"/>
      <c r="T76" s="1804"/>
      <c r="U76" s="1211"/>
      <c r="V76" s="1209"/>
      <c r="W76" s="1189">
        <f t="shared" si="55"/>
        <v>0</v>
      </c>
    </row>
    <row r="77" spans="1:23" s="1254" customFormat="1" ht="18" customHeight="1">
      <c r="A77" s="3089" t="s">
        <v>1449</v>
      </c>
      <c r="B77" s="3089"/>
      <c r="C77" s="3089"/>
      <c r="D77" s="3089"/>
      <c r="E77" s="3089"/>
      <c r="F77" s="3089"/>
      <c r="G77" s="3089"/>
      <c r="H77" s="3089"/>
      <c r="I77" s="3089"/>
      <c r="J77" s="3089"/>
      <c r="K77" s="3089"/>
      <c r="L77" s="3089"/>
      <c r="M77" s="3089"/>
      <c r="N77" s="3089"/>
      <c r="O77" s="3089"/>
      <c r="P77" s="1172" t="s">
        <v>1448</v>
      </c>
      <c r="Q77" s="859" t="s">
        <v>601</v>
      </c>
      <c r="R77" s="77"/>
      <c r="S77" s="1176">
        <f>ROUNDUP(K64*0.55*S51,0)</f>
        <v>0</v>
      </c>
      <c r="T77" s="77" t="s">
        <v>1312</v>
      </c>
      <c r="U77" s="1174">
        <f>Pricing!Q26</f>
        <v>0.45</v>
      </c>
      <c r="V77" s="77" t="s">
        <v>595</v>
      </c>
      <c r="W77" s="1175">
        <f t="shared" ref="W77:W83" si="56">S77*U77</f>
        <v>0</v>
      </c>
    </row>
    <row r="78" spans="1:23" s="1254" customFormat="1" ht="18" customHeight="1">
      <c r="A78" s="1593" t="s">
        <v>1316</v>
      </c>
      <c r="B78" s="1802"/>
      <c r="C78" s="998"/>
      <c r="D78" s="999"/>
      <c r="E78" s="1802" t="s">
        <v>1317</v>
      </c>
      <c r="F78" s="1805">
        <v>425</v>
      </c>
      <c r="G78" s="1806" t="s">
        <v>1450</v>
      </c>
      <c r="H78" s="983"/>
      <c r="I78" s="983"/>
      <c r="J78" s="983"/>
      <c r="K78" s="983"/>
      <c r="L78" s="2974">
        <f>IF(D40=0,0,(SUM(N78:O81))/D40)</f>
        <v>0</v>
      </c>
      <c r="M78" s="2974"/>
      <c r="N78" s="3090">
        <f>D78*F78</f>
        <v>0</v>
      </c>
      <c r="O78" s="3090"/>
      <c r="P78" s="1172">
        <v>39</v>
      </c>
      <c r="Q78" s="859" t="s">
        <v>604</v>
      </c>
      <c r="R78" s="77"/>
      <c r="S78" s="1176">
        <f>E36/4</f>
        <v>0</v>
      </c>
      <c r="T78" s="77" t="s">
        <v>1312</v>
      </c>
      <c r="U78" s="1174">
        <f>Pricing!Q27</f>
        <v>0.75</v>
      </c>
      <c r="V78" s="77" t="s">
        <v>1312</v>
      </c>
      <c r="W78" s="1175">
        <f t="shared" si="56"/>
        <v>0</v>
      </c>
    </row>
    <row r="79" spans="1:23" s="1254" customFormat="1" ht="18" customHeight="1">
      <c r="A79" s="482" t="s">
        <v>1318</v>
      </c>
      <c r="B79" s="77"/>
      <c r="C79" s="77"/>
      <c r="D79" s="1002">
        <f>D78</f>
        <v>0</v>
      </c>
      <c r="E79" s="1807" t="s">
        <v>1317</v>
      </c>
      <c r="F79" s="1808">
        <v>250</v>
      </c>
      <c r="G79" s="1809" t="s">
        <v>1450</v>
      </c>
      <c r="H79" s="18"/>
      <c r="I79" s="18"/>
      <c r="J79" s="18"/>
      <c r="K79" s="18"/>
      <c r="L79" s="2842">
        <f>SUM(N78:O80)</f>
        <v>0</v>
      </c>
      <c r="M79" s="2842"/>
      <c r="N79" s="3091">
        <f>D79*F79</f>
        <v>0</v>
      </c>
      <c r="O79" s="3091"/>
      <c r="P79" s="1172" t="s">
        <v>1451</v>
      </c>
      <c r="Q79" s="859" t="s">
        <v>1657</v>
      </c>
      <c r="R79" s="77"/>
      <c r="S79" s="1176">
        <f>H67/350</f>
        <v>0</v>
      </c>
      <c r="T79" s="77" t="s">
        <v>1452</v>
      </c>
      <c r="U79" s="1174">
        <f>Pricing!Q28</f>
        <v>45</v>
      </c>
      <c r="V79" s="77" t="s">
        <v>607</v>
      </c>
      <c r="W79" s="1175">
        <f t="shared" si="56"/>
        <v>0</v>
      </c>
    </row>
    <row r="80" spans="1:23" s="1254" customFormat="1" ht="18" customHeight="1">
      <c r="A80" s="77" t="s">
        <v>1320</v>
      </c>
      <c r="B80" s="77"/>
      <c r="C80" s="77"/>
      <c r="D80" s="1810">
        <f>IF(D77=0,D78,D77)</f>
        <v>0</v>
      </c>
      <c r="E80" s="77"/>
      <c r="F80" s="1811">
        <v>100</v>
      </c>
      <c r="G80" s="77"/>
      <c r="H80" s="18"/>
      <c r="I80" s="18"/>
      <c r="J80" s="18"/>
      <c r="K80" s="18"/>
      <c r="L80" s="1812"/>
      <c r="M80" s="1812"/>
      <c r="N80" s="3091">
        <f>D80*F80</f>
        <v>0</v>
      </c>
      <c r="O80" s="3091"/>
      <c r="P80" s="1172"/>
      <c r="Q80" s="859"/>
      <c r="R80" s="77"/>
      <c r="S80" s="1176"/>
      <c r="T80" s="77"/>
      <c r="U80" s="1174"/>
      <c r="V80" s="77"/>
      <c r="W80" s="1175">
        <f t="shared" si="56"/>
        <v>0</v>
      </c>
    </row>
    <row r="81" spans="1:23" s="1254" customFormat="1" ht="18" customHeight="1">
      <c r="A81" s="1595" t="s">
        <v>1320</v>
      </c>
      <c r="B81" s="1621"/>
      <c r="C81" s="1621"/>
      <c r="D81" s="1008">
        <f>IF(D78=0,D79,D78)</f>
        <v>0</v>
      </c>
      <c r="E81" s="1621" t="s">
        <v>1317</v>
      </c>
      <c r="F81" s="1813">
        <v>200</v>
      </c>
      <c r="G81" s="1621" t="s">
        <v>1450</v>
      </c>
      <c r="H81" s="976"/>
      <c r="I81" s="976"/>
      <c r="J81" s="976"/>
      <c r="K81" s="976"/>
      <c r="L81" s="2843">
        <f>IF(D40=0,0,N81/D40)</f>
        <v>0</v>
      </c>
      <c r="M81" s="2843"/>
      <c r="N81" s="2839">
        <f>D81*F81</f>
        <v>0</v>
      </c>
      <c r="O81" s="2839"/>
      <c r="P81" s="1172" t="s">
        <v>1069</v>
      </c>
      <c r="Q81" s="859" t="s">
        <v>1717</v>
      </c>
      <c r="R81" s="77"/>
      <c r="S81" s="1176">
        <f>H67/30</f>
        <v>0</v>
      </c>
      <c r="T81" s="77" t="s">
        <v>1312</v>
      </c>
      <c r="U81" s="1174">
        <v>15</v>
      </c>
      <c r="V81" s="77" t="s">
        <v>595</v>
      </c>
      <c r="W81" s="1175">
        <f t="shared" si="56"/>
        <v>0</v>
      </c>
    </row>
    <row r="82" spans="1:23" s="1254" customFormat="1" ht="18" customHeight="1">
      <c r="A82" s="3089" t="s">
        <v>1325</v>
      </c>
      <c r="B82" s="3089"/>
      <c r="C82" s="3089"/>
      <c r="D82" s="3089"/>
      <c r="E82" s="3089"/>
      <c r="F82" s="3089"/>
      <c r="G82" s="3089"/>
      <c r="H82" s="3089"/>
      <c r="I82" s="3089"/>
      <c r="J82" s="3089"/>
      <c r="K82" s="3089"/>
      <c r="L82" s="3089"/>
      <c r="M82" s="3089"/>
      <c r="N82" s="3089"/>
      <c r="O82" s="3089"/>
      <c r="P82" s="1172" t="s">
        <v>1069</v>
      </c>
      <c r="Q82" s="966" t="s">
        <v>1643</v>
      </c>
      <c r="R82" s="373"/>
      <c r="S82" s="1814">
        <f>SUM(K51:L55)/300</f>
        <v>0</v>
      </c>
      <c r="T82" s="373" t="s">
        <v>1323</v>
      </c>
      <c r="U82" s="1006">
        <v>250</v>
      </c>
      <c r="V82" s="373" t="s">
        <v>1324</v>
      </c>
      <c r="W82" s="1189">
        <f t="shared" si="56"/>
        <v>0</v>
      </c>
    </row>
    <row r="83" spans="1:23" s="1254" customFormat="1" ht="18" customHeight="1">
      <c r="A83" s="1593" t="s">
        <v>1326</v>
      </c>
      <c r="B83" s="1596"/>
      <c r="C83" s="1597"/>
      <c r="D83" s="999">
        <f>D84</f>
        <v>0</v>
      </c>
      <c r="E83" s="1802" t="s">
        <v>1327</v>
      </c>
      <c r="F83" s="1805">
        <f>Pricing!D32</f>
        <v>425</v>
      </c>
      <c r="G83" s="1802" t="s">
        <v>1450</v>
      </c>
      <c r="H83" s="983"/>
      <c r="I83" s="983"/>
      <c r="J83" s="983"/>
      <c r="K83" s="983"/>
      <c r="L83" s="983"/>
      <c r="M83" s="983"/>
      <c r="N83" s="2856">
        <f>(IF(AND(D83&gt;0,D83&lt;4),D83*F83,0)+IF(AND(D83&gt;3,D83&lt;8),F83*3,0)+IF(AND(D83&gt;7,D83&lt;21),D83/7*F83*3,0)+IF(AND(D83&gt;20,D83&lt;30),F83*9,0)+IF(D83&gt;29,D83/30*F83*9,0))*(1+V$39+I$85)</f>
        <v>0</v>
      </c>
      <c r="O83" s="2856"/>
      <c r="P83" s="1172" t="s">
        <v>1073</v>
      </c>
      <c r="Q83" s="859" t="s">
        <v>618</v>
      </c>
      <c r="R83" s="77"/>
      <c r="S83" s="1176"/>
      <c r="T83" s="77" t="s">
        <v>1452</v>
      </c>
      <c r="U83" s="1174">
        <f>Pricing!Q31</f>
        <v>27</v>
      </c>
      <c r="V83" s="77" t="s">
        <v>607</v>
      </c>
      <c r="W83" s="1175">
        <f t="shared" si="56"/>
        <v>0</v>
      </c>
    </row>
    <row r="84" spans="1:23" s="1254" customFormat="1" ht="18" customHeight="1">
      <c r="A84" s="482" t="s">
        <v>622</v>
      </c>
      <c r="B84" s="1177"/>
      <c r="C84" s="1598"/>
      <c r="D84" s="1012">
        <f>IF(D$78&gt;0,IF(D$78&lt;=3,D$78,7),0)+IF(D$78&gt;5,IF(D$78&lt;=10,7,0),0)+IF(D$78&gt;10,IF(D$78&lt;=15,14,0),0)+IF(D$78&gt;15,IF(D$78&lt;=20,23,0),0)+IF(D$78&gt;20,IF(D$78&lt;=40,53,0),0)+IF(D$78&gt;40,IF(D$78&lt;=60,83,0),0)+IF(D$78&gt;60,IF(D$78&lt;=80,113,0),0)+IF(D$78&gt;80,IF(D$78&lt;=100,143,0),0)+IF(D$78&gt;100,IF(D$78&lt;=120,163,0),0)+IF(D$78&gt;120,IF(D$78&lt;=140,193,0),0)+IF(D$78&gt;140,IF(D$78&lt;=160,223,0),0)</f>
        <v>0</v>
      </c>
      <c r="E84" s="77" t="s">
        <v>1327</v>
      </c>
      <c r="F84" s="1805">
        <f>Pricing!D33</f>
        <v>475</v>
      </c>
      <c r="G84" s="77" t="s">
        <v>1450</v>
      </c>
      <c r="H84" s="18"/>
      <c r="I84" s="2977" t="s">
        <v>1329</v>
      </c>
      <c r="J84" s="2977"/>
      <c r="K84" s="18"/>
      <c r="L84" s="2841">
        <f>IF(D40=0,0,(SUM(N83:O88))/D40)</f>
        <v>0</v>
      </c>
      <c r="M84" s="2841"/>
      <c r="N84" s="3091">
        <f>(IF(AND(D84&gt;0,D84&lt;4),D84*F84,0)+IF(AND(D84&gt;3,D84&lt;8),F84*3,0)+IF(AND(D84&gt;7,D84&lt;21),D84/7*F84*3,0)+IF(AND(D84&gt;20,D84&lt;30),F84*9,0)+IF(D84&gt;29,D84/30*F84*9,0))*(1+V$39+I$85)</f>
        <v>0</v>
      </c>
      <c r="O84" s="3091"/>
      <c r="P84" s="1172" t="s">
        <v>1073</v>
      </c>
      <c r="Q84" s="859" t="s">
        <v>1457</v>
      </c>
      <c r="R84" s="77"/>
      <c r="S84" s="1176">
        <v>0</v>
      </c>
      <c r="T84" s="77" t="s">
        <v>1511</v>
      </c>
      <c r="U84" s="1174">
        <f>Pricing!Q32</f>
        <v>1.25</v>
      </c>
      <c r="V84" s="77" t="s">
        <v>1417</v>
      </c>
      <c r="W84" s="1175">
        <f>U84*S84</f>
        <v>0</v>
      </c>
    </row>
    <row r="85" spans="1:23" s="1254" customFormat="1" ht="18" customHeight="1">
      <c r="A85" s="482" t="s">
        <v>626</v>
      </c>
      <c r="B85" s="1177"/>
      <c r="C85" s="1598"/>
      <c r="D85" s="1012">
        <f>IF(D$78&gt;0,IF(D$78&lt;=3,D$78,7),0)+IF(D$78&gt;5,IF(D$78&lt;=10,7,0),0)+IF(D$78&gt;10,IF(D$78&lt;=15,14,0),0)+IF(D$78&gt;15,IF(D$78&lt;=20,23,0),0)+IF(D$78&gt;20,IF(D$78&lt;=40,53,0),0)+IF(D$78&gt;40,IF(D$78&lt;=60,83,0),0)+IF(D$78&gt;60,IF(D$78&lt;=80,113,0),0)+IF(D$78&gt;80,IF(D$78&lt;=100,143,0),0)+IF(D$78&gt;100,IF(D$78&lt;=120,163,0),0)+IF(D$78&gt;120,IF(D$78&lt;=140,193,0),0)+IF(D$78&gt;140,IF(D$78&lt;=160,223,0),0)</f>
        <v>0</v>
      </c>
      <c r="E85" s="77" t="s">
        <v>1327</v>
      </c>
      <c r="F85" s="1808">
        <v>275</v>
      </c>
      <c r="G85" s="77" t="s">
        <v>1450</v>
      </c>
      <c r="H85" s="18"/>
      <c r="I85" s="3092">
        <v>0.5</v>
      </c>
      <c r="J85" s="3092"/>
      <c r="K85" s="18"/>
      <c r="L85" s="2842">
        <f>SUM(N83:O88)</f>
        <v>0</v>
      </c>
      <c r="M85" s="2842"/>
      <c r="N85" s="3091">
        <f>(IF(AND(D85&gt;0,D85&lt;4),D85*F85,0)+IF(AND(D85&gt;3,D85&lt;8),F85*3,0)+IF(AND(D85&gt;7,D85&lt;21),D85/7*F85*3,0)+IF(AND(D85&gt;20,D85&lt;30),F85*9,0)+IF(D85&gt;29,D85/30*F85*9,0))*(1+V$39+I$85)</f>
        <v>0</v>
      </c>
      <c r="O85" s="3091"/>
      <c r="P85" s="1172" t="s">
        <v>1073</v>
      </c>
      <c r="Q85" s="1208" t="s">
        <v>554</v>
      </c>
      <c r="R85" s="1209"/>
      <c r="S85" s="1210">
        <f>K56</f>
        <v>0</v>
      </c>
      <c r="T85" s="1209" t="s">
        <v>1288</v>
      </c>
      <c r="U85" s="1211">
        <v>0.04</v>
      </c>
      <c r="V85" s="1209" t="s">
        <v>555</v>
      </c>
      <c r="W85" s="1189">
        <f>U85*S85</f>
        <v>0</v>
      </c>
    </row>
    <row r="86" spans="1:23" s="1254" customFormat="1" ht="18" customHeight="1">
      <c r="A86" s="482" t="s">
        <v>1332</v>
      </c>
      <c r="B86" s="1177"/>
      <c r="C86" s="1598"/>
      <c r="D86" s="1012">
        <f>IF(D$78&gt;0,IF(D$78&lt;=3,D$78,7),0)+IF(D$78&gt;5,IF(D$78&lt;=10,7,0),0)+IF(D$78&gt;10,IF(D$78&lt;=15,14,0),0)+IF(D$78&gt;15,IF(D$78&lt;=20,23,0),0)+IF(D$78&gt;20,IF(D$78&lt;=40,53,0),0)+IF(D$78&gt;40,IF(D$78&lt;=60,83,0),0)+IF(D$78&gt;60,IF(D$78&lt;=80,113,0),0)+IF(D$78&gt;80,IF(D$78&lt;=100,143,0),0)+IF(D$78&gt;100,IF(D$78&lt;=120,163,0),0)+IF(D$78&gt;120,IF(D$78&lt;=140,193,0),0)+IF(D$78&gt;140,IF(D$78&lt;=160,223,0),0)</f>
        <v>0</v>
      </c>
      <c r="E86" s="77" t="s">
        <v>1327</v>
      </c>
      <c r="F86" s="1808">
        <f>Pricing!D39</f>
        <v>100</v>
      </c>
      <c r="G86" s="77" t="s">
        <v>1450</v>
      </c>
      <c r="H86" s="18"/>
      <c r="I86" s="3092"/>
      <c r="J86" s="3092"/>
      <c r="K86" s="18"/>
      <c r="L86" s="18"/>
      <c r="M86" s="18"/>
      <c r="N86" s="2859">
        <f>(IF(AND(D86&gt;0,D86&lt;4),D86*F86,0)+IF(AND(D86&gt;3,D86&lt;8),F86*3,0)+IF(AND(D86&gt;7,D86&lt;21),D86/7*F86*3,0)+IF(AND(D86&gt;20,D86&lt;30),F86*9,0)+IF(D86&gt;29,D86/30*F86*9,0))*(1+V$39+I$85)</f>
        <v>0</v>
      </c>
      <c r="O86" s="2859"/>
      <c r="P86" s="1172" t="s">
        <v>1078</v>
      </c>
      <c r="Q86" s="859" t="s">
        <v>1105</v>
      </c>
      <c r="R86" s="77"/>
      <c r="S86" s="1176"/>
      <c r="T86" s="77"/>
      <c r="U86" s="1174"/>
      <c r="V86" s="77"/>
      <c r="W86" s="1175">
        <v>0</v>
      </c>
    </row>
    <row r="87" spans="1:23" s="1254" customFormat="1" ht="18" customHeight="1">
      <c r="A87" s="482" t="s">
        <v>1333</v>
      </c>
      <c r="B87" s="1177"/>
      <c r="C87" s="1598"/>
      <c r="D87" s="1012">
        <f>IF(D$78&gt;0,IF(D$78&lt;=3,D$78,7),0)+IF(D$78&gt;5,IF(D$78&lt;=10,7,0),0)+IF(D$78&gt;10,IF(D$78&lt;=15,14,0),0)+IF(D$78&gt;15,IF(D$78&lt;=20,23,0),0)+IF(D$78&gt;20,IF(D$78&lt;=40,53,0),0)+IF(D$78&gt;40,IF(D$78&lt;=60,83,0),0)+IF(D$78&gt;60,IF(D$78&lt;=80,113,0),0)+IF(D$78&gt;80,IF(D$78&lt;=100,143,0),0)+IF(D$78&gt;100,IF(D$78&lt;=120,163,0),0)+IF(D$78&gt;120,IF(D$78&lt;=140,193,0),0)+IF(D$78&gt;140,IF(D$78&lt;=160,223,0),0)</f>
        <v>0</v>
      </c>
      <c r="E87" s="77" t="s">
        <v>1327</v>
      </c>
      <c r="F87" s="1808">
        <v>50</v>
      </c>
      <c r="G87" s="77" t="s">
        <v>1450</v>
      </c>
      <c r="H87" s="18"/>
      <c r="I87" s="18"/>
      <c r="J87" s="18"/>
      <c r="K87" s="18"/>
      <c r="L87" s="18"/>
      <c r="M87" s="18"/>
      <c r="N87" s="2859">
        <f>(IF(AND(D87&gt;0,D87&lt;4),D87*F87,0)+IF(AND(D87&gt;3,D87&lt;8),F87*3,0)+IF(AND(D87&gt;7,D87&lt;21),D87/7*F87*3,0)+IF(AND(D87&gt;20,D87&lt;30),F87*9,0)+IF(D87&gt;29,D87/30*F87*9,0))*(1+V$39+I$85)</f>
        <v>0</v>
      </c>
      <c r="O87" s="2859"/>
      <c r="P87" s="1172" t="s">
        <v>1328</v>
      </c>
      <c r="Q87" s="859" t="s">
        <v>1105</v>
      </c>
      <c r="R87" s="77"/>
      <c r="S87" s="1176"/>
      <c r="T87" s="77"/>
      <c r="U87" s="1174"/>
      <c r="V87" s="77"/>
      <c r="W87" s="1175">
        <v>0</v>
      </c>
    </row>
    <row r="88" spans="1:23" s="1254" customFormat="1" ht="18" customHeight="1">
      <c r="A88" s="1595" t="s">
        <v>1067</v>
      </c>
      <c r="B88" s="1599"/>
      <c r="C88" s="1600"/>
      <c r="D88" s="1815">
        <f>IF(D$78&gt;0,IF(D$78&lt;=3,D$78,7),0)+IF(D$78&gt;5,IF(D$78&lt;=10,7,0),0)+IF(D$78&gt;10,IF(D$78&lt;=15,14,0),0)+IF(D$78&gt;15,IF(D$78&lt;=20,23,0),0)+IF(D$78&gt;20,IF(D$78&lt;=40,53,0),0)+IF(D$78&gt;40,IF(D$78&lt;=60,83,0),0)+IF(D$78&gt;60,IF(D$78&lt;=80,113,0),0)+IF(D$78&gt;80,IF(D$78&lt;=100,143,0),0)+IF(D$78&gt;100,IF(D$78&lt;=120,163,0),0)+IF(D$78&gt;120,IF(D$78&lt;=140,193,0),0)+IF(D$78&gt;140,IF(D$78&lt;=160,223,0),0)</f>
        <v>0</v>
      </c>
      <c r="E88" s="1621" t="s">
        <v>1327</v>
      </c>
      <c r="F88" s="1813">
        <v>35</v>
      </c>
      <c r="G88" s="1621" t="s">
        <v>1450</v>
      </c>
      <c r="H88" s="976"/>
      <c r="I88" s="976"/>
      <c r="J88" s="976"/>
      <c r="K88" s="976"/>
      <c r="L88" s="1021"/>
      <c r="M88" s="976"/>
      <c r="N88" s="2839">
        <f>(IF(AND(D88&gt;0,D88&lt;4),D88*F88,0)+IF(AND(D88&gt;3,D88&lt;8),F88*3,0)+IF(AND(D88&gt;7,D88&lt;21),D88/7*F88*3,0)+IF(AND(D88&gt;20,D88&lt;30),F88*9,0)+IF(D88&gt;29,D88/30*F88*9,0))</f>
        <v>0</v>
      </c>
      <c r="O88" s="2839"/>
      <c r="P88" s="1172" t="s">
        <v>1330</v>
      </c>
      <c r="Q88" s="1208" t="s">
        <v>1108</v>
      </c>
      <c r="R88" s="1209"/>
      <c r="S88" s="1210"/>
      <c r="T88" s="1209"/>
      <c r="U88" s="1211"/>
      <c r="V88" s="1209"/>
      <c r="W88" s="1189">
        <v>0</v>
      </c>
    </row>
    <row r="89" spans="1:23" s="1254" customFormat="1" ht="18" customHeight="1">
      <c r="A89" s="3089" t="s">
        <v>1336</v>
      </c>
      <c r="B89" s="3089"/>
      <c r="C89" s="3089"/>
      <c r="D89" s="3089"/>
      <c r="E89" s="3089"/>
      <c r="F89" s="3089"/>
      <c r="G89" s="3089"/>
      <c r="H89" s="3089"/>
      <c r="I89" s="3089"/>
      <c r="J89" s="3089"/>
      <c r="K89" s="3089"/>
      <c r="L89" s="3089"/>
      <c r="M89" s="3089"/>
      <c r="N89" s="3089"/>
      <c r="O89" s="3089"/>
      <c r="P89" s="1172" t="s">
        <v>1342</v>
      </c>
      <c r="Q89" s="574"/>
      <c r="R89" s="18"/>
      <c r="S89" s="959"/>
      <c r="T89" s="18"/>
      <c r="U89" s="861"/>
      <c r="V89" s="18"/>
      <c r="W89" s="1797"/>
    </row>
    <row r="90" spans="1:23" s="1254" customFormat="1" ht="18" customHeight="1">
      <c r="A90" s="1593" t="s">
        <v>1458</v>
      </c>
      <c r="B90" s="1816"/>
      <c r="C90" s="1817"/>
      <c r="D90" s="1818">
        <f>W36</f>
        <v>0</v>
      </c>
      <c r="E90" s="1597" t="s">
        <v>998</v>
      </c>
      <c r="F90" s="1228">
        <v>10</v>
      </c>
      <c r="G90" s="1802" t="s">
        <v>1285</v>
      </c>
      <c r="H90" s="983"/>
      <c r="I90" s="983"/>
      <c r="J90" s="983"/>
      <c r="K90" s="983"/>
      <c r="L90" s="983"/>
      <c r="M90" s="983"/>
      <c r="N90" s="2856">
        <f t="shared" ref="N90:N95" si="57">D90*F90</f>
        <v>0</v>
      </c>
      <c r="O90" s="2856"/>
      <c r="P90" s="1172" t="s">
        <v>1342</v>
      </c>
      <c r="Q90" s="574" t="s">
        <v>646</v>
      </c>
      <c r="R90" s="18"/>
      <c r="S90" s="959">
        <f>ROUNDUP(H67/300/55,0)</f>
        <v>0</v>
      </c>
      <c r="T90" s="18" t="s">
        <v>1720</v>
      </c>
      <c r="U90" s="861">
        <f>Pricing!Q44</f>
        <v>567.5</v>
      </c>
      <c r="V90" s="18" t="s">
        <v>647</v>
      </c>
      <c r="W90" s="1175">
        <f>U90*S90</f>
        <v>0</v>
      </c>
    </row>
    <row r="91" spans="1:23" s="1254" customFormat="1" ht="18" customHeight="1">
      <c r="A91" s="482" t="s">
        <v>1721</v>
      </c>
      <c r="B91" s="503"/>
      <c r="C91" s="834"/>
      <c r="D91" s="1819">
        <f>DH36</f>
        <v>0</v>
      </c>
      <c r="E91" s="77" t="s">
        <v>1418</v>
      </c>
      <c r="F91" s="1197">
        <v>5.25</v>
      </c>
      <c r="G91" s="77" t="s">
        <v>600</v>
      </c>
      <c r="H91" s="18"/>
      <c r="I91" s="18"/>
      <c r="J91" s="18"/>
      <c r="K91" s="18"/>
      <c r="L91" s="18"/>
      <c r="M91" s="18"/>
      <c r="N91" s="2859">
        <f t="shared" si="57"/>
        <v>0</v>
      </c>
      <c r="O91" s="2859"/>
      <c r="P91" s="1172" t="s">
        <v>1342</v>
      </c>
      <c r="Q91" s="966" t="s">
        <v>649</v>
      </c>
      <c r="R91" s="373"/>
      <c r="S91" s="1005">
        <f>BN66</f>
        <v>0</v>
      </c>
      <c r="T91" s="373" t="s">
        <v>1720</v>
      </c>
      <c r="U91" s="1006">
        <f>Pricing!Q45</f>
        <v>542</v>
      </c>
      <c r="V91" s="373" t="s">
        <v>647</v>
      </c>
      <c r="W91" s="1189">
        <f>U91*S91</f>
        <v>0</v>
      </c>
    </row>
    <row r="92" spans="1:23" s="1254" customFormat="1" ht="18" customHeight="1">
      <c r="A92" s="482" t="s">
        <v>1462</v>
      </c>
      <c r="B92" s="503"/>
      <c r="C92" s="834"/>
      <c r="D92" s="1819"/>
      <c r="E92" s="1807" t="s">
        <v>1341</v>
      </c>
      <c r="F92" s="1197">
        <v>0.25</v>
      </c>
      <c r="G92" s="77" t="s">
        <v>1341</v>
      </c>
      <c r="H92" s="18"/>
      <c r="I92" s="18"/>
      <c r="J92" s="18"/>
      <c r="K92" s="18"/>
      <c r="L92" s="18"/>
      <c r="M92" s="18"/>
      <c r="N92" s="2859">
        <f t="shared" si="57"/>
        <v>0</v>
      </c>
      <c r="O92" s="2859"/>
      <c r="P92" s="1172"/>
      <c r="Q92" s="574"/>
      <c r="R92" s="18"/>
      <c r="S92" s="18"/>
      <c r="T92" s="18"/>
      <c r="U92" s="844"/>
      <c r="V92" s="18"/>
      <c r="W92" s="1037"/>
    </row>
    <row r="93" spans="1:23" s="1254" customFormat="1" ht="18" customHeight="1">
      <c r="A93" s="1820" t="s">
        <v>1067</v>
      </c>
      <c r="B93" s="1821"/>
      <c r="C93" s="1822"/>
      <c r="D93" s="1823"/>
      <c r="E93" s="1824" t="s">
        <v>1000</v>
      </c>
      <c r="F93" s="1825">
        <v>1000</v>
      </c>
      <c r="G93" s="1826" t="s">
        <v>1624</v>
      </c>
      <c r="H93" s="18"/>
      <c r="I93" s="18"/>
      <c r="J93" s="18"/>
      <c r="K93" s="18"/>
      <c r="L93" s="18"/>
      <c r="M93" s="163"/>
      <c r="N93" s="2859">
        <f t="shared" si="57"/>
        <v>0</v>
      </c>
      <c r="O93" s="2859"/>
      <c r="P93" s="1172"/>
      <c r="Q93" s="1041" t="s">
        <v>1349</v>
      </c>
      <c r="R93" s="7"/>
      <c r="S93" s="919">
        <v>18</v>
      </c>
      <c r="T93" s="919" t="s">
        <v>1350</v>
      </c>
      <c r="U93" s="18"/>
      <c r="V93" s="18"/>
      <c r="W93" s="1042"/>
    </row>
    <row r="94" spans="1:23" s="1254" customFormat="1" ht="18" customHeight="1">
      <c r="A94" s="482" t="s">
        <v>1234</v>
      </c>
      <c r="B94" s="503"/>
      <c r="C94" s="834"/>
      <c r="D94" s="1819"/>
      <c r="E94" s="1174" t="s">
        <v>1285</v>
      </c>
      <c r="F94" s="1197">
        <v>6</v>
      </c>
      <c r="G94" s="77" t="s">
        <v>1285</v>
      </c>
      <c r="H94" s="18"/>
      <c r="I94" s="18"/>
      <c r="J94" s="18"/>
      <c r="K94" s="18"/>
      <c r="L94" s="18"/>
      <c r="M94" s="163"/>
      <c r="N94" s="2859">
        <f t="shared" si="57"/>
        <v>0</v>
      </c>
      <c r="O94" s="2859"/>
      <c r="P94" s="1172" t="s">
        <v>1072</v>
      </c>
      <c r="Q94" s="577" t="s">
        <v>1353</v>
      </c>
      <c r="R94" s="976"/>
      <c r="S94" s="976">
        <f>S64*12/S93</f>
        <v>0</v>
      </c>
      <c r="T94" s="976" t="s">
        <v>1354</v>
      </c>
      <c r="U94" s="1050">
        <f>Pricing!D30</f>
        <v>1</v>
      </c>
      <c r="V94" s="1050"/>
      <c r="W94" s="1827">
        <f>U94*S94</f>
        <v>0</v>
      </c>
    </row>
    <row r="95" spans="1:23" s="1254" customFormat="1" ht="18" customHeight="1">
      <c r="A95" s="1595" t="s">
        <v>1346</v>
      </c>
      <c r="B95" s="1441"/>
      <c r="C95" s="1445"/>
      <c r="D95" s="1828"/>
      <c r="E95" s="1829" t="s">
        <v>1347</v>
      </c>
      <c r="F95" s="1830">
        <v>200</v>
      </c>
      <c r="G95" s="1621" t="s">
        <v>620</v>
      </c>
      <c r="H95" s="976"/>
      <c r="I95" s="976"/>
      <c r="J95" s="976"/>
      <c r="K95" s="976"/>
      <c r="L95" s="976"/>
      <c r="M95" s="976"/>
      <c r="N95" s="2839">
        <f t="shared" si="57"/>
        <v>0</v>
      </c>
      <c r="O95" s="2839"/>
      <c r="P95" s="626"/>
      <c r="Q95" s="626"/>
      <c r="R95" s="626"/>
      <c r="S95" s="626"/>
      <c r="T95" s="626"/>
      <c r="U95" s="626"/>
      <c r="V95" s="626"/>
      <c r="W95" s="1236">
        <f>SUM(W52:W94)</f>
        <v>0</v>
      </c>
    </row>
    <row r="96" spans="1:23" s="1254" customFormat="1" ht="18" customHeight="1">
      <c r="A96" s="3029" t="s">
        <v>1191</v>
      </c>
      <c r="B96" s="3029"/>
      <c r="C96" s="3029"/>
      <c r="D96" s="1237">
        <f>Summary!P60</f>
        <v>0</v>
      </c>
      <c r="E96" s="1238" t="s">
        <v>1465</v>
      </c>
      <c r="F96" s="1831">
        <f>(SUM(N51:O64)+SUM(N66:O75)+SUM(K66:L75)+SUM(N78:O81)+SUM(N83:O88)+SUM(N90:O95))*D96</f>
        <v>0</v>
      </c>
      <c r="G96" s="1240" t="s">
        <v>1039</v>
      </c>
      <c r="H96" s="1240"/>
      <c r="I96" s="1240"/>
      <c r="J96" s="1240"/>
      <c r="K96" s="1240"/>
      <c r="L96" s="1240"/>
      <c r="M96" s="1240"/>
      <c r="N96" s="3030">
        <f>F96</f>
        <v>0</v>
      </c>
      <c r="O96" s="3030"/>
      <c r="P96" s="626"/>
      <c r="Q96" s="626"/>
      <c r="R96" s="626"/>
      <c r="S96" s="626"/>
      <c r="T96" s="626"/>
      <c r="U96" s="626"/>
      <c r="V96" s="626"/>
      <c r="W96" s="626"/>
    </row>
    <row r="97" spans="1:23" s="1254" customFormat="1" ht="18" customHeight="1">
      <c r="A97" s="888"/>
      <c r="B97" s="889"/>
      <c r="C97" s="889"/>
      <c r="D97" s="889"/>
      <c r="E97" s="889"/>
      <c r="F97" s="889"/>
      <c r="G97" s="889"/>
      <c r="H97" s="889"/>
      <c r="I97" s="889"/>
      <c r="J97" s="889"/>
      <c r="K97" s="891"/>
      <c r="L97" s="889"/>
      <c r="M97" s="889"/>
      <c r="N97" s="889"/>
      <c r="O97" s="889"/>
      <c r="P97" s="889"/>
      <c r="Q97" s="889"/>
      <c r="R97" s="889"/>
      <c r="S97" s="889"/>
      <c r="T97" s="889"/>
      <c r="U97" s="889"/>
      <c r="V97" s="889"/>
      <c r="W97" s="894"/>
    </row>
    <row r="98" spans="1:23" s="1254" customFormat="1" ht="18" customHeight="1">
      <c r="A98" s="1476" t="s">
        <v>1262</v>
      </c>
      <c r="B98" s="1477"/>
      <c r="C98" s="1478"/>
      <c r="D98" s="1476" t="s">
        <v>982</v>
      </c>
      <c r="E98" s="1478"/>
      <c r="F98" s="1476" t="s">
        <v>1263</v>
      </c>
      <c r="G98" s="1477"/>
      <c r="H98" s="1478"/>
      <c r="I98" s="1054" t="s">
        <v>1264</v>
      </c>
      <c r="J98" s="1055"/>
      <c r="K98" s="1056"/>
      <c r="L98" s="1057" t="s">
        <v>1265</v>
      </c>
      <c r="M98" s="1058"/>
      <c r="N98" s="1058"/>
      <c r="O98" s="1059"/>
      <c r="P98" s="895"/>
      <c r="Q98" s="574" t="s">
        <v>1266</v>
      </c>
      <c r="R98" s="18"/>
      <c r="S98" s="18" t="s">
        <v>1267</v>
      </c>
      <c r="T98" s="1060" t="str">
        <f>T39</f>
        <v>N</v>
      </c>
      <c r="U98" s="793" t="s">
        <v>1268</v>
      </c>
      <c r="V98" s="1242">
        <f>V39</f>
        <v>8.2500000000000004E-2</v>
      </c>
      <c r="W98" s="898"/>
    </row>
    <row r="99" spans="1:23" s="1254" customFormat="1" ht="18" customHeight="1">
      <c r="A99" s="899" t="s">
        <v>1269</v>
      </c>
      <c r="B99" s="2865">
        <f>B40</f>
        <v>0</v>
      </c>
      <c r="C99" s="2865"/>
      <c r="D99" s="2866">
        <f>D40</f>
        <v>0</v>
      </c>
      <c r="E99" s="2866"/>
      <c r="F99" s="901">
        <f>F40</f>
        <v>0</v>
      </c>
      <c r="G99" s="2867">
        <f>G40</f>
        <v>0</v>
      </c>
      <c r="H99" s="2867"/>
      <c r="I99" s="1485">
        <f>I40</f>
        <v>0</v>
      </c>
      <c r="J99" s="1486"/>
      <c r="K99" s="1487"/>
      <c r="L99" s="3031">
        <f>L40</f>
        <v>0.18</v>
      </c>
      <c r="M99" s="3031"/>
      <c r="N99" s="3031"/>
      <c r="O99" s="3031"/>
      <c r="P99" s="1137"/>
      <c r="Q99" s="902" t="s">
        <v>980</v>
      </c>
      <c r="R99" s="18"/>
      <c r="S99" s="18"/>
      <c r="T99" s="2942">
        <f>S40</f>
        <v>0</v>
      </c>
      <c r="U99" s="2942"/>
      <c r="V99" s="18"/>
      <c r="W99" s="898"/>
    </row>
    <row r="100" spans="1:23" s="1254" customFormat="1" ht="18" customHeight="1">
      <c r="A100" s="909"/>
      <c r="B100" s="905"/>
      <c r="C100" s="905"/>
      <c r="D100" s="905"/>
      <c r="E100" s="905"/>
      <c r="F100" s="905"/>
      <c r="G100" s="905"/>
      <c r="H100" s="905"/>
      <c r="I100" s="905"/>
      <c r="J100" s="905"/>
      <c r="K100" s="905"/>
      <c r="L100" s="905"/>
      <c r="M100" s="905"/>
      <c r="N100" s="905"/>
      <c r="O100" s="905"/>
      <c r="P100" s="905"/>
      <c r="Q100" s="905"/>
      <c r="R100" s="905"/>
      <c r="S100" s="905"/>
      <c r="T100" s="905"/>
      <c r="U100" s="905"/>
      <c r="V100" s="905"/>
      <c r="W100" s="913"/>
    </row>
    <row r="101" spans="1:23" s="1254" customFormat="1">
      <c r="A101" s="626"/>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row>
    <row r="102" spans="1:23" s="1254" customFormat="1">
      <c r="A102" s="626"/>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row>
    <row r="103" spans="1:23" s="1254" customFormat="1" ht="15.45">
      <c r="A103" s="684" t="s">
        <v>1055</v>
      </c>
      <c r="B103" s="1243" t="s">
        <v>853</v>
      </c>
      <c r="C103" s="686"/>
      <c r="D103" s="689">
        <f>D104-T99</f>
        <v>0</v>
      </c>
      <c r="E103" s="626"/>
      <c r="F103" s="626"/>
      <c r="G103" s="626"/>
      <c r="H103" s="626"/>
      <c r="I103" s="626"/>
      <c r="J103" s="626"/>
      <c r="K103" s="626"/>
      <c r="L103" s="626"/>
      <c r="M103" s="626"/>
      <c r="N103" s="626"/>
      <c r="O103" s="626"/>
      <c r="P103" s="626"/>
      <c r="Q103" s="626"/>
      <c r="R103" s="626"/>
      <c r="S103" s="626"/>
    </row>
    <row r="104" spans="1:23" s="1254" customFormat="1">
      <c r="A104" s="700" t="s">
        <v>1070</v>
      </c>
      <c r="B104" s="702"/>
      <c r="C104" s="702"/>
      <c r="D104" s="703">
        <f>SUM(D105:D161)-D137-D147</f>
        <v>0</v>
      </c>
      <c r="E104" s="626"/>
      <c r="F104" s="626"/>
      <c r="G104" s="626"/>
      <c r="H104" s="626"/>
      <c r="I104" s="626"/>
      <c r="J104" s="626"/>
      <c r="K104" s="626"/>
      <c r="L104" s="626"/>
      <c r="M104" s="626"/>
      <c r="N104" s="626"/>
      <c r="O104" s="626"/>
      <c r="P104" s="626"/>
      <c r="Q104" s="626"/>
      <c r="R104" s="626"/>
      <c r="S104" s="626"/>
    </row>
    <row r="105" spans="1:23">
      <c r="A105" s="1244">
        <f>Summary!P74</f>
        <v>40001</v>
      </c>
      <c r="B105" s="707" t="str">
        <f>Summary!Q74</f>
        <v>General Requirements</v>
      </c>
      <c r="C105" s="296"/>
      <c r="D105" s="708">
        <f>SUM(L100:M102)</f>
        <v>0</v>
      </c>
    </row>
    <row r="106" spans="1:23">
      <c r="A106" s="1244">
        <f>Summary!P75</f>
        <v>40002</v>
      </c>
      <c r="B106" s="707" t="str">
        <f>Summary!Q75</f>
        <v>Lumber</v>
      </c>
      <c r="C106" s="296"/>
      <c r="D106" s="717">
        <f>SUM(W51:W76)+W77+W78+W79+W81+W82</f>
        <v>0</v>
      </c>
    </row>
    <row r="107" spans="1:23">
      <c r="A107" s="1244">
        <f>Summary!P76</f>
        <v>40003</v>
      </c>
      <c r="B107" s="707" t="str">
        <f>Summary!Q76</f>
        <v>Sand Material</v>
      </c>
      <c r="C107" s="296"/>
      <c r="D107" s="717">
        <f>N59</f>
        <v>0</v>
      </c>
    </row>
    <row r="108" spans="1:23">
      <c r="A108" s="1244">
        <f>Summary!P77</f>
        <v>40004</v>
      </c>
      <c r="B108" s="707" t="str">
        <f>Summary!Q77</f>
        <v>Rock Material</v>
      </c>
      <c r="C108" s="296"/>
      <c r="D108" s="717">
        <f>N60</f>
        <v>0</v>
      </c>
    </row>
    <row r="109" spans="1:23">
      <c r="A109" s="1244">
        <f>Summary!P78</f>
        <v>40005</v>
      </c>
      <c r="B109" s="707" t="str">
        <f>Summary!Q78</f>
        <v>Reinforcement Material</v>
      </c>
      <c r="C109" s="296"/>
      <c r="D109" s="717">
        <f>N56+N57</f>
        <v>0</v>
      </c>
    </row>
    <row r="110" spans="1:23">
      <c r="A110" s="1244">
        <f>Summary!P79</f>
        <v>40006</v>
      </c>
      <c r="B110" s="707" t="str">
        <f>Summary!Q79</f>
        <v>Reinforcement Accessories</v>
      </c>
      <c r="C110" s="296"/>
      <c r="D110" s="717">
        <f>SUM(W83:DA85)+W94</f>
        <v>0</v>
      </c>
    </row>
    <row r="111" spans="1:23">
      <c r="A111" s="1244">
        <f>Summary!P80</f>
        <v>40007</v>
      </c>
      <c r="B111" s="707" t="str">
        <f>Summary!Q80</f>
        <v>PT Cables</v>
      </c>
      <c r="C111" s="296"/>
      <c r="D111" s="717">
        <f>N58</f>
        <v>0</v>
      </c>
    </row>
    <row r="112" spans="1:23">
      <c r="A112" s="1244">
        <f>Summary!P81</f>
        <v>40008</v>
      </c>
      <c r="B112" s="707" t="str">
        <f>Summary!Q81</f>
        <v>Concrete Material</v>
      </c>
      <c r="C112" s="296"/>
      <c r="D112" s="717">
        <f>SUM(N51:O55)</f>
        <v>0</v>
      </c>
    </row>
    <row r="113" spans="1:4">
      <c r="A113" s="1244">
        <f>Summary!P82</f>
        <v>40009</v>
      </c>
      <c r="B113" s="707" t="str">
        <f>Summary!Q82</f>
        <v>Carton Forms</v>
      </c>
      <c r="C113" s="296"/>
      <c r="D113" s="717">
        <f>SUM(N61:O63)</f>
        <v>0</v>
      </c>
    </row>
    <row r="114" spans="1:4">
      <c r="A114" s="1244">
        <f>Summary!P83</f>
        <v>40010</v>
      </c>
      <c r="B114" s="707" t="str">
        <f>Summary!Q83</f>
        <v>Cure/Sealers</v>
      </c>
      <c r="C114" s="296"/>
      <c r="D114" s="717">
        <f>SUM(W89:W91)</f>
        <v>0</v>
      </c>
    </row>
    <row r="115" spans="1:4">
      <c r="A115" s="1244">
        <f>Summary!P84</f>
        <v>40011</v>
      </c>
      <c r="B115" s="707" t="str">
        <f>Summary!Q84</f>
        <v>Patch/Grout</v>
      </c>
      <c r="C115" s="296"/>
      <c r="D115" s="717"/>
    </row>
    <row r="116" spans="1:4">
      <c r="A116" s="1244">
        <f>Summary!P85</f>
        <v>40012</v>
      </c>
      <c r="B116" s="707" t="str">
        <f>Summary!Q85</f>
        <v>Poly/Vapor Barrier</v>
      </c>
      <c r="C116" s="296"/>
      <c r="D116" s="717"/>
    </row>
    <row r="117" spans="1:4">
      <c r="A117" s="1244">
        <f>Summary!P86</f>
        <v>40013</v>
      </c>
      <c r="B117" s="707" t="s">
        <v>1105</v>
      </c>
      <c r="C117" s="296"/>
      <c r="D117" s="717">
        <f>W86</f>
        <v>0</v>
      </c>
    </row>
    <row r="118" spans="1:4">
      <c r="A118" s="1244">
        <f>Summary!P87</f>
        <v>40014</v>
      </c>
      <c r="B118" s="707" t="s">
        <v>1105</v>
      </c>
      <c r="C118" s="296"/>
      <c r="D118" s="717">
        <f>W87</f>
        <v>0</v>
      </c>
    </row>
    <row r="119" spans="1:4">
      <c r="A119" s="1244">
        <f>Summary!P88</f>
        <v>40015</v>
      </c>
      <c r="B119" s="707" t="s">
        <v>1108</v>
      </c>
      <c r="C119" s="296"/>
      <c r="D119" s="717">
        <f>W88</f>
        <v>0</v>
      </c>
    </row>
    <row r="120" spans="1:4">
      <c r="A120" s="1244">
        <f>Summary!P89</f>
        <v>40020</v>
      </c>
      <c r="B120" s="707" t="str">
        <f>Summary!Q89</f>
        <v>Supervision</v>
      </c>
      <c r="C120" s="296"/>
      <c r="D120" s="717">
        <f>SUM(N78:O79)</f>
        <v>0</v>
      </c>
    </row>
    <row r="121" spans="1:4">
      <c r="A121" s="1244">
        <f>Summary!P90</f>
        <v>40021</v>
      </c>
      <c r="B121" s="707" t="str">
        <f>Summary!Q90</f>
        <v>Supervision Expense</v>
      </c>
      <c r="C121" s="296"/>
      <c r="D121" s="717">
        <f>SUM(N80)</f>
        <v>0</v>
      </c>
    </row>
    <row r="122" spans="1:4">
      <c r="A122" s="1244">
        <f>Summary!P91</f>
        <v>40022</v>
      </c>
      <c r="B122" s="707" t="str">
        <f>Summary!Q91</f>
        <v>Project Management</v>
      </c>
      <c r="C122" s="296"/>
      <c r="D122" s="717">
        <f>N81</f>
        <v>0</v>
      </c>
    </row>
    <row r="123" spans="1:4">
      <c r="A123" s="1244">
        <f>Summary!P92</f>
        <v>40023</v>
      </c>
      <c r="B123" s="707" t="str">
        <f>Summary!Q92</f>
        <v>Labor Grade, Poly, Reinf.</v>
      </c>
      <c r="C123" s="296"/>
      <c r="D123" s="717">
        <f>K66</f>
        <v>0</v>
      </c>
    </row>
    <row r="124" spans="1:4">
      <c r="A124" s="1244">
        <f>Summary!P93</f>
        <v>40024</v>
      </c>
      <c r="B124" s="707" t="str">
        <f>Summary!Q93</f>
        <v>Labor Place &amp; Finish</v>
      </c>
      <c r="C124" s="296"/>
      <c r="D124" s="1245">
        <f>K68</f>
        <v>0</v>
      </c>
    </row>
    <row r="125" spans="1:4">
      <c r="A125" s="1244">
        <f>Summary!P94</f>
        <v>40025</v>
      </c>
      <c r="B125" s="707" t="str">
        <f>Summary!Q94</f>
        <v>Labor Drops</v>
      </c>
      <c r="C125" s="296"/>
      <c r="D125" s="717">
        <f>K70</f>
        <v>0</v>
      </c>
    </row>
    <row r="126" spans="1:4">
      <c r="A126" s="1244">
        <f>Summary!P95</f>
        <v>40026</v>
      </c>
      <c r="B126" s="707" t="str">
        <f>Summary!Q95</f>
        <v>Labor Strip Forms</v>
      </c>
      <c r="C126" s="296"/>
      <c r="D126" s="717">
        <f>K69</f>
        <v>0</v>
      </c>
    </row>
    <row r="127" spans="1:4">
      <c r="A127" s="1244">
        <f>Summary!P96</f>
        <v>40027</v>
      </c>
      <c r="B127" s="707" t="str">
        <f>Summary!Q96</f>
        <v>Labor Burden</v>
      </c>
      <c r="C127" s="296"/>
      <c r="D127" s="717"/>
    </row>
    <row r="128" spans="1:4">
      <c r="A128" s="1244">
        <f>Summary!P98</f>
        <v>40030</v>
      </c>
      <c r="B128" s="707" t="str">
        <f>Summary!Q98</f>
        <v>Pumping</v>
      </c>
      <c r="C128" s="296"/>
      <c r="D128" s="717">
        <f>N90</f>
        <v>0</v>
      </c>
    </row>
    <row r="129" spans="1:4">
      <c r="A129" s="1244">
        <f>Summary!P99</f>
        <v>40031</v>
      </c>
      <c r="B129" s="707" t="str">
        <f>Summary!Q99</f>
        <v>Earth Work/Excavation</v>
      </c>
      <c r="C129" s="296"/>
      <c r="D129" s="717"/>
    </row>
    <row r="130" spans="1:4">
      <c r="A130" s="1244">
        <f>Summary!P100</f>
        <v>40032</v>
      </c>
      <c r="B130" s="707" t="str">
        <f>Summary!Q100</f>
        <v>Drilling</v>
      </c>
      <c r="C130" s="296"/>
      <c r="D130" s="717"/>
    </row>
    <row r="131" spans="1:4">
      <c r="A131" s="1244">
        <f>Summary!P101</f>
        <v>40033</v>
      </c>
      <c r="B131" s="707" t="str">
        <f>Summary!Q101</f>
        <v>Haul off</v>
      </c>
      <c r="C131" s="296"/>
      <c r="D131" s="717">
        <f>N94</f>
        <v>0</v>
      </c>
    </row>
    <row r="132" spans="1:4">
      <c r="A132" s="1244">
        <f>Summary!P102</f>
        <v>40034</v>
      </c>
      <c r="B132" s="707" t="str">
        <f>Summary!Q102</f>
        <v>Saw Cutting/Sealing</v>
      </c>
      <c r="C132" s="296"/>
      <c r="D132" s="717">
        <f>N92</f>
        <v>0</v>
      </c>
    </row>
    <row r="133" spans="1:4">
      <c r="A133" s="1244">
        <f>Summary!P103</f>
        <v>40035</v>
      </c>
      <c r="B133" s="707" t="str">
        <f>Summary!Q103</f>
        <v>Demolition</v>
      </c>
      <c r="C133" s="296"/>
      <c r="D133" s="717"/>
    </row>
    <row r="134" spans="1:4">
      <c r="A134" s="1244">
        <f>Summary!P104</f>
        <v>40037</v>
      </c>
      <c r="B134" s="707" t="str">
        <f>Summary!Q104</f>
        <v>Waterproofing</v>
      </c>
      <c r="C134" s="296"/>
      <c r="D134" s="717">
        <f>N91</f>
        <v>0</v>
      </c>
    </row>
    <row r="135" spans="1:4">
      <c r="A135" s="1244">
        <f>Summary!P105</f>
        <v>40038</v>
      </c>
      <c r="B135" s="707" t="str">
        <f>Summary!Q105</f>
        <v>Crain/Hoisting</v>
      </c>
      <c r="C135" s="296"/>
      <c r="D135" s="717"/>
    </row>
    <row r="136" spans="1:4">
      <c r="A136" s="1246">
        <f>Summary!P106</f>
        <v>40039</v>
      </c>
      <c r="B136" s="753" t="str">
        <f>Summary!Q106</f>
        <v>Forming Systems</v>
      </c>
      <c r="C136" s="765"/>
      <c r="D136" s="1832">
        <f>N64</f>
        <v>0</v>
      </c>
    </row>
    <row r="137" spans="1:4">
      <c r="A137" s="1833">
        <f>Summary!P107</f>
        <v>40040</v>
      </c>
      <c r="B137" s="1834" t="str">
        <f>Summary!Q107</f>
        <v>Total Sub Labor</v>
      </c>
      <c r="C137" s="1835"/>
      <c r="D137" s="1836">
        <f>SUM(D138:D145)</f>
        <v>0</v>
      </c>
    </row>
    <row r="138" spans="1:4">
      <c r="A138" s="1244">
        <f>Summary!P108</f>
        <v>40041</v>
      </c>
      <c r="B138" s="707" t="str">
        <f>Summary!Q108</f>
        <v>Labor Forming</v>
      </c>
      <c r="C138" s="296"/>
      <c r="D138" s="708">
        <f>N67</f>
        <v>0</v>
      </c>
    </row>
    <row r="139" spans="1:4">
      <c r="A139" s="1244">
        <f>Summary!P109</f>
        <v>40042</v>
      </c>
      <c r="B139" s="707" t="str">
        <f>Summary!Q109</f>
        <v>Labor Grade, Poly, Reinf.</v>
      </c>
      <c r="C139" s="715"/>
      <c r="D139" s="708">
        <f>N66+N74+N73</f>
        <v>0</v>
      </c>
    </row>
    <row r="140" spans="1:4">
      <c r="A140" s="1244">
        <f>Summary!P110</f>
        <v>40043</v>
      </c>
      <c r="B140" s="707" t="str">
        <f>Summary!Q110</f>
        <v>Labor Place &amp; Finish</v>
      </c>
      <c r="C140" s="715"/>
      <c r="D140" s="708">
        <f>N68</f>
        <v>0</v>
      </c>
    </row>
    <row r="141" spans="1:4">
      <c r="A141" s="1244">
        <f>Summary!P111</f>
        <v>40044</v>
      </c>
      <c r="B141" s="707" t="str">
        <f>Summary!Q111</f>
        <v>Labor Drops</v>
      </c>
      <c r="C141" s="715"/>
      <c r="D141" s="708"/>
    </row>
    <row r="142" spans="1:4">
      <c r="A142" s="1244">
        <f>Summary!P112</f>
        <v>40045</v>
      </c>
      <c r="B142" s="707" t="str">
        <f>Summary!Q112</f>
        <v>Labor Strip Forms</v>
      </c>
      <c r="C142" s="715"/>
      <c r="D142" s="708">
        <f>N69</f>
        <v>0</v>
      </c>
    </row>
    <row r="143" spans="1:4">
      <c r="A143" s="1244">
        <f>Summary!P113</f>
        <v>40046</v>
      </c>
      <c r="B143" s="707" t="str">
        <f>Summary!Q113</f>
        <v>Labor Burden</v>
      </c>
      <c r="C143" s="296"/>
      <c r="D143" s="717">
        <f>N70+N72</f>
        <v>0</v>
      </c>
    </row>
    <row r="144" spans="1:4">
      <c r="A144" s="1244">
        <f>Summary!P114</f>
        <v>40047</v>
      </c>
      <c r="B144" s="707" t="str">
        <f>Summary!Q114</f>
        <v>Rebar</v>
      </c>
      <c r="C144" s="715"/>
      <c r="D144" s="708">
        <f>N71</f>
        <v>0</v>
      </c>
    </row>
    <row r="145" spans="1:4">
      <c r="A145" s="1246">
        <f>Summary!P115</f>
        <v>40048</v>
      </c>
      <c r="B145" s="753" t="str">
        <f>Summary!Q115</f>
        <v>PT Installation</v>
      </c>
      <c r="C145" s="765"/>
      <c r="D145" s="1832"/>
    </row>
    <row r="146" spans="1:4">
      <c r="A146" s="1246">
        <f>Summary!P116</f>
        <v>40049</v>
      </c>
      <c r="B146" s="753" t="str">
        <f>Summary!Q116</f>
        <v>Extra Hours</v>
      </c>
      <c r="C146" s="765"/>
      <c r="D146" s="722">
        <f>N75</f>
        <v>0</v>
      </c>
    </row>
    <row r="147" spans="1:4">
      <c r="A147" s="1833">
        <f>Summary!P117</f>
        <v>40060</v>
      </c>
      <c r="B147" s="1834" t="str">
        <f>Summary!Q117</f>
        <v>Total Equipment Rental</v>
      </c>
      <c r="C147" s="1835"/>
      <c r="D147" s="1836">
        <f>SUM(D148:D153)</f>
        <v>0</v>
      </c>
    </row>
    <row r="148" spans="1:4">
      <c r="A148" s="1244">
        <f>Summary!P118</f>
        <v>40061</v>
      </c>
      <c r="B148" s="707" t="str">
        <f>Summary!Q118</f>
        <v>SkyTrack</v>
      </c>
      <c r="C148" s="296"/>
      <c r="D148" s="708">
        <f>N83/(1+V$39+I$85)</f>
        <v>0</v>
      </c>
    </row>
    <row r="149" spans="1:4">
      <c r="A149" s="1244">
        <f>Summary!P119</f>
        <v>40062</v>
      </c>
      <c r="B149" s="707" t="str">
        <f>Summary!Q119</f>
        <v>Mini Excavator</v>
      </c>
      <c r="C149" s="296"/>
      <c r="D149" s="708">
        <f>N84/(1+V$39+I$85)</f>
        <v>0</v>
      </c>
    </row>
    <row r="150" spans="1:4">
      <c r="A150" s="1244">
        <f>Summary!P120</f>
        <v>40063</v>
      </c>
      <c r="B150" s="707" t="str">
        <f>Summary!Q120</f>
        <v>Trencher</v>
      </c>
      <c r="C150" s="296"/>
      <c r="D150" s="708">
        <f>N85/(1+V$39+I$85)</f>
        <v>0</v>
      </c>
    </row>
    <row r="151" spans="1:4">
      <c r="A151" s="1244">
        <f>Summary!P121</f>
        <v>40064</v>
      </c>
      <c r="B151" s="707" t="str">
        <f>Summary!Q121</f>
        <v>Skid Steer</v>
      </c>
      <c r="C151" s="296"/>
      <c r="D151" s="708">
        <f>N86/(1+V$39+I$85)</f>
        <v>0</v>
      </c>
    </row>
    <row r="152" spans="1:4">
      <c r="A152" s="1244">
        <f>Summary!P122</f>
        <v>40065</v>
      </c>
      <c r="B152" s="707" t="str">
        <f>Summary!Q122</f>
        <v>General Equipment Rental</v>
      </c>
      <c r="C152" s="296"/>
      <c r="D152" s="708">
        <f>(N87+N88)/(1+V$39+I$85)</f>
        <v>0</v>
      </c>
    </row>
    <row r="153" spans="1:4">
      <c r="A153" s="1244">
        <f>Summary!P123</f>
        <v>40066</v>
      </c>
      <c r="B153" s="707" t="str">
        <f>Summary!Q123</f>
        <v>Fuel</v>
      </c>
      <c r="C153" s="296"/>
      <c r="D153" s="708">
        <f>L85-SUM(D148:D152)</f>
        <v>0</v>
      </c>
    </row>
    <row r="154" spans="1:4">
      <c r="A154" s="1244">
        <f>Summary!P124</f>
        <v>40067</v>
      </c>
      <c r="B154" s="707" t="str">
        <f>Summary!Q124</f>
        <v>Purchased Tools</v>
      </c>
      <c r="C154" s="296"/>
      <c r="D154" s="708"/>
    </row>
    <row r="155" spans="1:4">
      <c r="A155" s="1244">
        <f>Summary!P125</f>
        <v>40068</v>
      </c>
      <c r="B155" s="707" t="str">
        <f>Summary!Q125</f>
        <v>Stolen/Damaged</v>
      </c>
      <c r="C155" s="296"/>
      <c r="D155" s="708"/>
    </row>
    <row r="156" spans="1:4">
      <c r="A156" s="1244">
        <f>Summary!P126</f>
        <v>40070</v>
      </c>
      <c r="B156" s="707" t="str">
        <f>Summary!Q126</f>
        <v>Out of Town Expense</v>
      </c>
      <c r="C156" s="296"/>
      <c r="D156" s="708">
        <f>N95</f>
        <v>0</v>
      </c>
    </row>
    <row r="157" spans="1:4">
      <c r="A157" s="1244">
        <f>Summary!P127</f>
        <v>40071</v>
      </c>
      <c r="B157" s="707" t="str">
        <f>Summary!Q127</f>
        <v>Miscellaneous</v>
      </c>
      <c r="C157" s="296"/>
      <c r="D157" s="717">
        <f>N93</f>
        <v>0</v>
      </c>
    </row>
    <row r="158" spans="1:4">
      <c r="A158" s="1244">
        <f>Summary!P128</f>
        <v>40072</v>
      </c>
      <c r="B158" s="707" t="str">
        <f>Summary!Q128</f>
        <v>Repairs</v>
      </c>
      <c r="C158" s="296"/>
      <c r="D158" s="717"/>
    </row>
    <row r="159" spans="1:4">
      <c r="A159" s="1244">
        <f>Summary!P129</f>
        <v>40073</v>
      </c>
      <c r="B159" s="707" t="str">
        <f>Summary!Q129</f>
        <v>Engineering</v>
      </c>
      <c r="C159" s="296"/>
      <c r="D159" s="717"/>
    </row>
    <row r="160" spans="1:4">
      <c r="A160" s="1244">
        <f>Summary!P130</f>
        <v>40090</v>
      </c>
      <c r="B160" s="707" t="str">
        <f>Summary!Q130</f>
        <v>Not Used</v>
      </c>
      <c r="C160" s="296"/>
      <c r="D160" s="717"/>
    </row>
    <row r="161" spans="1:4">
      <c r="A161" s="1244">
        <f>Summary!P131</f>
        <v>40091</v>
      </c>
      <c r="B161" s="707" t="str">
        <f>Summary!Q131</f>
        <v>Margin Contingency</v>
      </c>
      <c r="C161" s="296"/>
      <c r="D161" s="717">
        <f>N96</f>
        <v>0</v>
      </c>
    </row>
  </sheetData>
  <mergeCells count="123">
    <mergeCell ref="B99:C99"/>
    <mergeCell ref="D99:E99"/>
    <mergeCell ref="G99:H99"/>
    <mergeCell ref="L99:O99"/>
    <mergeCell ref="T99:U99"/>
    <mergeCell ref="A89:O89"/>
    <mergeCell ref="N90:O90"/>
    <mergeCell ref="N91:O91"/>
    <mergeCell ref="N92:O92"/>
    <mergeCell ref="N93:O93"/>
    <mergeCell ref="N94:O94"/>
    <mergeCell ref="N95:O95"/>
    <mergeCell ref="A96:C96"/>
    <mergeCell ref="N96:O96"/>
    <mergeCell ref="I84:J84"/>
    <mergeCell ref="L84:M84"/>
    <mergeCell ref="N84:O84"/>
    <mergeCell ref="I85:J86"/>
    <mergeCell ref="L85:M85"/>
    <mergeCell ref="N85:O85"/>
    <mergeCell ref="N86:O86"/>
    <mergeCell ref="N87:O87"/>
    <mergeCell ref="N88:O88"/>
    <mergeCell ref="L78:M78"/>
    <mergeCell ref="N78:O78"/>
    <mergeCell ref="L79:M79"/>
    <mergeCell ref="N79:O79"/>
    <mergeCell ref="N80:O80"/>
    <mergeCell ref="L81:M81"/>
    <mergeCell ref="N81:O81"/>
    <mergeCell ref="A82:O82"/>
    <mergeCell ref="N83:O83"/>
    <mergeCell ref="D74:E74"/>
    <mergeCell ref="K74:L74"/>
    <mergeCell ref="N74:O74"/>
    <mergeCell ref="D75:E75"/>
    <mergeCell ref="K75:L75"/>
    <mergeCell ref="N75:O75"/>
    <mergeCell ref="K76:L76"/>
    <mergeCell ref="N76:O76"/>
    <mergeCell ref="A77:O77"/>
    <mergeCell ref="D71:E71"/>
    <mergeCell ref="K71:L71"/>
    <mergeCell ref="N71:O71"/>
    <mergeCell ref="D72:E72"/>
    <mergeCell ref="K72:L72"/>
    <mergeCell ref="N72:O72"/>
    <mergeCell ref="D73:E73"/>
    <mergeCell ref="K73:L73"/>
    <mergeCell ref="N73:O73"/>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H61:I63"/>
    <mergeCell ref="J61:J63"/>
    <mergeCell ref="K61:L61"/>
    <mergeCell ref="N61:O61"/>
    <mergeCell ref="K62:L62"/>
    <mergeCell ref="N62:O62"/>
    <mergeCell ref="K63:L63"/>
    <mergeCell ref="N63:O63"/>
    <mergeCell ref="H64:I64"/>
    <mergeCell ref="N64:O64"/>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C6:D6"/>
    <mergeCell ref="C7:D7"/>
    <mergeCell ref="BJ8:BR8"/>
    <mergeCell ref="DD8:DG8"/>
    <mergeCell ref="A9:B9"/>
    <mergeCell ref="D38:E38"/>
    <mergeCell ref="A39:C39"/>
    <mergeCell ref="B40:C40"/>
    <mergeCell ref="D40:E40"/>
    <mergeCell ref="G40:H40"/>
    <mergeCell ref="I40:J40"/>
    <mergeCell ref="S40:T40"/>
  </mergeCells>
  <conditionalFormatting sqref="D11:D27">
    <cfRule type="expression" dxfId="7" priority="2">
      <formula>AND(E11&lt;&gt;"",ISERROR(MATCH(D11,$A$51:$A$55,0)))</formula>
    </cfRule>
  </conditionalFormatting>
  <conditionalFormatting sqref="K50:L50">
    <cfRule type="containsText" dxfId="6" priority="3" operator="containsText" text="Missing Concrete">
      <formula>NOT(ISERROR(SEARCH("Missing Concrete",K50)))</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9" max="1638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B9CDE5"/>
    <pageSetUpPr fitToPage="1"/>
  </sheetPr>
  <dimension ref="A1:DJ161"/>
  <sheetViews>
    <sheetView topLeftCell="A9" zoomScale="65" zoomScaleNormal="65" zoomScalePageLayoutView="70" workbookViewId="0">
      <selection activeCell="E28" sqref="E28"/>
    </sheetView>
  </sheetViews>
  <sheetFormatPr defaultColWidth="2.4609375" defaultRowHeight="15"/>
  <cols>
    <col min="1" max="1" width="12" style="18" customWidth="1"/>
    <col min="2" max="2" width="16.15234375" style="18" customWidth="1"/>
    <col min="3" max="3" width="16.84375" style="18" customWidth="1"/>
    <col min="4" max="4" width="14.15234375" style="18" customWidth="1"/>
    <col min="5" max="5" width="10.84375" style="18" customWidth="1"/>
    <col min="6" max="6" width="14.4609375" style="18" customWidth="1"/>
    <col min="7" max="8" width="10.84375" style="18" customWidth="1"/>
    <col min="9" max="9" width="12.15234375" style="18" customWidth="1"/>
    <col min="10" max="10" width="13.4609375" style="18" customWidth="1"/>
    <col min="11" max="13" width="10.84375" style="18" customWidth="1"/>
    <col min="14" max="14" width="13.4609375" style="18" customWidth="1"/>
    <col min="15" max="15" width="12.53515625" style="18" customWidth="1"/>
    <col min="16" max="16" width="14.15234375" style="18" customWidth="1"/>
    <col min="17" max="17" width="12.15234375" style="18" customWidth="1"/>
    <col min="18" max="20" width="10.84375" style="18" customWidth="1"/>
    <col min="21" max="21" width="12.53515625" style="18" customWidth="1"/>
    <col min="22" max="23" width="17.84375" style="18" customWidth="1"/>
    <col min="24" max="24" width="4.84375" customWidth="1"/>
    <col min="25" max="30" width="9.15234375" customWidth="1"/>
    <col min="31" max="31" width="14.15234375" customWidth="1"/>
    <col min="32" max="54" width="9.15234375" customWidth="1"/>
    <col min="55" max="55" width="11.15234375" customWidth="1"/>
    <col min="56" max="56" width="14.15234375" customWidth="1"/>
    <col min="57" max="58" width="10.15234375" customWidth="1"/>
    <col min="59" max="59" width="11.84375" customWidth="1"/>
    <col min="60" max="61" width="9.15234375" customWidth="1"/>
    <col min="62" max="62" width="11.53515625" customWidth="1"/>
    <col min="63" max="63" width="20.84375" customWidth="1"/>
    <col min="64" max="64" width="19.15234375" customWidth="1"/>
    <col min="65" max="65" width="19" customWidth="1"/>
    <col min="66" max="66" width="20.84375" customWidth="1"/>
    <col min="67" max="67" width="16.84375" customWidth="1"/>
    <col min="68" max="68" width="16" customWidth="1"/>
    <col min="69" max="69" width="26.53515625" customWidth="1"/>
    <col min="70" max="70" width="10.84375" customWidth="1"/>
    <col min="71" max="72" width="12.53515625" customWidth="1"/>
    <col min="73" max="73" width="9.15234375" customWidth="1"/>
    <col min="74" max="74" width="11.84375" customWidth="1"/>
    <col min="75" max="75" width="9.84375" customWidth="1"/>
    <col min="76" max="105" width="9.15234375" customWidth="1"/>
    <col min="106" max="106" width="13" customWidth="1"/>
    <col min="107" max="114" width="10.84375" customWidth="1"/>
    <col min="115" max="266" width="9.15234375" customWidth="1"/>
  </cols>
  <sheetData>
    <row r="1" spans="1:114" s="1254" customFormat="1" ht="15.45">
      <c r="A1" s="677"/>
      <c r="B1" s="589"/>
      <c r="C1" s="589"/>
      <c r="D1" s="589"/>
      <c r="E1" s="589"/>
      <c r="F1" s="589"/>
      <c r="G1" s="589"/>
      <c r="H1" s="589"/>
      <c r="I1" s="589"/>
      <c r="J1" s="589"/>
      <c r="K1" s="589"/>
      <c r="L1" s="589"/>
      <c r="M1" s="589"/>
      <c r="N1" s="589"/>
      <c r="O1" s="589"/>
      <c r="P1" s="589"/>
      <c r="Q1" s="589"/>
      <c r="R1" s="589"/>
      <c r="S1" s="983"/>
      <c r="T1" s="1081" t="s">
        <v>1193</v>
      </c>
      <c r="U1" s="1081"/>
      <c r="V1" s="1669">
        <v>37456</v>
      </c>
      <c r="W1" s="1082"/>
      <c r="AE1" s="1254">
        <f>SUM(AE67:AE127)</f>
        <v>0</v>
      </c>
    </row>
    <row r="2" spans="1:114" s="1254" customFormat="1" ht="15.45">
      <c r="A2" s="1255" t="str">
        <f>Summary!C1</f>
        <v>Trammell Crow – LBJ</v>
      </c>
      <c r="B2" s="1256"/>
      <c r="C2" s="1256"/>
      <c r="D2" s="1257"/>
      <c r="E2" s="626"/>
      <c r="F2" s="626"/>
      <c r="G2" s="381"/>
      <c r="H2" s="1140" t="s">
        <v>56</v>
      </c>
      <c r="I2" s="983"/>
      <c r="J2" s="1085" t="s">
        <v>57</v>
      </c>
      <c r="K2" s="589"/>
      <c r="L2" s="589"/>
      <c r="M2" s="589"/>
      <c r="N2" s="1085" t="s">
        <v>1</v>
      </c>
      <c r="O2" s="1085"/>
      <c r="P2" s="1085" t="s">
        <v>1194</v>
      </c>
      <c r="Q2" s="808"/>
      <c r="R2" s="626"/>
      <c r="S2" s="626"/>
      <c r="T2" s="795" t="s">
        <v>957</v>
      </c>
      <c r="U2" s="663"/>
      <c r="V2" s="796">
        <f>Information!C7</f>
        <v>0</v>
      </c>
      <c r="W2" s="797"/>
    </row>
    <row r="3" spans="1:114" s="1254" customFormat="1">
      <c r="A3" s="1260">
        <f>Summary!C2</f>
        <v>0</v>
      </c>
      <c r="B3" s="1261"/>
      <c r="C3" s="1261"/>
      <c r="D3" s="1262"/>
      <c r="E3" s="626"/>
      <c r="F3" s="626"/>
      <c r="G3" s="396"/>
      <c r="H3" s="928" t="s">
        <v>955</v>
      </c>
      <c r="I3" s="1670">
        <f>Summary!K2</f>
        <v>0</v>
      </c>
      <c r="J3" s="1671"/>
      <c r="K3" s="1671"/>
      <c r="L3" s="1671"/>
      <c r="M3" s="1671"/>
      <c r="N3" s="1672">
        <f>Summary!O2</f>
        <v>0</v>
      </c>
      <c r="O3" s="1672"/>
      <c r="P3" s="1263">
        <f>Summary!P2</f>
        <v>0</v>
      </c>
      <c r="Q3" s="1264"/>
      <c r="R3" s="626"/>
      <c r="S3" s="626"/>
      <c r="T3" s="574"/>
      <c r="U3" s="18"/>
      <c r="V3" s="18"/>
      <c r="W3" s="798"/>
    </row>
    <row r="4" spans="1:114" s="1254" customFormat="1">
      <c r="A4" s="1265" t="str">
        <f>Summary!C3</f>
        <v>Dallas, TX</v>
      </c>
      <c r="B4" s="1266"/>
      <c r="C4" s="1266"/>
      <c r="D4" s="1267"/>
      <c r="E4" s="626"/>
      <c r="F4" s="626"/>
      <c r="G4" s="396"/>
      <c r="H4" s="928" t="s">
        <v>71</v>
      </c>
      <c r="I4" s="1673">
        <f>Summary!K3</f>
        <v>0</v>
      </c>
      <c r="J4" s="1674"/>
      <c r="K4" s="1674"/>
      <c r="L4" s="1674"/>
      <c r="M4" s="1674"/>
      <c r="N4" s="1675">
        <f>Summary!O3</f>
        <v>0</v>
      </c>
      <c r="O4" s="1675"/>
      <c r="P4" s="1268">
        <f>Summary!P3</f>
        <v>0</v>
      </c>
      <c r="Q4" s="1269"/>
      <c r="R4" s="626"/>
      <c r="S4" s="626"/>
      <c r="T4" s="574" t="s">
        <v>958</v>
      </c>
      <c r="U4" s="18"/>
      <c r="V4" s="799"/>
      <c r="W4" s="800"/>
    </row>
    <row r="5" spans="1:114" s="1254" customFormat="1">
      <c r="A5" s="963" t="s">
        <v>0</v>
      </c>
      <c r="B5" s="626"/>
      <c r="C5" s="380" t="s">
        <v>1</v>
      </c>
      <c r="D5" s="18"/>
      <c r="E5" s="626"/>
      <c r="F5" s="626"/>
      <c r="G5" s="396"/>
      <c r="H5" s="928" t="s">
        <v>79</v>
      </c>
      <c r="I5" s="1676">
        <f>Summary!K4</f>
        <v>0</v>
      </c>
      <c r="J5" s="1677"/>
      <c r="K5" s="1677"/>
      <c r="L5" s="1677"/>
      <c r="M5" s="1677"/>
      <c r="N5" s="1272">
        <f>Summary!O4</f>
        <v>0</v>
      </c>
      <c r="O5" s="1272"/>
      <c r="P5" s="1678">
        <f>Summary!P4</f>
        <v>0</v>
      </c>
      <c r="Q5" s="1679"/>
      <c r="R5" s="626"/>
      <c r="S5" s="626"/>
      <c r="T5" s="574"/>
      <c r="U5" s="18"/>
      <c r="V5" s="18"/>
      <c r="W5" s="798"/>
    </row>
    <row r="6" spans="1:114" s="1254" customFormat="1">
      <c r="A6" s="1089">
        <v>0</v>
      </c>
      <c r="B6" s="626"/>
      <c r="C6" s="2760">
        <v>0</v>
      </c>
      <c r="D6" s="2760"/>
      <c r="E6" s="626"/>
      <c r="F6" s="626"/>
      <c r="G6" s="653"/>
      <c r="H6" s="1090" t="s">
        <v>87</v>
      </c>
      <c r="I6" s="1680">
        <f>Summary!K5</f>
        <v>0</v>
      </c>
      <c r="J6" s="1681"/>
      <c r="K6" s="1681"/>
      <c r="L6" s="1681"/>
      <c r="M6" s="1681"/>
      <c r="N6" s="1682">
        <f>Summary!O5</f>
        <v>0</v>
      </c>
      <c r="O6" s="1682"/>
      <c r="P6" s="1683">
        <f>Summary!P5</f>
        <v>0</v>
      </c>
      <c r="Q6" s="1684"/>
      <c r="R6" s="626"/>
      <c r="S6" s="626"/>
      <c r="T6" s="577" t="s">
        <v>958</v>
      </c>
      <c r="U6" s="802"/>
      <c r="V6" s="802"/>
      <c r="W6" s="803"/>
    </row>
    <row r="7" spans="1:114" s="1254" customFormat="1">
      <c r="A7" s="1091">
        <v>0</v>
      </c>
      <c r="B7" s="626"/>
      <c r="C7" s="2764">
        <v>0</v>
      </c>
      <c r="D7" s="2764"/>
      <c r="E7" s="626"/>
      <c r="F7" s="1090" t="s">
        <v>1196</v>
      </c>
      <c r="G7" s="1090"/>
      <c r="H7" s="1090"/>
      <c r="I7" s="806" t="str">
        <f>Pricing!A3</f>
        <v>SRM</v>
      </c>
      <c r="J7" s="806"/>
      <c r="K7" s="806"/>
      <c r="L7" s="806"/>
      <c r="M7" s="806"/>
      <c r="N7" s="693"/>
      <c r="O7" s="693"/>
      <c r="P7" s="693"/>
      <c r="Q7" s="693"/>
      <c r="R7" s="693"/>
      <c r="S7" s="626"/>
      <c r="T7" s="626"/>
      <c r="U7" s="626"/>
      <c r="V7" s="626"/>
      <c r="W7" s="1093"/>
    </row>
    <row r="8" spans="1:114" s="1254" customFormat="1" ht="30.45">
      <c r="A8" s="1094"/>
      <c r="B8" s="1685"/>
      <c r="C8" s="1686" t="s">
        <v>1660</v>
      </c>
      <c r="D8" s="1687" t="s">
        <v>1661</v>
      </c>
      <c r="E8" s="1688" t="s">
        <v>1662</v>
      </c>
      <c r="F8" s="1689"/>
      <c r="G8" s="1690"/>
      <c r="H8" s="1691" t="s">
        <v>1663</v>
      </c>
      <c r="I8" s="1689"/>
      <c r="J8" s="1690"/>
      <c r="K8" s="1691" t="s">
        <v>1664</v>
      </c>
      <c r="L8" s="1689"/>
      <c r="M8" s="1689"/>
      <c r="N8" s="1692" t="s">
        <v>1665</v>
      </c>
      <c r="O8" s="1296"/>
      <c r="P8" s="1296"/>
      <c r="Q8" s="1296" t="s">
        <v>785</v>
      </c>
      <c r="R8" s="1693">
        <v>3</v>
      </c>
      <c r="S8" s="1688" t="s">
        <v>1362</v>
      </c>
      <c r="T8" s="1296"/>
      <c r="U8" s="807"/>
      <c r="V8" s="1291" t="s">
        <v>1363</v>
      </c>
      <c r="W8" s="1501" t="s">
        <v>1219</v>
      </c>
      <c r="AI8" s="1254" t="s">
        <v>1666</v>
      </c>
      <c r="AS8" s="1254" t="s">
        <v>1667</v>
      </c>
      <c r="BJ8" s="3075" t="s">
        <v>1507</v>
      </c>
      <c r="BK8" s="3075"/>
      <c r="BL8" s="3075"/>
      <c r="BM8" s="3075"/>
      <c r="BN8" s="3075"/>
      <c r="BO8" s="3075"/>
      <c r="BP8" s="3075"/>
      <c r="BQ8" s="3075"/>
      <c r="BR8" s="3075"/>
      <c r="BS8" s="1694"/>
      <c r="BT8" s="1694"/>
      <c r="BU8" s="1694"/>
      <c r="BV8" s="1694"/>
      <c r="BW8" s="1695"/>
      <c r="DD8" s="3076" t="s">
        <v>1021</v>
      </c>
      <c r="DE8" s="3076"/>
      <c r="DF8" s="3076"/>
      <c r="DG8" s="3076"/>
      <c r="DH8" s="1696"/>
      <c r="DI8" s="1696"/>
      <c r="DJ8" s="1697"/>
    </row>
    <row r="9" spans="1:114" s="1254" customFormat="1" ht="28.5" customHeight="1">
      <c r="A9" s="3077" t="s">
        <v>1668</v>
      </c>
      <c r="B9" s="3077"/>
      <c r="C9" s="1101" t="s">
        <v>1428</v>
      </c>
      <c r="D9" s="1698" t="s">
        <v>1669</v>
      </c>
      <c r="E9" s="1314" t="s">
        <v>1366</v>
      </c>
      <c r="F9" s="1100" t="s">
        <v>1670</v>
      </c>
      <c r="G9" s="1099" t="s">
        <v>1596</v>
      </c>
      <c r="H9" s="1100" t="s">
        <v>1216</v>
      </c>
      <c r="I9" s="1100" t="s">
        <v>1215</v>
      </c>
      <c r="J9" s="1314" t="s">
        <v>1671</v>
      </c>
      <c r="K9" s="1100" t="s">
        <v>1216</v>
      </c>
      <c r="L9" s="1101" t="s">
        <v>1215</v>
      </c>
      <c r="M9" s="1100" t="s">
        <v>1672</v>
      </c>
      <c r="N9" s="1699" t="s">
        <v>1673</v>
      </c>
      <c r="O9" s="1101" t="s">
        <v>1674</v>
      </c>
      <c r="P9" s="1101" t="s">
        <v>1216</v>
      </c>
      <c r="Q9" s="1101" t="s">
        <v>1215</v>
      </c>
      <c r="R9" s="1508" t="s">
        <v>1672</v>
      </c>
      <c r="S9" s="1104" t="s">
        <v>835</v>
      </c>
      <c r="T9" s="1101" t="s">
        <v>1675</v>
      </c>
      <c r="U9" s="1314" t="s">
        <v>1676</v>
      </c>
      <c r="V9" s="1317"/>
      <c r="W9" s="1510"/>
      <c r="AH9" s="1700" t="s">
        <v>1374</v>
      </c>
      <c r="AI9" s="1701" t="s">
        <v>1375</v>
      </c>
      <c r="AJ9" s="1701" t="s">
        <v>1376</v>
      </c>
      <c r="AK9" s="1701" t="s">
        <v>1377</v>
      </c>
      <c r="AL9" s="1701" t="s">
        <v>1378</v>
      </c>
      <c r="AM9" s="1701" t="s">
        <v>1522</v>
      </c>
      <c r="AN9" s="1701" t="s">
        <v>1523</v>
      </c>
      <c r="AO9" s="1701" t="s">
        <v>1524</v>
      </c>
      <c r="AP9" s="1701" t="s">
        <v>1525</v>
      </c>
      <c r="AQ9" s="1702" t="s">
        <v>1526</v>
      </c>
      <c r="AR9" s="1700" t="s">
        <v>1374</v>
      </c>
      <c r="AS9" s="1701" t="s">
        <v>1375</v>
      </c>
      <c r="AT9" s="1701" t="s">
        <v>1376</v>
      </c>
      <c r="AU9" s="1701" t="s">
        <v>1377</v>
      </c>
      <c r="AV9" s="1701" t="s">
        <v>1378</v>
      </c>
      <c r="AW9" s="1701" t="s">
        <v>1522</v>
      </c>
      <c r="AX9" s="1701" t="s">
        <v>1523</v>
      </c>
      <c r="AY9" s="1701" t="s">
        <v>1524</v>
      </c>
      <c r="AZ9" s="1701" t="s">
        <v>1525</v>
      </c>
      <c r="BA9" s="1702" t="s">
        <v>1526</v>
      </c>
      <c r="BB9" s="1254" t="s">
        <v>1677</v>
      </c>
      <c r="BC9" s="1254" t="s">
        <v>1678</v>
      </c>
      <c r="BD9" s="1254" t="s">
        <v>1385</v>
      </c>
      <c r="BE9" s="1254" t="s">
        <v>1386</v>
      </c>
      <c r="BF9" s="1254" t="s">
        <v>1387</v>
      </c>
      <c r="BG9" s="1254" t="s">
        <v>1679</v>
      </c>
      <c r="BH9" s="402" t="s">
        <v>1680</v>
      </c>
      <c r="BJ9" s="1703" t="s">
        <v>577</v>
      </c>
      <c r="BK9" s="1704" t="s">
        <v>1388</v>
      </c>
      <c r="BL9" s="1705" t="s">
        <v>1681</v>
      </c>
      <c r="BM9" s="1704" t="s">
        <v>1389</v>
      </c>
      <c r="BN9" s="1704" t="s">
        <v>1682</v>
      </c>
      <c r="BO9" s="1704" t="s">
        <v>1391</v>
      </c>
      <c r="BP9" s="1705" t="s">
        <v>1683</v>
      </c>
      <c r="BQ9" s="1704" t="s">
        <v>1393</v>
      </c>
      <c r="BR9" s="1706"/>
      <c r="BS9" s="1704" t="s">
        <v>1684</v>
      </c>
      <c r="BT9" s="1704"/>
      <c r="BU9" s="1704" t="s">
        <v>1685</v>
      </c>
      <c r="BV9" s="1704" t="s">
        <v>1686</v>
      </c>
      <c r="BW9" s="1706" t="s">
        <v>1687</v>
      </c>
      <c r="DB9" s="402" t="s">
        <v>1688</v>
      </c>
      <c r="DC9" s="402" t="s">
        <v>1689</v>
      </c>
      <c r="DD9" s="1707" t="s">
        <v>1250</v>
      </c>
      <c r="DE9" s="1708" t="s">
        <v>1396</v>
      </c>
      <c r="DF9" s="1708" t="s">
        <v>1397</v>
      </c>
      <c r="DG9" s="1708" t="s">
        <v>1690</v>
      </c>
      <c r="DH9" s="1708" t="s">
        <v>1141</v>
      </c>
      <c r="DI9" s="1708" t="s">
        <v>1691</v>
      </c>
      <c r="DJ9" s="1709" t="s">
        <v>1692</v>
      </c>
    </row>
    <row r="10" spans="1:114" s="1254" customFormat="1" ht="15.45">
      <c r="A10" s="482"/>
      <c r="B10" s="1177"/>
      <c r="C10" s="1710"/>
      <c r="D10" s="1711"/>
      <c r="E10" s="1712"/>
      <c r="F10" s="1108"/>
      <c r="G10" s="1109"/>
      <c r="H10" s="1110"/>
      <c r="I10" s="1108"/>
      <c r="J10" s="1109"/>
      <c r="K10" s="1110"/>
      <c r="L10" s="1108"/>
      <c r="M10" s="1108"/>
      <c r="N10" s="1713"/>
      <c r="O10" s="1108"/>
      <c r="P10" s="1108"/>
      <c r="Q10" s="1108"/>
      <c r="R10" s="1714"/>
      <c r="S10" s="1715"/>
      <c r="T10" s="77"/>
      <c r="U10" s="839"/>
      <c r="V10" s="1716">
        <f t="shared" ref="V10:V35" si="0">((E10*I10/16*I10/16*10.680159*J10)*IF(H10=0,0,(G10/H10))+(G10/12*L10/16*L10/16*10.680159*M10)*IF(K10=0,0,(E10*12/K10))+(E10*IF(P10=0,0,N10/P10)*Q10/16*Q10/16*10.680159*R10)+(IF(P10=0,0,E10/P10*N10)*Q10/16*Q10/16*10.680159*R10)+((T10*U10*S10*0.03*0.2836*G10)/12+4)*IF(H10=0,0,(G10/H10))*I10/16*I10/16*10.680159)*(1+J$56)</f>
        <v>0</v>
      </c>
      <c r="W10" s="1717">
        <f t="shared" ref="W10:W35" si="1">((E10*F10/12*G10/324)+ROUNDUP(S10*T10*U10*G10/46656,0)+(N10*O10*E10/3888))*(1+J$51)</f>
        <v>0</v>
      </c>
      <c r="AH10" s="1718">
        <f t="shared" ref="AH10:AH35" si="2">IF($R$8=1,$N10*$O10*$E10/3888*(1+$J$51),0)</f>
        <v>0</v>
      </c>
      <c r="AI10" s="1719">
        <f t="shared" ref="AI10:AI35" si="3">IF($R$8=2,$N10*$O10*$E10/3888*(1+$J$51),0)</f>
        <v>0</v>
      </c>
      <c r="AJ10" s="1719">
        <f t="shared" ref="AJ10:AJ35" si="4">IF($R$8=3,$N10*$O10*$E10/3888*(1+$J$51),0)</f>
        <v>0</v>
      </c>
      <c r="AK10" s="1719">
        <f t="shared" ref="AK10:AK35" si="5">IF($R$8=4,$N10*$O10*$E10/3888*(1+$J$51),0)</f>
        <v>0</v>
      </c>
      <c r="AL10" s="1719">
        <f t="shared" ref="AL10:AL35" si="6">IF($R$8=5,$N10*$O10*$E10/3888*(1+$J$51),0)</f>
        <v>0</v>
      </c>
      <c r="AM10" s="1719">
        <f t="shared" ref="AM10:AM35" si="7">IF($R$8=6,$N10*$O10*$E10/3888*(1+$J$51),0)</f>
        <v>0</v>
      </c>
      <c r="AN10" s="1719">
        <f t="shared" ref="AN10:AN35" si="8">IF($R$8=7,$N10*$O10*$E10/3888*(1+$J$51),0)</f>
        <v>0</v>
      </c>
      <c r="AO10" s="1719">
        <f t="shared" ref="AO10:AO35" si="9">IF($R$8=8,$N10*$O10*$E10/3888*(1+$J$51),0)</f>
        <v>0</v>
      </c>
      <c r="AP10" s="1719">
        <f t="shared" ref="AP10:AP35" si="10">IF($R$8=9,$N10*$O10*$E10/3888*(1+$J$51),0)</f>
        <v>0</v>
      </c>
      <c r="AQ10" s="1719">
        <f t="shared" ref="AQ10:AQ35" si="11">IF($R$8=10,$N10*$O10*$E10/3888*(1+$J$51),0)</f>
        <v>0</v>
      </c>
      <c r="AR10" s="1720">
        <f t="shared" ref="AR10:AR35" si="12">IF($D10=1,$W10-SUM($AH10:$AQ10),0)</f>
        <v>0</v>
      </c>
      <c r="AS10" s="1719">
        <f t="shared" ref="AS10:AS35" si="13">IF($D10=2,W10-SUM($AH10:$AQ10),0)</f>
        <v>0</v>
      </c>
      <c r="AT10" s="1719">
        <f t="shared" ref="AT10:AT35" si="14">IF($D10=3,W10-SUM($AH10:$AQ10),0)</f>
        <v>0</v>
      </c>
      <c r="AU10" s="1719">
        <f t="shared" ref="AU10:AU35" si="15">IF($D10=4,W10-SUM($AH10:$AQ10),0)</f>
        <v>0</v>
      </c>
      <c r="AV10" s="1719">
        <f t="shared" ref="AV10:AV35" si="16">IF($D10=5,W10-SUM($AH10:$AQ10),0)</f>
        <v>0</v>
      </c>
      <c r="AW10" s="1719">
        <f t="shared" ref="AW10:AW35" si="17">IF($D10=6,W10-SUM($AH10:$AQ10),0)</f>
        <v>0</v>
      </c>
      <c r="AX10" s="1719">
        <f t="shared" ref="AX10:AX35" si="18">IF($D10=7,W10-SUM($AH10:$AQ10),0)</f>
        <v>0</v>
      </c>
      <c r="AY10" s="1719">
        <f t="shared" ref="AY10:AY35" si="19">IF($D10=8,W10-SUM($AH10:$AQ10),0)</f>
        <v>0</v>
      </c>
      <c r="AZ10" s="1719">
        <f t="shared" ref="AZ10:AZ35" si="20">IF($D10=9,W10-SUM($AH10:$AQ10),0)</f>
        <v>0</v>
      </c>
      <c r="BA10" s="1721">
        <f t="shared" ref="BA10:BA35" si="21">IF($D10=10,W10-SUM($AH10:$AQ10),0)</f>
        <v>0</v>
      </c>
      <c r="BB10" s="1719">
        <f t="shared" ref="BB10:BB35" si="22">SUM(AH10:AM10)</f>
        <v>0</v>
      </c>
      <c r="BC10" s="1719">
        <f t="shared" ref="BC10:BC35" si="23">SUM(AR10:AW10)</f>
        <v>0</v>
      </c>
      <c r="BD10" s="1719">
        <f t="shared" ref="BD10:BD35" si="24">V10</f>
        <v>0</v>
      </c>
      <c r="BE10" s="1719">
        <f t="shared" ref="BE10:BE35" si="25">E10*G10/12*2+(U10*U10*G10/1728*S10)</f>
        <v>0</v>
      </c>
      <c r="BF10" s="1719">
        <f t="shared" ref="BF10:BF35" si="26">BE10/2</f>
        <v>0</v>
      </c>
      <c r="BG10" s="1719">
        <f t="shared" ref="BG10:BG35" si="27">N10*E10/12</f>
        <v>0</v>
      </c>
      <c r="BH10" s="1719">
        <f t="shared" ref="BH10:BH35" si="28">ROUND(IF(C10="Y",BF10*3/27,0),0)</f>
        <v>0</v>
      </c>
      <c r="BJ10" s="1722">
        <f t="shared" ref="BJ10:BJ35" si="29">V10*F$56*IF(T$39="N",(1+V$39),1)</f>
        <v>0</v>
      </c>
      <c r="BK10" s="1723">
        <f>(AR10*Pricing!F$3+AS10*Pricing!G$3+AT10*Pricing!H$3+AU10*Pricing!I$3+AV10*Pricing!J$3+AW10*Pricing!K$3+AH10*Pricing!F$3+AI10*Pricing!G$3+AJ10*Pricing!H$3+AK10*Pricing!I$3+AL10*Pricing!J$3+AM10*Pricing!K$3)*IF(T$39="N",(1+V$39),1)</f>
        <v>0</v>
      </c>
      <c r="BL10" s="1723">
        <f t="shared" ref="BL10:BL35" si="30">IF(C10="Y",(N$59+N$60)/DF$36*DF10,0)</f>
        <v>0</v>
      </c>
      <c r="BM10" s="1723">
        <f t="shared" ref="BM10:BM35" si="31">BF10*(G$67+D$70)</f>
        <v>0</v>
      </c>
      <c r="BN10" s="1723">
        <f t="shared" ref="BN10:BN35" si="32">BG10*D$66</f>
        <v>0</v>
      </c>
      <c r="BO10" s="1723">
        <f t="shared" ref="BO10:BO35" si="33">V10/2000*D$71</f>
        <v>0</v>
      </c>
      <c r="BP10" s="1723">
        <f t="shared" ref="BP10:BP35" si="34">IF(C10="Y",(N$74+N$73+N$72)/DF$36*DF10,0)</f>
        <v>0</v>
      </c>
      <c r="BQ10" s="1723">
        <f t="shared" ref="BQ10:BQ35" si="35">IF(SUM(BF$36:BG$36)=0,0,(SUM(N$78:O$81)+SUM(N$83:O$88)+SUM(N$90:O$96)+W$95)/SUM(BF$36:BG$36)*(BF10+BG10))</f>
        <v>0</v>
      </c>
      <c r="BR10" s="1724"/>
      <c r="BS10" s="1725">
        <f>IF(SUM(BF$36:BG$36)=0,0,(BQ$36-W$58-N$64-W77-(L$79*0.15))/SUM(BF$36:BG$36)*BG10+BN10)</f>
        <v>0</v>
      </c>
      <c r="BT10" s="1723">
        <f>(AH10*Pricing!F$3+AI10*Pricing!G$3+AJ10*Pricing!H$3+AK10*Pricing!I$3+AL10*Pricing!J$3+AM10*Pricing!K$3)*IF(T$39="N",(1+V$39),1)</f>
        <v>0</v>
      </c>
      <c r="BU10" s="1723">
        <f t="shared" ref="BU10:BU35" si="36">IF(BG10=0,0,(BS10+BT10)/BG10)</f>
        <v>0</v>
      </c>
      <c r="BV10" s="1723">
        <f t="shared" ref="BV10:BV35" si="37">SUM(BJ10:BQ10)-BS10-BT10</f>
        <v>0</v>
      </c>
      <c r="BW10" s="1724">
        <f t="shared" ref="BW10:BW35" si="38">IF(BE10=0,0,BV10/BF10)</f>
        <v>0</v>
      </c>
      <c r="DB10" s="1726">
        <f t="shared" ref="DB10:DB35" si="39">IF(W10=0,0,D$40/SUM(W$10:W$35)*W10)</f>
        <v>0</v>
      </c>
      <c r="DC10" s="1723" t="e">
        <f t="shared" ref="DC10:DC35" si="40">E10*N10/12*(D$40-7980)/H$66</f>
        <v>#DIV/0!</v>
      </c>
      <c r="DD10" s="172">
        <f t="shared" ref="DD10:DD35" si="41">ROUND(N10*O10/3088*E10,0)</f>
        <v>0</v>
      </c>
      <c r="DE10" s="847">
        <f t="shared" ref="DE10:DE35" si="42">ROUND(V10,0)</f>
        <v>0</v>
      </c>
      <c r="DF10" s="334">
        <f t="shared" ref="DF10:DF35" si="43">ROUND(IF(C10="Y",(G10*0.25*E10+G10*G10/144*0.5*E10)/27*1.3,0),0)</f>
        <v>0</v>
      </c>
      <c r="DG10" s="847">
        <f t="shared" ref="DG10:DG35" si="44">ROUND(E10*G10/12,0)</f>
        <v>0</v>
      </c>
      <c r="DH10" s="847">
        <f t="shared" ref="DH10:DH35" si="45">IF(C10="y",ROUNDUP(E10*G10/12,0),0)</f>
        <v>0</v>
      </c>
      <c r="DI10" s="847">
        <f t="shared" ref="DI10:DI35" si="46">IF(C10="Y",IF(E10&gt;0,E10,0),0)</f>
        <v>0</v>
      </c>
      <c r="DJ10" s="1727">
        <f t="shared" ref="DJ10:DJ35" si="47">ROUND(E10*N10/12,0)</f>
        <v>0</v>
      </c>
    </row>
    <row r="11" spans="1:114" s="1254" customFormat="1" ht="15.45">
      <c r="A11" s="482"/>
      <c r="B11" s="1177"/>
      <c r="C11" s="1710"/>
      <c r="D11" s="1711"/>
      <c r="E11" s="1712"/>
      <c r="F11" s="1108"/>
      <c r="G11" s="1109"/>
      <c r="H11" s="1110"/>
      <c r="I11" s="1108"/>
      <c r="J11" s="1109"/>
      <c r="K11" s="1110"/>
      <c r="L11" s="1108"/>
      <c r="M11" s="1108"/>
      <c r="N11" s="1713"/>
      <c r="O11" s="1108"/>
      <c r="P11" s="1108"/>
      <c r="Q11" s="1111"/>
      <c r="R11" s="1714"/>
      <c r="S11" s="1715"/>
      <c r="T11" s="77"/>
      <c r="U11" s="839"/>
      <c r="V11" s="1716">
        <f t="shared" si="0"/>
        <v>0</v>
      </c>
      <c r="W11" s="1717">
        <f t="shared" si="1"/>
        <v>0</v>
      </c>
      <c r="AH11" s="1720">
        <f t="shared" si="2"/>
        <v>0</v>
      </c>
      <c r="AI11" s="1719">
        <f t="shared" si="3"/>
        <v>0</v>
      </c>
      <c r="AJ11" s="1719">
        <f t="shared" si="4"/>
        <v>0</v>
      </c>
      <c r="AK11" s="1719">
        <f t="shared" si="5"/>
        <v>0</v>
      </c>
      <c r="AL11" s="1719">
        <f t="shared" si="6"/>
        <v>0</v>
      </c>
      <c r="AM11" s="1719">
        <f t="shared" si="7"/>
        <v>0</v>
      </c>
      <c r="AN11" s="1719">
        <f t="shared" si="8"/>
        <v>0</v>
      </c>
      <c r="AO11" s="1719">
        <f t="shared" si="9"/>
        <v>0</v>
      </c>
      <c r="AP11" s="1719">
        <f t="shared" si="10"/>
        <v>0</v>
      </c>
      <c r="AQ11" s="1719">
        <f t="shared" si="11"/>
        <v>0</v>
      </c>
      <c r="AR11" s="1720">
        <f t="shared" si="12"/>
        <v>0</v>
      </c>
      <c r="AS11" s="1719">
        <f t="shared" si="13"/>
        <v>0</v>
      </c>
      <c r="AT11" s="1719">
        <f t="shared" si="14"/>
        <v>0</v>
      </c>
      <c r="AU11" s="1719">
        <f t="shared" si="15"/>
        <v>0</v>
      </c>
      <c r="AV11" s="1719">
        <f t="shared" si="16"/>
        <v>0</v>
      </c>
      <c r="AW11" s="1719">
        <f t="shared" si="17"/>
        <v>0</v>
      </c>
      <c r="AX11" s="1719">
        <f t="shared" si="18"/>
        <v>0</v>
      </c>
      <c r="AY11" s="1719">
        <f t="shared" si="19"/>
        <v>0</v>
      </c>
      <c r="AZ11" s="1719">
        <f t="shared" si="20"/>
        <v>0</v>
      </c>
      <c r="BA11" s="1721">
        <f t="shared" si="21"/>
        <v>0</v>
      </c>
      <c r="BB11" s="1719">
        <f t="shared" si="22"/>
        <v>0</v>
      </c>
      <c r="BC11" s="1719">
        <f t="shared" si="23"/>
        <v>0</v>
      </c>
      <c r="BD11" s="1719">
        <f t="shared" si="24"/>
        <v>0</v>
      </c>
      <c r="BE11" s="1719">
        <f t="shared" si="25"/>
        <v>0</v>
      </c>
      <c r="BF11" s="1719">
        <f t="shared" si="26"/>
        <v>0</v>
      </c>
      <c r="BG11" s="1719">
        <f t="shared" si="27"/>
        <v>0</v>
      </c>
      <c r="BH11" s="1719">
        <f t="shared" si="28"/>
        <v>0</v>
      </c>
      <c r="BJ11" s="1722">
        <f t="shared" si="29"/>
        <v>0</v>
      </c>
      <c r="BK11" s="1723">
        <f>(AR11*Pricing!F$3+AS11*Pricing!G$3+AT11*Pricing!H$3+AU11*Pricing!I$3+AV11*Pricing!J$3+AW11*Pricing!K$3+AH11*Pricing!F$3+AI11*Pricing!G$3+AJ11*Pricing!H$3+AK11*Pricing!I$3+AL11*Pricing!J$3+AM11*Pricing!K$3)*IF(T$39="N",(1+V$39),1)</f>
        <v>0</v>
      </c>
      <c r="BL11" s="1723">
        <f t="shared" si="30"/>
        <v>0</v>
      </c>
      <c r="BM11" s="1723">
        <f t="shared" si="31"/>
        <v>0</v>
      </c>
      <c r="BN11" s="1723">
        <f t="shared" si="32"/>
        <v>0</v>
      </c>
      <c r="BO11" s="1723">
        <f t="shared" si="33"/>
        <v>0</v>
      </c>
      <c r="BP11" s="1723">
        <f t="shared" si="34"/>
        <v>0</v>
      </c>
      <c r="BQ11" s="1723">
        <f t="shared" si="35"/>
        <v>0</v>
      </c>
      <c r="BR11" s="1724"/>
      <c r="BS11" s="1725">
        <f>IF(SUM(BF$36:BG$36)=0,0,(BQ$36-W$58-N$64-W59-(L$79*0.15))/SUM(BF$36:BG$36)*BG11+BN11)</f>
        <v>0</v>
      </c>
      <c r="BT11" s="1723">
        <f>(AH11*Pricing!F$3+AI11*Pricing!G$3+AJ11*Pricing!H$3+AK11*Pricing!I$3+AL11*Pricing!J$3+AM11*Pricing!K$3)*IF(T$39="N",(1+V$39),1)</f>
        <v>0</v>
      </c>
      <c r="BU11" s="1723">
        <f t="shared" si="36"/>
        <v>0</v>
      </c>
      <c r="BV11" s="1723">
        <f t="shared" si="37"/>
        <v>0</v>
      </c>
      <c r="BW11" s="1724">
        <f t="shared" si="38"/>
        <v>0</v>
      </c>
      <c r="DB11" s="1726">
        <f t="shared" si="39"/>
        <v>0</v>
      </c>
      <c r="DC11" s="1723" t="e">
        <f t="shared" si="40"/>
        <v>#DIV/0!</v>
      </c>
      <c r="DD11" s="172">
        <f t="shared" si="41"/>
        <v>0</v>
      </c>
      <c r="DE11" s="847">
        <f t="shared" si="42"/>
        <v>0</v>
      </c>
      <c r="DF11" s="334">
        <f t="shared" si="43"/>
        <v>0</v>
      </c>
      <c r="DG11" s="847">
        <f t="shared" si="44"/>
        <v>0</v>
      </c>
      <c r="DH11" s="847">
        <f t="shared" si="45"/>
        <v>0</v>
      </c>
      <c r="DI11" s="847">
        <f t="shared" si="46"/>
        <v>0</v>
      </c>
      <c r="DJ11" s="1727">
        <f t="shared" si="47"/>
        <v>0</v>
      </c>
    </row>
    <row r="12" spans="1:114" s="1254" customFormat="1" ht="15.45">
      <c r="A12" s="482"/>
      <c r="B12" s="1177"/>
      <c r="C12" s="1710"/>
      <c r="D12" s="1711"/>
      <c r="E12" s="1712"/>
      <c r="F12" s="1108"/>
      <c r="G12" s="1109"/>
      <c r="H12" s="1110"/>
      <c r="I12" s="1108"/>
      <c r="J12" s="1109"/>
      <c r="K12" s="1110"/>
      <c r="L12" s="1108"/>
      <c r="M12" s="1108"/>
      <c r="N12" s="1713"/>
      <c r="O12" s="1108"/>
      <c r="P12" s="1108"/>
      <c r="Q12" s="1111"/>
      <c r="R12" s="1714"/>
      <c r="S12" s="1715"/>
      <c r="T12" s="77"/>
      <c r="U12" s="839"/>
      <c r="V12" s="1716">
        <f t="shared" si="0"/>
        <v>0</v>
      </c>
      <c r="W12" s="1717">
        <f t="shared" si="1"/>
        <v>0</v>
      </c>
      <c r="AH12" s="1720">
        <f t="shared" si="2"/>
        <v>0</v>
      </c>
      <c r="AI12" s="1719">
        <f t="shared" si="3"/>
        <v>0</v>
      </c>
      <c r="AJ12" s="1719">
        <f t="shared" si="4"/>
        <v>0</v>
      </c>
      <c r="AK12" s="1719">
        <f t="shared" si="5"/>
        <v>0</v>
      </c>
      <c r="AL12" s="1719">
        <f t="shared" si="6"/>
        <v>0</v>
      </c>
      <c r="AM12" s="1719">
        <f t="shared" si="7"/>
        <v>0</v>
      </c>
      <c r="AN12" s="1719">
        <f t="shared" si="8"/>
        <v>0</v>
      </c>
      <c r="AO12" s="1719">
        <f t="shared" si="9"/>
        <v>0</v>
      </c>
      <c r="AP12" s="1719">
        <f t="shared" si="10"/>
        <v>0</v>
      </c>
      <c r="AQ12" s="1719">
        <f t="shared" si="11"/>
        <v>0</v>
      </c>
      <c r="AR12" s="1720">
        <f t="shared" si="12"/>
        <v>0</v>
      </c>
      <c r="AS12" s="1719">
        <f t="shared" si="13"/>
        <v>0</v>
      </c>
      <c r="AT12" s="1719">
        <f t="shared" si="14"/>
        <v>0</v>
      </c>
      <c r="AU12" s="1719">
        <f t="shared" si="15"/>
        <v>0</v>
      </c>
      <c r="AV12" s="1719">
        <f t="shared" si="16"/>
        <v>0</v>
      </c>
      <c r="AW12" s="1719">
        <f t="shared" si="17"/>
        <v>0</v>
      </c>
      <c r="AX12" s="1719">
        <f t="shared" si="18"/>
        <v>0</v>
      </c>
      <c r="AY12" s="1719">
        <f t="shared" si="19"/>
        <v>0</v>
      </c>
      <c r="AZ12" s="1719">
        <f t="shared" si="20"/>
        <v>0</v>
      </c>
      <c r="BA12" s="1721">
        <f t="shared" si="21"/>
        <v>0</v>
      </c>
      <c r="BB12" s="1719">
        <f t="shared" si="22"/>
        <v>0</v>
      </c>
      <c r="BC12" s="1719">
        <f t="shared" si="23"/>
        <v>0</v>
      </c>
      <c r="BD12" s="1719">
        <f t="shared" si="24"/>
        <v>0</v>
      </c>
      <c r="BE12" s="1719">
        <f t="shared" si="25"/>
        <v>0</v>
      </c>
      <c r="BF12" s="1719">
        <f t="shared" si="26"/>
        <v>0</v>
      </c>
      <c r="BG12" s="1719">
        <f t="shared" si="27"/>
        <v>0</v>
      </c>
      <c r="BH12" s="1719">
        <f t="shared" si="28"/>
        <v>0</v>
      </c>
      <c r="BJ12" s="1722">
        <f t="shared" si="29"/>
        <v>0</v>
      </c>
      <c r="BK12" s="1723">
        <f>(AR12*Pricing!F$3+AS12*Pricing!G$3+AT12*Pricing!H$3+AU12*Pricing!I$3+AV12*Pricing!J$3+AW12*Pricing!K$3+AH12*Pricing!F$3+AI12*Pricing!G$3+AJ12*Pricing!H$3+AK12*Pricing!I$3+AL12*Pricing!J$3+AM12*Pricing!K$3)*IF(T$39="N",(1+V$39),1)</f>
        <v>0</v>
      </c>
      <c r="BL12" s="1723">
        <f t="shared" si="30"/>
        <v>0</v>
      </c>
      <c r="BM12" s="1723">
        <f t="shared" si="31"/>
        <v>0</v>
      </c>
      <c r="BN12" s="1723">
        <f t="shared" si="32"/>
        <v>0</v>
      </c>
      <c r="BO12" s="1723">
        <f t="shared" si="33"/>
        <v>0</v>
      </c>
      <c r="BP12" s="1723">
        <f t="shared" si="34"/>
        <v>0</v>
      </c>
      <c r="BQ12" s="1723">
        <f t="shared" si="35"/>
        <v>0</v>
      </c>
      <c r="BR12" s="1724"/>
      <c r="BS12" s="1725">
        <f>IF(SUM(BF$36:BG$36)=0,0,(BQ$36-W$58-N$64-W56-(L$79*0.15))/SUM(BF$36:BG$36)*BG12+BN12)</f>
        <v>0</v>
      </c>
      <c r="BT12" s="1723">
        <f>(AH12*Pricing!F$3+AI12*Pricing!G$3+AJ12*Pricing!H$3+AK12*Pricing!I$3+AL12*Pricing!J$3+AM12*Pricing!K$3)*IF(T$39="N",(1+V$39),1)</f>
        <v>0</v>
      </c>
      <c r="BU12" s="1723">
        <f t="shared" si="36"/>
        <v>0</v>
      </c>
      <c r="BV12" s="1723">
        <f t="shared" si="37"/>
        <v>0</v>
      </c>
      <c r="BW12" s="1724">
        <f t="shared" si="38"/>
        <v>0</v>
      </c>
      <c r="DB12" s="1726">
        <f t="shared" si="39"/>
        <v>0</v>
      </c>
      <c r="DC12" s="1723" t="e">
        <f t="shared" si="40"/>
        <v>#DIV/0!</v>
      </c>
      <c r="DD12" s="172">
        <f t="shared" si="41"/>
        <v>0</v>
      </c>
      <c r="DE12" s="847">
        <f t="shared" si="42"/>
        <v>0</v>
      </c>
      <c r="DF12" s="334">
        <f t="shared" si="43"/>
        <v>0</v>
      </c>
      <c r="DG12" s="847">
        <f t="shared" si="44"/>
        <v>0</v>
      </c>
      <c r="DH12" s="847">
        <f t="shared" si="45"/>
        <v>0</v>
      </c>
      <c r="DI12" s="847">
        <f t="shared" si="46"/>
        <v>0</v>
      </c>
      <c r="DJ12" s="1727">
        <f t="shared" si="47"/>
        <v>0</v>
      </c>
    </row>
    <row r="13" spans="1:114" s="1254" customFormat="1" ht="15.45">
      <c r="A13" s="482"/>
      <c r="B13" s="1177"/>
      <c r="C13" s="1710"/>
      <c r="D13" s="1711"/>
      <c r="E13" s="1712"/>
      <c r="F13" s="1108"/>
      <c r="G13" s="1109"/>
      <c r="H13" s="1110"/>
      <c r="I13" s="1108"/>
      <c r="J13" s="1109"/>
      <c r="K13" s="1110"/>
      <c r="L13" s="1108"/>
      <c r="M13" s="1108"/>
      <c r="N13" s="1713"/>
      <c r="O13" s="1108"/>
      <c r="P13" s="1108"/>
      <c r="Q13" s="1111"/>
      <c r="R13" s="1714"/>
      <c r="S13" s="1715"/>
      <c r="T13" s="77"/>
      <c r="U13" s="839"/>
      <c r="V13" s="1716">
        <f t="shared" si="0"/>
        <v>0</v>
      </c>
      <c r="W13" s="1717">
        <f t="shared" si="1"/>
        <v>0</v>
      </c>
      <c r="AH13" s="1720">
        <f t="shared" si="2"/>
        <v>0</v>
      </c>
      <c r="AI13" s="1719">
        <f t="shared" si="3"/>
        <v>0</v>
      </c>
      <c r="AJ13" s="1719">
        <f t="shared" si="4"/>
        <v>0</v>
      </c>
      <c r="AK13" s="1719">
        <f t="shared" si="5"/>
        <v>0</v>
      </c>
      <c r="AL13" s="1719">
        <f t="shared" si="6"/>
        <v>0</v>
      </c>
      <c r="AM13" s="1719">
        <f t="shared" si="7"/>
        <v>0</v>
      </c>
      <c r="AN13" s="1719">
        <f t="shared" si="8"/>
        <v>0</v>
      </c>
      <c r="AO13" s="1719">
        <f t="shared" si="9"/>
        <v>0</v>
      </c>
      <c r="AP13" s="1719">
        <f t="shared" si="10"/>
        <v>0</v>
      </c>
      <c r="AQ13" s="1719">
        <f t="shared" si="11"/>
        <v>0</v>
      </c>
      <c r="AR13" s="1720">
        <f t="shared" si="12"/>
        <v>0</v>
      </c>
      <c r="AS13" s="1719">
        <f t="shared" si="13"/>
        <v>0</v>
      </c>
      <c r="AT13" s="1719">
        <f t="shared" si="14"/>
        <v>0</v>
      </c>
      <c r="AU13" s="1719">
        <f t="shared" si="15"/>
        <v>0</v>
      </c>
      <c r="AV13" s="1719">
        <f t="shared" si="16"/>
        <v>0</v>
      </c>
      <c r="AW13" s="1719">
        <f t="shared" si="17"/>
        <v>0</v>
      </c>
      <c r="AX13" s="1719">
        <f t="shared" si="18"/>
        <v>0</v>
      </c>
      <c r="AY13" s="1719">
        <f t="shared" si="19"/>
        <v>0</v>
      </c>
      <c r="AZ13" s="1719">
        <f t="shared" si="20"/>
        <v>0</v>
      </c>
      <c r="BA13" s="1721">
        <f t="shared" si="21"/>
        <v>0</v>
      </c>
      <c r="BB13" s="1719">
        <f t="shared" si="22"/>
        <v>0</v>
      </c>
      <c r="BC13" s="1719">
        <f t="shared" si="23"/>
        <v>0</v>
      </c>
      <c r="BD13" s="1719">
        <f t="shared" si="24"/>
        <v>0</v>
      </c>
      <c r="BE13" s="1719">
        <f t="shared" si="25"/>
        <v>0</v>
      </c>
      <c r="BF13" s="1719">
        <f t="shared" si="26"/>
        <v>0</v>
      </c>
      <c r="BG13" s="1719">
        <f t="shared" si="27"/>
        <v>0</v>
      </c>
      <c r="BH13" s="1719">
        <f t="shared" si="28"/>
        <v>0</v>
      </c>
      <c r="BJ13" s="1722">
        <f t="shared" si="29"/>
        <v>0</v>
      </c>
      <c r="BK13" s="1723">
        <f>(AR13*Pricing!F$3+AS13*Pricing!G$3+AT13*Pricing!H$3+AU13*Pricing!I$3+AV13*Pricing!J$3+AW13*Pricing!K$3+AH13*Pricing!F$3+AI13*Pricing!G$3+AJ13*Pricing!H$3+AK13*Pricing!I$3+AL13*Pricing!J$3+AM13*Pricing!K$3)*IF(T$39="N",(1+V$39),1)</f>
        <v>0</v>
      </c>
      <c r="BL13" s="1723">
        <f t="shared" si="30"/>
        <v>0</v>
      </c>
      <c r="BM13" s="1723">
        <f t="shared" si="31"/>
        <v>0</v>
      </c>
      <c r="BN13" s="1723">
        <f t="shared" si="32"/>
        <v>0</v>
      </c>
      <c r="BO13" s="1723">
        <f t="shared" si="33"/>
        <v>0</v>
      </c>
      <c r="BP13" s="1723">
        <f t="shared" si="34"/>
        <v>0</v>
      </c>
      <c r="BQ13" s="1723">
        <f t="shared" si="35"/>
        <v>0</v>
      </c>
      <c r="BR13" s="1724"/>
      <c r="BS13" s="1725">
        <f>IF(SUM(BF$36:BG$36)=0,0,(BQ$36-W$58-N$64-W58-(L$79*0.15))/SUM(BF$36:BG$36)*BG13+BN13)</f>
        <v>0</v>
      </c>
      <c r="BT13" s="1723">
        <f>(AH13*Pricing!F$3+AI13*Pricing!G$3+AJ13*Pricing!H$3+AK13*Pricing!I$3+AL13*Pricing!J$3+AM13*Pricing!K$3)*IF(T$39="N",(1+V$39),1)</f>
        <v>0</v>
      </c>
      <c r="BU13" s="1723">
        <f t="shared" si="36"/>
        <v>0</v>
      </c>
      <c r="BV13" s="1723">
        <f t="shared" si="37"/>
        <v>0</v>
      </c>
      <c r="BW13" s="1724">
        <f t="shared" si="38"/>
        <v>0</v>
      </c>
      <c r="DB13" s="1726">
        <f t="shared" si="39"/>
        <v>0</v>
      </c>
      <c r="DC13" s="1723" t="e">
        <f t="shared" si="40"/>
        <v>#DIV/0!</v>
      </c>
      <c r="DD13" s="172">
        <f t="shared" si="41"/>
        <v>0</v>
      </c>
      <c r="DE13" s="847">
        <f t="shared" si="42"/>
        <v>0</v>
      </c>
      <c r="DF13" s="334">
        <f t="shared" si="43"/>
        <v>0</v>
      </c>
      <c r="DG13" s="847">
        <f t="shared" si="44"/>
        <v>0</v>
      </c>
      <c r="DH13" s="847">
        <f t="shared" si="45"/>
        <v>0</v>
      </c>
      <c r="DI13" s="847">
        <f t="shared" si="46"/>
        <v>0</v>
      </c>
      <c r="DJ13" s="1727">
        <f t="shared" si="47"/>
        <v>0</v>
      </c>
    </row>
    <row r="14" spans="1:114" s="1254" customFormat="1" ht="15.45">
      <c r="A14" s="482"/>
      <c r="B14" s="1177"/>
      <c r="C14" s="1710"/>
      <c r="D14" s="1711"/>
      <c r="E14" s="1712"/>
      <c r="F14" s="1108"/>
      <c r="G14" s="1109"/>
      <c r="H14" s="1110"/>
      <c r="I14" s="1108"/>
      <c r="J14" s="1109"/>
      <c r="K14" s="1110"/>
      <c r="L14" s="1108"/>
      <c r="M14" s="1108"/>
      <c r="N14" s="1713"/>
      <c r="O14" s="1108"/>
      <c r="P14" s="1108"/>
      <c r="Q14" s="1111"/>
      <c r="R14" s="1714"/>
      <c r="S14" s="1715"/>
      <c r="T14" s="77"/>
      <c r="U14" s="839"/>
      <c r="V14" s="1716">
        <f t="shared" si="0"/>
        <v>0</v>
      </c>
      <c r="W14" s="1717">
        <f t="shared" si="1"/>
        <v>0</v>
      </c>
      <c r="AH14" s="1720">
        <f t="shared" si="2"/>
        <v>0</v>
      </c>
      <c r="AI14" s="1719">
        <f t="shared" si="3"/>
        <v>0</v>
      </c>
      <c r="AJ14" s="1719">
        <f t="shared" si="4"/>
        <v>0</v>
      </c>
      <c r="AK14" s="1719">
        <f t="shared" si="5"/>
        <v>0</v>
      </c>
      <c r="AL14" s="1719">
        <f t="shared" si="6"/>
        <v>0</v>
      </c>
      <c r="AM14" s="1719">
        <f t="shared" si="7"/>
        <v>0</v>
      </c>
      <c r="AN14" s="1719">
        <f t="shared" si="8"/>
        <v>0</v>
      </c>
      <c r="AO14" s="1719">
        <f t="shared" si="9"/>
        <v>0</v>
      </c>
      <c r="AP14" s="1719">
        <f t="shared" si="10"/>
        <v>0</v>
      </c>
      <c r="AQ14" s="1719">
        <f t="shared" si="11"/>
        <v>0</v>
      </c>
      <c r="AR14" s="1720">
        <f t="shared" si="12"/>
        <v>0</v>
      </c>
      <c r="AS14" s="1719">
        <f t="shared" si="13"/>
        <v>0</v>
      </c>
      <c r="AT14" s="1719">
        <f t="shared" si="14"/>
        <v>0</v>
      </c>
      <c r="AU14" s="1719">
        <f t="shared" si="15"/>
        <v>0</v>
      </c>
      <c r="AV14" s="1719">
        <f t="shared" si="16"/>
        <v>0</v>
      </c>
      <c r="AW14" s="1719">
        <f t="shared" si="17"/>
        <v>0</v>
      </c>
      <c r="AX14" s="1719">
        <f t="shared" si="18"/>
        <v>0</v>
      </c>
      <c r="AY14" s="1719">
        <f t="shared" si="19"/>
        <v>0</v>
      </c>
      <c r="AZ14" s="1719">
        <f t="shared" si="20"/>
        <v>0</v>
      </c>
      <c r="BA14" s="1721">
        <f t="shared" si="21"/>
        <v>0</v>
      </c>
      <c r="BB14" s="1719">
        <f t="shared" si="22"/>
        <v>0</v>
      </c>
      <c r="BC14" s="1719">
        <f t="shared" si="23"/>
        <v>0</v>
      </c>
      <c r="BD14" s="1719">
        <f t="shared" si="24"/>
        <v>0</v>
      </c>
      <c r="BE14" s="1719">
        <f t="shared" si="25"/>
        <v>0</v>
      </c>
      <c r="BF14" s="1719">
        <f t="shared" si="26"/>
        <v>0</v>
      </c>
      <c r="BG14" s="1719">
        <f t="shared" si="27"/>
        <v>0</v>
      </c>
      <c r="BH14" s="1719">
        <f t="shared" si="28"/>
        <v>0</v>
      </c>
      <c r="BJ14" s="1722">
        <f t="shared" si="29"/>
        <v>0</v>
      </c>
      <c r="BK14" s="1723">
        <f>(AR14*Pricing!F$3+AS14*Pricing!G$3+AT14*Pricing!H$3+AU14*Pricing!I$3+AV14*Pricing!J$3+AW14*Pricing!K$3+AH14*Pricing!F$3+AI14*Pricing!G$3+AJ14*Pricing!H$3+AK14*Pricing!I$3+AL14*Pricing!J$3+AM14*Pricing!K$3)*IF(T$39="N",(1+V$39),1)</f>
        <v>0</v>
      </c>
      <c r="BL14" s="1723">
        <f t="shared" si="30"/>
        <v>0</v>
      </c>
      <c r="BM14" s="1723">
        <f t="shared" si="31"/>
        <v>0</v>
      </c>
      <c r="BN14" s="1723">
        <f t="shared" si="32"/>
        <v>0</v>
      </c>
      <c r="BO14" s="1723">
        <f t="shared" si="33"/>
        <v>0</v>
      </c>
      <c r="BP14" s="1723">
        <f t="shared" si="34"/>
        <v>0</v>
      </c>
      <c r="BQ14" s="1723">
        <f t="shared" si="35"/>
        <v>0</v>
      </c>
      <c r="BR14" s="1724"/>
      <c r="BS14" s="1725">
        <f>IF(SUM(BF$36:BG$36)=0,0,(BQ$36-W$58-N$64-W78-(L$79*0.15))/SUM(BF$36:BG$36)*BG14+BN14)</f>
        <v>0</v>
      </c>
      <c r="BT14" s="1723">
        <f>(AH14*Pricing!F$3+AI14*Pricing!G$3+AJ14*Pricing!H$3+AK14*Pricing!I$3+AL14*Pricing!J$3+AM14*Pricing!K$3)*IF(T$39="N",(1+V$39),1)</f>
        <v>0</v>
      </c>
      <c r="BU14" s="1723">
        <f t="shared" si="36"/>
        <v>0</v>
      </c>
      <c r="BV14" s="1723">
        <f t="shared" si="37"/>
        <v>0</v>
      </c>
      <c r="BW14" s="1724">
        <f t="shared" si="38"/>
        <v>0</v>
      </c>
      <c r="DB14" s="1726">
        <f t="shared" si="39"/>
        <v>0</v>
      </c>
      <c r="DC14" s="1723" t="e">
        <f t="shared" si="40"/>
        <v>#DIV/0!</v>
      </c>
      <c r="DD14" s="172">
        <f t="shared" si="41"/>
        <v>0</v>
      </c>
      <c r="DE14" s="847">
        <f t="shared" si="42"/>
        <v>0</v>
      </c>
      <c r="DF14" s="334">
        <f t="shared" si="43"/>
        <v>0</v>
      </c>
      <c r="DG14" s="847">
        <f t="shared" si="44"/>
        <v>0</v>
      </c>
      <c r="DH14" s="847">
        <f t="shared" si="45"/>
        <v>0</v>
      </c>
      <c r="DI14" s="847">
        <f t="shared" si="46"/>
        <v>0</v>
      </c>
      <c r="DJ14" s="1727">
        <f t="shared" si="47"/>
        <v>0</v>
      </c>
    </row>
    <row r="15" spans="1:114" s="1254" customFormat="1" ht="15.45">
      <c r="A15" s="482"/>
      <c r="B15" s="1177"/>
      <c r="C15" s="1710"/>
      <c r="D15" s="1711"/>
      <c r="E15" s="1712"/>
      <c r="F15" s="1108"/>
      <c r="G15" s="1109"/>
      <c r="H15" s="1110"/>
      <c r="I15" s="1108"/>
      <c r="J15" s="1109"/>
      <c r="K15" s="1110"/>
      <c r="L15" s="1108"/>
      <c r="M15" s="1108"/>
      <c r="N15" s="1713"/>
      <c r="O15" s="1108"/>
      <c r="P15" s="1108"/>
      <c r="Q15" s="1111"/>
      <c r="R15" s="1714"/>
      <c r="S15" s="1715"/>
      <c r="T15" s="77"/>
      <c r="U15" s="839"/>
      <c r="V15" s="1716">
        <f t="shared" si="0"/>
        <v>0</v>
      </c>
      <c r="W15" s="1717">
        <f t="shared" si="1"/>
        <v>0</v>
      </c>
      <c r="AH15" s="1720">
        <f t="shared" si="2"/>
        <v>0</v>
      </c>
      <c r="AI15" s="1719">
        <f t="shared" si="3"/>
        <v>0</v>
      </c>
      <c r="AJ15" s="1719">
        <f t="shared" si="4"/>
        <v>0</v>
      </c>
      <c r="AK15" s="1719">
        <f t="shared" si="5"/>
        <v>0</v>
      </c>
      <c r="AL15" s="1719">
        <f t="shared" si="6"/>
        <v>0</v>
      </c>
      <c r="AM15" s="1719">
        <f t="shared" si="7"/>
        <v>0</v>
      </c>
      <c r="AN15" s="1719">
        <f t="shared" si="8"/>
        <v>0</v>
      </c>
      <c r="AO15" s="1719">
        <f t="shared" si="9"/>
        <v>0</v>
      </c>
      <c r="AP15" s="1719">
        <f t="shared" si="10"/>
        <v>0</v>
      </c>
      <c r="AQ15" s="1719">
        <f t="shared" si="11"/>
        <v>0</v>
      </c>
      <c r="AR15" s="1720">
        <f t="shared" si="12"/>
        <v>0</v>
      </c>
      <c r="AS15" s="1719">
        <f t="shared" si="13"/>
        <v>0</v>
      </c>
      <c r="AT15" s="1719">
        <f t="shared" si="14"/>
        <v>0</v>
      </c>
      <c r="AU15" s="1719">
        <f t="shared" si="15"/>
        <v>0</v>
      </c>
      <c r="AV15" s="1719">
        <f t="shared" si="16"/>
        <v>0</v>
      </c>
      <c r="AW15" s="1719">
        <f t="shared" si="17"/>
        <v>0</v>
      </c>
      <c r="AX15" s="1719">
        <f t="shared" si="18"/>
        <v>0</v>
      </c>
      <c r="AY15" s="1719">
        <f t="shared" si="19"/>
        <v>0</v>
      </c>
      <c r="AZ15" s="1719">
        <f t="shared" si="20"/>
        <v>0</v>
      </c>
      <c r="BA15" s="1721">
        <f t="shared" si="21"/>
        <v>0</v>
      </c>
      <c r="BB15" s="1719">
        <f t="shared" si="22"/>
        <v>0</v>
      </c>
      <c r="BC15" s="1719">
        <f t="shared" si="23"/>
        <v>0</v>
      </c>
      <c r="BD15" s="1719">
        <f t="shared" si="24"/>
        <v>0</v>
      </c>
      <c r="BE15" s="1719">
        <f t="shared" si="25"/>
        <v>0</v>
      </c>
      <c r="BF15" s="1719">
        <f t="shared" si="26"/>
        <v>0</v>
      </c>
      <c r="BG15" s="1719">
        <f t="shared" si="27"/>
        <v>0</v>
      </c>
      <c r="BH15" s="1719">
        <f t="shared" si="28"/>
        <v>0</v>
      </c>
      <c r="BJ15" s="1722">
        <f t="shared" si="29"/>
        <v>0</v>
      </c>
      <c r="BK15" s="1723">
        <f>(AR15*Pricing!F$3+AS15*Pricing!G$3+AT15*Pricing!H$3+AU15*Pricing!I$3+AV15*Pricing!J$3+AW15*Pricing!K$3+AH15*Pricing!F$3+AI15*Pricing!G$3+AJ15*Pricing!H$3+AK15*Pricing!I$3+AL15*Pricing!J$3+AM15*Pricing!K$3)*IF(T$39="N",(1+V$39),1)</f>
        <v>0</v>
      </c>
      <c r="BL15" s="1723">
        <f t="shared" si="30"/>
        <v>0</v>
      </c>
      <c r="BM15" s="1723">
        <f t="shared" si="31"/>
        <v>0</v>
      </c>
      <c r="BN15" s="1723">
        <f t="shared" si="32"/>
        <v>0</v>
      </c>
      <c r="BO15" s="1723">
        <f t="shared" si="33"/>
        <v>0</v>
      </c>
      <c r="BP15" s="1723">
        <f t="shared" si="34"/>
        <v>0</v>
      </c>
      <c r="BQ15" s="1723">
        <f t="shared" si="35"/>
        <v>0</v>
      </c>
      <c r="BR15" s="1724"/>
      <c r="BS15" s="1725">
        <f>IF(SUM(BF$36:BG$36)=0,0,(BQ$36-W$58-N$64-W79-(L$79*0.15))/SUM(BF$36:BG$36)*BG15+BN15)</f>
        <v>0</v>
      </c>
      <c r="BT15" s="1723">
        <f>(AH15*Pricing!F$3+AI15*Pricing!G$3+AJ15*Pricing!H$3+AK15*Pricing!I$3+AL15*Pricing!J$3+AM15*Pricing!K$3)*IF(T$39="N",(1+V$39),1)</f>
        <v>0</v>
      </c>
      <c r="BU15" s="1723">
        <f t="shared" si="36"/>
        <v>0</v>
      </c>
      <c r="BV15" s="1723">
        <f t="shared" si="37"/>
        <v>0</v>
      </c>
      <c r="BW15" s="1724">
        <f t="shared" si="38"/>
        <v>0</v>
      </c>
      <c r="DB15" s="1726">
        <f t="shared" si="39"/>
        <v>0</v>
      </c>
      <c r="DC15" s="1723" t="e">
        <f t="shared" si="40"/>
        <v>#DIV/0!</v>
      </c>
      <c r="DD15" s="172">
        <f t="shared" si="41"/>
        <v>0</v>
      </c>
      <c r="DE15" s="847">
        <f t="shared" si="42"/>
        <v>0</v>
      </c>
      <c r="DF15" s="334">
        <f t="shared" si="43"/>
        <v>0</v>
      </c>
      <c r="DG15" s="847">
        <f t="shared" si="44"/>
        <v>0</v>
      </c>
      <c r="DH15" s="847">
        <f t="shared" si="45"/>
        <v>0</v>
      </c>
      <c r="DI15" s="847">
        <f t="shared" si="46"/>
        <v>0</v>
      </c>
      <c r="DJ15" s="1727">
        <f t="shared" si="47"/>
        <v>0</v>
      </c>
    </row>
    <row r="16" spans="1:114" s="1254" customFormat="1" ht="15.45">
      <c r="A16" s="482"/>
      <c r="B16" s="1177"/>
      <c r="C16" s="1710"/>
      <c r="D16" s="1711"/>
      <c r="E16" s="1712"/>
      <c r="F16" s="1108"/>
      <c r="G16" s="1109"/>
      <c r="H16" s="1110"/>
      <c r="I16" s="1108"/>
      <c r="J16" s="1109"/>
      <c r="K16" s="1110"/>
      <c r="L16" s="1108"/>
      <c r="M16" s="1108"/>
      <c r="N16" s="1713"/>
      <c r="O16" s="1108"/>
      <c r="P16" s="1108"/>
      <c r="Q16" s="1111"/>
      <c r="R16" s="1714"/>
      <c r="S16" s="1715"/>
      <c r="T16" s="77"/>
      <c r="U16" s="839"/>
      <c r="V16" s="1716">
        <f t="shared" si="0"/>
        <v>0</v>
      </c>
      <c r="W16" s="1717">
        <f t="shared" si="1"/>
        <v>0</v>
      </c>
      <c r="AH16" s="1720">
        <f t="shared" si="2"/>
        <v>0</v>
      </c>
      <c r="AI16" s="1719">
        <f t="shared" si="3"/>
        <v>0</v>
      </c>
      <c r="AJ16" s="1719">
        <f t="shared" si="4"/>
        <v>0</v>
      </c>
      <c r="AK16" s="1719">
        <f t="shared" si="5"/>
        <v>0</v>
      </c>
      <c r="AL16" s="1719">
        <f t="shared" si="6"/>
        <v>0</v>
      </c>
      <c r="AM16" s="1719">
        <f t="shared" si="7"/>
        <v>0</v>
      </c>
      <c r="AN16" s="1719">
        <f t="shared" si="8"/>
        <v>0</v>
      </c>
      <c r="AO16" s="1719">
        <f t="shared" si="9"/>
        <v>0</v>
      </c>
      <c r="AP16" s="1719">
        <f t="shared" si="10"/>
        <v>0</v>
      </c>
      <c r="AQ16" s="1719">
        <f t="shared" si="11"/>
        <v>0</v>
      </c>
      <c r="AR16" s="1720">
        <f t="shared" si="12"/>
        <v>0</v>
      </c>
      <c r="AS16" s="1719">
        <f t="shared" si="13"/>
        <v>0</v>
      </c>
      <c r="AT16" s="1719">
        <f t="shared" si="14"/>
        <v>0</v>
      </c>
      <c r="AU16" s="1719">
        <f t="shared" si="15"/>
        <v>0</v>
      </c>
      <c r="AV16" s="1719">
        <f t="shared" si="16"/>
        <v>0</v>
      </c>
      <c r="AW16" s="1719">
        <f t="shared" si="17"/>
        <v>0</v>
      </c>
      <c r="AX16" s="1719">
        <f t="shared" si="18"/>
        <v>0</v>
      </c>
      <c r="AY16" s="1719">
        <f t="shared" si="19"/>
        <v>0</v>
      </c>
      <c r="AZ16" s="1719">
        <f t="shared" si="20"/>
        <v>0</v>
      </c>
      <c r="BA16" s="1721">
        <f t="shared" si="21"/>
        <v>0</v>
      </c>
      <c r="BB16" s="1719">
        <f t="shared" si="22"/>
        <v>0</v>
      </c>
      <c r="BC16" s="1719">
        <f t="shared" si="23"/>
        <v>0</v>
      </c>
      <c r="BD16" s="1719">
        <f t="shared" si="24"/>
        <v>0</v>
      </c>
      <c r="BE16" s="1719">
        <f t="shared" si="25"/>
        <v>0</v>
      </c>
      <c r="BF16" s="1719">
        <f t="shared" si="26"/>
        <v>0</v>
      </c>
      <c r="BG16" s="1719">
        <f t="shared" si="27"/>
        <v>0</v>
      </c>
      <c r="BH16" s="1719">
        <f t="shared" si="28"/>
        <v>0</v>
      </c>
      <c r="BJ16" s="1722">
        <f t="shared" si="29"/>
        <v>0</v>
      </c>
      <c r="BK16" s="1723">
        <f>(AR16*Pricing!F$3+AS16*Pricing!G$3+AT16*Pricing!H$3+AU16*Pricing!I$3+AV16*Pricing!J$3+AW16*Pricing!K$3+AH16*Pricing!F$3+AI16*Pricing!G$3+AJ16*Pricing!H$3+AK16*Pricing!I$3+AL16*Pricing!J$3+AM16*Pricing!K$3)*IF(T$39="N",(1+V$39),1)</f>
        <v>0</v>
      </c>
      <c r="BL16" s="1723">
        <f t="shared" si="30"/>
        <v>0</v>
      </c>
      <c r="BM16" s="1723">
        <f t="shared" si="31"/>
        <v>0</v>
      </c>
      <c r="BN16" s="1723">
        <f t="shared" si="32"/>
        <v>0</v>
      </c>
      <c r="BO16" s="1723">
        <f t="shared" si="33"/>
        <v>0</v>
      </c>
      <c r="BP16" s="1723">
        <f t="shared" si="34"/>
        <v>0</v>
      </c>
      <c r="BQ16" s="1723">
        <f t="shared" si="35"/>
        <v>0</v>
      </c>
      <c r="BR16" s="1724"/>
      <c r="BS16" s="1725">
        <f>IF(SUM(BF$36:BG$36)=0,0,(BQ$36-W$58-N$64-W71-(L$79*0.15))/SUM(BF$36:BG$36)*BG16+BN16)</f>
        <v>0</v>
      </c>
      <c r="BT16" s="1723">
        <f>(AH16*Pricing!F$3+AI16*Pricing!G$3+AJ16*Pricing!H$3+AK16*Pricing!I$3+AL16*Pricing!J$3+AM16*Pricing!K$3)*IF(T$39="N",(1+V$39),1)</f>
        <v>0</v>
      </c>
      <c r="BU16" s="1723">
        <f t="shared" si="36"/>
        <v>0</v>
      </c>
      <c r="BV16" s="1723">
        <f t="shared" si="37"/>
        <v>0</v>
      </c>
      <c r="BW16" s="1724">
        <f t="shared" si="38"/>
        <v>0</v>
      </c>
      <c r="DB16" s="1726">
        <f t="shared" si="39"/>
        <v>0</v>
      </c>
      <c r="DC16" s="1723" t="e">
        <f t="shared" si="40"/>
        <v>#DIV/0!</v>
      </c>
      <c r="DD16" s="172">
        <f t="shared" si="41"/>
        <v>0</v>
      </c>
      <c r="DE16" s="847">
        <f t="shared" si="42"/>
        <v>0</v>
      </c>
      <c r="DF16" s="334">
        <f t="shared" si="43"/>
        <v>0</v>
      </c>
      <c r="DG16" s="847">
        <f t="shared" si="44"/>
        <v>0</v>
      </c>
      <c r="DH16" s="847">
        <f t="shared" si="45"/>
        <v>0</v>
      </c>
      <c r="DI16" s="847">
        <f t="shared" si="46"/>
        <v>0</v>
      </c>
      <c r="DJ16" s="1727">
        <f t="shared" si="47"/>
        <v>0</v>
      </c>
    </row>
    <row r="17" spans="1:114" s="1254" customFormat="1" ht="15.45">
      <c r="A17" s="482"/>
      <c r="B17" s="1177"/>
      <c r="C17" s="1710"/>
      <c r="D17" s="1711"/>
      <c r="E17" s="1712"/>
      <c r="F17" s="1108"/>
      <c r="G17" s="1109"/>
      <c r="H17" s="1110"/>
      <c r="I17" s="1108"/>
      <c r="J17" s="1109"/>
      <c r="K17" s="1110"/>
      <c r="L17" s="1108"/>
      <c r="M17" s="1108"/>
      <c r="N17" s="1713"/>
      <c r="O17" s="1108"/>
      <c r="P17" s="1108"/>
      <c r="Q17" s="1111"/>
      <c r="R17" s="1714"/>
      <c r="S17" s="1715"/>
      <c r="T17" s="77"/>
      <c r="U17" s="839"/>
      <c r="V17" s="1716">
        <f t="shared" si="0"/>
        <v>0</v>
      </c>
      <c r="W17" s="1717">
        <f t="shared" si="1"/>
        <v>0</v>
      </c>
      <c r="AH17" s="1720">
        <f t="shared" si="2"/>
        <v>0</v>
      </c>
      <c r="AI17" s="1719">
        <f t="shared" si="3"/>
        <v>0</v>
      </c>
      <c r="AJ17" s="1719">
        <f t="shared" si="4"/>
        <v>0</v>
      </c>
      <c r="AK17" s="1719">
        <f t="shared" si="5"/>
        <v>0</v>
      </c>
      <c r="AL17" s="1719">
        <f t="shared" si="6"/>
        <v>0</v>
      </c>
      <c r="AM17" s="1719">
        <f t="shared" si="7"/>
        <v>0</v>
      </c>
      <c r="AN17" s="1719">
        <f t="shared" si="8"/>
        <v>0</v>
      </c>
      <c r="AO17" s="1719">
        <f t="shared" si="9"/>
        <v>0</v>
      </c>
      <c r="AP17" s="1719">
        <f t="shared" si="10"/>
        <v>0</v>
      </c>
      <c r="AQ17" s="1719">
        <f t="shared" si="11"/>
        <v>0</v>
      </c>
      <c r="AR17" s="1720">
        <f t="shared" si="12"/>
        <v>0</v>
      </c>
      <c r="AS17" s="1719">
        <f t="shared" si="13"/>
        <v>0</v>
      </c>
      <c r="AT17" s="1719">
        <f t="shared" si="14"/>
        <v>0</v>
      </c>
      <c r="AU17" s="1719">
        <f t="shared" si="15"/>
        <v>0</v>
      </c>
      <c r="AV17" s="1719">
        <f t="shared" si="16"/>
        <v>0</v>
      </c>
      <c r="AW17" s="1719">
        <f t="shared" si="17"/>
        <v>0</v>
      </c>
      <c r="AX17" s="1719">
        <f t="shared" si="18"/>
        <v>0</v>
      </c>
      <c r="AY17" s="1719">
        <f t="shared" si="19"/>
        <v>0</v>
      </c>
      <c r="AZ17" s="1719">
        <f t="shared" si="20"/>
        <v>0</v>
      </c>
      <c r="BA17" s="1721">
        <f t="shared" si="21"/>
        <v>0</v>
      </c>
      <c r="BB17" s="1719">
        <f t="shared" si="22"/>
        <v>0</v>
      </c>
      <c r="BC17" s="1719">
        <f t="shared" si="23"/>
        <v>0</v>
      </c>
      <c r="BD17" s="1719">
        <f t="shared" si="24"/>
        <v>0</v>
      </c>
      <c r="BE17" s="1719">
        <f t="shared" si="25"/>
        <v>0</v>
      </c>
      <c r="BF17" s="1719">
        <f t="shared" si="26"/>
        <v>0</v>
      </c>
      <c r="BG17" s="1719">
        <f t="shared" si="27"/>
        <v>0</v>
      </c>
      <c r="BH17" s="1719">
        <f t="shared" si="28"/>
        <v>0</v>
      </c>
      <c r="BJ17" s="1722">
        <f t="shared" si="29"/>
        <v>0</v>
      </c>
      <c r="BK17" s="1723">
        <f>(AR17*Pricing!F$3+AS17*Pricing!G$3+AT17*Pricing!H$3+AU17*Pricing!I$3+AV17*Pricing!J$3+AW17*Pricing!K$3+AH17*Pricing!F$3+AI17*Pricing!G$3+AJ17*Pricing!H$3+AK17*Pricing!I$3+AL17*Pricing!J$3+AM17*Pricing!K$3)*IF(T$39="N",(1+V$39),1)</f>
        <v>0</v>
      </c>
      <c r="BL17" s="1723">
        <f t="shared" si="30"/>
        <v>0</v>
      </c>
      <c r="BM17" s="1723">
        <f t="shared" si="31"/>
        <v>0</v>
      </c>
      <c r="BN17" s="1723">
        <f t="shared" si="32"/>
        <v>0</v>
      </c>
      <c r="BO17" s="1723">
        <f t="shared" si="33"/>
        <v>0</v>
      </c>
      <c r="BP17" s="1723">
        <f t="shared" si="34"/>
        <v>0</v>
      </c>
      <c r="BQ17" s="1723">
        <f t="shared" si="35"/>
        <v>0</v>
      </c>
      <c r="BR17" s="1724"/>
      <c r="BS17" s="1725">
        <f>IF(SUM(BF$36:BG$36)=0,0,(BQ$36-W$58-N$64-W64-(L$79*0.15))/SUM(BF$36:BG$36)*BG17+BN17)</f>
        <v>0</v>
      </c>
      <c r="BT17" s="1723">
        <f>(AH17*Pricing!F$3+AI17*Pricing!G$3+AJ17*Pricing!H$3+AK17*Pricing!I$3+AL17*Pricing!J$3+AM17*Pricing!K$3)*IF(T$39="N",(1+V$39),1)</f>
        <v>0</v>
      </c>
      <c r="BU17" s="1723">
        <f t="shared" si="36"/>
        <v>0</v>
      </c>
      <c r="BV17" s="1723">
        <f t="shared" si="37"/>
        <v>0</v>
      </c>
      <c r="BW17" s="1724">
        <f t="shared" si="38"/>
        <v>0</v>
      </c>
      <c r="DB17" s="1726">
        <f t="shared" si="39"/>
        <v>0</v>
      </c>
      <c r="DC17" s="1723" t="e">
        <f t="shared" si="40"/>
        <v>#DIV/0!</v>
      </c>
      <c r="DD17" s="172">
        <f t="shared" si="41"/>
        <v>0</v>
      </c>
      <c r="DE17" s="847">
        <f t="shared" si="42"/>
        <v>0</v>
      </c>
      <c r="DF17" s="334">
        <f t="shared" si="43"/>
        <v>0</v>
      </c>
      <c r="DG17" s="847">
        <f t="shared" si="44"/>
        <v>0</v>
      </c>
      <c r="DH17" s="847">
        <f t="shared" si="45"/>
        <v>0</v>
      </c>
      <c r="DI17" s="847">
        <f t="shared" si="46"/>
        <v>0</v>
      </c>
      <c r="DJ17" s="1727">
        <f t="shared" si="47"/>
        <v>0</v>
      </c>
    </row>
    <row r="18" spans="1:114" s="1254" customFormat="1" ht="15.45">
      <c r="A18" s="482"/>
      <c r="B18" s="1177"/>
      <c r="C18" s="1710"/>
      <c r="D18" s="1711"/>
      <c r="E18" s="1712"/>
      <c r="F18" s="1108"/>
      <c r="G18" s="1109"/>
      <c r="H18" s="1110"/>
      <c r="I18" s="1108"/>
      <c r="J18" s="1109"/>
      <c r="K18" s="1110"/>
      <c r="L18" s="1108"/>
      <c r="M18" s="1108"/>
      <c r="N18" s="1713"/>
      <c r="O18" s="1108"/>
      <c r="P18" s="1108"/>
      <c r="Q18" s="1111"/>
      <c r="R18" s="1714"/>
      <c r="S18" s="1715"/>
      <c r="T18" s="77"/>
      <c r="U18" s="839"/>
      <c r="V18" s="1716">
        <f t="shared" si="0"/>
        <v>0</v>
      </c>
      <c r="W18" s="1717">
        <f t="shared" si="1"/>
        <v>0</v>
      </c>
      <c r="AH18" s="1720">
        <f t="shared" si="2"/>
        <v>0</v>
      </c>
      <c r="AI18" s="1719">
        <f t="shared" si="3"/>
        <v>0</v>
      </c>
      <c r="AJ18" s="1719">
        <f t="shared" si="4"/>
        <v>0</v>
      </c>
      <c r="AK18" s="1719">
        <f t="shared" si="5"/>
        <v>0</v>
      </c>
      <c r="AL18" s="1719">
        <f t="shared" si="6"/>
        <v>0</v>
      </c>
      <c r="AM18" s="1719">
        <f t="shared" si="7"/>
        <v>0</v>
      </c>
      <c r="AN18" s="1719">
        <f t="shared" si="8"/>
        <v>0</v>
      </c>
      <c r="AO18" s="1719">
        <f t="shared" si="9"/>
        <v>0</v>
      </c>
      <c r="AP18" s="1719">
        <f t="shared" si="10"/>
        <v>0</v>
      </c>
      <c r="AQ18" s="1719">
        <f t="shared" si="11"/>
        <v>0</v>
      </c>
      <c r="AR18" s="1720">
        <f t="shared" si="12"/>
        <v>0</v>
      </c>
      <c r="AS18" s="1719">
        <f t="shared" si="13"/>
        <v>0</v>
      </c>
      <c r="AT18" s="1719">
        <f t="shared" si="14"/>
        <v>0</v>
      </c>
      <c r="AU18" s="1719">
        <f t="shared" si="15"/>
        <v>0</v>
      </c>
      <c r="AV18" s="1719">
        <f t="shared" si="16"/>
        <v>0</v>
      </c>
      <c r="AW18" s="1719">
        <f t="shared" si="17"/>
        <v>0</v>
      </c>
      <c r="AX18" s="1719">
        <f t="shared" si="18"/>
        <v>0</v>
      </c>
      <c r="AY18" s="1719">
        <f t="shared" si="19"/>
        <v>0</v>
      </c>
      <c r="AZ18" s="1719">
        <f t="shared" si="20"/>
        <v>0</v>
      </c>
      <c r="BA18" s="1721">
        <f t="shared" si="21"/>
        <v>0</v>
      </c>
      <c r="BB18" s="1719">
        <f t="shared" si="22"/>
        <v>0</v>
      </c>
      <c r="BC18" s="1719">
        <f t="shared" si="23"/>
        <v>0</v>
      </c>
      <c r="BD18" s="1719">
        <f t="shared" si="24"/>
        <v>0</v>
      </c>
      <c r="BE18" s="1719">
        <f t="shared" si="25"/>
        <v>0</v>
      </c>
      <c r="BF18" s="1719">
        <f t="shared" si="26"/>
        <v>0</v>
      </c>
      <c r="BG18" s="1719">
        <f t="shared" si="27"/>
        <v>0</v>
      </c>
      <c r="BH18" s="1719">
        <f t="shared" si="28"/>
        <v>0</v>
      </c>
      <c r="BJ18" s="1722">
        <f t="shared" si="29"/>
        <v>0</v>
      </c>
      <c r="BK18" s="1723">
        <f>(AR18*Pricing!F$3+AS18*Pricing!G$3+AT18*Pricing!H$3+AU18*Pricing!I$3+AV18*Pricing!J$3+AW18*Pricing!K$3+AH18*Pricing!F$3+AI18*Pricing!G$3+AJ18*Pricing!H$3+AK18*Pricing!I$3+AL18*Pricing!J$3+AM18*Pricing!K$3)*IF(T$39="N",(1+V$39),1)</f>
        <v>0</v>
      </c>
      <c r="BL18" s="1723">
        <f t="shared" si="30"/>
        <v>0</v>
      </c>
      <c r="BM18" s="1723">
        <f t="shared" si="31"/>
        <v>0</v>
      </c>
      <c r="BN18" s="1723">
        <f t="shared" si="32"/>
        <v>0</v>
      </c>
      <c r="BO18" s="1723">
        <f t="shared" si="33"/>
        <v>0</v>
      </c>
      <c r="BP18" s="1723">
        <f t="shared" si="34"/>
        <v>0</v>
      </c>
      <c r="BQ18" s="1723">
        <f t="shared" si="35"/>
        <v>0</v>
      </c>
      <c r="BR18" s="1724"/>
      <c r="BS18" s="1725">
        <f>IF(SUM(BF$36:BG$36)=0,0,(BQ$36-W$58-N$64-W60-(L$79*0.15))/SUM(BF$36:BG$36)*BG18+BN18)</f>
        <v>0</v>
      </c>
      <c r="BT18" s="1723">
        <f>(AH18*Pricing!F$3+AI18*Pricing!G$3+AJ18*Pricing!H$3+AK18*Pricing!I$3+AL18*Pricing!J$3+AM18*Pricing!K$3)*IF(T$39="N",(1+V$39),1)</f>
        <v>0</v>
      </c>
      <c r="BU18" s="1723">
        <f t="shared" si="36"/>
        <v>0</v>
      </c>
      <c r="BV18" s="1723">
        <f t="shared" si="37"/>
        <v>0</v>
      </c>
      <c r="BW18" s="1724">
        <f t="shared" si="38"/>
        <v>0</v>
      </c>
      <c r="DB18" s="1726">
        <f t="shared" si="39"/>
        <v>0</v>
      </c>
      <c r="DC18" s="1723" t="e">
        <f t="shared" si="40"/>
        <v>#DIV/0!</v>
      </c>
      <c r="DD18" s="172">
        <f t="shared" si="41"/>
        <v>0</v>
      </c>
      <c r="DE18" s="847">
        <f t="shared" si="42"/>
        <v>0</v>
      </c>
      <c r="DF18" s="334">
        <f t="shared" si="43"/>
        <v>0</v>
      </c>
      <c r="DG18" s="847">
        <f t="shared" si="44"/>
        <v>0</v>
      </c>
      <c r="DH18" s="847">
        <f t="shared" si="45"/>
        <v>0</v>
      </c>
      <c r="DI18" s="847">
        <f t="shared" si="46"/>
        <v>0</v>
      </c>
      <c r="DJ18" s="1727">
        <f t="shared" si="47"/>
        <v>0</v>
      </c>
    </row>
    <row r="19" spans="1:114" s="1254" customFormat="1" ht="15.45">
      <c r="A19" s="482"/>
      <c r="B19" s="1177"/>
      <c r="C19" s="1710"/>
      <c r="D19" s="1711"/>
      <c r="E19" s="1712"/>
      <c r="F19" s="1108"/>
      <c r="G19" s="1109"/>
      <c r="H19" s="1110"/>
      <c r="I19" s="1108"/>
      <c r="J19" s="1109"/>
      <c r="K19" s="1110"/>
      <c r="L19" s="1108"/>
      <c r="M19" s="1108"/>
      <c r="N19" s="1713"/>
      <c r="O19" s="1108"/>
      <c r="P19" s="1108"/>
      <c r="Q19" s="1111"/>
      <c r="R19" s="1714"/>
      <c r="S19" s="1715"/>
      <c r="T19" s="77"/>
      <c r="U19" s="839"/>
      <c r="V19" s="1716">
        <f t="shared" si="0"/>
        <v>0</v>
      </c>
      <c r="W19" s="1717">
        <f t="shared" si="1"/>
        <v>0</v>
      </c>
      <c r="AH19" s="1720">
        <f t="shared" si="2"/>
        <v>0</v>
      </c>
      <c r="AI19" s="1719">
        <f t="shared" si="3"/>
        <v>0</v>
      </c>
      <c r="AJ19" s="1719">
        <f t="shared" si="4"/>
        <v>0</v>
      </c>
      <c r="AK19" s="1719">
        <f t="shared" si="5"/>
        <v>0</v>
      </c>
      <c r="AL19" s="1719">
        <f t="shared" si="6"/>
        <v>0</v>
      </c>
      <c r="AM19" s="1719">
        <f t="shared" si="7"/>
        <v>0</v>
      </c>
      <c r="AN19" s="1719">
        <f t="shared" si="8"/>
        <v>0</v>
      </c>
      <c r="AO19" s="1719">
        <f t="shared" si="9"/>
        <v>0</v>
      </c>
      <c r="AP19" s="1719">
        <f t="shared" si="10"/>
        <v>0</v>
      </c>
      <c r="AQ19" s="1719">
        <f t="shared" si="11"/>
        <v>0</v>
      </c>
      <c r="AR19" s="1720">
        <f t="shared" si="12"/>
        <v>0</v>
      </c>
      <c r="AS19" s="1719">
        <f t="shared" si="13"/>
        <v>0</v>
      </c>
      <c r="AT19" s="1719">
        <f t="shared" si="14"/>
        <v>0</v>
      </c>
      <c r="AU19" s="1719">
        <f t="shared" si="15"/>
        <v>0</v>
      </c>
      <c r="AV19" s="1719">
        <f t="shared" si="16"/>
        <v>0</v>
      </c>
      <c r="AW19" s="1719">
        <f t="shared" si="17"/>
        <v>0</v>
      </c>
      <c r="AX19" s="1719">
        <f t="shared" si="18"/>
        <v>0</v>
      </c>
      <c r="AY19" s="1719">
        <f t="shared" si="19"/>
        <v>0</v>
      </c>
      <c r="AZ19" s="1719">
        <f t="shared" si="20"/>
        <v>0</v>
      </c>
      <c r="BA19" s="1721">
        <f t="shared" si="21"/>
        <v>0</v>
      </c>
      <c r="BB19" s="1719">
        <f t="shared" si="22"/>
        <v>0</v>
      </c>
      <c r="BC19" s="1719">
        <f t="shared" si="23"/>
        <v>0</v>
      </c>
      <c r="BD19" s="1719">
        <f t="shared" si="24"/>
        <v>0</v>
      </c>
      <c r="BE19" s="1719">
        <f t="shared" si="25"/>
        <v>0</v>
      </c>
      <c r="BF19" s="1719">
        <f t="shared" si="26"/>
        <v>0</v>
      </c>
      <c r="BG19" s="1719">
        <f t="shared" si="27"/>
        <v>0</v>
      </c>
      <c r="BH19" s="1719">
        <f t="shared" si="28"/>
        <v>0</v>
      </c>
      <c r="BJ19" s="1722">
        <f t="shared" si="29"/>
        <v>0</v>
      </c>
      <c r="BK19" s="1723">
        <f>(AR19*Pricing!F$3+AS19*Pricing!G$3+AT19*Pricing!H$3+AU19*Pricing!I$3+AV19*Pricing!J$3+AW19*Pricing!K$3+AH19*Pricing!F$3+AI19*Pricing!G$3+AJ19*Pricing!H$3+AK19*Pricing!I$3+AL19*Pricing!J$3+AM19*Pricing!K$3)*IF(T$39="N",(1+V$39),1)</f>
        <v>0</v>
      </c>
      <c r="BL19" s="1723">
        <f t="shared" si="30"/>
        <v>0</v>
      </c>
      <c r="BM19" s="1723">
        <f t="shared" si="31"/>
        <v>0</v>
      </c>
      <c r="BN19" s="1723">
        <f t="shared" si="32"/>
        <v>0</v>
      </c>
      <c r="BO19" s="1723">
        <f t="shared" si="33"/>
        <v>0</v>
      </c>
      <c r="BP19" s="1723">
        <f t="shared" si="34"/>
        <v>0</v>
      </c>
      <c r="BQ19" s="1723">
        <f t="shared" si="35"/>
        <v>0</v>
      </c>
      <c r="BR19" s="1724"/>
      <c r="BS19" s="1725">
        <f>IF(SUM(BF$36:BG$36)=0,0,(BQ$36-W$58-N$64-W61-(L$79*0.15))/SUM(BF$36:BG$36)*BG19+BN19)</f>
        <v>0</v>
      </c>
      <c r="BT19" s="1723">
        <f>(AH19*Pricing!F$3+AI19*Pricing!G$3+AJ19*Pricing!H$3+AK19*Pricing!I$3+AL19*Pricing!J$3+AM19*Pricing!K$3)*IF(T$39="N",(1+V$39),1)</f>
        <v>0</v>
      </c>
      <c r="BU19" s="1723">
        <f t="shared" si="36"/>
        <v>0</v>
      </c>
      <c r="BV19" s="1723">
        <f t="shared" si="37"/>
        <v>0</v>
      </c>
      <c r="BW19" s="1724">
        <f t="shared" si="38"/>
        <v>0</v>
      </c>
      <c r="DB19" s="1726">
        <f t="shared" si="39"/>
        <v>0</v>
      </c>
      <c r="DC19" s="1723" t="e">
        <f t="shared" si="40"/>
        <v>#DIV/0!</v>
      </c>
      <c r="DD19" s="172">
        <f t="shared" si="41"/>
        <v>0</v>
      </c>
      <c r="DE19" s="847">
        <f t="shared" si="42"/>
        <v>0</v>
      </c>
      <c r="DF19" s="334">
        <f t="shared" si="43"/>
        <v>0</v>
      </c>
      <c r="DG19" s="847">
        <f t="shared" si="44"/>
        <v>0</v>
      </c>
      <c r="DH19" s="847">
        <f t="shared" si="45"/>
        <v>0</v>
      </c>
      <c r="DI19" s="847">
        <f t="shared" si="46"/>
        <v>0</v>
      </c>
      <c r="DJ19" s="1727">
        <f t="shared" si="47"/>
        <v>0</v>
      </c>
    </row>
    <row r="20" spans="1:114" s="1254" customFormat="1" ht="15.45">
      <c r="A20" s="482"/>
      <c r="B20" s="1177"/>
      <c r="C20" s="1710"/>
      <c r="D20" s="1711"/>
      <c r="E20" s="1712"/>
      <c r="F20" s="1108"/>
      <c r="G20" s="1109"/>
      <c r="H20" s="1110"/>
      <c r="I20" s="1108"/>
      <c r="J20" s="1109"/>
      <c r="K20" s="1110"/>
      <c r="L20" s="1108"/>
      <c r="M20" s="1108"/>
      <c r="N20" s="1713"/>
      <c r="O20" s="1108"/>
      <c r="P20" s="1108"/>
      <c r="Q20" s="1111"/>
      <c r="R20" s="1714"/>
      <c r="S20" s="1715"/>
      <c r="T20" s="77"/>
      <c r="U20" s="839"/>
      <c r="V20" s="1716">
        <f t="shared" si="0"/>
        <v>0</v>
      </c>
      <c r="W20" s="1717">
        <f t="shared" si="1"/>
        <v>0</v>
      </c>
      <c r="AH20" s="1720">
        <f t="shared" si="2"/>
        <v>0</v>
      </c>
      <c r="AI20" s="1719">
        <f t="shared" si="3"/>
        <v>0</v>
      </c>
      <c r="AJ20" s="1719">
        <f t="shared" si="4"/>
        <v>0</v>
      </c>
      <c r="AK20" s="1719">
        <f t="shared" si="5"/>
        <v>0</v>
      </c>
      <c r="AL20" s="1719">
        <f t="shared" si="6"/>
        <v>0</v>
      </c>
      <c r="AM20" s="1719">
        <f t="shared" si="7"/>
        <v>0</v>
      </c>
      <c r="AN20" s="1719">
        <f t="shared" si="8"/>
        <v>0</v>
      </c>
      <c r="AO20" s="1719">
        <f t="shared" si="9"/>
        <v>0</v>
      </c>
      <c r="AP20" s="1719">
        <f t="shared" si="10"/>
        <v>0</v>
      </c>
      <c r="AQ20" s="1719">
        <f t="shared" si="11"/>
        <v>0</v>
      </c>
      <c r="AR20" s="1720">
        <f t="shared" si="12"/>
        <v>0</v>
      </c>
      <c r="AS20" s="1719">
        <f t="shared" si="13"/>
        <v>0</v>
      </c>
      <c r="AT20" s="1719">
        <f t="shared" si="14"/>
        <v>0</v>
      </c>
      <c r="AU20" s="1719">
        <f t="shared" si="15"/>
        <v>0</v>
      </c>
      <c r="AV20" s="1719">
        <f t="shared" si="16"/>
        <v>0</v>
      </c>
      <c r="AW20" s="1719">
        <f t="shared" si="17"/>
        <v>0</v>
      </c>
      <c r="AX20" s="1719">
        <f t="shared" si="18"/>
        <v>0</v>
      </c>
      <c r="AY20" s="1719">
        <f t="shared" si="19"/>
        <v>0</v>
      </c>
      <c r="AZ20" s="1719">
        <f t="shared" si="20"/>
        <v>0</v>
      </c>
      <c r="BA20" s="1721">
        <f t="shared" si="21"/>
        <v>0</v>
      </c>
      <c r="BB20" s="1719">
        <f t="shared" si="22"/>
        <v>0</v>
      </c>
      <c r="BC20" s="1719">
        <f t="shared" si="23"/>
        <v>0</v>
      </c>
      <c r="BD20" s="1719">
        <f t="shared" si="24"/>
        <v>0</v>
      </c>
      <c r="BE20" s="1719">
        <f t="shared" si="25"/>
        <v>0</v>
      </c>
      <c r="BF20" s="1719">
        <f t="shared" si="26"/>
        <v>0</v>
      </c>
      <c r="BG20" s="1719">
        <f t="shared" si="27"/>
        <v>0</v>
      </c>
      <c r="BH20" s="1719">
        <f t="shared" si="28"/>
        <v>0</v>
      </c>
      <c r="BJ20" s="1722">
        <f t="shared" si="29"/>
        <v>0</v>
      </c>
      <c r="BK20" s="1723">
        <f>(AR20*Pricing!F$3+AS20*Pricing!G$3+AT20*Pricing!H$3+AU20*Pricing!I$3+AV20*Pricing!J$3+AW20*Pricing!K$3+AH20*Pricing!F$3+AI20*Pricing!G$3+AJ20*Pricing!H$3+AK20*Pricing!I$3+AL20*Pricing!J$3+AM20*Pricing!K$3)*IF(T$39="N",(1+V$39),1)</f>
        <v>0</v>
      </c>
      <c r="BL20" s="1723">
        <f t="shared" si="30"/>
        <v>0</v>
      </c>
      <c r="BM20" s="1723">
        <f t="shared" si="31"/>
        <v>0</v>
      </c>
      <c r="BN20" s="1723">
        <f t="shared" si="32"/>
        <v>0</v>
      </c>
      <c r="BO20" s="1723">
        <f t="shared" si="33"/>
        <v>0</v>
      </c>
      <c r="BP20" s="1723">
        <f t="shared" si="34"/>
        <v>0</v>
      </c>
      <c r="BQ20" s="1723">
        <f t="shared" si="35"/>
        <v>0</v>
      </c>
      <c r="BR20" s="1724"/>
      <c r="BS20" s="1725">
        <f>IF(SUM(BF$36:BG$36)=0,0,(BQ$36-W$58-N$64-W62-(L$79*0.15))/SUM(BF$36:BG$36)*BG20+BN20)</f>
        <v>0</v>
      </c>
      <c r="BT20" s="1723">
        <f>(AH20*Pricing!F$3+AI20*Pricing!G$3+AJ20*Pricing!H$3+AK20*Pricing!I$3+AL20*Pricing!J$3+AM20*Pricing!K$3)*IF(T$39="N",(1+V$39),1)</f>
        <v>0</v>
      </c>
      <c r="BU20" s="1723">
        <f t="shared" si="36"/>
        <v>0</v>
      </c>
      <c r="BV20" s="1723">
        <f t="shared" si="37"/>
        <v>0</v>
      </c>
      <c r="BW20" s="1724">
        <f t="shared" si="38"/>
        <v>0</v>
      </c>
      <c r="DB20" s="1726">
        <f t="shared" si="39"/>
        <v>0</v>
      </c>
      <c r="DC20" s="1723" t="e">
        <f t="shared" si="40"/>
        <v>#DIV/0!</v>
      </c>
      <c r="DD20" s="172">
        <f t="shared" si="41"/>
        <v>0</v>
      </c>
      <c r="DE20" s="847">
        <f t="shared" si="42"/>
        <v>0</v>
      </c>
      <c r="DF20" s="334">
        <f t="shared" si="43"/>
        <v>0</v>
      </c>
      <c r="DG20" s="847">
        <f t="shared" si="44"/>
        <v>0</v>
      </c>
      <c r="DH20" s="847">
        <f t="shared" si="45"/>
        <v>0</v>
      </c>
      <c r="DI20" s="847">
        <f t="shared" si="46"/>
        <v>0</v>
      </c>
      <c r="DJ20" s="1727">
        <f t="shared" si="47"/>
        <v>0</v>
      </c>
    </row>
    <row r="21" spans="1:114" s="1254" customFormat="1" ht="15.45">
      <c r="A21" s="482"/>
      <c r="B21" s="1177"/>
      <c r="C21" s="1710"/>
      <c r="D21" s="1711"/>
      <c r="E21" s="1712"/>
      <c r="F21" s="1108"/>
      <c r="G21" s="1109"/>
      <c r="H21" s="1110"/>
      <c r="I21" s="1108"/>
      <c r="J21" s="1109"/>
      <c r="K21" s="1110"/>
      <c r="L21" s="1108"/>
      <c r="M21" s="1108"/>
      <c r="N21" s="1713"/>
      <c r="O21" s="1108"/>
      <c r="P21" s="1108"/>
      <c r="Q21" s="1111"/>
      <c r="R21" s="1714"/>
      <c r="S21" s="1715"/>
      <c r="T21" s="77"/>
      <c r="U21" s="839"/>
      <c r="V21" s="1716">
        <f t="shared" si="0"/>
        <v>0</v>
      </c>
      <c r="W21" s="1717">
        <f t="shared" si="1"/>
        <v>0</v>
      </c>
      <c r="AH21" s="1720">
        <f t="shared" si="2"/>
        <v>0</v>
      </c>
      <c r="AI21" s="1719">
        <f t="shared" si="3"/>
        <v>0</v>
      </c>
      <c r="AJ21" s="1719">
        <f t="shared" si="4"/>
        <v>0</v>
      </c>
      <c r="AK21" s="1719">
        <f t="shared" si="5"/>
        <v>0</v>
      </c>
      <c r="AL21" s="1719">
        <f t="shared" si="6"/>
        <v>0</v>
      </c>
      <c r="AM21" s="1719">
        <f t="shared" si="7"/>
        <v>0</v>
      </c>
      <c r="AN21" s="1719">
        <f t="shared" si="8"/>
        <v>0</v>
      </c>
      <c r="AO21" s="1719">
        <f t="shared" si="9"/>
        <v>0</v>
      </c>
      <c r="AP21" s="1719">
        <f t="shared" si="10"/>
        <v>0</v>
      </c>
      <c r="AQ21" s="1719">
        <f t="shared" si="11"/>
        <v>0</v>
      </c>
      <c r="AR21" s="1720">
        <f t="shared" si="12"/>
        <v>0</v>
      </c>
      <c r="AS21" s="1719">
        <f t="shared" si="13"/>
        <v>0</v>
      </c>
      <c r="AT21" s="1719">
        <f t="shared" si="14"/>
        <v>0</v>
      </c>
      <c r="AU21" s="1719">
        <f t="shared" si="15"/>
        <v>0</v>
      </c>
      <c r="AV21" s="1719">
        <f t="shared" si="16"/>
        <v>0</v>
      </c>
      <c r="AW21" s="1719">
        <f t="shared" si="17"/>
        <v>0</v>
      </c>
      <c r="AX21" s="1719">
        <f t="shared" si="18"/>
        <v>0</v>
      </c>
      <c r="AY21" s="1719">
        <f t="shared" si="19"/>
        <v>0</v>
      </c>
      <c r="AZ21" s="1719">
        <f t="shared" si="20"/>
        <v>0</v>
      </c>
      <c r="BA21" s="1721">
        <f t="shared" si="21"/>
        <v>0</v>
      </c>
      <c r="BB21" s="1719">
        <f t="shared" si="22"/>
        <v>0</v>
      </c>
      <c r="BC21" s="1719">
        <f t="shared" si="23"/>
        <v>0</v>
      </c>
      <c r="BD21" s="1719">
        <f t="shared" si="24"/>
        <v>0</v>
      </c>
      <c r="BE21" s="1719">
        <f t="shared" si="25"/>
        <v>0</v>
      </c>
      <c r="BF21" s="1719">
        <f t="shared" si="26"/>
        <v>0</v>
      </c>
      <c r="BG21" s="1719">
        <f t="shared" si="27"/>
        <v>0</v>
      </c>
      <c r="BH21" s="1719">
        <f t="shared" si="28"/>
        <v>0</v>
      </c>
      <c r="BJ21" s="1722">
        <f t="shared" si="29"/>
        <v>0</v>
      </c>
      <c r="BK21" s="1723">
        <f>(AR21*Pricing!F$3+AS21*Pricing!G$3+AT21*Pricing!H$3+AU21*Pricing!I$3+AV21*Pricing!J$3+AW21*Pricing!K$3+AH21*Pricing!F$3+AI21*Pricing!G$3+AJ21*Pricing!H$3+AK21*Pricing!I$3+AL21*Pricing!J$3+AM21*Pricing!K$3)*IF(T$39="N",(1+V$39),1)</f>
        <v>0</v>
      </c>
      <c r="BL21" s="1723">
        <f t="shared" si="30"/>
        <v>0</v>
      </c>
      <c r="BM21" s="1723">
        <f t="shared" si="31"/>
        <v>0</v>
      </c>
      <c r="BN21" s="1723">
        <f t="shared" si="32"/>
        <v>0</v>
      </c>
      <c r="BO21" s="1723">
        <f t="shared" si="33"/>
        <v>0</v>
      </c>
      <c r="BP21" s="1723">
        <f t="shared" si="34"/>
        <v>0</v>
      </c>
      <c r="BQ21" s="1723">
        <f t="shared" si="35"/>
        <v>0</v>
      </c>
      <c r="BR21" s="1724"/>
      <c r="BS21" s="1725">
        <f>IF(SUM(BF$36:BG$36)=0,0,(BQ$36-W$58-N$64-W52-(L$79*0.15))/SUM(BF$36:BG$36)*BG21+BN21)</f>
        <v>0</v>
      </c>
      <c r="BT21" s="1723">
        <f>(AH21*Pricing!F$3+AI21*Pricing!G$3+AJ21*Pricing!H$3+AK21*Pricing!I$3+AL21*Pricing!J$3+AM21*Pricing!K$3)*IF(T$39="N",(1+V$39),1)</f>
        <v>0</v>
      </c>
      <c r="BU21" s="1723">
        <f t="shared" si="36"/>
        <v>0</v>
      </c>
      <c r="BV21" s="1723">
        <f t="shared" si="37"/>
        <v>0</v>
      </c>
      <c r="BW21" s="1724">
        <f t="shared" si="38"/>
        <v>0</v>
      </c>
      <c r="DB21" s="1726">
        <f t="shared" si="39"/>
        <v>0</v>
      </c>
      <c r="DC21" s="1723" t="e">
        <f t="shared" si="40"/>
        <v>#DIV/0!</v>
      </c>
      <c r="DD21" s="172">
        <f t="shared" si="41"/>
        <v>0</v>
      </c>
      <c r="DE21" s="847">
        <f t="shared" si="42"/>
        <v>0</v>
      </c>
      <c r="DF21" s="334">
        <f t="shared" si="43"/>
        <v>0</v>
      </c>
      <c r="DG21" s="847">
        <f t="shared" si="44"/>
        <v>0</v>
      </c>
      <c r="DH21" s="847">
        <f t="shared" si="45"/>
        <v>0</v>
      </c>
      <c r="DI21" s="847">
        <f t="shared" si="46"/>
        <v>0</v>
      </c>
      <c r="DJ21" s="1727">
        <f t="shared" si="47"/>
        <v>0</v>
      </c>
    </row>
    <row r="22" spans="1:114" s="1254" customFormat="1" ht="15.45">
      <c r="A22" s="482"/>
      <c r="B22" s="1177"/>
      <c r="C22" s="1710"/>
      <c r="D22" s="1711"/>
      <c r="E22" s="1712"/>
      <c r="F22" s="1108"/>
      <c r="G22" s="1109"/>
      <c r="H22" s="1110"/>
      <c r="I22" s="1108"/>
      <c r="J22" s="1109"/>
      <c r="K22" s="1110"/>
      <c r="L22" s="1108"/>
      <c r="M22" s="1108"/>
      <c r="N22" s="1713"/>
      <c r="O22" s="1108"/>
      <c r="P22" s="1108"/>
      <c r="Q22" s="1111"/>
      <c r="R22" s="1714"/>
      <c r="S22" s="1715"/>
      <c r="T22" s="77"/>
      <c r="U22" s="839"/>
      <c r="V22" s="1716">
        <f t="shared" si="0"/>
        <v>0</v>
      </c>
      <c r="W22" s="1717">
        <f t="shared" si="1"/>
        <v>0</v>
      </c>
      <c r="AH22" s="1720">
        <f t="shared" si="2"/>
        <v>0</v>
      </c>
      <c r="AI22" s="1719">
        <f t="shared" si="3"/>
        <v>0</v>
      </c>
      <c r="AJ22" s="1719">
        <f t="shared" si="4"/>
        <v>0</v>
      </c>
      <c r="AK22" s="1719">
        <f t="shared" si="5"/>
        <v>0</v>
      </c>
      <c r="AL22" s="1719">
        <f t="shared" si="6"/>
        <v>0</v>
      </c>
      <c r="AM22" s="1719">
        <f t="shared" si="7"/>
        <v>0</v>
      </c>
      <c r="AN22" s="1719">
        <f t="shared" si="8"/>
        <v>0</v>
      </c>
      <c r="AO22" s="1719">
        <f t="shared" si="9"/>
        <v>0</v>
      </c>
      <c r="AP22" s="1719">
        <f t="shared" si="10"/>
        <v>0</v>
      </c>
      <c r="AQ22" s="1719">
        <f t="shared" si="11"/>
        <v>0</v>
      </c>
      <c r="AR22" s="1720">
        <f t="shared" si="12"/>
        <v>0</v>
      </c>
      <c r="AS22" s="1719">
        <f t="shared" si="13"/>
        <v>0</v>
      </c>
      <c r="AT22" s="1719">
        <f t="shared" si="14"/>
        <v>0</v>
      </c>
      <c r="AU22" s="1719">
        <f t="shared" si="15"/>
        <v>0</v>
      </c>
      <c r="AV22" s="1719">
        <f t="shared" si="16"/>
        <v>0</v>
      </c>
      <c r="AW22" s="1719">
        <f t="shared" si="17"/>
        <v>0</v>
      </c>
      <c r="AX22" s="1719">
        <f t="shared" si="18"/>
        <v>0</v>
      </c>
      <c r="AY22" s="1719">
        <f t="shared" si="19"/>
        <v>0</v>
      </c>
      <c r="AZ22" s="1719">
        <f t="shared" si="20"/>
        <v>0</v>
      </c>
      <c r="BA22" s="1721">
        <f t="shared" si="21"/>
        <v>0</v>
      </c>
      <c r="BB22" s="1719">
        <f t="shared" si="22"/>
        <v>0</v>
      </c>
      <c r="BC22" s="1719">
        <f t="shared" si="23"/>
        <v>0</v>
      </c>
      <c r="BD22" s="1719">
        <f t="shared" si="24"/>
        <v>0</v>
      </c>
      <c r="BE22" s="1719">
        <f t="shared" si="25"/>
        <v>0</v>
      </c>
      <c r="BF22" s="1719">
        <f t="shared" si="26"/>
        <v>0</v>
      </c>
      <c r="BG22" s="1719">
        <f t="shared" si="27"/>
        <v>0</v>
      </c>
      <c r="BH22" s="1719">
        <f t="shared" si="28"/>
        <v>0</v>
      </c>
      <c r="BJ22" s="1722">
        <f t="shared" si="29"/>
        <v>0</v>
      </c>
      <c r="BK22" s="1723">
        <f>(AR22*Pricing!F$3+AS22*Pricing!G$3+AT22*Pricing!H$3+AU22*Pricing!I$3+AV22*Pricing!J$3+AW22*Pricing!K$3+AH22*Pricing!F$3+AI22*Pricing!G$3+AJ22*Pricing!H$3+AK22*Pricing!I$3+AL22*Pricing!J$3+AM22*Pricing!K$3)*IF(T$39="N",(1+V$39),1)</f>
        <v>0</v>
      </c>
      <c r="BL22" s="1723">
        <f t="shared" si="30"/>
        <v>0</v>
      </c>
      <c r="BM22" s="1723">
        <f t="shared" si="31"/>
        <v>0</v>
      </c>
      <c r="BN22" s="1723">
        <f t="shared" si="32"/>
        <v>0</v>
      </c>
      <c r="BO22" s="1723">
        <f t="shared" si="33"/>
        <v>0</v>
      </c>
      <c r="BP22" s="1723">
        <f t="shared" si="34"/>
        <v>0</v>
      </c>
      <c r="BQ22" s="1723">
        <f t="shared" si="35"/>
        <v>0</v>
      </c>
      <c r="BR22" s="1724"/>
      <c r="BS22" s="1725">
        <f>IF(SUM(BF$36:BG$36)=0,0,(BQ$36-W$58-N$64-W55-(L$79*0.15))/SUM(BF$36:BG$36)*BG22+BN22)</f>
        <v>0</v>
      </c>
      <c r="BT22" s="1723">
        <f>(AH22*Pricing!F$3+AI22*Pricing!G$3+AJ22*Pricing!H$3+AK22*Pricing!I$3+AL22*Pricing!J$3+AM22*Pricing!K$3)*IF(T$39="N",(1+V$39),1)</f>
        <v>0</v>
      </c>
      <c r="BU22" s="1723">
        <f t="shared" si="36"/>
        <v>0</v>
      </c>
      <c r="BV22" s="1723">
        <f t="shared" si="37"/>
        <v>0</v>
      </c>
      <c r="BW22" s="1724">
        <f t="shared" si="38"/>
        <v>0</v>
      </c>
      <c r="DB22" s="1726">
        <f t="shared" si="39"/>
        <v>0</v>
      </c>
      <c r="DC22" s="1723" t="e">
        <f t="shared" si="40"/>
        <v>#DIV/0!</v>
      </c>
      <c r="DD22" s="172">
        <f t="shared" si="41"/>
        <v>0</v>
      </c>
      <c r="DE22" s="847">
        <f t="shared" si="42"/>
        <v>0</v>
      </c>
      <c r="DF22" s="334">
        <f t="shared" si="43"/>
        <v>0</v>
      </c>
      <c r="DG22" s="847">
        <f t="shared" si="44"/>
        <v>0</v>
      </c>
      <c r="DH22" s="847">
        <f t="shared" si="45"/>
        <v>0</v>
      </c>
      <c r="DI22" s="847">
        <f t="shared" si="46"/>
        <v>0</v>
      </c>
      <c r="DJ22" s="1727">
        <f t="shared" si="47"/>
        <v>0</v>
      </c>
    </row>
    <row r="23" spans="1:114" s="1254" customFormat="1" ht="15.45">
      <c r="A23" s="482"/>
      <c r="B23" s="1177"/>
      <c r="C23" s="1710"/>
      <c r="D23" s="1711"/>
      <c r="E23" s="1712"/>
      <c r="F23" s="1108"/>
      <c r="G23" s="1109"/>
      <c r="H23" s="1110"/>
      <c r="I23" s="1108"/>
      <c r="J23" s="1109"/>
      <c r="K23" s="1110"/>
      <c r="L23" s="1108"/>
      <c r="M23" s="1108"/>
      <c r="N23" s="1713"/>
      <c r="O23" s="1108"/>
      <c r="P23" s="1108"/>
      <c r="Q23" s="1111"/>
      <c r="R23" s="1714"/>
      <c r="S23" s="1715"/>
      <c r="T23" s="77"/>
      <c r="U23" s="839"/>
      <c r="V23" s="1716">
        <f t="shared" si="0"/>
        <v>0</v>
      </c>
      <c r="W23" s="1717">
        <f t="shared" si="1"/>
        <v>0</v>
      </c>
      <c r="AH23" s="1720">
        <f t="shared" si="2"/>
        <v>0</v>
      </c>
      <c r="AI23" s="1719">
        <f t="shared" si="3"/>
        <v>0</v>
      </c>
      <c r="AJ23" s="1719">
        <f t="shared" si="4"/>
        <v>0</v>
      </c>
      <c r="AK23" s="1719">
        <f t="shared" si="5"/>
        <v>0</v>
      </c>
      <c r="AL23" s="1719">
        <f t="shared" si="6"/>
        <v>0</v>
      </c>
      <c r="AM23" s="1719">
        <f t="shared" si="7"/>
        <v>0</v>
      </c>
      <c r="AN23" s="1719">
        <f t="shared" si="8"/>
        <v>0</v>
      </c>
      <c r="AO23" s="1719">
        <f t="shared" si="9"/>
        <v>0</v>
      </c>
      <c r="AP23" s="1719">
        <f t="shared" si="10"/>
        <v>0</v>
      </c>
      <c r="AQ23" s="1719">
        <f t="shared" si="11"/>
        <v>0</v>
      </c>
      <c r="AR23" s="1720">
        <f t="shared" si="12"/>
        <v>0</v>
      </c>
      <c r="AS23" s="1719">
        <f t="shared" si="13"/>
        <v>0</v>
      </c>
      <c r="AT23" s="1719">
        <f t="shared" si="14"/>
        <v>0</v>
      </c>
      <c r="AU23" s="1719">
        <f t="shared" si="15"/>
        <v>0</v>
      </c>
      <c r="AV23" s="1719">
        <f t="shared" si="16"/>
        <v>0</v>
      </c>
      <c r="AW23" s="1719">
        <f t="shared" si="17"/>
        <v>0</v>
      </c>
      <c r="AX23" s="1719">
        <f t="shared" si="18"/>
        <v>0</v>
      </c>
      <c r="AY23" s="1719">
        <f t="shared" si="19"/>
        <v>0</v>
      </c>
      <c r="AZ23" s="1719">
        <f t="shared" si="20"/>
        <v>0</v>
      </c>
      <c r="BA23" s="1721">
        <f t="shared" si="21"/>
        <v>0</v>
      </c>
      <c r="BB23" s="1719">
        <f t="shared" si="22"/>
        <v>0</v>
      </c>
      <c r="BC23" s="1719">
        <f t="shared" si="23"/>
        <v>0</v>
      </c>
      <c r="BD23" s="1719">
        <f t="shared" si="24"/>
        <v>0</v>
      </c>
      <c r="BE23" s="1719">
        <f t="shared" si="25"/>
        <v>0</v>
      </c>
      <c r="BF23" s="1719">
        <f t="shared" si="26"/>
        <v>0</v>
      </c>
      <c r="BG23" s="1719">
        <f t="shared" si="27"/>
        <v>0</v>
      </c>
      <c r="BH23" s="1719">
        <f t="shared" si="28"/>
        <v>0</v>
      </c>
      <c r="BJ23" s="1722">
        <f t="shared" si="29"/>
        <v>0</v>
      </c>
      <c r="BK23" s="1723">
        <f>(AR23*Pricing!F$3+AS23*Pricing!G$3+AT23*Pricing!H$3+AU23*Pricing!I$3+AV23*Pricing!J$3+AW23*Pricing!K$3+AH23*Pricing!F$3+AI23*Pricing!G$3+AJ23*Pricing!H$3+AK23*Pricing!I$3+AL23*Pricing!J$3+AM23*Pricing!K$3)*IF(T$39="N",(1+V$39),1)</f>
        <v>0</v>
      </c>
      <c r="BL23" s="1723">
        <f t="shared" si="30"/>
        <v>0</v>
      </c>
      <c r="BM23" s="1723">
        <f t="shared" si="31"/>
        <v>0</v>
      </c>
      <c r="BN23" s="1723">
        <f t="shared" si="32"/>
        <v>0</v>
      </c>
      <c r="BO23" s="1723">
        <f t="shared" si="33"/>
        <v>0</v>
      </c>
      <c r="BP23" s="1723">
        <f t="shared" si="34"/>
        <v>0</v>
      </c>
      <c r="BQ23" s="1723">
        <f t="shared" si="35"/>
        <v>0</v>
      </c>
      <c r="BR23" s="1724"/>
      <c r="BS23" s="1725">
        <f>IF(SUM(BF$36:BG$36)=0,0,(BQ$36-W$58-N$64-W74-(L$79*0.15))/SUM(BF$36:BG$36)*BG23+BN23)</f>
        <v>0</v>
      </c>
      <c r="BT23" s="1723">
        <f>(AH23*Pricing!F$3+AI23*Pricing!G$3+AJ23*Pricing!H$3+AK23*Pricing!I$3+AL23*Pricing!J$3+AM23*Pricing!K$3)*IF(T$39="N",(1+V$39),1)</f>
        <v>0</v>
      </c>
      <c r="BU23" s="1723">
        <f t="shared" si="36"/>
        <v>0</v>
      </c>
      <c r="BV23" s="1723">
        <f t="shared" si="37"/>
        <v>0</v>
      </c>
      <c r="BW23" s="1724">
        <f t="shared" si="38"/>
        <v>0</v>
      </c>
      <c r="DB23" s="1726">
        <f t="shared" si="39"/>
        <v>0</v>
      </c>
      <c r="DC23" s="1723" t="e">
        <f t="shared" si="40"/>
        <v>#DIV/0!</v>
      </c>
      <c r="DD23" s="172">
        <f t="shared" si="41"/>
        <v>0</v>
      </c>
      <c r="DE23" s="847">
        <f t="shared" si="42"/>
        <v>0</v>
      </c>
      <c r="DF23" s="334">
        <f t="shared" si="43"/>
        <v>0</v>
      </c>
      <c r="DG23" s="847">
        <f t="shared" si="44"/>
        <v>0</v>
      </c>
      <c r="DH23" s="847">
        <f t="shared" si="45"/>
        <v>0</v>
      </c>
      <c r="DI23" s="847">
        <f t="shared" si="46"/>
        <v>0</v>
      </c>
      <c r="DJ23" s="1727">
        <f t="shared" si="47"/>
        <v>0</v>
      </c>
    </row>
    <row r="24" spans="1:114" s="1254" customFormat="1" ht="15.45">
      <c r="A24" s="482"/>
      <c r="B24" s="1177"/>
      <c r="C24" s="1710"/>
      <c r="D24" s="1711"/>
      <c r="E24" s="1712"/>
      <c r="F24" s="1108"/>
      <c r="G24" s="1109"/>
      <c r="H24" s="1110"/>
      <c r="I24" s="1108"/>
      <c r="J24" s="1109"/>
      <c r="K24" s="1110"/>
      <c r="L24" s="1108"/>
      <c r="M24" s="1108"/>
      <c r="N24" s="1713"/>
      <c r="O24" s="1108"/>
      <c r="P24" s="1108"/>
      <c r="Q24" s="1111"/>
      <c r="R24" s="1714"/>
      <c r="S24" s="1715"/>
      <c r="T24" s="77"/>
      <c r="U24" s="839"/>
      <c r="V24" s="1716">
        <f t="shared" si="0"/>
        <v>0</v>
      </c>
      <c r="W24" s="1717">
        <f t="shared" si="1"/>
        <v>0</v>
      </c>
      <c r="AH24" s="1720">
        <f t="shared" si="2"/>
        <v>0</v>
      </c>
      <c r="AI24" s="1719">
        <f t="shared" si="3"/>
        <v>0</v>
      </c>
      <c r="AJ24" s="1719">
        <f t="shared" si="4"/>
        <v>0</v>
      </c>
      <c r="AK24" s="1719">
        <f t="shared" si="5"/>
        <v>0</v>
      </c>
      <c r="AL24" s="1719">
        <f t="shared" si="6"/>
        <v>0</v>
      </c>
      <c r="AM24" s="1719">
        <f t="shared" si="7"/>
        <v>0</v>
      </c>
      <c r="AN24" s="1719">
        <f t="shared" si="8"/>
        <v>0</v>
      </c>
      <c r="AO24" s="1719">
        <f t="shared" si="9"/>
        <v>0</v>
      </c>
      <c r="AP24" s="1719">
        <f t="shared" si="10"/>
        <v>0</v>
      </c>
      <c r="AQ24" s="1719">
        <f t="shared" si="11"/>
        <v>0</v>
      </c>
      <c r="AR24" s="1720">
        <f t="shared" si="12"/>
        <v>0</v>
      </c>
      <c r="AS24" s="1719">
        <f t="shared" si="13"/>
        <v>0</v>
      </c>
      <c r="AT24" s="1719">
        <f t="shared" si="14"/>
        <v>0</v>
      </c>
      <c r="AU24" s="1719">
        <f t="shared" si="15"/>
        <v>0</v>
      </c>
      <c r="AV24" s="1719">
        <f t="shared" si="16"/>
        <v>0</v>
      </c>
      <c r="AW24" s="1719">
        <f t="shared" si="17"/>
        <v>0</v>
      </c>
      <c r="AX24" s="1719">
        <f t="shared" si="18"/>
        <v>0</v>
      </c>
      <c r="AY24" s="1719">
        <f t="shared" si="19"/>
        <v>0</v>
      </c>
      <c r="AZ24" s="1719">
        <f t="shared" si="20"/>
        <v>0</v>
      </c>
      <c r="BA24" s="1721">
        <f t="shared" si="21"/>
        <v>0</v>
      </c>
      <c r="BB24" s="1719">
        <f t="shared" si="22"/>
        <v>0</v>
      </c>
      <c r="BC24" s="1719">
        <f t="shared" si="23"/>
        <v>0</v>
      </c>
      <c r="BD24" s="1719">
        <f t="shared" si="24"/>
        <v>0</v>
      </c>
      <c r="BE24" s="1719">
        <f t="shared" si="25"/>
        <v>0</v>
      </c>
      <c r="BF24" s="1719">
        <f t="shared" si="26"/>
        <v>0</v>
      </c>
      <c r="BG24" s="1719">
        <f t="shared" si="27"/>
        <v>0</v>
      </c>
      <c r="BH24" s="1719">
        <f t="shared" si="28"/>
        <v>0</v>
      </c>
      <c r="BJ24" s="1722">
        <f t="shared" si="29"/>
        <v>0</v>
      </c>
      <c r="BK24" s="1723">
        <f>(AR24*Pricing!F$3+AS24*Pricing!G$3+AT24*Pricing!H$3+AU24*Pricing!I$3+AV24*Pricing!J$3+AW24*Pricing!K$3+AH24*Pricing!F$3+AI24*Pricing!G$3+AJ24*Pricing!H$3+AK24*Pricing!I$3+AL24*Pricing!J$3+AM24*Pricing!K$3)*IF(T$39="N",(1+V$39),1)</f>
        <v>0</v>
      </c>
      <c r="BL24" s="1723">
        <f t="shared" si="30"/>
        <v>0</v>
      </c>
      <c r="BM24" s="1723">
        <f t="shared" si="31"/>
        <v>0</v>
      </c>
      <c r="BN24" s="1723">
        <f t="shared" si="32"/>
        <v>0</v>
      </c>
      <c r="BO24" s="1723">
        <f t="shared" si="33"/>
        <v>0</v>
      </c>
      <c r="BP24" s="1723">
        <f t="shared" si="34"/>
        <v>0</v>
      </c>
      <c r="BQ24" s="1723">
        <f t="shared" si="35"/>
        <v>0</v>
      </c>
      <c r="BR24" s="1724"/>
      <c r="BS24" s="1725">
        <f>IF(SUM(BF$36:BG$36)=0,0,(BQ$36-W$58-N$64-W76-(L$79*0.15))/SUM(BF$36:BG$36)*BG24+BN24)</f>
        <v>0</v>
      </c>
      <c r="BT24" s="1723">
        <f>(AH24*Pricing!F$3+AI24*Pricing!G$3+AJ24*Pricing!H$3+AK24*Pricing!I$3+AL24*Pricing!J$3+AM24*Pricing!K$3)*IF(T$39="N",(1+V$39),1)</f>
        <v>0</v>
      </c>
      <c r="BU24" s="1723">
        <f t="shared" si="36"/>
        <v>0</v>
      </c>
      <c r="BV24" s="1723">
        <f t="shared" si="37"/>
        <v>0</v>
      </c>
      <c r="BW24" s="1724">
        <f t="shared" si="38"/>
        <v>0</v>
      </c>
      <c r="DB24" s="1726">
        <f t="shared" si="39"/>
        <v>0</v>
      </c>
      <c r="DC24" s="1723" t="e">
        <f t="shared" si="40"/>
        <v>#DIV/0!</v>
      </c>
      <c r="DD24" s="172">
        <f t="shared" si="41"/>
        <v>0</v>
      </c>
      <c r="DE24" s="847">
        <f t="shared" si="42"/>
        <v>0</v>
      </c>
      <c r="DF24" s="334">
        <f t="shared" si="43"/>
        <v>0</v>
      </c>
      <c r="DG24" s="847">
        <f t="shared" si="44"/>
        <v>0</v>
      </c>
      <c r="DH24" s="847">
        <f t="shared" si="45"/>
        <v>0</v>
      </c>
      <c r="DI24" s="847">
        <f t="shared" si="46"/>
        <v>0</v>
      </c>
      <c r="DJ24" s="1727">
        <f t="shared" si="47"/>
        <v>0</v>
      </c>
    </row>
    <row r="25" spans="1:114" s="1254" customFormat="1" ht="15.45">
      <c r="A25" s="482"/>
      <c r="B25" s="1177"/>
      <c r="C25" s="1710"/>
      <c r="D25" s="1711"/>
      <c r="E25" s="1712"/>
      <c r="F25" s="1108"/>
      <c r="G25" s="1109"/>
      <c r="H25" s="1110"/>
      <c r="I25" s="1108"/>
      <c r="J25" s="1109"/>
      <c r="K25" s="1110"/>
      <c r="L25" s="1108"/>
      <c r="M25" s="1108"/>
      <c r="N25" s="1713"/>
      <c r="O25" s="1108"/>
      <c r="P25" s="1108"/>
      <c r="Q25" s="1111"/>
      <c r="R25" s="1714"/>
      <c r="S25" s="1715"/>
      <c r="T25" s="77"/>
      <c r="U25" s="839"/>
      <c r="V25" s="1716">
        <f t="shared" si="0"/>
        <v>0</v>
      </c>
      <c r="W25" s="1717">
        <f t="shared" si="1"/>
        <v>0</v>
      </c>
      <c r="AH25" s="1720">
        <f t="shared" si="2"/>
        <v>0</v>
      </c>
      <c r="AI25" s="1719">
        <f t="shared" si="3"/>
        <v>0</v>
      </c>
      <c r="AJ25" s="1719">
        <f t="shared" si="4"/>
        <v>0</v>
      </c>
      <c r="AK25" s="1719">
        <f t="shared" si="5"/>
        <v>0</v>
      </c>
      <c r="AL25" s="1719">
        <f t="shared" si="6"/>
        <v>0</v>
      </c>
      <c r="AM25" s="1719">
        <f t="shared" si="7"/>
        <v>0</v>
      </c>
      <c r="AN25" s="1719">
        <f t="shared" si="8"/>
        <v>0</v>
      </c>
      <c r="AO25" s="1719">
        <f t="shared" si="9"/>
        <v>0</v>
      </c>
      <c r="AP25" s="1719">
        <f t="shared" si="10"/>
        <v>0</v>
      </c>
      <c r="AQ25" s="1719">
        <f t="shared" si="11"/>
        <v>0</v>
      </c>
      <c r="AR25" s="1720">
        <f t="shared" si="12"/>
        <v>0</v>
      </c>
      <c r="AS25" s="1719">
        <f t="shared" si="13"/>
        <v>0</v>
      </c>
      <c r="AT25" s="1719">
        <f t="shared" si="14"/>
        <v>0</v>
      </c>
      <c r="AU25" s="1719">
        <f t="shared" si="15"/>
        <v>0</v>
      </c>
      <c r="AV25" s="1719">
        <f t="shared" si="16"/>
        <v>0</v>
      </c>
      <c r="AW25" s="1719">
        <f t="shared" si="17"/>
        <v>0</v>
      </c>
      <c r="AX25" s="1719">
        <f t="shared" si="18"/>
        <v>0</v>
      </c>
      <c r="AY25" s="1719">
        <f t="shared" si="19"/>
        <v>0</v>
      </c>
      <c r="AZ25" s="1719">
        <f t="shared" si="20"/>
        <v>0</v>
      </c>
      <c r="BA25" s="1721">
        <f t="shared" si="21"/>
        <v>0</v>
      </c>
      <c r="BB25" s="1719">
        <f t="shared" si="22"/>
        <v>0</v>
      </c>
      <c r="BC25" s="1719">
        <f t="shared" si="23"/>
        <v>0</v>
      </c>
      <c r="BD25" s="1719">
        <f t="shared" si="24"/>
        <v>0</v>
      </c>
      <c r="BE25" s="1719">
        <f t="shared" si="25"/>
        <v>0</v>
      </c>
      <c r="BF25" s="1719">
        <f t="shared" si="26"/>
        <v>0</v>
      </c>
      <c r="BG25" s="1719">
        <f t="shared" si="27"/>
        <v>0</v>
      </c>
      <c r="BH25" s="1719">
        <f t="shared" si="28"/>
        <v>0</v>
      </c>
      <c r="BJ25" s="1722">
        <f t="shared" si="29"/>
        <v>0</v>
      </c>
      <c r="BK25" s="1723">
        <f>(AR25*Pricing!F$3+AS25*Pricing!G$3+AT25*Pricing!H$3+AU25*Pricing!I$3+AV25*Pricing!J$3+AW25*Pricing!K$3+AH25*Pricing!F$3+AI25*Pricing!G$3+AJ25*Pricing!H$3+AK25*Pricing!I$3+AL25*Pricing!J$3+AM25*Pricing!K$3)*IF(T$39="N",(1+V$39),1)</f>
        <v>0</v>
      </c>
      <c r="BL25" s="1723">
        <f t="shared" si="30"/>
        <v>0</v>
      </c>
      <c r="BM25" s="1723">
        <f t="shared" si="31"/>
        <v>0</v>
      </c>
      <c r="BN25" s="1723">
        <f t="shared" si="32"/>
        <v>0</v>
      </c>
      <c r="BO25" s="1723">
        <f t="shared" si="33"/>
        <v>0</v>
      </c>
      <c r="BP25" s="1723">
        <f t="shared" si="34"/>
        <v>0</v>
      </c>
      <c r="BQ25" s="1723">
        <f t="shared" si="35"/>
        <v>0</v>
      </c>
      <c r="BR25" s="1724"/>
      <c r="BS25" s="1725">
        <f>IF(SUM(BF$36:BG$36)=0,0,(BQ$36-W$58-N$64-W63-(L$79*0.15))/SUM(BF$36:BG$36)*BG25+BN25)</f>
        <v>0</v>
      </c>
      <c r="BT25" s="1723">
        <f>(AH25*Pricing!F$3+AI25*Pricing!G$3+AJ25*Pricing!H$3+AK25*Pricing!I$3+AL25*Pricing!J$3+AM25*Pricing!K$3)*IF(T$39="N",(1+V$39),1)</f>
        <v>0</v>
      </c>
      <c r="BU25" s="1723">
        <f t="shared" si="36"/>
        <v>0</v>
      </c>
      <c r="BV25" s="1723">
        <f t="shared" si="37"/>
        <v>0</v>
      </c>
      <c r="BW25" s="1724">
        <f t="shared" si="38"/>
        <v>0</v>
      </c>
      <c r="DB25" s="1726">
        <f t="shared" si="39"/>
        <v>0</v>
      </c>
      <c r="DC25" s="1723" t="e">
        <f t="shared" si="40"/>
        <v>#DIV/0!</v>
      </c>
      <c r="DD25" s="172">
        <f t="shared" si="41"/>
        <v>0</v>
      </c>
      <c r="DE25" s="847">
        <f t="shared" si="42"/>
        <v>0</v>
      </c>
      <c r="DF25" s="334">
        <f t="shared" si="43"/>
        <v>0</v>
      </c>
      <c r="DG25" s="847">
        <f t="shared" si="44"/>
        <v>0</v>
      </c>
      <c r="DH25" s="847">
        <f t="shared" si="45"/>
        <v>0</v>
      </c>
      <c r="DI25" s="847">
        <f t="shared" si="46"/>
        <v>0</v>
      </c>
      <c r="DJ25" s="1727">
        <f t="shared" si="47"/>
        <v>0</v>
      </c>
    </row>
    <row r="26" spans="1:114" s="1254" customFormat="1" ht="15.45">
      <c r="A26" s="482"/>
      <c r="B26" s="1177"/>
      <c r="C26" s="1710"/>
      <c r="D26" s="1711"/>
      <c r="E26" s="1712"/>
      <c r="F26" s="1108"/>
      <c r="G26" s="1109"/>
      <c r="H26" s="1110"/>
      <c r="I26" s="1108"/>
      <c r="J26" s="1109"/>
      <c r="K26" s="1110"/>
      <c r="L26" s="1108"/>
      <c r="M26" s="1108"/>
      <c r="N26" s="1713"/>
      <c r="O26" s="1108"/>
      <c r="P26" s="1108"/>
      <c r="Q26" s="1111"/>
      <c r="R26" s="1714"/>
      <c r="S26" s="1715"/>
      <c r="T26" s="77"/>
      <c r="U26" s="839"/>
      <c r="V26" s="1716">
        <f t="shared" si="0"/>
        <v>0</v>
      </c>
      <c r="W26" s="1717">
        <f t="shared" si="1"/>
        <v>0</v>
      </c>
      <c r="AH26" s="1720">
        <f t="shared" si="2"/>
        <v>0</v>
      </c>
      <c r="AI26" s="1719">
        <f t="shared" si="3"/>
        <v>0</v>
      </c>
      <c r="AJ26" s="1719">
        <f t="shared" si="4"/>
        <v>0</v>
      </c>
      <c r="AK26" s="1719">
        <f t="shared" si="5"/>
        <v>0</v>
      </c>
      <c r="AL26" s="1719">
        <f t="shared" si="6"/>
        <v>0</v>
      </c>
      <c r="AM26" s="1719">
        <f t="shared" si="7"/>
        <v>0</v>
      </c>
      <c r="AN26" s="1719">
        <f t="shared" si="8"/>
        <v>0</v>
      </c>
      <c r="AO26" s="1719">
        <f t="shared" si="9"/>
        <v>0</v>
      </c>
      <c r="AP26" s="1719">
        <f t="shared" si="10"/>
        <v>0</v>
      </c>
      <c r="AQ26" s="1719">
        <f t="shared" si="11"/>
        <v>0</v>
      </c>
      <c r="AR26" s="1720">
        <f t="shared" si="12"/>
        <v>0</v>
      </c>
      <c r="AS26" s="1719">
        <f t="shared" si="13"/>
        <v>0</v>
      </c>
      <c r="AT26" s="1719">
        <f t="shared" si="14"/>
        <v>0</v>
      </c>
      <c r="AU26" s="1719">
        <f t="shared" si="15"/>
        <v>0</v>
      </c>
      <c r="AV26" s="1719">
        <f t="shared" si="16"/>
        <v>0</v>
      </c>
      <c r="AW26" s="1719">
        <f t="shared" si="17"/>
        <v>0</v>
      </c>
      <c r="AX26" s="1719">
        <f t="shared" si="18"/>
        <v>0</v>
      </c>
      <c r="AY26" s="1719">
        <f t="shared" si="19"/>
        <v>0</v>
      </c>
      <c r="AZ26" s="1719">
        <f t="shared" si="20"/>
        <v>0</v>
      </c>
      <c r="BA26" s="1721">
        <f t="shared" si="21"/>
        <v>0</v>
      </c>
      <c r="BB26" s="1719">
        <f t="shared" si="22"/>
        <v>0</v>
      </c>
      <c r="BC26" s="1719">
        <f t="shared" si="23"/>
        <v>0</v>
      </c>
      <c r="BD26" s="1719">
        <f t="shared" si="24"/>
        <v>0</v>
      </c>
      <c r="BE26" s="1719">
        <f t="shared" si="25"/>
        <v>0</v>
      </c>
      <c r="BF26" s="1719">
        <f t="shared" si="26"/>
        <v>0</v>
      </c>
      <c r="BG26" s="1719">
        <f t="shared" si="27"/>
        <v>0</v>
      </c>
      <c r="BH26" s="1719">
        <f t="shared" si="28"/>
        <v>0</v>
      </c>
      <c r="BJ26" s="1722">
        <f t="shared" si="29"/>
        <v>0</v>
      </c>
      <c r="BK26" s="1723">
        <f>(AR26*Pricing!F$3+AS26*Pricing!G$3+AT26*Pricing!H$3+AU26*Pricing!I$3+AV26*Pricing!J$3+AW26*Pricing!K$3+AH26*Pricing!F$3+AI26*Pricing!G$3+AJ26*Pricing!H$3+AK26*Pricing!I$3+AL26*Pricing!J$3+AM26*Pricing!K$3)*IF(T$39="N",(1+V$39),1)</f>
        <v>0</v>
      </c>
      <c r="BL26" s="1723">
        <f t="shared" si="30"/>
        <v>0</v>
      </c>
      <c r="BM26" s="1723">
        <f t="shared" si="31"/>
        <v>0</v>
      </c>
      <c r="BN26" s="1723">
        <f t="shared" si="32"/>
        <v>0</v>
      </c>
      <c r="BO26" s="1723">
        <f t="shared" si="33"/>
        <v>0</v>
      </c>
      <c r="BP26" s="1723">
        <f t="shared" si="34"/>
        <v>0</v>
      </c>
      <c r="BQ26" s="1723">
        <f t="shared" si="35"/>
        <v>0</v>
      </c>
      <c r="BR26" s="1724"/>
      <c r="BS26" s="1725">
        <f>IF(SUM(BF$36:BG$36)=0,0,(BQ$36-W$58-N$64-W57-(L$79*0.15))/SUM(BF$36:BG$36)*BG26+BN26)</f>
        <v>0</v>
      </c>
      <c r="BT26" s="1723">
        <f>(AH26*Pricing!F$3+AI26*Pricing!G$3+AJ26*Pricing!H$3+AK26*Pricing!I$3+AL26*Pricing!J$3+AM26*Pricing!K$3)*IF(T$39="N",(1+V$39),1)</f>
        <v>0</v>
      </c>
      <c r="BU26" s="1723">
        <f t="shared" si="36"/>
        <v>0</v>
      </c>
      <c r="BV26" s="1723">
        <f t="shared" si="37"/>
        <v>0</v>
      </c>
      <c r="BW26" s="1724">
        <f t="shared" si="38"/>
        <v>0</v>
      </c>
      <c r="DB26" s="1726">
        <f t="shared" si="39"/>
        <v>0</v>
      </c>
      <c r="DC26" s="1723" t="e">
        <f t="shared" si="40"/>
        <v>#DIV/0!</v>
      </c>
      <c r="DD26" s="172">
        <f t="shared" si="41"/>
        <v>0</v>
      </c>
      <c r="DE26" s="847">
        <f t="shared" si="42"/>
        <v>0</v>
      </c>
      <c r="DF26" s="334">
        <f t="shared" si="43"/>
        <v>0</v>
      </c>
      <c r="DG26" s="847">
        <f t="shared" si="44"/>
        <v>0</v>
      </c>
      <c r="DH26" s="847">
        <f t="shared" si="45"/>
        <v>0</v>
      </c>
      <c r="DI26" s="847">
        <f t="shared" si="46"/>
        <v>0</v>
      </c>
      <c r="DJ26" s="1727">
        <f t="shared" si="47"/>
        <v>0</v>
      </c>
    </row>
    <row r="27" spans="1:114" s="1254" customFormat="1" ht="15.45">
      <c r="A27" s="482"/>
      <c r="B27" s="1177"/>
      <c r="C27" s="1710"/>
      <c r="D27" s="1711"/>
      <c r="E27" s="1712"/>
      <c r="F27" s="1108"/>
      <c r="G27" s="1109"/>
      <c r="H27" s="1110"/>
      <c r="I27" s="1108"/>
      <c r="J27" s="1109"/>
      <c r="K27" s="1110"/>
      <c r="L27" s="1108"/>
      <c r="M27" s="1108"/>
      <c r="N27" s="1713"/>
      <c r="O27" s="1108"/>
      <c r="P27" s="1108"/>
      <c r="Q27" s="1111"/>
      <c r="R27" s="1714"/>
      <c r="S27" s="1715"/>
      <c r="T27" s="77"/>
      <c r="U27" s="839"/>
      <c r="V27" s="1716">
        <f t="shared" si="0"/>
        <v>0</v>
      </c>
      <c r="W27" s="1717">
        <f t="shared" si="1"/>
        <v>0</v>
      </c>
      <c r="AH27" s="1720">
        <f t="shared" si="2"/>
        <v>0</v>
      </c>
      <c r="AI27" s="1719">
        <f t="shared" si="3"/>
        <v>0</v>
      </c>
      <c r="AJ27" s="1719">
        <f t="shared" si="4"/>
        <v>0</v>
      </c>
      <c r="AK27" s="1719">
        <f t="shared" si="5"/>
        <v>0</v>
      </c>
      <c r="AL27" s="1719">
        <f t="shared" si="6"/>
        <v>0</v>
      </c>
      <c r="AM27" s="1719">
        <f t="shared" si="7"/>
        <v>0</v>
      </c>
      <c r="AN27" s="1719">
        <f t="shared" si="8"/>
        <v>0</v>
      </c>
      <c r="AO27" s="1719">
        <f t="shared" si="9"/>
        <v>0</v>
      </c>
      <c r="AP27" s="1719">
        <f t="shared" si="10"/>
        <v>0</v>
      </c>
      <c r="AQ27" s="1719">
        <f t="shared" si="11"/>
        <v>0</v>
      </c>
      <c r="AR27" s="1720">
        <f t="shared" si="12"/>
        <v>0</v>
      </c>
      <c r="AS27" s="1719">
        <f t="shared" si="13"/>
        <v>0</v>
      </c>
      <c r="AT27" s="1719">
        <f t="shared" si="14"/>
        <v>0</v>
      </c>
      <c r="AU27" s="1719">
        <f t="shared" si="15"/>
        <v>0</v>
      </c>
      <c r="AV27" s="1719">
        <f t="shared" si="16"/>
        <v>0</v>
      </c>
      <c r="AW27" s="1719">
        <f t="shared" si="17"/>
        <v>0</v>
      </c>
      <c r="AX27" s="1719">
        <f t="shared" si="18"/>
        <v>0</v>
      </c>
      <c r="AY27" s="1719">
        <f t="shared" si="19"/>
        <v>0</v>
      </c>
      <c r="AZ27" s="1719">
        <f t="shared" si="20"/>
        <v>0</v>
      </c>
      <c r="BA27" s="1721">
        <f t="shared" si="21"/>
        <v>0</v>
      </c>
      <c r="BB27" s="1719">
        <f t="shared" si="22"/>
        <v>0</v>
      </c>
      <c r="BC27" s="1719">
        <f t="shared" si="23"/>
        <v>0</v>
      </c>
      <c r="BD27" s="1719">
        <f t="shared" si="24"/>
        <v>0</v>
      </c>
      <c r="BE27" s="1719">
        <f t="shared" si="25"/>
        <v>0</v>
      </c>
      <c r="BF27" s="1719">
        <f t="shared" si="26"/>
        <v>0</v>
      </c>
      <c r="BG27" s="1719">
        <f t="shared" si="27"/>
        <v>0</v>
      </c>
      <c r="BH27" s="1719">
        <f t="shared" si="28"/>
        <v>0</v>
      </c>
      <c r="BJ27" s="1722">
        <f t="shared" si="29"/>
        <v>0</v>
      </c>
      <c r="BK27" s="1723">
        <f>(AR27*Pricing!F$3+AS27*Pricing!G$3+AT27*Pricing!H$3+AU27*Pricing!I$3+AV27*Pricing!J$3+AW27*Pricing!K$3+AH27*Pricing!F$3+AI27*Pricing!G$3+AJ27*Pricing!H$3+AK27*Pricing!I$3+AL27*Pricing!J$3+AM27*Pricing!K$3)*IF(T$39="N",(1+V$39),1)</f>
        <v>0</v>
      </c>
      <c r="BL27" s="1723">
        <f t="shared" si="30"/>
        <v>0</v>
      </c>
      <c r="BM27" s="1723">
        <f t="shared" si="31"/>
        <v>0</v>
      </c>
      <c r="BN27" s="1723">
        <f t="shared" si="32"/>
        <v>0</v>
      </c>
      <c r="BO27" s="1723">
        <f t="shared" si="33"/>
        <v>0</v>
      </c>
      <c r="BP27" s="1723">
        <f t="shared" si="34"/>
        <v>0</v>
      </c>
      <c r="BQ27" s="1723">
        <f t="shared" si="35"/>
        <v>0</v>
      </c>
      <c r="BR27" s="1724"/>
      <c r="BS27" s="1725">
        <f t="shared" ref="BS27:BS32" si="48">IF(SUM(BF$36:BG$36)=0,0,(BQ$36-W$58-N$64-W65-(L$79*0.15))/SUM(BF$36:BG$36)*BG27+BN27)</f>
        <v>0</v>
      </c>
      <c r="BT27" s="1723">
        <f>(AH27*Pricing!F$3+AI27*Pricing!G$3+AJ27*Pricing!H$3+AK27*Pricing!I$3+AL27*Pricing!J$3+AM27*Pricing!K$3)*IF(T$39="N",(1+V$39),1)</f>
        <v>0</v>
      </c>
      <c r="BU27" s="1723">
        <f t="shared" si="36"/>
        <v>0</v>
      </c>
      <c r="BV27" s="1723">
        <f t="shared" si="37"/>
        <v>0</v>
      </c>
      <c r="BW27" s="1724">
        <f t="shared" si="38"/>
        <v>0</v>
      </c>
      <c r="DB27" s="1726">
        <f t="shared" si="39"/>
        <v>0</v>
      </c>
      <c r="DC27" s="1723" t="e">
        <f t="shared" si="40"/>
        <v>#DIV/0!</v>
      </c>
      <c r="DD27" s="172">
        <f t="shared" si="41"/>
        <v>0</v>
      </c>
      <c r="DE27" s="847">
        <f t="shared" si="42"/>
        <v>0</v>
      </c>
      <c r="DF27" s="334">
        <f t="shared" si="43"/>
        <v>0</v>
      </c>
      <c r="DG27" s="847">
        <f t="shared" si="44"/>
        <v>0</v>
      </c>
      <c r="DH27" s="847">
        <f t="shared" si="45"/>
        <v>0</v>
      </c>
      <c r="DI27" s="847">
        <f t="shared" si="46"/>
        <v>0</v>
      </c>
      <c r="DJ27" s="1727">
        <f t="shared" si="47"/>
        <v>0</v>
      </c>
    </row>
    <row r="28" spans="1:114" s="1254" customFormat="1" ht="15.45">
      <c r="A28" s="482"/>
      <c r="B28" s="1177"/>
      <c r="C28" s="1710"/>
      <c r="D28" s="1711"/>
      <c r="E28" s="1712"/>
      <c r="F28" s="1108"/>
      <c r="G28" s="1109"/>
      <c r="H28" s="1110"/>
      <c r="I28" s="1108"/>
      <c r="J28" s="1109"/>
      <c r="K28" s="1110"/>
      <c r="L28" s="1108"/>
      <c r="M28" s="1108"/>
      <c r="N28" s="1713"/>
      <c r="O28" s="1108"/>
      <c r="P28" s="1108"/>
      <c r="Q28" s="1108"/>
      <c r="R28" s="1714"/>
      <c r="S28" s="1715"/>
      <c r="T28" s="77"/>
      <c r="U28" s="839"/>
      <c r="V28" s="1716">
        <f t="shared" si="0"/>
        <v>0</v>
      </c>
      <c r="W28" s="1717">
        <f t="shared" si="1"/>
        <v>0</v>
      </c>
      <c r="AH28" s="1720">
        <f t="shared" si="2"/>
        <v>0</v>
      </c>
      <c r="AI28" s="1719">
        <f t="shared" si="3"/>
        <v>0</v>
      </c>
      <c r="AJ28" s="1719">
        <f t="shared" si="4"/>
        <v>0</v>
      </c>
      <c r="AK28" s="1719">
        <f t="shared" si="5"/>
        <v>0</v>
      </c>
      <c r="AL28" s="1719">
        <f t="shared" si="6"/>
        <v>0</v>
      </c>
      <c r="AM28" s="1719">
        <f t="shared" si="7"/>
        <v>0</v>
      </c>
      <c r="AN28" s="1719">
        <f t="shared" si="8"/>
        <v>0</v>
      </c>
      <c r="AO28" s="1719">
        <f t="shared" si="9"/>
        <v>0</v>
      </c>
      <c r="AP28" s="1719">
        <f t="shared" si="10"/>
        <v>0</v>
      </c>
      <c r="AQ28" s="1719">
        <f t="shared" si="11"/>
        <v>0</v>
      </c>
      <c r="AR28" s="1720">
        <f t="shared" si="12"/>
        <v>0</v>
      </c>
      <c r="AS28" s="1719">
        <f t="shared" si="13"/>
        <v>0</v>
      </c>
      <c r="AT28" s="1719">
        <f t="shared" si="14"/>
        <v>0</v>
      </c>
      <c r="AU28" s="1719">
        <f t="shared" si="15"/>
        <v>0</v>
      </c>
      <c r="AV28" s="1719">
        <f t="shared" si="16"/>
        <v>0</v>
      </c>
      <c r="AW28" s="1719">
        <f t="shared" si="17"/>
        <v>0</v>
      </c>
      <c r="AX28" s="1719">
        <f t="shared" si="18"/>
        <v>0</v>
      </c>
      <c r="AY28" s="1719">
        <f t="shared" si="19"/>
        <v>0</v>
      </c>
      <c r="AZ28" s="1719">
        <f t="shared" si="20"/>
        <v>0</v>
      </c>
      <c r="BA28" s="1721">
        <f t="shared" si="21"/>
        <v>0</v>
      </c>
      <c r="BB28" s="1719">
        <f t="shared" si="22"/>
        <v>0</v>
      </c>
      <c r="BC28" s="1719">
        <f t="shared" si="23"/>
        <v>0</v>
      </c>
      <c r="BD28" s="1719">
        <f t="shared" si="24"/>
        <v>0</v>
      </c>
      <c r="BE28" s="1719">
        <f t="shared" si="25"/>
        <v>0</v>
      </c>
      <c r="BF28" s="1719">
        <f t="shared" si="26"/>
        <v>0</v>
      </c>
      <c r="BG28" s="1719">
        <f t="shared" si="27"/>
        <v>0</v>
      </c>
      <c r="BH28" s="1719">
        <f t="shared" si="28"/>
        <v>0</v>
      </c>
      <c r="BJ28" s="1722">
        <f t="shared" si="29"/>
        <v>0</v>
      </c>
      <c r="BK28" s="1723">
        <f>(AR28*Pricing!F$3+AS28*Pricing!G$3+AT28*Pricing!H$3+AU28*Pricing!I$3+AV28*Pricing!J$3+AW28*Pricing!K$3+AH28*Pricing!F$3+AI28*Pricing!G$3+AJ28*Pricing!H$3+AK28*Pricing!I$3+AL28*Pricing!J$3+AM28*Pricing!K$3)*IF(T$39="N",(1+V$39),1)</f>
        <v>0</v>
      </c>
      <c r="BL28" s="1723">
        <f t="shared" si="30"/>
        <v>0</v>
      </c>
      <c r="BM28" s="1723">
        <f t="shared" si="31"/>
        <v>0</v>
      </c>
      <c r="BN28" s="1723">
        <f t="shared" si="32"/>
        <v>0</v>
      </c>
      <c r="BO28" s="1723">
        <f t="shared" si="33"/>
        <v>0</v>
      </c>
      <c r="BP28" s="1723">
        <f t="shared" si="34"/>
        <v>0</v>
      </c>
      <c r="BQ28" s="1723">
        <f t="shared" si="35"/>
        <v>0</v>
      </c>
      <c r="BR28" s="1724"/>
      <c r="BS28" s="1725">
        <f t="shared" si="48"/>
        <v>0</v>
      </c>
      <c r="BT28" s="1723">
        <f>(AH28*Pricing!F$3+AI28*Pricing!G$3+AJ28*Pricing!H$3+AK28*Pricing!I$3+AL28*Pricing!J$3+AM28*Pricing!K$3)*IF(T$39="N",(1+V$39),1)</f>
        <v>0</v>
      </c>
      <c r="BU28" s="1723">
        <f t="shared" si="36"/>
        <v>0</v>
      </c>
      <c r="BV28" s="1723">
        <f t="shared" si="37"/>
        <v>0</v>
      </c>
      <c r="BW28" s="1724">
        <f t="shared" si="38"/>
        <v>0</v>
      </c>
      <c r="DB28" s="1726">
        <f t="shared" si="39"/>
        <v>0</v>
      </c>
      <c r="DC28" s="1723" t="e">
        <f t="shared" si="40"/>
        <v>#DIV/0!</v>
      </c>
      <c r="DD28" s="172">
        <f t="shared" si="41"/>
        <v>0</v>
      </c>
      <c r="DE28" s="847">
        <f t="shared" si="42"/>
        <v>0</v>
      </c>
      <c r="DF28" s="334">
        <f t="shared" si="43"/>
        <v>0</v>
      </c>
      <c r="DG28" s="847">
        <f t="shared" si="44"/>
        <v>0</v>
      </c>
      <c r="DH28" s="847">
        <f t="shared" si="45"/>
        <v>0</v>
      </c>
      <c r="DI28" s="847">
        <f t="shared" si="46"/>
        <v>0</v>
      </c>
      <c r="DJ28" s="1727">
        <f t="shared" si="47"/>
        <v>0</v>
      </c>
    </row>
    <row r="29" spans="1:114" s="1254" customFormat="1" ht="15.45">
      <c r="A29" s="482"/>
      <c r="B29" s="1177"/>
      <c r="C29" s="1710"/>
      <c r="D29" s="1711"/>
      <c r="E29" s="1712"/>
      <c r="F29" s="1108"/>
      <c r="G29" s="1109"/>
      <c r="H29" s="1110"/>
      <c r="I29" s="1108"/>
      <c r="J29" s="1109"/>
      <c r="K29" s="1110"/>
      <c r="L29" s="1108"/>
      <c r="M29" s="1108"/>
      <c r="N29" s="1713"/>
      <c r="O29" s="1108"/>
      <c r="P29" s="1108"/>
      <c r="Q29" s="1108"/>
      <c r="R29" s="1714"/>
      <c r="S29" s="1715"/>
      <c r="T29" s="77"/>
      <c r="U29" s="839"/>
      <c r="V29" s="1716">
        <f t="shared" si="0"/>
        <v>0</v>
      </c>
      <c r="W29" s="1717">
        <f t="shared" si="1"/>
        <v>0</v>
      </c>
      <c r="AH29" s="1720">
        <f t="shared" si="2"/>
        <v>0</v>
      </c>
      <c r="AI29" s="1719">
        <f t="shared" si="3"/>
        <v>0</v>
      </c>
      <c r="AJ29" s="1719">
        <f t="shared" si="4"/>
        <v>0</v>
      </c>
      <c r="AK29" s="1719">
        <f t="shared" si="5"/>
        <v>0</v>
      </c>
      <c r="AL29" s="1719">
        <f t="shared" si="6"/>
        <v>0</v>
      </c>
      <c r="AM29" s="1719">
        <f t="shared" si="7"/>
        <v>0</v>
      </c>
      <c r="AN29" s="1719">
        <f t="shared" si="8"/>
        <v>0</v>
      </c>
      <c r="AO29" s="1719">
        <f t="shared" si="9"/>
        <v>0</v>
      </c>
      <c r="AP29" s="1719">
        <f t="shared" si="10"/>
        <v>0</v>
      </c>
      <c r="AQ29" s="1719">
        <f t="shared" si="11"/>
        <v>0</v>
      </c>
      <c r="AR29" s="1720">
        <f t="shared" si="12"/>
        <v>0</v>
      </c>
      <c r="AS29" s="1719">
        <f t="shared" si="13"/>
        <v>0</v>
      </c>
      <c r="AT29" s="1719">
        <f t="shared" si="14"/>
        <v>0</v>
      </c>
      <c r="AU29" s="1719">
        <f t="shared" si="15"/>
        <v>0</v>
      </c>
      <c r="AV29" s="1719">
        <f t="shared" si="16"/>
        <v>0</v>
      </c>
      <c r="AW29" s="1719">
        <f t="shared" si="17"/>
        <v>0</v>
      </c>
      <c r="AX29" s="1719">
        <f t="shared" si="18"/>
        <v>0</v>
      </c>
      <c r="AY29" s="1719">
        <f t="shared" si="19"/>
        <v>0</v>
      </c>
      <c r="AZ29" s="1719">
        <f t="shared" si="20"/>
        <v>0</v>
      </c>
      <c r="BA29" s="1721">
        <f t="shared" si="21"/>
        <v>0</v>
      </c>
      <c r="BB29" s="1719">
        <f t="shared" si="22"/>
        <v>0</v>
      </c>
      <c r="BC29" s="1719">
        <f t="shared" si="23"/>
        <v>0</v>
      </c>
      <c r="BD29" s="1719">
        <f t="shared" si="24"/>
        <v>0</v>
      </c>
      <c r="BE29" s="1719">
        <f t="shared" si="25"/>
        <v>0</v>
      </c>
      <c r="BF29" s="1719">
        <f t="shared" si="26"/>
        <v>0</v>
      </c>
      <c r="BG29" s="1719">
        <f t="shared" si="27"/>
        <v>0</v>
      </c>
      <c r="BH29" s="1719">
        <f t="shared" si="28"/>
        <v>0</v>
      </c>
      <c r="BJ29" s="1722">
        <f t="shared" si="29"/>
        <v>0</v>
      </c>
      <c r="BK29" s="1723">
        <f>(AR29*Pricing!F$3+AS29*Pricing!G$3+AT29*Pricing!H$3+AU29*Pricing!I$3+AV29*Pricing!J$3+AW29*Pricing!K$3+AH29*Pricing!F$3+AI29*Pricing!G$3+AJ29*Pricing!H$3+AK29*Pricing!I$3+AL29*Pricing!J$3+AM29*Pricing!K$3)*IF(T$39="N",(1+V$39),1)</f>
        <v>0</v>
      </c>
      <c r="BL29" s="1723">
        <f t="shared" si="30"/>
        <v>0</v>
      </c>
      <c r="BM29" s="1723">
        <f t="shared" si="31"/>
        <v>0</v>
      </c>
      <c r="BN29" s="1723">
        <f t="shared" si="32"/>
        <v>0</v>
      </c>
      <c r="BO29" s="1723">
        <f t="shared" si="33"/>
        <v>0</v>
      </c>
      <c r="BP29" s="1723">
        <f t="shared" si="34"/>
        <v>0</v>
      </c>
      <c r="BQ29" s="1723">
        <f t="shared" si="35"/>
        <v>0</v>
      </c>
      <c r="BR29" s="1724"/>
      <c r="BS29" s="1725">
        <f t="shared" si="48"/>
        <v>0</v>
      </c>
      <c r="BT29" s="1723">
        <f>(AH29*Pricing!F$3+AI29*Pricing!G$3+AJ29*Pricing!H$3+AK29*Pricing!I$3+AL29*Pricing!J$3+AM29*Pricing!K$3)*IF(T$39="N",(1+V$39),1)</f>
        <v>0</v>
      </c>
      <c r="BU29" s="1723">
        <f t="shared" si="36"/>
        <v>0</v>
      </c>
      <c r="BV29" s="1723">
        <f t="shared" si="37"/>
        <v>0</v>
      </c>
      <c r="BW29" s="1724">
        <f t="shared" si="38"/>
        <v>0</v>
      </c>
      <c r="DB29" s="1726">
        <f t="shared" si="39"/>
        <v>0</v>
      </c>
      <c r="DC29" s="1723" t="e">
        <f t="shared" si="40"/>
        <v>#DIV/0!</v>
      </c>
      <c r="DD29" s="172">
        <f t="shared" si="41"/>
        <v>0</v>
      </c>
      <c r="DE29" s="847">
        <f t="shared" si="42"/>
        <v>0</v>
      </c>
      <c r="DF29" s="334">
        <f t="shared" si="43"/>
        <v>0</v>
      </c>
      <c r="DG29" s="847">
        <f t="shared" si="44"/>
        <v>0</v>
      </c>
      <c r="DH29" s="847">
        <f t="shared" si="45"/>
        <v>0</v>
      </c>
      <c r="DI29" s="847">
        <f t="shared" si="46"/>
        <v>0</v>
      </c>
      <c r="DJ29" s="1727">
        <f t="shared" si="47"/>
        <v>0</v>
      </c>
    </row>
    <row r="30" spans="1:114" s="1254" customFormat="1" ht="15.45">
      <c r="A30" s="482"/>
      <c r="B30" s="1177"/>
      <c r="C30" s="1710"/>
      <c r="D30" s="1711"/>
      <c r="E30" s="1712"/>
      <c r="F30" s="1108"/>
      <c r="G30" s="1109"/>
      <c r="H30" s="1110"/>
      <c r="I30" s="1108"/>
      <c r="J30" s="1109"/>
      <c r="K30" s="1110"/>
      <c r="L30" s="1108"/>
      <c r="M30" s="1108"/>
      <c r="N30" s="1713"/>
      <c r="O30" s="1108"/>
      <c r="P30" s="1108"/>
      <c r="Q30" s="1108"/>
      <c r="R30" s="1714"/>
      <c r="S30" s="1715"/>
      <c r="T30" s="77"/>
      <c r="U30" s="839"/>
      <c r="V30" s="1716">
        <f t="shared" si="0"/>
        <v>0</v>
      </c>
      <c r="W30" s="1717">
        <f t="shared" si="1"/>
        <v>0</v>
      </c>
      <c r="AH30" s="1720">
        <f t="shared" si="2"/>
        <v>0</v>
      </c>
      <c r="AI30" s="1719">
        <f t="shared" si="3"/>
        <v>0</v>
      </c>
      <c r="AJ30" s="1719">
        <f t="shared" si="4"/>
        <v>0</v>
      </c>
      <c r="AK30" s="1719">
        <f t="shared" si="5"/>
        <v>0</v>
      </c>
      <c r="AL30" s="1719">
        <f t="shared" si="6"/>
        <v>0</v>
      </c>
      <c r="AM30" s="1719">
        <f t="shared" si="7"/>
        <v>0</v>
      </c>
      <c r="AN30" s="1719">
        <f t="shared" si="8"/>
        <v>0</v>
      </c>
      <c r="AO30" s="1719">
        <f t="shared" si="9"/>
        <v>0</v>
      </c>
      <c r="AP30" s="1719">
        <f t="shared" si="10"/>
        <v>0</v>
      </c>
      <c r="AQ30" s="1719">
        <f t="shared" si="11"/>
        <v>0</v>
      </c>
      <c r="AR30" s="1720">
        <f t="shared" si="12"/>
        <v>0</v>
      </c>
      <c r="AS30" s="1719">
        <f t="shared" si="13"/>
        <v>0</v>
      </c>
      <c r="AT30" s="1719">
        <f t="shared" si="14"/>
        <v>0</v>
      </c>
      <c r="AU30" s="1719">
        <f t="shared" si="15"/>
        <v>0</v>
      </c>
      <c r="AV30" s="1719">
        <f t="shared" si="16"/>
        <v>0</v>
      </c>
      <c r="AW30" s="1719">
        <f t="shared" si="17"/>
        <v>0</v>
      </c>
      <c r="AX30" s="1719">
        <f t="shared" si="18"/>
        <v>0</v>
      </c>
      <c r="AY30" s="1719">
        <f t="shared" si="19"/>
        <v>0</v>
      </c>
      <c r="AZ30" s="1719">
        <f t="shared" si="20"/>
        <v>0</v>
      </c>
      <c r="BA30" s="1721">
        <f t="shared" si="21"/>
        <v>0</v>
      </c>
      <c r="BB30" s="1719">
        <f t="shared" si="22"/>
        <v>0</v>
      </c>
      <c r="BC30" s="1719">
        <f t="shared" si="23"/>
        <v>0</v>
      </c>
      <c r="BD30" s="1719">
        <f t="shared" si="24"/>
        <v>0</v>
      </c>
      <c r="BE30" s="1719">
        <f t="shared" si="25"/>
        <v>0</v>
      </c>
      <c r="BF30" s="1719">
        <f t="shared" si="26"/>
        <v>0</v>
      </c>
      <c r="BG30" s="1719">
        <f t="shared" si="27"/>
        <v>0</v>
      </c>
      <c r="BH30" s="1719">
        <f t="shared" si="28"/>
        <v>0</v>
      </c>
      <c r="BJ30" s="1722">
        <f t="shared" si="29"/>
        <v>0</v>
      </c>
      <c r="BK30" s="1723">
        <f>(AR30*Pricing!F$3+AS30*Pricing!G$3+AT30*Pricing!H$3+AU30*Pricing!I$3+AV30*Pricing!J$3+AW30*Pricing!K$3+AH30*Pricing!F$3+AI30*Pricing!G$3+AJ30*Pricing!H$3+AK30*Pricing!I$3+AL30*Pricing!J$3+AM30*Pricing!K$3)*IF(T$39="N",(1+V$39),1)</f>
        <v>0</v>
      </c>
      <c r="BL30" s="1723">
        <f t="shared" si="30"/>
        <v>0</v>
      </c>
      <c r="BM30" s="1723">
        <f t="shared" si="31"/>
        <v>0</v>
      </c>
      <c r="BN30" s="1723">
        <f t="shared" si="32"/>
        <v>0</v>
      </c>
      <c r="BO30" s="1723">
        <f t="shared" si="33"/>
        <v>0</v>
      </c>
      <c r="BP30" s="1723">
        <f t="shared" si="34"/>
        <v>0</v>
      </c>
      <c r="BQ30" s="1723">
        <f t="shared" si="35"/>
        <v>0</v>
      </c>
      <c r="BR30" s="1724"/>
      <c r="BS30" s="1725">
        <f t="shared" si="48"/>
        <v>0</v>
      </c>
      <c r="BT30" s="1723">
        <f>(AH30*Pricing!F$3+AI30*Pricing!G$3+AJ30*Pricing!H$3+AK30*Pricing!I$3+AL30*Pricing!J$3+AM30*Pricing!K$3)*IF(T$39="N",(1+V$39),1)</f>
        <v>0</v>
      </c>
      <c r="BU30" s="1723">
        <f t="shared" si="36"/>
        <v>0</v>
      </c>
      <c r="BV30" s="1723">
        <f t="shared" si="37"/>
        <v>0</v>
      </c>
      <c r="BW30" s="1724">
        <f t="shared" si="38"/>
        <v>0</v>
      </c>
      <c r="DB30" s="1726">
        <f t="shared" si="39"/>
        <v>0</v>
      </c>
      <c r="DC30" s="1723" t="e">
        <f t="shared" si="40"/>
        <v>#DIV/0!</v>
      </c>
      <c r="DD30" s="172">
        <f t="shared" si="41"/>
        <v>0</v>
      </c>
      <c r="DE30" s="847">
        <f t="shared" si="42"/>
        <v>0</v>
      </c>
      <c r="DF30" s="334">
        <f t="shared" si="43"/>
        <v>0</v>
      </c>
      <c r="DG30" s="847">
        <f t="shared" si="44"/>
        <v>0</v>
      </c>
      <c r="DH30" s="847">
        <f t="shared" si="45"/>
        <v>0</v>
      </c>
      <c r="DI30" s="847">
        <f t="shared" si="46"/>
        <v>0</v>
      </c>
      <c r="DJ30" s="1727">
        <f t="shared" si="47"/>
        <v>0</v>
      </c>
    </row>
    <row r="31" spans="1:114" s="1254" customFormat="1" ht="15.45">
      <c r="A31" s="482"/>
      <c r="B31" s="1177"/>
      <c r="C31" s="1710"/>
      <c r="D31" s="1711"/>
      <c r="E31" s="1712"/>
      <c r="F31" s="1108"/>
      <c r="G31" s="1109"/>
      <c r="H31" s="1110"/>
      <c r="I31" s="1108"/>
      <c r="J31" s="1109"/>
      <c r="K31" s="1110"/>
      <c r="L31" s="1108"/>
      <c r="M31" s="1108"/>
      <c r="N31" s="1713"/>
      <c r="O31" s="1108"/>
      <c r="P31" s="1108"/>
      <c r="Q31" s="1108"/>
      <c r="R31" s="1714"/>
      <c r="S31" s="1715"/>
      <c r="T31" s="77"/>
      <c r="U31" s="839"/>
      <c r="V31" s="1716">
        <f t="shared" si="0"/>
        <v>0</v>
      </c>
      <c r="W31" s="1717">
        <f t="shared" si="1"/>
        <v>0</v>
      </c>
      <c r="AH31" s="1720">
        <f t="shared" si="2"/>
        <v>0</v>
      </c>
      <c r="AI31" s="1719">
        <f t="shared" si="3"/>
        <v>0</v>
      </c>
      <c r="AJ31" s="1719">
        <f t="shared" si="4"/>
        <v>0</v>
      </c>
      <c r="AK31" s="1719">
        <f t="shared" si="5"/>
        <v>0</v>
      </c>
      <c r="AL31" s="1719">
        <f t="shared" si="6"/>
        <v>0</v>
      </c>
      <c r="AM31" s="1719">
        <f t="shared" si="7"/>
        <v>0</v>
      </c>
      <c r="AN31" s="1719">
        <f t="shared" si="8"/>
        <v>0</v>
      </c>
      <c r="AO31" s="1719">
        <f t="shared" si="9"/>
        <v>0</v>
      </c>
      <c r="AP31" s="1719">
        <f t="shared" si="10"/>
        <v>0</v>
      </c>
      <c r="AQ31" s="1719">
        <f t="shared" si="11"/>
        <v>0</v>
      </c>
      <c r="AR31" s="1720">
        <f t="shared" si="12"/>
        <v>0</v>
      </c>
      <c r="AS31" s="1719">
        <f t="shared" si="13"/>
        <v>0</v>
      </c>
      <c r="AT31" s="1719">
        <f t="shared" si="14"/>
        <v>0</v>
      </c>
      <c r="AU31" s="1719">
        <f t="shared" si="15"/>
        <v>0</v>
      </c>
      <c r="AV31" s="1719">
        <f t="shared" si="16"/>
        <v>0</v>
      </c>
      <c r="AW31" s="1719">
        <f t="shared" si="17"/>
        <v>0</v>
      </c>
      <c r="AX31" s="1719">
        <f t="shared" si="18"/>
        <v>0</v>
      </c>
      <c r="AY31" s="1719">
        <f t="shared" si="19"/>
        <v>0</v>
      </c>
      <c r="AZ31" s="1719">
        <f t="shared" si="20"/>
        <v>0</v>
      </c>
      <c r="BA31" s="1721">
        <f t="shared" si="21"/>
        <v>0</v>
      </c>
      <c r="BB31" s="1719">
        <f t="shared" si="22"/>
        <v>0</v>
      </c>
      <c r="BC31" s="1719">
        <f t="shared" si="23"/>
        <v>0</v>
      </c>
      <c r="BD31" s="1719">
        <f t="shared" si="24"/>
        <v>0</v>
      </c>
      <c r="BE31" s="1719">
        <f t="shared" si="25"/>
        <v>0</v>
      </c>
      <c r="BF31" s="1719">
        <f t="shared" si="26"/>
        <v>0</v>
      </c>
      <c r="BG31" s="1719">
        <f t="shared" si="27"/>
        <v>0</v>
      </c>
      <c r="BH31" s="1719">
        <f t="shared" si="28"/>
        <v>0</v>
      </c>
      <c r="BJ31" s="1722">
        <f t="shared" si="29"/>
        <v>0</v>
      </c>
      <c r="BK31" s="1723">
        <f>(AR31*Pricing!F$3+AS31*Pricing!G$3+AT31*Pricing!H$3+AU31*Pricing!I$3+AV31*Pricing!J$3+AW31*Pricing!K$3+AH31*Pricing!F$3+AI31*Pricing!G$3+AJ31*Pricing!H$3+AK31*Pricing!I$3+AL31*Pricing!J$3+AM31*Pricing!K$3)*IF(T$39="N",(1+V$39),1)</f>
        <v>0</v>
      </c>
      <c r="BL31" s="1723">
        <f t="shared" si="30"/>
        <v>0</v>
      </c>
      <c r="BM31" s="1723">
        <f t="shared" si="31"/>
        <v>0</v>
      </c>
      <c r="BN31" s="1723">
        <f t="shared" si="32"/>
        <v>0</v>
      </c>
      <c r="BO31" s="1723">
        <f t="shared" si="33"/>
        <v>0</v>
      </c>
      <c r="BP31" s="1723">
        <f t="shared" si="34"/>
        <v>0</v>
      </c>
      <c r="BQ31" s="1723">
        <f t="shared" si="35"/>
        <v>0</v>
      </c>
      <c r="BR31" s="1724"/>
      <c r="BS31" s="1725">
        <f t="shared" si="48"/>
        <v>0</v>
      </c>
      <c r="BT31" s="1723">
        <f>(AH31*Pricing!F$3+AI31*Pricing!G$3+AJ31*Pricing!H$3+AK31*Pricing!I$3+AL31*Pricing!J$3+AM31*Pricing!K$3)*IF(T$39="N",(1+V$39),1)</f>
        <v>0</v>
      </c>
      <c r="BU31" s="1723">
        <f t="shared" si="36"/>
        <v>0</v>
      </c>
      <c r="BV31" s="1723">
        <f t="shared" si="37"/>
        <v>0</v>
      </c>
      <c r="BW31" s="1724">
        <f t="shared" si="38"/>
        <v>0</v>
      </c>
      <c r="DB31" s="1726">
        <f t="shared" si="39"/>
        <v>0</v>
      </c>
      <c r="DC31" s="1723" t="e">
        <f t="shared" si="40"/>
        <v>#DIV/0!</v>
      </c>
      <c r="DD31" s="172">
        <f t="shared" si="41"/>
        <v>0</v>
      </c>
      <c r="DE31" s="847">
        <f t="shared" si="42"/>
        <v>0</v>
      </c>
      <c r="DF31" s="334">
        <f t="shared" si="43"/>
        <v>0</v>
      </c>
      <c r="DG31" s="847">
        <f t="shared" si="44"/>
        <v>0</v>
      </c>
      <c r="DH31" s="847">
        <f t="shared" si="45"/>
        <v>0</v>
      </c>
      <c r="DI31" s="847">
        <f t="shared" si="46"/>
        <v>0</v>
      </c>
      <c r="DJ31" s="1727">
        <f t="shared" si="47"/>
        <v>0</v>
      </c>
    </row>
    <row r="32" spans="1:114" s="1254" customFormat="1" ht="15.45">
      <c r="A32" s="482"/>
      <c r="B32" s="1177"/>
      <c r="C32" s="1710"/>
      <c r="D32" s="1711"/>
      <c r="E32" s="1712"/>
      <c r="F32" s="1108"/>
      <c r="G32" s="1109"/>
      <c r="H32" s="1110"/>
      <c r="I32" s="1108"/>
      <c r="J32" s="1109"/>
      <c r="K32" s="1110"/>
      <c r="L32" s="1108"/>
      <c r="M32" s="1108"/>
      <c r="N32" s="1713"/>
      <c r="O32" s="1108"/>
      <c r="P32" s="1108"/>
      <c r="Q32" s="1108"/>
      <c r="R32" s="1714"/>
      <c r="S32" s="1715"/>
      <c r="T32" s="77"/>
      <c r="U32" s="839"/>
      <c r="V32" s="1716">
        <f t="shared" si="0"/>
        <v>0</v>
      </c>
      <c r="W32" s="1717">
        <f t="shared" si="1"/>
        <v>0</v>
      </c>
      <c r="AH32" s="1720">
        <f t="shared" si="2"/>
        <v>0</v>
      </c>
      <c r="AI32" s="1719">
        <f t="shared" si="3"/>
        <v>0</v>
      </c>
      <c r="AJ32" s="1719">
        <f t="shared" si="4"/>
        <v>0</v>
      </c>
      <c r="AK32" s="1719">
        <f t="shared" si="5"/>
        <v>0</v>
      </c>
      <c r="AL32" s="1719">
        <f t="shared" si="6"/>
        <v>0</v>
      </c>
      <c r="AM32" s="1719">
        <f t="shared" si="7"/>
        <v>0</v>
      </c>
      <c r="AN32" s="1719">
        <f t="shared" si="8"/>
        <v>0</v>
      </c>
      <c r="AO32" s="1719">
        <f t="shared" si="9"/>
        <v>0</v>
      </c>
      <c r="AP32" s="1719">
        <f t="shared" si="10"/>
        <v>0</v>
      </c>
      <c r="AQ32" s="1719">
        <f t="shared" si="11"/>
        <v>0</v>
      </c>
      <c r="AR32" s="1720">
        <f t="shared" si="12"/>
        <v>0</v>
      </c>
      <c r="AS32" s="1719">
        <f t="shared" si="13"/>
        <v>0</v>
      </c>
      <c r="AT32" s="1719">
        <f t="shared" si="14"/>
        <v>0</v>
      </c>
      <c r="AU32" s="1719">
        <f t="shared" si="15"/>
        <v>0</v>
      </c>
      <c r="AV32" s="1719">
        <f t="shared" si="16"/>
        <v>0</v>
      </c>
      <c r="AW32" s="1719">
        <f t="shared" si="17"/>
        <v>0</v>
      </c>
      <c r="AX32" s="1719">
        <f t="shared" si="18"/>
        <v>0</v>
      </c>
      <c r="AY32" s="1719">
        <f t="shared" si="19"/>
        <v>0</v>
      </c>
      <c r="AZ32" s="1719">
        <f t="shared" si="20"/>
        <v>0</v>
      </c>
      <c r="BA32" s="1721">
        <f t="shared" si="21"/>
        <v>0</v>
      </c>
      <c r="BB32" s="1719">
        <f t="shared" si="22"/>
        <v>0</v>
      </c>
      <c r="BC32" s="1719">
        <f t="shared" si="23"/>
        <v>0</v>
      </c>
      <c r="BD32" s="1719">
        <f t="shared" si="24"/>
        <v>0</v>
      </c>
      <c r="BE32" s="1719">
        <f t="shared" si="25"/>
        <v>0</v>
      </c>
      <c r="BF32" s="1719">
        <f t="shared" si="26"/>
        <v>0</v>
      </c>
      <c r="BG32" s="1719">
        <f t="shared" si="27"/>
        <v>0</v>
      </c>
      <c r="BH32" s="1719">
        <f t="shared" si="28"/>
        <v>0</v>
      </c>
      <c r="BJ32" s="1722">
        <f t="shared" si="29"/>
        <v>0</v>
      </c>
      <c r="BK32" s="1723">
        <f>(AR32*Pricing!F$3+AS32*Pricing!G$3+AT32*Pricing!H$3+AU32*Pricing!I$3+AV32*Pricing!J$3+AW32*Pricing!K$3+AH32*Pricing!F$3+AI32*Pricing!G$3+AJ32*Pricing!H$3+AK32*Pricing!I$3+AL32*Pricing!J$3+AM32*Pricing!K$3)*IF(T$39="N",(1+V$39),1)</f>
        <v>0</v>
      </c>
      <c r="BL32" s="1723">
        <f t="shared" si="30"/>
        <v>0</v>
      </c>
      <c r="BM32" s="1723">
        <f t="shared" si="31"/>
        <v>0</v>
      </c>
      <c r="BN32" s="1723">
        <f t="shared" si="32"/>
        <v>0</v>
      </c>
      <c r="BO32" s="1723">
        <f t="shared" si="33"/>
        <v>0</v>
      </c>
      <c r="BP32" s="1723">
        <f t="shared" si="34"/>
        <v>0</v>
      </c>
      <c r="BQ32" s="1723">
        <f t="shared" si="35"/>
        <v>0</v>
      </c>
      <c r="BR32" s="1724"/>
      <c r="BS32" s="1725">
        <f t="shared" si="48"/>
        <v>0</v>
      </c>
      <c r="BT32" s="1723">
        <f>(AH32*Pricing!F$3+AI32*Pricing!G$3+AJ32*Pricing!H$3+AK32*Pricing!I$3+AL32*Pricing!J$3+AM32*Pricing!K$3)*IF(T$39="N",(1+V$39),1)</f>
        <v>0</v>
      </c>
      <c r="BU32" s="1723">
        <f t="shared" si="36"/>
        <v>0</v>
      </c>
      <c r="BV32" s="1723">
        <f t="shared" si="37"/>
        <v>0</v>
      </c>
      <c r="BW32" s="1724">
        <f t="shared" si="38"/>
        <v>0</v>
      </c>
      <c r="DB32" s="1726">
        <f t="shared" si="39"/>
        <v>0</v>
      </c>
      <c r="DC32" s="1723" t="e">
        <f t="shared" si="40"/>
        <v>#DIV/0!</v>
      </c>
      <c r="DD32" s="172">
        <f t="shared" si="41"/>
        <v>0</v>
      </c>
      <c r="DE32" s="847">
        <f t="shared" si="42"/>
        <v>0</v>
      </c>
      <c r="DF32" s="334">
        <f t="shared" si="43"/>
        <v>0</v>
      </c>
      <c r="DG32" s="847">
        <f t="shared" si="44"/>
        <v>0</v>
      </c>
      <c r="DH32" s="847">
        <f t="shared" si="45"/>
        <v>0</v>
      </c>
      <c r="DI32" s="847">
        <f t="shared" si="46"/>
        <v>0</v>
      </c>
      <c r="DJ32" s="1727">
        <f t="shared" si="47"/>
        <v>0</v>
      </c>
    </row>
    <row r="33" spans="1:114" s="1254" customFormat="1" ht="15.45">
      <c r="A33" s="482"/>
      <c r="B33" s="1177"/>
      <c r="C33" s="1710"/>
      <c r="D33" s="1711"/>
      <c r="E33" s="1712"/>
      <c r="F33" s="1108"/>
      <c r="G33" s="1109"/>
      <c r="H33" s="1110"/>
      <c r="I33" s="1108"/>
      <c r="J33" s="1109"/>
      <c r="K33" s="1110"/>
      <c r="L33" s="1108"/>
      <c r="M33" s="1108"/>
      <c r="N33" s="1713"/>
      <c r="O33" s="1108"/>
      <c r="P33" s="1108"/>
      <c r="Q33" s="1108"/>
      <c r="R33" s="1714"/>
      <c r="S33" s="1715"/>
      <c r="T33" s="77"/>
      <c r="U33" s="839"/>
      <c r="V33" s="1716">
        <f t="shared" si="0"/>
        <v>0</v>
      </c>
      <c r="W33" s="1717">
        <f t="shared" si="1"/>
        <v>0</v>
      </c>
      <c r="AH33" s="1720">
        <f t="shared" si="2"/>
        <v>0</v>
      </c>
      <c r="AI33" s="1719">
        <f t="shared" si="3"/>
        <v>0</v>
      </c>
      <c r="AJ33" s="1719">
        <f t="shared" si="4"/>
        <v>0</v>
      </c>
      <c r="AK33" s="1719">
        <f t="shared" si="5"/>
        <v>0</v>
      </c>
      <c r="AL33" s="1719">
        <f t="shared" si="6"/>
        <v>0</v>
      </c>
      <c r="AM33" s="1719">
        <f t="shared" si="7"/>
        <v>0</v>
      </c>
      <c r="AN33" s="1719">
        <f t="shared" si="8"/>
        <v>0</v>
      </c>
      <c r="AO33" s="1719">
        <f t="shared" si="9"/>
        <v>0</v>
      </c>
      <c r="AP33" s="1719">
        <f t="shared" si="10"/>
        <v>0</v>
      </c>
      <c r="AQ33" s="1719">
        <f t="shared" si="11"/>
        <v>0</v>
      </c>
      <c r="AR33" s="1720">
        <f t="shared" si="12"/>
        <v>0</v>
      </c>
      <c r="AS33" s="1719">
        <f t="shared" si="13"/>
        <v>0</v>
      </c>
      <c r="AT33" s="1719">
        <f t="shared" si="14"/>
        <v>0</v>
      </c>
      <c r="AU33" s="1719">
        <f t="shared" si="15"/>
        <v>0</v>
      </c>
      <c r="AV33" s="1719">
        <f t="shared" si="16"/>
        <v>0</v>
      </c>
      <c r="AW33" s="1719">
        <f t="shared" si="17"/>
        <v>0</v>
      </c>
      <c r="AX33" s="1719">
        <f t="shared" si="18"/>
        <v>0</v>
      </c>
      <c r="AY33" s="1719">
        <f t="shared" si="19"/>
        <v>0</v>
      </c>
      <c r="AZ33" s="1719">
        <f t="shared" si="20"/>
        <v>0</v>
      </c>
      <c r="BA33" s="1721">
        <f t="shared" si="21"/>
        <v>0</v>
      </c>
      <c r="BB33" s="1719">
        <f t="shared" si="22"/>
        <v>0</v>
      </c>
      <c r="BC33" s="1719">
        <f t="shared" si="23"/>
        <v>0</v>
      </c>
      <c r="BD33" s="1719">
        <f t="shared" si="24"/>
        <v>0</v>
      </c>
      <c r="BE33" s="1719">
        <f t="shared" si="25"/>
        <v>0</v>
      </c>
      <c r="BF33" s="1719">
        <f t="shared" si="26"/>
        <v>0</v>
      </c>
      <c r="BG33" s="1719">
        <f t="shared" si="27"/>
        <v>0</v>
      </c>
      <c r="BH33" s="1719">
        <f t="shared" si="28"/>
        <v>0</v>
      </c>
      <c r="BJ33" s="1722">
        <f t="shared" si="29"/>
        <v>0</v>
      </c>
      <c r="BK33" s="1723">
        <f>(AR33*Pricing!F$3+AS33*Pricing!G$3+AT33*Pricing!H$3+AU33*Pricing!I$3+AV33*Pricing!J$3+AW33*Pricing!K$3+AH33*Pricing!F$3+AI33*Pricing!G$3+AJ33*Pricing!H$3+AK33*Pricing!I$3+AL33*Pricing!J$3+AM33*Pricing!K$3)*IF(T$39="N",(1+V$39),1)</f>
        <v>0</v>
      </c>
      <c r="BL33" s="1723">
        <f t="shared" si="30"/>
        <v>0</v>
      </c>
      <c r="BM33" s="1723">
        <f t="shared" si="31"/>
        <v>0</v>
      </c>
      <c r="BN33" s="1723">
        <f t="shared" si="32"/>
        <v>0</v>
      </c>
      <c r="BO33" s="1723">
        <f t="shared" si="33"/>
        <v>0</v>
      </c>
      <c r="BP33" s="1723">
        <f t="shared" si="34"/>
        <v>0</v>
      </c>
      <c r="BQ33" s="1723">
        <f t="shared" si="35"/>
        <v>0</v>
      </c>
      <c r="BR33" s="1724"/>
      <c r="BS33" s="1725">
        <f>IF(SUM(BF$36:BG$36)=0,0,(BQ$36-W$58-N$64-W81-(L$79*0.15))/SUM(BF$36:BG$36)*BG33+BN33)</f>
        <v>0</v>
      </c>
      <c r="BT33" s="1723">
        <f>(AH33*Pricing!F$3+AI33*Pricing!G$3+AJ33*Pricing!H$3+AK33*Pricing!I$3+AL33*Pricing!J$3+AM33*Pricing!K$3)*IF(T$39="N",(1+V$39),1)</f>
        <v>0</v>
      </c>
      <c r="BU33" s="1723">
        <f t="shared" si="36"/>
        <v>0</v>
      </c>
      <c r="BV33" s="1723">
        <f t="shared" si="37"/>
        <v>0</v>
      </c>
      <c r="BW33" s="1724">
        <f t="shared" si="38"/>
        <v>0</v>
      </c>
      <c r="DB33" s="1726">
        <f t="shared" si="39"/>
        <v>0</v>
      </c>
      <c r="DC33" s="1723" t="e">
        <f t="shared" si="40"/>
        <v>#DIV/0!</v>
      </c>
      <c r="DD33" s="172">
        <f t="shared" si="41"/>
        <v>0</v>
      </c>
      <c r="DE33" s="847">
        <f t="shared" si="42"/>
        <v>0</v>
      </c>
      <c r="DF33" s="334">
        <f t="shared" si="43"/>
        <v>0</v>
      </c>
      <c r="DG33" s="847">
        <f t="shared" si="44"/>
        <v>0</v>
      </c>
      <c r="DH33" s="847">
        <f t="shared" si="45"/>
        <v>0</v>
      </c>
      <c r="DI33" s="847">
        <f t="shared" si="46"/>
        <v>0</v>
      </c>
      <c r="DJ33" s="1727">
        <f t="shared" si="47"/>
        <v>0</v>
      </c>
    </row>
    <row r="34" spans="1:114" s="1254" customFormat="1" ht="15.45">
      <c r="A34" s="482"/>
      <c r="B34" s="1177"/>
      <c r="C34" s="1710"/>
      <c r="D34" s="1711"/>
      <c r="E34" s="1712"/>
      <c r="F34" s="1108"/>
      <c r="G34" s="1109"/>
      <c r="H34" s="1110"/>
      <c r="I34" s="1108"/>
      <c r="J34" s="1109"/>
      <c r="K34" s="1110"/>
      <c r="L34" s="1108"/>
      <c r="M34" s="1108"/>
      <c r="N34" s="1713"/>
      <c r="O34" s="1108"/>
      <c r="P34" s="1108"/>
      <c r="Q34" s="1108"/>
      <c r="R34" s="1714"/>
      <c r="S34" s="1715"/>
      <c r="T34" s="77"/>
      <c r="U34" s="839"/>
      <c r="V34" s="1716">
        <f t="shared" si="0"/>
        <v>0</v>
      </c>
      <c r="W34" s="1717">
        <f t="shared" si="1"/>
        <v>0</v>
      </c>
      <c r="AH34" s="1720">
        <f t="shared" si="2"/>
        <v>0</v>
      </c>
      <c r="AI34" s="1719">
        <f t="shared" si="3"/>
        <v>0</v>
      </c>
      <c r="AJ34" s="1719">
        <f t="shared" si="4"/>
        <v>0</v>
      </c>
      <c r="AK34" s="1719">
        <f t="shared" si="5"/>
        <v>0</v>
      </c>
      <c r="AL34" s="1719">
        <f t="shared" si="6"/>
        <v>0</v>
      </c>
      <c r="AM34" s="1719">
        <f t="shared" si="7"/>
        <v>0</v>
      </c>
      <c r="AN34" s="1719">
        <f t="shared" si="8"/>
        <v>0</v>
      </c>
      <c r="AO34" s="1719">
        <f t="shared" si="9"/>
        <v>0</v>
      </c>
      <c r="AP34" s="1719">
        <f t="shared" si="10"/>
        <v>0</v>
      </c>
      <c r="AQ34" s="1719">
        <f t="shared" si="11"/>
        <v>0</v>
      </c>
      <c r="AR34" s="1720">
        <f t="shared" si="12"/>
        <v>0</v>
      </c>
      <c r="AS34" s="1719">
        <f t="shared" si="13"/>
        <v>0</v>
      </c>
      <c r="AT34" s="1719">
        <f t="shared" si="14"/>
        <v>0</v>
      </c>
      <c r="AU34" s="1719">
        <f t="shared" si="15"/>
        <v>0</v>
      </c>
      <c r="AV34" s="1719">
        <f t="shared" si="16"/>
        <v>0</v>
      </c>
      <c r="AW34" s="1719">
        <f t="shared" si="17"/>
        <v>0</v>
      </c>
      <c r="AX34" s="1719">
        <f t="shared" si="18"/>
        <v>0</v>
      </c>
      <c r="AY34" s="1719">
        <f t="shared" si="19"/>
        <v>0</v>
      </c>
      <c r="AZ34" s="1719">
        <f t="shared" si="20"/>
        <v>0</v>
      </c>
      <c r="BA34" s="1721">
        <f t="shared" si="21"/>
        <v>0</v>
      </c>
      <c r="BB34" s="1719">
        <f t="shared" si="22"/>
        <v>0</v>
      </c>
      <c r="BC34" s="1719">
        <f t="shared" si="23"/>
        <v>0</v>
      </c>
      <c r="BD34" s="1719">
        <f t="shared" si="24"/>
        <v>0</v>
      </c>
      <c r="BE34" s="1719">
        <f t="shared" si="25"/>
        <v>0</v>
      </c>
      <c r="BF34" s="1719">
        <f t="shared" si="26"/>
        <v>0</v>
      </c>
      <c r="BG34" s="1719">
        <f t="shared" si="27"/>
        <v>0</v>
      </c>
      <c r="BH34" s="1719">
        <f t="shared" si="28"/>
        <v>0</v>
      </c>
      <c r="BJ34" s="1722">
        <f t="shared" si="29"/>
        <v>0</v>
      </c>
      <c r="BK34" s="1723">
        <f>(AR34*Pricing!F$3+AS34*Pricing!G$3+AT34*Pricing!H$3+AU34*Pricing!I$3+AV34*Pricing!J$3+AW34*Pricing!K$3+AH34*Pricing!F$3+AI34*Pricing!G$3+AJ34*Pricing!H$3+AK34*Pricing!I$3+AL34*Pricing!J$3+AM34*Pricing!K$3)*IF(T$39="N",(1+V$39),1)</f>
        <v>0</v>
      </c>
      <c r="BL34" s="1723">
        <f t="shared" si="30"/>
        <v>0</v>
      </c>
      <c r="BM34" s="1723">
        <f t="shared" si="31"/>
        <v>0</v>
      </c>
      <c r="BN34" s="1723">
        <f t="shared" si="32"/>
        <v>0</v>
      </c>
      <c r="BO34" s="1723">
        <f t="shared" si="33"/>
        <v>0</v>
      </c>
      <c r="BP34" s="1723">
        <f t="shared" si="34"/>
        <v>0</v>
      </c>
      <c r="BQ34" s="1723">
        <f t="shared" si="35"/>
        <v>0</v>
      </c>
      <c r="BR34" s="1724"/>
      <c r="BS34" s="1725">
        <f>IF(SUM(BF$36:BG$36)=0,0,(BQ$36-W$58-N$64-W82-(L$79*0.15))/SUM(BF$36:BG$36)*BG34+BN34)</f>
        <v>0</v>
      </c>
      <c r="BT34" s="1723">
        <f>(AH34*Pricing!F$3+AI34*Pricing!G$3+AJ34*Pricing!H$3+AK34*Pricing!I$3+AL34*Pricing!J$3+AM34*Pricing!K$3)*IF(T$39="N",(1+V$39),1)</f>
        <v>0</v>
      </c>
      <c r="BU34" s="1723">
        <f t="shared" si="36"/>
        <v>0</v>
      </c>
      <c r="BV34" s="1723">
        <f t="shared" si="37"/>
        <v>0</v>
      </c>
      <c r="BW34" s="1724">
        <f t="shared" si="38"/>
        <v>0</v>
      </c>
      <c r="DB34" s="1726">
        <f t="shared" si="39"/>
        <v>0</v>
      </c>
      <c r="DC34" s="1723" t="e">
        <f t="shared" si="40"/>
        <v>#DIV/0!</v>
      </c>
      <c r="DD34" s="172">
        <f t="shared" si="41"/>
        <v>0</v>
      </c>
      <c r="DE34" s="847">
        <f t="shared" si="42"/>
        <v>0</v>
      </c>
      <c r="DF34" s="334">
        <f t="shared" si="43"/>
        <v>0</v>
      </c>
      <c r="DG34" s="847">
        <f t="shared" si="44"/>
        <v>0</v>
      </c>
      <c r="DH34" s="847">
        <f t="shared" si="45"/>
        <v>0</v>
      </c>
      <c r="DI34" s="847">
        <f t="shared" si="46"/>
        <v>0</v>
      </c>
      <c r="DJ34" s="1727">
        <f t="shared" si="47"/>
        <v>0</v>
      </c>
    </row>
    <row r="35" spans="1:114" s="1254" customFormat="1" ht="15.45">
      <c r="A35" s="482"/>
      <c r="B35" s="1177"/>
      <c r="C35" s="1729"/>
      <c r="D35" s="1711"/>
      <c r="E35" s="1712"/>
      <c r="F35" s="1108"/>
      <c r="G35" s="1109"/>
      <c r="H35" s="1110"/>
      <c r="I35" s="1108"/>
      <c r="J35" s="1109"/>
      <c r="K35" s="1110"/>
      <c r="L35" s="1108"/>
      <c r="M35" s="1108"/>
      <c r="N35" s="1713"/>
      <c r="O35" s="1108"/>
      <c r="P35" s="1108"/>
      <c r="Q35" s="1108"/>
      <c r="R35" s="1714"/>
      <c r="S35" s="1715"/>
      <c r="T35" s="77"/>
      <c r="U35" s="839"/>
      <c r="V35" s="1716">
        <f t="shared" si="0"/>
        <v>0</v>
      </c>
      <c r="W35" s="1717">
        <f t="shared" si="1"/>
        <v>0</v>
      </c>
      <c r="AH35" s="1730">
        <f t="shared" si="2"/>
        <v>0</v>
      </c>
      <c r="AI35" s="1731">
        <f t="shared" si="3"/>
        <v>0</v>
      </c>
      <c r="AJ35" s="1731">
        <f t="shared" si="4"/>
        <v>0</v>
      </c>
      <c r="AK35" s="1731">
        <f t="shared" si="5"/>
        <v>0</v>
      </c>
      <c r="AL35" s="1731">
        <f t="shared" si="6"/>
        <v>0</v>
      </c>
      <c r="AM35" s="1731">
        <f t="shared" si="7"/>
        <v>0</v>
      </c>
      <c r="AN35" s="1731">
        <f t="shared" si="8"/>
        <v>0</v>
      </c>
      <c r="AO35" s="1731">
        <f t="shared" si="9"/>
        <v>0</v>
      </c>
      <c r="AP35" s="1731">
        <f t="shared" si="10"/>
        <v>0</v>
      </c>
      <c r="AQ35" s="1731">
        <f t="shared" si="11"/>
        <v>0</v>
      </c>
      <c r="AR35" s="1730">
        <f t="shared" si="12"/>
        <v>0</v>
      </c>
      <c r="AS35" s="1731">
        <f t="shared" si="13"/>
        <v>0</v>
      </c>
      <c r="AT35" s="1731">
        <f t="shared" si="14"/>
        <v>0</v>
      </c>
      <c r="AU35" s="1731">
        <f t="shared" si="15"/>
        <v>0</v>
      </c>
      <c r="AV35" s="1731">
        <f t="shared" si="16"/>
        <v>0</v>
      </c>
      <c r="AW35" s="1731">
        <f t="shared" si="17"/>
        <v>0</v>
      </c>
      <c r="AX35" s="1731">
        <f t="shared" si="18"/>
        <v>0</v>
      </c>
      <c r="AY35" s="1731">
        <f t="shared" si="19"/>
        <v>0</v>
      </c>
      <c r="AZ35" s="1731">
        <f t="shared" si="20"/>
        <v>0</v>
      </c>
      <c r="BA35" s="1732">
        <f t="shared" si="21"/>
        <v>0</v>
      </c>
      <c r="BB35" s="1719">
        <f t="shared" si="22"/>
        <v>0</v>
      </c>
      <c r="BC35" s="1719">
        <f t="shared" si="23"/>
        <v>0</v>
      </c>
      <c r="BD35" s="1719">
        <f t="shared" si="24"/>
        <v>0</v>
      </c>
      <c r="BE35" s="1719">
        <f t="shared" si="25"/>
        <v>0</v>
      </c>
      <c r="BF35" s="1719">
        <f t="shared" si="26"/>
        <v>0</v>
      </c>
      <c r="BG35" s="1719">
        <f t="shared" si="27"/>
        <v>0</v>
      </c>
      <c r="BH35" s="1719">
        <f t="shared" si="28"/>
        <v>0</v>
      </c>
      <c r="BJ35" s="1733">
        <f t="shared" si="29"/>
        <v>0</v>
      </c>
      <c r="BK35" s="1734">
        <f>(AR35*Pricing!F$3+AS35*Pricing!G$3+AT35*Pricing!H$3+AU35*Pricing!I$3+AV35*Pricing!J$3+AW35*Pricing!K$3+AH35*Pricing!F$3+AI35*Pricing!G$3+AJ35*Pricing!H$3+AK35*Pricing!I$3+AL35*Pricing!J$3+AM35*Pricing!K$3)*IF(T$39="N",(1+V$39),1)</f>
        <v>0</v>
      </c>
      <c r="BL35" s="1734">
        <f t="shared" si="30"/>
        <v>0</v>
      </c>
      <c r="BM35" s="1734">
        <f t="shared" si="31"/>
        <v>0</v>
      </c>
      <c r="BN35" s="1734">
        <f t="shared" si="32"/>
        <v>0</v>
      </c>
      <c r="BO35" s="1734">
        <f t="shared" si="33"/>
        <v>0</v>
      </c>
      <c r="BP35" s="1734">
        <f t="shared" si="34"/>
        <v>0</v>
      </c>
      <c r="BQ35" s="1734">
        <f t="shared" si="35"/>
        <v>0</v>
      </c>
      <c r="BR35" s="1735"/>
      <c r="BS35" s="1736">
        <f>IF(SUM(BF$36:BG$36)=0,0,(BQ$36-W$58-N$64-W83-(L$79*0.15))/SUM(BF$36:BG$36)*BG35+BN35)</f>
        <v>0</v>
      </c>
      <c r="BT35" s="1734">
        <f>(AH35*Pricing!F$3+AI35*Pricing!G$3+AJ35*Pricing!H$3+AK35*Pricing!I$3+AL35*Pricing!J$3+AM35*Pricing!K$3)*IF(T$39="N",(1+V$39),1)</f>
        <v>0</v>
      </c>
      <c r="BU35" s="1734">
        <f t="shared" si="36"/>
        <v>0</v>
      </c>
      <c r="BV35" s="1734">
        <f t="shared" si="37"/>
        <v>0</v>
      </c>
      <c r="BW35" s="1735">
        <f t="shared" si="38"/>
        <v>0</v>
      </c>
      <c r="DB35" s="1726">
        <f t="shared" si="39"/>
        <v>0</v>
      </c>
      <c r="DC35" s="1723" t="e">
        <f t="shared" si="40"/>
        <v>#DIV/0!</v>
      </c>
      <c r="DD35" s="172">
        <f t="shared" si="41"/>
        <v>0</v>
      </c>
      <c r="DE35" s="847">
        <f t="shared" si="42"/>
        <v>0</v>
      </c>
      <c r="DF35" s="334">
        <f t="shared" si="43"/>
        <v>0</v>
      </c>
      <c r="DG35" s="847">
        <f t="shared" si="44"/>
        <v>0</v>
      </c>
      <c r="DH35" s="847">
        <f t="shared" si="45"/>
        <v>0</v>
      </c>
      <c r="DI35" s="847">
        <f t="shared" si="46"/>
        <v>0</v>
      </c>
      <c r="DJ35" s="1727">
        <f t="shared" si="47"/>
        <v>0</v>
      </c>
    </row>
    <row r="36" spans="1:114" s="1254" customFormat="1" ht="15.45">
      <c r="A36" s="381"/>
      <c r="B36" s="589"/>
      <c r="C36" s="589"/>
      <c r="D36" s="1737"/>
      <c r="E36" s="1120">
        <f>SUM(E10:E35)</f>
        <v>0</v>
      </c>
      <c r="F36" s="1737" t="s">
        <v>1398</v>
      </c>
      <c r="G36" s="1085"/>
      <c r="H36" s="1085"/>
      <c r="I36" s="589"/>
      <c r="J36" s="589"/>
      <c r="K36" s="589"/>
      <c r="L36" s="589"/>
      <c r="M36" s="589"/>
      <c r="N36" s="589"/>
      <c r="O36" s="1300" t="s">
        <v>1399</v>
      </c>
      <c r="P36" s="1301"/>
      <c r="Q36" s="1301"/>
      <c r="R36" s="1301"/>
      <c r="S36" s="589"/>
      <c r="T36" s="589"/>
      <c r="U36" s="1123">
        <f>SUM(V10:V35)</f>
        <v>0</v>
      </c>
      <c r="V36" s="1738"/>
      <c r="W36" s="1124">
        <f>ROUND(SUM(W10:W35),0)</f>
        <v>0</v>
      </c>
      <c r="AH36" s="1719">
        <f t="shared" ref="AH36:BQ36" si="49">SUM(AH10:AH35)</f>
        <v>0</v>
      </c>
      <c r="AI36" s="1719">
        <f t="shared" si="49"/>
        <v>0</v>
      </c>
      <c r="AJ36" s="1719">
        <f t="shared" si="49"/>
        <v>0</v>
      </c>
      <c r="AK36" s="1719">
        <f t="shared" si="49"/>
        <v>0</v>
      </c>
      <c r="AL36" s="1719">
        <f t="shared" si="49"/>
        <v>0</v>
      </c>
      <c r="AM36" s="1719">
        <f t="shared" si="49"/>
        <v>0</v>
      </c>
      <c r="AN36" s="1719">
        <f t="shared" si="49"/>
        <v>0</v>
      </c>
      <c r="AO36" s="1719">
        <f t="shared" si="49"/>
        <v>0</v>
      </c>
      <c r="AP36" s="1719">
        <f t="shared" si="49"/>
        <v>0</v>
      </c>
      <c r="AQ36" s="1719">
        <f t="shared" si="49"/>
        <v>0</v>
      </c>
      <c r="AR36" s="1719">
        <f t="shared" si="49"/>
        <v>0</v>
      </c>
      <c r="AS36" s="1719">
        <f t="shared" si="49"/>
        <v>0</v>
      </c>
      <c r="AT36" s="1719">
        <f t="shared" si="49"/>
        <v>0</v>
      </c>
      <c r="AU36" s="1719">
        <f t="shared" si="49"/>
        <v>0</v>
      </c>
      <c r="AV36" s="1719">
        <f t="shared" si="49"/>
        <v>0</v>
      </c>
      <c r="AW36" s="1719">
        <f t="shared" si="49"/>
        <v>0</v>
      </c>
      <c r="AX36" s="1719">
        <f t="shared" si="49"/>
        <v>0</v>
      </c>
      <c r="AY36" s="1719">
        <f t="shared" si="49"/>
        <v>0</v>
      </c>
      <c r="AZ36" s="1719">
        <f t="shared" si="49"/>
        <v>0</v>
      </c>
      <c r="BA36" s="1719">
        <f t="shared" si="49"/>
        <v>0</v>
      </c>
      <c r="BB36" s="1719">
        <f t="shared" si="49"/>
        <v>0</v>
      </c>
      <c r="BC36" s="1719">
        <f t="shared" si="49"/>
        <v>0</v>
      </c>
      <c r="BD36" s="1719">
        <f t="shared" si="49"/>
        <v>0</v>
      </c>
      <c r="BE36" s="1719">
        <f t="shared" si="49"/>
        <v>0</v>
      </c>
      <c r="BF36" s="1719">
        <f t="shared" si="49"/>
        <v>0</v>
      </c>
      <c r="BG36" s="1719">
        <f t="shared" si="49"/>
        <v>0</v>
      </c>
      <c r="BH36" s="1719">
        <f t="shared" si="49"/>
        <v>0</v>
      </c>
      <c r="BI36" s="1254">
        <f t="shared" si="49"/>
        <v>0</v>
      </c>
      <c r="BJ36" s="1723">
        <f t="shared" si="49"/>
        <v>0</v>
      </c>
      <c r="BK36" s="1723">
        <f t="shared" si="49"/>
        <v>0</v>
      </c>
      <c r="BL36" s="1723">
        <f t="shared" si="49"/>
        <v>0</v>
      </c>
      <c r="BM36" s="1723">
        <f t="shared" si="49"/>
        <v>0</v>
      </c>
      <c r="BN36" s="1723">
        <f t="shared" si="49"/>
        <v>0</v>
      </c>
      <c r="BO36" s="1723">
        <f t="shared" si="49"/>
        <v>0</v>
      </c>
      <c r="BP36" s="1723">
        <f t="shared" si="49"/>
        <v>0</v>
      </c>
      <c r="BQ36" s="1723">
        <f t="shared" si="49"/>
        <v>0</v>
      </c>
      <c r="BR36" s="1723">
        <f>SUM(BJ36:BQ36)</f>
        <v>0</v>
      </c>
      <c r="BS36" s="1723">
        <f>SUM(BS10:BS35)</f>
        <v>0</v>
      </c>
      <c r="BT36" s="1723">
        <f>SUM(BT10:BT35)</f>
        <v>0</v>
      </c>
      <c r="BU36" s="1723"/>
      <c r="BV36" s="1723">
        <f>SUM(BV10:BV35)</f>
        <v>0</v>
      </c>
      <c r="BW36" s="1723">
        <f>SUM(BS36:BV36)</f>
        <v>0</v>
      </c>
      <c r="DB36" s="1739">
        <f t="shared" ref="DB36:DH36" si="50">SUM(DB10:DB35)</f>
        <v>0</v>
      </c>
      <c r="DC36" s="1739" t="e">
        <f t="shared" si="50"/>
        <v>#DIV/0!</v>
      </c>
      <c r="DD36" s="1128">
        <f t="shared" si="50"/>
        <v>0</v>
      </c>
      <c r="DE36" s="1128">
        <f t="shared" si="50"/>
        <v>0</v>
      </c>
      <c r="DF36" s="1128">
        <f t="shared" si="50"/>
        <v>0</v>
      </c>
      <c r="DG36" s="1128">
        <f t="shared" si="50"/>
        <v>0</v>
      </c>
      <c r="DH36" s="1740">
        <f t="shared" si="50"/>
        <v>0</v>
      </c>
      <c r="DI36" s="847">
        <f>IF(C36="Y",IF(D36&gt;0,D36,0),0)</f>
        <v>0</v>
      </c>
      <c r="DJ36" s="1128">
        <f>SUM(DJ10:DJ35)</f>
        <v>0</v>
      </c>
    </row>
    <row r="37" spans="1:114" s="1254" customFormat="1">
      <c r="A37" s="653"/>
      <c r="B37" s="693"/>
      <c r="C37" s="693"/>
      <c r="D37" s="693"/>
      <c r="E37" s="693"/>
      <c r="F37" s="693"/>
      <c r="G37" s="693"/>
      <c r="H37" s="693"/>
      <c r="I37" s="693"/>
      <c r="J37" s="693"/>
      <c r="K37" s="693"/>
      <c r="L37" s="693"/>
      <c r="M37" s="693"/>
      <c r="N37" s="693"/>
      <c r="O37" s="1741" t="s">
        <v>1400</v>
      </c>
      <c r="P37" s="1742"/>
      <c r="Q37" s="1742"/>
      <c r="R37" s="1742"/>
      <c r="S37" s="693"/>
      <c r="T37" s="693"/>
      <c r="U37" s="1743">
        <f>ROUNDUP(U36/2000,0)</f>
        <v>0</v>
      </c>
      <c r="V37" s="1132"/>
      <c r="W37" s="1132"/>
      <c r="BJ37" s="1739">
        <f>N56+N57+N58</f>
        <v>0</v>
      </c>
      <c r="BK37" s="1739">
        <f>SUM(N51:O55)</f>
        <v>0</v>
      </c>
      <c r="BL37" s="1739">
        <f>N59+N60</f>
        <v>0</v>
      </c>
      <c r="BM37" s="1739">
        <f>N67+N68+N69+N70</f>
        <v>0</v>
      </c>
      <c r="BN37" s="1739">
        <f>N66</f>
        <v>0</v>
      </c>
      <c r="BO37" s="1739">
        <f>N71</f>
        <v>0</v>
      </c>
      <c r="BP37" s="1739">
        <f>N74+N73+N72</f>
        <v>0</v>
      </c>
      <c r="BQ37" s="1739">
        <f>N83+N84+N85+N86+N87+N88+N90+N91+N92+N93+N94+N95+N96+W95+L79+N81</f>
        <v>0</v>
      </c>
      <c r="BR37" s="1739">
        <f>S40</f>
        <v>0</v>
      </c>
      <c r="DB37" s="1739">
        <f>D40-DB36</f>
        <v>0</v>
      </c>
      <c r="DC37" s="1739" t="e">
        <f>DC36-D40</f>
        <v>#DIV/0!</v>
      </c>
      <c r="DD37" s="1254">
        <f t="shared" ref="DD37:DJ37" si="51">SUM(DD10:DD36)</f>
        <v>0</v>
      </c>
      <c r="DE37" s="1254">
        <f t="shared" si="51"/>
        <v>0</v>
      </c>
      <c r="DF37" s="1254">
        <f t="shared" si="51"/>
        <v>0</v>
      </c>
      <c r="DG37" s="1254">
        <f t="shared" si="51"/>
        <v>0</v>
      </c>
      <c r="DH37" s="1254">
        <f t="shared" si="51"/>
        <v>0</v>
      </c>
      <c r="DI37" s="1121">
        <f t="shared" si="51"/>
        <v>0</v>
      </c>
      <c r="DJ37" s="1254">
        <f t="shared" si="51"/>
        <v>0</v>
      </c>
    </row>
    <row r="38" spans="1:114" s="1254" customFormat="1" ht="15.45">
      <c r="A38" s="888"/>
      <c r="B38" s="889"/>
      <c r="C38" s="890" t="s">
        <v>1261</v>
      </c>
      <c r="D38" s="2784"/>
      <c r="E38" s="2784"/>
      <c r="F38" s="889"/>
      <c r="G38" s="889"/>
      <c r="H38" s="889"/>
      <c r="I38" s="889"/>
      <c r="J38" s="889"/>
      <c r="K38" s="891"/>
      <c r="L38" s="889"/>
      <c r="M38" s="889"/>
      <c r="N38" s="889"/>
      <c r="O38" s="1053"/>
      <c r="P38" s="889"/>
      <c r="Q38" s="889"/>
      <c r="R38" s="889"/>
      <c r="S38" s="889"/>
      <c r="T38" s="889"/>
      <c r="U38" s="889"/>
      <c r="V38" s="889"/>
      <c r="W38" s="894"/>
      <c r="BJ38" s="1739">
        <f t="shared" ref="BJ38:BR38" si="52">BJ36-BJ37</f>
        <v>0</v>
      </c>
      <c r="BK38" s="1739">
        <f t="shared" si="52"/>
        <v>0</v>
      </c>
      <c r="BL38" s="1739">
        <f t="shared" si="52"/>
        <v>0</v>
      </c>
      <c r="BM38" s="1739">
        <f t="shared" si="52"/>
        <v>0</v>
      </c>
      <c r="BN38" s="1739">
        <f t="shared" si="52"/>
        <v>0</v>
      </c>
      <c r="BO38" s="1739">
        <f t="shared" si="52"/>
        <v>0</v>
      </c>
      <c r="BP38" s="1739">
        <f t="shared" si="52"/>
        <v>0</v>
      </c>
      <c r="BQ38" s="1739">
        <f t="shared" si="52"/>
        <v>0</v>
      </c>
      <c r="BR38" s="1739">
        <f t="shared" si="52"/>
        <v>0</v>
      </c>
    </row>
    <row r="39" spans="1:114" s="1254" customFormat="1" ht="30.9">
      <c r="A39" s="2786" t="s">
        <v>1262</v>
      </c>
      <c r="B39" s="2786"/>
      <c r="C39" s="2786"/>
      <c r="D39" s="1476" t="s">
        <v>982</v>
      </c>
      <c r="E39" s="1478"/>
      <c r="F39" s="1744" t="s">
        <v>1263</v>
      </c>
      <c r="G39" s="1477"/>
      <c r="H39" s="1478"/>
      <c r="I39" s="1054" t="s">
        <v>1264</v>
      </c>
      <c r="J39" s="1055"/>
      <c r="K39" s="1056"/>
      <c r="L39" s="1057" t="s">
        <v>1265</v>
      </c>
      <c r="M39" s="1058"/>
      <c r="N39" s="1058"/>
      <c r="O39" s="1059"/>
      <c r="P39" s="895"/>
      <c r="Q39" s="795" t="s">
        <v>1266</v>
      </c>
      <c r="R39" s="983"/>
      <c r="S39" s="983" t="s">
        <v>1267</v>
      </c>
      <c r="T39" s="1745" t="str">
        <f>Summary!P62</f>
        <v>N</v>
      </c>
      <c r="U39" s="1259" t="s">
        <v>1268</v>
      </c>
      <c r="V39" s="1746">
        <f>Summary!R62</f>
        <v>8.2500000000000004E-2</v>
      </c>
      <c r="W39" s="898"/>
      <c r="DD39" s="1254" t="s">
        <v>1401</v>
      </c>
      <c r="DF39" s="1254" t="s">
        <v>1402</v>
      </c>
    </row>
    <row r="40" spans="1:114" s="1254" customFormat="1" ht="15.45">
      <c r="A40" s="899" t="s">
        <v>1269</v>
      </c>
      <c r="B40" s="2865">
        <f>IF(BF36=0,0,D40/BF36)</f>
        <v>0</v>
      </c>
      <c r="C40" s="2865"/>
      <c r="D40" s="2866">
        <f>(S40-N96)*(1+L40)</f>
        <v>0</v>
      </c>
      <c r="E40" s="2866"/>
      <c r="F40" s="1747">
        <f>IF(D40=0,0,G40/D40)</f>
        <v>0</v>
      </c>
      <c r="G40" s="2792">
        <f>(D40-S40)</f>
        <v>0</v>
      </c>
      <c r="H40" s="2792"/>
      <c r="I40" s="3078">
        <f>IF(BF36=0,0,S40/BF36)</f>
        <v>0</v>
      </c>
      <c r="J40" s="3078"/>
      <c r="K40" s="1748"/>
      <c r="L40" s="1749">
        <f>Summary!P59</f>
        <v>0.18</v>
      </c>
      <c r="M40" s="1750"/>
      <c r="N40" s="1750"/>
      <c r="O40" s="1751"/>
      <c r="P40" s="1137"/>
      <c r="Q40" s="902" t="s">
        <v>980</v>
      </c>
      <c r="R40" s="18"/>
      <c r="S40" s="2942">
        <f>SUM(N51:O63)+SUM(N66:O75)+SUM(N78:O80)+SUM(N83:O88)+SUM(N90:O96)+W95+N64+SUM(K66:L75)+N81</f>
        <v>0</v>
      </c>
      <c r="T40" s="2942"/>
      <c r="U40" s="903"/>
      <c r="V40" s="798"/>
      <c r="W40" s="898"/>
      <c r="DB40" s="168"/>
      <c r="DC40" s="1140" t="s">
        <v>1403</v>
      </c>
      <c r="DD40" s="1141">
        <v>458</v>
      </c>
      <c r="DE40" s="1142"/>
    </row>
    <row r="41" spans="1:114" s="1254" customFormat="1" ht="15.45">
      <c r="A41" s="899"/>
      <c r="B41" s="1483"/>
      <c r="C41" s="1752" t="str">
        <f>IF(ROUND(D41,0)=0,"BINGO!!",IF(ROUND(D41,0)&lt;0,"To Low","T0 High"))</f>
        <v>BINGO!!</v>
      </c>
      <c r="D41" s="2796">
        <f>D40-D38</f>
        <v>0</v>
      </c>
      <c r="E41" s="2796"/>
      <c r="F41" s="1753"/>
      <c r="G41" s="1754"/>
      <c r="H41" s="1754"/>
      <c r="I41" s="1755"/>
      <c r="J41" s="1755"/>
      <c r="K41" s="1755"/>
      <c r="L41" s="1756"/>
      <c r="M41" s="1756"/>
      <c r="N41" s="1756"/>
      <c r="O41" s="1757"/>
      <c r="P41" s="1137"/>
      <c r="Q41" s="1758"/>
      <c r="R41" s="976"/>
      <c r="S41" s="1759"/>
      <c r="T41" s="1759"/>
      <c r="U41" s="1759"/>
      <c r="V41" s="1760"/>
      <c r="W41" s="898"/>
      <c r="DC41" s="928" t="s">
        <v>1406</v>
      </c>
      <c r="DD41" s="1148">
        <v>-5</v>
      </c>
      <c r="DE41" s="1149"/>
      <c r="DF41" s="1150">
        <f>DD40+DD41</f>
        <v>453</v>
      </c>
    </row>
    <row r="42" spans="1:114" s="1254" customFormat="1" ht="15.45">
      <c r="A42" s="1761" t="s">
        <v>1693</v>
      </c>
      <c r="B42" s="1762">
        <f>IF(F42=0,B40,IF(BF36=0,0,BV36/BF36)*(1+L40))</f>
        <v>0</v>
      </c>
      <c r="C42" s="1762"/>
      <c r="D42" s="1763" t="s">
        <v>1694</v>
      </c>
      <c r="E42" s="1763"/>
      <c r="F42" s="1764">
        <f>IF(BG36=0,0,(BT36+BS36)/BG36)*(1+L40)</f>
        <v>0</v>
      </c>
      <c r="G42" s="1764"/>
      <c r="H42" s="1765" t="s">
        <v>1270</v>
      </c>
      <c r="I42" s="1766"/>
      <c r="J42" s="1767"/>
      <c r="K42" s="1768"/>
      <c r="L42" s="904"/>
      <c r="M42" s="1769">
        <f>IF(J42&gt;0,(J42-D40)/(1+L40),0)</f>
        <v>0</v>
      </c>
      <c r="N42" s="1770"/>
      <c r="O42" s="913"/>
      <c r="P42" s="905"/>
      <c r="Q42" s="905"/>
      <c r="R42" s="905"/>
      <c r="S42" s="2946">
        <f>AE1</f>
        <v>0</v>
      </c>
      <c r="T42" s="2946"/>
      <c r="U42" s="1771"/>
      <c r="V42" s="905"/>
      <c r="W42" s="913"/>
      <c r="DC42" s="928" t="s">
        <v>1409</v>
      </c>
      <c r="DD42" s="1148">
        <v>460</v>
      </c>
      <c r="DE42" s="1149"/>
      <c r="DF42" s="1154">
        <f>DD42-DD40</f>
        <v>2</v>
      </c>
    </row>
    <row r="43" spans="1:114" s="1254" customFormat="1">
      <c r="A43" s="626"/>
      <c r="B43" s="626"/>
      <c r="C43" s="626"/>
      <c r="D43" s="626"/>
      <c r="E43" s="626"/>
      <c r="F43" s="626"/>
      <c r="G43" s="626"/>
      <c r="H43" s="626"/>
      <c r="I43" s="626" t="s">
        <v>1061</v>
      </c>
      <c r="J43" s="626" t="s">
        <v>1083</v>
      </c>
      <c r="K43" s="626"/>
      <c r="L43" s="626"/>
      <c r="M43" s="626"/>
      <c r="N43" s="626"/>
      <c r="O43" s="626"/>
      <c r="P43" s="626"/>
      <c r="Q43" s="626"/>
      <c r="R43" s="626" t="s">
        <v>1695</v>
      </c>
      <c r="S43" s="626"/>
      <c r="T43" s="634">
        <f>IF(SUM(W77:W82)=0,0,SUM(W77:W82)/H67)</f>
        <v>0</v>
      </c>
      <c r="U43" s="626" t="s">
        <v>1696</v>
      </c>
      <c r="V43" s="626"/>
      <c r="W43" s="626"/>
      <c r="DB43" s="229"/>
      <c r="DC43" s="229"/>
      <c r="DD43" s="1157"/>
      <c r="DE43" s="715"/>
      <c r="DF43" s="1157"/>
    </row>
    <row r="44" spans="1:114" s="1254" customFormat="1" ht="15.45">
      <c r="A44" s="18" t="s">
        <v>1697</v>
      </c>
      <c r="B44" s="1772"/>
      <c r="C44" s="1772"/>
      <c r="D44" s="1773"/>
      <c r="E44" s="1774"/>
      <c r="F44" s="1775"/>
      <c r="G44" s="1776"/>
      <c r="H44" s="1773"/>
      <c r="I44" s="1530"/>
      <c r="J44" s="1143"/>
      <c r="K44" s="1143"/>
      <c r="L44" s="1143"/>
      <c r="M44" s="1143"/>
      <c r="N44" s="2803" t="s">
        <v>721</v>
      </c>
      <c r="O44" s="2803"/>
      <c r="P44" s="1145" t="s">
        <v>1272</v>
      </c>
      <c r="Q44" s="626"/>
      <c r="R44" s="748" t="s">
        <v>1698</v>
      </c>
      <c r="S44" s="1777"/>
      <c r="T44" s="1778">
        <f>IF(H67=0,0,(N64+W95-W77-W78-W79-W81-W82-W72-W71-W70-W69-W68-W67)/H67)</f>
        <v>0</v>
      </c>
      <c r="U44" s="1779" t="s">
        <v>1699</v>
      </c>
      <c r="V44" s="1780"/>
      <c r="W44" s="626"/>
    </row>
    <row r="45" spans="1:114" s="1254" customFormat="1" ht="15.45">
      <c r="A45" s="626"/>
      <c r="B45" s="1772"/>
      <c r="C45" s="1772"/>
      <c r="D45" s="1773"/>
      <c r="E45" s="3079"/>
      <c r="F45" s="3079"/>
      <c r="G45" s="1773"/>
      <c r="H45" s="1773"/>
      <c r="I45" s="1772"/>
      <c r="J45" s="1540"/>
      <c r="K45" s="1143"/>
      <c r="L45" s="1143"/>
      <c r="M45" s="1143"/>
      <c r="N45" s="924" t="s">
        <v>1274</v>
      </c>
      <c r="O45" s="925"/>
      <c r="P45" s="926"/>
      <c r="Q45" s="1383"/>
      <c r="R45" s="1383" t="s">
        <v>1146</v>
      </c>
      <c r="S45" s="1383" t="s">
        <v>1268</v>
      </c>
      <c r="T45" s="1383" t="s">
        <v>1700</v>
      </c>
      <c r="U45" s="1383" t="s">
        <v>1701</v>
      </c>
      <c r="V45" s="1383"/>
      <c r="W45" s="1783"/>
    </row>
    <row r="46" spans="1:114" s="1254" customFormat="1" ht="15.45">
      <c r="A46" s="626"/>
      <c r="B46" s="1772"/>
      <c r="C46" s="1772"/>
      <c r="D46" s="1144"/>
      <c r="E46" s="1143"/>
      <c r="F46" s="1534"/>
      <c r="G46" s="1143"/>
      <c r="H46" s="1143"/>
      <c r="I46" s="1540"/>
      <c r="J46" s="1143"/>
      <c r="K46" s="1143"/>
      <c r="L46" s="1143"/>
      <c r="M46" s="1143"/>
      <c r="N46" s="932" t="s">
        <v>1276</v>
      </c>
      <c r="O46" s="933">
        <f>K56</f>
        <v>0</v>
      </c>
      <c r="P46" s="1155">
        <f>N56</f>
        <v>0</v>
      </c>
      <c r="Q46" s="626" t="s">
        <v>1702</v>
      </c>
      <c r="R46" s="628">
        <f>N67</f>
        <v>0</v>
      </c>
      <c r="S46" s="1785">
        <v>17.5</v>
      </c>
      <c r="T46" s="634">
        <f>S46*1.3</f>
        <v>22.75</v>
      </c>
      <c r="U46" s="1786">
        <f>R46/T46</f>
        <v>0</v>
      </c>
      <c r="V46" s="3080" t="e">
        <f>H67/U46</f>
        <v>#DIV/0!</v>
      </c>
      <c r="W46" s="3080"/>
    </row>
    <row r="47" spans="1:114" s="1254" customFormat="1" ht="15.45">
      <c r="A47" s="626"/>
      <c r="B47" s="1772"/>
      <c r="C47" s="1772"/>
      <c r="D47" s="1143"/>
      <c r="E47" s="1143"/>
      <c r="F47" s="1143"/>
      <c r="G47" s="1143"/>
      <c r="H47" s="1143"/>
      <c r="I47" s="1540"/>
      <c r="J47" s="1143"/>
      <c r="K47" s="1143"/>
      <c r="L47" s="1143"/>
      <c r="M47" s="1143"/>
      <c r="N47" s="1143"/>
      <c r="O47" s="1143"/>
      <c r="P47" s="626"/>
      <c r="Q47" s="805" t="s">
        <v>1703</v>
      </c>
      <c r="R47" s="628">
        <f>N68</f>
        <v>0</v>
      </c>
      <c r="S47" s="1785">
        <v>17.5</v>
      </c>
      <c r="T47" s="634">
        <f>S47*1.3</f>
        <v>22.75</v>
      </c>
      <c r="U47" s="1786">
        <f>R47/T47</f>
        <v>0</v>
      </c>
      <c r="V47" s="3081" t="e">
        <f>(K52+K55)/U47</f>
        <v>#DIV/0!</v>
      </c>
      <c r="W47" s="3081"/>
    </row>
    <row r="48" spans="1:114" s="1254" customFormat="1" ht="15.45">
      <c r="A48" s="18"/>
      <c r="B48" s="1772"/>
      <c r="C48" s="1772"/>
      <c r="D48" s="1143"/>
      <c r="E48" s="1143"/>
      <c r="F48" s="1143"/>
      <c r="G48" s="1143"/>
      <c r="H48" s="1143"/>
      <c r="I48" s="1540"/>
      <c r="J48" s="1143"/>
      <c r="K48" s="1143"/>
      <c r="L48" s="1143"/>
      <c r="M48" s="1143"/>
      <c r="N48" s="1143"/>
      <c r="O48" s="1143"/>
      <c r="Q48" s="750"/>
      <c r="R48" s="749"/>
      <c r="S48" s="749"/>
      <c r="T48" s="749"/>
      <c r="U48" s="1789"/>
      <c r="V48" s="1789"/>
      <c r="W48" s="1790"/>
      <c r="DD48" s="1254">
        <f>2.52/7.53</f>
        <v>0.33466135458167329</v>
      </c>
    </row>
    <row r="49" spans="1:109" s="1254" customFormat="1">
      <c r="A49" s="626"/>
      <c r="B49" s="626"/>
      <c r="C49" s="626"/>
      <c r="D49" s="626"/>
      <c r="E49" s="626"/>
      <c r="F49" s="626"/>
      <c r="G49" s="626"/>
      <c r="H49" s="626"/>
      <c r="I49" s="628"/>
      <c r="J49" s="626"/>
      <c r="K49" s="628"/>
      <c r="L49" s="626"/>
      <c r="M49" s="626"/>
      <c r="N49" s="626"/>
      <c r="O49" s="626"/>
      <c r="P49" s="626"/>
      <c r="Q49" s="626"/>
      <c r="R49" s="626"/>
      <c r="S49" s="626"/>
      <c r="T49" s="693"/>
      <c r="U49" s="693"/>
      <c r="V49" s="693"/>
      <c r="W49" s="693"/>
      <c r="DB49" s="1254">
        <f>SUM(DE51:DE62)*(1+J56)</f>
        <v>38.861320265625004</v>
      </c>
      <c r="DC49" s="402" t="s">
        <v>612</v>
      </c>
    </row>
    <row r="50" spans="1:109" s="1254" customFormat="1" ht="45.45">
      <c r="A50" s="941" t="s">
        <v>1280</v>
      </c>
      <c r="B50" s="1163" t="s">
        <v>1281</v>
      </c>
      <c r="C50" s="1164"/>
      <c r="D50" s="1164"/>
      <c r="E50" s="1164"/>
      <c r="F50" s="1164"/>
      <c r="G50" s="1164"/>
      <c r="H50" s="1164"/>
      <c r="I50" s="1164"/>
      <c r="J50" s="943" t="s">
        <v>1282</v>
      </c>
      <c r="K50" s="3009" t="str">
        <f>IF(ROUND(SUM(K51:K55),0)=W36,"Good","Missing Concrete!!!")</f>
        <v>Good</v>
      </c>
      <c r="L50" s="3009"/>
      <c r="M50" s="1164"/>
      <c r="N50" s="1164"/>
      <c r="O50" s="1165"/>
      <c r="P50" s="1166" t="s">
        <v>1284</v>
      </c>
      <c r="Q50" s="946" t="s">
        <v>1283</v>
      </c>
      <c r="R50" s="1098"/>
      <c r="S50" s="818" t="s">
        <v>835</v>
      </c>
      <c r="T50" s="947"/>
      <c r="U50" s="948" t="s">
        <v>518</v>
      </c>
      <c r="V50" s="947"/>
      <c r="W50" s="949"/>
      <c r="DB50" s="1168" t="s">
        <v>1259</v>
      </c>
      <c r="DC50" s="1169" t="s">
        <v>1215</v>
      </c>
      <c r="DD50" s="1170" t="s">
        <v>1369</v>
      </c>
      <c r="DE50" s="1171" t="s">
        <v>1414</v>
      </c>
    </row>
    <row r="51" spans="1:109" s="1254" customFormat="1" ht="18" customHeight="1">
      <c r="A51" s="1791">
        <v>1</v>
      </c>
      <c r="B51" s="952" t="str">
        <f>IF(A51=1,Pricing!F$2,IF(A51=2,Pricing!G$2,IF(A51=3,Pricing!H$2,IF(A51=4,Pricing!I$2,IF(A51=5,Pricing!J$2,IF(A51=6,Pricing!K$2,IF(A51=7,Pricing!L$2,IF(A51=8,Pricing!M$2,IF(A51=9,Pricing!N$2,IF(A51=10,Pricing!O$2,0))))))))))</f>
        <v>3,000 PSI 5sk /Ash and Air</v>
      </c>
      <c r="C51" s="1549"/>
      <c r="D51" s="1549"/>
      <c r="E51" s="1549"/>
      <c r="F51" s="969">
        <f>IF(A51=1,Pricing!F$3,IF(A51=2,Pricing!G$3,IF(A51=3,Pricing!H$3,IF(A51=4,Pricing!I$3,IF(A51=5,Pricing!J$3,IF(A51=6,Pricing!K$3,IF(A51=7,Pricing!L$3,IF(A51=8,Pricing!M$3,IF(A51=9,Pricing!N$3,IF(A51=10,Pricing!O$3))))))))))</f>
        <v>134</v>
      </c>
      <c r="G51" s="18" t="s">
        <v>1285</v>
      </c>
      <c r="H51" s="3082"/>
      <c r="I51" s="3082"/>
      <c r="J51" s="3013">
        <v>0.06</v>
      </c>
      <c r="K51" s="2957">
        <f>IF(A51=1,AR$36,IF(A51=2,AS$36,IF(A51=3,AT$36,IF(A51=4,AU$36,IF(A51=5,AV$36,IF(A51=6,AW$36,IF(A51=7,AX$36,IF(A51=8,AY$36,IF(A51=9,AZ$36,IF(A51=10,BA$36))))))))))+IF(A51=1,AH$36,IF(A51=2,AI$36,IF(A51=3,AJ$36,IF(A51=4,AK$36,IF(A51=5,AL$36,IF(A51=6,AM$36,IF(A51=7,AN$36,IF(A51=8,AOJ$36,IF(A51=9,AP$36,IF(A51=10,AQ$36))))))))))</f>
        <v>0</v>
      </c>
      <c r="L51" s="2957"/>
      <c r="M51" s="17" t="s">
        <v>1286</v>
      </c>
      <c r="N51" s="2813">
        <f>K51*F51*(IF(T$39="N",1+V$39,1))</f>
        <v>0</v>
      </c>
      <c r="O51" s="2813"/>
      <c r="P51" s="1172"/>
      <c r="Q51" s="859" t="s">
        <v>1415</v>
      </c>
      <c r="R51" s="77"/>
      <c r="S51" s="1173">
        <v>0.4</v>
      </c>
      <c r="T51" s="77"/>
      <c r="U51" s="1174">
        <f>BJ71</f>
        <v>0</v>
      </c>
      <c r="V51" s="77"/>
      <c r="W51" s="1175"/>
      <c r="DB51" s="142">
        <v>20</v>
      </c>
      <c r="DC51" s="143">
        <v>4</v>
      </c>
      <c r="DD51" s="144">
        <v>1</v>
      </c>
      <c r="DE51" s="145">
        <f>DB51*(DC51*DC51*0.04180884375)*DD51</f>
        <v>13.378829999999999</v>
      </c>
    </row>
    <row r="52" spans="1:109" s="1254" customFormat="1" ht="18" customHeight="1">
      <c r="A52" s="1792">
        <v>2</v>
      </c>
      <c r="B52" s="574" t="str">
        <f>IF(A52=1,Pricing!F$2,IF(A52=2,Pricing!G$2,IF(A52=3,Pricing!H$2,IF(A52=4,Pricing!I$2,IF(A52=5,Pricing!J$2,IF(A52=6,Pricing!K$2,IF(A52=7,Pricing!L$2,IF(A52=8,Pricing!M$2,IF(A52=9,Pricing!N$2,IF(A52=10,Pricing!O$2,0))))))))))</f>
        <v>3,000 PSI / Ash no Air</v>
      </c>
      <c r="C52" s="18"/>
      <c r="D52" s="18"/>
      <c r="E52" s="18"/>
      <c r="F52" s="969">
        <f>IF(A52=1,Pricing!F$3,IF(A52=2,Pricing!G$3,IF(A52=3,Pricing!H$3,IF(A52=4,Pricing!I$3,IF(A52=5,Pricing!J$3,IF(A52=6,Pricing!K$3,IF(A52=7,Pricing!L$3,IF(A52=8,Pricing!M$3,IF(A52=9,Pricing!N$3,IF(A52=10,Pricing!O$3))))))))))</f>
        <v>145</v>
      </c>
      <c r="G52" s="18" t="s">
        <v>1285</v>
      </c>
      <c r="H52" s="3082"/>
      <c r="I52" s="3082"/>
      <c r="J52" s="3013"/>
      <c r="K52" s="3010">
        <f>IF(A52=1,AR$36,IF(A52=2,AS$36,IF(A52=3,AT$36,IF(A52=4,AU$36,IF(A52=5,AV$36,IF(A52=6,AW$36))))))+IF(A52=1,AH$36,IF(A52=2,AI$36,IF(A52=3,AJ$36,IF(A52=4,AK$36,IF(A52=5,AL$36,IF(A52=6,AM$36))))))</f>
        <v>0</v>
      </c>
      <c r="L52" s="3010"/>
      <c r="M52" s="17" t="s">
        <v>1286</v>
      </c>
      <c r="N52" s="2810">
        <f>K52*F52*(IF(T$39="N",1+V$39,1))</f>
        <v>0</v>
      </c>
      <c r="O52" s="2810"/>
      <c r="P52" s="1172" t="s">
        <v>1069</v>
      </c>
      <c r="Q52" s="859" t="s">
        <v>526</v>
      </c>
      <c r="R52" s="77"/>
      <c r="S52" s="1176">
        <f>H67*3.6*S51</f>
        <v>0</v>
      </c>
      <c r="T52" s="1177" t="s">
        <v>1704</v>
      </c>
      <c r="U52" s="1174">
        <f>Pricing!Q4</f>
        <v>0.859375</v>
      </c>
      <c r="V52" s="77" t="s">
        <v>527</v>
      </c>
      <c r="W52" s="1175">
        <f t="shared" ref="W52:W67" si="53">IF(T$39="Y",S52*U52,S52*U52*(1+V$39))</f>
        <v>0</v>
      </c>
      <c r="DB52" s="142">
        <v>3</v>
      </c>
      <c r="DC52" s="143">
        <v>5</v>
      </c>
      <c r="DD52" s="144">
        <v>3</v>
      </c>
      <c r="DE52" s="145">
        <f>DB52*(DC52*DC52*0.04180884375)*DD52</f>
        <v>9.406989843749999</v>
      </c>
    </row>
    <row r="53" spans="1:109" s="1254" customFormat="1" ht="18" customHeight="1">
      <c r="A53" s="1793">
        <v>3</v>
      </c>
      <c r="B53" s="574" t="str">
        <f>IF(A53=1,Pricing!F$2,IF(A53=2,Pricing!G$2,IF(A53=3,Pricing!H$2,IF(A53=4,Pricing!I$2,IF(A53=5,Pricing!J$2,IF(A53=6,Pricing!K$2,IF(A53=7,Pricing!L$2,IF(A53=8,Pricing!M$2,IF(A53=9,Pricing!N$2,IF(A53=10,Pricing!O$2,0))))))))))</f>
        <v>3,500 PSI 5.5sk /Ash and Air</v>
      </c>
      <c r="C53" s="18"/>
      <c r="D53" s="18"/>
      <c r="E53" s="18"/>
      <c r="F53" s="969">
        <f>IF(A53=1,Pricing!F$3,IF(A53=2,Pricing!G$3,IF(A53=3,Pricing!H$3,IF(A53=4,Pricing!I$3,IF(A53=5,Pricing!J$3,IF(A53=6,Pricing!K$3,IF(A53=7,Pricing!L$3,IF(A53=8,Pricing!M$3,IF(A53=9,Pricing!N$3,IF(A53=10,Pricing!O$3))))))))))</f>
        <v>150</v>
      </c>
      <c r="G53" s="18" t="s">
        <v>1285</v>
      </c>
      <c r="H53" s="3082"/>
      <c r="I53" s="3082"/>
      <c r="J53" s="3013"/>
      <c r="K53" s="3010">
        <f>IF(A53=1,AR$36,IF(A53=2,AS$36,IF(A53=3,AT$36,IF(A53=4,AU$36,IF(A53=5,AV$36,IF(A53=6,AW$36))))))+IF(A53=1,AH$36,IF(A53=2,AI$36,IF(A53=3,AJ$36,IF(A53=4,AK$36,IF(A53=5,AL$36,IF(A53=6,AM$36))))))</f>
        <v>0</v>
      </c>
      <c r="L53" s="3010"/>
      <c r="M53" s="17" t="s">
        <v>1286</v>
      </c>
      <c r="N53" s="2810">
        <f>K53*F53*(IF(T$39="N",1+V$39,1))</f>
        <v>0</v>
      </c>
      <c r="O53" s="2810"/>
      <c r="P53" s="1172"/>
      <c r="Q53" s="859"/>
      <c r="R53" s="77"/>
      <c r="S53" s="1176"/>
      <c r="T53" s="1177"/>
      <c r="U53" s="1174"/>
      <c r="V53" s="77"/>
      <c r="W53" s="1175">
        <f t="shared" si="53"/>
        <v>0</v>
      </c>
      <c r="DB53" s="142"/>
      <c r="DC53" s="143"/>
      <c r="DD53" s="144"/>
      <c r="DE53" s="145"/>
    </row>
    <row r="54" spans="1:109" s="1254" customFormat="1" ht="18" customHeight="1">
      <c r="A54" s="1793">
        <v>4</v>
      </c>
      <c r="B54" s="574" t="str">
        <f>IF(A54=1,Pricing!F$2,IF(A54=2,Pricing!G$2,IF(A54=3,Pricing!H$2,IF(A54=4,Pricing!I$2,IF(A54=5,Pricing!J$2,IF(A54=6,Pricing!K$2,IF(A54=7,Pricing!L$2,IF(A54=8,Pricing!M$2,IF(A54=9,Pricing!N$2,IF(A54=10,Pricing!O$2,0))))))))))</f>
        <v>3,500 PSI /Ash No Air</v>
      </c>
      <c r="C54" s="18"/>
      <c r="D54" s="18"/>
      <c r="E54" s="18"/>
      <c r="F54" s="969">
        <f>IF(A54=1,Pricing!F$3,IF(A54=2,Pricing!G$3,IF(A54=3,Pricing!H$3,IF(A54=4,Pricing!I$3,IF(A54=5,Pricing!J$3,IF(A54=6,Pricing!K$3,IF(A54=7,Pricing!L$3,IF(A54=8,Pricing!M$3,IF(A54=9,Pricing!N$3,IF(A54=10,Pricing!O$3))))))))))</f>
        <v>150</v>
      </c>
      <c r="G54" s="18" t="s">
        <v>1285</v>
      </c>
      <c r="H54" s="3082"/>
      <c r="I54" s="3082"/>
      <c r="J54" s="3013"/>
      <c r="K54" s="3010">
        <f>IF(A54=1,AR$36,IF(A54=2,AS$36,IF(A54=3,AT$36,IF(A54=4,AU$36,IF(A54=5,AV$36,IF(A54=6,AW$36))))))+IF(A54=1,AH$36,IF(A54=2,AI$36,IF(A54=3,AJ$36,IF(A54=4,AK$36,IF(A54=5,AL$36,IF(A54=6,AM$36))))))</f>
        <v>0</v>
      </c>
      <c r="L54" s="3010"/>
      <c r="M54" s="17" t="s">
        <v>1286</v>
      </c>
      <c r="N54" s="2810">
        <f>K54*F54*(IF(T$39="N",1+V$39,1))</f>
        <v>0</v>
      </c>
      <c r="O54" s="2810"/>
      <c r="P54" s="1172"/>
      <c r="Q54" s="859"/>
      <c r="R54" s="77"/>
      <c r="S54" s="1176"/>
      <c r="T54" s="1177"/>
      <c r="U54" s="1174"/>
      <c r="V54" s="77"/>
      <c r="W54" s="1175">
        <f t="shared" si="53"/>
        <v>0</v>
      </c>
      <c r="DB54" s="142"/>
      <c r="DC54" s="143"/>
      <c r="DD54" s="144"/>
      <c r="DE54" s="145"/>
    </row>
    <row r="55" spans="1:109" s="1254" customFormat="1" ht="18" customHeight="1">
      <c r="A55" s="1794">
        <v>5</v>
      </c>
      <c r="B55" s="966" t="str">
        <f>IF(A55=1,Pricing!F$2,IF(A55=2,Pricing!G$2,IF(A55=3,Pricing!H$2,IF(A55=4,Pricing!I$2,IF(A55=5,Pricing!J$2,IF(A55=6,Pricing!K$2,IF(A55=7,Pricing!L$2,IF(A55=8,Pricing!M$2,IF(A55=9,Pricing!N$2,IF(A55=10,Pricing!O$2,0))))))))))</f>
        <v>4,000 PSI /Ash and Air</v>
      </c>
      <c r="C55" s="373"/>
      <c r="D55" s="373"/>
      <c r="E55" s="373"/>
      <c r="F55" s="1180">
        <f>IF(A55=1,Pricing!F$3,IF(A55=2,Pricing!G$3,IF(A55=3,Pricing!H$3,IF(A55=4,Pricing!I$3,IF(A55=5,Pricing!J$3,IF(A55=6,Pricing!K$3,IF(A55=7,Pricing!L$3,IF(A55=8,Pricing!M$3,IF(A55=9,Pricing!N$3,IF(A55=10,Pricing!O$3))))))))))</f>
        <v>155</v>
      </c>
      <c r="G55" s="373" t="s">
        <v>1285</v>
      </c>
      <c r="H55" s="3082"/>
      <c r="I55" s="3082"/>
      <c r="J55" s="3013"/>
      <c r="K55" s="3011">
        <f>IF(A55=1,AR$36,IF(A55=2,AS$36,IF(A55=3,AT$36,IF(A55=4,AU$36,IF(A55=5,AV$36,IF(A55=6,AW$36))))))+IF(A55=1,AH$36,IF(A55=2,AI$36,IF(A55=3,AJ$36,IF(A55=4,AK$36,IF(A55=5,AL$36,IF(A55=6,AM$36))))))</f>
        <v>0</v>
      </c>
      <c r="L55" s="3011"/>
      <c r="M55" s="967" t="s">
        <v>1286</v>
      </c>
      <c r="N55" s="2819">
        <f>K55*F55*(IF(T$39="N",1+V$39,1))</f>
        <v>0</v>
      </c>
      <c r="O55" s="2819"/>
      <c r="P55" s="1172" t="s">
        <v>1069</v>
      </c>
      <c r="Q55" s="859" t="s">
        <v>534</v>
      </c>
      <c r="R55" s="77"/>
      <c r="S55" s="1176">
        <f>S52*0.2</f>
        <v>0</v>
      </c>
      <c r="T55" s="1177" t="s">
        <v>1704</v>
      </c>
      <c r="U55" s="1174">
        <f>Pricing!Q5</f>
        <v>1.4453125</v>
      </c>
      <c r="V55" s="77" t="s">
        <v>527</v>
      </c>
      <c r="W55" s="1175">
        <f t="shared" si="53"/>
        <v>0</v>
      </c>
      <c r="DB55" s="142">
        <v>6</v>
      </c>
      <c r="DC55" s="143">
        <v>5</v>
      </c>
      <c r="DD55" s="144">
        <v>2</v>
      </c>
      <c r="DE55" s="145">
        <f t="shared" ref="DE55:DE62" si="54">DB55*(DC55*DC55*0.04180884375)*DD55</f>
        <v>12.542653124999999</v>
      </c>
    </row>
    <row r="56" spans="1:109" s="1254" customFormat="1" ht="18" customHeight="1">
      <c r="A56" s="1795" t="str">
        <f>Summary!V60</f>
        <v>Import</v>
      </c>
      <c r="B56" s="963" t="s">
        <v>1287</v>
      </c>
      <c r="C56" s="18"/>
      <c r="D56" s="18"/>
      <c r="E56" s="18"/>
      <c r="F56" s="969">
        <f>Pricing!D23</f>
        <v>0.65</v>
      </c>
      <c r="G56" s="18" t="s">
        <v>555</v>
      </c>
      <c r="H56" s="3083"/>
      <c r="I56" s="3083"/>
      <c r="J56" s="970">
        <v>0.1</v>
      </c>
      <c r="K56" s="2957">
        <f>U36</f>
        <v>0</v>
      </c>
      <c r="L56" s="2957"/>
      <c r="M56" s="18" t="s">
        <v>1288</v>
      </c>
      <c r="N56" s="2813">
        <f>F56*K56*(IF(T39="N",1+V39,1))</f>
        <v>0</v>
      </c>
      <c r="O56" s="2813"/>
      <c r="P56" s="1172" t="s">
        <v>1069</v>
      </c>
      <c r="Q56" s="859" t="s">
        <v>536</v>
      </c>
      <c r="R56" s="77"/>
      <c r="S56" s="1176">
        <v>0</v>
      </c>
      <c r="T56" s="1177" t="s">
        <v>1704</v>
      </c>
      <c r="U56" s="1174">
        <f>Pricing!Q6</f>
        <v>1.171875</v>
      </c>
      <c r="V56" s="77" t="s">
        <v>527</v>
      </c>
      <c r="W56" s="1175">
        <f t="shared" si="53"/>
        <v>0</v>
      </c>
      <c r="DB56" s="142"/>
      <c r="DC56" s="143"/>
      <c r="DD56" s="144"/>
      <c r="DE56" s="145">
        <f t="shared" si="54"/>
        <v>0</v>
      </c>
    </row>
    <row r="57" spans="1:109" s="1254" customFormat="1" ht="18" customHeight="1">
      <c r="A57" s="574"/>
      <c r="B57" s="963"/>
      <c r="C57" s="18"/>
      <c r="D57" s="18"/>
      <c r="E57" s="18"/>
      <c r="F57" s="1182">
        <f>Pricing!F6</f>
        <v>0</v>
      </c>
      <c r="G57" s="18" t="s">
        <v>600</v>
      </c>
      <c r="H57" s="3084"/>
      <c r="I57" s="3084"/>
      <c r="J57" s="1184">
        <v>0.05</v>
      </c>
      <c r="K57" s="3010"/>
      <c r="L57" s="3010"/>
      <c r="M57" s="18" t="s">
        <v>1418</v>
      </c>
      <c r="N57" s="2810">
        <f>K57*F57*(IF(T39="N",1+V39,1))*(J57+1)</f>
        <v>0</v>
      </c>
      <c r="O57" s="2810"/>
      <c r="P57" s="1172" t="s">
        <v>1069</v>
      </c>
      <c r="Q57" s="859" t="s">
        <v>538</v>
      </c>
      <c r="R57" s="77"/>
      <c r="S57" s="1176">
        <f>E36*2*S51</f>
        <v>0</v>
      </c>
      <c r="T57" s="1177" t="s">
        <v>1704</v>
      </c>
      <c r="U57" s="1174">
        <f>Pricing!Q7</f>
        <v>1.09375</v>
      </c>
      <c r="V57" s="77" t="s">
        <v>527</v>
      </c>
      <c r="W57" s="1175">
        <f t="shared" si="53"/>
        <v>0</v>
      </c>
      <c r="DB57" s="1185"/>
      <c r="DC57" s="1186"/>
      <c r="DD57" s="1187"/>
      <c r="DE57" s="1188">
        <f t="shared" si="54"/>
        <v>0</v>
      </c>
    </row>
    <row r="58" spans="1:109" s="1254" customFormat="1" ht="18" customHeight="1">
      <c r="A58" s="574"/>
      <c r="B58" s="966" t="s">
        <v>1419</v>
      </c>
      <c r="C58" s="373"/>
      <c r="D58" s="373"/>
      <c r="E58" s="373"/>
      <c r="F58" s="1180">
        <v>0.35</v>
      </c>
      <c r="G58" s="373" t="s">
        <v>600</v>
      </c>
      <c r="H58" s="1209" t="s">
        <v>1291</v>
      </c>
      <c r="I58" s="972">
        <v>0</v>
      </c>
      <c r="J58" s="972"/>
      <c r="K58" s="3011"/>
      <c r="L58" s="3011"/>
      <c r="M58" s="373" t="s">
        <v>1418</v>
      </c>
      <c r="N58" s="2815">
        <f>IF(L35="y",IF(I58=0,K58*F58,I58),0)*(IF(S$65="N",1+U$65,1))</f>
        <v>0</v>
      </c>
      <c r="O58" s="2815"/>
      <c r="P58" s="1172" t="s">
        <v>1069</v>
      </c>
      <c r="Q58" s="859" t="s">
        <v>540</v>
      </c>
      <c r="R58" s="77"/>
      <c r="S58" s="1176">
        <f>ROUNDUP(H67*2/32*S51*1.1,0)</f>
        <v>0</v>
      </c>
      <c r="T58" s="77" t="s">
        <v>1420</v>
      </c>
      <c r="U58" s="1174">
        <f>Pricing!Q8</f>
        <v>74.75</v>
      </c>
      <c r="V58" s="77" t="s">
        <v>541</v>
      </c>
      <c r="W58" s="1175">
        <f t="shared" si="53"/>
        <v>0</v>
      </c>
      <c r="DB58" s="142"/>
      <c r="DC58" s="143"/>
      <c r="DD58" s="144"/>
      <c r="DE58" s="145">
        <f t="shared" si="54"/>
        <v>0</v>
      </c>
    </row>
    <row r="59" spans="1:109" s="1254" customFormat="1" ht="18" customHeight="1">
      <c r="A59" s="1087"/>
      <c r="B59" s="17" t="s">
        <v>1421</v>
      </c>
      <c r="C59" s="18"/>
      <c r="D59" s="18"/>
      <c r="E59" s="18"/>
      <c r="F59" s="1191">
        <v>20</v>
      </c>
      <c r="G59" s="18" t="s">
        <v>1459</v>
      </c>
      <c r="H59" s="2816"/>
      <c r="I59" s="2816"/>
      <c r="J59" s="3013">
        <v>0.05</v>
      </c>
      <c r="K59" s="2957">
        <f>SUM(BH36)</f>
        <v>0</v>
      </c>
      <c r="L59" s="2957"/>
      <c r="M59" s="18" t="s">
        <v>1286</v>
      </c>
      <c r="N59" s="2813">
        <f>K59*F59*IF(Q29="N",1+T29,1)</f>
        <v>0</v>
      </c>
      <c r="O59" s="2813"/>
      <c r="P59" s="1172" t="s">
        <v>1069</v>
      </c>
      <c r="Q59" s="859" t="s">
        <v>1298</v>
      </c>
      <c r="R59" s="77"/>
      <c r="S59" s="1176">
        <f>ROUNDUP(E36*2/25,0)*S51</f>
        <v>0</v>
      </c>
      <c r="T59" s="77" t="s">
        <v>1705</v>
      </c>
      <c r="U59" s="1174">
        <f>Pricing!Q15</f>
        <v>24</v>
      </c>
      <c r="V59" s="77" t="s">
        <v>1300</v>
      </c>
      <c r="W59" s="1175">
        <f t="shared" si="53"/>
        <v>0</v>
      </c>
      <c r="DB59" s="142"/>
      <c r="DC59" s="143"/>
      <c r="DD59" s="144"/>
      <c r="DE59" s="145">
        <f t="shared" si="54"/>
        <v>0</v>
      </c>
    </row>
    <row r="60" spans="1:109" s="1254" customFormat="1" ht="18" customHeight="1">
      <c r="A60" s="574"/>
      <c r="B60" s="987" t="s">
        <v>1424</v>
      </c>
      <c r="C60" s="373"/>
      <c r="D60" s="1192"/>
      <c r="E60" s="373"/>
      <c r="F60" s="1193">
        <v>38</v>
      </c>
      <c r="G60" s="373" t="s">
        <v>1285</v>
      </c>
      <c r="H60" s="2816"/>
      <c r="I60" s="2816"/>
      <c r="J60" s="3013"/>
      <c r="K60" s="3011"/>
      <c r="L60" s="3011"/>
      <c r="M60" s="373" t="s">
        <v>1418</v>
      </c>
      <c r="N60" s="2819">
        <f>K60*F60</f>
        <v>0</v>
      </c>
      <c r="O60" s="2819"/>
      <c r="P60" s="1172" t="s">
        <v>1069</v>
      </c>
      <c r="Q60" s="859" t="s">
        <v>561</v>
      </c>
      <c r="R60" s="77"/>
      <c r="S60" s="1176">
        <f>ROUNDUP(H67/1800,0)</f>
        <v>0</v>
      </c>
      <c r="T60" s="77" t="s">
        <v>1303</v>
      </c>
      <c r="U60" s="1174">
        <f>Pricing!Q16</f>
        <v>68.2</v>
      </c>
      <c r="V60" s="77" t="s">
        <v>562</v>
      </c>
      <c r="W60" s="1175">
        <f t="shared" si="53"/>
        <v>0</v>
      </c>
      <c r="DB60" s="142"/>
      <c r="DC60" s="143"/>
      <c r="DD60" s="144"/>
      <c r="DE60" s="145">
        <f t="shared" si="54"/>
        <v>0</v>
      </c>
    </row>
    <row r="61" spans="1:109" s="1254" customFormat="1" ht="18" customHeight="1">
      <c r="A61" s="574"/>
      <c r="B61" s="963"/>
      <c r="C61" s="18"/>
      <c r="D61" s="793"/>
      <c r="E61" s="18"/>
      <c r="F61" s="1796">
        <v>0.17</v>
      </c>
      <c r="G61" s="18" t="s">
        <v>1426</v>
      </c>
      <c r="H61" s="2816"/>
      <c r="I61" s="2816"/>
      <c r="J61" s="3013">
        <v>0.1</v>
      </c>
      <c r="K61" s="2957"/>
      <c r="L61" s="2957"/>
      <c r="M61" s="18" t="s">
        <v>1418</v>
      </c>
      <c r="N61" s="3085">
        <f>F61*K61</f>
        <v>0</v>
      </c>
      <c r="O61" s="3085"/>
      <c r="P61" s="1172" t="s">
        <v>1069</v>
      </c>
      <c r="Q61" s="859" t="s">
        <v>563</v>
      </c>
      <c r="R61" s="77"/>
      <c r="S61" s="1176">
        <f>ROUNDUP(H67/1000,0)</f>
        <v>0</v>
      </c>
      <c r="T61" s="77" t="s">
        <v>1303</v>
      </c>
      <c r="U61" s="1174">
        <f>Pricing!Q17</f>
        <v>68.2</v>
      </c>
      <c r="V61" s="77" t="s">
        <v>562</v>
      </c>
      <c r="W61" s="1175">
        <f t="shared" si="53"/>
        <v>0</v>
      </c>
      <c r="DB61" s="1195"/>
      <c r="DC61" s="143"/>
      <c r="DD61" s="144"/>
      <c r="DE61" s="145">
        <f t="shared" si="54"/>
        <v>0</v>
      </c>
    </row>
    <row r="62" spans="1:109" s="1254" customFormat="1" ht="18" customHeight="1">
      <c r="A62" s="963" t="s">
        <v>1706</v>
      </c>
      <c r="B62" s="17"/>
      <c r="C62" s="17"/>
      <c r="D62" s="793" t="s">
        <v>1428</v>
      </c>
      <c r="E62" s="1196" t="s">
        <v>1029</v>
      </c>
      <c r="F62" s="1197">
        <v>1.25</v>
      </c>
      <c r="G62" s="18" t="s">
        <v>600</v>
      </c>
      <c r="H62" s="2816"/>
      <c r="I62" s="2816"/>
      <c r="J62" s="3013"/>
      <c r="K62" s="3010">
        <f>IF(E62="Y",E36,0)*(1+J60)</f>
        <v>0</v>
      </c>
      <c r="L62" s="3010"/>
      <c r="M62" s="18" t="s">
        <v>1259</v>
      </c>
      <c r="N62" s="2859">
        <f>K62*F62</f>
        <v>0</v>
      </c>
      <c r="O62" s="2859"/>
      <c r="P62" s="1172" t="s">
        <v>1069</v>
      </c>
      <c r="Q62" s="859" t="s">
        <v>564</v>
      </c>
      <c r="R62" s="77"/>
      <c r="S62" s="1176">
        <f>S61</f>
        <v>0</v>
      </c>
      <c r="T62" s="77" t="s">
        <v>1303</v>
      </c>
      <c r="U62" s="1174">
        <f>Pricing!Q18</f>
        <v>68.2</v>
      </c>
      <c r="V62" s="77" t="s">
        <v>562</v>
      </c>
      <c r="W62" s="1175">
        <f t="shared" si="53"/>
        <v>0</v>
      </c>
      <c r="DB62" s="1185"/>
      <c r="DC62" s="1186"/>
      <c r="DD62" s="1187"/>
      <c r="DE62" s="1188">
        <f t="shared" si="54"/>
        <v>0</v>
      </c>
    </row>
    <row r="63" spans="1:109" s="1254" customFormat="1" ht="18" customHeight="1">
      <c r="A63" s="987" t="s">
        <v>1707</v>
      </c>
      <c r="B63" s="967"/>
      <c r="C63" s="967"/>
      <c r="D63" s="1192" t="s">
        <v>1428</v>
      </c>
      <c r="E63" s="1198" t="s">
        <v>1029</v>
      </c>
      <c r="F63" s="1199">
        <v>1.8</v>
      </c>
      <c r="G63" s="373" t="s">
        <v>1430</v>
      </c>
      <c r="H63" s="2816"/>
      <c r="I63" s="2816"/>
      <c r="J63" s="3013"/>
      <c r="K63" s="3011">
        <f>IF(E63="Y",E36*2,0)*(1+J61)</f>
        <v>0</v>
      </c>
      <c r="L63" s="3011"/>
      <c r="M63" s="373" t="s">
        <v>1259</v>
      </c>
      <c r="N63" s="2815">
        <f>K63*F63</f>
        <v>0</v>
      </c>
      <c r="O63" s="2815"/>
      <c r="P63" s="1172" t="s">
        <v>1069</v>
      </c>
      <c r="Q63" s="859" t="s">
        <v>1310</v>
      </c>
      <c r="R63" s="77"/>
      <c r="S63" s="1176">
        <f>AL23*12/48/50</f>
        <v>0</v>
      </c>
      <c r="T63" s="77" t="s">
        <v>1303</v>
      </c>
      <c r="U63" s="1174">
        <f>Pricing!Q34</f>
        <v>45.239999999999995</v>
      </c>
      <c r="V63" s="77" t="s">
        <v>562</v>
      </c>
      <c r="W63" s="1175">
        <f t="shared" si="53"/>
        <v>0</v>
      </c>
    </row>
    <row r="64" spans="1:109" s="1254" customFormat="1" ht="18" customHeight="1">
      <c r="A64" s="577"/>
      <c r="B64" s="577" t="s">
        <v>1431</v>
      </c>
      <c r="C64" s="976"/>
      <c r="D64" s="976"/>
      <c r="E64" s="976"/>
      <c r="F64" s="1798">
        <v>3.75</v>
      </c>
      <c r="G64" s="976" t="s">
        <v>1432</v>
      </c>
      <c r="H64" s="2820" t="s">
        <v>1708</v>
      </c>
      <c r="I64" s="2820"/>
      <c r="J64" s="978"/>
      <c r="K64" s="1201">
        <f>H67</f>
        <v>0</v>
      </c>
      <c r="L64" s="1799"/>
      <c r="M64" s="976" t="s">
        <v>1418</v>
      </c>
      <c r="N64" s="3015">
        <f>F64*J64*K64</f>
        <v>0</v>
      </c>
      <c r="O64" s="3015"/>
      <c r="P64" s="1172" t="s">
        <v>1069</v>
      </c>
      <c r="Q64" s="859" t="s">
        <v>571</v>
      </c>
      <c r="R64" s="77"/>
      <c r="S64" s="1176">
        <f>BN51+AD122</f>
        <v>0</v>
      </c>
      <c r="T64" s="1177" t="s">
        <v>1704</v>
      </c>
      <c r="U64" s="1174">
        <f>Pricing!Q19</f>
        <v>0.95</v>
      </c>
      <c r="V64" s="77" t="s">
        <v>527</v>
      </c>
      <c r="W64" s="1175">
        <f t="shared" si="53"/>
        <v>0</v>
      </c>
    </row>
    <row r="65" spans="1:23" s="1254" customFormat="1" ht="18" customHeight="1">
      <c r="A65" s="1202" t="s">
        <v>1434</v>
      </c>
      <c r="B65" s="1203"/>
      <c r="C65" s="1203" t="s">
        <v>1296</v>
      </c>
      <c r="D65" s="1203"/>
      <c r="E65" s="1203"/>
      <c r="F65" s="1800"/>
      <c r="G65" s="1203"/>
      <c r="H65" s="1203"/>
      <c r="I65" s="1203"/>
      <c r="J65" s="1203"/>
      <c r="K65" s="1203" t="s">
        <v>973</v>
      </c>
      <c r="L65" s="1203"/>
      <c r="M65" s="1203" t="s">
        <v>1297</v>
      </c>
      <c r="N65" s="1801"/>
      <c r="O65" s="1086"/>
      <c r="P65" s="1172" t="s">
        <v>1069</v>
      </c>
      <c r="Q65" s="859" t="s">
        <v>576</v>
      </c>
      <c r="R65" s="77"/>
      <c r="S65" s="1176">
        <f>E36*2</f>
        <v>0</v>
      </c>
      <c r="T65" s="1177" t="s">
        <v>1704</v>
      </c>
      <c r="U65" s="1174">
        <f>Pricing!Q20</f>
        <v>0.25</v>
      </c>
      <c r="V65" s="77" t="s">
        <v>527</v>
      </c>
      <c r="W65" s="1175">
        <f t="shared" si="53"/>
        <v>0</v>
      </c>
    </row>
    <row r="66" spans="1:23" s="1254" customFormat="1" ht="18" customHeight="1">
      <c r="A66" s="1593" t="s">
        <v>1709</v>
      </c>
      <c r="B66" s="983"/>
      <c r="C66" s="982" t="s">
        <v>1306</v>
      </c>
      <c r="D66" s="2825">
        <v>8</v>
      </c>
      <c r="E66" s="2825"/>
      <c r="F66" s="1802" t="s">
        <v>1618</v>
      </c>
      <c r="G66" s="983"/>
      <c r="H66" s="3018">
        <f>BG36</f>
        <v>0</v>
      </c>
      <c r="I66" s="3018"/>
      <c r="J66" s="983" t="s">
        <v>1418</v>
      </c>
      <c r="K66" s="2828">
        <f>IF(C66="N",D66*H66,0)</f>
        <v>0</v>
      </c>
      <c r="L66" s="2828"/>
      <c r="M66" s="168"/>
      <c r="N66" s="2856">
        <f>IF(C66="y",D66*H66,0)</f>
        <v>0</v>
      </c>
      <c r="O66" s="2856"/>
      <c r="P66" s="1172" t="s">
        <v>1069</v>
      </c>
      <c r="Q66" s="859" t="s">
        <v>583</v>
      </c>
      <c r="R66" s="77"/>
      <c r="S66" s="1176">
        <f>H67/2.25/50</f>
        <v>0</v>
      </c>
      <c r="T66" s="77" t="s">
        <v>584</v>
      </c>
      <c r="U66" s="1174">
        <f>Pricing!Q21</f>
        <v>45</v>
      </c>
      <c r="V66" s="77" t="s">
        <v>562</v>
      </c>
      <c r="W66" s="1175">
        <f t="shared" si="53"/>
        <v>0</v>
      </c>
    </row>
    <row r="67" spans="1:23" s="1254" customFormat="1" ht="18" customHeight="1">
      <c r="A67" s="482" t="s">
        <v>1437</v>
      </c>
      <c r="B67" s="380"/>
      <c r="C67" s="1206" t="s">
        <v>1306</v>
      </c>
      <c r="D67" s="2830">
        <v>3.5</v>
      </c>
      <c r="E67" s="2830"/>
      <c r="F67" s="77" t="s">
        <v>1618</v>
      </c>
      <c r="G67" s="3020">
        <f>SUM(D67:E69)</f>
        <v>8</v>
      </c>
      <c r="H67" s="3086">
        <f>BF36</f>
        <v>0</v>
      </c>
      <c r="I67" s="3086"/>
      <c r="J67" s="18" t="s">
        <v>1439</v>
      </c>
      <c r="K67" s="2831">
        <f>IF(C67="N",D67*H$67,0)</f>
        <v>0</v>
      </c>
      <c r="L67" s="2831"/>
      <c r="N67" s="3087">
        <f>IF(C67="y",H$67*D67,0)</f>
        <v>0</v>
      </c>
      <c r="O67" s="3087"/>
      <c r="P67" s="1172" t="s">
        <v>1069</v>
      </c>
      <c r="Q67" s="859" t="s">
        <v>1710</v>
      </c>
      <c r="R67" s="77"/>
      <c r="S67" s="1176">
        <f>E36</f>
        <v>0</v>
      </c>
      <c r="T67" s="77" t="s">
        <v>1259</v>
      </c>
      <c r="U67" s="1174">
        <v>1</v>
      </c>
      <c r="V67" s="77" t="s">
        <v>1511</v>
      </c>
      <c r="W67" s="1175">
        <f t="shared" si="53"/>
        <v>0</v>
      </c>
    </row>
    <row r="68" spans="1:23" s="1254" customFormat="1" ht="18" customHeight="1">
      <c r="A68" s="482" t="s">
        <v>1442</v>
      </c>
      <c r="B68" s="380"/>
      <c r="C68" s="984" t="s">
        <v>1306</v>
      </c>
      <c r="D68" s="2830">
        <v>3.5</v>
      </c>
      <c r="E68" s="2830"/>
      <c r="F68" s="77" t="s">
        <v>1618</v>
      </c>
      <c r="G68" s="3020"/>
      <c r="H68" s="3086"/>
      <c r="I68" s="3086"/>
      <c r="J68" s="18" t="s">
        <v>1439</v>
      </c>
      <c r="K68" s="2831">
        <f>IF(C68="N",D68*H$67,0)</f>
        <v>0</v>
      </c>
      <c r="L68" s="2831"/>
      <c r="N68" s="2859">
        <f>IF(C68="y",H$67*D68,0)</f>
        <v>0</v>
      </c>
      <c r="O68" s="2859"/>
      <c r="P68" s="1172" t="s">
        <v>1069</v>
      </c>
      <c r="Q68" s="859" t="s">
        <v>1453</v>
      </c>
      <c r="R68" s="77"/>
      <c r="S68" s="1176">
        <v>0</v>
      </c>
      <c r="T68" s="77" t="s">
        <v>1711</v>
      </c>
      <c r="U68" s="1174">
        <f>Pricing!Q43</f>
        <v>105</v>
      </c>
      <c r="V68" s="77" t="s">
        <v>630</v>
      </c>
      <c r="W68" s="1175">
        <f t="shared" ref="W68:W76" si="55">U68*S68</f>
        <v>0</v>
      </c>
    </row>
    <row r="69" spans="1:23" s="1254" customFormat="1" ht="18" customHeight="1">
      <c r="A69" s="482" t="s">
        <v>1443</v>
      </c>
      <c r="B69" s="380"/>
      <c r="C69" s="984" t="s">
        <v>1306</v>
      </c>
      <c r="D69" s="2830">
        <v>1</v>
      </c>
      <c r="E69" s="2830"/>
      <c r="F69" s="77" t="s">
        <v>1618</v>
      </c>
      <c r="G69" s="3020"/>
      <c r="H69" s="3086"/>
      <c r="I69" s="3086"/>
      <c r="J69" s="18" t="s">
        <v>1439</v>
      </c>
      <c r="K69" s="2831">
        <f>IF(C69="N",D69*H$67,0)</f>
        <v>0</v>
      </c>
      <c r="L69" s="2831"/>
      <c r="N69" s="3087">
        <f>IF(C69="y",H$67*D69,0)</f>
        <v>0</v>
      </c>
      <c r="O69" s="3087"/>
      <c r="P69" s="1172" t="s">
        <v>1069</v>
      </c>
      <c r="Q69" s="859" t="s">
        <v>1712</v>
      </c>
      <c r="R69" s="77"/>
      <c r="S69" s="1176">
        <f>I72</f>
        <v>0</v>
      </c>
      <c r="T69" s="77" t="s">
        <v>836</v>
      </c>
      <c r="U69" s="1174">
        <v>8.5</v>
      </c>
      <c r="V69" s="77"/>
      <c r="W69" s="1175">
        <f t="shared" si="55"/>
        <v>0</v>
      </c>
    </row>
    <row r="70" spans="1:23" s="1254" customFormat="1" ht="18" customHeight="1">
      <c r="A70" s="482" t="s">
        <v>1444</v>
      </c>
      <c r="B70" s="380"/>
      <c r="C70" s="984" t="s">
        <v>1306</v>
      </c>
      <c r="D70" s="2830">
        <v>0.25</v>
      </c>
      <c r="E70" s="2830"/>
      <c r="F70" s="77" t="s">
        <v>1618</v>
      </c>
      <c r="G70" s="18"/>
      <c r="H70" s="3086"/>
      <c r="I70" s="3086"/>
      <c r="J70" s="18" t="s">
        <v>1439</v>
      </c>
      <c r="K70" s="2831">
        <f>IF(C70="N",D70*H$67,0)</f>
        <v>0</v>
      </c>
      <c r="L70" s="2831"/>
      <c r="N70" s="2859">
        <f>IF(C70="y",H$67*D70,0)</f>
        <v>0</v>
      </c>
      <c r="O70" s="2859"/>
      <c r="P70" s="1172" t="s">
        <v>1713</v>
      </c>
      <c r="Q70" s="859" t="s">
        <v>1714</v>
      </c>
      <c r="R70" s="77"/>
      <c r="S70" s="1176"/>
      <c r="T70" s="77" t="s">
        <v>1454</v>
      </c>
      <c r="U70" s="1174">
        <v>500</v>
      </c>
      <c r="V70" s="77"/>
      <c r="W70" s="1175">
        <f t="shared" si="55"/>
        <v>0</v>
      </c>
    </row>
    <row r="71" spans="1:23" s="1254" customFormat="1" ht="18" customHeight="1">
      <c r="A71" s="482" t="s">
        <v>1307</v>
      </c>
      <c r="B71" s="380"/>
      <c r="C71" s="984" t="s">
        <v>1306</v>
      </c>
      <c r="D71" s="3088">
        <v>450</v>
      </c>
      <c r="E71" s="3088"/>
      <c r="F71" s="77" t="s">
        <v>1308</v>
      </c>
      <c r="G71" s="18"/>
      <c r="H71" s="964"/>
      <c r="I71" s="964">
        <f>(K56/2000)</f>
        <v>0</v>
      </c>
      <c r="J71" s="18" t="s">
        <v>1309</v>
      </c>
      <c r="K71" s="2831">
        <f>IF(C71="N",D71*I71,0)</f>
        <v>0</v>
      </c>
      <c r="L71" s="2831"/>
      <c r="N71" s="2859">
        <f>IF(C71="y",I71*D71,0)</f>
        <v>0</v>
      </c>
      <c r="O71" s="2859"/>
      <c r="P71" s="1172" t="s">
        <v>1069</v>
      </c>
      <c r="Q71" s="859"/>
      <c r="R71" s="77"/>
      <c r="S71" s="1176"/>
      <c r="T71" s="77" t="s">
        <v>1018</v>
      </c>
      <c r="U71" s="1174"/>
      <c r="V71" s="77"/>
      <c r="W71" s="1175">
        <f t="shared" si="55"/>
        <v>0</v>
      </c>
    </row>
    <row r="72" spans="1:23" s="1254" customFormat="1" ht="18" customHeight="1">
      <c r="A72" s="482" t="s">
        <v>1715</v>
      </c>
      <c r="B72" s="380"/>
      <c r="C72" s="984" t="s">
        <v>1306</v>
      </c>
      <c r="D72" s="2830">
        <v>10</v>
      </c>
      <c r="E72" s="2830"/>
      <c r="F72" s="77" t="s">
        <v>1338</v>
      </c>
      <c r="G72" s="18"/>
      <c r="H72" s="964"/>
      <c r="I72" s="964">
        <f>DI37</f>
        <v>0</v>
      </c>
      <c r="J72" s="18" t="s">
        <v>1259</v>
      </c>
      <c r="K72" s="2831">
        <f>IF(C72="N",D72*I72,0)</f>
        <v>0</v>
      </c>
      <c r="L72" s="2831"/>
      <c r="N72" s="2859">
        <f>IF(C72="y",I72*D72,0)</f>
        <v>0</v>
      </c>
      <c r="O72" s="2859"/>
      <c r="P72" s="1172" t="s">
        <v>1069</v>
      </c>
      <c r="Q72" s="859"/>
      <c r="R72" s="77"/>
      <c r="S72" s="1176"/>
      <c r="T72" s="77" t="s">
        <v>1018</v>
      </c>
      <c r="U72" s="1174"/>
      <c r="V72" s="77"/>
      <c r="W72" s="1175">
        <f t="shared" si="55"/>
        <v>0</v>
      </c>
    </row>
    <row r="73" spans="1:23" s="1254" customFormat="1" ht="18" customHeight="1">
      <c r="A73" s="482" t="s">
        <v>1716</v>
      </c>
      <c r="B73" s="380"/>
      <c r="C73" s="984" t="s">
        <v>1306</v>
      </c>
      <c r="D73" s="2830">
        <v>12</v>
      </c>
      <c r="E73" s="2830"/>
      <c r="F73" s="77" t="s">
        <v>1285</v>
      </c>
      <c r="G73" s="18"/>
      <c r="H73" s="964"/>
      <c r="I73" s="964">
        <f>SUM(DD10:DD35)</f>
        <v>0</v>
      </c>
      <c r="J73" s="18" t="s">
        <v>998</v>
      </c>
      <c r="K73" s="2831">
        <f>IF(C73="N",D73*I73,0)</f>
        <v>0</v>
      </c>
      <c r="L73" s="2831"/>
      <c r="N73" s="2859">
        <f>IF(C73="y",I73*D73,0)</f>
        <v>0</v>
      </c>
      <c r="O73" s="2859"/>
      <c r="P73" s="1172" t="s">
        <v>1069</v>
      </c>
      <c r="Q73" s="859"/>
      <c r="R73" s="77"/>
      <c r="S73" s="1176"/>
      <c r="T73" s="77"/>
      <c r="U73" s="1174"/>
      <c r="V73" s="77"/>
      <c r="W73" s="1175">
        <f t="shared" si="55"/>
        <v>0</v>
      </c>
    </row>
    <row r="74" spans="1:23" s="1254" customFormat="1" ht="18" customHeight="1">
      <c r="A74" s="482" t="s">
        <v>1660</v>
      </c>
      <c r="B74" s="380"/>
      <c r="C74" s="984" t="s">
        <v>1306</v>
      </c>
      <c r="D74" s="2830">
        <v>8</v>
      </c>
      <c r="E74" s="2830"/>
      <c r="F74" s="77" t="s">
        <v>1285</v>
      </c>
      <c r="G74" s="18"/>
      <c r="H74" s="964"/>
      <c r="I74" s="964">
        <f>SUM(DF10:DF35)</f>
        <v>0</v>
      </c>
      <c r="J74" s="18" t="s">
        <v>998</v>
      </c>
      <c r="K74" s="2831">
        <f>IF(C74="N",D74*I74,0)</f>
        <v>0</v>
      </c>
      <c r="L74" s="2831"/>
      <c r="N74" s="2859">
        <f>IF(C74="y",I74*D74,0)</f>
        <v>0</v>
      </c>
      <c r="O74" s="2859"/>
      <c r="P74" s="1172" t="s">
        <v>1069</v>
      </c>
      <c r="Q74" s="859"/>
      <c r="R74" s="77"/>
      <c r="S74" s="1176"/>
      <c r="T74" s="77"/>
      <c r="U74" s="1174"/>
      <c r="V74" s="77"/>
      <c r="W74" s="1175">
        <f t="shared" si="55"/>
        <v>0</v>
      </c>
    </row>
    <row r="75" spans="1:23" s="1254" customFormat="1" ht="18" customHeight="1">
      <c r="A75" s="1566" t="s">
        <v>1313</v>
      </c>
      <c r="B75" s="988"/>
      <c r="C75" s="989" t="s">
        <v>1306</v>
      </c>
      <c r="D75" s="2833">
        <v>0</v>
      </c>
      <c r="E75" s="2833"/>
      <c r="F75" s="1209"/>
      <c r="G75" s="373"/>
      <c r="H75" s="973"/>
      <c r="I75" s="973"/>
      <c r="J75" s="373"/>
      <c r="K75" s="2834">
        <f>IF(C75="N",D75*I75,0)</f>
        <v>0</v>
      </c>
      <c r="L75" s="2834"/>
      <c r="M75" s="373"/>
      <c r="N75" s="2815">
        <f>IF(C75="y",D75,0)</f>
        <v>0</v>
      </c>
      <c r="O75" s="2815"/>
      <c r="P75" s="1172" t="s">
        <v>1069</v>
      </c>
      <c r="Q75" s="859"/>
      <c r="R75" s="77"/>
      <c r="S75" s="1176"/>
      <c r="T75" s="77"/>
      <c r="U75" s="1174"/>
      <c r="V75" s="77"/>
      <c r="W75" s="1175">
        <f t="shared" si="55"/>
        <v>0</v>
      </c>
    </row>
    <row r="76" spans="1:23" s="1254" customFormat="1" ht="18" customHeight="1">
      <c r="A76" s="990" t="s">
        <v>1447</v>
      </c>
      <c r="B76" s="991"/>
      <c r="C76" s="992"/>
      <c r="D76" s="993">
        <f>IF(H67=0,0,(N76-N75+K76)/H67)</f>
        <v>0</v>
      </c>
      <c r="E76" s="1803"/>
      <c r="F76" s="802"/>
      <c r="G76" s="976"/>
      <c r="H76" s="991" t="s">
        <v>980</v>
      </c>
      <c r="I76" s="991"/>
      <c r="J76" s="991"/>
      <c r="K76" s="2838">
        <f>SUM(K66:L75)</f>
        <v>0</v>
      </c>
      <c r="L76" s="2838"/>
      <c r="M76" s="229"/>
      <c r="N76" s="2867">
        <f>SUM(N66:O75)</f>
        <v>0</v>
      </c>
      <c r="O76" s="2867"/>
      <c r="P76" s="1172" t="s">
        <v>1069</v>
      </c>
      <c r="Q76" s="1208"/>
      <c r="R76" s="1209"/>
      <c r="S76" s="1210"/>
      <c r="T76" s="1804"/>
      <c r="U76" s="1211"/>
      <c r="V76" s="1209"/>
      <c r="W76" s="1189">
        <f t="shared" si="55"/>
        <v>0</v>
      </c>
    </row>
    <row r="77" spans="1:23" s="1254" customFormat="1" ht="18" customHeight="1">
      <c r="A77" s="3089" t="s">
        <v>1449</v>
      </c>
      <c r="B77" s="3089"/>
      <c r="C77" s="3089"/>
      <c r="D77" s="3089"/>
      <c r="E77" s="3089"/>
      <c r="F77" s="3089"/>
      <c r="G77" s="3089"/>
      <c r="H77" s="3089"/>
      <c r="I77" s="3089"/>
      <c r="J77" s="3089"/>
      <c r="K77" s="3089"/>
      <c r="L77" s="3089"/>
      <c r="M77" s="3089"/>
      <c r="N77" s="3089"/>
      <c r="O77" s="3089"/>
      <c r="P77" s="1172" t="s">
        <v>1448</v>
      </c>
      <c r="Q77" s="859" t="s">
        <v>601</v>
      </c>
      <c r="R77" s="77"/>
      <c r="S77" s="1176">
        <f>ROUNDUP(K64*0.55*S51,0)</f>
        <v>0</v>
      </c>
      <c r="T77" s="77" t="s">
        <v>1312</v>
      </c>
      <c r="U77" s="1174">
        <f>Pricing!Q26</f>
        <v>0.45</v>
      </c>
      <c r="V77" s="77" t="s">
        <v>595</v>
      </c>
      <c r="W77" s="1175">
        <f t="shared" ref="W77:W83" si="56">S77*U77</f>
        <v>0</v>
      </c>
    </row>
    <row r="78" spans="1:23" s="1254" customFormat="1" ht="18" customHeight="1">
      <c r="A78" s="1593" t="s">
        <v>1316</v>
      </c>
      <c r="B78" s="1802"/>
      <c r="C78" s="998"/>
      <c r="D78" s="999"/>
      <c r="E78" s="1802" t="s">
        <v>1317</v>
      </c>
      <c r="F78" s="1805">
        <v>425</v>
      </c>
      <c r="G78" s="1806" t="s">
        <v>1450</v>
      </c>
      <c r="H78" s="983"/>
      <c r="I78" s="983"/>
      <c r="J78" s="983"/>
      <c r="K78" s="983"/>
      <c r="L78" s="2974">
        <f>IF(D40=0,0,(SUM(N78:O81))/D40)</f>
        <v>0</v>
      </c>
      <c r="M78" s="2974"/>
      <c r="N78" s="3090">
        <f>D78*F78</f>
        <v>0</v>
      </c>
      <c r="O78" s="3090"/>
      <c r="P78" s="1172">
        <v>39</v>
      </c>
      <c r="Q78" s="859" t="s">
        <v>604</v>
      </c>
      <c r="R78" s="77"/>
      <c r="S78" s="1176">
        <f>E36/4</f>
        <v>0</v>
      </c>
      <c r="T78" s="77" t="s">
        <v>1312</v>
      </c>
      <c r="U78" s="1174">
        <f>Pricing!Q27</f>
        <v>0.75</v>
      </c>
      <c r="V78" s="77" t="s">
        <v>1312</v>
      </c>
      <c r="W78" s="1175">
        <f t="shared" si="56"/>
        <v>0</v>
      </c>
    </row>
    <row r="79" spans="1:23" s="1254" customFormat="1" ht="18" customHeight="1">
      <c r="A79" s="482" t="s">
        <v>1318</v>
      </c>
      <c r="B79" s="77"/>
      <c r="C79" s="77"/>
      <c r="D79" s="1002">
        <f>D78</f>
        <v>0</v>
      </c>
      <c r="E79" s="1807" t="s">
        <v>1317</v>
      </c>
      <c r="F79" s="1808">
        <v>250</v>
      </c>
      <c r="G79" s="1809" t="s">
        <v>1450</v>
      </c>
      <c r="H79" s="18"/>
      <c r="I79" s="18"/>
      <c r="J79" s="18"/>
      <c r="K79" s="18"/>
      <c r="L79" s="2842">
        <f>SUM(N78:O80)</f>
        <v>0</v>
      </c>
      <c r="M79" s="2842"/>
      <c r="N79" s="3091">
        <f>D79*F79</f>
        <v>0</v>
      </c>
      <c r="O79" s="3091"/>
      <c r="P79" s="1172" t="s">
        <v>1451</v>
      </c>
      <c r="Q79" s="859" t="s">
        <v>1657</v>
      </c>
      <c r="R79" s="77"/>
      <c r="S79" s="1176">
        <f>H67/350</f>
        <v>0</v>
      </c>
      <c r="T79" s="77" t="s">
        <v>1452</v>
      </c>
      <c r="U79" s="1174">
        <f>Pricing!Q28</f>
        <v>45</v>
      </c>
      <c r="V79" s="77" t="s">
        <v>607</v>
      </c>
      <c r="W79" s="1175">
        <f t="shared" si="56"/>
        <v>0</v>
      </c>
    </row>
    <row r="80" spans="1:23" s="1254" customFormat="1" ht="18" customHeight="1">
      <c r="A80" s="77" t="s">
        <v>1320</v>
      </c>
      <c r="B80" s="77"/>
      <c r="C80" s="77"/>
      <c r="D80" s="1810">
        <f>IF(D77=0,D78,D77)</f>
        <v>0</v>
      </c>
      <c r="E80" s="77"/>
      <c r="F80" s="1811">
        <v>100</v>
      </c>
      <c r="G80" s="77"/>
      <c r="H80" s="18"/>
      <c r="I80" s="18"/>
      <c r="J80" s="18"/>
      <c r="K80" s="18"/>
      <c r="L80" s="1812"/>
      <c r="M80" s="1812"/>
      <c r="N80" s="3091">
        <f>D80*F80</f>
        <v>0</v>
      </c>
      <c r="O80" s="3091"/>
      <c r="P80" s="1172"/>
      <c r="Q80" s="859"/>
      <c r="R80" s="77"/>
      <c r="S80" s="1176"/>
      <c r="T80" s="77"/>
      <c r="U80" s="1174"/>
      <c r="V80" s="77"/>
      <c r="W80" s="1175">
        <f t="shared" si="56"/>
        <v>0</v>
      </c>
    </row>
    <row r="81" spans="1:23" s="1254" customFormat="1" ht="18" customHeight="1">
      <c r="A81" s="1595" t="s">
        <v>1320</v>
      </c>
      <c r="B81" s="1621"/>
      <c r="C81" s="1621"/>
      <c r="D81" s="1008">
        <f>IF(D78=0,D79,D78)</f>
        <v>0</v>
      </c>
      <c r="E81" s="1621" t="s">
        <v>1317</v>
      </c>
      <c r="F81" s="1813">
        <v>200</v>
      </c>
      <c r="G81" s="1621" t="s">
        <v>1450</v>
      </c>
      <c r="H81" s="976"/>
      <c r="I81" s="976"/>
      <c r="J81" s="976"/>
      <c r="K81" s="976"/>
      <c r="L81" s="2843">
        <f>IF(D40=0,0,N81/D40)</f>
        <v>0</v>
      </c>
      <c r="M81" s="2843"/>
      <c r="N81" s="2839">
        <f>D81*F81</f>
        <v>0</v>
      </c>
      <c r="O81" s="2839"/>
      <c r="P81" s="1172" t="s">
        <v>1069</v>
      </c>
      <c r="Q81" s="859" t="s">
        <v>1717</v>
      </c>
      <c r="R81" s="77"/>
      <c r="S81" s="1176">
        <f>H67/30</f>
        <v>0</v>
      </c>
      <c r="T81" s="77" t="s">
        <v>1312</v>
      </c>
      <c r="U81" s="1174">
        <v>15</v>
      </c>
      <c r="V81" s="77" t="s">
        <v>595</v>
      </c>
      <c r="W81" s="1175">
        <f t="shared" si="56"/>
        <v>0</v>
      </c>
    </row>
    <row r="82" spans="1:23" s="1254" customFormat="1" ht="18" customHeight="1">
      <c r="A82" s="3089" t="s">
        <v>1325</v>
      </c>
      <c r="B82" s="3089"/>
      <c r="C82" s="3089"/>
      <c r="D82" s="3089"/>
      <c r="E82" s="3089"/>
      <c r="F82" s="3089"/>
      <c r="G82" s="3089"/>
      <c r="H82" s="3089"/>
      <c r="I82" s="3089"/>
      <c r="J82" s="3089"/>
      <c r="K82" s="3089"/>
      <c r="L82" s="3089"/>
      <c r="M82" s="3089"/>
      <c r="N82" s="3089"/>
      <c r="O82" s="3089"/>
      <c r="P82" s="1172" t="s">
        <v>1069</v>
      </c>
      <c r="Q82" s="966" t="s">
        <v>1643</v>
      </c>
      <c r="R82" s="373"/>
      <c r="S82" s="1814">
        <f>SUM(K51:L55)/300</f>
        <v>0</v>
      </c>
      <c r="T82" s="373" t="s">
        <v>1323</v>
      </c>
      <c r="U82" s="1006">
        <v>250</v>
      </c>
      <c r="V82" s="373" t="s">
        <v>1324</v>
      </c>
      <c r="W82" s="1189">
        <f t="shared" si="56"/>
        <v>0</v>
      </c>
    </row>
    <row r="83" spans="1:23" s="1254" customFormat="1" ht="18" customHeight="1">
      <c r="A83" s="1593" t="s">
        <v>1326</v>
      </c>
      <c r="B83" s="1596"/>
      <c r="C83" s="1597"/>
      <c r="D83" s="999">
        <f>D84</f>
        <v>0</v>
      </c>
      <c r="E83" s="1802" t="s">
        <v>1327</v>
      </c>
      <c r="F83" s="1805">
        <f>Pricing!D32</f>
        <v>425</v>
      </c>
      <c r="G83" s="1802" t="s">
        <v>1450</v>
      </c>
      <c r="H83" s="983"/>
      <c r="I83" s="983"/>
      <c r="J83" s="983"/>
      <c r="K83" s="983"/>
      <c r="L83" s="983"/>
      <c r="M83" s="983"/>
      <c r="N83" s="2856">
        <f>(IF(AND(D83&gt;0,D83&lt;4),D83*F83,0)+IF(AND(D83&gt;3,D83&lt;8),F83*3,0)+IF(AND(D83&gt;7,D83&lt;21),D83/7*F83*3,0)+IF(AND(D83&gt;20,D83&lt;30),F83*9,0)+IF(D83&gt;29,D83/30*F83*9,0))*(1+V$39+I$85)</f>
        <v>0</v>
      </c>
      <c r="O83" s="2856"/>
      <c r="P83" s="1172" t="s">
        <v>1073</v>
      </c>
      <c r="Q83" s="859" t="s">
        <v>618</v>
      </c>
      <c r="R83" s="77"/>
      <c r="S83" s="1176"/>
      <c r="T83" s="77" t="s">
        <v>1452</v>
      </c>
      <c r="U83" s="1174">
        <f>Pricing!Q31</f>
        <v>27</v>
      </c>
      <c r="V83" s="77" t="s">
        <v>607</v>
      </c>
      <c r="W83" s="1175">
        <f t="shared" si="56"/>
        <v>0</v>
      </c>
    </row>
    <row r="84" spans="1:23" s="1254" customFormat="1" ht="18" customHeight="1">
      <c r="A84" s="482" t="s">
        <v>622</v>
      </c>
      <c r="B84" s="1177"/>
      <c r="C84" s="1598"/>
      <c r="D84" s="1012">
        <f>IF(D$78&gt;0,IF(D$78&lt;=3,D$78,7),0)+IF(D$78&gt;5,IF(D$78&lt;=10,7,0),0)+IF(D$78&gt;10,IF(D$78&lt;=15,14,0),0)+IF(D$78&gt;15,IF(D$78&lt;=20,23,0),0)+IF(D$78&gt;20,IF(D$78&lt;=40,53,0),0)+IF(D$78&gt;40,IF(D$78&lt;=60,83,0),0)+IF(D$78&gt;60,IF(D$78&lt;=80,113,0),0)+IF(D$78&gt;80,IF(D$78&lt;=100,143,0),0)+IF(D$78&gt;100,IF(D$78&lt;=120,163,0),0)+IF(D$78&gt;120,IF(D$78&lt;=140,193,0),0)+IF(D$78&gt;140,IF(D$78&lt;=160,223,0),0)</f>
        <v>0</v>
      </c>
      <c r="E84" s="77" t="s">
        <v>1327</v>
      </c>
      <c r="F84" s="1805">
        <f>Pricing!D33</f>
        <v>475</v>
      </c>
      <c r="G84" s="77" t="s">
        <v>1450</v>
      </c>
      <c r="H84" s="18"/>
      <c r="I84" s="2977" t="s">
        <v>1329</v>
      </c>
      <c r="J84" s="2977"/>
      <c r="K84" s="18"/>
      <c r="L84" s="2841">
        <f>IF(D40=0,0,(SUM(N83:O88))/D40)</f>
        <v>0</v>
      </c>
      <c r="M84" s="2841"/>
      <c r="N84" s="3091">
        <f>(IF(AND(D84&gt;0,D84&lt;4),D84*F84,0)+IF(AND(D84&gt;3,D84&lt;8),F84*3,0)+IF(AND(D84&gt;7,D84&lt;21),D84/7*F84*3,0)+IF(AND(D84&gt;20,D84&lt;30),F84*9,0)+IF(D84&gt;29,D84/30*F84*9,0))*(1+V$39+I$85)</f>
        <v>0</v>
      </c>
      <c r="O84" s="3091"/>
      <c r="P84" s="1172" t="s">
        <v>1073</v>
      </c>
      <c r="Q84" s="859" t="s">
        <v>1457</v>
      </c>
      <c r="R84" s="77"/>
      <c r="S84" s="1176">
        <v>0</v>
      </c>
      <c r="T84" s="77" t="s">
        <v>1511</v>
      </c>
      <c r="U84" s="1174">
        <f>Pricing!Q32</f>
        <v>1.25</v>
      </c>
      <c r="V84" s="77" t="s">
        <v>1417</v>
      </c>
      <c r="W84" s="1175">
        <f>U84*S84</f>
        <v>0</v>
      </c>
    </row>
    <row r="85" spans="1:23" s="1254" customFormat="1" ht="18" customHeight="1">
      <c r="A85" s="482" t="s">
        <v>626</v>
      </c>
      <c r="B85" s="1177"/>
      <c r="C85" s="1598"/>
      <c r="D85" s="1012">
        <f>IF(D$78&gt;0,IF(D$78&lt;=3,D$78,7),0)+IF(D$78&gt;5,IF(D$78&lt;=10,7,0),0)+IF(D$78&gt;10,IF(D$78&lt;=15,14,0),0)+IF(D$78&gt;15,IF(D$78&lt;=20,23,0),0)+IF(D$78&gt;20,IF(D$78&lt;=40,53,0),0)+IF(D$78&gt;40,IF(D$78&lt;=60,83,0),0)+IF(D$78&gt;60,IF(D$78&lt;=80,113,0),0)+IF(D$78&gt;80,IF(D$78&lt;=100,143,0),0)+IF(D$78&gt;100,IF(D$78&lt;=120,163,0),0)+IF(D$78&gt;120,IF(D$78&lt;=140,193,0),0)+IF(D$78&gt;140,IF(D$78&lt;=160,223,0),0)</f>
        <v>0</v>
      </c>
      <c r="E85" s="77" t="s">
        <v>1327</v>
      </c>
      <c r="F85" s="1808">
        <v>275</v>
      </c>
      <c r="G85" s="77" t="s">
        <v>1450</v>
      </c>
      <c r="H85" s="18"/>
      <c r="I85" s="3092">
        <v>0.5</v>
      </c>
      <c r="J85" s="3092"/>
      <c r="K85" s="18"/>
      <c r="L85" s="2842">
        <f>SUM(N83:O88)</f>
        <v>0</v>
      </c>
      <c r="M85" s="2842"/>
      <c r="N85" s="3091">
        <f>(IF(AND(D85&gt;0,D85&lt;4),D85*F85,0)+IF(AND(D85&gt;3,D85&lt;8),F85*3,0)+IF(AND(D85&gt;7,D85&lt;21),D85/7*F85*3,0)+IF(AND(D85&gt;20,D85&lt;30),F85*9,0)+IF(D85&gt;29,D85/30*F85*9,0))*(1+V$39+I$85)</f>
        <v>0</v>
      </c>
      <c r="O85" s="3091"/>
      <c r="P85" s="1172" t="s">
        <v>1073</v>
      </c>
      <c r="Q85" s="1208" t="s">
        <v>554</v>
      </c>
      <c r="R85" s="1209"/>
      <c r="S85" s="1210">
        <f>K56</f>
        <v>0</v>
      </c>
      <c r="T85" s="1209" t="s">
        <v>1288</v>
      </c>
      <c r="U85" s="1211">
        <v>0.04</v>
      </c>
      <c r="V85" s="1209" t="s">
        <v>555</v>
      </c>
      <c r="W85" s="1189">
        <f>U85*S85</f>
        <v>0</v>
      </c>
    </row>
    <row r="86" spans="1:23" s="1254" customFormat="1" ht="18" customHeight="1">
      <c r="A86" s="482" t="s">
        <v>1332</v>
      </c>
      <c r="B86" s="1177"/>
      <c r="C86" s="1598"/>
      <c r="D86" s="1012">
        <f>IF(D$78&gt;0,IF(D$78&lt;=3,D$78,7),0)+IF(D$78&gt;5,IF(D$78&lt;=10,7,0),0)+IF(D$78&gt;10,IF(D$78&lt;=15,14,0),0)+IF(D$78&gt;15,IF(D$78&lt;=20,23,0),0)+IF(D$78&gt;20,IF(D$78&lt;=40,53,0),0)+IF(D$78&gt;40,IF(D$78&lt;=60,83,0),0)+IF(D$78&gt;60,IF(D$78&lt;=80,113,0),0)+IF(D$78&gt;80,IF(D$78&lt;=100,143,0),0)+IF(D$78&gt;100,IF(D$78&lt;=120,163,0),0)+IF(D$78&gt;120,IF(D$78&lt;=140,193,0),0)+IF(D$78&gt;140,IF(D$78&lt;=160,223,0),0)</f>
        <v>0</v>
      </c>
      <c r="E86" s="77" t="s">
        <v>1327</v>
      </c>
      <c r="F86" s="1808">
        <f>Pricing!D39</f>
        <v>100</v>
      </c>
      <c r="G86" s="77" t="s">
        <v>1450</v>
      </c>
      <c r="H86" s="18"/>
      <c r="I86" s="3092"/>
      <c r="J86" s="3092"/>
      <c r="K86" s="18"/>
      <c r="L86" s="18"/>
      <c r="M86" s="18"/>
      <c r="N86" s="2859">
        <f>(IF(AND(D86&gt;0,D86&lt;4),D86*F86,0)+IF(AND(D86&gt;3,D86&lt;8),F86*3,0)+IF(AND(D86&gt;7,D86&lt;21),D86/7*F86*3,0)+IF(AND(D86&gt;20,D86&lt;30),F86*9,0)+IF(D86&gt;29,D86/30*F86*9,0))*(1+V$39+I$85)</f>
        <v>0</v>
      </c>
      <c r="O86" s="2859"/>
      <c r="P86" s="1172" t="s">
        <v>1078</v>
      </c>
      <c r="Q86" s="859" t="s">
        <v>1105</v>
      </c>
      <c r="R86" s="77"/>
      <c r="S86" s="1176"/>
      <c r="T86" s="77"/>
      <c r="U86" s="1174"/>
      <c r="V86" s="77"/>
      <c r="W86" s="1175">
        <v>0</v>
      </c>
    </row>
    <row r="87" spans="1:23" s="1254" customFormat="1" ht="18" customHeight="1">
      <c r="A87" s="482" t="s">
        <v>1333</v>
      </c>
      <c r="B87" s="1177"/>
      <c r="C87" s="1598"/>
      <c r="D87" s="1012">
        <f>IF(D$78&gt;0,IF(D$78&lt;=3,D$78,7),0)+IF(D$78&gt;5,IF(D$78&lt;=10,7,0),0)+IF(D$78&gt;10,IF(D$78&lt;=15,14,0),0)+IF(D$78&gt;15,IF(D$78&lt;=20,23,0),0)+IF(D$78&gt;20,IF(D$78&lt;=40,53,0),0)+IF(D$78&gt;40,IF(D$78&lt;=60,83,0),0)+IF(D$78&gt;60,IF(D$78&lt;=80,113,0),0)+IF(D$78&gt;80,IF(D$78&lt;=100,143,0),0)+IF(D$78&gt;100,IF(D$78&lt;=120,163,0),0)+IF(D$78&gt;120,IF(D$78&lt;=140,193,0),0)+IF(D$78&gt;140,IF(D$78&lt;=160,223,0),0)</f>
        <v>0</v>
      </c>
      <c r="E87" s="77" t="s">
        <v>1327</v>
      </c>
      <c r="F87" s="1808">
        <v>50</v>
      </c>
      <c r="G87" s="77" t="s">
        <v>1450</v>
      </c>
      <c r="H87" s="18"/>
      <c r="I87" s="18"/>
      <c r="J87" s="18"/>
      <c r="K87" s="18"/>
      <c r="L87" s="18"/>
      <c r="M87" s="18"/>
      <c r="N87" s="2859">
        <f>(IF(AND(D87&gt;0,D87&lt;4),D87*F87,0)+IF(AND(D87&gt;3,D87&lt;8),F87*3,0)+IF(AND(D87&gt;7,D87&lt;21),D87/7*F87*3,0)+IF(AND(D87&gt;20,D87&lt;30),F87*9,0)+IF(D87&gt;29,D87/30*F87*9,0))*(1+V$39+I$85)</f>
        <v>0</v>
      </c>
      <c r="O87" s="2859"/>
      <c r="P87" s="1172" t="s">
        <v>1328</v>
      </c>
      <c r="Q87" s="859" t="s">
        <v>1105</v>
      </c>
      <c r="R87" s="77"/>
      <c r="S87" s="1176"/>
      <c r="T87" s="77"/>
      <c r="U87" s="1174"/>
      <c r="V87" s="77"/>
      <c r="W87" s="1175">
        <v>0</v>
      </c>
    </row>
    <row r="88" spans="1:23" s="1254" customFormat="1" ht="18" customHeight="1">
      <c r="A88" s="1595" t="s">
        <v>1067</v>
      </c>
      <c r="B88" s="1599"/>
      <c r="C88" s="1600"/>
      <c r="D88" s="1815">
        <f>IF(D$78&gt;0,IF(D$78&lt;=3,D$78,7),0)+IF(D$78&gt;5,IF(D$78&lt;=10,7,0),0)+IF(D$78&gt;10,IF(D$78&lt;=15,14,0),0)+IF(D$78&gt;15,IF(D$78&lt;=20,23,0),0)+IF(D$78&gt;20,IF(D$78&lt;=40,53,0),0)+IF(D$78&gt;40,IF(D$78&lt;=60,83,0),0)+IF(D$78&gt;60,IF(D$78&lt;=80,113,0),0)+IF(D$78&gt;80,IF(D$78&lt;=100,143,0),0)+IF(D$78&gt;100,IF(D$78&lt;=120,163,0),0)+IF(D$78&gt;120,IF(D$78&lt;=140,193,0),0)+IF(D$78&gt;140,IF(D$78&lt;=160,223,0),0)</f>
        <v>0</v>
      </c>
      <c r="E88" s="1621" t="s">
        <v>1327</v>
      </c>
      <c r="F88" s="1813">
        <v>35</v>
      </c>
      <c r="G88" s="1621" t="s">
        <v>1450</v>
      </c>
      <c r="H88" s="976"/>
      <c r="I88" s="976"/>
      <c r="J88" s="976"/>
      <c r="K88" s="976"/>
      <c r="L88" s="1021"/>
      <c r="M88" s="976"/>
      <c r="N88" s="2839">
        <f>(IF(AND(D88&gt;0,D88&lt;4),D88*F88,0)+IF(AND(D88&gt;3,D88&lt;8),F88*3,0)+IF(AND(D88&gt;7,D88&lt;21),D88/7*F88*3,0)+IF(AND(D88&gt;20,D88&lt;30),F88*9,0)+IF(D88&gt;29,D88/30*F88*9,0))</f>
        <v>0</v>
      </c>
      <c r="O88" s="2839"/>
      <c r="P88" s="1172" t="s">
        <v>1330</v>
      </c>
      <c r="Q88" s="1208" t="s">
        <v>1108</v>
      </c>
      <c r="R88" s="1209"/>
      <c r="S88" s="1210"/>
      <c r="T88" s="1209"/>
      <c r="U88" s="1211"/>
      <c r="V88" s="1209"/>
      <c r="W88" s="1189">
        <v>0</v>
      </c>
    </row>
    <row r="89" spans="1:23" s="1254" customFormat="1" ht="18" customHeight="1">
      <c r="A89" s="3089" t="s">
        <v>1336</v>
      </c>
      <c r="B89" s="3089"/>
      <c r="C89" s="3089"/>
      <c r="D89" s="3089"/>
      <c r="E89" s="3089"/>
      <c r="F89" s="3089"/>
      <c r="G89" s="3089"/>
      <c r="H89" s="3089"/>
      <c r="I89" s="3089"/>
      <c r="J89" s="3089"/>
      <c r="K89" s="3089"/>
      <c r="L89" s="3089"/>
      <c r="M89" s="3089"/>
      <c r="N89" s="3089"/>
      <c r="O89" s="3089"/>
      <c r="P89" s="1172" t="s">
        <v>1342</v>
      </c>
      <c r="Q89" s="574"/>
      <c r="R89" s="18"/>
      <c r="S89" s="959"/>
      <c r="T89" s="18"/>
      <c r="U89" s="861"/>
      <c r="V89" s="18"/>
      <c r="W89" s="1797"/>
    </row>
    <row r="90" spans="1:23" s="1254" customFormat="1" ht="18" customHeight="1">
      <c r="A90" s="1593" t="s">
        <v>1458</v>
      </c>
      <c r="B90" s="1816"/>
      <c r="C90" s="1817"/>
      <c r="D90" s="1818">
        <f>W36</f>
        <v>0</v>
      </c>
      <c r="E90" s="1597" t="s">
        <v>998</v>
      </c>
      <c r="F90" s="1228">
        <v>10</v>
      </c>
      <c r="G90" s="1802" t="s">
        <v>1285</v>
      </c>
      <c r="H90" s="983"/>
      <c r="I90" s="983"/>
      <c r="J90" s="983"/>
      <c r="K90" s="983"/>
      <c r="L90" s="983"/>
      <c r="M90" s="983"/>
      <c r="N90" s="2856">
        <f t="shared" ref="N90:N95" si="57">D90*F90</f>
        <v>0</v>
      </c>
      <c r="O90" s="2856"/>
      <c r="P90" s="1172" t="s">
        <v>1342</v>
      </c>
      <c r="Q90" s="574" t="s">
        <v>646</v>
      </c>
      <c r="R90" s="18"/>
      <c r="S90" s="959">
        <f>ROUNDUP(H67/300/55,0)</f>
        <v>0</v>
      </c>
      <c r="T90" s="18" t="s">
        <v>1720</v>
      </c>
      <c r="U90" s="861">
        <f>Pricing!Q44</f>
        <v>567.5</v>
      </c>
      <c r="V90" s="18" t="s">
        <v>647</v>
      </c>
      <c r="W90" s="1175">
        <f>U90*S90</f>
        <v>0</v>
      </c>
    </row>
    <row r="91" spans="1:23" s="1254" customFormat="1" ht="18" customHeight="1">
      <c r="A91" s="482" t="s">
        <v>1721</v>
      </c>
      <c r="B91" s="503"/>
      <c r="C91" s="834"/>
      <c r="D91" s="1819">
        <f>DH36</f>
        <v>0</v>
      </c>
      <c r="E91" s="77" t="s">
        <v>1418</v>
      </c>
      <c r="F91" s="1197">
        <v>5.25</v>
      </c>
      <c r="G91" s="77" t="s">
        <v>600</v>
      </c>
      <c r="H91" s="18"/>
      <c r="I91" s="18"/>
      <c r="J91" s="18"/>
      <c r="K91" s="18"/>
      <c r="L91" s="18"/>
      <c r="M91" s="18"/>
      <c r="N91" s="2859">
        <f t="shared" si="57"/>
        <v>0</v>
      </c>
      <c r="O91" s="2859"/>
      <c r="P91" s="1172" t="s">
        <v>1342</v>
      </c>
      <c r="Q91" s="966" t="s">
        <v>649</v>
      </c>
      <c r="R91" s="373"/>
      <c r="S91" s="1005">
        <f>BN66</f>
        <v>0</v>
      </c>
      <c r="T91" s="373" t="s">
        <v>1720</v>
      </c>
      <c r="U91" s="1006">
        <f>Pricing!Q45</f>
        <v>542</v>
      </c>
      <c r="V91" s="373" t="s">
        <v>647</v>
      </c>
      <c r="W91" s="1189">
        <f>U91*S91</f>
        <v>0</v>
      </c>
    </row>
    <row r="92" spans="1:23" s="1254" customFormat="1" ht="18" customHeight="1">
      <c r="A92" s="482" t="s">
        <v>1462</v>
      </c>
      <c r="B92" s="503"/>
      <c r="C92" s="834"/>
      <c r="D92" s="1819"/>
      <c r="E92" s="1807" t="s">
        <v>1341</v>
      </c>
      <c r="F92" s="1197">
        <v>0.25</v>
      </c>
      <c r="G92" s="77" t="s">
        <v>1341</v>
      </c>
      <c r="H92" s="18"/>
      <c r="I92" s="18"/>
      <c r="J92" s="18"/>
      <c r="K92" s="18"/>
      <c r="L92" s="18"/>
      <c r="M92" s="18"/>
      <c r="N92" s="2859">
        <f t="shared" si="57"/>
        <v>0</v>
      </c>
      <c r="O92" s="2859"/>
      <c r="P92" s="1172"/>
      <c r="Q92" s="574"/>
      <c r="R92" s="18"/>
      <c r="S92" s="18"/>
      <c r="T92" s="18"/>
      <c r="U92" s="844"/>
      <c r="V92" s="18"/>
      <c r="W92" s="1037"/>
    </row>
    <row r="93" spans="1:23" s="1254" customFormat="1" ht="18" customHeight="1">
      <c r="A93" s="1820" t="s">
        <v>1067</v>
      </c>
      <c r="B93" s="1821"/>
      <c r="C93" s="1822"/>
      <c r="D93" s="1823"/>
      <c r="E93" s="1824" t="s">
        <v>1000</v>
      </c>
      <c r="F93" s="1825">
        <v>1000</v>
      </c>
      <c r="G93" s="1826" t="s">
        <v>1624</v>
      </c>
      <c r="H93" s="18"/>
      <c r="I93" s="18"/>
      <c r="J93" s="18"/>
      <c r="K93" s="18"/>
      <c r="L93" s="18"/>
      <c r="M93" s="163"/>
      <c r="N93" s="2859">
        <f t="shared" si="57"/>
        <v>0</v>
      </c>
      <c r="O93" s="2859"/>
      <c r="P93" s="1172"/>
      <c r="Q93" s="1041" t="s">
        <v>1349</v>
      </c>
      <c r="R93" s="7"/>
      <c r="S93" s="919">
        <v>18</v>
      </c>
      <c r="T93" s="919" t="s">
        <v>1350</v>
      </c>
      <c r="U93" s="18"/>
      <c r="V93" s="18"/>
      <c r="W93" s="1042"/>
    </row>
    <row r="94" spans="1:23" s="1254" customFormat="1" ht="18" customHeight="1">
      <c r="A94" s="482" t="s">
        <v>1234</v>
      </c>
      <c r="B94" s="503"/>
      <c r="C94" s="834"/>
      <c r="D94" s="1819"/>
      <c r="E94" s="1174" t="s">
        <v>1285</v>
      </c>
      <c r="F94" s="1197">
        <v>6</v>
      </c>
      <c r="G94" s="77" t="s">
        <v>1285</v>
      </c>
      <c r="H94" s="18"/>
      <c r="I94" s="18"/>
      <c r="J94" s="18"/>
      <c r="K94" s="18"/>
      <c r="L94" s="18"/>
      <c r="M94" s="163"/>
      <c r="N94" s="2859">
        <f t="shared" si="57"/>
        <v>0</v>
      </c>
      <c r="O94" s="2859"/>
      <c r="P94" s="1172" t="s">
        <v>1072</v>
      </c>
      <c r="Q94" s="577" t="s">
        <v>1353</v>
      </c>
      <c r="R94" s="976"/>
      <c r="S94" s="976">
        <f>S64*12/S93</f>
        <v>0</v>
      </c>
      <c r="T94" s="976" t="s">
        <v>1354</v>
      </c>
      <c r="U94" s="1050">
        <f>Pricing!D30</f>
        <v>1</v>
      </c>
      <c r="V94" s="1050"/>
      <c r="W94" s="1827">
        <f>U94*S94</f>
        <v>0</v>
      </c>
    </row>
    <row r="95" spans="1:23" s="1254" customFormat="1" ht="18" customHeight="1">
      <c r="A95" s="1595" t="s">
        <v>1346</v>
      </c>
      <c r="B95" s="1441"/>
      <c r="C95" s="1445"/>
      <c r="D95" s="1828"/>
      <c r="E95" s="1829" t="s">
        <v>1347</v>
      </c>
      <c r="F95" s="1830">
        <v>200</v>
      </c>
      <c r="G95" s="1621" t="s">
        <v>620</v>
      </c>
      <c r="H95" s="976"/>
      <c r="I95" s="976"/>
      <c r="J95" s="976"/>
      <c r="K95" s="976"/>
      <c r="L95" s="976"/>
      <c r="M95" s="976"/>
      <c r="N95" s="2839">
        <f t="shared" si="57"/>
        <v>0</v>
      </c>
      <c r="O95" s="2839"/>
      <c r="P95" s="626"/>
      <c r="Q95" s="626"/>
      <c r="R95" s="626"/>
      <c r="S95" s="626"/>
      <c r="T95" s="626"/>
      <c r="U95" s="626"/>
      <c r="V95" s="626"/>
      <c r="W95" s="1236">
        <f>SUM(W52:W94)</f>
        <v>0</v>
      </c>
    </row>
    <row r="96" spans="1:23" s="1254" customFormat="1" ht="18" customHeight="1">
      <c r="A96" s="3029" t="s">
        <v>1191</v>
      </c>
      <c r="B96" s="3029"/>
      <c r="C96" s="3029"/>
      <c r="D96" s="1237">
        <f>Summary!P60</f>
        <v>0</v>
      </c>
      <c r="E96" s="1238" t="s">
        <v>1465</v>
      </c>
      <c r="F96" s="1831">
        <f>(SUM(N51:O64)+SUM(N66:O75)+SUM(K66:L75)+SUM(N78:O81)+SUM(N83:O88)+SUM(N90:O95))*D96</f>
        <v>0</v>
      </c>
      <c r="G96" s="1240" t="s">
        <v>1039</v>
      </c>
      <c r="H96" s="1240"/>
      <c r="I96" s="1240"/>
      <c r="J96" s="1240"/>
      <c r="K96" s="1240"/>
      <c r="L96" s="1240"/>
      <c r="M96" s="1240"/>
      <c r="N96" s="3030">
        <f>F96</f>
        <v>0</v>
      </c>
      <c r="O96" s="3030"/>
      <c r="P96" s="626"/>
      <c r="Q96" s="626"/>
      <c r="R96" s="626"/>
      <c r="S96" s="626"/>
      <c r="T96" s="626"/>
      <c r="U96" s="626"/>
      <c r="V96" s="626"/>
      <c r="W96" s="626"/>
    </row>
    <row r="97" spans="1:23" s="1254" customFormat="1" ht="18" customHeight="1">
      <c r="A97" s="888"/>
      <c r="B97" s="889"/>
      <c r="C97" s="889"/>
      <c r="D97" s="889"/>
      <c r="E97" s="889"/>
      <c r="F97" s="889"/>
      <c r="G97" s="889"/>
      <c r="H97" s="889"/>
      <c r="I97" s="889"/>
      <c r="J97" s="889"/>
      <c r="K97" s="891"/>
      <c r="L97" s="889"/>
      <c r="M97" s="889"/>
      <c r="N97" s="889"/>
      <c r="O97" s="889"/>
      <c r="P97" s="889"/>
      <c r="Q97" s="889"/>
      <c r="R97" s="889"/>
      <c r="S97" s="889"/>
      <c r="T97" s="889"/>
      <c r="U97" s="889"/>
      <c r="V97" s="889"/>
      <c r="W97" s="894"/>
    </row>
    <row r="98" spans="1:23" s="1254" customFormat="1" ht="18" customHeight="1">
      <c r="A98" s="1476" t="s">
        <v>1262</v>
      </c>
      <c r="B98" s="1477"/>
      <c r="C98" s="1478"/>
      <c r="D98" s="1476" t="s">
        <v>982</v>
      </c>
      <c r="E98" s="1478"/>
      <c r="F98" s="1476" t="s">
        <v>1263</v>
      </c>
      <c r="G98" s="1477"/>
      <c r="H98" s="1478"/>
      <c r="I98" s="1054" t="s">
        <v>1264</v>
      </c>
      <c r="J98" s="1055"/>
      <c r="K98" s="1056"/>
      <c r="L98" s="1057" t="s">
        <v>1265</v>
      </c>
      <c r="M98" s="1058"/>
      <c r="N98" s="1058"/>
      <c r="O98" s="1059"/>
      <c r="P98" s="895"/>
      <c r="Q98" s="574" t="s">
        <v>1266</v>
      </c>
      <c r="R98" s="18"/>
      <c r="S98" s="18" t="s">
        <v>1267</v>
      </c>
      <c r="T98" s="1060" t="str">
        <f>T39</f>
        <v>N</v>
      </c>
      <c r="U98" s="793" t="s">
        <v>1268</v>
      </c>
      <c r="V98" s="1242">
        <f>V39</f>
        <v>8.2500000000000004E-2</v>
      </c>
      <c r="W98" s="898"/>
    </row>
    <row r="99" spans="1:23" s="1254" customFormat="1" ht="18" customHeight="1">
      <c r="A99" s="899" t="s">
        <v>1269</v>
      </c>
      <c r="B99" s="2865">
        <f>B40</f>
        <v>0</v>
      </c>
      <c r="C99" s="2865"/>
      <c r="D99" s="2866">
        <f>D40</f>
        <v>0</v>
      </c>
      <c r="E99" s="2866"/>
      <c r="F99" s="901">
        <f>F40</f>
        <v>0</v>
      </c>
      <c r="G99" s="2867">
        <f>G40</f>
        <v>0</v>
      </c>
      <c r="H99" s="2867"/>
      <c r="I99" s="1485">
        <f>I40</f>
        <v>0</v>
      </c>
      <c r="J99" s="1486"/>
      <c r="K99" s="1487"/>
      <c r="L99" s="3031">
        <f>L40</f>
        <v>0.18</v>
      </c>
      <c r="M99" s="3031"/>
      <c r="N99" s="3031"/>
      <c r="O99" s="3031"/>
      <c r="P99" s="1137"/>
      <c r="Q99" s="902" t="s">
        <v>980</v>
      </c>
      <c r="R99" s="18"/>
      <c r="S99" s="18"/>
      <c r="T99" s="2942">
        <f>S40</f>
        <v>0</v>
      </c>
      <c r="U99" s="2942"/>
      <c r="V99" s="18"/>
      <c r="W99" s="898"/>
    </row>
    <row r="100" spans="1:23" s="1254" customFormat="1" ht="18" customHeight="1">
      <c r="A100" s="909"/>
      <c r="B100" s="905"/>
      <c r="C100" s="905"/>
      <c r="D100" s="905"/>
      <c r="E100" s="905"/>
      <c r="F100" s="905"/>
      <c r="G100" s="905"/>
      <c r="H100" s="905"/>
      <c r="I100" s="905"/>
      <c r="J100" s="905"/>
      <c r="K100" s="905"/>
      <c r="L100" s="905"/>
      <c r="M100" s="905"/>
      <c r="N100" s="905"/>
      <c r="O100" s="905"/>
      <c r="P100" s="905"/>
      <c r="Q100" s="905"/>
      <c r="R100" s="905"/>
      <c r="S100" s="905"/>
      <c r="T100" s="905"/>
      <c r="U100" s="905"/>
      <c r="V100" s="905"/>
      <c r="W100" s="913"/>
    </row>
    <row r="101" spans="1:23" s="1254" customFormat="1">
      <c r="A101" s="626"/>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row>
    <row r="102" spans="1:23" s="1254" customFormat="1">
      <c r="A102" s="626"/>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row>
    <row r="103" spans="1:23" s="1254" customFormat="1" ht="15.45">
      <c r="A103" s="684" t="s">
        <v>1055</v>
      </c>
      <c r="B103" s="1243" t="s">
        <v>853</v>
      </c>
      <c r="C103" s="686"/>
      <c r="D103" s="689">
        <f>D104-T99</f>
        <v>0</v>
      </c>
      <c r="E103" s="626"/>
      <c r="F103" s="626"/>
      <c r="G103" s="626"/>
      <c r="H103" s="626"/>
      <c r="I103" s="626"/>
      <c r="J103" s="626"/>
      <c r="K103" s="626"/>
      <c r="L103" s="626"/>
      <c r="M103" s="626"/>
      <c r="N103" s="626"/>
      <c r="O103" s="626"/>
      <c r="P103" s="626"/>
      <c r="Q103" s="626"/>
      <c r="R103" s="626"/>
      <c r="S103" s="626"/>
    </row>
    <row r="104" spans="1:23" s="1254" customFormat="1">
      <c r="A104" s="700" t="s">
        <v>1070</v>
      </c>
      <c r="B104" s="702"/>
      <c r="C104" s="702"/>
      <c r="D104" s="703">
        <f>SUM(D105:D161)-D137-D147</f>
        <v>0</v>
      </c>
      <c r="E104" s="626"/>
      <c r="F104" s="626"/>
      <c r="G104" s="626"/>
      <c r="H104" s="626"/>
      <c r="I104" s="626"/>
      <c r="J104" s="626"/>
      <c r="K104" s="626"/>
      <c r="L104" s="626"/>
      <c r="M104" s="626"/>
      <c r="N104" s="626"/>
      <c r="O104" s="626"/>
      <c r="P104" s="626"/>
      <c r="Q104" s="626"/>
      <c r="R104" s="626"/>
      <c r="S104" s="626"/>
    </row>
    <row r="105" spans="1:23">
      <c r="A105" s="1244">
        <f>Summary!P74</f>
        <v>40001</v>
      </c>
      <c r="B105" s="707" t="str">
        <f>Summary!Q74</f>
        <v>General Requirements</v>
      </c>
      <c r="C105" s="296"/>
      <c r="D105" s="708">
        <f>SUM(L100:M102)</f>
        <v>0</v>
      </c>
    </row>
    <row r="106" spans="1:23">
      <c r="A106" s="1244">
        <f>Summary!P75</f>
        <v>40002</v>
      </c>
      <c r="B106" s="707" t="str">
        <f>Summary!Q75</f>
        <v>Lumber</v>
      </c>
      <c r="C106" s="296"/>
      <c r="D106" s="717">
        <f>SUM(W51:W76)+W77+W78+W79+W81+W82</f>
        <v>0</v>
      </c>
    </row>
    <row r="107" spans="1:23">
      <c r="A107" s="1244">
        <f>Summary!P76</f>
        <v>40003</v>
      </c>
      <c r="B107" s="707" t="str">
        <f>Summary!Q76</f>
        <v>Sand Material</v>
      </c>
      <c r="C107" s="296"/>
      <c r="D107" s="717">
        <f>N59</f>
        <v>0</v>
      </c>
    </row>
    <row r="108" spans="1:23">
      <c r="A108" s="1244">
        <f>Summary!P77</f>
        <v>40004</v>
      </c>
      <c r="B108" s="707" t="str">
        <f>Summary!Q77</f>
        <v>Rock Material</v>
      </c>
      <c r="C108" s="296"/>
      <c r="D108" s="717">
        <f>N60</f>
        <v>0</v>
      </c>
    </row>
    <row r="109" spans="1:23">
      <c r="A109" s="1244">
        <f>Summary!P78</f>
        <v>40005</v>
      </c>
      <c r="B109" s="707" t="str">
        <f>Summary!Q78</f>
        <v>Reinforcement Material</v>
      </c>
      <c r="C109" s="296"/>
      <c r="D109" s="717">
        <f>N56+N57</f>
        <v>0</v>
      </c>
    </row>
    <row r="110" spans="1:23">
      <c r="A110" s="1244">
        <f>Summary!P79</f>
        <v>40006</v>
      </c>
      <c r="B110" s="707" t="str">
        <f>Summary!Q79</f>
        <v>Reinforcement Accessories</v>
      </c>
      <c r="C110" s="296"/>
      <c r="D110" s="717">
        <f>SUM(W83:DA85)+W94</f>
        <v>0</v>
      </c>
    </row>
    <row r="111" spans="1:23">
      <c r="A111" s="1244">
        <f>Summary!P80</f>
        <v>40007</v>
      </c>
      <c r="B111" s="707" t="str">
        <f>Summary!Q80</f>
        <v>PT Cables</v>
      </c>
      <c r="C111" s="296"/>
      <c r="D111" s="717">
        <f>N58</f>
        <v>0</v>
      </c>
    </row>
    <row r="112" spans="1:23">
      <c r="A112" s="1244">
        <f>Summary!P81</f>
        <v>40008</v>
      </c>
      <c r="B112" s="707" t="str">
        <f>Summary!Q81</f>
        <v>Concrete Material</v>
      </c>
      <c r="C112" s="296"/>
      <c r="D112" s="717">
        <f>SUM(N51:O55)</f>
        <v>0</v>
      </c>
    </row>
    <row r="113" spans="1:4">
      <c r="A113" s="1244">
        <f>Summary!P82</f>
        <v>40009</v>
      </c>
      <c r="B113" s="707" t="str">
        <f>Summary!Q82</f>
        <v>Carton Forms</v>
      </c>
      <c r="C113" s="296"/>
      <c r="D113" s="717">
        <f>SUM(N61:O63)</f>
        <v>0</v>
      </c>
    </row>
    <row r="114" spans="1:4">
      <c r="A114" s="1244">
        <f>Summary!P83</f>
        <v>40010</v>
      </c>
      <c r="B114" s="707" t="str">
        <f>Summary!Q83</f>
        <v>Cure/Sealers</v>
      </c>
      <c r="C114" s="296"/>
      <c r="D114" s="717">
        <f>SUM(W89:W91)</f>
        <v>0</v>
      </c>
    </row>
    <row r="115" spans="1:4">
      <c r="A115" s="1244">
        <f>Summary!P84</f>
        <v>40011</v>
      </c>
      <c r="B115" s="707" t="str">
        <f>Summary!Q84</f>
        <v>Patch/Grout</v>
      </c>
      <c r="C115" s="296"/>
      <c r="D115" s="717"/>
    </row>
    <row r="116" spans="1:4">
      <c r="A116" s="1244">
        <f>Summary!P85</f>
        <v>40012</v>
      </c>
      <c r="B116" s="707" t="str">
        <f>Summary!Q85</f>
        <v>Poly/Vapor Barrier</v>
      </c>
      <c r="C116" s="296"/>
      <c r="D116" s="717"/>
    </row>
    <row r="117" spans="1:4">
      <c r="A117" s="1244">
        <f>Summary!P86</f>
        <v>40013</v>
      </c>
      <c r="B117" s="707" t="s">
        <v>1105</v>
      </c>
      <c r="C117" s="296"/>
      <c r="D117" s="717">
        <f>W86</f>
        <v>0</v>
      </c>
    </row>
    <row r="118" spans="1:4">
      <c r="A118" s="1244">
        <f>Summary!P87</f>
        <v>40014</v>
      </c>
      <c r="B118" s="707" t="s">
        <v>1105</v>
      </c>
      <c r="C118" s="296"/>
      <c r="D118" s="717">
        <f>W87</f>
        <v>0</v>
      </c>
    </row>
    <row r="119" spans="1:4">
      <c r="A119" s="1244">
        <f>Summary!P88</f>
        <v>40015</v>
      </c>
      <c r="B119" s="707" t="s">
        <v>1108</v>
      </c>
      <c r="C119" s="296"/>
      <c r="D119" s="717">
        <f>W88</f>
        <v>0</v>
      </c>
    </row>
    <row r="120" spans="1:4">
      <c r="A120" s="1244">
        <f>Summary!P89</f>
        <v>40020</v>
      </c>
      <c r="B120" s="707" t="str">
        <f>Summary!Q89</f>
        <v>Supervision</v>
      </c>
      <c r="C120" s="296"/>
      <c r="D120" s="717">
        <f>SUM(N78:O79)</f>
        <v>0</v>
      </c>
    </row>
    <row r="121" spans="1:4">
      <c r="A121" s="1244">
        <f>Summary!P90</f>
        <v>40021</v>
      </c>
      <c r="B121" s="707" t="str">
        <f>Summary!Q90</f>
        <v>Supervision Expense</v>
      </c>
      <c r="C121" s="296"/>
      <c r="D121" s="717">
        <f>SUM(N80)</f>
        <v>0</v>
      </c>
    </row>
    <row r="122" spans="1:4">
      <c r="A122" s="1244">
        <f>Summary!P91</f>
        <v>40022</v>
      </c>
      <c r="B122" s="707" t="str">
        <f>Summary!Q91</f>
        <v>Project Management</v>
      </c>
      <c r="C122" s="296"/>
      <c r="D122" s="717">
        <f>N81</f>
        <v>0</v>
      </c>
    </row>
    <row r="123" spans="1:4">
      <c r="A123" s="1244">
        <f>Summary!P92</f>
        <v>40023</v>
      </c>
      <c r="B123" s="707" t="str">
        <f>Summary!Q92</f>
        <v>Labor Grade, Poly, Reinf.</v>
      </c>
      <c r="C123" s="296"/>
      <c r="D123" s="717">
        <f>K66</f>
        <v>0</v>
      </c>
    </row>
    <row r="124" spans="1:4">
      <c r="A124" s="1244">
        <f>Summary!P93</f>
        <v>40024</v>
      </c>
      <c r="B124" s="707" t="str">
        <f>Summary!Q93</f>
        <v>Labor Place &amp; Finish</v>
      </c>
      <c r="C124" s="296"/>
      <c r="D124" s="1245">
        <f>K68</f>
        <v>0</v>
      </c>
    </row>
    <row r="125" spans="1:4">
      <c r="A125" s="1244">
        <f>Summary!P94</f>
        <v>40025</v>
      </c>
      <c r="B125" s="707" t="str">
        <f>Summary!Q94</f>
        <v>Labor Drops</v>
      </c>
      <c r="C125" s="296"/>
      <c r="D125" s="717">
        <f>K70</f>
        <v>0</v>
      </c>
    </row>
    <row r="126" spans="1:4">
      <c r="A126" s="1244">
        <f>Summary!P95</f>
        <v>40026</v>
      </c>
      <c r="B126" s="707" t="str">
        <f>Summary!Q95</f>
        <v>Labor Strip Forms</v>
      </c>
      <c r="C126" s="296"/>
      <c r="D126" s="717">
        <f>K69</f>
        <v>0</v>
      </c>
    </row>
    <row r="127" spans="1:4">
      <c r="A127" s="1244">
        <f>Summary!P96</f>
        <v>40027</v>
      </c>
      <c r="B127" s="707" t="str">
        <f>Summary!Q96</f>
        <v>Labor Burden</v>
      </c>
      <c r="C127" s="296"/>
      <c r="D127" s="717"/>
    </row>
    <row r="128" spans="1:4">
      <c r="A128" s="1244">
        <f>Summary!P98</f>
        <v>40030</v>
      </c>
      <c r="B128" s="707" t="str">
        <f>Summary!Q98</f>
        <v>Pumping</v>
      </c>
      <c r="C128" s="296"/>
      <c r="D128" s="717">
        <f>N90</f>
        <v>0</v>
      </c>
    </row>
    <row r="129" spans="1:4">
      <c r="A129" s="1244">
        <f>Summary!P99</f>
        <v>40031</v>
      </c>
      <c r="B129" s="707" t="str">
        <f>Summary!Q99</f>
        <v>Earth Work/Excavation</v>
      </c>
      <c r="C129" s="296"/>
      <c r="D129" s="717"/>
    </row>
    <row r="130" spans="1:4">
      <c r="A130" s="1244">
        <f>Summary!P100</f>
        <v>40032</v>
      </c>
      <c r="B130" s="707" t="str">
        <f>Summary!Q100</f>
        <v>Drilling</v>
      </c>
      <c r="C130" s="296"/>
      <c r="D130" s="717"/>
    </row>
    <row r="131" spans="1:4">
      <c r="A131" s="1244">
        <f>Summary!P101</f>
        <v>40033</v>
      </c>
      <c r="B131" s="707" t="str">
        <f>Summary!Q101</f>
        <v>Haul off</v>
      </c>
      <c r="C131" s="296"/>
      <c r="D131" s="717">
        <f>N94</f>
        <v>0</v>
      </c>
    </row>
    <row r="132" spans="1:4">
      <c r="A132" s="1244">
        <f>Summary!P102</f>
        <v>40034</v>
      </c>
      <c r="B132" s="707" t="str">
        <f>Summary!Q102</f>
        <v>Saw Cutting/Sealing</v>
      </c>
      <c r="C132" s="296"/>
      <c r="D132" s="717">
        <f>N92</f>
        <v>0</v>
      </c>
    </row>
    <row r="133" spans="1:4">
      <c r="A133" s="1244">
        <f>Summary!P103</f>
        <v>40035</v>
      </c>
      <c r="B133" s="707" t="str">
        <f>Summary!Q103</f>
        <v>Demolition</v>
      </c>
      <c r="C133" s="296"/>
      <c r="D133" s="717"/>
    </row>
    <row r="134" spans="1:4">
      <c r="A134" s="1244">
        <f>Summary!P104</f>
        <v>40037</v>
      </c>
      <c r="B134" s="707" t="str">
        <f>Summary!Q104</f>
        <v>Waterproofing</v>
      </c>
      <c r="C134" s="296"/>
      <c r="D134" s="717">
        <f>N91</f>
        <v>0</v>
      </c>
    </row>
    <row r="135" spans="1:4">
      <c r="A135" s="1244">
        <f>Summary!P105</f>
        <v>40038</v>
      </c>
      <c r="B135" s="707" t="str">
        <f>Summary!Q105</f>
        <v>Crain/Hoisting</v>
      </c>
      <c r="C135" s="296"/>
      <c r="D135" s="717"/>
    </row>
    <row r="136" spans="1:4">
      <c r="A136" s="1246">
        <f>Summary!P106</f>
        <v>40039</v>
      </c>
      <c r="B136" s="753" t="str">
        <f>Summary!Q106</f>
        <v>Forming Systems</v>
      </c>
      <c r="C136" s="765"/>
      <c r="D136" s="1832">
        <f>N64</f>
        <v>0</v>
      </c>
    </row>
    <row r="137" spans="1:4">
      <c r="A137" s="1833">
        <f>Summary!P107</f>
        <v>40040</v>
      </c>
      <c r="B137" s="1834" t="str">
        <f>Summary!Q107</f>
        <v>Total Sub Labor</v>
      </c>
      <c r="C137" s="1835"/>
      <c r="D137" s="1836">
        <f>SUM(D138:D145)</f>
        <v>0</v>
      </c>
    </row>
    <row r="138" spans="1:4">
      <c r="A138" s="1244">
        <f>Summary!P108</f>
        <v>40041</v>
      </c>
      <c r="B138" s="707" t="str">
        <f>Summary!Q108</f>
        <v>Labor Forming</v>
      </c>
      <c r="C138" s="296"/>
      <c r="D138" s="708">
        <f>N67</f>
        <v>0</v>
      </c>
    </row>
    <row r="139" spans="1:4">
      <c r="A139" s="1244">
        <f>Summary!P109</f>
        <v>40042</v>
      </c>
      <c r="B139" s="707" t="str">
        <f>Summary!Q109</f>
        <v>Labor Grade, Poly, Reinf.</v>
      </c>
      <c r="C139" s="715"/>
      <c r="D139" s="708">
        <f>N66+N74+N73</f>
        <v>0</v>
      </c>
    </row>
    <row r="140" spans="1:4">
      <c r="A140" s="1244">
        <f>Summary!P110</f>
        <v>40043</v>
      </c>
      <c r="B140" s="707" t="str">
        <f>Summary!Q110</f>
        <v>Labor Place &amp; Finish</v>
      </c>
      <c r="C140" s="715"/>
      <c r="D140" s="708">
        <f>N68</f>
        <v>0</v>
      </c>
    </row>
    <row r="141" spans="1:4">
      <c r="A141" s="1244">
        <f>Summary!P111</f>
        <v>40044</v>
      </c>
      <c r="B141" s="707" t="str">
        <f>Summary!Q111</f>
        <v>Labor Drops</v>
      </c>
      <c r="C141" s="715"/>
      <c r="D141" s="708"/>
    </row>
    <row r="142" spans="1:4">
      <c r="A142" s="1244">
        <f>Summary!P112</f>
        <v>40045</v>
      </c>
      <c r="B142" s="707" t="str">
        <f>Summary!Q112</f>
        <v>Labor Strip Forms</v>
      </c>
      <c r="C142" s="715"/>
      <c r="D142" s="708">
        <f>N69</f>
        <v>0</v>
      </c>
    </row>
    <row r="143" spans="1:4">
      <c r="A143" s="1244">
        <f>Summary!P113</f>
        <v>40046</v>
      </c>
      <c r="B143" s="707" t="str">
        <f>Summary!Q113</f>
        <v>Labor Burden</v>
      </c>
      <c r="C143" s="296"/>
      <c r="D143" s="717">
        <f>N70+N72</f>
        <v>0</v>
      </c>
    </row>
    <row r="144" spans="1:4">
      <c r="A144" s="1244">
        <f>Summary!P114</f>
        <v>40047</v>
      </c>
      <c r="B144" s="707" t="str">
        <f>Summary!Q114</f>
        <v>Rebar</v>
      </c>
      <c r="C144" s="715"/>
      <c r="D144" s="708">
        <f>N71</f>
        <v>0</v>
      </c>
    </row>
    <row r="145" spans="1:4">
      <c r="A145" s="1246">
        <f>Summary!P115</f>
        <v>40048</v>
      </c>
      <c r="B145" s="753" t="str">
        <f>Summary!Q115</f>
        <v>PT Installation</v>
      </c>
      <c r="C145" s="765"/>
      <c r="D145" s="1832"/>
    </row>
    <row r="146" spans="1:4">
      <c r="A146" s="1246">
        <f>Summary!P116</f>
        <v>40049</v>
      </c>
      <c r="B146" s="753" t="str">
        <f>Summary!Q116</f>
        <v>Extra Hours</v>
      </c>
      <c r="C146" s="765"/>
      <c r="D146" s="722">
        <f>N75</f>
        <v>0</v>
      </c>
    </row>
    <row r="147" spans="1:4">
      <c r="A147" s="1833">
        <f>Summary!P117</f>
        <v>40060</v>
      </c>
      <c r="B147" s="1834" t="str">
        <f>Summary!Q117</f>
        <v>Total Equipment Rental</v>
      </c>
      <c r="C147" s="1835"/>
      <c r="D147" s="1836">
        <f>SUM(D148:D153)</f>
        <v>0</v>
      </c>
    </row>
    <row r="148" spans="1:4">
      <c r="A148" s="1244">
        <f>Summary!P118</f>
        <v>40061</v>
      </c>
      <c r="B148" s="707" t="str">
        <f>Summary!Q118</f>
        <v>SkyTrack</v>
      </c>
      <c r="C148" s="296"/>
      <c r="D148" s="708">
        <f>N83/(1+V$39+I$85)</f>
        <v>0</v>
      </c>
    </row>
    <row r="149" spans="1:4">
      <c r="A149" s="1244">
        <f>Summary!P119</f>
        <v>40062</v>
      </c>
      <c r="B149" s="707" t="str">
        <f>Summary!Q119</f>
        <v>Mini Excavator</v>
      </c>
      <c r="C149" s="296"/>
      <c r="D149" s="708">
        <f>N84/(1+V$39+I$85)</f>
        <v>0</v>
      </c>
    </row>
    <row r="150" spans="1:4">
      <c r="A150" s="1244">
        <f>Summary!P120</f>
        <v>40063</v>
      </c>
      <c r="B150" s="707" t="str">
        <f>Summary!Q120</f>
        <v>Trencher</v>
      </c>
      <c r="C150" s="296"/>
      <c r="D150" s="708">
        <f>N85/(1+V$39+I$85)</f>
        <v>0</v>
      </c>
    </row>
    <row r="151" spans="1:4">
      <c r="A151" s="1244">
        <f>Summary!P121</f>
        <v>40064</v>
      </c>
      <c r="B151" s="707" t="str">
        <f>Summary!Q121</f>
        <v>Skid Steer</v>
      </c>
      <c r="C151" s="296"/>
      <c r="D151" s="708">
        <f>N86/(1+V$39+I$85)</f>
        <v>0</v>
      </c>
    </row>
    <row r="152" spans="1:4">
      <c r="A152" s="1244">
        <f>Summary!P122</f>
        <v>40065</v>
      </c>
      <c r="B152" s="707" t="str">
        <f>Summary!Q122</f>
        <v>General Equipment Rental</v>
      </c>
      <c r="C152" s="296"/>
      <c r="D152" s="708">
        <f>(N87+N88)/(1+V$39+I$85)</f>
        <v>0</v>
      </c>
    </row>
    <row r="153" spans="1:4">
      <c r="A153" s="1244">
        <f>Summary!P123</f>
        <v>40066</v>
      </c>
      <c r="B153" s="707" t="str">
        <f>Summary!Q123</f>
        <v>Fuel</v>
      </c>
      <c r="C153" s="296"/>
      <c r="D153" s="708">
        <f>L85-SUM(D148:D152)</f>
        <v>0</v>
      </c>
    </row>
    <row r="154" spans="1:4">
      <c r="A154" s="1244">
        <f>Summary!P124</f>
        <v>40067</v>
      </c>
      <c r="B154" s="707" t="str">
        <f>Summary!Q124</f>
        <v>Purchased Tools</v>
      </c>
      <c r="C154" s="296"/>
      <c r="D154" s="708"/>
    </row>
    <row r="155" spans="1:4">
      <c r="A155" s="1244">
        <f>Summary!P125</f>
        <v>40068</v>
      </c>
      <c r="B155" s="707" t="str">
        <f>Summary!Q125</f>
        <v>Stolen/Damaged</v>
      </c>
      <c r="C155" s="296"/>
      <c r="D155" s="708"/>
    </row>
    <row r="156" spans="1:4">
      <c r="A156" s="1244">
        <f>Summary!P126</f>
        <v>40070</v>
      </c>
      <c r="B156" s="707" t="str">
        <f>Summary!Q126</f>
        <v>Out of Town Expense</v>
      </c>
      <c r="C156" s="296"/>
      <c r="D156" s="708">
        <f>N95</f>
        <v>0</v>
      </c>
    </row>
    <row r="157" spans="1:4">
      <c r="A157" s="1244">
        <f>Summary!P127</f>
        <v>40071</v>
      </c>
      <c r="B157" s="707" t="str">
        <f>Summary!Q127</f>
        <v>Miscellaneous</v>
      </c>
      <c r="C157" s="296"/>
      <c r="D157" s="717">
        <f>N93</f>
        <v>0</v>
      </c>
    </row>
    <row r="158" spans="1:4">
      <c r="A158" s="1244">
        <f>Summary!P128</f>
        <v>40072</v>
      </c>
      <c r="B158" s="707" t="str">
        <f>Summary!Q128</f>
        <v>Repairs</v>
      </c>
      <c r="C158" s="296"/>
      <c r="D158" s="717"/>
    </row>
    <row r="159" spans="1:4">
      <c r="A159" s="1244">
        <f>Summary!P129</f>
        <v>40073</v>
      </c>
      <c r="B159" s="707" t="str">
        <f>Summary!Q129</f>
        <v>Engineering</v>
      </c>
      <c r="C159" s="296"/>
      <c r="D159" s="717"/>
    </row>
    <row r="160" spans="1:4">
      <c r="A160" s="1244">
        <f>Summary!P130</f>
        <v>40090</v>
      </c>
      <c r="B160" s="707" t="str">
        <f>Summary!Q130</f>
        <v>Not Used</v>
      </c>
      <c r="C160" s="296"/>
      <c r="D160" s="717"/>
    </row>
    <row r="161" spans="1:4">
      <c r="A161" s="1244">
        <f>Summary!P131</f>
        <v>40091</v>
      </c>
      <c r="B161" s="707" t="str">
        <f>Summary!Q131</f>
        <v>Margin Contingency</v>
      </c>
      <c r="C161" s="296"/>
      <c r="D161" s="717">
        <f>N96</f>
        <v>0</v>
      </c>
    </row>
  </sheetData>
  <mergeCells count="123">
    <mergeCell ref="B99:C99"/>
    <mergeCell ref="D99:E99"/>
    <mergeCell ref="G99:H99"/>
    <mergeCell ref="L99:O99"/>
    <mergeCell ref="T99:U99"/>
    <mergeCell ref="A89:O89"/>
    <mergeCell ref="N90:O90"/>
    <mergeCell ref="N91:O91"/>
    <mergeCell ref="N92:O92"/>
    <mergeCell ref="N93:O93"/>
    <mergeCell ref="N94:O94"/>
    <mergeCell ref="N95:O95"/>
    <mergeCell ref="A96:C96"/>
    <mergeCell ref="N96:O96"/>
    <mergeCell ref="I84:J84"/>
    <mergeCell ref="L84:M84"/>
    <mergeCell ref="N84:O84"/>
    <mergeCell ref="I85:J86"/>
    <mergeCell ref="L85:M85"/>
    <mergeCell ref="N85:O85"/>
    <mergeCell ref="N86:O86"/>
    <mergeCell ref="N87:O87"/>
    <mergeCell ref="N88:O88"/>
    <mergeCell ref="L78:M78"/>
    <mergeCell ref="N78:O78"/>
    <mergeCell ref="L79:M79"/>
    <mergeCell ref="N79:O79"/>
    <mergeCell ref="N80:O80"/>
    <mergeCell ref="L81:M81"/>
    <mergeCell ref="N81:O81"/>
    <mergeCell ref="A82:O82"/>
    <mergeCell ref="N83:O83"/>
    <mergeCell ref="D74:E74"/>
    <mergeCell ref="K74:L74"/>
    <mergeCell ref="N74:O74"/>
    <mergeCell ref="D75:E75"/>
    <mergeCell ref="K75:L75"/>
    <mergeCell ref="N75:O75"/>
    <mergeCell ref="K76:L76"/>
    <mergeCell ref="N76:O76"/>
    <mergeCell ref="A77:O77"/>
    <mergeCell ref="D71:E71"/>
    <mergeCell ref="K71:L71"/>
    <mergeCell ref="N71:O71"/>
    <mergeCell ref="D72:E72"/>
    <mergeCell ref="K72:L72"/>
    <mergeCell ref="N72:O72"/>
    <mergeCell ref="D73:E73"/>
    <mergeCell ref="K73:L73"/>
    <mergeCell ref="N73:O73"/>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H61:I63"/>
    <mergeCell ref="J61:J63"/>
    <mergeCell ref="K61:L61"/>
    <mergeCell ref="N61:O61"/>
    <mergeCell ref="K62:L62"/>
    <mergeCell ref="N62:O62"/>
    <mergeCell ref="K63:L63"/>
    <mergeCell ref="N63:O63"/>
    <mergeCell ref="H64:I64"/>
    <mergeCell ref="N64:O64"/>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C6:D6"/>
    <mergeCell ref="C7:D7"/>
    <mergeCell ref="BJ8:BR8"/>
    <mergeCell ref="DD8:DG8"/>
    <mergeCell ref="A9:B9"/>
    <mergeCell ref="D38:E38"/>
    <mergeCell ref="A39:C39"/>
    <mergeCell ref="B40:C40"/>
    <mergeCell ref="D40:E40"/>
    <mergeCell ref="G40:H40"/>
    <mergeCell ref="I40:J40"/>
    <mergeCell ref="S40:T40"/>
  </mergeCells>
  <conditionalFormatting sqref="D11:D27">
    <cfRule type="expression" dxfId="5" priority="2">
      <formula>AND(E11&lt;&gt;"",ISERROR(MATCH(D11,$A$51:$A$55,0)))</formula>
    </cfRule>
  </conditionalFormatting>
  <conditionalFormatting sqref="K50:L50">
    <cfRule type="containsText" dxfId="4" priority="3" operator="containsText" text="Missing Concrete">
      <formula>NOT(ISERROR(SEARCH("Missing Concrete",K50)))</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9"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B9CDE5"/>
    <pageSetUpPr fitToPage="1"/>
  </sheetPr>
  <dimension ref="A1:IC176"/>
  <sheetViews>
    <sheetView zoomScale="55" zoomScaleNormal="55" zoomScalePageLayoutView="70" workbookViewId="0">
      <selection activeCell="C92" sqref="C92"/>
    </sheetView>
  </sheetViews>
  <sheetFormatPr defaultColWidth="1.15234375" defaultRowHeight="15"/>
  <cols>
    <col min="1" max="2" width="15.84375" style="18" customWidth="1"/>
    <col min="3" max="4" width="12.84375" style="18" customWidth="1"/>
    <col min="5" max="5" width="10.53515625" style="18" customWidth="1"/>
    <col min="6" max="6" width="16.84375" style="18" customWidth="1"/>
    <col min="7" max="9" width="10.84375" style="18" customWidth="1"/>
    <col min="10" max="10" width="12.84375" style="18" customWidth="1"/>
    <col min="11" max="13" width="10.84375" style="18" customWidth="1"/>
    <col min="14" max="14" width="13" style="18" customWidth="1"/>
    <col min="15" max="15" width="15" style="18" customWidth="1"/>
    <col min="16" max="16" width="15.53515625" style="18" customWidth="1"/>
    <col min="17" max="19" width="12.84375" style="18" customWidth="1"/>
    <col min="20" max="22" width="15.84375" style="18" customWidth="1"/>
    <col min="23" max="23" width="26.4609375" style="18" customWidth="1"/>
    <col min="24" max="24" width="12" customWidth="1"/>
    <col min="25" max="25" width="12.15234375" customWidth="1"/>
    <col min="26" max="26" width="9.15234375" customWidth="1"/>
    <col min="27" max="27" width="15.4609375" customWidth="1"/>
    <col min="28" max="28" width="11.53515625" hidden="1" customWidth="1"/>
    <col min="29" max="30" width="9.15234375" hidden="1" customWidth="1"/>
    <col min="31" max="31" width="14.15234375" hidden="1" customWidth="1"/>
    <col min="32" max="52" width="9.15234375" hidden="1" customWidth="1"/>
    <col min="53" max="53" width="10.15234375" hidden="1" customWidth="1"/>
    <col min="54" max="56" width="9.15234375" hidden="1" customWidth="1"/>
    <col min="57" max="57" width="11.53515625" hidden="1" customWidth="1"/>
    <col min="58" max="59" width="20.84375" hidden="1" customWidth="1"/>
    <col min="60" max="61" width="19" hidden="1" customWidth="1"/>
    <col min="62" max="62" width="16.84375" hidden="1" customWidth="1"/>
    <col min="63" max="64" width="12" hidden="1" customWidth="1"/>
    <col min="65" max="66" width="26.53515625" hidden="1" customWidth="1"/>
    <col min="67" max="67" width="26.53515625" customWidth="1"/>
    <col min="68" max="68" width="12.15234375" customWidth="1"/>
    <col min="69" max="69" width="9.15234375" customWidth="1"/>
    <col min="70" max="70" width="11.53515625" customWidth="1"/>
    <col min="71" max="237" width="9.15234375" customWidth="1"/>
    <col min="238" max="263" width="9.15234375" style="18" customWidth="1"/>
    <col min="264" max="16384" width="1.15234375" style="18"/>
  </cols>
  <sheetData>
    <row r="1" spans="1:70" ht="15.75" customHeight="1">
      <c r="A1" s="791" t="s">
        <v>1355</v>
      </c>
      <c r="C1" s="626"/>
      <c r="D1" s="626"/>
      <c r="E1" s="626"/>
      <c r="F1" s="626"/>
      <c r="G1" s="626"/>
      <c r="H1" s="626"/>
      <c r="I1" s="626"/>
      <c r="J1" s="626"/>
      <c r="K1" s="626"/>
      <c r="L1" s="626"/>
      <c r="M1" s="626"/>
      <c r="N1" s="626"/>
      <c r="O1" s="626"/>
      <c r="P1" s="626"/>
      <c r="Q1" s="626"/>
      <c r="R1" s="626"/>
      <c r="S1" s="626"/>
      <c r="T1" s="3093" t="s">
        <v>1193</v>
      </c>
      <c r="U1" s="3093"/>
      <c r="V1" s="3094">
        <v>37456</v>
      </c>
      <c r="W1" s="3094"/>
      <c r="Y1" s="1254"/>
    </row>
    <row r="2" spans="1:70" ht="26.25" customHeight="1">
      <c r="A2" s="2749" t="str">
        <f>Summary!C1</f>
        <v>Trammell Crow – LBJ</v>
      </c>
      <c r="B2" s="2749"/>
      <c r="C2" s="2749"/>
      <c r="D2" s="2749"/>
      <c r="E2" s="626"/>
      <c r="F2" s="626"/>
      <c r="G2" s="1084" t="s">
        <v>56</v>
      </c>
      <c r="H2" s="589"/>
      <c r="I2" s="983"/>
      <c r="J2" s="1085" t="s">
        <v>57</v>
      </c>
      <c r="K2" s="589"/>
      <c r="L2" s="589"/>
      <c r="M2" s="589"/>
      <c r="N2" s="2750" t="s">
        <v>1</v>
      </c>
      <c r="O2" s="2750"/>
      <c r="P2" s="2751" t="s">
        <v>1194</v>
      </c>
      <c r="Q2" s="2751"/>
      <c r="R2" s="626"/>
      <c r="S2" s="626"/>
      <c r="T2" s="795" t="s">
        <v>957</v>
      </c>
      <c r="U2" s="663"/>
      <c r="V2" s="796">
        <f>Information!C7</f>
        <v>0</v>
      </c>
      <c r="W2" s="797"/>
      <c r="Y2" s="1254"/>
      <c r="Z2" s="18"/>
      <c r="AA2" s="18"/>
      <c r="AB2" s="18"/>
      <c r="AC2" s="18"/>
      <c r="AD2" s="18"/>
      <c r="AE2" s="18"/>
    </row>
    <row r="3" spans="1:70" ht="18" customHeight="1">
      <c r="A3" s="2752">
        <f>Summary!C2</f>
        <v>0</v>
      </c>
      <c r="B3" s="2752"/>
      <c r="C3" s="2752"/>
      <c r="D3" s="2752"/>
      <c r="E3" s="626"/>
      <c r="F3" s="626"/>
      <c r="G3" s="1087"/>
      <c r="H3" s="1088" t="s">
        <v>955</v>
      </c>
      <c r="I3" s="3095">
        <f>Summary!K2</f>
        <v>0</v>
      </c>
      <c r="J3" s="3095"/>
      <c r="K3" s="3095"/>
      <c r="L3" s="3095"/>
      <c r="M3" s="3095"/>
      <c r="N3" s="2920">
        <f>Summary!O2</f>
        <v>0</v>
      </c>
      <c r="O3" s="2920"/>
      <c r="P3" s="2921">
        <f>Summary!P2</f>
        <v>0</v>
      </c>
      <c r="Q3" s="2921"/>
      <c r="R3" s="626"/>
      <c r="S3" s="626"/>
      <c r="T3" s="574"/>
      <c r="W3" s="798"/>
      <c r="Y3" s="1254"/>
    </row>
    <row r="4" spans="1:70" ht="18" customHeight="1">
      <c r="A4" s="2756" t="str">
        <f>Summary!C3</f>
        <v>Dallas, TX</v>
      </c>
      <c r="B4" s="2756"/>
      <c r="C4" s="2756"/>
      <c r="D4" s="2756"/>
      <c r="E4" s="626"/>
      <c r="F4" s="626"/>
      <c r="G4" s="396"/>
      <c r="H4" s="928" t="s">
        <v>71</v>
      </c>
      <c r="I4" s="3096">
        <f>Summary!K3</f>
        <v>0</v>
      </c>
      <c r="J4" s="3096"/>
      <c r="K4" s="3096"/>
      <c r="L4" s="3096"/>
      <c r="M4" s="3096"/>
      <c r="N4" s="2924">
        <f>Summary!O3</f>
        <v>0</v>
      </c>
      <c r="O4" s="2924"/>
      <c r="P4" s="2925">
        <f>Summary!P3</f>
        <v>0</v>
      </c>
      <c r="Q4" s="2925"/>
      <c r="R4" s="626"/>
      <c r="S4" s="626"/>
      <c r="T4" s="574" t="s">
        <v>958</v>
      </c>
      <c r="V4" s="799"/>
      <c r="W4" s="800"/>
      <c r="Y4" s="1254"/>
    </row>
    <row r="5" spans="1:70" ht="18" customHeight="1">
      <c r="A5" s="380" t="s">
        <v>0</v>
      </c>
      <c r="B5" s="626"/>
      <c r="C5" s="3097" t="s">
        <v>1</v>
      </c>
      <c r="D5" s="3097"/>
      <c r="E5" s="626"/>
      <c r="F5" s="626"/>
      <c r="G5" s="396"/>
      <c r="H5" s="928" t="s">
        <v>79</v>
      </c>
      <c r="I5" s="3098">
        <f>Summary!K4</f>
        <v>0</v>
      </c>
      <c r="J5" s="3098"/>
      <c r="K5" s="3098"/>
      <c r="L5" s="3098"/>
      <c r="M5" s="3098"/>
      <c r="N5" s="3099">
        <f>Summary!O4</f>
        <v>0</v>
      </c>
      <c r="O5" s="3099"/>
      <c r="P5" s="3100">
        <f>Summary!P4</f>
        <v>0</v>
      </c>
      <c r="Q5" s="3100"/>
      <c r="R5" s="626"/>
      <c r="S5" s="626"/>
      <c r="T5" s="574"/>
      <c r="W5" s="798"/>
      <c r="Y5" s="1254"/>
    </row>
    <row r="6" spans="1:70" ht="18" customHeight="1">
      <c r="A6" s="804">
        <v>0</v>
      </c>
      <c r="B6" s="626"/>
      <c r="C6" s="2929">
        <v>0</v>
      </c>
      <c r="D6" s="2929"/>
      <c r="E6" s="626"/>
      <c r="F6" s="626">
        <f>D10*F10*G10*H10/72</f>
        <v>2736</v>
      </c>
      <c r="G6" s="653"/>
      <c r="H6" s="1090" t="s">
        <v>87</v>
      </c>
      <c r="I6" s="3101">
        <f>Summary!K5</f>
        <v>0</v>
      </c>
      <c r="J6" s="3101"/>
      <c r="K6" s="3101"/>
      <c r="L6" s="3101"/>
      <c r="M6" s="3101"/>
      <c r="N6" s="3102">
        <f>Summary!O5</f>
        <v>0</v>
      </c>
      <c r="O6" s="3102"/>
      <c r="P6" s="3103">
        <f>Summary!P5</f>
        <v>0</v>
      </c>
      <c r="Q6" s="3103"/>
      <c r="R6" s="626"/>
      <c r="S6" s="626"/>
      <c r="T6" s="577" t="s">
        <v>958</v>
      </c>
      <c r="U6" s="802"/>
      <c r="V6" s="802"/>
      <c r="W6" s="803"/>
      <c r="Y6" s="1254"/>
    </row>
    <row r="7" spans="1:70" ht="18" customHeight="1">
      <c r="A7" s="801">
        <v>0</v>
      </c>
      <c r="B7" s="626"/>
      <c r="C7" s="3104">
        <v>0</v>
      </c>
      <c r="D7" s="3104"/>
      <c r="E7" s="626"/>
      <c r="F7" s="2765" t="s">
        <v>1196</v>
      </c>
      <c r="G7" s="2765"/>
      <c r="H7" s="2765"/>
      <c r="I7" s="2998" t="str">
        <f>Pricing!A3</f>
        <v>SRM</v>
      </c>
      <c r="J7" s="2998"/>
      <c r="K7" s="2998"/>
      <c r="L7" s="2998"/>
      <c r="M7" s="2998"/>
      <c r="N7" s="626"/>
      <c r="O7" s="626"/>
      <c r="P7" s="626"/>
      <c r="Q7" s="626"/>
      <c r="R7" s="626"/>
      <c r="S7" s="626"/>
      <c r="T7" s="626"/>
      <c r="U7" s="626"/>
      <c r="V7" s="626"/>
      <c r="W7" s="626"/>
      <c r="Y7" s="1254"/>
      <c r="BE7" s="12" t="s">
        <v>1507</v>
      </c>
      <c r="BF7" s="12"/>
      <c r="BG7" s="12"/>
      <c r="BH7" s="12"/>
      <c r="BI7" s="12"/>
      <c r="BJ7" s="12"/>
      <c r="BK7" s="12"/>
      <c r="BL7" s="12"/>
      <c r="BM7" s="12"/>
      <c r="BN7" s="12"/>
      <c r="BO7" s="12"/>
      <c r="BP7" s="12"/>
    </row>
    <row r="8" spans="1:70" ht="18" customHeight="1">
      <c r="A8" s="1094"/>
      <c r="B8" s="1095"/>
      <c r="C8" s="1838"/>
      <c r="D8" s="1097" t="s">
        <v>835</v>
      </c>
      <c r="E8" s="3105" t="s">
        <v>1209</v>
      </c>
      <c r="F8" s="2772" t="s">
        <v>1722</v>
      </c>
      <c r="G8" s="2772"/>
      <c r="H8" s="2772"/>
      <c r="I8" s="2772" t="s">
        <v>1723</v>
      </c>
      <c r="J8" s="2772"/>
      <c r="K8" s="2772" t="s">
        <v>1724</v>
      </c>
      <c r="L8" s="2772"/>
      <c r="M8" s="2772" t="s">
        <v>1724</v>
      </c>
      <c r="N8" s="2772"/>
      <c r="O8" s="2772" t="s">
        <v>1360</v>
      </c>
      <c r="P8" s="2772"/>
      <c r="Q8" s="2934" t="s">
        <v>1200</v>
      </c>
      <c r="R8" s="2934"/>
      <c r="S8" s="2934"/>
      <c r="T8" s="3000" t="s">
        <v>1363</v>
      </c>
      <c r="U8" s="3001" t="s">
        <v>1219</v>
      </c>
      <c r="V8" s="795" t="s">
        <v>1725</v>
      </c>
      <c r="W8" s="1839"/>
      <c r="X8" s="2936" t="s">
        <v>1203</v>
      </c>
      <c r="Y8" s="2936"/>
      <c r="Z8" s="2936"/>
      <c r="AA8" s="2936"/>
      <c r="AO8" t="s">
        <v>1364</v>
      </c>
      <c r="BE8" s="1840"/>
      <c r="BF8" s="158"/>
      <c r="BG8" s="2937" t="s">
        <v>1146</v>
      </c>
      <c r="BH8" s="2937"/>
      <c r="BI8" s="2937"/>
      <c r="BJ8" s="2937"/>
      <c r="BK8" s="2937"/>
      <c r="BL8" s="2937"/>
      <c r="BM8" s="831"/>
      <c r="BN8" s="168"/>
      <c r="BO8" s="168"/>
      <c r="BP8" s="168"/>
      <c r="BQ8" s="812"/>
    </row>
    <row r="9" spans="1:70" ht="29.25" customHeight="1">
      <c r="A9" s="3002" t="s">
        <v>1726</v>
      </c>
      <c r="B9" s="3002"/>
      <c r="C9" s="1102"/>
      <c r="D9" s="1841"/>
      <c r="E9" s="3105"/>
      <c r="F9" s="1099" t="s">
        <v>1727</v>
      </c>
      <c r="G9" s="1100" t="s">
        <v>1675</v>
      </c>
      <c r="H9" s="1099" t="s">
        <v>1676</v>
      </c>
      <c r="I9" s="1100" t="s">
        <v>1369</v>
      </c>
      <c r="J9" s="1099" t="s">
        <v>1215</v>
      </c>
      <c r="K9" s="1100" t="s">
        <v>1369</v>
      </c>
      <c r="L9" s="1099" t="s">
        <v>1215</v>
      </c>
      <c r="M9" s="1100" t="s">
        <v>1369</v>
      </c>
      <c r="N9" s="1099" t="s">
        <v>1215</v>
      </c>
      <c r="O9" s="1100" t="s">
        <v>1215</v>
      </c>
      <c r="P9" s="1099" t="s">
        <v>1216</v>
      </c>
      <c r="Q9" s="1099" t="s">
        <v>1215</v>
      </c>
      <c r="R9" s="1099" t="s">
        <v>835</v>
      </c>
      <c r="S9" s="1842" t="s">
        <v>1370</v>
      </c>
      <c r="T9" s="3000"/>
      <c r="U9" s="3001"/>
      <c r="V9" s="1316" t="s">
        <v>1728</v>
      </c>
      <c r="W9" s="1843" t="s">
        <v>1729</v>
      </c>
      <c r="X9" s="824" t="s">
        <v>1730</v>
      </c>
      <c r="Y9" s="60" t="s">
        <v>1223</v>
      </c>
      <c r="Z9" s="85" t="s">
        <v>1731</v>
      </c>
      <c r="AA9" s="139" t="s">
        <v>835</v>
      </c>
      <c r="AN9" t="s">
        <v>1374</v>
      </c>
      <c r="AO9" t="s">
        <v>1375</v>
      </c>
      <c r="AP9" t="s">
        <v>1376</v>
      </c>
      <c r="AQ9" t="s">
        <v>1377</v>
      </c>
      <c r="AR9" t="s">
        <v>1378</v>
      </c>
      <c r="AS9" t="s">
        <v>1522</v>
      </c>
      <c r="AT9" t="s">
        <v>1523</v>
      </c>
      <c r="AU9" t="s">
        <v>1524</v>
      </c>
      <c r="AV9" t="s">
        <v>1525</v>
      </c>
      <c r="AW9" t="s">
        <v>1526</v>
      </c>
      <c r="AX9" t="s">
        <v>1384</v>
      </c>
      <c r="AY9" t="s">
        <v>1385</v>
      </c>
      <c r="AZ9" t="s">
        <v>1387</v>
      </c>
      <c r="BA9" t="s">
        <v>1386</v>
      </c>
      <c r="BE9" s="1844" t="s">
        <v>577</v>
      </c>
      <c r="BF9" s="1845" t="s">
        <v>1388</v>
      </c>
      <c r="BG9" s="1844" t="s">
        <v>1732</v>
      </c>
      <c r="BH9" s="1845" t="s">
        <v>1389</v>
      </c>
      <c r="BI9" s="1846" t="s">
        <v>1731</v>
      </c>
      <c r="BJ9" s="1845" t="s">
        <v>1391</v>
      </c>
      <c r="BK9" s="1846" t="s">
        <v>1733</v>
      </c>
      <c r="BL9" s="1847" t="s">
        <v>1159</v>
      </c>
      <c r="BM9" s="1848" t="s">
        <v>1393</v>
      </c>
      <c r="BN9" s="60" t="s">
        <v>1255</v>
      </c>
      <c r="BO9" s="1849" t="s">
        <v>1734</v>
      </c>
      <c r="BP9" s="60" t="s">
        <v>1735</v>
      </c>
      <c r="BQ9" s="1526"/>
    </row>
    <row r="10" spans="1:70" ht="19.5" customHeight="1">
      <c r="A10" s="482" t="s">
        <v>2119</v>
      </c>
      <c r="B10" s="1177"/>
      <c r="C10" s="77"/>
      <c r="D10" s="1850">
        <v>38</v>
      </c>
      <c r="E10" s="503">
        <v>8</v>
      </c>
      <c r="F10" s="1851">
        <v>12</v>
      </c>
      <c r="G10" s="1108">
        <v>18</v>
      </c>
      <c r="H10" s="1109">
        <v>24</v>
      </c>
      <c r="I10" s="1110">
        <v>8</v>
      </c>
      <c r="J10" s="1109">
        <v>8</v>
      </c>
      <c r="K10" s="1110"/>
      <c r="L10" s="1109"/>
      <c r="M10" s="1110"/>
      <c r="N10" s="1109"/>
      <c r="O10" s="1110">
        <v>4</v>
      </c>
      <c r="P10" s="1109">
        <v>6</v>
      </c>
      <c r="Q10" s="1110">
        <v>8</v>
      </c>
      <c r="R10" s="1111">
        <v>8</v>
      </c>
      <c r="S10" s="1714">
        <v>5</v>
      </c>
      <c r="T10" s="1114">
        <f t="shared" ref="T10:T53" si="0">IF(P10=0,0,(F10*I10*J10/16*J10/16*10.680159)+((F10*K10*L10/16*L10/16*10.680159)+(M10*N10/16*N10/16*10.680159*F10)+((O10/16*O10/16)*3.145*0.2836*((((G10*2)+(H10*2))*F10*12/P10))))*(1+J$72))*D10+D10*Q10/16*Q10/16*10.703064*S10*R10*(1+J$72)</f>
        <v>18911.7605496</v>
      </c>
      <c r="U10" s="1717">
        <f t="shared" ref="U10:U53" si="1">ROUNDUP((F10*G10/12*H10/324)*D10*(1+J$67),0)</f>
        <v>53</v>
      </c>
      <c r="V10" s="1852">
        <f t="shared" ref="V10:V53" si="2">IF(D10=0,0,SUM(BE10:BM10)/D10*(1+L$58))</f>
        <v>2062.5408456998089</v>
      </c>
      <c r="W10" s="576">
        <f t="shared" ref="W10:W53" si="3">IF(D10=0,0,V10*D10)</f>
        <v>78376.552136592742</v>
      </c>
      <c r="X10" s="846">
        <f t="shared" ref="X10:X53" si="4">(G10*2+H10*2)/12*F10*D10</f>
        <v>3192</v>
      </c>
      <c r="Y10" s="847">
        <f t="shared" ref="Y10:Y53" si="5">T10</f>
        <v>18911.7605496</v>
      </c>
      <c r="Z10" s="847">
        <f t="shared" ref="Z10:Z53" si="6">AZ10</f>
        <v>2736</v>
      </c>
      <c r="AA10" s="848">
        <f t="shared" ref="AA10:AA53" si="7">D10</f>
        <v>38</v>
      </c>
      <c r="AN10">
        <f>IF($E10=1,$U10,0)</f>
        <v>0</v>
      </c>
      <c r="AO10">
        <f t="shared" ref="AO10:AO53" si="8">IF($E10=2,U10,0)</f>
        <v>0</v>
      </c>
      <c r="AP10">
        <f t="shared" ref="AP10:AP53" si="9">IF($E10=3,U10,0)</f>
        <v>0</v>
      </c>
      <c r="AQ10">
        <f t="shared" ref="AQ10:AQ53" si="10">IF($E10=4,U10,0)</f>
        <v>0</v>
      </c>
      <c r="AR10">
        <f t="shared" ref="AR10:AR53" si="11">IF($E10=5,U10,0)</f>
        <v>0</v>
      </c>
      <c r="AS10">
        <f>IF($E10=6,$U10,0)</f>
        <v>0</v>
      </c>
      <c r="AT10">
        <f t="shared" ref="AT10:AT53" si="12">IF($E10=7,$U10,0)</f>
        <v>0</v>
      </c>
      <c r="AU10">
        <f t="shared" ref="AU10:AU53" si="13">IF($E10=8,$U10,0)</f>
        <v>53</v>
      </c>
      <c r="AV10">
        <f t="shared" ref="AV10:AV53" si="14">IF($E10=9,$U10,0)</f>
        <v>0</v>
      </c>
      <c r="AW10">
        <f t="shared" ref="AW10:AW53" si="15">IF($E10=10,$U10,0)</f>
        <v>0</v>
      </c>
      <c r="AX10">
        <f t="shared" ref="AX10:AX53" si="16">SUM(AN10:AS10)</f>
        <v>0</v>
      </c>
      <c r="AY10" s="1116">
        <f t="shared" ref="AY10:AY53" si="17">T10</f>
        <v>18911.7605496</v>
      </c>
      <c r="AZ10">
        <f t="shared" ref="AZ10:AZ53" si="18">F10*H10*G10/36*D10/2</f>
        <v>2736</v>
      </c>
      <c r="BA10">
        <f t="shared" ref="BA10:BA53" si="19">F10*H10*G10/36*D10</f>
        <v>5472</v>
      </c>
      <c r="BE10" s="854">
        <f t="shared" ref="BE10:BE53" si="20">T10*F$72*IF(T$57="N",(1+V$57),1)</f>
        <v>13306.7875167123</v>
      </c>
      <c r="BF10" s="273">
        <f>(AN10*Pricing!F$3+AO10*Pricing!G$3+AP10*Pricing!H$3+AQ10*Pricing!I$3+AR10*Pricing!J$3+AS10*Pricing!K$3+AT10*Pricing!L$3+AU10*Pricing!M$3+AV10*Pricing!N$3+AW10*Pricing!O$3)*IF(T$57="N",(1+V$57),1)</f>
        <v>10040.1875</v>
      </c>
      <c r="BG10" s="854">
        <f t="shared" ref="BG10:BG53" si="21">IF(H$83=0,0,N$82/H$83*AZ10)</f>
        <v>1584.9081081081081</v>
      </c>
      <c r="BH10" s="273">
        <f t="shared" ref="BH10:BH53" si="22">AZ10*(G$83)</f>
        <v>11628</v>
      </c>
      <c r="BI10" s="273">
        <f t="shared" ref="BI10:BI53" si="23">Z10*D$86</f>
        <v>684</v>
      </c>
      <c r="BJ10" s="273">
        <f t="shared" ref="BJ10:BJ53" si="24">T10/2000*D$87</f>
        <v>4255.1461236599998</v>
      </c>
      <c r="BK10" s="273">
        <f t="shared" ref="BK10:BK53" si="25">N$88/D$54*F10</f>
        <v>0</v>
      </c>
      <c r="BL10" s="855">
        <f t="shared" ref="BL10:BL53" si="26">N$89/H$86*Z10</f>
        <v>0</v>
      </c>
      <c r="BM10" s="857">
        <f t="shared" ref="BM10:BM53" si="27">IF(H$83=0,0,(SUM(N$92:O$95)+SUM(N$97:O$102)+SUM(N$104:O$109)+SUM(N$75:O$80)+W$109)/H$83*AZ10)</f>
        <v>24921.777646937167</v>
      </c>
      <c r="BN10" s="273">
        <f t="shared" ref="BN10:BN53" si="28">N$110/H$83*Z10</f>
        <v>0</v>
      </c>
      <c r="BO10" s="857">
        <f t="shared" ref="BO10:BO53" si="29">SUM(BE10:BN10)</f>
        <v>66420.806895417569</v>
      </c>
      <c r="BP10" s="849">
        <f t="shared" ref="BP10:BP53" si="30">V10*D10</f>
        <v>78376.552136592742</v>
      </c>
      <c r="BQ10" s="247"/>
      <c r="BR10" s="849">
        <f>V10*1.16*2</f>
        <v>4785.0947620235565</v>
      </c>
    </row>
    <row r="11" spans="1:70" ht="19.5" customHeight="1">
      <c r="A11" s="482" t="s">
        <v>2120</v>
      </c>
      <c r="B11" s="1177"/>
      <c r="C11" s="77"/>
      <c r="D11" s="1850">
        <v>23</v>
      </c>
      <c r="E11" s="503">
        <v>8</v>
      </c>
      <c r="F11" s="1851">
        <v>24</v>
      </c>
      <c r="G11" s="1108">
        <v>18</v>
      </c>
      <c r="H11" s="1109">
        <v>24</v>
      </c>
      <c r="I11" s="1110">
        <v>8</v>
      </c>
      <c r="J11" s="1109">
        <v>8</v>
      </c>
      <c r="K11" s="1110"/>
      <c r="L11" s="1109"/>
      <c r="M11" s="1110"/>
      <c r="N11" s="1109"/>
      <c r="O11" s="1110">
        <v>4</v>
      </c>
      <c r="P11" s="1109">
        <v>6</v>
      </c>
      <c r="Q11" s="1110">
        <v>8</v>
      </c>
      <c r="R11" s="1111">
        <v>8</v>
      </c>
      <c r="S11" s="1714">
        <v>5</v>
      </c>
      <c r="T11" s="1114">
        <f t="shared" si="0"/>
        <v>20185.308631199998</v>
      </c>
      <c r="U11" s="1717">
        <f t="shared" si="1"/>
        <v>64</v>
      </c>
      <c r="V11" s="1852">
        <f t="shared" si="2"/>
        <v>3994.5371737661299</v>
      </c>
      <c r="W11" s="576">
        <f t="shared" si="3"/>
        <v>91874.354996620983</v>
      </c>
      <c r="X11" s="846">
        <f t="shared" si="4"/>
        <v>3864</v>
      </c>
      <c r="Y11" s="847">
        <f t="shared" si="5"/>
        <v>20185.308631199998</v>
      </c>
      <c r="Z11" s="847">
        <f t="shared" si="6"/>
        <v>3312</v>
      </c>
      <c r="AA11" s="848">
        <f t="shared" si="7"/>
        <v>23</v>
      </c>
      <c r="AN11">
        <f t="shared" ref="AN11:AN27" si="31">IF(E11=1,U11,0)</f>
        <v>0</v>
      </c>
      <c r="AO11">
        <f t="shared" si="8"/>
        <v>0</v>
      </c>
      <c r="AP11">
        <f t="shared" si="9"/>
        <v>0</v>
      </c>
      <c r="AQ11">
        <f t="shared" si="10"/>
        <v>0</v>
      </c>
      <c r="AR11">
        <f t="shared" si="11"/>
        <v>0</v>
      </c>
      <c r="AS11">
        <f t="shared" ref="AS11:AS53" si="32">IF($E11=6,U11,0)</f>
        <v>0</v>
      </c>
      <c r="AT11">
        <f t="shared" si="12"/>
        <v>0</v>
      </c>
      <c r="AU11">
        <f t="shared" si="13"/>
        <v>64</v>
      </c>
      <c r="AV11">
        <f t="shared" si="14"/>
        <v>0</v>
      </c>
      <c r="AW11">
        <f t="shared" si="15"/>
        <v>0</v>
      </c>
      <c r="AX11">
        <f t="shared" si="16"/>
        <v>0</v>
      </c>
      <c r="AY11" s="1116">
        <f t="shared" si="17"/>
        <v>20185.308631199998</v>
      </c>
      <c r="AZ11">
        <f t="shared" si="18"/>
        <v>3312</v>
      </c>
      <c r="BA11">
        <f t="shared" si="19"/>
        <v>6624</v>
      </c>
      <c r="BE11" s="854">
        <f t="shared" si="20"/>
        <v>14202.8877856281</v>
      </c>
      <c r="BF11" s="273">
        <f>(AN11*Pricing!F$3+AO11*Pricing!G$3+AP11*Pricing!H$3+AQ11*Pricing!I$3+AR11*Pricing!J$3+AS11*Pricing!K$3+AT11*Pricing!L$3+AU11*Pricing!M$3+AV11*Pricing!N$3+AW11*Pricing!O$3)*IF(T$57="N",(1+V$57),1)</f>
        <v>12124</v>
      </c>
      <c r="BG11" s="854">
        <f t="shared" si="21"/>
        <v>1918.5729729729728</v>
      </c>
      <c r="BH11" s="273">
        <f t="shared" si="22"/>
        <v>14076</v>
      </c>
      <c r="BI11" s="273">
        <f t="shared" si="23"/>
        <v>828</v>
      </c>
      <c r="BJ11" s="273">
        <f t="shared" si="24"/>
        <v>4541.6944420199998</v>
      </c>
      <c r="BK11" s="273">
        <f t="shared" si="25"/>
        <v>0</v>
      </c>
      <c r="BL11" s="855">
        <f t="shared" si="26"/>
        <v>0</v>
      </c>
      <c r="BM11" s="857">
        <f t="shared" si="27"/>
        <v>30168.467677871311</v>
      </c>
      <c r="BN11" s="273">
        <f t="shared" si="28"/>
        <v>0</v>
      </c>
      <c r="BO11" s="857">
        <f t="shared" si="29"/>
        <v>77859.622878492373</v>
      </c>
      <c r="BP11" s="849">
        <f t="shared" si="30"/>
        <v>91874.354996620983</v>
      </c>
      <c r="BQ11" s="247"/>
    </row>
    <row r="12" spans="1:70" ht="19.5" customHeight="1">
      <c r="A12" s="482" t="s">
        <v>2121</v>
      </c>
      <c r="B12" s="1177"/>
      <c r="C12" s="77"/>
      <c r="D12" s="1850">
        <v>1</v>
      </c>
      <c r="E12" s="503">
        <v>8</v>
      </c>
      <c r="F12" s="1851">
        <v>12</v>
      </c>
      <c r="G12" s="1108">
        <v>18</v>
      </c>
      <c r="H12" s="1109">
        <v>24</v>
      </c>
      <c r="I12" s="1110">
        <v>8</v>
      </c>
      <c r="J12" s="1109">
        <v>8</v>
      </c>
      <c r="K12" s="1110"/>
      <c r="L12" s="1109"/>
      <c r="M12" s="1110"/>
      <c r="N12" s="1109"/>
      <c r="O12" s="1110">
        <v>4</v>
      </c>
      <c r="P12" s="1109">
        <v>6</v>
      </c>
      <c r="Q12" s="1110">
        <v>8</v>
      </c>
      <c r="R12" s="1111">
        <v>8</v>
      </c>
      <c r="S12" s="1714">
        <v>5</v>
      </c>
      <c r="T12" s="1114">
        <f t="shared" si="0"/>
        <v>497.67790919999999</v>
      </c>
      <c r="U12" s="1717">
        <f t="shared" si="1"/>
        <v>2</v>
      </c>
      <c r="V12" s="1852">
        <f t="shared" si="2"/>
        <v>2197.8391022787564</v>
      </c>
      <c r="W12" s="576">
        <f t="shared" si="3"/>
        <v>2197.8391022787564</v>
      </c>
      <c r="X12" s="846">
        <f t="shared" si="4"/>
        <v>84</v>
      </c>
      <c r="Y12" s="847">
        <f t="shared" si="5"/>
        <v>497.67790919999999</v>
      </c>
      <c r="Z12" s="847">
        <f t="shared" si="6"/>
        <v>72</v>
      </c>
      <c r="AA12" s="848">
        <f t="shared" si="7"/>
        <v>1</v>
      </c>
      <c r="AN12">
        <f t="shared" si="31"/>
        <v>0</v>
      </c>
      <c r="AO12">
        <f t="shared" si="8"/>
        <v>0</v>
      </c>
      <c r="AP12">
        <f t="shared" si="9"/>
        <v>0</v>
      </c>
      <c r="AQ12">
        <f t="shared" si="10"/>
        <v>0</v>
      </c>
      <c r="AR12">
        <f t="shared" si="11"/>
        <v>0</v>
      </c>
      <c r="AS12">
        <f t="shared" si="32"/>
        <v>0</v>
      </c>
      <c r="AT12">
        <f t="shared" si="12"/>
        <v>0</v>
      </c>
      <c r="AU12">
        <f t="shared" si="13"/>
        <v>2</v>
      </c>
      <c r="AV12">
        <f t="shared" si="14"/>
        <v>0</v>
      </c>
      <c r="AW12">
        <f t="shared" si="15"/>
        <v>0</v>
      </c>
      <c r="AX12">
        <f t="shared" si="16"/>
        <v>0</v>
      </c>
      <c r="AY12" s="1116">
        <f t="shared" si="17"/>
        <v>497.67790919999999</v>
      </c>
      <c r="AZ12">
        <f t="shared" si="18"/>
        <v>72</v>
      </c>
      <c r="BA12">
        <f t="shared" si="19"/>
        <v>144</v>
      </c>
      <c r="BE12" s="854">
        <f t="shared" si="20"/>
        <v>350.17861886085001</v>
      </c>
      <c r="BF12" s="273">
        <f>(AN12*Pricing!F$3+AO12*Pricing!G$3+AP12*Pricing!H$3+AQ12*Pricing!I$3+AR12*Pricing!J$3+AS12*Pricing!K$3+AT12*Pricing!L$3+AU12*Pricing!M$3+AV12*Pricing!N$3+AW12*Pricing!O$3)*IF(T$57="N",(1+V$57),1)</f>
        <v>378.875</v>
      </c>
      <c r="BG12" s="854">
        <f t="shared" si="21"/>
        <v>41.708108108108107</v>
      </c>
      <c r="BH12" s="273">
        <f t="shared" si="22"/>
        <v>306</v>
      </c>
      <c r="BI12" s="273">
        <f t="shared" si="23"/>
        <v>18</v>
      </c>
      <c r="BJ12" s="273">
        <f t="shared" si="24"/>
        <v>111.97752957</v>
      </c>
      <c r="BK12" s="273">
        <f t="shared" si="25"/>
        <v>0</v>
      </c>
      <c r="BL12" s="855">
        <f t="shared" si="26"/>
        <v>0</v>
      </c>
      <c r="BM12" s="857">
        <f t="shared" si="27"/>
        <v>655.83625386676761</v>
      </c>
      <c r="BN12" s="273">
        <f t="shared" si="28"/>
        <v>0</v>
      </c>
      <c r="BO12" s="857">
        <f t="shared" si="29"/>
        <v>1862.5755104057257</v>
      </c>
      <c r="BP12" s="849">
        <f t="shared" si="30"/>
        <v>2197.8391022787564</v>
      </c>
      <c r="BQ12" s="247"/>
    </row>
    <row r="13" spans="1:70" ht="19.5" customHeight="1">
      <c r="A13" s="482" t="s">
        <v>2122</v>
      </c>
      <c r="B13" s="1177"/>
      <c r="C13" s="77"/>
      <c r="D13" s="1850">
        <v>6</v>
      </c>
      <c r="E13" s="503">
        <v>8</v>
      </c>
      <c r="F13" s="1851">
        <v>12</v>
      </c>
      <c r="G13" s="1108">
        <v>18</v>
      </c>
      <c r="H13" s="1109">
        <v>30</v>
      </c>
      <c r="I13" s="1110">
        <v>10</v>
      </c>
      <c r="J13" s="1109">
        <v>10</v>
      </c>
      <c r="K13" s="1110"/>
      <c r="L13" s="1109"/>
      <c r="M13" s="1110"/>
      <c r="N13" s="1109"/>
      <c r="O13" s="1110">
        <v>4</v>
      </c>
      <c r="P13" s="1109">
        <v>6</v>
      </c>
      <c r="Q13" s="1110">
        <v>10</v>
      </c>
      <c r="R13" s="1111">
        <v>10</v>
      </c>
      <c r="S13" s="1714">
        <v>5</v>
      </c>
      <c r="T13" s="1114">
        <f t="shared" si="0"/>
        <v>5231.1692313000003</v>
      </c>
      <c r="U13" s="1717">
        <f t="shared" si="1"/>
        <v>11</v>
      </c>
      <c r="V13" s="1852">
        <f t="shared" si="2"/>
        <v>2871.9606493047472</v>
      </c>
      <c r="W13" s="576">
        <f t="shared" si="3"/>
        <v>17231.763895828484</v>
      </c>
      <c r="X13" s="846">
        <f t="shared" si="4"/>
        <v>576</v>
      </c>
      <c r="Y13" s="847">
        <f t="shared" si="5"/>
        <v>5231.1692313000003</v>
      </c>
      <c r="Z13" s="847">
        <f t="shared" si="6"/>
        <v>540</v>
      </c>
      <c r="AA13" s="848">
        <f t="shared" si="7"/>
        <v>6</v>
      </c>
      <c r="AN13">
        <f t="shared" si="31"/>
        <v>0</v>
      </c>
      <c r="AO13">
        <f t="shared" si="8"/>
        <v>0</v>
      </c>
      <c r="AP13">
        <f t="shared" si="9"/>
        <v>0</v>
      </c>
      <c r="AQ13">
        <f t="shared" si="10"/>
        <v>0</v>
      </c>
      <c r="AR13">
        <f t="shared" si="11"/>
        <v>0</v>
      </c>
      <c r="AS13">
        <f t="shared" si="32"/>
        <v>0</v>
      </c>
      <c r="AT13">
        <f t="shared" si="12"/>
        <v>0</v>
      </c>
      <c r="AU13">
        <f t="shared" si="13"/>
        <v>11</v>
      </c>
      <c r="AV13">
        <f t="shared" si="14"/>
        <v>0</v>
      </c>
      <c r="AW13">
        <f t="shared" si="15"/>
        <v>0</v>
      </c>
      <c r="AX13">
        <f t="shared" si="16"/>
        <v>0</v>
      </c>
      <c r="AY13" s="1116">
        <f t="shared" si="17"/>
        <v>5231.1692313000003</v>
      </c>
      <c r="AZ13">
        <f t="shared" si="18"/>
        <v>540</v>
      </c>
      <c r="BA13">
        <f t="shared" si="19"/>
        <v>1080</v>
      </c>
      <c r="BE13" s="854">
        <f t="shared" si="20"/>
        <v>3680.7814503734626</v>
      </c>
      <c r="BF13" s="273">
        <f>(AN13*Pricing!F$3+AO13*Pricing!G$3+AP13*Pricing!H$3+AQ13*Pricing!I$3+AR13*Pricing!J$3+AS13*Pricing!K$3+AT13*Pricing!L$3+AU13*Pricing!M$3+AV13*Pricing!N$3+AW13*Pricing!O$3)*IF(T$57="N",(1+V$57),1)</f>
        <v>2083.8125</v>
      </c>
      <c r="BG13" s="854">
        <f t="shared" si="21"/>
        <v>312.81081081081078</v>
      </c>
      <c r="BH13" s="273">
        <f t="shared" si="22"/>
        <v>2295</v>
      </c>
      <c r="BI13" s="273">
        <f t="shared" si="23"/>
        <v>135</v>
      </c>
      <c r="BJ13" s="273">
        <f t="shared" si="24"/>
        <v>1177.0130770425001</v>
      </c>
      <c r="BK13" s="273">
        <f t="shared" si="25"/>
        <v>0</v>
      </c>
      <c r="BL13" s="855">
        <f t="shared" si="26"/>
        <v>0</v>
      </c>
      <c r="BM13" s="857">
        <f t="shared" si="27"/>
        <v>4918.7719040007569</v>
      </c>
      <c r="BN13" s="273">
        <f t="shared" si="28"/>
        <v>0</v>
      </c>
      <c r="BO13" s="857">
        <f t="shared" si="29"/>
        <v>14603.189742227529</v>
      </c>
      <c r="BP13" s="849">
        <f t="shared" si="30"/>
        <v>17231.763895828484</v>
      </c>
      <c r="BQ13" s="247"/>
    </row>
    <row r="14" spans="1:70" ht="19.5" customHeight="1">
      <c r="A14" s="482"/>
      <c r="B14" s="1177"/>
      <c r="C14" s="77"/>
      <c r="D14" s="1850"/>
      <c r="E14" s="503"/>
      <c r="F14" s="1851"/>
      <c r="G14" s="1108"/>
      <c r="H14" s="1109"/>
      <c r="I14" s="1110"/>
      <c r="J14" s="1109"/>
      <c r="K14" s="1110"/>
      <c r="L14" s="1109"/>
      <c r="M14" s="1110"/>
      <c r="N14" s="1109"/>
      <c r="O14" s="1110"/>
      <c r="P14" s="1109"/>
      <c r="Q14" s="1110"/>
      <c r="R14" s="1111"/>
      <c r="S14" s="1714"/>
      <c r="T14" s="1114">
        <f t="shared" si="0"/>
        <v>0</v>
      </c>
      <c r="U14" s="1717">
        <f t="shared" si="1"/>
        <v>0</v>
      </c>
      <c r="V14" s="1852">
        <f t="shared" si="2"/>
        <v>0</v>
      </c>
      <c r="W14" s="576">
        <f t="shared" si="3"/>
        <v>0</v>
      </c>
      <c r="X14" s="846">
        <f t="shared" si="4"/>
        <v>0</v>
      </c>
      <c r="Y14" s="847">
        <f t="shared" si="5"/>
        <v>0</v>
      </c>
      <c r="Z14" s="847">
        <f t="shared" si="6"/>
        <v>0</v>
      </c>
      <c r="AA14" s="848">
        <f t="shared" si="7"/>
        <v>0</v>
      </c>
      <c r="AN14">
        <f t="shared" si="31"/>
        <v>0</v>
      </c>
      <c r="AO14">
        <f t="shared" si="8"/>
        <v>0</v>
      </c>
      <c r="AP14">
        <f t="shared" si="9"/>
        <v>0</v>
      </c>
      <c r="AQ14">
        <f t="shared" si="10"/>
        <v>0</v>
      </c>
      <c r="AR14">
        <f t="shared" si="11"/>
        <v>0</v>
      </c>
      <c r="AS14">
        <f t="shared" si="32"/>
        <v>0</v>
      </c>
      <c r="AT14">
        <f t="shared" si="12"/>
        <v>0</v>
      </c>
      <c r="AU14">
        <f t="shared" si="13"/>
        <v>0</v>
      </c>
      <c r="AV14">
        <f t="shared" si="14"/>
        <v>0</v>
      </c>
      <c r="AW14">
        <f t="shared" si="15"/>
        <v>0</v>
      </c>
      <c r="AX14">
        <f t="shared" si="16"/>
        <v>0</v>
      </c>
      <c r="AY14" s="1116">
        <f t="shared" si="17"/>
        <v>0</v>
      </c>
      <c r="AZ14">
        <f t="shared" si="18"/>
        <v>0</v>
      </c>
      <c r="BA14">
        <f t="shared" si="19"/>
        <v>0</v>
      </c>
      <c r="BE14" s="854">
        <f t="shared" si="20"/>
        <v>0</v>
      </c>
      <c r="BF14" s="273">
        <f>(AN14*Pricing!F$3+AO14*Pricing!G$3+AP14*Pricing!H$3+AQ14*Pricing!I$3+AR14*Pricing!J$3+AS14*Pricing!K$3+AT14*Pricing!L$3+AU14*Pricing!M$3+AV14*Pricing!N$3+AW14*Pricing!O$3)*IF(T$57="N",(1+V$57),1)</f>
        <v>0</v>
      </c>
      <c r="BG14" s="854">
        <f t="shared" si="21"/>
        <v>0</v>
      </c>
      <c r="BH14" s="273">
        <f t="shared" si="22"/>
        <v>0</v>
      </c>
      <c r="BI14" s="273">
        <f t="shared" si="23"/>
        <v>0</v>
      </c>
      <c r="BJ14" s="273">
        <f t="shared" si="24"/>
        <v>0</v>
      </c>
      <c r="BK14" s="273">
        <f t="shared" si="25"/>
        <v>0</v>
      </c>
      <c r="BL14" s="855">
        <f t="shared" si="26"/>
        <v>0</v>
      </c>
      <c r="BM14" s="857">
        <f t="shared" si="27"/>
        <v>0</v>
      </c>
      <c r="BN14" s="273">
        <f t="shared" si="28"/>
        <v>0</v>
      </c>
      <c r="BO14" s="857">
        <f t="shared" si="29"/>
        <v>0</v>
      </c>
      <c r="BP14" s="849">
        <f t="shared" si="30"/>
        <v>0</v>
      </c>
      <c r="BQ14" s="247"/>
    </row>
    <row r="15" spans="1:70" ht="19.5" customHeight="1">
      <c r="A15" s="482"/>
      <c r="B15" s="1177"/>
      <c r="C15" s="77"/>
      <c r="D15" s="1850"/>
      <c r="E15" s="503"/>
      <c r="F15" s="1851"/>
      <c r="G15" s="1108"/>
      <c r="H15" s="1109"/>
      <c r="I15" s="1110"/>
      <c r="J15" s="1109"/>
      <c r="K15" s="1110"/>
      <c r="L15" s="1109"/>
      <c r="M15" s="1110"/>
      <c r="N15" s="1109"/>
      <c r="O15" s="1110"/>
      <c r="P15" s="1109"/>
      <c r="Q15" s="1110"/>
      <c r="R15" s="1111"/>
      <c r="S15" s="1714"/>
      <c r="T15" s="1114">
        <f t="shared" si="0"/>
        <v>0</v>
      </c>
      <c r="U15" s="1717">
        <f t="shared" si="1"/>
        <v>0</v>
      </c>
      <c r="V15" s="1852">
        <f t="shared" si="2"/>
        <v>0</v>
      </c>
      <c r="W15" s="576">
        <f t="shared" si="3"/>
        <v>0</v>
      </c>
      <c r="X15" s="846">
        <f t="shared" si="4"/>
        <v>0</v>
      </c>
      <c r="Y15" s="847">
        <f t="shared" si="5"/>
        <v>0</v>
      </c>
      <c r="Z15" s="847">
        <f t="shared" si="6"/>
        <v>0</v>
      </c>
      <c r="AA15" s="848">
        <f t="shared" si="7"/>
        <v>0</v>
      </c>
      <c r="AN15">
        <f t="shared" si="31"/>
        <v>0</v>
      </c>
      <c r="AO15">
        <f t="shared" si="8"/>
        <v>0</v>
      </c>
      <c r="AP15">
        <f t="shared" si="9"/>
        <v>0</v>
      </c>
      <c r="AQ15">
        <f t="shared" si="10"/>
        <v>0</v>
      </c>
      <c r="AR15">
        <f t="shared" si="11"/>
        <v>0</v>
      </c>
      <c r="AS15">
        <f t="shared" si="32"/>
        <v>0</v>
      </c>
      <c r="AT15">
        <f t="shared" si="12"/>
        <v>0</v>
      </c>
      <c r="AU15">
        <f t="shared" si="13"/>
        <v>0</v>
      </c>
      <c r="AV15">
        <f t="shared" si="14"/>
        <v>0</v>
      </c>
      <c r="AW15">
        <f t="shared" si="15"/>
        <v>0</v>
      </c>
      <c r="AX15">
        <f t="shared" si="16"/>
        <v>0</v>
      </c>
      <c r="AY15" s="1116">
        <f t="shared" si="17"/>
        <v>0</v>
      </c>
      <c r="AZ15">
        <f t="shared" si="18"/>
        <v>0</v>
      </c>
      <c r="BA15">
        <f t="shared" si="19"/>
        <v>0</v>
      </c>
      <c r="BE15" s="854">
        <f t="shared" si="20"/>
        <v>0</v>
      </c>
      <c r="BF15" s="273">
        <f>(AN15*Pricing!F$3+AO15*Pricing!G$3+AP15*Pricing!H$3+AQ15*Pricing!I$3+AR15*Pricing!J$3+AS15*Pricing!K$3+AT15*Pricing!L$3+AU15*Pricing!M$3+AV15*Pricing!N$3+AW15*Pricing!O$3)*IF(T$57="N",(1+V$57),1)</f>
        <v>0</v>
      </c>
      <c r="BG15" s="854">
        <f t="shared" si="21"/>
        <v>0</v>
      </c>
      <c r="BH15" s="273">
        <f t="shared" si="22"/>
        <v>0</v>
      </c>
      <c r="BI15" s="273">
        <f t="shared" si="23"/>
        <v>0</v>
      </c>
      <c r="BJ15" s="273">
        <f t="shared" si="24"/>
        <v>0</v>
      </c>
      <c r="BK15" s="273">
        <f t="shared" si="25"/>
        <v>0</v>
      </c>
      <c r="BL15" s="855">
        <f t="shared" si="26"/>
        <v>0</v>
      </c>
      <c r="BM15" s="857">
        <f t="shared" si="27"/>
        <v>0</v>
      </c>
      <c r="BN15" s="273">
        <f t="shared" si="28"/>
        <v>0</v>
      </c>
      <c r="BO15" s="857">
        <f t="shared" si="29"/>
        <v>0</v>
      </c>
      <c r="BP15" s="849">
        <f t="shared" si="30"/>
        <v>0</v>
      </c>
      <c r="BQ15" s="247"/>
    </row>
    <row r="16" spans="1:70" ht="19.5" customHeight="1">
      <c r="A16" s="482"/>
      <c r="B16" s="1177"/>
      <c r="C16" s="77"/>
      <c r="D16" s="1850"/>
      <c r="E16" s="503"/>
      <c r="F16" s="1851"/>
      <c r="G16" s="1108"/>
      <c r="H16" s="1109"/>
      <c r="I16" s="1110"/>
      <c r="J16" s="1109"/>
      <c r="K16" s="1110"/>
      <c r="L16" s="1109"/>
      <c r="M16" s="1110"/>
      <c r="N16" s="1109"/>
      <c r="O16" s="1110"/>
      <c r="P16" s="1109"/>
      <c r="Q16" s="1110"/>
      <c r="R16" s="1111"/>
      <c r="S16" s="1714"/>
      <c r="T16" s="1114">
        <f t="shared" si="0"/>
        <v>0</v>
      </c>
      <c r="U16" s="1717">
        <f t="shared" si="1"/>
        <v>0</v>
      </c>
      <c r="V16" s="1852">
        <f t="shared" si="2"/>
        <v>0</v>
      </c>
      <c r="W16" s="576">
        <f t="shared" si="3"/>
        <v>0</v>
      </c>
      <c r="X16" s="846">
        <f t="shared" si="4"/>
        <v>0</v>
      </c>
      <c r="Y16" s="847">
        <f t="shared" si="5"/>
        <v>0</v>
      </c>
      <c r="Z16" s="847">
        <f t="shared" si="6"/>
        <v>0</v>
      </c>
      <c r="AA16" s="848">
        <f t="shared" si="7"/>
        <v>0</v>
      </c>
      <c r="AN16">
        <f t="shared" si="31"/>
        <v>0</v>
      </c>
      <c r="AO16">
        <f t="shared" si="8"/>
        <v>0</v>
      </c>
      <c r="AP16">
        <f t="shared" si="9"/>
        <v>0</v>
      </c>
      <c r="AQ16">
        <f t="shared" si="10"/>
        <v>0</v>
      </c>
      <c r="AR16">
        <f t="shared" si="11"/>
        <v>0</v>
      </c>
      <c r="AS16">
        <f t="shared" si="32"/>
        <v>0</v>
      </c>
      <c r="AT16">
        <f t="shared" si="12"/>
        <v>0</v>
      </c>
      <c r="AU16">
        <f t="shared" si="13"/>
        <v>0</v>
      </c>
      <c r="AV16">
        <f t="shared" si="14"/>
        <v>0</v>
      </c>
      <c r="AW16">
        <f t="shared" si="15"/>
        <v>0</v>
      </c>
      <c r="AX16">
        <f t="shared" si="16"/>
        <v>0</v>
      </c>
      <c r="AY16" s="1116">
        <f t="shared" si="17"/>
        <v>0</v>
      </c>
      <c r="AZ16">
        <f t="shared" si="18"/>
        <v>0</v>
      </c>
      <c r="BA16">
        <f t="shared" si="19"/>
        <v>0</v>
      </c>
      <c r="BE16" s="854">
        <f t="shared" si="20"/>
        <v>0</v>
      </c>
      <c r="BF16" s="273">
        <f>(AN16*Pricing!F$3+AO16*Pricing!G$3+AP16*Pricing!H$3+AQ16*Pricing!I$3+AR16*Pricing!J$3+AS16*Pricing!K$3+AT16*Pricing!L$3+AU16*Pricing!M$3+AV16*Pricing!N$3+AW16*Pricing!O$3)*IF(T$57="N",(1+V$57),1)</f>
        <v>0</v>
      </c>
      <c r="BG16" s="854">
        <f t="shared" si="21"/>
        <v>0</v>
      </c>
      <c r="BH16" s="273">
        <f t="shared" si="22"/>
        <v>0</v>
      </c>
      <c r="BI16" s="273">
        <f t="shared" si="23"/>
        <v>0</v>
      </c>
      <c r="BJ16" s="273">
        <f t="shared" si="24"/>
        <v>0</v>
      </c>
      <c r="BK16" s="273">
        <f t="shared" si="25"/>
        <v>0</v>
      </c>
      <c r="BL16" s="855">
        <f t="shared" si="26"/>
        <v>0</v>
      </c>
      <c r="BM16" s="857">
        <f t="shared" si="27"/>
        <v>0</v>
      </c>
      <c r="BN16" s="273">
        <f t="shared" si="28"/>
        <v>0</v>
      </c>
      <c r="BO16" s="857">
        <f t="shared" si="29"/>
        <v>0</v>
      </c>
      <c r="BP16" s="849">
        <f t="shared" si="30"/>
        <v>0</v>
      </c>
      <c r="BQ16" s="247"/>
    </row>
    <row r="17" spans="1:68" ht="19.5" customHeight="1">
      <c r="A17" s="482"/>
      <c r="B17" s="1177"/>
      <c r="C17" s="77"/>
      <c r="D17" s="1850"/>
      <c r="E17" s="503"/>
      <c r="F17" s="1851"/>
      <c r="G17" s="1108"/>
      <c r="H17" s="1109"/>
      <c r="I17" s="1110"/>
      <c r="J17" s="1109"/>
      <c r="K17" s="1110"/>
      <c r="L17" s="1109"/>
      <c r="M17" s="1110"/>
      <c r="N17" s="1109"/>
      <c r="O17" s="1110"/>
      <c r="P17" s="1109"/>
      <c r="Q17" s="1110"/>
      <c r="R17" s="1111"/>
      <c r="S17" s="1714"/>
      <c r="T17" s="1114">
        <f t="shared" si="0"/>
        <v>0</v>
      </c>
      <c r="U17" s="1717">
        <f t="shared" si="1"/>
        <v>0</v>
      </c>
      <c r="V17" s="1852">
        <f t="shared" si="2"/>
        <v>0</v>
      </c>
      <c r="W17" s="576">
        <f t="shared" si="3"/>
        <v>0</v>
      </c>
      <c r="X17" s="846">
        <f t="shared" si="4"/>
        <v>0</v>
      </c>
      <c r="Y17" s="847">
        <f t="shared" si="5"/>
        <v>0</v>
      </c>
      <c r="Z17" s="847">
        <f t="shared" si="6"/>
        <v>0</v>
      </c>
      <c r="AA17" s="848">
        <f t="shared" si="7"/>
        <v>0</v>
      </c>
      <c r="AN17">
        <f t="shared" si="31"/>
        <v>0</v>
      </c>
      <c r="AO17">
        <f t="shared" si="8"/>
        <v>0</v>
      </c>
      <c r="AP17">
        <f t="shared" si="9"/>
        <v>0</v>
      </c>
      <c r="AQ17">
        <f t="shared" si="10"/>
        <v>0</v>
      </c>
      <c r="AR17">
        <f t="shared" si="11"/>
        <v>0</v>
      </c>
      <c r="AS17">
        <f t="shared" si="32"/>
        <v>0</v>
      </c>
      <c r="AT17">
        <f t="shared" si="12"/>
        <v>0</v>
      </c>
      <c r="AU17">
        <f t="shared" si="13"/>
        <v>0</v>
      </c>
      <c r="AV17">
        <f t="shared" si="14"/>
        <v>0</v>
      </c>
      <c r="AW17">
        <f t="shared" si="15"/>
        <v>0</v>
      </c>
      <c r="AX17">
        <f t="shared" si="16"/>
        <v>0</v>
      </c>
      <c r="AY17" s="1116">
        <f t="shared" si="17"/>
        <v>0</v>
      </c>
      <c r="AZ17">
        <f t="shared" si="18"/>
        <v>0</v>
      </c>
      <c r="BA17">
        <f t="shared" si="19"/>
        <v>0</v>
      </c>
      <c r="BE17" s="854">
        <f t="shared" si="20"/>
        <v>0</v>
      </c>
      <c r="BF17" s="273">
        <f>(AN17*Pricing!F$3+AO17*Pricing!G$3+AP17*Pricing!H$3+AQ17*Pricing!I$3+AR17*Pricing!J$3+AS17*Pricing!K$3+AT17*Pricing!L$3+AU17*Pricing!M$3+AV17*Pricing!N$3+AW17*Pricing!O$3)*IF(T$57="N",(1+V$57),1)</f>
        <v>0</v>
      </c>
      <c r="BG17" s="854">
        <f t="shared" si="21"/>
        <v>0</v>
      </c>
      <c r="BH17" s="273">
        <f t="shared" si="22"/>
        <v>0</v>
      </c>
      <c r="BI17" s="273">
        <f t="shared" si="23"/>
        <v>0</v>
      </c>
      <c r="BJ17" s="273">
        <f t="shared" si="24"/>
        <v>0</v>
      </c>
      <c r="BK17" s="273">
        <f t="shared" si="25"/>
        <v>0</v>
      </c>
      <c r="BL17" s="855">
        <f t="shared" si="26"/>
        <v>0</v>
      </c>
      <c r="BM17" s="857">
        <f t="shared" si="27"/>
        <v>0</v>
      </c>
      <c r="BN17" s="273">
        <f t="shared" si="28"/>
        <v>0</v>
      </c>
      <c r="BO17" s="857">
        <f t="shared" si="29"/>
        <v>0</v>
      </c>
      <c r="BP17" s="849">
        <f t="shared" si="30"/>
        <v>0</v>
      </c>
    </row>
    <row r="18" spans="1:68" ht="19.5" customHeight="1">
      <c r="A18" s="482"/>
      <c r="B18" s="1177"/>
      <c r="C18" s="77"/>
      <c r="D18" s="1850"/>
      <c r="E18" s="503"/>
      <c r="F18" s="1851"/>
      <c r="G18" s="1108"/>
      <c r="H18" s="1109"/>
      <c r="I18" s="1110"/>
      <c r="J18" s="1109"/>
      <c r="K18" s="1110"/>
      <c r="L18" s="1109"/>
      <c r="M18" s="1110"/>
      <c r="N18" s="1109"/>
      <c r="O18" s="1110"/>
      <c r="P18" s="1109"/>
      <c r="Q18" s="1110"/>
      <c r="R18" s="1111"/>
      <c r="S18" s="1714"/>
      <c r="T18" s="1114">
        <f t="shared" si="0"/>
        <v>0</v>
      </c>
      <c r="U18" s="1717">
        <f t="shared" si="1"/>
        <v>0</v>
      </c>
      <c r="V18" s="1852">
        <f t="shared" si="2"/>
        <v>0</v>
      </c>
      <c r="W18" s="576">
        <f t="shared" si="3"/>
        <v>0</v>
      </c>
      <c r="X18" s="846">
        <f t="shared" si="4"/>
        <v>0</v>
      </c>
      <c r="Y18" s="847">
        <f t="shared" si="5"/>
        <v>0</v>
      </c>
      <c r="Z18" s="847">
        <f t="shared" si="6"/>
        <v>0</v>
      </c>
      <c r="AA18" s="848">
        <f t="shared" si="7"/>
        <v>0</v>
      </c>
      <c r="AN18">
        <f t="shared" si="31"/>
        <v>0</v>
      </c>
      <c r="AO18">
        <f t="shared" si="8"/>
        <v>0</v>
      </c>
      <c r="AP18">
        <f t="shared" si="9"/>
        <v>0</v>
      </c>
      <c r="AQ18">
        <f t="shared" si="10"/>
        <v>0</v>
      </c>
      <c r="AR18">
        <f t="shared" si="11"/>
        <v>0</v>
      </c>
      <c r="AS18">
        <f t="shared" si="32"/>
        <v>0</v>
      </c>
      <c r="AT18">
        <f t="shared" si="12"/>
        <v>0</v>
      </c>
      <c r="AU18">
        <f t="shared" si="13"/>
        <v>0</v>
      </c>
      <c r="AV18">
        <f t="shared" si="14"/>
        <v>0</v>
      </c>
      <c r="AW18">
        <f t="shared" si="15"/>
        <v>0</v>
      </c>
      <c r="AX18">
        <f t="shared" si="16"/>
        <v>0</v>
      </c>
      <c r="AY18" s="1116">
        <f t="shared" si="17"/>
        <v>0</v>
      </c>
      <c r="AZ18">
        <f t="shared" si="18"/>
        <v>0</v>
      </c>
      <c r="BA18">
        <f t="shared" si="19"/>
        <v>0</v>
      </c>
      <c r="BE18" s="854">
        <f t="shared" si="20"/>
        <v>0</v>
      </c>
      <c r="BF18" s="273">
        <f>(AN18*Pricing!F$3+AO18*Pricing!G$3+AP18*Pricing!H$3+AQ18*Pricing!I$3+AR18*Pricing!J$3+AS18*Pricing!K$3+AT18*Pricing!L$3+AU18*Pricing!M$3+AV18*Pricing!N$3+AW18*Pricing!O$3)*IF(T$57="N",(1+V$57),1)</f>
        <v>0</v>
      </c>
      <c r="BG18" s="854">
        <f t="shared" si="21"/>
        <v>0</v>
      </c>
      <c r="BH18" s="273">
        <f t="shared" si="22"/>
        <v>0</v>
      </c>
      <c r="BI18" s="273">
        <f t="shared" si="23"/>
        <v>0</v>
      </c>
      <c r="BJ18" s="273">
        <f t="shared" si="24"/>
        <v>0</v>
      </c>
      <c r="BK18" s="273">
        <f t="shared" si="25"/>
        <v>0</v>
      </c>
      <c r="BL18" s="855">
        <f t="shared" si="26"/>
        <v>0</v>
      </c>
      <c r="BM18" s="857">
        <f t="shared" si="27"/>
        <v>0</v>
      </c>
      <c r="BN18" s="273">
        <f t="shared" si="28"/>
        <v>0</v>
      </c>
      <c r="BO18" s="857">
        <f t="shared" si="29"/>
        <v>0</v>
      </c>
      <c r="BP18" s="849">
        <f t="shared" si="30"/>
        <v>0</v>
      </c>
    </row>
    <row r="19" spans="1:68" ht="19.5" customHeight="1">
      <c r="A19" s="482"/>
      <c r="B19" s="1177"/>
      <c r="C19" s="77"/>
      <c r="D19" s="1850"/>
      <c r="E19" s="503"/>
      <c r="F19" s="1851"/>
      <c r="G19" s="1108"/>
      <c r="H19" s="1109"/>
      <c r="I19" s="1110"/>
      <c r="J19" s="1109"/>
      <c r="K19" s="1110"/>
      <c r="L19" s="1109"/>
      <c r="M19" s="1110"/>
      <c r="N19" s="1109"/>
      <c r="O19" s="1110"/>
      <c r="P19" s="1109"/>
      <c r="Q19" s="1110"/>
      <c r="R19" s="1111"/>
      <c r="S19" s="1714"/>
      <c r="T19" s="1114">
        <f t="shared" si="0"/>
        <v>0</v>
      </c>
      <c r="U19" s="1717">
        <f t="shared" si="1"/>
        <v>0</v>
      </c>
      <c r="V19" s="1852">
        <f t="shared" si="2"/>
        <v>0</v>
      </c>
      <c r="W19" s="576">
        <f t="shared" si="3"/>
        <v>0</v>
      </c>
      <c r="X19" s="846">
        <f t="shared" si="4"/>
        <v>0</v>
      </c>
      <c r="Y19" s="847">
        <f t="shared" si="5"/>
        <v>0</v>
      </c>
      <c r="Z19" s="847">
        <f t="shared" si="6"/>
        <v>0</v>
      </c>
      <c r="AA19" s="848">
        <f t="shared" si="7"/>
        <v>0</v>
      </c>
      <c r="AN19">
        <f t="shared" si="31"/>
        <v>0</v>
      </c>
      <c r="AO19">
        <f t="shared" si="8"/>
        <v>0</v>
      </c>
      <c r="AP19">
        <f t="shared" si="9"/>
        <v>0</v>
      </c>
      <c r="AQ19">
        <f t="shared" si="10"/>
        <v>0</v>
      </c>
      <c r="AR19">
        <f t="shared" si="11"/>
        <v>0</v>
      </c>
      <c r="AS19">
        <f t="shared" si="32"/>
        <v>0</v>
      </c>
      <c r="AT19">
        <f t="shared" si="12"/>
        <v>0</v>
      </c>
      <c r="AU19">
        <f t="shared" si="13"/>
        <v>0</v>
      </c>
      <c r="AV19">
        <f t="shared" si="14"/>
        <v>0</v>
      </c>
      <c r="AW19">
        <f t="shared" si="15"/>
        <v>0</v>
      </c>
      <c r="AX19">
        <f t="shared" si="16"/>
        <v>0</v>
      </c>
      <c r="AY19" s="1116">
        <f t="shared" si="17"/>
        <v>0</v>
      </c>
      <c r="AZ19">
        <f t="shared" si="18"/>
        <v>0</v>
      </c>
      <c r="BA19">
        <f t="shared" si="19"/>
        <v>0</v>
      </c>
      <c r="BE19" s="854">
        <f t="shared" si="20"/>
        <v>0</v>
      </c>
      <c r="BF19" s="273">
        <f>(AN19*Pricing!F$3+AO19*Pricing!G$3+AP19*Pricing!H$3+AQ19*Pricing!I$3+AR19*Pricing!J$3+AS19*Pricing!K$3+AT19*Pricing!L$3+AU19*Pricing!M$3+AV19*Pricing!N$3+AW19*Pricing!O$3)*IF(T$57="N",(1+V$57),1)</f>
        <v>0</v>
      </c>
      <c r="BG19" s="854">
        <f t="shared" si="21"/>
        <v>0</v>
      </c>
      <c r="BH19" s="273">
        <f t="shared" si="22"/>
        <v>0</v>
      </c>
      <c r="BI19" s="273">
        <f t="shared" si="23"/>
        <v>0</v>
      </c>
      <c r="BJ19" s="273">
        <f t="shared" si="24"/>
        <v>0</v>
      </c>
      <c r="BK19" s="273">
        <f t="shared" si="25"/>
        <v>0</v>
      </c>
      <c r="BL19" s="855">
        <f t="shared" si="26"/>
        <v>0</v>
      </c>
      <c r="BM19" s="857">
        <f t="shared" si="27"/>
        <v>0</v>
      </c>
      <c r="BN19" s="273">
        <f t="shared" si="28"/>
        <v>0</v>
      </c>
      <c r="BO19" s="857">
        <f t="shared" si="29"/>
        <v>0</v>
      </c>
      <c r="BP19" s="849">
        <f t="shared" si="30"/>
        <v>0</v>
      </c>
    </row>
    <row r="20" spans="1:68" ht="19.5" customHeight="1">
      <c r="A20" s="482"/>
      <c r="B20" s="1177"/>
      <c r="C20" s="77"/>
      <c r="D20" s="1850"/>
      <c r="E20" s="503"/>
      <c r="F20" s="1851"/>
      <c r="G20" s="1108"/>
      <c r="H20" s="1109"/>
      <c r="I20" s="1110"/>
      <c r="J20" s="1109"/>
      <c r="K20" s="1110"/>
      <c r="L20" s="1109"/>
      <c r="M20" s="1110"/>
      <c r="N20" s="1109"/>
      <c r="O20" s="1110"/>
      <c r="P20" s="1109"/>
      <c r="Q20" s="1110"/>
      <c r="R20" s="1111"/>
      <c r="S20" s="1714"/>
      <c r="T20" s="1114">
        <f t="shared" si="0"/>
        <v>0</v>
      </c>
      <c r="U20" s="1717">
        <f t="shared" si="1"/>
        <v>0</v>
      </c>
      <c r="V20" s="1852">
        <f t="shared" si="2"/>
        <v>0</v>
      </c>
      <c r="W20" s="576">
        <f t="shared" si="3"/>
        <v>0</v>
      </c>
      <c r="X20" s="846">
        <f t="shared" si="4"/>
        <v>0</v>
      </c>
      <c r="Y20" s="847">
        <f t="shared" si="5"/>
        <v>0</v>
      </c>
      <c r="Z20" s="847">
        <f t="shared" si="6"/>
        <v>0</v>
      </c>
      <c r="AA20" s="848">
        <f t="shared" si="7"/>
        <v>0</v>
      </c>
      <c r="AN20">
        <f t="shared" si="31"/>
        <v>0</v>
      </c>
      <c r="AO20">
        <f t="shared" si="8"/>
        <v>0</v>
      </c>
      <c r="AP20">
        <f t="shared" si="9"/>
        <v>0</v>
      </c>
      <c r="AQ20">
        <f t="shared" si="10"/>
        <v>0</v>
      </c>
      <c r="AR20">
        <f t="shared" si="11"/>
        <v>0</v>
      </c>
      <c r="AS20">
        <f t="shared" si="32"/>
        <v>0</v>
      </c>
      <c r="AT20">
        <f t="shared" si="12"/>
        <v>0</v>
      </c>
      <c r="AU20">
        <f t="shared" si="13"/>
        <v>0</v>
      </c>
      <c r="AV20">
        <f t="shared" si="14"/>
        <v>0</v>
      </c>
      <c r="AW20">
        <f t="shared" si="15"/>
        <v>0</v>
      </c>
      <c r="AX20">
        <f t="shared" si="16"/>
        <v>0</v>
      </c>
      <c r="AY20" s="1116">
        <f t="shared" si="17"/>
        <v>0</v>
      </c>
      <c r="AZ20">
        <f t="shared" si="18"/>
        <v>0</v>
      </c>
      <c r="BA20">
        <f t="shared" si="19"/>
        <v>0</v>
      </c>
      <c r="BE20" s="854">
        <f t="shared" si="20"/>
        <v>0</v>
      </c>
      <c r="BF20" s="273">
        <f>(AN20*Pricing!F$3+AO20*Pricing!G$3+AP20*Pricing!H$3+AQ20*Pricing!I$3+AR20*Pricing!J$3+AS20*Pricing!K$3+AT20*Pricing!L$3+AU20*Pricing!M$3+AV20*Pricing!N$3+AW20*Pricing!O$3)*IF(T$57="N",(1+V$57),1)</f>
        <v>0</v>
      </c>
      <c r="BG20" s="854">
        <f t="shared" si="21"/>
        <v>0</v>
      </c>
      <c r="BH20" s="273">
        <f t="shared" si="22"/>
        <v>0</v>
      </c>
      <c r="BI20" s="273">
        <f t="shared" si="23"/>
        <v>0</v>
      </c>
      <c r="BJ20" s="273">
        <f t="shared" si="24"/>
        <v>0</v>
      </c>
      <c r="BK20" s="273">
        <f t="shared" si="25"/>
        <v>0</v>
      </c>
      <c r="BL20" s="855">
        <f t="shared" si="26"/>
        <v>0</v>
      </c>
      <c r="BM20" s="857">
        <f t="shared" si="27"/>
        <v>0</v>
      </c>
      <c r="BN20" s="273">
        <f t="shared" si="28"/>
        <v>0</v>
      </c>
      <c r="BO20" s="857">
        <f t="shared" si="29"/>
        <v>0</v>
      </c>
      <c r="BP20" s="849">
        <f t="shared" si="30"/>
        <v>0</v>
      </c>
    </row>
    <row r="21" spans="1:68" ht="19.5" customHeight="1">
      <c r="A21" s="482"/>
      <c r="B21" s="1177"/>
      <c r="C21" s="77"/>
      <c r="D21" s="1850"/>
      <c r="E21" s="503"/>
      <c r="F21" s="1851"/>
      <c r="G21" s="1108"/>
      <c r="H21" s="1109"/>
      <c r="I21" s="1110"/>
      <c r="J21" s="1109"/>
      <c r="K21" s="1110"/>
      <c r="L21" s="1109"/>
      <c r="M21" s="1110"/>
      <c r="N21" s="1109"/>
      <c r="O21" s="1110"/>
      <c r="P21" s="1109"/>
      <c r="Q21" s="1110"/>
      <c r="R21" s="1111"/>
      <c r="S21" s="1714"/>
      <c r="T21" s="1114">
        <f t="shared" si="0"/>
        <v>0</v>
      </c>
      <c r="U21" s="1717">
        <f t="shared" si="1"/>
        <v>0</v>
      </c>
      <c r="V21" s="1852">
        <f t="shared" si="2"/>
        <v>0</v>
      </c>
      <c r="W21" s="576">
        <f t="shared" si="3"/>
        <v>0</v>
      </c>
      <c r="X21" s="846">
        <f t="shared" si="4"/>
        <v>0</v>
      </c>
      <c r="Y21" s="847">
        <f t="shared" si="5"/>
        <v>0</v>
      </c>
      <c r="Z21" s="847">
        <f t="shared" si="6"/>
        <v>0</v>
      </c>
      <c r="AA21" s="848">
        <f t="shared" si="7"/>
        <v>0</v>
      </c>
      <c r="AN21">
        <f t="shared" si="31"/>
        <v>0</v>
      </c>
      <c r="AO21">
        <f t="shared" si="8"/>
        <v>0</v>
      </c>
      <c r="AP21">
        <f t="shared" si="9"/>
        <v>0</v>
      </c>
      <c r="AQ21">
        <f t="shared" si="10"/>
        <v>0</v>
      </c>
      <c r="AR21">
        <f t="shared" si="11"/>
        <v>0</v>
      </c>
      <c r="AS21">
        <f t="shared" si="32"/>
        <v>0</v>
      </c>
      <c r="AT21">
        <f t="shared" si="12"/>
        <v>0</v>
      </c>
      <c r="AU21">
        <f t="shared" si="13"/>
        <v>0</v>
      </c>
      <c r="AV21">
        <f t="shared" si="14"/>
        <v>0</v>
      </c>
      <c r="AW21">
        <f t="shared" si="15"/>
        <v>0</v>
      </c>
      <c r="AX21">
        <f t="shared" si="16"/>
        <v>0</v>
      </c>
      <c r="AY21" s="1116">
        <f t="shared" si="17"/>
        <v>0</v>
      </c>
      <c r="AZ21">
        <f t="shared" si="18"/>
        <v>0</v>
      </c>
      <c r="BA21">
        <f t="shared" si="19"/>
        <v>0</v>
      </c>
      <c r="BE21" s="854">
        <f t="shared" si="20"/>
        <v>0</v>
      </c>
      <c r="BF21" s="273">
        <f>(AN21*Pricing!F$3+AO21*Pricing!G$3+AP21*Pricing!H$3+AQ21*Pricing!I$3+AR21*Pricing!J$3+AS21*Pricing!K$3+AT21*Pricing!L$3+AU21*Pricing!M$3+AV21*Pricing!N$3+AW21*Pricing!O$3)*IF(T$57="N",(1+V$57),1)</f>
        <v>0</v>
      </c>
      <c r="BG21" s="854">
        <f t="shared" si="21"/>
        <v>0</v>
      </c>
      <c r="BH21" s="273">
        <f t="shared" si="22"/>
        <v>0</v>
      </c>
      <c r="BI21" s="273">
        <f t="shared" si="23"/>
        <v>0</v>
      </c>
      <c r="BJ21" s="273">
        <f t="shared" si="24"/>
        <v>0</v>
      </c>
      <c r="BK21" s="273">
        <f t="shared" si="25"/>
        <v>0</v>
      </c>
      <c r="BL21" s="855">
        <f t="shared" si="26"/>
        <v>0</v>
      </c>
      <c r="BM21" s="857">
        <f t="shared" si="27"/>
        <v>0</v>
      </c>
      <c r="BN21" s="273">
        <f t="shared" si="28"/>
        <v>0</v>
      </c>
      <c r="BO21" s="857">
        <f t="shared" si="29"/>
        <v>0</v>
      </c>
      <c r="BP21" s="849">
        <f t="shared" si="30"/>
        <v>0</v>
      </c>
    </row>
    <row r="22" spans="1:68" ht="19.5" customHeight="1">
      <c r="A22" s="482"/>
      <c r="B22" s="1177"/>
      <c r="C22" s="77"/>
      <c r="D22" s="1850"/>
      <c r="E22" s="503"/>
      <c r="F22" s="1851"/>
      <c r="G22" s="1108"/>
      <c r="H22" s="1109"/>
      <c r="I22" s="1110"/>
      <c r="J22" s="1109"/>
      <c r="K22" s="1110"/>
      <c r="L22" s="1109"/>
      <c r="M22" s="1110"/>
      <c r="N22" s="1109"/>
      <c r="O22" s="1110"/>
      <c r="P22" s="1109"/>
      <c r="Q22" s="1110"/>
      <c r="R22" s="1111"/>
      <c r="S22" s="1714"/>
      <c r="T22" s="1114">
        <f t="shared" si="0"/>
        <v>0</v>
      </c>
      <c r="U22" s="1717">
        <f t="shared" si="1"/>
        <v>0</v>
      </c>
      <c r="V22" s="1852">
        <f t="shared" si="2"/>
        <v>0</v>
      </c>
      <c r="W22" s="576">
        <f t="shared" si="3"/>
        <v>0</v>
      </c>
      <c r="X22" s="846">
        <f t="shared" si="4"/>
        <v>0</v>
      </c>
      <c r="Y22" s="847">
        <f t="shared" si="5"/>
        <v>0</v>
      </c>
      <c r="Z22" s="847">
        <f t="shared" si="6"/>
        <v>0</v>
      </c>
      <c r="AA22" s="848">
        <f t="shared" si="7"/>
        <v>0</v>
      </c>
      <c r="AN22">
        <f t="shared" si="31"/>
        <v>0</v>
      </c>
      <c r="AO22">
        <f t="shared" si="8"/>
        <v>0</v>
      </c>
      <c r="AP22">
        <f t="shared" si="9"/>
        <v>0</v>
      </c>
      <c r="AQ22">
        <f t="shared" si="10"/>
        <v>0</v>
      </c>
      <c r="AR22">
        <f t="shared" si="11"/>
        <v>0</v>
      </c>
      <c r="AS22">
        <f t="shared" si="32"/>
        <v>0</v>
      </c>
      <c r="AT22">
        <f t="shared" si="12"/>
        <v>0</v>
      </c>
      <c r="AU22">
        <f t="shared" si="13"/>
        <v>0</v>
      </c>
      <c r="AV22">
        <f t="shared" si="14"/>
        <v>0</v>
      </c>
      <c r="AW22">
        <f t="shared" si="15"/>
        <v>0</v>
      </c>
      <c r="AX22">
        <f t="shared" si="16"/>
        <v>0</v>
      </c>
      <c r="AY22" s="1116">
        <f t="shared" si="17"/>
        <v>0</v>
      </c>
      <c r="AZ22">
        <f t="shared" si="18"/>
        <v>0</v>
      </c>
      <c r="BA22">
        <f t="shared" si="19"/>
        <v>0</v>
      </c>
      <c r="BE22" s="854">
        <f t="shared" si="20"/>
        <v>0</v>
      </c>
      <c r="BF22" s="273">
        <f>(AN22*Pricing!F$3+AO22*Pricing!G$3+AP22*Pricing!H$3+AQ22*Pricing!I$3+AR22*Pricing!J$3+AS22*Pricing!K$3+AT22*Pricing!L$3+AU22*Pricing!M$3+AV22*Pricing!N$3+AW22*Pricing!O$3)*IF(T$57="N",(1+V$57),1)</f>
        <v>0</v>
      </c>
      <c r="BG22" s="854">
        <f t="shared" si="21"/>
        <v>0</v>
      </c>
      <c r="BH22" s="273">
        <f t="shared" si="22"/>
        <v>0</v>
      </c>
      <c r="BI22" s="273">
        <f t="shared" si="23"/>
        <v>0</v>
      </c>
      <c r="BJ22" s="273">
        <f t="shared" si="24"/>
        <v>0</v>
      </c>
      <c r="BK22" s="273">
        <f t="shared" si="25"/>
        <v>0</v>
      </c>
      <c r="BL22" s="855">
        <f t="shared" si="26"/>
        <v>0</v>
      </c>
      <c r="BM22" s="857">
        <f t="shared" si="27"/>
        <v>0</v>
      </c>
      <c r="BN22" s="273">
        <f t="shared" si="28"/>
        <v>0</v>
      </c>
      <c r="BO22" s="857">
        <f t="shared" si="29"/>
        <v>0</v>
      </c>
      <c r="BP22" s="849">
        <f t="shared" si="30"/>
        <v>0</v>
      </c>
    </row>
    <row r="23" spans="1:68" ht="19.5" customHeight="1">
      <c r="A23" s="482"/>
      <c r="B23" s="1177"/>
      <c r="C23" s="77"/>
      <c r="D23" s="1850"/>
      <c r="E23" s="503"/>
      <c r="F23" s="1851"/>
      <c r="G23" s="1108"/>
      <c r="H23" s="1109"/>
      <c r="I23" s="1110"/>
      <c r="J23" s="1109"/>
      <c r="K23" s="1110"/>
      <c r="L23" s="1109"/>
      <c r="M23" s="1110"/>
      <c r="N23" s="1109"/>
      <c r="O23" s="1110"/>
      <c r="P23" s="1109"/>
      <c r="Q23" s="1110"/>
      <c r="R23" s="1111"/>
      <c r="S23" s="1714"/>
      <c r="T23" s="1114">
        <f t="shared" si="0"/>
        <v>0</v>
      </c>
      <c r="U23" s="1717">
        <f t="shared" si="1"/>
        <v>0</v>
      </c>
      <c r="V23" s="1852">
        <f t="shared" si="2"/>
        <v>0</v>
      </c>
      <c r="W23" s="576">
        <f t="shared" si="3"/>
        <v>0</v>
      </c>
      <c r="X23" s="846">
        <f t="shared" si="4"/>
        <v>0</v>
      </c>
      <c r="Y23" s="847">
        <f t="shared" si="5"/>
        <v>0</v>
      </c>
      <c r="Z23" s="847">
        <f t="shared" si="6"/>
        <v>0</v>
      </c>
      <c r="AA23" s="848">
        <f t="shared" si="7"/>
        <v>0</v>
      </c>
      <c r="AN23">
        <f t="shared" si="31"/>
        <v>0</v>
      </c>
      <c r="AO23">
        <f t="shared" si="8"/>
        <v>0</v>
      </c>
      <c r="AP23">
        <f t="shared" si="9"/>
        <v>0</v>
      </c>
      <c r="AQ23">
        <f t="shared" si="10"/>
        <v>0</v>
      </c>
      <c r="AR23">
        <f t="shared" si="11"/>
        <v>0</v>
      </c>
      <c r="AS23">
        <f t="shared" si="32"/>
        <v>0</v>
      </c>
      <c r="AT23">
        <f t="shared" si="12"/>
        <v>0</v>
      </c>
      <c r="AU23">
        <f t="shared" si="13"/>
        <v>0</v>
      </c>
      <c r="AV23">
        <f t="shared" si="14"/>
        <v>0</v>
      </c>
      <c r="AW23">
        <f t="shared" si="15"/>
        <v>0</v>
      </c>
      <c r="AX23">
        <f t="shared" si="16"/>
        <v>0</v>
      </c>
      <c r="AY23" s="1116">
        <f t="shared" si="17"/>
        <v>0</v>
      </c>
      <c r="AZ23">
        <f t="shared" si="18"/>
        <v>0</v>
      </c>
      <c r="BA23">
        <f t="shared" si="19"/>
        <v>0</v>
      </c>
      <c r="BE23" s="854">
        <f t="shared" si="20"/>
        <v>0</v>
      </c>
      <c r="BF23" s="273">
        <f>(AN23*Pricing!F$3+AO23*Pricing!G$3+AP23*Pricing!H$3+AQ23*Pricing!I$3+AR23*Pricing!J$3+AS23*Pricing!K$3+AT23*Pricing!L$3+AU23*Pricing!M$3+AV23*Pricing!N$3+AW23*Pricing!O$3)*IF(T$57="N",(1+V$57),1)</f>
        <v>0</v>
      </c>
      <c r="BG23" s="854">
        <f t="shared" si="21"/>
        <v>0</v>
      </c>
      <c r="BH23" s="273">
        <f t="shared" si="22"/>
        <v>0</v>
      </c>
      <c r="BI23" s="273">
        <f t="shared" si="23"/>
        <v>0</v>
      </c>
      <c r="BJ23" s="273">
        <f t="shared" si="24"/>
        <v>0</v>
      </c>
      <c r="BK23" s="273">
        <f t="shared" si="25"/>
        <v>0</v>
      </c>
      <c r="BL23" s="855">
        <f t="shared" si="26"/>
        <v>0</v>
      </c>
      <c r="BM23" s="857">
        <f t="shared" si="27"/>
        <v>0</v>
      </c>
      <c r="BN23" s="273">
        <f t="shared" si="28"/>
        <v>0</v>
      </c>
      <c r="BO23" s="857">
        <f t="shared" si="29"/>
        <v>0</v>
      </c>
      <c r="BP23" s="849">
        <f t="shared" si="30"/>
        <v>0</v>
      </c>
    </row>
    <row r="24" spans="1:68" ht="19.5" customHeight="1">
      <c r="A24" s="482"/>
      <c r="B24" s="1177"/>
      <c r="C24" s="77"/>
      <c r="D24" s="1850"/>
      <c r="E24" s="503"/>
      <c r="F24" s="1851"/>
      <c r="G24" s="1108"/>
      <c r="H24" s="1109"/>
      <c r="I24" s="1110"/>
      <c r="J24" s="1109"/>
      <c r="K24" s="1110"/>
      <c r="L24" s="1109"/>
      <c r="M24" s="1110"/>
      <c r="N24" s="1109"/>
      <c r="O24" s="1110"/>
      <c r="P24" s="1109"/>
      <c r="Q24" s="1110"/>
      <c r="R24" s="1111"/>
      <c r="S24" s="1714"/>
      <c r="T24" s="1114">
        <f t="shared" si="0"/>
        <v>0</v>
      </c>
      <c r="U24" s="1717">
        <f t="shared" si="1"/>
        <v>0</v>
      </c>
      <c r="V24" s="1852">
        <f t="shared" si="2"/>
        <v>0</v>
      </c>
      <c r="W24" s="576">
        <f t="shared" si="3"/>
        <v>0</v>
      </c>
      <c r="X24" s="846">
        <f t="shared" si="4"/>
        <v>0</v>
      </c>
      <c r="Y24" s="847">
        <f t="shared" si="5"/>
        <v>0</v>
      </c>
      <c r="Z24" s="847">
        <f t="shared" si="6"/>
        <v>0</v>
      </c>
      <c r="AA24" s="848">
        <f t="shared" si="7"/>
        <v>0</v>
      </c>
      <c r="AN24">
        <f t="shared" si="31"/>
        <v>0</v>
      </c>
      <c r="AO24">
        <f t="shared" si="8"/>
        <v>0</v>
      </c>
      <c r="AP24">
        <f t="shared" si="9"/>
        <v>0</v>
      </c>
      <c r="AQ24">
        <f t="shared" si="10"/>
        <v>0</v>
      </c>
      <c r="AR24">
        <f t="shared" si="11"/>
        <v>0</v>
      </c>
      <c r="AS24">
        <f t="shared" si="32"/>
        <v>0</v>
      </c>
      <c r="AT24">
        <f t="shared" si="12"/>
        <v>0</v>
      </c>
      <c r="AU24">
        <f t="shared" si="13"/>
        <v>0</v>
      </c>
      <c r="AV24">
        <f t="shared" si="14"/>
        <v>0</v>
      </c>
      <c r="AW24">
        <f t="shared" si="15"/>
        <v>0</v>
      </c>
      <c r="AX24">
        <f t="shared" si="16"/>
        <v>0</v>
      </c>
      <c r="AY24" s="1116">
        <f t="shared" si="17"/>
        <v>0</v>
      </c>
      <c r="AZ24">
        <f t="shared" si="18"/>
        <v>0</v>
      </c>
      <c r="BA24">
        <f t="shared" si="19"/>
        <v>0</v>
      </c>
      <c r="BE24" s="854">
        <f t="shared" si="20"/>
        <v>0</v>
      </c>
      <c r="BF24" s="273">
        <f>(AN24*Pricing!F$3+AO24*Pricing!G$3+AP24*Pricing!H$3+AQ24*Pricing!I$3+AR24*Pricing!J$3+AS24*Pricing!K$3+AT24*Pricing!L$3+AU24*Pricing!M$3+AV24*Pricing!N$3+AW24*Pricing!O$3)*IF(T$57="N",(1+V$57),1)</f>
        <v>0</v>
      </c>
      <c r="BG24" s="854">
        <f t="shared" si="21"/>
        <v>0</v>
      </c>
      <c r="BH24" s="273">
        <f t="shared" si="22"/>
        <v>0</v>
      </c>
      <c r="BI24" s="273">
        <f t="shared" si="23"/>
        <v>0</v>
      </c>
      <c r="BJ24" s="273">
        <f t="shared" si="24"/>
        <v>0</v>
      </c>
      <c r="BK24" s="273">
        <f t="shared" si="25"/>
        <v>0</v>
      </c>
      <c r="BL24" s="855">
        <f t="shared" si="26"/>
        <v>0</v>
      </c>
      <c r="BM24" s="857">
        <f t="shared" si="27"/>
        <v>0</v>
      </c>
      <c r="BN24" s="273">
        <f t="shared" si="28"/>
        <v>0</v>
      </c>
      <c r="BO24" s="857">
        <f t="shared" si="29"/>
        <v>0</v>
      </c>
      <c r="BP24" s="849">
        <f t="shared" si="30"/>
        <v>0</v>
      </c>
    </row>
    <row r="25" spans="1:68" ht="19.5" customHeight="1">
      <c r="A25" s="482"/>
      <c r="B25" s="1177"/>
      <c r="C25" s="77"/>
      <c r="D25" s="1850"/>
      <c r="E25" s="503"/>
      <c r="F25" s="1851"/>
      <c r="G25" s="1108"/>
      <c r="H25" s="1109"/>
      <c r="I25" s="1110"/>
      <c r="J25" s="1109"/>
      <c r="K25" s="1110"/>
      <c r="L25" s="1109"/>
      <c r="M25" s="1110"/>
      <c r="N25" s="1109"/>
      <c r="O25" s="1110"/>
      <c r="P25" s="1109"/>
      <c r="Q25" s="1110"/>
      <c r="R25" s="1108"/>
      <c r="S25" s="1714"/>
      <c r="T25" s="1114">
        <f t="shared" si="0"/>
        <v>0</v>
      </c>
      <c r="U25" s="1717">
        <f t="shared" si="1"/>
        <v>0</v>
      </c>
      <c r="V25" s="1852">
        <f t="shared" si="2"/>
        <v>0</v>
      </c>
      <c r="W25" s="576">
        <f t="shared" si="3"/>
        <v>0</v>
      </c>
      <c r="X25" s="846">
        <f t="shared" si="4"/>
        <v>0</v>
      </c>
      <c r="Y25" s="847">
        <f t="shared" si="5"/>
        <v>0</v>
      </c>
      <c r="Z25" s="847">
        <f t="shared" si="6"/>
        <v>0</v>
      </c>
      <c r="AA25" s="848">
        <f t="shared" si="7"/>
        <v>0</v>
      </c>
      <c r="AN25">
        <f t="shared" si="31"/>
        <v>0</v>
      </c>
      <c r="AO25">
        <f t="shared" si="8"/>
        <v>0</v>
      </c>
      <c r="AP25">
        <f t="shared" si="9"/>
        <v>0</v>
      </c>
      <c r="AQ25">
        <f t="shared" si="10"/>
        <v>0</v>
      </c>
      <c r="AR25">
        <f t="shared" si="11"/>
        <v>0</v>
      </c>
      <c r="AS25">
        <f t="shared" si="32"/>
        <v>0</v>
      </c>
      <c r="AT25">
        <f t="shared" si="12"/>
        <v>0</v>
      </c>
      <c r="AU25">
        <f t="shared" si="13"/>
        <v>0</v>
      </c>
      <c r="AV25">
        <f t="shared" si="14"/>
        <v>0</v>
      </c>
      <c r="AW25">
        <f t="shared" si="15"/>
        <v>0</v>
      </c>
      <c r="AX25">
        <f t="shared" si="16"/>
        <v>0</v>
      </c>
      <c r="AY25" s="1116">
        <f t="shared" si="17"/>
        <v>0</v>
      </c>
      <c r="AZ25">
        <f t="shared" si="18"/>
        <v>0</v>
      </c>
      <c r="BA25">
        <f t="shared" si="19"/>
        <v>0</v>
      </c>
      <c r="BE25" s="854">
        <f t="shared" si="20"/>
        <v>0</v>
      </c>
      <c r="BF25" s="273">
        <f>(AN25*Pricing!F$3+AO25*Pricing!G$3+AP25*Pricing!H$3+AQ25*Pricing!I$3+AR25*Pricing!J$3+AS25*Pricing!K$3+AT25*Pricing!L$3+AU25*Pricing!M$3+AV25*Pricing!N$3+AW25*Pricing!O$3)*IF(T$57="N",(1+V$57),1)</f>
        <v>0</v>
      </c>
      <c r="BG25" s="854">
        <f t="shared" si="21"/>
        <v>0</v>
      </c>
      <c r="BH25" s="273">
        <f t="shared" si="22"/>
        <v>0</v>
      </c>
      <c r="BI25" s="273">
        <f t="shared" si="23"/>
        <v>0</v>
      </c>
      <c r="BJ25" s="273">
        <f t="shared" si="24"/>
        <v>0</v>
      </c>
      <c r="BK25" s="273">
        <f t="shared" si="25"/>
        <v>0</v>
      </c>
      <c r="BL25" s="855">
        <f t="shared" si="26"/>
        <v>0</v>
      </c>
      <c r="BM25" s="857">
        <f t="shared" si="27"/>
        <v>0</v>
      </c>
      <c r="BN25" s="273">
        <f t="shared" si="28"/>
        <v>0</v>
      </c>
      <c r="BO25" s="857">
        <f t="shared" si="29"/>
        <v>0</v>
      </c>
      <c r="BP25" s="849">
        <f t="shared" si="30"/>
        <v>0</v>
      </c>
    </row>
    <row r="26" spans="1:68" ht="19.5" customHeight="1">
      <c r="A26" s="482"/>
      <c r="B26" s="1177"/>
      <c r="C26" s="77"/>
      <c r="D26" s="1850"/>
      <c r="E26" s="503"/>
      <c r="F26" s="1851"/>
      <c r="G26" s="1108"/>
      <c r="H26" s="1109"/>
      <c r="I26" s="1110"/>
      <c r="J26" s="1109"/>
      <c r="K26" s="1110"/>
      <c r="L26" s="1109"/>
      <c r="M26" s="1110"/>
      <c r="N26" s="1109"/>
      <c r="O26" s="1110"/>
      <c r="P26" s="1109"/>
      <c r="Q26" s="1110"/>
      <c r="R26" s="1108"/>
      <c r="S26" s="1714"/>
      <c r="T26" s="1114">
        <f t="shared" si="0"/>
        <v>0</v>
      </c>
      <c r="U26" s="1717">
        <f t="shared" si="1"/>
        <v>0</v>
      </c>
      <c r="V26" s="1852">
        <f t="shared" si="2"/>
        <v>0</v>
      </c>
      <c r="W26" s="576">
        <f t="shared" si="3"/>
        <v>0</v>
      </c>
      <c r="X26" s="846">
        <f t="shared" si="4"/>
        <v>0</v>
      </c>
      <c r="Y26" s="847">
        <f t="shared" si="5"/>
        <v>0</v>
      </c>
      <c r="Z26" s="847">
        <f t="shared" si="6"/>
        <v>0</v>
      </c>
      <c r="AA26" s="848">
        <f t="shared" si="7"/>
        <v>0</v>
      </c>
      <c r="AN26">
        <f t="shared" si="31"/>
        <v>0</v>
      </c>
      <c r="AO26">
        <f t="shared" si="8"/>
        <v>0</v>
      </c>
      <c r="AP26">
        <f t="shared" si="9"/>
        <v>0</v>
      </c>
      <c r="AQ26">
        <f t="shared" si="10"/>
        <v>0</v>
      </c>
      <c r="AR26">
        <f t="shared" si="11"/>
        <v>0</v>
      </c>
      <c r="AS26">
        <f t="shared" si="32"/>
        <v>0</v>
      </c>
      <c r="AT26">
        <f t="shared" si="12"/>
        <v>0</v>
      </c>
      <c r="AU26">
        <f t="shared" si="13"/>
        <v>0</v>
      </c>
      <c r="AV26">
        <f t="shared" si="14"/>
        <v>0</v>
      </c>
      <c r="AW26">
        <f t="shared" si="15"/>
        <v>0</v>
      </c>
      <c r="AX26">
        <f t="shared" si="16"/>
        <v>0</v>
      </c>
      <c r="AY26" s="1116">
        <f t="shared" si="17"/>
        <v>0</v>
      </c>
      <c r="AZ26">
        <f t="shared" si="18"/>
        <v>0</v>
      </c>
      <c r="BA26">
        <f t="shared" si="19"/>
        <v>0</v>
      </c>
      <c r="BE26" s="854">
        <f t="shared" si="20"/>
        <v>0</v>
      </c>
      <c r="BF26" s="273">
        <f>(AN26*Pricing!F$3+AO26*Pricing!G$3+AP26*Pricing!H$3+AQ26*Pricing!I$3+AR26*Pricing!J$3+AS26*Pricing!K$3+AT26*Pricing!L$3+AU26*Pricing!M$3+AV26*Pricing!N$3+AW26*Pricing!O$3)*IF(T$57="N",(1+V$57),1)</f>
        <v>0</v>
      </c>
      <c r="BG26" s="854">
        <f t="shared" si="21"/>
        <v>0</v>
      </c>
      <c r="BH26" s="273">
        <f t="shared" si="22"/>
        <v>0</v>
      </c>
      <c r="BI26" s="273">
        <f t="shared" si="23"/>
        <v>0</v>
      </c>
      <c r="BJ26" s="273">
        <f t="shared" si="24"/>
        <v>0</v>
      </c>
      <c r="BK26" s="273">
        <f t="shared" si="25"/>
        <v>0</v>
      </c>
      <c r="BL26" s="855">
        <f t="shared" si="26"/>
        <v>0</v>
      </c>
      <c r="BM26" s="857">
        <f t="shared" si="27"/>
        <v>0</v>
      </c>
      <c r="BN26" s="273">
        <f t="shared" si="28"/>
        <v>0</v>
      </c>
      <c r="BO26" s="857">
        <f t="shared" si="29"/>
        <v>0</v>
      </c>
      <c r="BP26" s="849">
        <f t="shared" si="30"/>
        <v>0</v>
      </c>
    </row>
    <row r="27" spans="1:68" ht="19.5" customHeight="1">
      <c r="A27" s="482"/>
      <c r="B27" s="1177"/>
      <c r="C27" s="77"/>
      <c r="D27" s="1850"/>
      <c r="E27" s="503"/>
      <c r="F27" s="1851"/>
      <c r="G27" s="1108"/>
      <c r="H27" s="1109"/>
      <c r="I27" s="1110"/>
      <c r="J27" s="1109"/>
      <c r="K27" s="1110"/>
      <c r="L27" s="1109"/>
      <c r="M27" s="1110"/>
      <c r="N27" s="1109"/>
      <c r="O27" s="1110"/>
      <c r="P27" s="1109"/>
      <c r="Q27" s="1110"/>
      <c r="R27" s="1108"/>
      <c r="S27" s="1714"/>
      <c r="T27" s="1114">
        <f t="shared" si="0"/>
        <v>0</v>
      </c>
      <c r="U27" s="1717">
        <f t="shared" si="1"/>
        <v>0</v>
      </c>
      <c r="V27" s="1852">
        <f t="shared" si="2"/>
        <v>0</v>
      </c>
      <c r="W27" s="576">
        <f t="shared" si="3"/>
        <v>0</v>
      </c>
      <c r="X27" s="846">
        <f t="shared" si="4"/>
        <v>0</v>
      </c>
      <c r="Y27" s="847">
        <f t="shared" si="5"/>
        <v>0</v>
      </c>
      <c r="Z27" s="847">
        <f t="shared" si="6"/>
        <v>0</v>
      </c>
      <c r="AA27" s="848">
        <f t="shared" si="7"/>
        <v>0</v>
      </c>
      <c r="AN27">
        <f t="shared" si="31"/>
        <v>0</v>
      </c>
      <c r="AO27">
        <f t="shared" si="8"/>
        <v>0</v>
      </c>
      <c r="AP27">
        <f t="shared" si="9"/>
        <v>0</v>
      </c>
      <c r="AQ27">
        <f t="shared" si="10"/>
        <v>0</v>
      </c>
      <c r="AR27">
        <f t="shared" si="11"/>
        <v>0</v>
      </c>
      <c r="AS27">
        <f t="shared" si="32"/>
        <v>0</v>
      </c>
      <c r="AT27">
        <f t="shared" si="12"/>
        <v>0</v>
      </c>
      <c r="AU27">
        <f t="shared" si="13"/>
        <v>0</v>
      </c>
      <c r="AV27">
        <f t="shared" si="14"/>
        <v>0</v>
      </c>
      <c r="AW27">
        <f t="shared" si="15"/>
        <v>0</v>
      </c>
      <c r="AX27">
        <f t="shared" si="16"/>
        <v>0</v>
      </c>
      <c r="AY27" s="1116">
        <f t="shared" si="17"/>
        <v>0</v>
      </c>
      <c r="AZ27">
        <f t="shared" si="18"/>
        <v>0</v>
      </c>
      <c r="BA27">
        <f t="shared" si="19"/>
        <v>0</v>
      </c>
      <c r="BE27" s="854">
        <f t="shared" si="20"/>
        <v>0</v>
      </c>
      <c r="BF27" s="273">
        <f>(AN27*Pricing!F$3+AO27*Pricing!G$3+AP27*Pricing!H$3+AQ27*Pricing!I$3+AR27*Pricing!J$3+AS27*Pricing!K$3+AT27*Pricing!L$3+AU27*Pricing!M$3+AV27*Pricing!N$3+AW27*Pricing!O$3)*IF(T$57="N",(1+V$57),1)</f>
        <v>0</v>
      </c>
      <c r="BG27" s="854">
        <f t="shared" si="21"/>
        <v>0</v>
      </c>
      <c r="BH27" s="273">
        <f t="shared" si="22"/>
        <v>0</v>
      </c>
      <c r="BI27" s="273">
        <f t="shared" si="23"/>
        <v>0</v>
      </c>
      <c r="BJ27" s="273">
        <f t="shared" si="24"/>
        <v>0</v>
      </c>
      <c r="BK27" s="273">
        <f t="shared" si="25"/>
        <v>0</v>
      </c>
      <c r="BL27" s="855">
        <f t="shared" si="26"/>
        <v>0</v>
      </c>
      <c r="BM27" s="857">
        <f t="shared" si="27"/>
        <v>0</v>
      </c>
      <c r="BN27" s="273">
        <f t="shared" si="28"/>
        <v>0</v>
      </c>
      <c r="BO27" s="857">
        <f t="shared" si="29"/>
        <v>0</v>
      </c>
      <c r="BP27" s="849">
        <f t="shared" si="30"/>
        <v>0</v>
      </c>
    </row>
    <row r="28" spans="1:68" ht="19.5" customHeight="1">
      <c r="A28" s="482"/>
      <c r="B28" s="1177"/>
      <c r="C28" s="77"/>
      <c r="D28" s="1850"/>
      <c r="E28" s="503"/>
      <c r="F28" s="1851"/>
      <c r="G28" s="1108"/>
      <c r="H28" s="1109"/>
      <c r="I28" s="1110"/>
      <c r="J28" s="1109"/>
      <c r="K28" s="1110"/>
      <c r="L28" s="1109"/>
      <c r="M28" s="1110"/>
      <c r="N28" s="1109"/>
      <c r="O28" s="1110"/>
      <c r="P28" s="1109"/>
      <c r="Q28" s="1110"/>
      <c r="R28" s="1111"/>
      <c r="S28" s="1714"/>
      <c r="T28" s="1114">
        <f t="shared" si="0"/>
        <v>0</v>
      </c>
      <c r="U28" s="1717">
        <f t="shared" si="1"/>
        <v>0</v>
      </c>
      <c r="V28" s="1852">
        <f t="shared" si="2"/>
        <v>0</v>
      </c>
      <c r="W28" s="576">
        <f t="shared" si="3"/>
        <v>0</v>
      </c>
      <c r="X28" s="846">
        <f t="shared" si="4"/>
        <v>0</v>
      </c>
      <c r="Y28" s="847">
        <f t="shared" si="5"/>
        <v>0</v>
      </c>
      <c r="Z28" s="847">
        <f t="shared" si="6"/>
        <v>0</v>
      </c>
      <c r="AA28" s="848">
        <f t="shared" si="7"/>
        <v>0</v>
      </c>
      <c r="AN28">
        <f>IF($E28=1,$U28,0)</f>
        <v>0</v>
      </c>
      <c r="AO28">
        <f t="shared" si="8"/>
        <v>0</v>
      </c>
      <c r="AP28">
        <f t="shared" si="9"/>
        <v>0</v>
      </c>
      <c r="AQ28">
        <f t="shared" si="10"/>
        <v>0</v>
      </c>
      <c r="AR28">
        <f t="shared" si="11"/>
        <v>0</v>
      </c>
      <c r="AS28">
        <f t="shared" si="32"/>
        <v>0</v>
      </c>
      <c r="AT28">
        <f t="shared" si="12"/>
        <v>0</v>
      </c>
      <c r="AU28">
        <f t="shared" si="13"/>
        <v>0</v>
      </c>
      <c r="AV28">
        <f t="shared" si="14"/>
        <v>0</v>
      </c>
      <c r="AW28">
        <f t="shared" si="15"/>
        <v>0</v>
      </c>
      <c r="AX28">
        <f t="shared" si="16"/>
        <v>0</v>
      </c>
      <c r="AY28" s="1116">
        <f t="shared" si="17"/>
        <v>0</v>
      </c>
      <c r="AZ28">
        <f t="shared" si="18"/>
        <v>0</v>
      </c>
      <c r="BA28">
        <f t="shared" si="19"/>
        <v>0</v>
      </c>
      <c r="BE28" s="854">
        <f t="shared" si="20"/>
        <v>0</v>
      </c>
      <c r="BF28" s="273">
        <f>(AN28*Pricing!F$3+AO28*Pricing!G$3+AP28*Pricing!H$3+AQ28*Pricing!I$3+AR28*Pricing!J$3+AS28*Pricing!K$3+AT28*Pricing!L$3+AU28*Pricing!M$3+AV28*Pricing!N$3+AW28*Pricing!O$3)*IF(T$57="N",(1+V$57),1)</f>
        <v>0</v>
      </c>
      <c r="BG28" s="854">
        <f t="shared" si="21"/>
        <v>0</v>
      </c>
      <c r="BH28" s="273">
        <f t="shared" si="22"/>
        <v>0</v>
      </c>
      <c r="BI28" s="273">
        <f t="shared" si="23"/>
        <v>0</v>
      </c>
      <c r="BJ28" s="273">
        <f t="shared" si="24"/>
        <v>0</v>
      </c>
      <c r="BK28" s="273">
        <f t="shared" si="25"/>
        <v>0</v>
      </c>
      <c r="BL28" s="855">
        <f t="shared" si="26"/>
        <v>0</v>
      </c>
      <c r="BM28" s="857">
        <f t="shared" si="27"/>
        <v>0</v>
      </c>
      <c r="BN28" s="273">
        <f t="shared" si="28"/>
        <v>0</v>
      </c>
      <c r="BO28" s="857">
        <f t="shared" si="29"/>
        <v>0</v>
      </c>
      <c r="BP28" s="849">
        <f t="shared" si="30"/>
        <v>0</v>
      </c>
    </row>
    <row r="29" spans="1:68" ht="19.5" customHeight="1">
      <c r="A29" s="482"/>
      <c r="B29" s="1177"/>
      <c r="C29" s="77"/>
      <c r="D29" s="1850"/>
      <c r="E29" s="503"/>
      <c r="F29" s="1851"/>
      <c r="G29" s="1108"/>
      <c r="H29" s="1109"/>
      <c r="I29" s="1110"/>
      <c r="J29" s="1109"/>
      <c r="K29" s="1110"/>
      <c r="L29" s="1109"/>
      <c r="M29" s="1110"/>
      <c r="N29" s="1109"/>
      <c r="O29" s="1110"/>
      <c r="P29" s="1109"/>
      <c r="Q29" s="1110"/>
      <c r="R29" s="1111"/>
      <c r="S29" s="1714"/>
      <c r="T29" s="1114">
        <f t="shared" si="0"/>
        <v>0</v>
      </c>
      <c r="U29" s="1717">
        <f t="shared" si="1"/>
        <v>0</v>
      </c>
      <c r="V29" s="1852">
        <f t="shared" si="2"/>
        <v>0</v>
      </c>
      <c r="W29" s="576">
        <f t="shared" si="3"/>
        <v>0</v>
      </c>
      <c r="X29" s="846">
        <f t="shared" si="4"/>
        <v>0</v>
      </c>
      <c r="Y29" s="847">
        <f t="shared" si="5"/>
        <v>0</v>
      </c>
      <c r="Z29" s="847">
        <f t="shared" si="6"/>
        <v>0</v>
      </c>
      <c r="AA29" s="848">
        <f t="shared" si="7"/>
        <v>0</v>
      </c>
      <c r="AN29">
        <f t="shared" ref="AN29:AN53" si="33">IF(E29=1,U29,0)</f>
        <v>0</v>
      </c>
      <c r="AO29">
        <f t="shared" si="8"/>
        <v>0</v>
      </c>
      <c r="AP29">
        <f t="shared" si="9"/>
        <v>0</v>
      </c>
      <c r="AQ29">
        <f t="shared" si="10"/>
        <v>0</v>
      </c>
      <c r="AR29">
        <f t="shared" si="11"/>
        <v>0</v>
      </c>
      <c r="AS29">
        <f t="shared" si="32"/>
        <v>0</v>
      </c>
      <c r="AT29">
        <f t="shared" si="12"/>
        <v>0</v>
      </c>
      <c r="AU29">
        <f t="shared" si="13"/>
        <v>0</v>
      </c>
      <c r="AV29">
        <f t="shared" si="14"/>
        <v>0</v>
      </c>
      <c r="AW29">
        <f t="shared" si="15"/>
        <v>0</v>
      </c>
      <c r="AX29">
        <f t="shared" si="16"/>
        <v>0</v>
      </c>
      <c r="AY29" s="1116">
        <f t="shared" si="17"/>
        <v>0</v>
      </c>
      <c r="AZ29">
        <f t="shared" si="18"/>
        <v>0</v>
      </c>
      <c r="BA29">
        <f t="shared" si="19"/>
        <v>0</v>
      </c>
      <c r="BE29" s="854">
        <f t="shared" si="20"/>
        <v>0</v>
      </c>
      <c r="BF29" s="273">
        <f>(AN29*Pricing!F$3+AO29*Pricing!G$3+AP29*Pricing!H$3+AQ29*Pricing!I$3+AR29*Pricing!J$3+AS29*Pricing!K$3+AT29*Pricing!L$3+AU29*Pricing!M$3+AV29*Pricing!N$3+AW29*Pricing!O$3)*IF(T$57="N",(1+V$57),1)</f>
        <v>0</v>
      </c>
      <c r="BG29" s="854">
        <f t="shared" si="21"/>
        <v>0</v>
      </c>
      <c r="BH29" s="273">
        <f t="shared" si="22"/>
        <v>0</v>
      </c>
      <c r="BI29" s="273">
        <f t="shared" si="23"/>
        <v>0</v>
      </c>
      <c r="BJ29" s="273">
        <f t="shared" si="24"/>
        <v>0</v>
      </c>
      <c r="BK29" s="273">
        <f t="shared" si="25"/>
        <v>0</v>
      </c>
      <c r="BL29" s="855">
        <f t="shared" si="26"/>
        <v>0</v>
      </c>
      <c r="BM29" s="857">
        <f t="shared" si="27"/>
        <v>0</v>
      </c>
      <c r="BN29" s="273">
        <f t="shared" si="28"/>
        <v>0</v>
      </c>
      <c r="BO29" s="857">
        <f t="shared" si="29"/>
        <v>0</v>
      </c>
      <c r="BP29" s="849">
        <f t="shared" si="30"/>
        <v>0</v>
      </c>
    </row>
    <row r="30" spans="1:68" ht="19.5" customHeight="1">
      <c r="A30" s="482"/>
      <c r="B30" s="1177"/>
      <c r="C30" s="77"/>
      <c r="D30" s="1850"/>
      <c r="E30" s="503"/>
      <c r="F30" s="1851"/>
      <c r="G30" s="1108"/>
      <c r="H30" s="1109"/>
      <c r="I30" s="1110"/>
      <c r="J30" s="1109"/>
      <c r="K30" s="1110"/>
      <c r="L30" s="1109"/>
      <c r="M30" s="1110"/>
      <c r="N30" s="1109"/>
      <c r="O30" s="1110"/>
      <c r="P30" s="1109"/>
      <c r="Q30" s="1110"/>
      <c r="R30" s="1111"/>
      <c r="S30" s="1714"/>
      <c r="T30" s="1114">
        <f t="shared" si="0"/>
        <v>0</v>
      </c>
      <c r="U30" s="1717">
        <f t="shared" si="1"/>
        <v>0</v>
      </c>
      <c r="V30" s="1852">
        <f t="shared" si="2"/>
        <v>0</v>
      </c>
      <c r="W30" s="576">
        <f t="shared" si="3"/>
        <v>0</v>
      </c>
      <c r="X30" s="846">
        <f t="shared" si="4"/>
        <v>0</v>
      </c>
      <c r="Y30" s="847">
        <f t="shared" si="5"/>
        <v>0</v>
      </c>
      <c r="Z30" s="847">
        <f t="shared" si="6"/>
        <v>0</v>
      </c>
      <c r="AA30" s="848">
        <f t="shared" si="7"/>
        <v>0</v>
      </c>
      <c r="AN30">
        <f t="shared" si="33"/>
        <v>0</v>
      </c>
      <c r="AO30">
        <f t="shared" si="8"/>
        <v>0</v>
      </c>
      <c r="AP30">
        <f t="shared" si="9"/>
        <v>0</v>
      </c>
      <c r="AQ30">
        <f t="shared" si="10"/>
        <v>0</v>
      </c>
      <c r="AR30">
        <f t="shared" si="11"/>
        <v>0</v>
      </c>
      <c r="AS30">
        <f t="shared" si="32"/>
        <v>0</v>
      </c>
      <c r="AT30">
        <f t="shared" si="12"/>
        <v>0</v>
      </c>
      <c r="AU30">
        <f t="shared" si="13"/>
        <v>0</v>
      </c>
      <c r="AV30">
        <f t="shared" si="14"/>
        <v>0</v>
      </c>
      <c r="AW30">
        <f t="shared" si="15"/>
        <v>0</v>
      </c>
      <c r="AX30">
        <f t="shared" si="16"/>
        <v>0</v>
      </c>
      <c r="AY30" s="1116">
        <f t="shared" si="17"/>
        <v>0</v>
      </c>
      <c r="AZ30">
        <f t="shared" si="18"/>
        <v>0</v>
      </c>
      <c r="BA30">
        <f t="shared" si="19"/>
        <v>0</v>
      </c>
      <c r="BE30" s="854">
        <f t="shared" si="20"/>
        <v>0</v>
      </c>
      <c r="BF30" s="273">
        <f>(AN30*Pricing!F$3+AO30*Pricing!G$3+AP30*Pricing!H$3+AQ30*Pricing!I$3+AR30*Pricing!J$3+AS30*Pricing!K$3+AT30*Pricing!L$3+AU30*Pricing!M$3+AV30*Pricing!N$3+AW30*Pricing!O$3)*IF(T$57="N",(1+V$57),1)</f>
        <v>0</v>
      </c>
      <c r="BG30" s="854">
        <f t="shared" si="21"/>
        <v>0</v>
      </c>
      <c r="BH30" s="273">
        <f t="shared" si="22"/>
        <v>0</v>
      </c>
      <c r="BI30" s="273">
        <f t="shared" si="23"/>
        <v>0</v>
      </c>
      <c r="BJ30" s="273">
        <f t="shared" si="24"/>
        <v>0</v>
      </c>
      <c r="BK30" s="273">
        <f t="shared" si="25"/>
        <v>0</v>
      </c>
      <c r="BL30" s="855">
        <f t="shared" si="26"/>
        <v>0</v>
      </c>
      <c r="BM30" s="857">
        <f t="shared" si="27"/>
        <v>0</v>
      </c>
      <c r="BN30" s="273">
        <f t="shared" si="28"/>
        <v>0</v>
      </c>
      <c r="BO30" s="857">
        <f t="shared" si="29"/>
        <v>0</v>
      </c>
      <c r="BP30" s="849">
        <f t="shared" si="30"/>
        <v>0</v>
      </c>
    </row>
    <row r="31" spans="1:68" ht="19.5" customHeight="1">
      <c r="A31" s="482"/>
      <c r="B31" s="1177"/>
      <c r="C31" s="77"/>
      <c r="D31" s="1850"/>
      <c r="E31" s="503"/>
      <c r="F31" s="1851"/>
      <c r="G31" s="1108"/>
      <c r="H31" s="1109"/>
      <c r="I31" s="1110"/>
      <c r="J31" s="1109"/>
      <c r="K31" s="1110"/>
      <c r="L31" s="1109"/>
      <c r="M31" s="1110"/>
      <c r="N31" s="1109"/>
      <c r="O31" s="1110"/>
      <c r="P31" s="1109"/>
      <c r="Q31" s="1110"/>
      <c r="R31" s="1111"/>
      <c r="S31" s="1714"/>
      <c r="T31" s="1114">
        <f t="shared" si="0"/>
        <v>0</v>
      </c>
      <c r="U31" s="1717">
        <f t="shared" si="1"/>
        <v>0</v>
      </c>
      <c r="V31" s="1852">
        <f t="shared" si="2"/>
        <v>0</v>
      </c>
      <c r="W31" s="576">
        <f t="shared" si="3"/>
        <v>0</v>
      </c>
      <c r="X31" s="846">
        <f t="shared" si="4"/>
        <v>0</v>
      </c>
      <c r="Y31" s="847">
        <f t="shared" si="5"/>
        <v>0</v>
      </c>
      <c r="Z31" s="847">
        <f t="shared" si="6"/>
        <v>0</v>
      </c>
      <c r="AA31" s="848">
        <f t="shared" si="7"/>
        <v>0</v>
      </c>
      <c r="AN31">
        <f t="shared" si="33"/>
        <v>0</v>
      </c>
      <c r="AO31">
        <f t="shared" si="8"/>
        <v>0</v>
      </c>
      <c r="AP31">
        <f t="shared" si="9"/>
        <v>0</v>
      </c>
      <c r="AQ31">
        <f t="shared" si="10"/>
        <v>0</v>
      </c>
      <c r="AR31">
        <f t="shared" si="11"/>
        <v>0</v>
      </c>
      <c r="AS31">
        <f t="shared" si="32"/>
        <v>0</v>
      </c>
      <c r="AT31">
        <f t="shared" si="12"/>
        <v>0</v>
      </c>
      <c r="AU31">
        <f t="shared" si="13"/>
        <v>0</v>
      </c>
      <c r="AV31">
        <f t="shared" si="14"/>
        <v>0</v>
      </c>
      <c r="AW31">
        <f t="shared" si="15"/>
        <v>0</v>
      </c>
      <c r="AX31">
        <f t="shared" si="16"/>
        <v>0</v>
      </c>
      <c r="AY31" s="1116">
        <f t="shared" si="17"/>
        <v>0</v>
      </c>
      <c r="AZ31">
        <f t="shared" si="18"/>
        <v>0</v>
      </c>
      <c r="BA31">
        <f t="shared" si="19"/>
        <v>0</v>
      </c>
      <c r="BE31" s="854">
        <f t="shared" si="20"/>
        <v>0</v>
      </c>
      <c r="BF31" s="273">
        <f>(AN31*Pricing!F$3+AO31*Pricing!G$3+AP31*Pricing!H$3+AQ31*Pricing!I$3+AR31*Pricing!J$3+AS31*Pricing!K$3+AT31*Pricing!L$3+AU31*Pricing!M$3+AV31*Pricing!N$3+AW31*Pricing!O$3)*IF(T$57="N",(1+V$57),1)</f>
        <v>0</v>
      </c>
      <c r="BG31" s="854">
        <f t="shared" si="21"/>
        <v>0</v>
      </c>
      <c r="BH31" s="273">
        <f t="shared" si="22"/>
        <v>0</v>
      </c>
      <c r="BI31" s="273">
        <f t="shared" si="23"/>
        <v>0</v>
      </c>
      <c r="BJ31" s="273">
        <f t="shared" si="24"/>
        <v>0</v>
      </c>
      <c r="BK31" s="273">
        <f t="shared" si="25"/>
        <v>0</v>
      </c>
      <c r="BL31" s="855">
        <f t="shared" si="26"/>
        <v>0</v>
      </c>
      <c r="BM31" s="857">
        <f t="shared" si="27"/>
        <v>0</v>
      </c>
      <c r="BN31" s="273">
        <f t="shared" si="28"/>
        <v>0</v>
      </c>
      <c r="BO31" s="857">
        <f t="shared" si="29"/>
        <v>0</v>
      </c>
      <c r="BP31" s="849">
        <f t="shared" si="30"/>
        <v>0</v>
      </c>
    </row>
    <row r="32" spans="1:68" ht="19.5" customHeight="1">
      <c r="A32" s="482"/>
      <c r="B32" s="1177"/>
      <c r="C32" s="77"/>
      <c r="D32" s="1850"/>
      <c r="E32" s="503"/>
      <c r="F32" s="1851"/>
      <c r="G32" s="1108"/>
      <c r="H32" s="1109"/>
      <c r="I32" s="1110"/>
      <c r="J32" s="1109"/>
      <c r="K32" s="1110"/>
      <c r="L32" s="1109"/>
      <c r="M32" s="1110"/>
      <c r="N32" s="1109"/>
      <c r="O32" s="1110"/>
      <c r="P32" s="1109"/>
      <c r="Q32" s="1110"/>
      <c r="R32" s="1111"/>
      <c r="S32" s="1714"/>
      <c r="T32" s="1114">
        <f t="shared" si="0"/>
        <v>0</v>
      </c>
      <c r="U32" s="1717">
        <f t="shared" si="1"/>
        <v>0</v>
      </c>
      <c r="V32" s="1852">
        <f t="shared" si="2"/>
        <v>0</v>
      </c>
      <c r="W32" s="576">
        <f t="shared" si="3"/>
        <v>0</v>
      </c>
      <c r="X32" s="846">
        <f t="shared" si="4"/>
        <v>0</v>
      </c>
      <c r="Y32" s="847">
        <f t="shared" si="5"/>
        <v>0</v>
      </c>
      <c r="Z32" s="847">
        <f t="shared" si="6"/>
        <v>0</v>
      </c>
      <c r="AA32" s="848">
        <f t="shared" si="7"/>
        <v>0</v>
      </c>
      <c r="AN32">
        <f t="shared" si="33"/>
        <v>0</v>
      </c>
      <c r="AO32">
        <f t="shared" si="8"/>
        <v>0</v>
      </c>
      <c r="AP32">
        <f t="shared" si="9"/>
        <v>0</v>
      </c>
      <c r="AQ32">
        <f t="shared" si="10"/>
        <v>0</v>
      </c>
      <c r="AR32">
        <f t="shared" si="11"/>
        <v>0</v>
      </c>
      <c r="AS32">
        <f t="shared" si="32"/>
        <v>0</v>
      </c>
      <c r="AT32">
        <f t="shared" si="12"/>
        <v>0</v>
      </c>
      <c r="AU32">
        <f t="shared" si="13"/>
        <v>0</v>
      </c>
      <c r="AV32">
        <f t="shared" si="14"/>
        <v>0</v>
      </c>
      <c r="AW32">
        <f t="shared" si="15"/>
        <v>0</v>
      </c>
      <c r="AX32">
        <f t="shared" si="16"/>
        <v>0</v>
      </c>
      <c r="AY32" s="1116">
        <f t="shared" si="17"/>
        <v>0</v>
      </c>
      <c r="AZ32">
        <f t="shared" si="18"/>
        <v>0</v>
      </c>
      <c r="BA32">
        <f t="shared" si="19"/>
        <v>0</v>
      </c>
      <c r="BE32" s="854">
        <f t="shared" si="20"/>
        <v>0</v>
      </c>
      <c r="BF32" s="273">
        <f>(AN32*Pricing!F$3+AO32*Pricing!G$3+AP32*Pricing!H$3+AQ32*Pricing!I$3+AR32*Pricing!J$3+AS32*Pricing!K$3+AT32*Pricing!L$3+AU32*Pricing!M$3+AV32*Pricing!N$3+AW32*Pricing!O$3)*IF(T$57="N",(1+V$57),1)</f>
        <v>0</v>
      </c>
      <c r="BG32" s="854">
        <f t="shared" si="21"/>
        <v>0</v>
      </c>
      <c r="BH32" s="273">
        <f t="shared" si="22"/>
        <v>0</v>
      </c>
      <c r="BI32" s="273">
        <f t="shared" si="23"/>
        <v>0</v>
      </c>
      <c r="BJ32" s="273">
        <f t="shared" si="24"/>
        <v>0</v>
      </c>
      <c r="BK32" s="273">
        <f t="shared" si="25"/>
        <v>0</v>
      </c>
      <c r="BL32" s="855">
        <f t="shared" si="26"/>
        <v>0</v>
      </c>
      <c r="BM32" s="857">
        <f t="shared" si="27"/>
        <v>0</v>
      </c>
      <c r="BN32" s="273">
        <f t="shared" si="28"/>
        <v>0</v>
      </c>
      <c r="BO32" s="857">
        <f t="shared" si="29"/>
        <v>0</v>
      </c>
      <c r="BP32" s="849">
        <f t="shared" si="30"/>
        <v>0</v>
      </c>
    </row>
    <row r="33" spans="1:68" ht="19.5" customHeight="1">
      <c r="A33" s="482"/>
      <c r="B33" s="1177"/>
      <c r="C33" s="77"/>
      <c r="D33" s="1850"/>
      <c r="E33" s="503"/>
      <c r="F33" s="1851"/>
      <c r="G33" s="1108"/>
      <c r="H33" s="1109"/>
      <c r="I33" s="1110"/>
      <c r="J33" s="1109"/>
      <c r="K33" s="1110"/>
      <c r="L33" s="1109"/>
      <c r="M33" s="1110"/>
      <c r="N33" s="1109"/>
      <c r="O33" s="1110"/>
      <c r="P33" s="1109"/>
      <c r="Q33" s="1110"/>
      <c r="R33" s="1111"/>
      <c r="S33" s="1714"/>
      <c r="T33" s="1114">
        <f t="shared" si="0"/>
        <v>0</v>
      </c>
      <c r="U33" s="1717">
        <f t="shared" si="1"/>
        <v>0</v>
      </c>
      <c r="V33" s="1852">
        <f t="shared" si="2"/>
        <v>0</v>
      </c>
      <c r="W33" s="576">
        <f t="shared" si="3"/>
        <v>0</v>
      </c>
      <c r="X33" s="846">
        <f t="shared" si="4"/>
        <v>0</v>
      </c>
      <c r="Y33" s="847">
        <f t="shared" si="5"/>
        <v>0</v>
      </c>
      <c r="Z33" s="847">
        <f t="shared" si="6"/>
        <v>0</v>
      </c>
      <c r="AA33" s="848">
        <f t="shared" si="7"/>
        <v>0</v>
      </c>
      <c r="AN33">
        <f t="shared" si="33"/>
        <v>0</v>
      </c>
      <c r="AO33">
        <f t="shared" si="8"/>
        <v>0</v>
      </c>
      <c r="AP33">
        <f t="shared" si="9"/>
        <v>0</v>
      </c>
      <c r="AQ33">
        <f t="shared" si="10"/>
        <v>0</v>
      </c>
      <c r="AR33">
        <f t="shared" si="11"/>
        <v>0</v>
      </c>
      <c r="AS33">
        <f t="shared" si="32"/>
        <v>0</v>
      </c>
      <c r="AT33">
        <f t="shared" si="12"/>
        <v>0</v>
      </c>
      <c r="AU33">
        <f t="shared" si="13"/>
        <v>0</v>
      </c>
      <c r="AV33">
        <f t="shared" si="14"/>
        <v>0</v>
      </c>
      <c r="AW33">
        <f t="shared" si="15"/>
        <v>0</v>
      </c>
      <c r="AX33">
        <f t="shared" si="16"/>
        <v>0</v>
      </c>
      <c r="AY33" s="1116">
        <f t="shared" si="17"/>
        <v>0</v>
      </c>
      <c r="AZ33">
        <f t="shared" si="18"/>
        <v>0</v>
      </c>
      <c r="BA33">
        <f t="shared" si="19"/>
        <v>0</v>
      </c>
      <c r="BE33" s="854">
        <f t="shared" si="20"/>
        <v>0</v>
      </c>
      <c r="BF33" s="273">
        <f>(AN33*Pricing!F$3+AO33*Pricing!G$3+AP33*Pricing!H$3+AQ33*Pricing!I$3+AR33*Pricing!J$3+AS33*Pricing!K$3+AT33*Pricing!L$3+AU33*Pricing!M$3+AV33*Pricing!N$3+AW33*Pricing!O$3)*IF(T$57="N",(1+V$57),1)</f>
        <v>0</v>
      </c>
      <c r="BG33" s="854">
        <f t="shared" si="21"/>
        <v>0</v>
      </c>
      <c r="BH33" s="273">
        <f t="shared" si="22"/>
        <v>0</v>
      </c>
      <c r="BI33" s="273">
        <f t="shared" si="23"/>
        <v>0</v>
      </c>
      <c r="BJ33" s="273">
        <f t="shared" si="24"/>
        <v>0</v>
      </c>
      <c r="BK33" s="273">
        <f t="shared" si="25"/>
        <v>0</v>
      </c>
      <c r="BL33" s="855">
        <f t="shared" si="26"/>
        <v>0</v>
      </c>
      <c r="BM33" s="857">
        <f t="shared" si="27"/>
        <v>0</v>
      </c>
      <c r="BN33" s="273">
        <f t="shared" si="28"/>
        <v>0</v>
      </c>
      <c r="BO33" s="857">
        <f t="shared" si="29"/>
        <v>0</v>
      </c>
      <c r="BP33" s="849">
        <f t="shared" si="30"/>
        <v>0</v>
      </c>
    </row>
    <row r="34" spans="1:68" ht="19.5" customHeight="1">
      <c r="A34" s="482"/>
      <c r="B34" s="1177"/>
      <c r="C34" s="77"/>
      <c r="D34" s="1850"/>
      <c r="E34" s="503"/>
      <c r="F34" s="1851"/>
      <c r="G34" s="1108"/>
      <c r="H34" s="1109"/>
      <c r="I34" s="1110"/>
      <c r="J34" s="1109"/>
      <c r="K34" s="1110"/>
      <c r="L34" s="1109"/>
      <c r="M34" s="1110"/>
      <c r="N34" s="1109"/>
      <c r="O34" s="1110"/>
      <c r="P34" s="1109"/>
      <c r="Q34" s="1110"/>
      <c r="R34" s="1111"/>
      <c r="S34" s="1714"/>
      <c r="T34" s="1114">
        <f t="shared" si="0"/>
        <v>0</v>
      </c>
      <c r="U34" s="1717">
        <f t="shared" si="1"/>
        <v>0</v>
      </c>
      <c r="V34" s="1852">
        <f t="shared" si="2"/>
        <v>0</v>
      </c>
      <c r="W34" s="576">
        <f t="shared" si="3"/>
        <v>0</v>
      </c>
      <c r="X34" s="846">
        <f t="shared" si="4"/>
        <v>0</v>
      </c>
      <c r="Y34" s="847">
        <f t="shared" si="5"/>
        <v>0</v>
      </c>
      <c r="Z34" s="847">
        <f t="shared" si="6"/>
        <v>0</v>
      </c>
      <c r="AA34" s="848">
        <f t="shared" si="7"/>
        <v>0</v>
      </c>
      <c r="AN34">
        <f t="shared" si="33"/>
        <v>0</v>
      </c>
      <c r="AO34">
        <f t="shared" si="8"/>
        <v>0</v>
      </c>
      <c r="AP34">
        <f t="shared" si="9"/>
        <v>0</v>
      </c>
      <c r="AQ34">
        <f t="shared" si="10"/>
        <v>0</v>
      </c>
      <c r="AR34">
        <f t="shared" si="11"/>
        <v>0</v>
      </c>
      <c r="AS34">
        <f t="shared" si="32"/>
        <v>0</v>
      </c>
      <c r="AT34">
        <f t="shared" si="12"/>
        <v>0</v>
      </c>
      <c r="AU34">
        <f t="shared" si="13"/>
        <v>0</v>
      </c>
      <c r="AV34">
        <f t="shared" si="14"/>
        <v>0</v>
      </c>
      <c r="AW34">
        <f t="shared" si="15"/>
        <v>0</v>
      </c>
      <c r="AX34">
        <f t="shared" si="16"/>
        <v>0</v>
      </c>
      <c r="AY34" s="1116">
        <f t="shared" si="17"/>
        <v>0</v>
      </c>
      <c r="AZ34">
        <f t="shared" si="18"/>
        <v>0</v>
      </c>
      <c r="BA34">
        <f t="shared" si="19"/>
        <v>0</v>
      </c>
      <c r="BE34" s="854">
        <f t="shared" si="20"/>
        <v>0</v>
      </c>
      <c r="BF34" s="273">
        <f>(AN34*Pricing!F$3+AO34*Pricing!G$3+AP34*Pricing!H$3+AQ34*Pricing!I$3+AR34*Pricing!J$3+AS34*Pricing!K$3+AT34*Pricing!L$3+AU34*Pricing!M$3+AV34*Pricing!N$3+AW34*Pricing!O$3)*IF(T$57="N",(1+V$57),1)</f>
        <v>0</v>
      </c>
      <c r="BG34" s="854">
        <f t="shared" si="21"/>
        <v>0</v>
      </c>
      <c r="BH34" s="273">
        <f t="shared" si="22"/>
        <v>0</v>
      </c>
      <c r="BI34" s="273">
        <f t="shared" si="23"/>
        <v>0</v>
      </c>
      <c r="BJ34" s="273">
        <f t="shared" si="24"/>
        <v>0</v>
      </c>
      <c r="BK34" s="273">
        <f t="shared" si="25"/>
        <v>0</v>
      </c>
      <c r="BL34" s="855">
        <f t="shared" si="26"/>
        <v>0</v>
      </c>
      <c r="BM34" s="857">
        <f t="shared" si="27"/>
        <v>0</v>
      </c>
      <c r="BN34" s="273">
        <f t="shared" si="28"/>
        <v>0</v>
      </c>
      <c r="BO34" s="857">
        <f t="shared" si="29"/>
        <v>0</v>
      </c>
      <c r="BP34" s="849">
        <f t="shared" si="30"/>
        <v>0</v>
      </c>
    </row>
    <row r="35" spans="1:68" ht="19.5" customHeight="1">
      <c r="A35" s="482"/>
      <c r="B35" s="1177"/>
      <c r="C35" s="77"/>
      <c r="D35" s="1850"/>
      <c r="E35" s="503"/>
      <c r="F35" s="1851"/>
      <c r="G35" s="1108"/>
      <c r="H35" s="1109"/>
      <c r="I35" s="1110"/>
      <c r="J35" s="1109"/>
      <c r="K35" s="1110"/>
      <c r="L35" s="1109"/>
      <c r="M35" s="1110"/>
      <c r="N35" s="1109"/>
      <c r="O35" s="1110"/>
      <c r="P35" s="1109"/>
      <c r="Q35" s="1110"/>
      <c r="R35" s="1111"/>
      <c r="S35" s="1714"/>
      <c r="T35" s="1114">
        <f t="shared" si="0"/>
        <v>0</v>
      </c>
      <c r="U35" s="1717">
        <f t="shared" si="1"/>
        <v>0</v>
      </c>
      <c r="V35" s="1852">
        <f t="shared" si="2"/>
        <v>0</v>
      </c>
      <c r="W35" s="576">
        <f t="shared" si="3"/>
        <v>0</v>
      </c>
      <c r="X35" s="846">
        <f t="shared" si="4"/>
        <v>0</v>
      </c>
      <c r="Y35" s="847">
        <f t="shared" si="5"/>
        <v>0</v>
      </c>
      <c r="Z35" s="847">
        <f t="shared" si="6"/>
        <v>0</v>
      </c>
      <c r="AA35" s="848">
        <f t="shared" si="7"/>
        <v>0</v>
      </c>
      <c r="AN35">
        <f t="shared" si="33"/>
        <v>0</v>
      </c>
      <c r="AO35">
        <f t="shared" si="8"/>
        <v>0</v>
      </c>
      <c r="AP35">
        <f t="shared" si="9"/>
        <v>0</v>
      </c>
      <c r="AQ35">
        <f t="shared" si="10"/>
        <v>0</v>
      </c>
      <c r="AR35">
        <f t="shared" si="11"/>
        <v>0</v>
      </c>
      <c r="AS35">
        <f t="shared" si="32"/>
        <v>0</v>
      </c>
      <c r="AT35">
        <f t="shared" si="12"/>
        <v>0</v>
      </c>
      <c r="AU35">
        <f t="shared" si="13"/>
        <v>0</v>
      </c>
      <c r="AV35">
        <f t="shared" si="14"/>
        <v>0</v>
      </c>
      <c r="AW35">
        <f t="shared" si="15"/>
        <v>0</v>
      </c>
      <c r="AX35">
        <f t="shared" si="16"/>
        <v>0</v>
      </c>
      <c r="AY35" s="1116">
        <f t="shared" si="17"/>
        <v>0</v>
      </c>
      <c r="AZ35">
        <f t="shared" si="18"/>
        <v>0</v>
      </c>
      <c r="BA35">
        <f t="shared" si="19"/>
        <v>0</v>
      </c>
      <c r="BE35" s="854">
        <f t="shared" si="20"/>
        <v>0</v>
      </c>
      <c r="BF35" s="273">
        <f>(AN35*Pricing!F$3+AO35*Pricing!G$3+AP35*Pricing!H$3+AQ35*Pricing!I$3+AR35*Pricing!J$3+AS35*Pricing!K$3+AT35*Pricing!L$3+AU35*Pricing!M$3+AV35*Pricing!N$3+AW35*Pricing!O$3)*IF(T$57="N",(1+V$57),1)</f>
        <v>0</v>
      </c>
      <c r="BG35" s="854">
        <f t="shared" si="21"/>
        <v>0</v>
      </c>
      <c r="BH35" s="273">
        <f t="shared" si="22"/>
        <v>0</v>
      </c>
      <c r="BI35" s="273">
        <f t="shared" si="23"/>
        <v>0</v>
      </c>
      <c r="BJ35" s="273">
        <f t="shared" si="24"/>
        <v>0</v>
      </c>
      <c r="BK35" s="273">
        <f t="shared" si="25"/>
        <v>0</v>
      </c>
      <c r="BL35" s="855">
        <f t="shared" si="26"/>
        <v>0</v>
      </c>
      <c r="BM35" s="857">
        <f t="shared" si="27"/>
        <v>0</v>
      </c>
      <c r="BN35" s="273">
        <f t="shared" si="28"/>
        <v>0</v>
      </c>
      <c r="BO35" s="857">
        <f t="shared" si="29"/>
        <v>0</v>
      </c>
      <c r="BP35" s="849">
        <f t="shared" si="30"/>
        <v>0</v>
      </c>
    </row>
    <row r="36" spans="1:68" ht="19.5" customHeight="1">
      <c r="A36" s="482"/>
      <c r="B36" s="1177"/>
      <c r="C36" s="77"/>
      <c r="D36" s="1850"/>
      <c r="E36" s="503"/>
      <c r="F36" s="1851"/>
      <c r="G36" s="1108"/>
      <c r="H36" s="1109"/>
      <c r="I36" s="1110"/>
      <c r="J36" s="1109"/>
      <c r="K36" s="1110"/>
      <c r="L36" s="1109"/>
      <c r="M36" s="1110"/>
      <c r="N36" s="1109"/>
      <c r="O36" s="1110"/>
      <c r="P36" s="1109"/>
      <c r="Q36" s="1110"/>
      <c r="R36" s="1111"/>
      <c r="S36" s="1714"/>
      <c r="T36" s="1114">
        <f t="shared" si="0"/>
        <v>0</v>
      </c>
      <c r="U36" s="1717">
        <f t="shared" si="1"/>
        <v>0</v>
      </c>
      <c r="V36" s="1852">
        <f t="shared" si="2"/>
        <v>0</v>
      </c>
      <c r="W36" s="576">
        <f t="shared" si="3"/>
        <v>0</v>
      </c>
      <c r="X36" s="846">
        <f t="shared" si="4"/>
        <v>0</v>
      </c>
      <c r="Y36" s="847">
        <f t="shared" si="5"/>
        <v>0</v>
      </c>
      <c r="Z36" s="847">
        <f t="shared" si="6"/>
        <v>0</v>
      </c>
      <c r="AA36" s="848">
        <f t="shared" si="7"/>
        <v>0</v>
      </c>
      <c r="AN36">
        <f t="shared" si="33"/>
        <v>0</v>
      </c>
      <c r="AO36">
        <f t="shared" si="8"/>
        <v>0</v>
      </c>
      <c r="AP36">
        <f t="shared" si="9"/>
        <v>0</v>
      </c>
      <c r="AQ36">
        <f t="shared" si="10"/>
        <v>0</v>
      </c>
      <c r="AR36">
        <f t="shared" si="11"/>
        <v>0</v>
      </c>
      <c r="AS36">
        <f t="shared" si="32"/>
        <v>0</v>
      </c>
      <c r="AT36">
        <f t="shared" si="12"/>
        <v>0</v>
      </c>
      <c r="AU36">
        <f t="shared" si="13"/>
        <v>0</v>
      </c>
      <c r="AV36">
        <f t="shared" si="14"/>
        <v>0</v>
      </c>
      <c r="AW36">
        <f t="shared" si="15"/>
        <v>0</v>
      </c>
      <c r="AX36">
        <f t="shared" si="16"/>
        <v>0</v>
      </c>
      <c r="AY36" s="1116">
        <f t="shared" si="17"/>
        <v>0</v>
      </c>
      <c r="AZ36">
        <f t="shared" si="18"/>
        <v>0</v>
      </c>
      <c r="BA36">
        <f t="shared" si="19"/>
        <v>0</v>
      </c>
      <c r="BE36" s="854">
        <f t="shared" si="20"/>
        <v>0</v>
      </c>
      <c r="BF36" s="273">
        <f>(AN36*Pricing!F$3+AO36*Pricing!G$3+AP36*Pricing!H$3+AQ36*Pricing!I$3+AR36*Pricing!J$3+AS36*Pricing!K$3+AT36*Pricing!L$3+AU36*Pricing!M$3+AV36*Pricing!N$3+AW36*Pricing!O$3)*IF(T$57="N",(1+V$57),1)</f>
        <v>0</v>
      </c>
      <c r="BG36" s="854">
        <f t="shared" si="21"/>
        <v>0</v>
      </c>
      <c r="BH36" s="273">
        <f t="shared" si="22"/>
        <v>0</v>
      </c>
      <c r="BI36" s="273">
        <f t="shared" si="23"/>
        <v>0</v>
      </c>
      <c r="BJ36" s="273">
        <f t="shared" si="24"/>
        <v>0</v>
      </c>
      <c r="BK36" s="273">
        <f t="shared" si="25"/>
        <v>0</v>
      </c>
      <c r="BL36" s="855">
        <f t="shared" si="26"/>
        <v>0</v>
      </c>
      <c r="BM36" s="857">
        <f t="shared" si="27"/>
        <v>0</v>
      </c>
      <c r="BN36" s="273">
        <f t="shared" si="28"/>
        <v>0</v>
      </c>
      <c r="BO36" s="857">
        <f t="shared" si="29"/>
        <v>0</v>
      </c>
      <c r="BP36" s="849">
        <f t="shared" si="30"/>
        <v>0</v>
      </c>
    </row>
    <row r="37" spans="1:68" ht="19.5" customHeight="1">
      <c r="A37" s="482"/>
      <c r="B37" s="1177"/>
      <c r="C37" s="77"/>
      <c r="D37" s="1850"/>
      <c r="E37" s="503"/>
      <c r="F37" s="1851"/>
      <c r="G37" s="1108"/>
      <c r="H37" s="1109"/>
      <c r="I37" s="1110"/>
      <c r="J37" s="1109"/>
      <c r="K37" s="1110"/>
      <c r="L37" s="1109"/>
      <c r="M37" s="1110"/>
      <c r="N37" s="1109"/>
      <c r="O37" s="1110"/>
      <c r="P37" s="1109"/>
      <c r="Q37" s="1110"/>
      <c r="R37" s="1111"/>
      <c r="S37" s="1714"/>
      <c r="T37" s="1114">
        <f t="shared" si="0"/>
        <v>0</v>
      </c>
      <c r="U37" s="1717">
        <f t="shared" si="1"/>
        <v>0</v>
      </c>
      <c r="V37" s="1852">
        <f t="shared" si="2"/>
        <v>0</v>
      </c>
      <c r="W37" s="576">
        <f t="shared" si="3"/>
        <v>0</v>
      </c>
      <c r="X37" s="846">
        <f t="shared" si="4"/>
        <v>0</v>
      </c>
      <c r="Y37" s="847">
        <f t="shared" si="5"/>
        <v>0</v>
      </c>
      <c r="Z37" s="847">
        <f t="shared" si="6"/>
        <v>0</v>
      </c>
      <c r="AA37" s="848">
        <f t="shared" si="7"/>
        <v>0</v>
      </c>
      <c r="AN37">
        <f t="shared" si="33"/>
        <v>0</v>
      </c>
      <c r="AO37">
        <f t="shared" si="8"/>
        <v>0</v>
      </c>
      <c r="AP37">
        <f t="shared" si="9"/>
        <v>0</v>
      </c>
      <c r="AQ37">
        <f t="shared" si="10"/>
        <v>0</v>
      </c>
      <c r="AR37">
        <f t="shared" si="11"/>
        <v>0</v>
      </c>
      <c r="AS37">
        <f t="shared" si="32"/>
        <v>0</v>
      </c>
      <c r="AT37">
        <f t="shared" si="12"/>
        <v>0</v>
      </c>
      <c r="AU37">
        <f t="shared" si="13"/>
        <v>0</v>
      </c>
      <c r="AV37">
        <f t="shared" si="14"/>
        <v>0</v>
      </c>
      <c r="AW37">
        <f t="shared" si="15"/>
        <v>0</v>
      </c>
      <c r="AX37">
        <f t="shared" si="16"/>
        <v>0</v>
      </c>
      <c r="AY37" s="1116">
        <f t="shared" si="17"/>
        <v>0</v>
      </c>
      <c r="AZ37">
        <f t="shared" si="18"/>
        <v>0</v>
      </c>
      <c r="BA37">
        <f t="shared" si="19"/>
        <v>0</v>
      </c>
      <c r="BE37" s="854">
        <f t="shared" si="20"/>
        <v>0</v>
      </c>
      <c r="BF37" s="273">
        <f>(AN37*Pricing!F$3+AO37*Pricing!G$3+AP37*Pricing!H$3+AQ37*Pricing!I$3+AR37*Pricing!J$3+AS37*Pricing!K$3+AT37*Pricing!L$3+AU37*Pricing!M$3+AV37*Pricing!N$3+AW37*Pricing!O$3)*IF(T$57="N",(1+V$57),1)</f>
        <v>0</v>
      </c>
      <c r="BG37" s="854">
        <f t="shared" si="21"/>
        <v>0</v>
      </c>
      <c r="BH37" s="273">
        <f t="shared" si="22"/>
        <v>0</v>
      </c>
      <c r="BI37" s="273">
        <f t="shared" si="23"/>
        <v>0</v>
      </c>
      <c r="BJ37" s="273">
        <f t="shared" si="24"/>
        <v>0</v>
      </c>
      <c r="BK37" s="273">
        <f t="shared" si="25"/>
        <v>0</v>
      </c>
      <c r="BL37" s="855">
        <f t="shared" si="26"/>
        <v>0</v>
      </c>
      <c r="BM37" s="857">
        <f t="shared" si="27"/>
        <v>0</v>
      </c>
      <c r="BN37" s="273">
        <f t="shared" si="28"/>
        <v>0</v>
      </c>
      <c r="BO37" s="857">
        <f t="shared" si="29"/>
        <v>0</v>
      </c>
      <c r="BP37" s="849">
        <f t="shared" si="30"/>
        <v>0</v>
      </c>
    </row>
    <row r="38" spans="1:68" ht="19.5" customHeight="1">
      <c r="A38" s="482"/>
      <c r="B38" s="1177"/>
      <c r="C38" s="77"/>
      <c r="D38" s="1850"/>
      <c r="E38" s="503"/>
      <c r="F38" s="1851"/>
      <c r="G38" s="1108"/>
      <c r="H38" s="1109"/>
      <c r="I38" s="1110"/>
      <c r="J38" s="1109"/>
      <c r="K38" s="1110"/>
      <c r="L38" s="1109"/>
      <c r="M38" s="1110"/>
      <c r="N38" s="1109"/>
      <c r="O38" s="1110"/>
      <c r="P38" s="1109"/>
      <c r="Q38" s="1110"/>
      <c r="R38" s="1111"/>
      <c r="S38" s="1714"/>
      <c r="T38" s="1114">
        <f t="shared" si="0"/>
        <v>0</v>
      </c>
      <c r="U38" s="1717">
        <f t="shared" si="1"/>
        <v>0</v>
      </c>
      <c r="V38" s="1852">
        <f t="shared" si="2"/>
        <v>0</v>
      </c>
      <c r="W38" s="576">
        <f t="shared" si="3"/>
        <v>0</v>
      </c>
      <c r="X38" s="846">
        <f t="shared" si="4"/>
        <v>0</v>
      </c>
      <c r="Y38" s="847">
        <f t="shared" si="5"/>
        <v>0</v>
      </c>
      <c r="Z38" s="847">
        <f t="shared" si="6"/>
        <v>0</v>
      </c>
      <c r="AA38" s="848">
        <f t="shared" si="7"/>
        <v>0</v>
      </c>
      <c r="AN38">
        <f t="shared" si="33"/>
        <v>0</v>
      </c>
      <c r="AO38">
        <f t="shared" si="8"/>
        <v>0</v>
      </c>
      <c r="AP38">
        <f t="shared" si="9"/>
        <v>0</v>
      </c>
      <c r="AQ38">
        <f t="shared" si="10"/>
        <v>0</v>
      </c>
      <c r="AR38">
        <f t="shared" si="11"/>
        <v>0</v>
      </c>
      <c r="AS38">
        <f t="shared" si="32"/>
        <v>0</v>
      </c>
      <c r="AT38">
        <f t="shared" si="12"/>
        <v>0</v>
      </c>
      <c r="AU38">
        <f t="shared" si="13"/>
        <v>0</v>
      </c>
      <c r="AV38">
        <f t="shared" si="14"/>
        <v>0</v>
      </c>
      <c r="AW38">
        <f t="shared" si="15"/>
        <v>0</v>
      </c>
      <c r="AX38">
        <f t="shared" si="16"/>
        <v>0</v>
      </c>
      <c r="AY38" s="1116">
        <f t="shared" si="17"/>
        <v>0</v>
      </c>
      <c r="AZ38">
        <f t="shared" si="18"/>
        <v>0</v>
      </c>
      <c r="BA38">
        <f t="shared" si="19"/>
        <v>0</v>
      </c>
      <c r="BE38" s="854">
        <f t="shared" si="20"/>
        <v>0</v>
      </c>
      <c r="BF38" s="273">
        <f>(AN38*Pricing!F$3+AO38*Pricing!G$3+AP38*Pricing!H$3+AQ38*Pricing!I$3+AR38*Pricing!J$3+AS38*Pricing!K$3+AT38*Pricing!L$3+AU38*Pricing!M$3+AV38*Pricing!N$3+AW38*Pricing!O$3)*IF(T$57="N",(1+V$57),1)</f>
        <v>0</v>
      </c>
      <c r="BG38" s="854">
        <f t="shared" si="21"/>
        <v>0</v>
      </c>
      <c r="BH38" s="273">
        <f t="shared" si="22"/>
        <v>0</v>
      </c>
      <c r="BI38" s="273">
        <f t="shared" si="23"/>
        <v>0</v>
      </c>
      <c r="BJ38" s="273">
        <f t="shared" si="24"/>
        <v>0</v>
      </c>
      <c r="BK38" s="273">
        <f t="shared" si="25"/>
        <v>0</v>
      </c>
      <c r="BL38" s="855">
        <f t="shared" si="26"/>
        <v>0</v>
      </c>
      <c r="BM38" s="857">
        <f t="shared" si="27"/>
        <v>0</v>
      </c>
      <c r="BN38" s="273">
        <f t="shared" si="28"/>
        <v>0</v>
      </c>
      <c r="BO38" s="857">
        <f t="shared" si="29"/>
        <v>0</v>
      </c>
      <c r="BP38" s="849">
        <f t="shared" si="30"/>
        <v>0</v>
      </c>
    </row>
    <row r="39" spans="1:68" ht="19.5" customHeight="1">
      <c r="A39" s="482"/>
      <c r="B39" s="1177"/>
      <c r="C39" s="77"/>
      <c r="D39" s="1850"/>
      <c r="E39" s="503"/>
      <c r="F39" s="1851"/>
      <c r="G39" s="1108"/>
      <c r="H39" s="1109"/>
      <c r="I39" s="1110"/>
      <c r="J39" s="1109"/>
      <c r="K39" s="1110"/>
      <c r="L39" s="1109"/>
      <c r="M39" s="1110"/>
      <c r="N39" s="1109"/>
      <c r="O39" s="1110"/>
      <c r="P39" s="1109"/>
      <c r="Q39" s="1110"/>
      <c r="R39" s="1111"/>
      <c r="S39" s="1714"/>
      <c r="T39" s="1114">
        <f t="shared" si="0"/>
        <v>0</v>
      </c>
      <c r="U39" s="1717">
        <f t="shared" si="1"/>
        <v>0</v>
      </c>
      <c r="V39" s="1852">
        <f t="shared" si="2"/>
        <v>0</v>
      </c>
      <c r="W39" s="576">
        <f t="shared" si="3"/>
        <v>0</v>
      </c>
      <c r="X39" s="846">
        <f t="shared" si="4"/>
        <v>0</v>
      </c>
      <c r="Y39" s="847">
        <f t="shared" si="5"/>
        <v>0</v>
      </c>
      <c r="Z39" s="847">
        <f t="shared" si="6"/>
        <v>0</v>
      </c>
      <c r="AA39" s="848">
        <f t="shared" si="7"/>
        <v>0</v>
      </c>
      <c r="AN39">
        <f t="shared" si="33"/>
        <v>0</v>
      </c>
      <c r="AO39">
        <f t="shared" si="8"/>
        <v>0</v>
      </c>
      <c r="AP39">
        <f t="shared" si="9"/>
        <v>0</v>
      </c>
      <c r="AQ39">
        <f t="shared" si="10"/>
        <v>0</v>
      </c>
      <c r="AR39">
        <f t="shared" si="11"/>
        <v>0</v>
      </c>
      <c r="AS39">
        <f t="shared" si="32"/>
        <v>0</v>
      </c>
      <c r="AT39">
        <f t="shared" si="12"/>
        <v>0</v>
      </c>
      <c r="AU39">
        <f t="shared" si="13"/>
        <v>0</v>
      </c>
      <c r="AV39">
        <f t="shared" si="14"/>
        <v>0</v>
      </c>
      <c r="AW39">
        <f t="shared" si="15"/>
        <v>0</v>
      </c>
      <c r="AX39">
        <f t="shared" si="16"/>
        <v>0</v>
      </c>
      <c r="AY39" s="1116">
        <f t="shared" si="17"/>
        <v>0</v>
      </c>
      <c r="AZ39">
        <f t="shared" si="18"/>
        <v>0</v>
      </c>
      <c r="BA39">
        <f t="shared" si="19"/>
        <v>0</v>
      </c>
      <c r="BE39" s="854">
        <f t="shared" si="20"/>
        <v>0</v>
      </c>
      <c r="BF39" s="273">
        <f>(AN39*Pricing!F$3+AO39*Pricing!G$3+AP39*Pricing!H$3+AQ39*Pricing!I$3+AR39*Pricing!J$3+AS39*Pricing!K$3+AT39*Pricing!L$3+AU39*Pricing!M$3+AV39*Pricing!N$3+AW39*Pricing!O$3)*IF(T$57="N",(1+V$57),1)</f>
        <v>0</v>
      </c>
      <c r="BG39" s="854">
        <f t="shared" si="21"/>
        <v>0</v>
      </c>
      <c r="BH39" s="273">
        <f t="shared" si="22"/>
        <v>0</v>
      </c>
      <c r="BI39" s="273">
        <f t="shared" si="23"/>
        <v>0</v>
      </c>
      <c r="BJ39" s="273">
        <f t="shared" si="24"/>
        <v>0</v>
      </c>
      <c r="BK39" s="273">
        <f t="shared" si="25"/>
        <v>0</v>
      </c>
      <c r="BL39" s="855">
        <f t="shared" si="26"/>
        <v>0</v>
      </c>
      <c r="BM39" s="857">
        <f t="shared" si="27"/>
        <v>0</v>
      </c>
      <c r="BN39" s="273">
        <f t="shared" si="28"/>
        <v>0</v>
      </c>
      <c r="BO39" s="857">
        <f t="shared" si="29"/>
        <v>0</v>
      </c>
      <c r="BP39" s="849">
        <f t="shared" si="30"/>
        <v>0</v>
      </c>
    </row>
    <row r="40" spans="1:68" ht="19.5" customHeight="1">
      <c r="A40" s="482"/>
      <c r="B40" s="1177"/>
      <c r="C40" s="77"/>
      <c r="D40" s="1850"/>
      <c r="E40" s="503"/>
      <c r="F40" s="1851"/>
      <c r="G40" s="1108"/>
      <c r="H40" s="1109"/>
      <c r="I40" s="1110"/>
      <c r="J40" s="1109"/>
      <c r="K40" s="1110"/>
      <c r="L40" s="1109"/>
      <c r="M40" s="1110"/>
      <c r="N40" s="1109"/>
      <c r="O40" s="1110"/>
      <c r="P40" s="1109"/>
      <c r="Q40" s="1110"/>
      <c r="R40" s="1111"/>
      <c r="S40" s="1714"/>
      <c r="T40" s="1114">
        <f t="shared" si="0"/>
        <v>0</v>
      </c>
      <c r="U40" s="1717">
        <f t="shared" si="1"/>
        <v>0</v>
      </c>
      <c r="V40" s="1852">
        <f t="shared" si="2"/>
        <v>0</v>
      </c>
      <c r="W40" s="576">
        <f t="shared" si="3"/>
        <v>0</v>
      </c>
      <c r="X40" s="846">
        <f t="shared" si="4"/>
        <v>0</v>
      </c>
      <c r="Y40" s="847">
        <f t="shared" si="5"/>
        <v>0</v>
      </c>
      <c r="Z40" s="847">
        <f t="shared" si="6"/>
        <v>0</v>
      </c>
      <c r="AA40" s="848">
        <f t="shared" si="7"/>
        <v>0</v>
      </c>
      <c r="AN40">
        <f t="shared" si="33"/>
        <v>0</v>
      </c>
      <c r="AO40">
        <f t="shared" si="8"/>
        <v>0</v>
      </c>
      <c r="AP40">
        <f t="shared" si="9"/>
        <v>0</v>
      </c>
      <c r="AQ40">
        <f t="shared" si="10"/>
        <v>0</v>
      </c>
      <c r="AR40">
        <f t="shared" si="11"/>
        <v>0</v>
      </c>
      <c r="AS40">
        <f t="shared" si="32"/>
        <v>0</v>
      </c>
      <c r="AT40">
        <f t="shared" si="12"/>
        <v>0</v>
      </c>
      <c r="AU40">
        <f t="shared" si="13"/>
        <v>0</v>
      </c>
      <c r="AV40">
        <f t="shared" si="14"/>
        <v>0</v>
      </c>
      <c r="AW40">
        <f t="shared" si="15"/>
        <v>0</v>
      </c>
      <c r="AX40">
        <f t="shared" si="16"/>
        <v>0</v>
      </c>
      <c r="AY40" s="1116">
        <f t="shared" si="17"/>
        <v>0</v>
      </c>
      <c r="AZ40">
        <f t="shared" si="18"/>
        <v>0</v>
      </c>
      <c r="BA40">
        <f t="shared" si="19"/>
        <v>0</v>
      </c>
      <c r="BE40" s="854">
        <f t="shared" si="20"/>
        <v>0</v>
      </c>
      <c r="BF40" s="273">
        <f>(AN40*Pricing!F$3+AO40*Pricing!G$3+AP40*Pricing!H$3+AQ40*Pricing!I$3+AR40*Pricing!J$3+AS40*Pricing!K$3+AT40*Pricing!L$3+AU40*Pricing!M$3+AV40*Pricing!N$3+AW40*Pricing!O$3)*IF(T$57="N",(1+V$57),1)</f>
        <v>0</v>
      </c>
      <c r="BG40" s="854">
        <f t="shared" si="21"/>
        <v>0</v>
      </c>
      <c r="BH40" s="273">
        <f t="shared" si="22"/>
        <v>0</v>
      </c>
      <c r="BI40" s="273">
        <f t="shared" si="23"/>
        <v>0</v>
      </c>
      <c r="BJ40" s="273">
        <f t="shared" si="24"/>
        <v>0</v>
      </c>
      <c r="BK40" s="273">
        <f t="shared" si="25"/>
        <v>0</v>
      </c>
      <c r="BL40" s="855">
        <f t="shared" si="26"/>
        <v>0</v>
      </c>
      <c r="BM40" s="857">
        <f t="shared" si="27"/>
        <v>0</v>
      </c>
      <c r="BN40" s="273">
        <f t="shared" si="28"/>
        <v>0</v>
      </c>
      <c r="BO40" s="857">
        <f t="shared" si="29"/>
        <v>0</v>
      </c>
      <c r="BP40" s="849">
        <f t="shared" si="30"/>
        <v>0</v>
      </c>
    </row>
    <row r="41" spans="1:68" ht="19.5" customHeight="1">
      <c r="A41" s="482"/>
      <c r="B41" s="1177"/>
      <c r="C41" s="77"/>
      <c r="D41" s="1850"/>
      <c r="E41" s="503"/>
      <c r="F41" s="1851"/>
      <c r="G41" s="1108"/>
      <c r="H41" s="1109"/>
      <c r="I41" s="1110"/>
      <c r="J41" s="1109"/>
      <c r="K41" s="1110"/>
      <c r="L41" s="1109"/>
      <c r="M41" s="1110"/>
      <c r="N41" s="1109"/>
      <c r="O41" s="1110"/>
      <c r="P41" s="1109"/>
      <c r="Q41" s="1110"/>
      <c r="R41" s="1111"/>
      <c r="S41" s="1714"/>
      <c r="T41" s="1114">
        <f t="shared" si="0"/>
        <v>0</v>
      </c>
      <c r="U41" s="1717">
        <f t="shared" si="1"/>
        <v>0</v>
      </c>
      <c r="V41" s="1852">
        <f t="shared" si="2"/>
        <v>0</v>
      </c>
      <c r="W41" s="576">
        <f t="shared" si="3"/>
        <v>0</v>
      </c>
      <c r="X41" s="846">
        <f t="shared" si="4"/>
        <v>0</v>
      </c>
      <c r="Y41" s="847">
        <f t="shared" si="5"/>
        <v>0</v>
      </c>
      <c r="Z41" s="847">
        <f t="shared" si="6"/>
        <v>0</v>
      </c>
      <c r="AA41" s="848">
        <f t="shared" si="7"/>
        <v>0</v>
      </c>
      <c r="AN41">
        <f t="shared" si="33"/>
        <v>0</v>
      </c>
      <c r="AO41">
        <f t="shared" si="8"/>
        <v>0</v>
      </c>
      <c r="AP41">
        <f t="shared" si="9"/>
        <v>0</v>
      </c>
      <c r="AQ41">
        <f t="shared" si="10"/>
        <v>0</v>
      </c>
      <c r="AR41">
        <f t="shared" si="11"/>
        <v>0</v>
      </c>
      <c r="AS41">
        <f t="shared" si="32"/>
        <v>0</v>
      </c>
      <c r="AT41">
        <f t="shared" si="12"/>
        <v>0</v>
      </c>
      <c r="AU41">
        <f t="shared" si="13"/>
        <v>0</v>
      </c>
      <c r="AV41">
        <f t="shared" si="14"/>
        <v>0</v>
      </c>
      <c r="AW41">
        <f t="shared" si="15"/>
        <v>0</v>
      </c>
      <c r="AX41">
        <f t="shared" si="16"/>
        <v>0</v>
      </c>
      <c r="AY41" s="1116">
        <f t="shared" si="17"/>
        <v>0</v>
      </c>
      <c r="AZ41">
        <f t="shared" si="18"/>
        <v>0</v>
      </c>
      <c r="BA41">
        <f t="shared" si="19"/>
        <v>0</v>
      </c>
      <c r="BE41" s="854">
        <f t="shared" si="20"/>
        <v>0</v>
      </c>
      <c r="BF41" s="273">
        <f>(AN41*Pricing!F$3+AO41*Pricing!G$3+AP41*Pricing!H$3+AQ41*Pricing!I$3+AR41*Pricing!J$3+AS41*Pricing!K$3+AT41*Pricing!L$3+AU41*Pricing!M$3+AV41*Pricing!N$3+AW41*Pricing!O$3)*IF(T$57="N",(1+V$57),1)</f>
        <v>0</v>
      </c>
      <c r="BG41" s="854">
        <f t="shared" si="21"/>
        <v>0</v>
      </c>
      <c r="BH41" s="273">
        <f t="shared" si="22"/>
        <v>0</v>
      </c>
      <c r="BI41" s="273">
        <f t="shared" si="23"/>
        <v>0</v>
      </c>
      <c r="BJ41" s="273">
        <f t="shared" si="24"/>
        <v>0</v>
      </c>
      <c r="BK41" s="273">
        <f t="shared" si="25"/>
        <v>0</v>
      </c>
      <c r="BL41" s="855">
        <f t="shared" si="26"/>
        <v>0</v>
      </c>
      <c r="BM41" s="857">
        <f t="shared" si="27"/>
        <v>0</v>
      </c>
      <c r="BN41" s="273">
        <f t="shared" si="28"/>
        <v>0</v>
      </c>
      <c r="BO41" s="857">
        <f t="shared" si="29"/>
        <v>0</v>
      </c>
      <c r="BP41" s="849">
        <f t="shared" si="30"/>
        <v>0</v>
      </c>
    </row>
    <row r="42" spans="1:68" ht="19.5" customHeight="1">
      <c r="A42" s="482"/>
      <c r="B42" s="1177"/>
      <c r="C42" s="77"/>
      <c r="D42" s="1850"/>
      <c r="E42" s="503"/>
      <c r="F42" s="1851"/>
      <c r="G42" s="1108"/>
      <c r="H42" s="1109"/>
      <c r="I42" s="1110"/>
      <c r="J42" s="1109"/>
      <c r="K42" s="1110"/>
      <c r="L42" s="1109"/>
      <c r="M42" s="1110"/>
      <c r="N42" s="1109"/>
      <c r="O42" s="1110"/>
      <c r="P42" s="1109"/>
      <c r="Q42" s="1110"/>
      <c r="R42" s="1111"/>
      <c r="S42" s="1714"/>
      <c r="T42" s="1114">
        <f t="shared" si="0"/>
        <v>0</v>
      </c>
      <c r="U42" s="1717">
        <f t="shared" si="1"/>
        <v>0</v>
      </c>
      <c r="V42" s="1852">
        <f t="shared" si="2"/>
        <v>0</v>
      </c>
      <c r="W42" s="576">
        <f t="shared" si="3"/>
        <v>0</v>
      </c>
      <c r="X42" s="846">
        <f t="shared" si="4"/>
        <v>0</v>
      </c>
      <c r="Y42" s="847">
        <f t="shared" si="5"/>
        <v>0</v>
      </c>
      <c r="Z42" s="847">
        <f t="shared" si="6"/>
        <v>0</v>
      </c>
      <c r="AA42" s="848">
        <f t="shared" si="7"/>
        <v>0</v>
      </c>
      <c r="AN42">
        <f t="shared" si="33"/>
        <v>0</v>
      </c>
      <c r="AO42">
        <f t="shared" si="8"/>
        <v>0</v>
      </c>
      <c r="AP42">
        <f t="shared" si="9"/>
        <v>0</v>
      </c>
      <c r="AQ42">
        <f t="shared" si="10"/>
        <v>0</v>
      </c>
      <c r="AR42">
        <f t="shared" si="11"/>
        <v>0</v>
      </c>
      <c r="AS42">
        <f t="shared" si="32"/>
        <v>0</v>
      </c>
      <c r="AT42">
        <f t="shared" si="12"/>
        <v>0</v>
      </c>
      <c r="AU42">
        <f t="shared" si="13"/>
        <v>0</v>
      </c>
      <c r="AV42">
        <f t="shared" si="14"/>
        <v>0</v>
      </c>
      <c r="AW42">
        <f t="shared" si="15"/>
        <v>0</v>
      </c>
      <c r="AX42">
        <f t="shared" si="16"/>
        <v>0</v>
      </c>
      <c r="AY42" s="1116">
        <f t="shared" si="17"/>
        <v>0</v>
      </c>
      <c r="AZ42">
        <f t="shared" si="18"/>
        <v>0</v>
      </c>
      <c r="BA42">
        <f t="shared" si="19"/>
        <v>0</v>
      </c>
      <c r="BE42" s="854">
        <f t="shared" si="20"/>
        <v>0</v>
      </c>
      <c r="BF42" s="273">
        <f>(AN42*Pricing!F$3+AO42*Pricing!G$3+AP42*Pricing!H$3+AQ42*Pricing!I$3+AR42*Pricing!J$3+AS42*Pricing!K$3+AT42*Pricing!L$3+AU42*Pricing!M$3+AV42*Pricing!N$3+AW42*Pricing!O$3)*IF(T$57="N",(1+V$57),1)</f>
        <v>0</v>
      </c>
      <c r="BG42" s="854">
        <f t="shared" si="21"/>
        <v>0</v>
      </c>
      <c r="BH42" s="273">
        <f t="shared" si="22"/>
        <v>0</v>
      </c>
      <c r="BI42" s="273">
        <f t="shared" si="23"/>
        <v>0</v>
      </c>
      <c r="BJ42" s="273">
        <f t="shared" si="24"/>
        <v>0</v>
      </c>
      <c r="BK42" s="273">
        <f t="shared" si="25"/>
        <v>0</v>
      </c>
      <c r="BL42" s="855">
        <f t="shared" si="26"/>
        <v>0</v>
      </c>
      <c r="BM42" s="857">
        <f t="shared" si="27"/>
        <v>0</v>
      </c>
      <c r="BN42" s="273">
        <f t="shared" si="28"/>
        <v>0</v>
      </c>
      <c r="BO42" s="857">
        <f t="shared" si="29"/>
        <v>0</v>
      </c>
      <c r="BP42" s="849">
        <f t="shared" si="30"/>
        <v>0</v>
      </c>
    </row>
    <row r="43" spans="1:68" ht="19.5" customHeight="1">
      <c r="A43" s="482"/>
      <c r="B43" s="1177"/>
      <c r="C43" s="77"/>
      <c r="D43" s="1850"/>
      <c r="E43" s="503"/>
      <c r="F43" s="1851"/>
      <c r="G43" s="1108"/>
      <c r="H43" s="1109"/>
      <c r="I43" s="1110"/>
      <c r="J43" s="1109"/>
      <c r="K43" s="1110"/>
      <c r="L43" s="1109"/>
      <c r="M43" s="1110"/>
      <c r="N43" s="1109"/>
      <c r="O43" s="1110"/>
      <c r="P43" s="1109"/>
      <c r="Q43" s="1110"/>
      <c r="R43" s="1108"/>
      <c r="S43" s="1714"/>
      <c r="T43" s="1114">
        <f t="shared" si="0"/>
        <v>0</v>
      </c>
      <c r="U43" s="1717">
        <f t="shared" si="1"/>
        <v>0</v>
      </c>
      <c r="V43" s="1852">
        <f t="shared" si="2"/>
        <v>0</v>
      </c>
      <c r="W43" s="576">
        <f t="shared" si="3"/>
        <v>0</v>
      </c>
      <c r="X43" s="846">
        <f t="shared" si="4"/>
        <v>0</v>
      </c>
      <c r="Y43" s="847">
        <f t="shared" si="5"/>
        <v>0</v>
      </c>
      <c r="Z43" s="847">
        <f t="shared" si="6"/>
        <v>0</v>
      </c>
      <c r="AA43" s="848">
        <f t="shared" si="7"/>
        <v>0</v>
      </c>
      <c r="AN43">
        <f t="shared" si="33"/>
        <v>0</v>
      </c>
      <c r="AO43">
        <f t="shared" si="8"/>
        <v>0</v>
      </c>
      <c r="AP43">
        <f t="shared" si="9"/>
        <v>0</v>
      </c>
      <c r="AQ43">
        <f t="shared" si="10"/>
        <v>0</v>
      </c>
      <c r="AR43">
        <f t="shared" si="11"/>
        <v>0</v>
      </c>
      <c r="AS43">
        <f t="shared" si="32"/>
        <v>0</v>
      </c>
      <c r="AT43">
        <f t="shared" si="12"/>
        <v>0</v>
      </c>
      <c r="AU43">
        <f t="shared" si="13"/>
        <v>0</v>
      </c>
      <c r="AV43">
        <f t="shared" si="14"/>
        <v>0</v>
      </c>
      <c r="AW43">
        <f t="shared" si="15"/>
        <v>0</v>
      </c>
      <c r="AX43">
        <f t="shared" si="16"/>
        <v>0</v>
      </c>
      <c r="AY43" s="1116">
        <f t="shared" si="17"/>
        <v>0</v>
      </c>
      <c r="AZ43">
        <f t="shared" si="18"/>
        <v>0</v>
      </c>
      <c r="BA43">
        <f t="shared" si="19"/>
        <v>0</v>
      </c>
      <c r="BE43" s="854">
        <f t="shared" si="20"/>
        <v>0</v>
      </c>
      <c r="BF43" s="273">
        <f>(AN43*Pricing!F$3+AO43*Pricing!G$3+AP43*Pricing!H$3+AQ43*Pricing!I$3+AR43*Pricing!J$3+AS43*Pricing!K$3+AT43*Pricing!L$3+AU43*Pricing!M$3+AV43*Pricing!N$3+AW43*Pricing!O$3)*IF(T$57="N",(1+V$57),1)</f>
        <v>0</v>
      </c>
      <c r="BG43" s="854">
        <f t="shared" si="21"/>
        <v>0</v>
      </c>
      <c r="BH43" s="273">
        <f t="shared" si="22"/>
        <v>0</v>
      </c>
      <c r="BI43" s="273">
        <f t="shared" si="23"/>
        <v>0</v>
      </c>
      <c r="BJ43" s="273">
        <f t="shared" si="24"/>
        <v>0</v>
      </c>
      <c r="BK43" s="273">
        <f t="shared" si="25"/>
        <v>0</v>
      </c>
      <c r="BL43" s="855">
        <f t="shared" si="26"/>
        <v>0</v>
      </c>
      <c r="BM43" s="857">
        <f t="shared" si="27"/>
        <v>0</v>
      </c>
      <c r="BN43" s="273">
        <f t="shared" si="28"/>
        <v>0</v>
      </c>
      <c r="BO43" s="857">
        <f t="shared" si="29"/>
        <v>0</v>
      </c>
      <c r="BP43" s="849">
        <f t="shared" si="30"/>
        <v>0</v>
      </c>
    </row>
    <row r="44" spans="1:68" ht="19.5" customHeight="1">
      <c r="A44" s="482"/>
      <c r="B44" s="1177"/>
      <c r="C44" s="77"/>
      <c r="D44" s="1850"/>
      <c r="E44" s="503"/>
      <c r="F44" s="1851"/>
      <c r="G44" s="1108"/>
      <c r="H44" s="1109"/>
      <c r="I44" s="1110"/>
      <c r="J44" s="1109"/>
      <c r="K44" s="1110"/>
      <c r="L44" s="1109"/>
      <c r="M44" s="1110"/>
      <c r="N44" s="1109"/>
      <c r="O44" s="1110"/>
      <c r="P44" s="1109"/>
      <c r="Q44" s="1110"/>
      <c r="R44" s="1108"/>
      <c r="S44" s="1714"/>
      <c r="T44" s="1114">
        <f t="shared" si="0"/>
        <v>0</v>
      </c>
      <c r="U44" s="1717">
        <f t="shared" si="1"/>
        <v>0</v>
      </c>
      <c r="V44" s="1852">
        <f t="shared" si="2"/>
        <v>0</v>
      </c>
      <c r="W44" s="576">
        <f t="shared" si="3"/>
        <v>0</v>
      </c>
      <c r="X44" s="846">
        <f t="shared" si="4"/>
        <v>0</v>
      </c>
      <c r="Y44" s="847">
        <f t="shared" si="5"/>
        <v>0</v>
      </c>
      <c r="Z44" s="847">
        <f t="shared" si="6"/>
        <v>0</v>
      </c>
      <c r="AA44" s="848">
        <f t="shared" si="7"/>
        <v>0</v>
      </c>
      <c r="AN44">
        <f t="shared" si="33"/>
        <v>0</v>
      </c>
      <c r="AO44">
        <f t="shared" si="8"/>
        <v>0</v>
      </c>
      <c r="AP44">
        <f t="shared" si="9"/>
        <v>0</v>
      </c>
      <c r="AQ44">
        <f t="shared" si="10"/>
        <v>0</v>
      </c>
      <c r="AR44">
        <f t="shared" si="11"/>
        <v>0</v>
      </c>
      <c r="AS44">
        <f t="shared" si="32"/>
        <v>0</v>
      </c>
      <c r="AT44">
        <f t="shared" si="12"/>
        <v>0</v>
      </c>
      <c r="AU44">
        <f t="shared" si="13"/>
        <v>0</v>
      </c>
      <c r="AV44">
        <f t="shared" si="14"/>
        <v>0</v>
      </c>
      <c r="AW44">
        <f t="shared" si="15"/>
        <v>0</v>
      </c>
      <c r="AX44">
        <f t="shared" si="16"/>
        <v>0</v>
      </c>
      <c r="AY44" s="1116">
        <f t="shared" si="17"/>
        <v>0</v>
      </c>
      <c r="AZ44">
        <f t="shared" si="18"/>
        <v>0</v>
      </c>
      <c r="BA44">
        <f t="shared" si="19"/>
        <v>0</v>
      </c>
      <c r="BE44" s="854">
        <f t="shared" si="20"/>
        <v>0</v>
      </c>
      <c r="BF44" s="273">
        <f>(AN44*Pricing!F$3+AO44*Pricing!G$3+AP44*Pricing!H$3+AQ44*Pricing!I$3+AR44*Pricing!J$3+AS44*Pricing!K$3+AT44*Pricing!L$3+AU44*Pricing!M$3+AV44*Pricing!N$3+AW44*Pricing!O$3)*IF(T$57="N",(1+V$57),1)</f>
        <v>0</v>
      </c>
      <c r="BG44" s="854">
        <f t="shared" si="21"/>
        <v>0</v>
      </c>
      <c r="BH44" s="273">
        <f t="shared" si="22"/>
        <v>0</v>
      </c>
      <c r="BI44" s="273">
        <f t="shared" si="23"/>
        <v>0</v>
      </c>
      <c r="BJ44" s="273">
        <f t="shared" si="24"/>
        <v>0</v>
      </c>
      <c r="BK44" s="273">
        <f t="shared" si="25"/>
        <v>0</v>
      </c>
      <c r="BL44" s="855">
        <f t="shared" si="26"/>
        <v>0</v>
      </c>
      <c r="BM44" s="857">
        <f t="shared" si="27"/>
        <v>0</v>
      </c>
      <c r="BN44" s="273">
        <f t="shared" si="28"/>
        <v>0</v>
      </c>
      <c r="BO44" s="857">
        <f t="shared" si="29"/>
        <v>0</v>
      </c>
      <c r="BP44" s="849">
        <f t="shared" si="30"/>
        <v>0</v>
      </c>
    </row>
    <row r="45" spans="1:68" ht="19.5" customHeight="1">
      <c r="A45" s="482"/>
      <c r="B45" s="1177"/>
      <c r="C45" s="77"/>
      <c r="D45" s="1850"/>
      <c r="E45" s="503"/>
      <c r="F45" s="1851"/>
      <c r="G45" s="1108"/>
      <c r="H45" s="1109"/>
      <c r="I45" s="1110"/>
      <c r="J45" s="1109"/>
      <c r="K45" s="1110"/>
      <c r="L45" s="1109"/>
      <c r="M45" s="1110"/>
      <c r="N45" s="1109"/>
      <c r="O45" s="1110"/>
      <c r="P45" s="1109"/>
      <c r="Q45" s="1110"/>
      <c r="R45" s="1108"/>
      <c r="S45" s="1714"/>
      <c r="T45" s="1114">
        <f t="shared" si="0"/>
        <v>0</v>
      </c>
      <c r="U45" s="1717">
        <f t="shared" si="1"/>
        <v>0</v>
      </c>
      <c r="V45" s="1852">
        <f t="shared" si="2"/>
        <v>0</v>
      </c>
      <c r="W45" s="576">
        <f t="shared" si="3"/>
        <v>0</v>
      </c>
      <c r="X45" s="846">
        <f t="shared" si="4"/>
        <v>0</v>
      </c>
      <c r="Y45" s="847">
        <f t="shared" si="5"/>
        <v>0</v>
      </c>
      <c r="Z45" s="847">
        <f t="shared" si="6"/>
        <v>0</v>
      </c>
      <c r="AA45" s="848">
        <f t="shared" si="7"/>
        <v>0</v>
      </c>
      <c r="AN45">
        <f t="shared" si="33"/>
        <v>0</v>
      </c>
      <c r="AO45">
        <f t="shared" si="8"/>
        <v>0</v>
      </c>
      <c r="AP45">
        <f t="shared" si="9"/>
        <v>0</v>
      </c>
      <c r="AQ45">
        <f t="shared" si="10"/>
        <v>0</v>
      </c>
      <c r="AR45">
        <f t="shared" si="11"/>
        <v>0</v>
      </c>
      <c r="AS45">
        <f t="shared" si="32"/>
        <v>0</v>
      </c>
      <c r="AT45">
        <f t="shared" si="12"/>
        <v>0</v>
      </c>
      <c r="AU45">
        <f t="shared" si="13"/>
        <v>0</v>
      </c>
      <c r="AV45">
        <f t="shared" si="14"/>
        <v>0</v>
      </c>
      <c r="AW45">
        <f t="shared" si="15"/>
        <v>0</v>
      </c>
      <c r="AX45">
        <f t="shared" si="16"/>
        <v>0</v>
      </c>
      <c r="AY45" s="1116">
        <f t="shared" si="17"/>
        <v>0</v>
      </c>
      <c r="AZ45">
        <f t="shared" si="18"/>
        <v>0</v>
      </c>
      <c r="BA45">
        <f t="shared" si="19"/>
        <v>0</v>
      </c>
      <c r="BE45" s="854">
        <f t="shared" si="20"/>
        <v>0</v>
      </c>
      <c r="BF45" s="273">
        <f>(AN45*Pricing!F$3+AO45*Pricing!G$3+AP45*Pricing!H$3+AQ45*Pricing!I$3+AR45*Pricing!J$3+AS45*Pricing!K$3+AT45*Pricing!L$3+AU45*Pricing!M$3+AV45*Pricing!N$3+AW45*Pricing!O$3)*IF(T$57="N",(1+V$57),1)</f>
        <v>0</v>
      </c>
      <c r="BG45" s="854">
        <f t="shared" si="21"/>
        <v>0</v>
      </c>
      <c r="BH45" s="273">
        <f t="shared" si="22"/>
        <v>0</v>
      </c>
      <c r="BI45" s="273">
        <f t="shared" si="23"/>
        <v>0</v>
      </c>
      <c r="BJ45" s="273">
        <f t="shared" si="24"/>
        <v>0</v>
      </c>
      <c r="BK45" s="273">
        <f t="shared" si="25"/>
        <v>0</v>
      </c>
      <c r="BL45" s="855">
        <f t="shared" si="26"/>
        <v>0</v>
      </c>
      <c r="BM45" s="857">
        <f t="shared" si="27"/>
        <v>0</v>
      </c>
      <c r="BN45" s="273">
        <f t="shared" si="28"/>
        <v>0</v>
      </c>
      <c r="BO45" s="857">
        <f t="shared" si="29"/>
        <v>0</v>
      </c>
      <c r="BP45" s="849">
        <f t="shared" si="30"/>
        <v>0</v>
      </c>
    </row>
    <row r="46" spans="1:68" ht="19.5" customHeight="1">
      <c r="A46" s="482"/>
      <c r="B46" s="1177"/>
      <c r="C46" s="77"/>
      <c r="D46" s="1850"/>
      <c r="E46" s="503"/>
      <c r="F46" s="1851"/>
      <c r="G46" s="1108"/>
      <c r="H46" s="1109"/>
      <c r="I46" s="1110"/>
      <c r="J46" s="1109"/>
      <c r="K46" s="1110"/>
      <c r="L46" s="1109"/>
      <c r="M46" s="1110"/>
      <c r="N46" s="1109"/>
      <c r="O46" s="1110"/>
      <c r="P46" s="1109"/>
      <c r="Q46" s="1110"/>
      <c r="R46" s="1108"/>
      <c r="S46" s="1714"/>
      <c r="T46" s="1114">
        <f t="shared" si="0"/>
        <v>0</v>
      </c>
      <c r="U46" s="1717">
        <f t="shared" si="1"/>
        <v>0</v>
      </c>
      <c r="V46" s="1852">
        <f t="shared" si="2"/>
        <v>0</v>
      </c>
      <c r="W46" s="576">
        <f t="shared" si="3"/>
        <v>0</v>
      </c>
      <c r="X46" s="846">
        <f t="shared" si="4"/>
        <v>0</v>
      </c>
      <c r="Y46" s="847">
        <f t="shared" si="5"/>
        <v>0</v>
      </c>
      <c r="Z46" s="847">
        <f t="shared" si="6"/>
        <v>0</v>
      </c>
      <c r="AA46" s="848">
        <f t="shared" si="7"/>
        <v>0</v>
      </c>
      <c r="AN46">
        <f t="shared" si="33"/>
        <v>0</v>
      </c>
      <c r="AO46">
        <f t="shared" si="8"/>
        <v>0</v>
      </c>
      <c r="AP46">
        <f t="shared" si="9"/>
        <v>0</v>
      </c>
      <c r="AQ46">
        <f t="shared" si="10"/>
        <v>0</v>
      </c>
      <c r="AR46">
        <f t="shared" si="11"/>
        <v>0</v>
      </c>
      <c r="AS46">
        <f t="shared" si="32"/>
        <v>0</v>
      </c>
      <c r="AT46">
        <f t="shared" si="12"/>
        <v>0</v>
      </c>
      <c r="AU46">
        <f t="shared" si="13"/>
        <v>0</v>
      </c>
      <c r="AV46">
        <f t="shared" si="14"/>
        <v>0</v>
      </c>
      <c r="AW46">
        <f t="shared" si="15"/>
        <v>0</v>
      </c>
      <c r="AX46">
        <f t="shared" si="16"/>
        <v>0</v>
      </c>
      <c r="AY46" s="1116">
        <f t="shared" si="17"/>
        <v>0</v>
      </c>
      <c r="AZ46">
        <f t="shared" si="18"/>
        <v>0</v>
      </c>
      <c r="BA46">
        <f t="shared" si="19"/>
        <v>0</v>
      </c>
      <c r="BE46" s="854">
        <f t="shared" si="20"/>
        <v>0</v>
      </c>
      <c r="BF46" s="273">
        <f>(AN46*Pricing!F$3+AO46*Pricing!G$3+AP46*Pricing!H$3+AQ46*Pricing!I$3+AR46*Pricing!J$3+AS46*Pricing!K$3+AT46*Pricing!L$3+AU46*Pricing!M$3+AV46*Pricing!N$3+AW46*Pricing!O$3)*IF(T$57="N",(1+V$57),1)</f>
        <v>0</v>
      </c>
      <c r="BG46" s="854">
        <f t="shared" si="21"/>
        <v>0</v>
      </c>
      <c r="BH46" s="273">
        <f t="shared" si="22"/>
        <v>0</v>
      </c>
      <c r="BI46" s="273">
        <f t="shared" si="23"/>
        <v>0</v>
      </c>
      <c r="BJ46" s="273">
        <f t="shared" si="24"/>
        <v>0</v>
      </c>
      <c r="BK46" s="273">
        <f t="shared" si="25"/>
        <v>0</v>
      </c>
      <c r="BL46" s="855">
        <f t="shared" si="26"/>
        <v>0</v>
      </c>
      <c r="BM46" s="857">
        <f t="shared" si="27"/>
        <v>0</v>
      </c>
      <c r="BN46" s="273">
        <f t="shared" si="28"/>
        <v>0</v>
      </c>
      <c r="BO46" s="857">
        <f t="shared" si="29"/>
        <v>0</v>
      </c>
      <c r="BP46" s="849">
        <f t="shared" si="30"/>
        <v>0</v>
      </c>
    </row>
    <row r="47" spans="1:68" ht="19.5" customHeight="1">
      <c r="A47" s="482"/>
      <c r="B47" s="1177"/>
      <c r="C47" s="77"/>
      <c r="D47" s="1850"/>
      <c r="E47" s="503"/>
      <c r="F47" s="1851"/>
      <c r="G47" s="1108"/>
      <c r="H47" s="1109"/>
      <c r="I47" s="1110"/>
      <c r="J47" s="1109"/>
      <c r="K47" s="1110"/>
      <c r="L47" s="1109"/>
      <c r="M47" s="1110"/>
      <c r="N47" s="1109"/>
      <c r="O47" s="1110"/>
      <c r="P47" s="1109"/>
      <c r="Q47" s="1110"/>
      <c r="R47" s="1108"/>
      <c r="S47" s="1714"/>
      <c r="T47" s="1114">
        <f t="shared" si="0"/>
        <v>0</v>
      </c>
      <c r="U47" s="1717">
        <f t="shared" si="1"/>
        <v>0</v>
      </c>
      <c r="V47" s="1852">
        <f t="shared" si="2"/>
        <v>0</v>
      </c>
      <c r="W47" s="576">
        <f t="shared" si="3"/>
        <v>0</v>
      </c>
      <c r="X47" s="846">
        <f t="shared" si="4"/>
        <v>0</v>
      </c>
      <c r="Y47" s="847">
        <f t="shared" si="5"/>
        <v>0</v>
      </c>
      <c r="Z47" s="847">
        <f t="shared" si="6"/>
        <v>0</v>
      </c>
      <c r="AA47" s="848">
        <f t="shared" si="7"/>
        <v>0</v>
      </c>
      <c r="AN47">
        <f t="shared" si="33"/>
        <v>0</v>
      </c>
      <c r="AO47">
        <f t="shared" si="8"/>
        <v>0</v>
      </c>
      <c r="AP47">
        <f t="shared" si="9"/>
        <v>0</v>
      </c>
      <c r="AQ47">
        <f t="shared" si="10"/>
        <v>0</v>
      </c>
      <c r="AR47">
        <f t="shared" si="11"/>
        <v>0</v>
      </c>
      <c r="AS47">
        <f t="shared" si="32"/>
        <v>0</v>
      </c>
      <c r="AT47">
        <f t="shared" si="12"/>
        <v>0</v>
      </c>
      <c r="AU47">
        <f t="shared" si="13"/>
        <v>0</v>
      </c>
      <c r="AV47">
        <f t="shared" si="14"/>
        <v>0</v>
      </c>
      <c r="AW47">
        <f t="shared" si="15"/>
        <v>0</v>
      </c>
      <c r="AX47">
        <f t="shared" si="16"/>
        <v>0</v>
      </c>
      <c r="AY47" s="1116">
        <f t="shared" si="17"/>
        <v>0</v>
      </c>
      <c r="AZ47">
        <f t="shared" si="18"/>
        <v>0</v>
      </c>
      <c r="BA47">
        <f t="shared" si="19"/>
        <v>0</v>
      </c>
      <c r="BE47" s="854">
        <f t="shared" si="20"/>
        <v>0</v>
      </c>
      <c r="BF47" s="273">
        <f>(AN47*Pricing!F$3+AO47*Pricing!G$3+AP47*Pricing!H$3+AQ47*Pricing!I$3+AR47*Pricing!J$3+AS47*Pricing!K$3+AT47*Pricing!L$3+AU47*Pricing!M$3+AV47*Pricing!N$3+AW47*Pricing!O$3)*IF(T$57="N",(1+V$57),1)</f>
        <v>0</v>
      </c>
      <c r="BG47" s="854">
        <f t="shared" si="21"/>
        <v>0</v>
      </c>
      <c r="BH47" s="273">
        <f t="shared" si="22"/>
        <v>0</v>
      </c>
      <c r="BI47" s="273">
        <f t="shared" si="23"/>
        <v>0</v>
      </c>
      <c r="BJ47" s="273">
        <f t="shared" si="24"/>
        <v>0</v>
      </c>
      <c r="BK47" s="273">
        <f t="shared" si="25"/>
        <v>0</v>
      </c>
      <c r="BL47" s="855">
        <f t="shared" si="26"/>
        <v>0</v>
      </c>
      <c r="BM47" s="857">
        <f t="shared" si="27"/>
        <v>0</v>
      </c>
      <c r="BN47" s="273">
        <f t="shared" si="28"/>
        <v>0</v>
      </c>
      <c r="BO47" s="857">
        <f t="shared" si="29"/>
        <v>0</v>
      </c>
      <c r="BP47" s="849">
        <f t="shared" si="30"/>
        <v>0</v>
      </c>
    </row>
    <row r="48" spans="1:68" ht="19.5" customHeight="1">
      <c r="A48" s="482"/>
      <c r="B48" s="1177"/>
      <c r="C48" s="77"/>
      <c r="D48" s="1850"/>
      <c r="E48" s="503"/>
      <c r="F48" s="1851"/>
      <c r="G48" s="1108"/>
      <c r="H48" s="1109"/>
      <c r="I48" s="1110"/>
      <c r="J48" s="1109"/>
      <c r="K48" s="1110"/>
      <c r="L48" s="1109"/>
      <c r="M48" s="1110"/>
      <c r="N48" s="1109"/>
      <c r="O48" s="1110"/>
      <c r="P48" s="1109"/>
      <c r="Q48" s="1110"/>
      <c r="R48" s="1108"/>
      <c r="S48" s="1714"/>
      <c r="T48" s="1114">
        <f t="shared" si="0"/>
        <v>0</v>
      </c>
      <c r="U48" s="1717">
        <f t="shared" si="1"/>
        <v>0</v>
      </c>
      <c r="V48" s="1852">
        <f t="shared" si="2"/>
        <v>0</v>
      </c>
      <c r="W48" s="576">
        <f t="shared" si="3"/>
        <v>0</v>
      </c>
      <c r="X48" s="846">
        <f t="shared" si="4"/>
        <v>0</v>
      </c>
      <c r="Y48" s="847">
        <f t="shared" si="5"/>
        <v>0</v>
      </c>
      <c r="Z48" s="847">
        <f t="shared" si="6"/>
        <v>0</v>
      </c>
      <c r="AA48" s="848">
        <f t="shared" si="7"/>
        <v>0</v>
      </c>
      <c r="AN48">
        <f t="shared" si="33"/>
        <v>0</v>
      </c>
      <c r="AO48">
        <f t="shared" si="8"/>
        <v>0</v>
      </c>
      <c r="AP48">
        <f t="shared" si="9"/>
        <v>0</v>
      </c>
      <c r="AQ48">
        <f t="shared" si="10"/>
        <v>0</v>
      </c>
      <c r="AR48">
        <f t="shared" si="11"/>
        <v>0</v>
      </c>
      <c r="AS48">
        <f t="shared" si="32"/>
        <v>0</v>
      </c>
      <c r="AT48">
        <f t="shared" si="12"/>
        <v>0</v>
      </c>
      <c r="AU48">
        <f t="shared" si="13"/>
        <v>0</v>
      </c>
      <c r="AV48">
        <f t="shared" si="14"/>
        <v>0</v>
      </c>
      <c r="AW48">
        <f t="shared" si="15"/>
        <v>0</v>
      </c>
      <c r="AX48">
        <f t="shared" si="16"/>
        <v>0</v>
      </c>
      <c r="AY48" s="1116">
        <f t="shared" si="17"/>
        <v>0</v>
      </c>
      <c r="AZ48">
        <f t="shared" si="18"/>
        <v>0</v>
      </c>
      <c r="BA48">
        <f t="shared" si="19"/>
        <v>0</v>
      </c>
      <c r="BE48" s="854">
        <f t="shared" si="20"/>
        <v>0</v>
      </c>
      <c r="BF48" s="273">
        <f>(AN48*Pricing!F$3+AO48*Pricing!G$3+AP48*Pricing!H$3+AQ48*Pricing!I$3+AR48*Pricing!J$3+AS48*Pricing!K$3+AT48*Pricing!L$3+AU48*Pricing!M$3+AV48*Pricing!N$3+AW48*Pricing!O$3)*IF(T$57="N",(1+V$57),1)</f>
        <v>0</v>
      </c>
      <c r="BG48" s="854">
        <f t="shared" si="21"/>
        <v>0</v>
      </c>
      <c r="BH48" s="273">
        <f t="shared" si="22"/>
        <v>0</v>
      </c>
      <c r="BI48" s="273">
        <f t="shared" si="23"/>
        <v>0</v>
      </c>
      <c r="BJ48" s="273">
        <f t="shared" si="24"/>
        <v>0</v>
      </c>
      <c r="BK48" s="273">
        <f t="shared" si="25"/>
        <v>0</v>
      </c>
      <c r="BL48" s="855">
        <f t="shared" si="26"/>
        <v>0</v>
      </c>
      <c r="BM48" s="857">
        <f t="shared" si="27"/>
        <v>0</v>
      </c>
      <c r="BN48" s="273">
        <f t="shared" si="28"/>
        <v>0</v>
      </c>
      <c r="BO48" s="857">
        <f t="shared" si="29"/>
        <v>0</v>
      </c>
      <c r="BP48" s="849">
        <f t="shared" si="30"/>
        <v>0</v>
      </c>
    </row>
    <row r="49" spans="1:68" ht="19.5" customHeight="1">
      <c r="A49" s="482"/>
      <c r="B49" s="1177"/>
      <c r="C49" s="77"/>
      <c r="D49" s="1850"/>
      <c r="E49" s="503"/>
      <c r="F49" s="1851"/>
      <c r="G49" s="1108"/>
      <c r="H49" s="1109"/>
      <c r="I49" s="1110"/>
      <c r="J49" s="1109"/>
      <c r="K49" s="1110"/>
      <c r="L49" s="1109"/>
      <c r="M49" s="1110"/>
      <c r="N49" s="1109"/>
      <c r="O49" s="1110"/>
      <c r="P49" s="1109"/>
      <c r="Q49" s="1110"/>
      <c r="R49" s="1108"/>
      <c r="S49" s="1714"/>
      <c r="T49" s="1114">
        <f t="shared" si="0"/>
        <v>0</v>
      </c>
      <c r="U49" s="1717">
        <f t="shared" si="1"/>
        <v>0</v>
      </c>
      <c r="V49" s="1852">
        <f t="shared" si="2"/>
        <v>0</v>
      </c>
      <c r="W49" s="576">
        <f t="shared" si="3"/>
        <v>0</v>
      </c>
      <c r="X49" s="846">
        <f t="shared" si="4"/>
        <v>0</v>
      </c>
      <c r="Y49" s="847">
        <f t="shared" si="5"/>
        <v>0</v>
      </c>
      <c r="Z49" s="847">
        <f t="shared" si="6"/>
        <v>0</v>
      </c>
      <c r="AA49" s="848">
        <f t="shared" si="7"/>
        <v>0</v>
      </c>
      <c r="AN49">
        <f t="shared" si="33"/>
        <v>0</v>
      </c>
      <c r="AO49">
        <f t="shared" si="8"/>
        <v>0</v>
      </c>
      <c r="AP49">
        <f t="shared" si="9"/>
        <v>0</v>
      </c>
      <c r="AQ49">
        <f t="shared" si="10"/>
        <v>0</v>
      </c>
      <c r="AR49">
        <f t="shared" si="11"/>
        <v>0</v>
      </c>
      <c r="AS49">
        <f t="shared" si="32"/>
        <v>0</v>
      </c>
      <c r="AT49">
        <f t="shared" si="12"/>
        <v>0</v>
      </c>
      <c r="AU49">
        <f t="shared" si="13"/>
        <v>0</v>
      </c>
      <c r="AV49">
        <f t="shared" si="14"/>
        <v>0</v>
      </c>
      <c r="AW49">
        <f t="shared" si="15"/>
        <v>0</v>
      </c>
      <c r="AX49">
        <f t="shared" si="16"/>
        <v>0</v>
      </c>
      <c r="AY49" s="1116">
        <f t="shared" si="17"/>
        <v>0</v>
      </c>
      <c r="AZ49">
        <f t="shared" si="18"/>
        <v>0</v>
      </c>
      <c r="BA49">
        <f t="shared" si="19"/>
        <v>0</v>
      </c>
      <c r="BE49" s="854">
        <f t="shared" si="20"/>
        <v>0</v>
      </c>
      <c r="BF49" s="273">
        <f>(AN49*Pricing!F$3+AO49*Pricing!G$3+AP49*Pricing!H$3+AQ49*Pricing!I$3+AR49*Pricing!J$3+AS49*Pricing!K$3+AT49*Pricing!L$3+AU49*Pricing!M$3+AV49*Pricing!N$3+AW49*Pricing!O$3)*IF(T$57="N",(1+V$57),1)</f>
        <v>0</v>
      </c>
      <c r="BG49" s="854">
        <f t="shared" si="21"/>
        <v>0</v>
      </c>
      <c r="BH49" s="273">
        <f t="shared" si="22"/>
        <v>0</v>
      </c>
      <c r="BI49" s="273">
        <f t="shared" si="23"/>
        <v>0</v>
      </c>
      <c r="BJ49" s="273">
        <f t="shared" si="24"/>
        <v>0</v>
      </c>
      <c r="BK49" s="273">
        <f t="shared" si="25"/>
        <v>0</v>
      </c>
      <c r="BL49" s="855">
        <f t="shared" si="26"/>
        <v>0</v>
      </c>
      <c r="BM49" s="857">
        <f t="shared" si="27"/>
        <v>0</v>
      </c>
      <c r="BN49" s="273">
        <f t="shared" si="28"/>
        <v>0</v>
      </c>
      <c r="BO49" s="857">
        <f t="shared" si="29"/>
        <v>0</v>
      </c>
      <c r="BP49" s="849">
        <f t="shared" si="30"/>
        <v>0</v>
      </c>
    </row>
    <row r="50" spans="1:68" ht="19.5" customHeight="1">
      <c r="A50" s="482"/>
      <c r="B50" s="1177"/>
      <c r="C50" s="77"/>
      <c r="D50" s="1850"/>
      <c r="E50" s="503"/>
      <c r="F50" s="1851"/>
      <c r="G50" s="1108"/>
      <c r="H50" s="1109"/>
      <c r="I50" s="1110"/>
      <c r="J50" s="1109"/>
      <c r="K50" s="1110"/>
      <c r="L50" s="1109"/>
      <c r="M50" s="1110"/>
      <c r="N50" s="1109"/>
      <c r="O50" s="1110"/>
      <c r="P50" s="1109"/>
      <c r="Q50" s="1110"/>
      <c r="R50" s="1108"/>
      <c r="S50" s="1714"/>
      <c r="T50" s="1114">
        <f t="shared" si="0"/>
        <v>0</v>
      </c>
      <c r="U50" s="1717">
        <f t="shared" si="1"/>
        <v>0</v>
      </c>
      <c r="V50" s="1852">
        <f t="shared" si="2"/>
        <v>0</v>
      </c>
      <c r="W50" s="576">
        <f t="shared" si="3"/>
        <v>0</v>
      </c>
      <c r="X50" s="846">
        <f t="shared" si="4"/>
        <v>0</v>
      </c>
      <c r="Y50" s="847">
        <f t="shared" si="5"/>
        <v>0</v>
      </c>
      <c r="Z50" s="847">
        <f t="shared" si="6"/>
        <v>0</v>
      </c>
      <c r="AA50" s="848">
        <f t="shared" si="7"/>
        <v>0</v>
      </c>
      <c r="AN50">
        <f t="shared" si="33"/>
        <v>0</v>
      </c>
      <c r="AO50">
        <f t="shared" si="8"/>
        <v>0</v>
      </c>
      <c r="AP50">
        <f t="shared" si="9"/>
        <v>0</v>
      </c>
      <c r="AQ50">
        <f t="shared" si="10"/>
        <v>0</v>
      </c>
      <c r="AR50">
        <f t="shared" si="11"/>
        <v>0</v>
      </c>
      <c r="AS50">
        <f t="shared" si="32"/>
        <v>0</v>
      </c>
      <c r="AT50">
        <f t="shared" si="12"/>
        <v>0</v>
      </c>
      <c r="AU50">
        <f t="shared" si="13"/>
        <v>0</v>
      </c>
      <c r="AV50">
        <f t="shared" si="14"/>
        <v>0</v>
      </c>
      <c r="AW50">
        <f t="shared" si="15"/>
        <v>0</v>
      </c>
      <c r="AX50">
        <f t="shared" si="16"/>
        <v>0</v>
      </c>
      <c r="AY50" s="1116">
        <f t="shared" si="17"/>
        <v>0</v>
      </c>
      <c r="AZ50">
        <f t="shared" si="18"/>
        <v>0</v>
      </c>
      <c r="BA50">
        <f t="shared" si="19"/>
        <v>0</v>
      </c>
      <c r="BE50" s="854">
        <f t="shared" si="20"/>
        <v>0</v>
      </c>
      <c r="BF50" s="273">
        <f>(AN50*Pricing!F$3+AO50*Pricing!G$3+AP50*Pricing!H$3+AQ50*Pricing!I$3+AR50*Pricing!J$3+AS50*Pricing!K$3+AT50*Pricing!L$3+AU50*Pricing!M$3+AV50*Pricing!N$3+AW50*Pricing!O$3)*IF(T$57="N",(1+V$57),1)</f>
        <v>0</v>
      </c>
      <c r="BG50" s="854">
        <f t="shared" si="21"/>
        <v>0</v>
      </c>
      <c r="BH50" s="273">
        <f t="shared" si="22"/>
        <v>0</v>
      </c>
      <c r="BI50" s="273">
        <f t="shared" si="23"/>
        <v>0</v>
      </c>
      <c r="BJ50" s="273">
        <f t="shared" si="24"/>
        <v>0</v>
      </c>
      <c r="BK50" s="273">
        <f t="shared" si="25"/>
        <v>0</v>
      </c>
      <c r="BL50" s="855">
        <f t="shared" si="26"/>
        <v>0</v>
      </c>
      <c r="BM50" s="857">
        <f t="shared" si="27"/>
        <v>0</v>
      </c>
      <c r="BN50" s="273">
        <f t="shared" si="28"/>
        <v>0</v>
      </c>
      <c r="BO50" s="857">
        <f t="shared" si="29"/>
        <v>0</v>
      </c>
      <c r="BP50" s="849">
        <f t="shared" si="30"/>
        <v>0</v>
      </c>
    </row>
    <row r="51" spans="1:68" ht="19.5" customHeight="1">
      <c r="A51" s="482"/>
      <c r="B51" s="1177"/>
      <c r="C51" s="77"/>
      <c r="D51" s="1850"/>
      <c r="E51" s="503"/>
      <c r="F51" s="1851"/>
      <c r="G51" s="1108"/>
      <c r="H51" s="1109"/>
      <c r="I51" s="1110"/>
      <c r="J51" s="1109"/>
      <c r="K51" s="1110"/>
      <c r="L51" s="1109"/>
      <c r="M51" s="1110"/>
      <c r="N51" s="1109"/>
      <c r="O51" s="1110"/>
      <c r="P51" s="1109"/>
      <c r="Q51" s="1110"/>
      <c r="R51" s="1108"/>
      <c r="S51" s="1714"/>
      <c r="T51" s="1114">
        <f t="shared" si="0"/>
        <v>0</v>
      </c>
      <c r="U51" s="1717">
        <f t="shared" si="1"/>
        <v>0</v>
      </c>
      <c r="V51" s="1852">
        <f t="shared" si="2"/>
        <v>0</v>
      </c>
      <c r="W51" s="576">
        <f t="shared" si="3"/>
        <v>0</v>
      </c>
      <c r="X51" s="846">
        <f t="shared" si="4"/>
        <v>0</v>
      </c>
      <c r="Y51" s="847">
        <f t="shared" si="5"/>
        <v>0</v>
      </c>
      <c r="Z51" s="847">
        <f t="shared" si="6"/>
        <v>0</v>
      </c>
      <c r="AA51" s="848">
        <f t="shared" si="7"/>
        <v>0</v>
      </c>
      <c r="AN51">
        <f t="shared" si="33"/>
        <v>0</v>
      </c>
      <c r="AO51">
        <f t="shared" si="8"/>
        <v>0</v>
      </c>
      <c r="AP51">
        <f t="shared" si="9"/>
        <v>0</v>
      </c>
      <c r="AQ51">
        <f t="shared" si="10"/>
        <v>0</v>
      </c>
      <c r="AR51">
        <f t="shared" si="11"/>
        <v>0</v>
      </c>
      <c r="AS51">
        <f t="shared" si="32"/>
        <v>0</v>
      </c>
      <c r="AT51">
        <f t="shared" si="12"/>
        <v>0</v>
      </c>
      <c r="AU51">
        <f t="shared" si="13"/>
        <v>0</v>
      </c>
      <c r="AV51">
        <f t="shared" si="14"/>
        <v>0</v>
      </c>
      <c r="AW51">
        <f t="shared" si="15"/>
        <v>0</v>
      </c>
      <c r="AX51">
        <f t="shared" si="16"/>
        <v>0</v>
      </c>
      <c r="AY51" s="1116">
        <f t="shared" si="17"/>
        <v>0</v>
      </c>
      <c r="AZ51">
        <f t="shared" si="18"/>
        <v>0</v>
      </c>
      <c r="BA51">
        <f t="shared" si="19"/>
        <v>0</v>
      </c>
      <c r="BE51" s="854">
        <f t="shared" si="20"/>
        <v>0</v>
      </c>
      <c r="BF51" s="273">
        <f>(AN51*Pricing!F$3+AO51*Pricing!G$3+AP51*Pricing!H$3+AQ51*Pricing!I$3+AR51*Pricing!J$3+AS51*Pricing!K$3+AT51*Pricing!L$3+AU51*Pricing!M$3+AV51*Pricing!N$3+AW51*Pricing!O$3)*IF(T$57="N",(1+V$57),1)</f>
        <v>0</v>
      </c>
      <c r="BG51" s="854">
        <f t="shared" si="21"/>
        <v>0</v>
      </c>
      <c r="BH51" s="273">
        <f t="shared" si="22"/>
        <v>0</v>
      </c>
      <c r="BI51" s="273">
        <f t="shared" si="23"/>
        <v>0</v>
      </c>
      <c r="BJ51" s="273">
        <f t="shared" si="24"/>
        <v>0</v>
      </c>
      <c r="BK51" s="273">
        <f t="shared" si="25"/>
        <v>0</v>
      </c>
      <c r="BL51" s="855">
        <f t="shared" si="26"/>
        <v>0</v>
      </c>
      <c r="BM51" s="857">
        <f t="shared" si="27"/>
        <v>0</v>
      </c>
      <c r="BN51" s="273">
        <f t="shared" si="28"/>
        <v>0</v>
      </c>
      <c r="BO51" s="857">
        <f t="shared" si="29"/>
        <v>0</v>
      </c>
      <c r="BP51" s="849">
        <f t="shared" si="30"/>
        <v>0</v>
      </c>
    </row>
    <row r="52" spans="1:68" ht="19.5" customHeight="1">
      <c r="A52" s="482"/>
      <c r="B52" s="1177"/>
      <c r="C52" s="77"/>
      <c r="D52" s="1850"/>
      <c r="E52" s="503"/>
      <c r="F52" s="1851"/>
      <c r="G52" s="1108"/>
      <c r="H52" s="1109"/>
      <c r="I52" s="1110"/>
      <c r="J52" s="1109"/>
      <c r="K52" s="1110"/>
      <c r="L52" s="1109"/>
      <c r="M52" s="1110"/>
      <c r="N52" s="1109"/>
      <c r="O52" s="1110"/>
      <c r="P52" s="1109"/>
      <c r="Q52" s="1110"/>
      <c r="R52" s="1108"/>
      <c r="S52" s="1714"/>
      <c r="T52" s="1114">
        <f t="shared" si="0"/>
        <v>0</v>
      </c>
      <c r="U52" s="1717">
        <f t="shared" si="1"/>
        <v>0</v>
      </c>
      <c r="V52" s="1852">
        <f t="shared" si="2"/>
        <v>0</v>
      </c>
      <c r="W52" s="576">
        <f t="shared" si="3"/>
        <v>0</v>
      </c>
      <c r="X52" s="846">
        <f t="shared" si="4"/>
        <v>0</v>
      </c>
      <c r="Y52" s="847">
        <f t="shared" si="5"/>
        <v>0</v>
      </c>
      <c r="Z52" s="847">
        <f t="shared" si="6"/>
        <v>0</v>
      </c>
      <c r="AA52" s="848">
        <f t="shared" si="7"/>
        <v>0</v>
      </c>
      <c r="AN52">
        <f t="shared" si="33"/>
        <v>0</v>
      </c>
      <c r="AO52">
        <f t="shared" si="8"/>
        <v>0</v>
      </c>
      <c r="AP52">
        <f t="shared" si="9"/>
        <v>0</v>
      </c>
      <c r="AQ52">
        <f t="shared" si="10"/>
        <v>0</v>
      </c>
      <c r="AR52">
        <f t="shared" si="11"/>
        <v>0</v>
      </c>
      <c r="AS52">
        <f t="shared" si="32"/>
        <v>0</v>
      </c>
      <c r="AT52">
        <f t="shared" si="12"/>
        <v>0</v>
      </c>
      <c r="AU52">
        <f t="shared" si="13"/>
        <v>0</v>
      </c>
      <c r="AV52">
        <f t="shared" si="14"/>
        <v>0</v>
      </c>
      <c r="AW52">
        <f t="shared" si="15"/>
        <v>0</v>
      </c>
      <c r="AX52">
        <f t="shared" si="16"/>
        <v>0</v>
      </c>
      <c r="AY52" s="1116">
        <f t="shared" si="17"/>
        <v>0</v>
      </c>
      <c r="AZ52">
        <f t="shared" si="18"/>
        <v>0</v>
      </c>
      <c r="BA52">
        <f t="shared" si="19"/>
        <v>0</v>
      </c>
      <c r="BE52" s="854">
        <f t="shared" si="20"/>
        <v>0</v>
      </c>
      <c r="BF52" s="273">
        <f>(AN52*Pricing!F$3+AO52*Pricing!G$3+AP52*Pricing!H$3+AQ52*Pricing!I$3+AR52*Pricing!J$3+AS52*Pricing!K$3+AT52*Pricing!L$3+AU52*Pricing!M$3+AV52*Pricing!N$3+AW52*Pricing!O$3)*IF(T$57="N",(1+V$57),1)</f>
        <v>0</v>
      </c>
      <c r="BG52" s="854">
        <f t="shared" si="21"/>
        <v>0</v>
      </c>
      <c r="BH52" s="273">
        <f t="shared" si="22"/>
        <v>0</v>
      </c>
      <c r="BI52" s="273">
        <f t="shared" si="23"/>
        <v>0</v>
      </c>
      <c r="BJ52" s="273">
        <f t="shared" si="24"/>
        <v>0</v>
      </c>
      <c r="BK52" s="273">
        <f t="shared" si="25"/>
        <v>0</v>
      </c>
      <c r="BL52" s="855">
        <f t="shared" si="26"/>
        <v>0</v>
      </c>
      <c r="BM52" s="857">
        <f t="shared" si="27"/>
        <v>0</v>
      </c>
      <c r="BN52" s="273">
        <f t="shared" si="28"/>
        <v>0</v>
      </c>
      <c r="BO52" s="857">
        <f t="shared" si="29"/>
        <v>0</v>
      </c>
      <c r="BP52" s="849">
        <f t="shared" si="30"/>
        <v>0</v>
      </c>
    </row>
    <row r="53" spans="1:68" ht="19.5" customHeight="1">
      <c r="A53" s="482"/>
      <c r="B53" s="1177"/>
      <c r="C53" s="77"/>
      <c r="D53" s="1850"/>
      <c r="E53" s="503"/>
      <c r="F53" s="1851"/>
      <c r="G53" s="1108"/>
      <c r="H53" s="1109"/>
      <c r="I53" s="1110"/>
      <c r="J53" s="1109"/>
      <c r="K53" s="1110"/>
      <c r="L53" s="1109"/>
      <c r="M53" s="1110"/>
      <c r="N53" s="1109"/>
      <c r="O53" s="1110"/>
      <c r="P53" s="1109"/>
      <c r="Q53" s="1110"/>
      <c r="R53" s="1108"/>
      <c r="S53" s="1714"/>
      <c r="T53" s="1114">
        <f t="shared" si="0"/>
        <v>0</v>
      </c>
      <c r="U53" s="1717">
        <f t="shared" si="1"/>
        <v>0</v>
      </c>
      <c r="V53" s="1852">
        <f t="shared" si="2"/>
        <v>0</v>
      </c>
      <c r="W53" s="576">
        <f t="shared" si="3"/>
        <v>0</v>
      </c>
      <c r="X53" s="1853">
        <f t="shared" si="4"/>
        <v>0</v>
      </c>
      <c r="Y53" s="1854">
        <f t="shared" si="5"/>
        <v>0</v>
      </c>
      <c r="Z53" s="1854">
        <f t="shared" si="6"/>
        <v>0</v>
      </c>
      <c r="AA53" s="1855">
        <f t="shared" si="7"/>
        <v>0</v>
      </c>
      <c r="AB53" s="18"/>
      <c r="AC53" s="18"/>
      <c r="AD53" s="18"/>
      <c r="AE53" s="18"/>
      <c r="AN53">
        <f t="shared" si="33"/>
        <v>0</v>
      </c>
      <c r="AO53">
        <f t="shared" si="8"/>
        <v>0</v>
      </c>
      <c r="AP53">
        <f t="shared" si="9"/>
        <v>0</v>
      </c>
      <c r="AQ53">
        <f t="shared" si="10"/>
        <v>0</v>
      </c>
      <c r="AR53">
        <f t="shared" si="11"/>
        <v>0</v>
      </c>
      <c r="AS53">
        <f t="shared" si="32"/>
        <v>0</v>
      </c>
      <c r="AT53">
        <f t="shared" si="12"/>
        <v>0</v>
      </c>
      <c r="AU53">
        <f t="shared" si="13"/>
        <v>0</v>
      </c>
      <c r="AV53">
        <f t="shared" si="14"/>
        <v>0</v>
      </c>
      <c r="AW53">
        <f t="shared" si="15"/>
        <v>0</v>
      </c>
      <c r="AX53">
        <f t="shared" si="16"/>
        <v>0</v>
      </c>
      <c r="AY53" s="1116">
        <f t="shared" si="17"/>
        <v>0</v>
      </c>
      <c r="AZ53">
        <f t="shared" si="18"/>
        <v>0</v>
      </c>
      <c r="BA53">
        <f t="shared" si="19"/>
        <v>0</v>
      </c>
      <c r="BE53" s="854">
        <f t="shared" si="20"/>
        <v>0</v>
      </c>
      <c r="BF53" s="273">
        <f>(AN53*Pricing!F$3+AO53*Pricing!G$3+AP53*Pricing!H$3+AQ53*Pricing!I$3+AR53*Pricing!J$3+AS53*Pricing!K$3+AT53*Pricing!L$3+AU53*Pricing!M$3+AV53*Pricing!N$3+AW53*Pricing!O$3)*IF(T$57="N",(1+V$57),1)</f>
        <v>0</v>
      </c>
      <c r="BG53" s="854">
        <f t="shared" si="21"/>
        <v>0</v>
      </c>
      <c r="BH53" s="273">
        <f t="shared" si="22"/>
        <v>0</v>
      </c>
      <c r="BI53" s="273">
        <f t="shared" si="23"/>
        <v>0</v>
      </c>
      <c r="BJ53" s="273">
        <f t="shared" si="24"/>
        <v>0</v>
      </c>
      <c r="BK53" s="273">
        <f t="shared" si="25"/>
        <v>0</v>
      </c>
      <c r="BL53" s="855">
        <f t="shared" si="26"/>
        <v>0</v>
      </c>
      <c r="BM53" s="857">
        <f t="shared" si="27"/>
        <v>0</v>
      </c>
      <c r="BN53" s="273">
        <f t="shared" si="28"/>
        <v>0</v>
      </c>
      <c r="BO53" s="857">
        <f t="shared" si="29"/>
        <v>0</v>
      </c>
      <c r="BP53" s="1856">
        <f t="shared" si="30"/>
        <v>0</v>
      </c>
    </row>
    <row r="54" spans="1:68" ht="19.5" customHeight="1">
      <c r="A54" s="589"/>
      <c r="B54" s="589"/>
      <c r="C54" s="589"/>
      <c r="D54" s="590">
        <f>SUM(D10:D53)</f>
        <v>68</v>
      </c>
      <c r="E54" s="3106" t="s">
        <v>1736</v>
      </c>
      <c r="F54" s="3106"/>
      <c r="G54" s="3106"/>
      <c r="H54" s="3106"/>
      <c r="I54" s="589" t="s">
        <v>1737</v>
      </c>
      <c r="J54" s="589"/>
      <c r="K54" s="3107">
        <f>IF(D58=0,0,D58/SUM(U10:U53))</f>
        <v>1459.0808471640078</v>
      </c>
      <c r="L54" s="3107"/>
      <c r="M54" s="589"/>
      <c r="N54" s="589"/>
      <c r="O54" s="3108" t="s">
        <v>1399</v>
      </c>
      <c r="P54" s="3108"/>
      <c r="Q54" s="3108"/>
      <c r="R54" s="3108"/>
      <c r="S54" s="589"/>
      <c r="T54" s="1123">
        <f>SUM(T10:T53)</f>
        <v>44825.916321299999</v>
      </c>
      <c r="U54" s="1857">
        <f>SUM(U10:U53)</f>
        <v>130</v>
      </c>
      <c r="V54" s="1858">
        <f>BP54</f>
        <v>189680.51013132095</v>
      </c>
      <c r="W54" s="1738"/>
      <c r="X54" s="846" t="str">
        <f>E54</f>
        <v>TOTAL COLUMNS</v>
      </c>
      <c r="Y54" s="847">
        <f>R54</f>
        <v>0</v>
      </c>
      <c r="Z54" s="847">
        <f>S54</f>
        <v>0</v>
      </c>
      <c r="AA54" s="848" t="str">
        <f>E54</f>
        <v>TOTAL COLUMNS</v>
      </c>
      <c r="AB54" s="18"/>
      <c r="AC54" s="18"/>
      <c r="AD54" s="18"/>
      <c r="AE54" s="18"/>
      <c r="AN54">
        <f t="shared" ref="AN54:BP54" si="34">SUM(AN10:AN53)</f>
        <v>0</v>
      </c>
      <c r="AO54">
        <f t="shared" si="34"/>
        <v>0</v>
      </c>
      <c r="AP54">
        <f t="shared" si="34"/>
        <v>0</v>
      </c>
      <c r="AQ54">
        <f t="shared" si="34"/>
        <v>0</v>
      </c>
      <c r="AR54">
        <f t="shared" si="34"/>
        <v>0</v>
      </c>
      <c r="AS54">
        <f t="shared" si="34"/>
        <v>0</v>
      </c>
      <c r="AT54">
        <f t="shared" si="34"/>
        <v>0</v>
      </c>
      <c r="AU54">
        <f t="shared" si="34"/>
        <v>130</v>
      </c>
      <c r="AV54">
        <f t="shared" si="34"/>
        <v>0</v>
      </c>
      <c r="AW54">
        <f t="shared" si="34"/>
        <v>0</v>
      </c>
      <c r="AX54">
        <f t="shared" si="34"/>
        <v>0</v>
      </c>
      <c r="AY54">
        <f t="shared" si="34"/>
        <v>44825.916321299999</v>
      </c>
      <c r="AZ54">
        <f t="shared" si="34"/>
        <v>6660</v>
      </c>
      <c r="BA54">
        <f t="shared" si="34"/>
        <v>13320</v>
      </c>
      <c r="BB54">
        <f t="shared" si="34"/>
        <v>0</v>
      </c>
      <c r="BC54">
        <f t="shared" si="34"/>
        <v>0</v>
      </c>
      <c r="BD54">
        <f t="shared" si="34"/>
        <v>0</v>
      </c>
      <c r="BE54" s="851">
        <f t="shared" si="34"/>
        <v>31540.635371574714</v>
      </c>
      <c r="BF54" s="852">
        <f t="shared" si="34"/>
        <v>24626.875</v>
      </c>
      <c r="BG54" s="851">
        <f t="shared" si="34"/>
        <v>3858</v>
      </c>
      <c r="BH54" s="852">
        <f t="shared" si="34"/>
        <v>28305</v>
      </c>
      <c r="BI54" s="852">
        <f t="shared" si="34"/>
        <v>1665</v>
      </c>
      <c r="BJ54" s="852">
        <f t="shared" si="34"/>
        <v>10085.831172292499</v>
      </c>
      <c r="BK54" s="852">
        <f t="shared" si="34"/>
        <v>0</v>
      </c>
      <c r="BL54" s="853">
        <f t="shared" si="34"/>
        <v>0</v>
      </c>
      <c r="BM54" s="1859">
        <f t="shared" si="34"/>
        <v>60664.853482676001</v>
      </c>
      <c r="BN54" s="852">
        <f t="shared" si="34"/>
        <v>0</v>
      </c>
      <c r="BO54" s="852">
        <f t="shared" si="34"/>
        <v>160746.1950265432</v>
      </c>
      <c r="BP54" s="852">
        <f t="shared" si="34"/>
        <v>189680.51013132095</v>
      </c>
    </row>
    <row r="55" spans="1:68" ht="19.5" customHeight="1">
      <c r="A55" s="626"/>
      <c r="B55" s="626"/>
      <c r="C55" s="626"/>
      <c r="D55" s="626"/>
      <c r="E55" s="626"/>
      <c r="F55" s="626"/>
      <c r="G55" s="626"/>
      <c r="H55" s="626"/>
      <c r="I55" s="626"/>
      <c r="J55" s="626"/>
      <c r="K55" s="626"/>
      <c r="L55" s="626"/>
      <c r="M55" s="626"/>
      <c r="N55" s="693"/>
      <c r="O55" s="2903" t="s">
        <v>1400</v>
      </c>
      <c r="P55" s="2903"/>
      <c r="Q55" s="2903"/>
      <c r="R55" s="2903"/>
      <c r="S55" s="626"/>
      <c r="T55" s="1860">
        <f>ROUNDUP(T54/2000,0)</f>
        <v>23</v>
      </c>
      <c r="U55" s="626"/>
      <c r="V55" s="1861">
        <f>V54-D58</f>
        <v>0</v>
      </c>
      <c r="W55" s="1093"/>
      <c r="X55" s="862">
        <f>E55</f>
        <v>0</v>
      </c>
      <c r="Y55" s="863">
        <f>R55</f>
        <v>0</v>
      </c>
      <c r="Z55" s="863">
        <f>S55</f>
        <v>0</v>
      </c>
      <c r="AA55" s="864">
        <f>E55</f>
        <v>0</v>
      </c>
      <c r="AB55" s="18"/>
      <c r="AC55" s="18"/>
      <c r="AD55" s="18"/>
      <c r="AE55" s="18"/>
      <c r="BE55" s="866">
        <f>N72+N73+N74</f>
        <v>31540.635371574714</v>
      </c>
      <c r="BF55" s="867">
        <f>N67+N68+N71</f>
        <v>0</v>
      </c>
      <c r="BG55" s="866">
        <f>N82</f>
        <v>3858</v>
      </c>
      <c r="BH55" s="867">
        <f>N83+N84+N85</f>
        <v>28305</v>
      </c>
      <c r="BI55" s="867">
        <f>N86</f>
        <v>1665</v>
      </c>
      <c r="BJ55" s="867">
        <f>N87</f>
        <v>10085.831172292499</v>
      </c>
      <c r="BK55" s="867">
        <f>N88</f>
        <v>0</v>
      </c>
      <c r="BL55" s="868">
        <f>N89</f>
        <v>0</v>
      </c>
      <c r="BM55" s="886">
        <f>N77+N78+N79+N80+L93+L99+N104+N105+N106+N107+N108+N109+W109+N95</f>
        <v>60664.853482676001</v>
      </c>
      <c r="BN55" s="867">
        <f>N110</f>
        <v>0</v>
      </c>
      <c r="BO55" s="867">
        <f>T58</f>
        <v>160746.19502654322</v>
      </c>
      <c r="BP55" s="867">
        <f>D58</f>
        <v>189680.510131321</v>
      </c>
    </row>
    <row r="56" spans="1:68" ht="19.5" customHeight="1">
      <c r="A56" s="888"/>
      <c r="B56" s="889"/>
      <c r="C56" s="890" t="s">
        <v>1261</v>
      </c>
      <c r="D56" s="2784">
        <v>0</v>
      </c>
      <c r="E56" s="2784"/>
      <c r="F56" s="889"/>
      <c r="G56" s="889"/>
      <c r="H56" s="889"/>
      <c r="I56" s="889"/>
      <c r="J56" s="889"/>
      <c r="K56" s="891"/>
      <c r="L56" s="889"/>
      <c r="M56" s="889"/>
      <c r="N56" s="889"/>
      <c r="O56" s="889"/>
      <c r="P56" s="889"/>
      <c r="Q56" s="889"/>
      <c r="R56" s="889"/>
      <c r="S56" s="889"/>
      <c r="T56" s="889"/>
      <c r="U56" s="889"/>
      <c r="V56" s="889"/>
      <c r="W56" s="894"/>
      <c r="Y56" s="1254"/>
      <c r="BE56" s="351">
        <f t="shared" ref="BE56:BP56" si="35">BE54-BE55</f>
        <v>0</v>
      </c>
      <c r="BF56" s="351">
        <f t="shared" si="35"/>
        <v>24626.875</v>
      </c>
      <c r="BG56" s="351">
        <f t="shared" si="35"/>
        <v>0</v>
      </c>
      <c r="BH56" s="351">
        <f t="shared" si="35"/>
        <v>0</v>
      </c>
      <c r="BI56" s="351">
        <f t="shared" si="35"/>
        <v>0</v>
      </c>
      <c r="BJ56" s="351">
        <f t="shared" si="35"/>
        <v>0</v>
      </c>
      <c r="BK56" s="351">
        <f t="shared" si="35"/>
        <v>0</v>
      </c>
      <c r="BL56" s="351">
        <f t="shared" si="35"/>
        <v>0</v>
      </c>
      <c r="BM56" s="351">
        <f t="shared" si="35"/>
        <v>0</v>
      </c>
      <c r="BN56" s="351">
        <f t="shared" si="35"/>
        <v>0</v>
      </c>
      <c r="BO56" s="351">
        <f t="shared" si="35"/>
        <v>0</v>
      </c>
      <c r="BP56" s="351">
        <f t="shared" si="35"/>
        <v>0</v>
      </c>
    </row>
    <row r="57" spans="1:68" ht="19.5" customHeight="1">
      <c r="A57" s="2785" t="s">
        <v>1738</v>
      </c>
      <c r="B57" s="2785"/>
      <c r="C57" s="2785"/>
      <c r="D57" s="2786" t="s">
        <v>982</v>
      </c>
      <c r="E57" s="2786"/>
      <c r="F57" s="2787" t="s">
        <v>1263</v>
      </c>
      <c r="G57" s="2787"/>
      <c r="H57" s="2787"/>
      <c r="I57" s="2788" t="s">
        <v>1264</v>
      </c>
      <c r="J57" s="2788"/>
      <c r="K57" s="2788"/>
      <c r="L57" s="2789" t="s">
        <v>1265</v>
      </c>
      <c r="M57" s="2789"/>
      <c r="N57" s="1058"/>
      <c r="O57" s="1059"/>
      <c r="P57" s="895"/>
      <c r="Q57" s="574" t="s">
        <v>1266</v>
      </c>
      <c r="S57" s="18" t="s">
        <v>1739</v>
      </c>
      <c r="T57" s="896" t="str">
        <f>Summary!P62</f>
        <v>N</v>
      </c>
      <c r="U57" s="793" t="s">
        <v>1268</v>
      </c>
      <c r="V57" s="1136">
        <f>Summary!R62</f>
        <v>8.2500000000000004E-2</v>
      </c>
      <c r="W57" s="898"/>
      <c r="Y57" s="1254"/>
    </row>
    <row r="58" spans="1:68" ht="19.5" customHeight="1">
      <c r="A58" s="899" t="s">
        <v>1269</v>
      </c>
      <c r="B58" s="3037">
        <f>IF(D54=0,0,D58/D54)</f>
        <v>2789.4192666370736</v>
      </c>
      <c r="C58" s="3037"/>
      <c r="D58" s="3003">
        <f>(T58-N110)*(1+L58)</f>
        <v>189680.510131321</v>
      </c>
      <c r="E58" s="3003"/>
      <c r="F58" s="1484">
        <f>IF(D58=0,0,G58/D58)</f>
        <v>0.15254237288135591</v>
      </c>
      <c r="G58" s="2867">
        <f>(D58-T58)</f>
        <v>28934.315104777779</v>
      </c>
      <c r="H58" s="2867"/>
      <c r="I58" s="2868">
        <f>IF(D54=0,0,T58/D54)</f>
        <v>2363.9146327432827</v>
      </c>
      <c r="J58" s="2868"/>
      <c r="K58" s="2868"/>
      <c r="L58" s="2941">
        <f>Summary!P59</f>
        <v>0.18</v>
      </c>
      <c r="M58" s="2941"/>
      <c r="N58" s="2941"/>
      <c r="O58" s="2941"/>
      <c r="P58" s="1137"/>
      <c r="Q58" s="902" t="s">
        <v>980</v>
      </c>
      <c r="T58" s="2942">
        <f>SUM(N67:O79)+SUM(N82:O89)+SUM(N92:O94)+SUM(N97:O102)+SUM(N104:O110)+W109+N80+SUM(K82:L89)+N95</f>
        <v>160746.19502654322</v>
      </c>
      <c r="U58" s="2942"/>
      <c r="W58" s="1862"/>
      <c r="Y58" s="1254"/>
    </row>
    <row r="59" spans="1:68" ht="19.5" customHeight="1">
      <c r="A59" s="904"/>
      <c r="B59" s="905"/>
      <c r="C59" s="1138" t="str">
        <f>IF(ROUND(D59,0)=0,"BINGO!!",IF(ROUND(D59,0)&lt;0,"To Low","T0 High"))</f>
        <v>T0 High</v>
      </c>
      <c r="D59" s="2943">
        <f>D58-D56</f>
        <v>189680.510131321</v>
      </c>
      <c r="E59" s="2943"/>
      <c r="F59" s="905"/>
      <c r="G59" s="905"/>
      <c r="H59" s="907" t="s">
        <v>1270</v>
      </c>
      <c r="I59" s="908"/>
      <c r="J59" s="2944"/>
      <c r="K59" s="2944"/>
      <c r="L59" s="909"/>
      <c r="M59" s="3109">
        <f>IF(J59&gt;0,(J59-D58)/(1+L58),0)</f>
        <v>0</v>
      </c>
      <c r="N59" s="3109"/>
      <c r="O59" s="905"/>
      <c r="P59" s="905"/>
      <c r="Q59" s="905"/>
      <c r="R59" s="905"/>
      <c r="S59" s="905"/>
      <c r="T59" s="2946">
        <f>BO54</f>
        <v>160746.1950265432</v>
      </c>
      <c r="U59" s="2946"/>
      <c r="V59" s="1863">
        <f>T58-T59</f>
        <v>0</v>
      </c>
      <c r="W59" s="913"/>
      <c r="Y59" s="1254"/>
      <c r="Z59" t="s">
        <v>1401</v>
      </c>
      <c r="AB59" t="s">
        <v>1402</v>
      </c>
    </row>
    <row r="60" spans="1:68" ht="19.5" customHeight="1">
      <c r="A60" s="626"/>
      <c r="B60" s="626"/>
      <c r="C60" s="626"/>
      <c r="D60" s="626"/>
      <c r="E60" s="626"/>
      <c r="F60" s="626"/>
      <c r="G60" s="626"/>
      <c r="H60" s="626"/>
      <c r="I60" s="626"/>
      <c r="J60" s="626"/>
      <c r="K60" s="626"/>
      <c r="L60" s="626"/>
      <c r="M60" s="626"/>
      <c r="N60" s="626"/>
      <c r="O60" s="626"/>
      <c r="P60" s="626"/>
      <c r="Q60" s="626"/>
      <c r="R60" s="626"/>
      <c r="S60" s="626"/>
      <c r="T60" s="626"/>
      <c r="U60" s="626"/>
      <c r="V60" s="626"/>
      <c r="W60" s="626"/>
      <c r="X60" s="168"/>
      <c r="Y60" s="1140" t="s">
        <v>1403</v>
      </c>
      <c r="Z60" s="1141">
        <v>458</v>
      </c>
      <c r="AA60" s="1142"/>
    </row>
    <row r="61" spans="1:68" ht="19.5" customHeight="1">
      <c r="A61" s="18" t="s">
        <v>1697</v>
      </c>
      <c r="B61" s="919"/>
      <c r="C61" s="1864"/>
      <c r="D61" s="919"/>
      <c r="E61" s="919"/>
      <c r="F61" s="919"/>
      <c r="G61" s="919"/>
      <c r="H61" s="1865"/>
      <c r="I61" s="919"/>
      <c r="J61" s="1865"/>
      <c r="K61" s="919"/>
      <c r="L61" s="919"/>
      <c r="M61" s="919"/>
      <c r="N61" s="2803" t="s">
        <v>721</v>
      </c>
      <c r="O61" s="2803"/>
      <c r="P61" s="1145" t="s">
        <v>1272</v>
      </c>
      <c r="Q61" s="626"/>
      <c r="R61" s="626" t="s">
        <v>1740</v>
      </c>
      <c r="S61" s="1093"/>
      <c r="T61" s="1866">
        <f>IF(K72=0,0,K72/(U54*13231.64))</f>
        <v>2.605986415388243E-2</v>
      </c>
      <c r="U61" s="626"/>
      <c r="V61" s="626"/>
      <c r="W61" s="626"/>
      <c r="Y61" s="928" t="s">
        <v>1406</v>
      </c>
      <c r="Z61" s="1148">
        <v>-5</v>
      </c>
      <c r="AA61" s="1149"/>
      <c r="AB61" s="1150">
        <f>Z60+Z61</f>
        <v>453</v>
      </c>
    </row>
    <row r="62" spans="1:68" ht="19.5" customHeight="1">
      <c r="A62" s="626"/>
      <c r="B62" s="919"/>
      <c r="C62" s="1864"/>
      <c r="D62" s="919"/>
      <c r="E62" s="919"/>
      <c r="F62" s="919"/>
      <c r="G62" s="919"/>
      <c r="H62" s="919"/>
      <c r="I62" s="1865"/>
      <c r="J62" s="1865"/>
      <c r="K62" s="919"/>
      <c r="L62" s="919"/>
      <c r="M62" s="919"/>
      <c r="N62" s="924" t="s">
        <v>1274</v>
      </c>
      <c r="O62" s="925"/>
      <c r="P62" s="926"/>
      <c r="Q62" s="1867" t="s">
        <v>1702</v>
      </c>
      <c r="R62" s="3110">
        <f>N83</f>
        <v>16650</v>
      </c>
      <c r="S62" s="3110"/>
      <c r="T62" s="1383">
        <v>17.5</v>
      </c>
      <c r="U62" s="1383">
        <f>T62*1.3</f>
        <v>22.75</v>
      </c>
      <c r="V62" s="1868">
        <f>R62/U62</f>
        <v>731.86813186813185</v>
      </c>
      <c r="W62" s="1869">
        <f>H83/V62</f>
        <v>9.1</v>
      </c>
      <c r="Y62" s="928" t="s">
        <v>1409</v>
      </c>
      <c r="Z62" s="1148">
        <v>460</v>
      </c>
      <c r="AA62" s="1149"/>
      <c r="AB62" s="1154">
        <f>Z62-Z60</f>
        <v>2</v>
      </c>
    </row>
    <row r="63" spans="1:68" ht="19.5" customHeight="1">
      <c r="A63" s="626"/>
      <c r="B63" s="919"/>
      <c r="C63" s="919"/>
      <c r="D63" s="919"/>
      <c r="E63" s="919"/>
      <c r="F63" s="919"/>
      <c r="G63" s="919"/>
      <c r="H63" s="919"/>
      <c r="I63" s="919"/>
      <c r="J63" s="919"/>
      <c r="K63" s="919"/>
      <c r="L63" s="919"/>
      <c r="M63" s="919"/>
      <c r="N63" s="932" t="s">
        <v>1276</v>
      </c>
      <c r="O63" s="933">
        <f>K72</f>
        <v>44825.916321299999</v>
      </c>
      <c r="P63" s="934">
        <f>N72</f>
        <v>31540.635371574714</v>
      </c>
      <c r="Q63" s="1870" t="s">
        <v>1703</v>
      </c>
      <c r="R63" s="2783">
        <f>N84</f>
        <v>8325</v>
      </c>
      <c r="S63" s="2783"/>
      <c r="T63" s="626">
        <v>17.5</v>
      </c>
      <c r="U63" s="626">
        <f>T63*1.3</f>
        <v>22.75</v>
      </c>
      <c r="V63" s="1871">
        <f>R63/U63</f>
        <v>365.93406593406593</v>
      </c>
      <c r="W63" s="1872">
        <f>K71/V63</f>
        <v>0</v>
      </c>
      <c r="X63" s="229"/>
      <c r="Y63" s="229"/>
      <c r="Z63" s="1157"/>
      <c r="AA63" s="715"/>
      <c r="AB63" s="1157"/>
    </row>
    <row r="64" spans="1:68" ht="19.5" customHeight="1">
      <c r="A64" s="626"/>
      <c r="B64" s="919"/>
      <c r="C64" s="919"/>
      <c r="D64" s="919"/>
      <c r="E64" s="919"/>
      <c r="F64" s="919"/>
      <c r="G64" s="919"/>
      <c r="H64" s="919"/>
      <c r="I64" s="919"/>
      <c r="J64" s="919"/>
      <c r="K64" s="919"/>
      <c r="L64" s="919"/>
      <c r="M64" s="919"/>
      <c r="N64" s="919"/>
      <c r="O64" s="919"/>
      <c r="P64" s="750"/>
      <c r="Q64" s="1873"/>
      <c r="R64" s="749"/>
      <c r="S64" s="749"/>
      <c r="T64" s="749"/>
      <c r="U64" s="749"/>
      <c r="V64" s="749"/>
      <c r="W64" s="1340"/>
      <c r="Y64" s="1254"/>
    </row>
    <row r="65" spans="1:28" ht="19.5" customHeight="1">
      <c r="A65" s="626"/>
      <c r="B65" s="626"/>
      <c r="C65" s="626"/>
      <c r="D65" s="626"/>
      <c r="E65" s="626"/>
      <c r="F65" s="626"/>
      <c r="G65" s="626"/>
      <c r="H65" s="626"/>
      <c r="I65" s="626"/>
      <c r="J65" s="626"/>
      <c r="K65" s="626"/>
      <c r="L65" s="626"/>
      <c r="M65" s="626"/>
      <c r="N65" s="626"/>
      <c r="O65" s="626"/>
      <c r="P65" s="626"/>
      <c r="Q65" s="626"/>
      <c r="R65" s="626"/>
      <c r="S65" s="693"/>
      <c r="T65" s="693"/>
      <c r="U65" s="693"/>
      <c r="V65" s="693"/>
      <c r="W65" s="626"/>
      <c r="X65" s="1874">
        <f>SUM(AA67:AA78)*(1+J72)</f>
        <v>0</v>
      </c>
      <c r="Y65" s="402" t="s">
        <v>612</v>
      </c>
      <c r="Z65" s="1254"/>
      <c r="AA65" s="1254"/>
    </row>
    <row r="66" spans="1:28" ht="33.75" customHeight="1">
      <c r="A66" s="941" t="s">
        <v>1280</v>
      </c>
      <c r="B66" s="1163" t="s">
        <v>1413</v>
      </c>
      <c r="C66" s="1875"/>
      <c r="D66" s="1875"/>
      <c r="E66" s="1875"/>
      <c r="F66" s="1875"/>
      <c r="G66" s="1875"/>
      <c r="H66" s="1875"/>
      <c r="I66" s="1875"/>
      <c r="J66" s="943" t="s">
        <v>1282</v>
      </c>
      <c r="K66" s="3111" t="str">
        <f>IF(ROUND(SUM(K67:K71),0)=U54,"Good","Missing Concrete!!!")</f>
        <v>Good</v>
      </c>
      <c r="L66" s="3111"/>
      <c r="M66" s="1875"/>
      <c r="N66" s="1875"/>
      <c r="O66" s="1876"/>
      <c r="P66" s="1166" t="s">
        <v>1284</v>
      </c>
      <c r="Q66" s="2806" t="s">
        <v>1283</v>
      </c>
      <c r="R66" s="2806"/>
      <c r="S66" s="988" t="s">
        <v>835</v>
      </c>
      <c r="T66" s="373"/>
      <c r="U66" s="1167" t="s">
        <v>518</v>
      </c>
      <c r="V66" s="373"/>
      <c r="W66" s="949"/>
      <c r="X66" s="1168" t="s">
        <v>1259</v>
      </c>
      <c r="Y66" s="1169" t="s">
        <v>1215</v>
      </c>
      <c r="Z66" s="1170" t="s">
        <v>1369</v>
      </c>
      <c r="AA66" s="1171" t="s">
        <v>1414</v>
      </c>
      <c r="AB66" s="1171" t="s">
        <v>1414</v>
      </c>
    </row>
    <row r="67" spans="1:28" ht="19.5" customHeight="1">
      <c r="A67" s="1791">
        <v>1</v>
      </c>
      <c r="B67" s="574" t="str">
        <f>IF(A67=1,Pricing!F$2,IF(A67=2,Pricing!G$2,IF(A67=3,Pricing!H$2,IF(A67=4,Pricing!I$2,IF(A67=5,Pricing!J$2,IF(A67=6,Pricing!K$2,IF(A67=7,Pricing!L$2,IF(A67=8,Pricing!M$2,IF(A67=9,Pricing!N$2,IF(A67=10,Pricing!O$2,0))))))))))</f>
        <v>3,000 PSI 5sk /Ash and Air</v>
      </c>
      <c r="C67" s="1549"/>
      <c r="D67" s="1549"/>
      <c r="E67" s="1549"/>
      <c r="F67" s="969">
        <f>IF(A67=1,Pricing!F$3,IF(A67=2,Pricing!G$3,IF(A67=3,Pricing!H$3,IF(A67=4,Pricing!I$3,IF(A67=5,Pricing!J$3,IF(A67=6,Pricing!K$3,IF(A67=7,Pricing!L$3,IF(A67=8,Pricing!M$3,IF(A67=9,Pricing!N$3,IF(A67=10,Pricing!O$3,0))))))))))</f>
        <v>134</v>
      </c>
      <c r="G67" s="18" t="s">
        <v>1285</v>
      </c>
      <c r="H67" s="2807"/>
      <c r="I67" s="2807"/>
      <c r="J67" s="2808">
        <v>0.04</v>
      </c>
      <c r="K67" s="3010">
        <f>IF(A67=1,AN$54,IF(A67=2,AO$54,IF(A67=3,AP$54,IF(A67=4,AQ$54,IF(A67=5,AR$54,IF(A67=6,AS$54,IF(A67=7,AT$54,IF(A67=8,AU$54,IF(A67=9,AV$54,IF(A67=10,AW$54))))))))))</f>
        <v>0</v>
      </c>
      <c r="L67" s="3010"/>
      <c r="M67" s="17" t="s">
        <v>1286</v>
      </c>
      <c r="N67" s="2810">
        <f>K67*F67*(IF(T$57="N",1+V$57,1))</f>
        <v>0</v>
      </c>
      <c r="O67" s="2810"/>
      <c r="P67" s="1172" t="s">
        <v>1069</v>
      </c>
      <c r="Q67" s="859" t="s">
        <v>1415</v>
      </c>
      <c r="R67" s="77"/>
      <c r="S67" s="1173">
        <v>0.5</v>
      </c>
      <c r="T67" s="77"/>
      <c r="U67" s="1174">
        <f>BE88</f>
        <v>0</v>
      </c>
      <c r="V67" s="77"/>
      <c r="W67" s="1175">
        <f>U67*S67</f>
        <v>0</v>
      </c>
      <c r="X67" s="142"/>
      <c r="Y67" s="143"/>
      <c r="Z67" s="144"/>
      <c r="AA67" s="145">
        <f t="shared" ref="AA67:AA78" si="36">X67*(Y67*Y67*0.04180884375)*Z67</f>
        <v>0</v>
      </c>
      <c r="AB67" s="145">
        <f t="shared" ref="AB67:AB78" si="37">Y67*(Z67*Z67*0.04180884375)*AA67</f>
        <v>0</v>
      </c>
    </row>
    <row r="68" spans="1:28" ht="19.5" customHeight="1">
      <c r="A68" s="1792">
        <v>2</v>
      </c>
      <c r="B68" s="574" t="str">
        <f>IF(A68=1,Pricing!F$2,IF(A68=2,Pricing!G$2,IF(A68=3,Pricing!H$2,IF(A68=4,Pricing!I$2,IF(A68=5,Pricing!J$2,IF(A68=6,Pricing!K$2,IF(A68=7,Pricing!L$2,IF(A68=8,Pricing!M$2,IF(A68=9,Pricing!N$2,IF(A68=10,Pricing!O$2,0))))))))))</f>
        <v>3,000 PSI / Ash no Air</v>
      </c>
      <c r="F68" s="969">
        <f>IF(A68=1,Pricing!F$3,IF(A68=2,Pricing!G$3,IF(A68=3,Pricing!H$3,IF(A68=4,Pricing!I$3,IF(A68=5,Pricing!J$3,IF(A68=6,Pricing!K$3,IF(A68=7,Pricing!L$3,IF(A68=8,Pricing!M$3,IF(A68=9,Pricing!N$3,IF(A68=10,Pricing!O$3,0))))))))))</f>
        <v>145</v>
      </c>
      <c r="G68" s="18" t="s">
        <v>1285</v>
      </c>
      <c r="H68" s="2807"/>
      <c r="I68" s="2807"/>
      <c r="J68" s="2808"/>
      <c r="K68" s="3010">
        <f>IF(A68=1,AN$54,IF(A68=2,AO$54,IF(A68=3,AP$54,IF(A68=4,AQ$54,IF(A68=5,AR$54,IF(A68=6,AS$54,IF(A68=7,AT$54,IF(A68=8,AU$54,IF(A68=9,AV$54,IF(A68=10,AW$54))))))))))</f>
        <v>0</v>
      </c>
      <c r="L68" s="3010"/>
      <c r="M68" s="17" t="s">
        <v>1286</v>
      </c>
      <c r="N68" s="2810">
        <f>K68*F68*(IF(T$57="N",1+V$57,1))</f>
        <v>0</v>
      </c>
      <c r="O68" s="2810"/>
      <c r="P68" s="1172" t="s">
        <v>1069</v>
      </c>
      <c r="Q68" s="859" t="s">
        <v>526</v>
      </c>
      <c r="R68" s="77"/>
      <c r="S68" s="1176">
        <f>H83*S67</f>
        <v>3330</v>
      </c>
      <c r="T68" s="1177" t="s">
        <v>1416</v>
      </c>
      <c r="U68" s="1174">
        <f>Pricing!Q4</f>
        <v>0.859375</v>
      </c>
      <c r="V68" s="77" t="s">
        <v>1417</v>
      </c>
      <c r="W68" s="1175">
        <f t="shared" ref="W68:W82" si="38">IF(T$57="Y",S68*U68,S68*U68*(1+V$57))</f>
        <v>3097.810546875</v>
      </c>
      <c r="X68" s="142"/>
      <c r="Y68" s="143"/>
      <c r="Z68" s="144"/>
      <c r="AA68" s="145">
        <f t="shared" si="36"/>
        <v>0</v>
      </c>
      <c r="AB68" s="145">
        <f t="shared" si="37"/>
        <v>0</v>
      </c>
    </row>
    <row r="69" spans="1:28" ht="19.5" customHeight="1">
      <c r="A69" s="1793">
        <v>8</v>
      </c>
      <c r="B69" s="574" t="str">
        <f>IF(A69=1,Pricing!F$2,IF(A69=2,Pricing!G$2,IF(A69=3,Pricing!H$2,IF(A69=4,Pricing!I$2,IF(A69=5,Pricing!J$2,IF(A69=6,Pricing!K$2,IF(A69=7,Pricing!L$2,IF(A69=8,Pricing!M$2,IF(A69=9,Pricing!N$2,IF(A69=10,Pricing!O$2,0))))))))))</f>
        <v>5,000 PSI / Ash no Air</v>
      </c>
      <c r="F69" s="969">
        <f>IF(A69=1,Pricing!F$3,IF(A69=2,Pricing!G$3,IF(A69=3,Pricing!H$3,IF(A69=4,Pricing!I$3,IF(A69=5,Pricing!J$3,IF(A69=6,Pricing!K$3,IF(A69=7,Pricing!L$3,IF(A69=8,Pricing!M$3,IF(A69=9,Pricing!N$3,IF(A69=10,Pricing!O$3,0))))))))))</f>
        <v>175</v>
      </c>
      <c r="G69" s="18" t="s">
        <v>1285</v>
      </c>
      <c r="H69" s="2807"/>
      <c r="I69" s="2807"/>
      <c r="J69" s="2808"/>
      <c r="K69" s="3010">
        <f>IF(A69=1,AN$54,IF(A69=2,AO$54,IF(A69=3,AP$54,IF(A69=4,AQ$54,IF(A69=5,AR$54,IF(A69=6,AS$54,IF(A69=7,AT$54,IF(A69=8,AU$54,IF(A69=9,AV$54,IF(A69=10,AW$54))))))))))</f>
        <v>130</v>
      </c>
      <c r="L69" s="3010"/>
      <c r="M69" s="17" t="s">
        <v>1286</v>
      </c>
      <c r="N69" s="2810">
        <f>K69*F69*(IF(T$57="N",1+V$57,1))</f>
        <v>24626.875</v>
      </c>
      <c r="O69" s="2810"/>
      <c r="P69" s="1172"/>
      <c r="Q69" s="859"/>
      <c r="R69" s="77"/>
      <c r="S69" s="1176"/>
      <c r="T69" s="1177"/>
      <c r="U69" s="1174"/>
      <c r="V69" s="77"/>
      <c r="W69" s="1175">
        <f t="shared" si="38"/>
        <v>0</v>
      </c>
      <c r="X69" s="142"/>
      <c r="Y69" s="143"/>
      <c r="Z69" s="144"/>
      <c r="AA69" s="145">
        <f t="shared" si="36"/>
        <v>0</v>
      </c>
      <c r="AB69" s="145">
        <f t="shared" si="37"/>
        <v>0</v>
      </c>
    </row>
    <row r="70" spans="1:28" ht="19.5" customHeight="1">
      <c r="A70" s="1793">
        <v>9</v>
      </c>
      <c r="B70" s="574" t="str">
        <f>IF(A70=1,Pricing!F$2,IF(A70=2,Pricing!G$2,IF(A70=3,Pricing!H$2,IF(A70=4,Pricing!I$2,IF(A70=5,Pricing!J$2,IF(A70=6,Pricing!K$2,IF(A70=7,Pricing!L$2,IF(A70=8,Pricing!M$2,IF(A70=9,Pricing!N$2,IF(A70=10,Pricing!O$2,0))))))))))</f>
        <v>3,000 PSI /Air and intergral Color</v>
      </c>
      <c r="F70" s="969">
        <f>IF(A70=1,Pricing!F$3,IF(A70=2,Pricing!G$3,IF(A70=3,Pricing!H$3,IF(A70=4,Pricing!I$3,IF(A70=5,Pricing!J$3,IF(A70=6,Pricing!K$3,IF(A70=7,Pricing!L$3,IF(A70=8,Pricing!M$3,IF(A70=9,Pricing!N$3,IF(A70=10,Pricing!O$3,0))))))))))</f>
        <v>250</v>
      </c>
      <c r="G70" s="18" t="s">
        <v>1285</v>
      </c>
      <c r="H70" s="2807"/>
      <c r="I70" s="2807"/>
      <c r="J70" s="2808"/>
      <c r="K70" s="3010">
        <f>IF(A70=1,AN$54,IF(A70=2,AO$54,IF(A70=3,AP$54,IF(A70=4,AQ$54,IF(A70=5,AR$54,IF(A70=6,AS$54,IF(A70=7,AT$54,IF(A70=8,AU$54,IF(A70=9,AV$54,IF(A70=10,AW$54))))))))))</f>
        <v>0</v>
      </c>
      <c r="L70" s="3010"/>
      <c r="M70" s="17" t="s">
        <v>1286</v>
      </c>
      <c r="N70" s="2810">
        <f>K70*F70*(IF(T$57="N",1+V$57,1))</f>
        <v>0</v>
      </c>
      <c r="O70" s="2810"/>
      <c r="P70" s="1172"/>
      <c r="Q70" s="859"/>
      <c r="R70" s="77"/>
      <c r="S70" s="1176"/>
      <c r="T70" s="1177"/>
      <c r="U70" s="1174"/>
      <c r="V70" s="77"/>
      <c r="W70" s="1175">
        <f t="shared" si="38"/>
        <v>0</v>
      </c>
      <c r="X70" s="142"/>
      <c r="Y70" s="143"/>
      <c r="Z70" s="144"/>
      <c r="AA70" s="145">
        <f t="shared" si="36"/>
        <v>0</v>
      </c>
      <c r="AB70" s="145">
        <f t="shared" si="37"/>
        <v>0</v>
      </c>
    </row>
    <row r="71" spans="1:28" ht="19.5" customHeight="1">
      <c r="A71" s="1794">
        <v>10</v>
      </c>
      <c r="B71" s="966" t="str">
        <f>IF(A71=1,Pricing!F$2,IF(A71=2,Pricing!G$2,IF(A71=3,Pricing!H$2,IF(A71=4,Pricing!I$2,IF(A71=5,Pricing!J$2,IF(A71=6,Pricing!K$2,IF(A71=7,Pricing!L$2,IF(A71=8,Pricing!M$2,IF(A71=9,Pricing!N$2,IF(A71=10,Pricing!O$2,0))))))))))</f>
        <v xml:space="preserve">3,000 PSI SideWalks </v>
      </c>
      <c r="C71" s="373"/>
      <c r="D71" s="373"/>
      <c r="E71" s="373"/>
      <c r="F71" s="1180">
        <f>IF(A71=1,Pricing!F$3,IF(A71=2,Pricing!G$3,IF(A71=3,Pricing!H$3,IF(A71=4,Pricing!I$3,IF(A71=5,Pricing!J$3,IF(A71=6,Pricing!K$3,IF(A71=7,Pricing!L$3,IF(A71=8,Pricing!M$3,IF(A71=9,Pricing!N$3,IF(A71=10,Pricing!O$3,0))))))))))</f>
        <v>134</v>
      </c>
      <c r="G71" s="373" t="s">
        <v>1285</v>
      </c>
      <c r="H71" s="2807"/>
      <c r="I71" s="2807"/>
      <c r="J71" s="2808"/>
      <c r="K71" s="3010">
        <f>IF(A71=1,AN$54,IF(A71=2,AO$54,IF(A71=3,AP$54,IF(A71=4,AQ$54,IF(A71=5,AR$54,IF(A71=6,AS$54,IF(A71=7,AT$54,IF(A71=8,AU$54,IF(A71=9,AV$54,IF(A71=10,AW$54))))))))))</f>
        <v>0</v>
      </c>
      <c r="L71" s="3010"/>
      <c r="M71" s="967" t="s">
        <v>1286</v>
      </c>
      <c r="N71" s="2810">
        <f>K71*F71*(IF(T$57="N",1+V$57,1))</f>
        <v>0</v>
      </c>
      <c r="O71" s="2810"/>
      <c r="P71" s="1172" t="s">
        <v>1069</v>
      </c>
      <c r="Q71" s="859" t="s">
        <v>534</v>
      </c>
      <c r="R71" s="77"/>
      <c r="S71" s="1176">
        <f>S73</f>
        <v>0</v>
      </c>
      <c r="T71" s="1177" t="s">
        <v>1416</v>
      </c>
      <c r="U71" s="1174">
        <f>Pricing!Q5</f>
        <v>1.4453125</v>
      </c>
      <c r="V71" s="77" t="s">
        <v>1417</v>
      </c>
      <c r="W71" s="1175">
        <f t="shared" si="38"/>
        <v>0</v>
      </c>
      <c r="X71" s="142"/>
      <c r="Y71" s="143"/>
      <c r="Z71" s="144"/>
      <c r="AA71" s="145">
        <f t="shared" si="36"/>
        <v>0</v>
      </c>
      <c r="AB71" s="145">
        <f t="shared" si="37"/>
        <v>0</v>
      </c>
    </row>
    <row r="72" spans="1:28" ht="19.5" customHeight="1">
      <c r="A72" s="1877" t="str">
        <f>Summary!V60</f>
        <v>Import</v>
      </c>
      <c r="B72" s="963" t="s">
        <v>1287</v>
      </c>
      <c r="F72" s="969">
        <f>Pricing!D23</f>
        <v>0.65</v>
      </c>
      <c r="G72" s="18" t="s">
        <v>555</v>
      </c>
      <c r="H72" s="2811"/>
      <c r="I72" s="2811"/>
      <c r="J72" s="970">
        <v>0.1</v>
      </c>
      <c r="K72" s="2957">
        <f>T54</f>
        <v>44825.916321299999</v>
      </c>
      <c r="L72" s="2957"/>
      <c r="M72" s="18" t="s">
        <v>1288</v>
      </c>
      <c r="N72" s="2813">
        <f>F72*K72*(IF(T57="N",1+V57,1))</f>
        <v>31540.635371574714</v>
      </c>
      <c r="O72" s="2813"/>
      <c r="P72" s="1172" t="s">
        <v>1069</v>
      </c>
      <c r="Q72" s="859" t="s">
        <v>536</v>
      </c>
      <c r="R72" s="77"/>
      <c r="S72" s="1176"/>
      <c r="T72" s="1177" t="s">
        <v>1416</v>
      </c>
      <c r="U72" s="1174">
        <f>Pricing!Q6</f>
        <v>1.171875</v>
      </c>
      <c r="V72" s="77" t="s">
        <v>1417</v>
      </c>
      <c r="W72" s="1175">
        <f t="shared" si="38"/>
        <v>0</v>
      </c>
      <c r="X72" s="142"/>
      <c r="Y72" s="143"/>
      <c r="Z72" s="144"/>
      <c r="AA72" s="145">
        <f t="shared" si="36"/>
        <v>0</v>
      </c>
      <c r="AB72" s="145">
        <f t="shared" si="37"/>
        <v>0</v>
      </c>
    </row>
    <row r="73" spans="1:28" ht="19.5" customHeight="1">
      <c r="A73" s="574"/>
      <c r="B73" s="963"/>
      <c r="F73" s="1182">
        <f>Pricing!F6</f>
        <v>0</v>
      </c>
      <c r="G73" s="18" t="s">
        <v>600</v>
      </c>
      <c r="H73" s="2814"/>
      <c r="I73" s="2814"/>
      <c r="J73" s="1184">
        <v>0.05</v>
      </c>
      <c r="K73" s="3010"/>
      <c r="L73" s="3010"/>
      <c r="M73" s="18" t="s">
        <v>1418</v>
      </c>
      <c r="N73" s="2810">
        <f>K73*F73*(IF(T57="N",1+V57,1))*(J73+1)</f>
        <v>0</v>
      </c>
      <c r="O73" s="2810"/>
      <c r="P73" s="1172" t="s">
        <v>1069</v>
      </c>
      <c r="Q73" s="859" t="s">
        <v>538</v>
      </c>
      <c r="R73" s="77"/>
      <c r="S73" s="1176">
        <f>ROUNDUP(AK46*0.5,0)</f>
        <v>0</v>
      </c>
      <c r="T73" s="1177" t="s">
        <v>1416</v>
      </c>
      <c r="U73" s="1174">
        <f>Pricing!Q7</f>
        <v>1.09375</v>
      </c>
      <c r="V73" s="77" t="s">
        <v>1417</v>
      </c>
      <c r="W73" s="1175">
        <f t="shared" si="38"/>
        <v>0</v>
      </c>
      <c r="X73" s="1185"/>
      <c r="Y73" s="1186"/>
      <c r="Z73" s="1187"/>
      <c r="AA73" s="1188">
        <f t="shared" si="36"/>
        <v>0</v>
      </c>
      <c r="AB73" s="1188">
        <f t="shared" si="37"/>
        <v>0</v>
      </c>
    </row>
    <row r="74" spans="1:28" ht="19.5" customHeight="1">
      <c r="A74" s="574"/>
      <c r="B74" s="966"/>
      <c r="C74" s="373"/>
      <c r="D74" s="373"/>
      <c r="E74" s="373"/>
      <c r="F74" s="1180">
        <v>0.35</v>
      </c>
      <c r="G74" s="373" t="s">
        <v>595</v>
      </c>
      <c r="H74" s="373" t="s">
        <v>1291</v>
      </c>
      <c r="I74" s="2960">
        <v>0</v>
      </c>
      <c r="J74" s="2960"/>
      <c r="K74" s="2961"/>
      <c r="L74" s="2961"/>
      <c r="M74" s="373" t="s">
        <v>1418</v>
      </c>
      <c r="N74" s="2815">
        <f>IF(M53="y",IF(I74=0,K74*F74,I74),0)*(IF(S$81="N",1+U$81,1))</f>
        <v>0</v>
      </c>
      <c r="O74" s="2815"/>
      <c r="P74" s="1172" t="s">
        <v>1069</v>
      </c>
      <c r="Q74" s="859" t="s">
        <v>540</v>
      </c>
      <c r="R74" s="77"/>
      <c r="S74" s="1176">
        <f>H83/32*2*S67</f>
        <v>208.125</v>
      </c>
      <c r="T74" s="77" t="s">
        <v>1420</v>
      </c>
      <c r="U74" s="1174">
        <f>Pricing!Q8</f>
        <v>74.75</v>
      </c>
      <c r="V74" s="77" t="s">
        <v>541</v>
      </c>
      <c r="W74" s="1175">
        <f t="shared" si="38"/>
        <v>16840.824609374999</v>
      </c>
      <c r="X74" s="142"/>
      <c r="Y74" s="143"/>
      <c r="Z74" s="144"/>
      <c r="AA74" s="145">
        <f t="shared" si="36"/>
        <v>0</v>
      </c>
      <c r="AB74" s="145">
        <f t="shared" si="37"/>
        <v>0</v>
      </c>
    </row>
    <row r="75" spans="1:28" ht="19.5" customHeight="1">
      <c r="A75" s="1087"/>
      <c r="B75" s="17" t="s">
        <v>1421</v>
      </c>
      <c r="F75" s="1191">
        <f>Pricing!D19</f>
        <v>25</v>
      </c>
      <c r="G75" s="18" t="s">
        <v>1285</v>
      </c>
      <c r="H75" s="2816"/>
      <c r="I75" s="2816"/>
      <c r="J75" s="2808">
        <v>0.05</v>
      </c>
      <c r="K75" s="2832">
        <f>AH46</f>
        <v>0</v>
      </c>
      <c r="L75" s="2832"/>
      <c r="M75" s="18" t="s">
        <v>1286</v>
      </c>
      <c r="N75" s="2958">
        <f>K75*F75*IF(R23="N",1+C23,1)</f>
        <v>0</v>
      </c>
      <c r="O75" s="2958"/>
      <c r="P75" s="1172" t="s">
        <v>1069</v>
      </c>
      <c r="Q75" s="859" t="s">
        <v>1422</v>
      </c>
      <c r="R75" s="77"/>
      <c r="S75" s="1176">
        <f>ROUNDUP(D54/2/25,0)</f>
        <v>2</v>
      </c>
      <c r="T75" s="77" t="s">
        <v>1423</v>
      </c>
      <c r="U75" s="1174">
        <f>Pricing!Q15</f>
        <v>24</v>
      </c>
      <c r="V75" s="77" t="s">
        <v>1300</v>
      </c>
      <c r="W75" s="1175">
        <f t="shared" si="38"/>
        <v>51.96</v>
      </c>
      <c r="X75" s="142"/>
      <c r="Y75" s="143"/>
      <c r="Z75" s="144"/>
      <c r="AA75" s="145">
        <f t="shared" si="36"/>
        <v>0</v>
      </c>
      <c r="AB75" s="145">
        <f t="shared" si="37"/>
        <v>0</v>
      </c>
    </row>
    <row r="76" spans="1:28" ht="19.5" customHeight="1">
      <c r="A76" s="574"/>
      <c r="B76" s="987" t="s">
        <v>1424</v>
      </c>
      <c r="C76" s="373"/>
      <c r="D76" s="1192"/>
      <c r="E76" s="373"/>
      <c r="F76" s="1193">
        <v>15</v>
      </c>
      <c r="G76" s="373" t="s">
        <v>1285</v>
      </c>
      <c r="H76" s="2816"/>
      <c r="I76" s="2816"/>
      <c r="J76" s="2808"/>
      <c r="K76" s="2961"/>
      <c r="L76" s="2961"/>
      <c r="M76" s="373" t="s">
        <v>1418</v>
      </c>
      <c r="N76" s="3048">
        <f>K76*F76</f>
        <v>0</v>
      </c>
      <c r="O76" s="3048"/>
      <c r="P76" s="1172" t="s">
        <v>1069</v>
      </c>
      <c r="Q76" s="859" t="s">
        <v>561</v>
      </c>
      <c r="R76" s="77"/>
      <c r="S76" s="1176">
        <f>ROUNDUP(H83/1800,0)</f>
        <v>4</v>
      </c>
      <c r="T76" s="77" t="s">
        <v>1425</v>
      </c>
      <c r="U76" s="1174">
        <f>Pricing!Q16</f>
        <v>68.2</v>
      </c>
      <c r="V76" s="77" t="s">
        <v>562</v>
      </c>
      <c r="W76" s="1175">
        <f t="shared" si="38"/>
        <v>295.30600000000004</v>
      </c>
      <c r="X76" s="142"/>
      <c r="Y76" s="143"/>
      <c r="Z76" s="144"/>
      <c r="AA76" s="145">
        <f t="shared" si="36"/>
        <v>0</v>
      </c>
      <c r="AB76" s="145">
        <f t="shared" si="37"/>
        <v>0</v>
      </c>
    </row>
    <row r="77" spans="1:28" ht="19.5" customHeight="1">
      <c r="A77" s="574"/>
      <c r="B77" s="17"/>
      <c r="D77" s="793"/>
      <c r="F77" s="1194">
        <v>0.17</v>
      </c>
      <c r="G77" s="18" t="s">
        <v>600</v>
      </c>
      <c r="H77" s="2816"/>
      <c r="I77" s="2816"/>
      <c r="J77" s="3013">
        <v>0.1</v>
      </c>
      <c r="K77" s="3010"/>
      <c r="L77" s="3010"/>
      <c r="M77" s="18" t="s">
        <v>1418</v>
      </c>
      <c r="N77" s="2792">
        <f>F77*K77</f>
        <v>0</v>
      </c>
      <c r="O77" s="2792"/>
      <c r="P77" s="1172" t="s">
        <v>1069</v>
      </c>
      <c r="Q77" s="859" t="s">
        <v>563</v>
      </c>
      <c r="R77" s="77"/>
      <c r="S77" s="1176">
        <f>ROUNDUP(H83/3000,0)</f>
        <v>3</v>
      </c>
      <c r="T77" s="77" t="s">
        <v>1425</v>
      </c>
      <c r="U77" s="1174">
        <f>Pricing!Q17</f>
        <v>68.2</v>
      </c>
      <c r="V77" s="77" t="s">
        <v>562</v>
      </c>
      <c r="W77" s="1175">
        <f t="shared" si="38"/>
        <v>221.47950000000003</v>
      </c>
      <c r="X77" s="1195"/>
      <c r="Y77" s="143"/>
      <c r="Z77" s="144"/>
      <c r="AA77" s="145">
        <f t="shared" si="36"/>
        <v>0</v>
      </c>
      <c r="AB77" s="145">
        <f t="shared" si="37"/>
        <v>0</v>
      </c>
    </row>
    <row r="78" spans="1:28" ht="19.5" customHeight="1">
      <c r="A78" s="2955" t="s">
        <v>1427</v>
      </c>
      <c r="B78" s="2955"/>
      <c r="C78" s="2955"/>
      <c r="D78" s="793" t="s">
        <v>1428</v>
      </c>
      <c r="E78" s="1196" t="s">
        <v>1047</v>
      </c>
      <c r="F78" s="1197">
        <v>1.75</v>
      </c>
      <c r="G78" s="18" t="s">
        <v>600</v>
      </c>
      <c r="H78" s="2816"/>
      <c r="I78" s="2816"/>
      <c r="J78" s="3013"/>
      <c r="K78" s="3010">
        <f>IF(E78="Y",D54*(1+J77),0)</f>
        <v>0</v>
      </c>
      <c r="L78" s="3010"/>
      <c r="M78" s="18" t="s">
        <v>1259</v>
      </c>
      <c r="N78" s="2792">
        <f>K78*F78</f>
        <v>0</v>
      </c>
      <c r="O78" s="2792"/>
      <c r="P78" s="1172" t="s">
        <v>1069</v>
      </c>
      <c r="Q78" s="859" t="s">
        <v>564</v>
      </c>
      <c r="R78" s="77"/>
      <c r="S78" s="1176">
        <f>S77</f>
        <v>3</v>
      </c>
      <c r="T78" s="77" t="s">
        <v>1425</v>
      </c>
      <c r="U78" s="1174">
        <f>Pricing!Q18</f>
        <v>68.2</v>
      </c>
      <c r="V78" s="77" t="s">
        <v>562</v>
      </c>
      <c r="W78" s="1175">
        <f t="shared" si="38"/>
        <v>221.47950000000003</v>
      </c>
      <c r="X78" s="1185"/>
      <c r="Y78" s="1186"/>
      <c r="Z78" s="1187"/>
      <c r="AA78" s="1188">
        <f t="shared" si="36"/>
        <v>0</v>
      </c>
      <c r="AB78" s="1188">
        <f t="shared" si="37"/>
        <v>0</v>
      </c>
    </row>
    <row r="79" spans="1:28" ht="19.5" customHeight="1">
      <c r="A79" s="2983" t="s">
        <v>1707</v>
      </c>
      <c r="B79" s="2983"/>
      <c r="C79" s="2983"/>
      <c r="D79" s="1878" t="s">
        <v>1428</v>
      </c>
      <c r="E79" s="1198" t="s">
        <v>1047</v>
      </c>
      <c r="F79" s="1199">
        <v>1.8</v>
      </c>
      <c r="G79" s="373" t="s">
        <v>1430</v>
      </c>
      <c r="H79" s="2816"/>
      <c r="I79" s="2816"/>
      <c r="J79" s="3013"/>
      <c r="K79" s="3011">
        <f>IF(E79="Y",,0)*D54*2*(1+J77)</f>
        <v>0</v>
      </c>
      <c r="L79" s="3011"/>
      <c r="M79" s="373" t="s">
        <v>1259</v>
      </c>
      <c r="N79" s="2835">
        <f>K79*F79</f>
        <v>0</v>
      </c>
      <c r="O79" s="2835"/>
      <c r="P79" s="1172" t="s">
        <v>1069</v>
      </c>
      <c r="Q79" s="859" t="s">
        <v>1310</v>
      </c>
      <c r="R79" s="77"/>
      <c r="S79" s="1176">
        <f>AL46*12/48/50</f>
        <v>0</v>
      </c>
      <c r="T79" s="77" t="s">
        <v>1425</v>
      </c>
      <c r="U79" s="1174">
        <f>Pricing!Q34</f>
        <v>45.239999999999995</v>
      </c>
      <c r="V79" s="77" t="s">
        <v>562</v>
      </c>
      <c r="W79" s="1175">
        <f t="shared" si="38"/>
        <v>0</v>
      </c>
      <c r="Y79" s="1254"/>
    </row>
    <row r="80" spans="1:28" ht="19.5" customHeight="1">
      <c r="A80" s="577"/>
      <c r="B80" s="577" t="s">
        <v>1431</v>
      </c>
      <c r="C80" s="976"/>
      <c r="D80" s="976"/>
      <c r="E80" s="976"/>
      <c r="F80" s="977">
        <v>1.75</v>
      </c>
      <c r="G80" s="976" t="s">
        <v>1741</v>
      </c>
      <c r="H80" s="2820" t="s">
        <v>1433</v>
      </c>
      <c r="I80" s="2820"/>
      <c r="J80" s="978">
        <v>0</v>
      </c>
      <c r="K80" s="3014">
        <f>BA54</f>
        <v>13320</v>
      </c>
      <c r="L80" s="3014"/>
      <c r="M80" s="976" t="s">
        <v>1418</v>
      </c>
      <c r="N80" s="3015">
        <f>F80*J80*K80</f>
        <v>0</v>
      </c>
      <c r="O80" s="3015"/>
      <c r="P80" s="1172" t="s">
        <v>1069</v>
      </c>
      <c r="Q80" s="859" t="s">
        <v>571</v>
      </c>
      <c r="R80" s="77"/>
      <c r="S80" s="1176">
        <f>BG68+AD137</f>
        <v>0</v>
      </c>
      <c r="T80" s="77" t="s">
        <v>1416</v>
      </c>
      <c r="U80" s="1174">
        <f>Pricing!Q19</f>
        <v>0.95</v>
      </c>
      <c r="V80" s="77" t="s">
        <v>1417</v>
      </c>
      <c r="W80" s="1175">
        <f t="shared" si="38"/>
        <v>0</v>
      </c>
      <c r="Y80" s="1254"/>
    </row>
    <row r="81" spans="1:25" ht="19.5" customHeight="1">
      <c r="A81" s="1202" t="s">
        <v>1434</v>
      </c>
      <c r="B81" s="1203"/>
      <c r="C81" s="1203" t="s">
        <v>1296</v>
      </c>
      <c r="D81" s="1203" t="s">
        <v>1742</v>
      </c>
      <c r="E81" s="1203"/>
      <c r="F81" s="1203"/>
      <c r="G81" s="1203"/>
      <c r="H81" s="1203"/>
      <c r="I81" s="1203"/>
      <c r="J81" s="1203"/>
      <c r="K81" s="2823" t="s">
        <v>973</v>
      </c>
      <c r="L81" s="2823"/>
      <c r="M81" s="2824" t="s">
        <v>1297</v>
      </c>
      <c r="N81" s="2824"/>
      <c r="O81" s="2824"/>
      <c r="P81" s="1172" t="s">
        <v>1069</v>
      </c>
      <c r="Q81" s="859" t="s">
        <v>576</v>
      </c>
      <c r="R81" s="77"/>
      <c r="S81" s="1176">
        <f>SUM(F10:F53)*4</f>
        <v>240</v>
      </c>
      <c r="T81" s="77" t="s">
        <v>1416</v>
      </c>
      <c r="U81" s="1174">
        <f>Pricing!Q20</f>
        <v>0.25</v>
      </c>
      <c r="V81" s="77" t="s">
        <v>1417</v>
      </c>
      <c r="W81" s="1175">
        <f t="shared" si="38"/>
        <v>64.95</v>
      </c>
      <c r="Y81" s="1254"/>
    </row>
    <row r="82" spans="1:25" ht="19.5" customHeight="1">
      <c r="A82" s="1204" t="s">
        <v>1743</v>
      </c>
      <c r="B82" s="1802"/>
      <c r="C82" s="982" t="s">
        <v>1306</v>
      </c>
      <c r="D82" s="3017">
        <v>0.5</v>
      </c>
      <c r="E82" s="3017"/>
      <c r="F82" s="1802" t="s">
        <v>1618</v>
      </c>
      <c r="G82" s="983"/>
      <c r="H82" s="3112">
        <f>SUM(X10:X53)</f>
        <v>7716</v>
      </c>
      <c r="I82" s="3112"/>
      <c r="J82" s="983" t="s">
        <v>1744</v>
      </c>
      <c r="K82" s="2965">
        <f>IF(C82="N",D82*H82,0)</f>
        <v>0</v>
      </c>
      <c r="L82" s="2965"/>
      <c r="M82" s="168"/>
      <c r="N82" s="3019">
        <f>IF(C82="y",D82*H82,0)</f>
        <v>3858</v>
      </c>
      <c r="O82" s="3019"/>
      <c r="P82" s="1172" t="s">
        <v>1069</v>
      </c>
      <c r="Q82" s="859" t="s">
        <v>583</v>
      </c>
      <c r="R82" s="77"/>
      <c r="S82" s="1176"/>
      <c r="T82" s="77" t="s">
        <v>1425</v>
      </c>
      <c r="U82" s="1174">
        <f>Pricing!Q21</f>
        <v>45</v>
      </c>
      <c r="V82" s="77" t="s">
        <v>562</v>
      </c>
      <c r="W82" s="1175">
        <f t="shared" si="38"/>
        <v>0</v>
      </c>
      <c r="Y82" s="1254"/>
    </row>
    <row r="83" spans="1:25" ht="19.5" customHeight="1">
      <c r="A83" s="859" t="s">
        <v>1437</v>
      </c>
      <c r="B83" s="503"/>
      <c r="C83" s="1206" t="s">
        <v>1302</v>
      </c>
      <c r="D83" s="2830">
        <v>2.5</v>
      </c>
      <c r="E83" s="2830"/>
      <c r="F83" s="77" t="s">
        <v>1618</v>
      </c>
      <c r="G83" s="3113">
        <f>SUM(D83:E85)</f>
        <v>4.25</v>
      </c>
      <c r="H83" s="3114">
        <f>AZ54</f>
        <v>6660</v>
      </c>
      <c r="I83" s="3114"/>
      <c r="J83" s="18" t="s">
        <v>1745</v>
      </c>
      <c r="K83" s="2967">
        <f>IF(C83="N",D83*H$83,0)</f>
        <v>0</v>
      </c>
      <c r="L83" s="2967"/>
      <c r="N83" s="3022">
        <f>IF(C83="y",H$83*D83,0)</f>
        <v>16650</v>
      </c>
      <c r="O83" s="3022"/>
      <c r="P83" s="1172" t="s">
        <v>1069</v>
      </c>
      <c r="Q83" s="859"/>
      <c r="R83" s="77"/>
      <c r="S83" s="77"/>
      <c r="T83" s="77"/>
      <c r="U83" s="1174"/>
      <c r="V83" s="77"/>
      <c r="W83" s="1175">
        <f>U83*S83</f>
        <v>0</v>
      </c>
      <c r="Y83" s="1254"/>
    </row>
    <row r="84" spans="1:25" ht="19.5" customHeight="1">
      <c r="A84" s="482" t="s">
        <v>1442</v>
      </c>
      <c r="B84" s="503"/>
      <c r="C84" s="984" t="s">
        <v>1302</v>
      </c>
      <c r="D84" s="2830">
        <v>1.25</v>
      </c>
      <c r="E84" s="2830"/>
      <c r="F84" s="77" t="s">
        <v>1618</v>
      </c>
      <c r="G84" s="3113"/>
      <c r="H84" s="3114"/>
      <c r="I84" s="3114"/>
      <c r="J84" s="18" t="s">
        <v>1745</v>
      </c>
      <c r="K84" s="2967">
        <f>IF(C84="N",D84*H$83,0)</f>
        <v>0</v>
      </c>
      <c r="L84" s="2967"/>
      <c r="N84" s="3022">
        <f>IF(C84="y",H$83*D84,0)</f>
        <v>8325</v>
      </c>
      <c r="O84" s="3022"/>
      <c r="P84" s="1172" t="s">
        <v>1069</v>
      </c>
      <c r="Q84" s="859"/>
      <c r="R84" s="77"/>
      <c r="S84" s="1176"/>
      <c r="T84" s="77"/>
      <c r="U84" s="1174"/>
      <c r="V84" s="77"/>
      <c r="W84" s="1175">
        <f>S84*U84</f>
        <v>0</v>
      </c>
      <c r="Y84" s="1254"/>
    </row>
    <row r="85" spans="1:25" ht="19.5" customHeight="1">
      <c r="A85" s="482" t="s">
        <v>1443</v>
      </c>
      <c r="B85" s="503"/>
      <c r="C85" s="984" t="s">
        <v>1302</v>
      </c>
      <c r="D85" s="2830">
        <v>0.5</v>
      </c>
      <c r="E85" s="2830"/>
      <c r="F85" s="77" t="s">
        <v>1618</v>
      </c>
      <c r="G85" s="3113"/>
      <c r="H85" s="3114"/>
      <c r="I85" s="3114"/>
      <c r="J85" s="18" t="s">
        <v>1745</v>
      </c>
      <c r="K85" s="2967">
        <f>IF(C85="N",D85*H$83,0)</f>
        <v>0</v>
      </c>
      <c r="L85" s="2967"/>
      <c r="N85" s="3022">
        <f>IF(C85="y",H$83*D85,0)</f>
        <v>3330</v>
      </c>
      <c r="O85" s="3022"/>
      <c r="P85" s="1172" t="s">
        <v>1069</v>
      </c>
      <c r="Q85" s="859"/>
      <c r="R85" s="77"/>
      <c r="S85" s="1176"/>
      <c r="T85" s="77"/>
      <c r="U85" s="1174"/>
      <c r="V85" s="77"/>
      <c r="W85" s="1175">
        <f>S85*U85</f>
        <v>0</v>
      </c>
      <c r="Y85" s="1254"/>
    </row>
    <row r="86" spans="1:25" ht="19.5" customHeight="1">
      <c r="A86" s="482" t="s">
        <v>1444</v>
      </c>
      <c r="B86" s="503"/>
      <c r="C86" s="984" t="s">
        <v>1302</v>
      </c>
      <c r="D86" s="2830">
        <v>0.25</v>
      </c>
      <c r="E86" s="2830"/>
      <c r="F86" s="77" t="s">
        <v>1618</v>
      </c>
      <c r="H86" s="3115">
        <f>SUM(Z10:Z53)</f>
        <v>6660</v>
      </c>
      <c r="I86" s="3115"/>
      <c r="J86" s="18" t="s">
        <v>1439</v>
      </c>
      <c r="K86" s="2967">
        <f>IF(C86="N",D86*H$83,0)</f>
        <v>0</v>
      </c>
      <c r="L86" s="2967"/>
      <c r="N86" s="3022">
        <f>IF(C86="y",H$86*D86,0)</f>
        <v>1665</v>
      </c>
      <c r="O86" s="3022"/>
      <c r="P86" s="1172" t="s">
        <v>1069</v>
      </c>
      <c r="Q86" s="1208"/>
      <c r="R86" s="1209"/>
      <c r="S86" s="1210"/>
      <c r="T86" s="1209"/>
      <c r="U86" s="1211"/>
      <c r="V86" s="1209"/>
      <c r="W86" s="1189">
        <f>S86*U86</f>
        <v>0</v>
      </c>
      <c r="Y86" s="1254"/>
    </row>
    <row r="87" spans="1:25" ht="19.5" customHeight="1">
      <c r="A87" s="482" t="s">
        <v>1307</v>
      </c>
      <c r="B87" s="503"/>
      <c r="C87" s="984" t="s">
        <v>1302</v>
      </c>
      <c r="D87" s="2830">
        <v>450</v>
      </c>
      <c r="E87" s="2830"/>
      <c r="F87" s="77" t="s">
        <v>1308</v>
      </c>
      <c r="H87" s="2832">
        <f>(K72/2000)</f>
        <v>22.41295816065</v>
      </c>
      <c r="I87" s="2832"/>
      <c r="J87" s="18" t="s">
        <v>1309</v>
      </c>
      <c r="K87" s="2967">
        <f>IF(C87="N",D87*H87,0)</f>
        <v>0</v>
      </c>
      <c r="L87" s="2967"/>
      <c r="N87" s="3022">
        <f>IF(C87="y",H87*D87,0)</f>
        <v>10085.831172292499</v>
      </c>
      <c r="O87" s="3022"/>
      <c r="P87" s="1172" t="s">
        <v>1077</v>
      </c>
      <c r="Q87" s="859" t="s">
        <v>1453</v>
      </c>
      <c r="R87" s="77"/>
      <c r="S87" s="77">
        <v>0</v>
      </c>
      <c r="T87" s="77" t="s">
        <v>1454</v>
      </c>
      <c r="U87" s="1174">
        <f>BM80</f>
        <v>0</v>
      </c>
      <c r="V87" s="77" t="s">
        <v>630</v>
      </c>
      <c r="W87" s="1175">
        <f>U87*S87</f>
        <v>0</v>
      </c>
      <c r="Y87" s="1254"/>
    </row>
    <row r="88" spans="1:25" ht="19.5" customHeight="1">
      <c r="A88" s="482" t="s">
        <v>1733</v>
      </c>
      <c r="B88" s="503"/>
      <c r="C88" s="984" t="s">
        <v>1302</v>
      </c>
      <c r="D88" s="2830"/>
      <c r="E88" s="2830"/>
      <c r="F88" s="77" t="s">
        <v>1019</v>
      </c>
      <c r="H88" s="2832">
        <v>500</v>
      </c>
      <c r="I88" s="2832"/>
      <c r="J88" s="18" t="s">
        <v>1308</v>
      </c>
      <c r="K88" s="2967">
        <f>IF(C88="N",D88*H88,0)</f>
        <v>0</v>
      </c>
      <c r="L88" s="2967"/>
      <c r="N88" s="3022">
        <f>IF(C88="y",H88*D88,0)</f>
        <v>0</v>
      </c>
      <c r="O88" s="3022"/>
      <c r="P88" s="1172" t="s">
        <v>1077</v>
      </c>
      <c r="Q88" s="859"/>
      <c r="R88" s="77"/>
      <c r="S88" s="1176"/>
      <c r="T88" s="77"/>
      <c r="U88" s="1174"/>
      <c r="V88" s="77"/>
      <c r="W88" s="1175">
        <f t="shared" ref="W88:W97" si="39">S88*U88</f>
        <v>0</v>
      </c>
      <c r="Y88" s="1254"/>
    </row>
    <row r="89" spans="1:25" ht="19.5" customHeight="1">
      <c r="A89" s="1566" t="s">
        <v>1313</v>
      </c>
      <c r="B89" s="971"/>
      <c r="C89" s="989" t="s">
        <v>1302</v>
      </c>
      <c r="D89" s="2833"/>
      <c r="E89" s="2833"/>
      <c r="F89" s="1209"/>
      <c r="G89" s="373"/>
      <c r="H89" s="973"/>
      <c r="I89" s="973"/>
      <c r="J89" s="373"/>
      <c r="K89" s="2970">
        <f>IF(C89="N",D89,0)</f>
        <v>0</v>
      </c>
      <c r="L89" s="2970"/>
      <c r="M89" s="248"/>
      <c r="N89" s="3024">
        <f>IF(C89="y",D89,0)</f>
        <v>0</v>
      </c>
      <c r="O89" s="3024"/>
      <c r="P89" s="1172" t="s">
        <v>1077</v>
      </c>
      <c r="Q89" s="859"/>
      <c r="R89" s="77"/>
      <c r="S89" s="1176"/>
      <c r="T89" s="77"/>
      <c r="U89" s="1174"/>
      <c r="V89" s="77"/>
      <c r="W89" s="1175">
        <f t="shared" si="39"/>
        <v>0</v>
      </c>
      <c r="Y89" s="1254"/>
    </row>
    <row r="90" spans="1:25" ht="19.5" customHeight="1">
      <c r="A90" s="990" t="s">
        <v>1746</v>
      </c>
      <c r="B90" s="991"/>
      <c r="C90" s="992"/>
      <c r="D90" s="3116">
        <f>IF(D54=0,0,(N90-N89)/D54)</f>
        <v>645.79163488665438</v>
      </c>
      <c r="E90" s="3116"/>
      <c r="F90" s="802"/>
      <c r="G90" s="976"/>
      <c r="H90" s="2837" t="s">
        <v>980</v>
      </c>
      <c r="I90" s="2837"/>
      <c r="J90" s="2837"/>
      <c r="K90" s="2972">
        <f>SUM(K82:L89)</f>
        <v>0</v>
      </c>
      <c r="L90" s="2972"/>
      <c r="M90" s="229"/>
      <c r="N90" s="3117">
        <f>SUM(N82:O89)</f>
        <v>43913.831172292499</v>
      </c>
      <c r="O90" s="3117"/>
      <c r="P90" s="1172" t="s">
        <v>1077</v>
      </c>
      <c r="Q90" s="1208"/>
      <c r="R90" s="1209"/>
      <c r="S90" s="1210"/>
      <c r="T90" s="1804"/>
      <c r="U90" s="1211"/>
      <c r="V90" s="1209"/>
      <c r="W90" s="1189">
        <f t="shared" si="39"/>
        <v>0</v>
      </c>
      <c r="Y90" s="1254"/>
    </row>
    <row r="91" spans="1:25" ht="19.5" customHeight="1">
      <c r="A91" s="1591" t="s">
        <v>1449</v>
      </c>
      <c r="B91" s="1591"/>
      <c r="C91" s="1591"/>
      <c r="D91" s="1591"/>
      <c r="E91" s="1591"/>
      <c r="F91" s="1591"/>
      <c r="G91" s="1591"/>
      <c r="H91" s="1591"/>
      <c r="I91" s="1591"/>
      <c r="J91" s="1591"/>
      <c r="K91" s="1591"/>
      <c r="L91" s="1591"/>
      <c r="M91" s="1591"/>
      <c r="N91" s="1591"/>
      <c r="O91" s="1591"/>
      <c r="P91" s="1172" t="s">
        <v>1448</v>
      </c>
      <c r="Q91" s="859" t="s">
        <v>601</v>
      </c>
      <c r="R91" s="77"/>
      <c r="S91" s="1176"/>
      <c r="T91" s="77"/>
      <c r="U91" s="1174">
        <f>Pricing!Q4</f>
        <v>0.859375</v>
      </c>
      <c r="V91" s="77" t="s">
        <v>1312</v>
      </c>
      <c r="W91" s="1175">
        <f t="shared" si="39"/>
        <v>0</v>
      </c>
      <c r="Y91" s="1254"/>
    </row>
    <row r="92" spans="1:25" ht="19.5" customHeight="1">
      <c r="A92" s="1593" t="s">
        <v>1316</v>
      </c>
      <c r="B92" s="1802"/>
      <c r="C92" s="998">
        <f>D54/20</f>
        <v>3.4</v>
      </c>
      <c r="D92" s="999">
        <f>C92*5</f>
        <v>17</v>
      </c>
      <c r="E92" s="1802" t="s">
        <v>1317</v>
      </c>
      <c r="F92" s="1216">
        <v>425</v>
      </c>
      <c r="G92" s="1806" t="s">
        <v>1450</v>
      </c>
      <c r="H92" s="983"/>
      <c r="I92" s="983"/>
      <c r="J92" s="983"/>
      <c r="K92" s="983"/>
      <c r="L92" s="2974">
        <f>IF(D58=0,0,(SUM(N92:O94))/D58)</f>
        <v>6.9458902187043814E-2</v>
      </c>
      <c r="M92" s="2974"/>
      <c r="N92" s="2856">
        <f>D92*F92</f>
        <v>7225</v>
      </c>
      <c r="O92" s="2856"/>
      <c r="P92" s="1172" t="s">
        <v>1448</v>
      </c>
      <c r="Q92" s="859" t="s">
        <v>604</v>
      </c>
      <c r="R92" s="77"/>
      <c r="S92" s="1176"/>
      <c r="T92" s="77"/>
      <c r="U92" s="1174">
        <f>Pricing!Q5</f>
        <v>1.4453125</v>
      </c>
      <c r="V92" s="77" t="s">
        <v>1312</v>
      </c>
      <c r="W92" s="1175">
        <f t="shared" si="39"/>
        <v>0</v>
      </c>
      <c r="Y92" s="1254"/>
    </row>
    <row r="93" spans="1:25" ht="19.5" customHeight="1">
      <c r="A93" s="482" t="s">
        <v>1318</v>
      </c>
      <c r="B93" s="77"/>
      <c r="C93" s="77"/>
      <c r="D93" s="1810">
        <f>D92</f>
        <v>17</v>
      </c>
      <c r="E93" s="1807" t="s">
        <v>1317</v>
      </c>
      <c r="F93" s="1880">
        <v>250</v>
      </c>
      <c r="G93" s="840" t="s">
        <v>1450</v>
      </c>
      <c r="L93" s="2975">
        <f>SUM(N92:O94)</f>
        <v>13175</v>
      </c>
      <c r="M93" s="2975"/>
      <c r="N93" s="2859">
        <f>D93*F93</f>
        <v>4250</v>
      </c>
      <c r="O93" s="2859"/>
      <c r="P93" s="1172" t="s">
        <v>1077</v>
      </c>
      <c r="Q93" s="859" t="s">
        <v>606</v>
      </c>
      <c r="R93" s="77"/>
      <c r="S93" s="1176"/>
      <c r="T93" s="77" t="s">
        <v>1452</v>
      </c>
      <c r="U93" s="1174">
        <f>Pricing!Q28</f>
        <v>45</v>
      </c>
      <c r="V93" s="77" t="s">
        <v>607</v>
      </c>
      <c r="W93" s="1175">
        <f t="shared" si="39"/>
        <v>0</v>
      </c>
      <c r="Y93" s="1254"/>
    </row>
    <row r="94" spans="1:25" ht="19.5" customHeight="1">
      <c r="A94" s="482" t="s">
        <v>1320</v>
      </c>
      <c r="B94" s="77"/>
      <c r="C94" s="77"/>
      <c r="D94" s="1002">
        <f>D92</f>
        <v>17</v>
      </c>
      <c r="E94" s="77" t="s">
        <v>1317</v>
      </c>
      <c r="F94" s="1217">
        <v>100</v>
      </c>
      <c r="G94" s="77" t="s">
        <v>1450</v>
      </c>
      <c r="N94" s="2859">
        <f>D94*F94</f>
        <v>1700</v>
      </c>
      <c r="O94" s="2859"/>
      <c r="P94" s="1172" t="s">
        <v>1077</v>
      </c>
      <c r="Q94" s="859"/>
      <c r="R94" s="77"/>
      <c r="S94" s="1176"/>
      <c r="T94" s="77"/>
      <c r="U94" s="1174"/>
      <c r="V94" s="77"/>
      <c r="W94" s="1175">
        <f t="shared" si="39"/>
        <v>0</v>
      </c>
      <c r="Y94" s="1254"/>
    </row>
    <row r="95" spans="1:25" ht="19.5" customHeight="1">
      <c r="A95" s="1177" t="s">
        <v>1321</v>
      </c>
      <c r="B95" s="77"/>
      <c r="C95" s="1621"/>
      <c r="D95" s="1008">
        <f>D92</f>
        <v>17</v>
      </c>
      <c r="E95" s="1621"/>
      <c r="F95" s="1218">
        <v>200</v>
      </c>
      <c r="G95" s="77"/>
      <c r="L95" s="2843">
        <f>IF(D58=0,0,N95/D58)</f>
        <v>1.7924877983753244E-2</v>
      </c>
      <c r="M95" s="2843"/>
      <c r="N95" s="2859">
        <f>D95*F95</f>
        <v>3400</v>
      </c>
      <c r="O95" s="2859"/>
      <c r="P95" s="1172"/>
      <c r="Q95" s="859"/>
      <c r="R95" s="77"/>
      <c r="S95" s="1176"/>
      <c r="T95" s="77"/>
      <c r="U95" s="1174"/>
      <c r="V95" s="77"/>
      <c r="W95" s="1175">
        <f t="shared" si="39"/>
        <v>0</v>
      </c>
      <c r="Y95" s="1254"/>
    </row>
    <row r="96" spans="1:25" ht="19.5" customHeight="1">
      <c r="A96" s="1579" t="s">
        <v>1325</v>
      </c>
      <c r="B96" s="1579"/>
      <c r="C96" s="980"/>
      <c r="D96" s="980"/>
      <c r="E96" s="980"/>
      <c r="F96" s="980"/>
      <c r="G96" s="1579"/>
      <c r="H96" s="1579"/>
      <c r="I96" s="1579"/>
      <c r="J96" s="1579"/>
      <c r="K96" s="1579"/>
      <c r="L96" s="1579"/>
      <c r="M96" s="1579"/>
      <c r="N96" s="1579"/>
      <c r="O96" s="1579"/>
      <c r="P96" s="1172" t="s">
        <v>1077</v>
      </c>
      <c r="Q96" s="1881" t="s">
        <v>1643</v>
      </c>
      <c r="R96" s="373"/>
      <c r="S96" s="1814"/>
      <c r="T96" s="373" t="s">
        <v>1323</v>
      </c>
      <c r="U96" s="1006">
        <v>250</v>
      </c>
      <c r="V96" s="373" t="s">
        <v>1747</v>
      </c>
      <c r="W96" s="1189">
        <f t="shared" si="39"/>
        <v>0</v>
      </c>
      <c r="Y96" s="1254"/>
    </row>
    <row r="97" spans="1:25" ht="19.5" customHeight="1">
      <c r="A97" s="1204" t="s">
        <v>1326</v>
      </c>
      <c r="B97" s="1802"/>
      <c r="C97" s="1882"/>
      <c r="D97" s="999">
        <f>D100</f>
        <v>30</v>
      </c>
      <c r="E97" s="1802" t="s">
        <v>1327</v>
      </c>
      <c r="F97" s="1000">
        <f>Pricing!D32</f>
        <v>425</v>
      </c>
      <c r="G97" s="1802" t="s">
        <v>620</v>
      </c>
      <c r="H97" s="983"/>
      <c r="I97" s="983"/>
      <c r="J97" s="983"/>
      <c r="K97" s="983"/>
      <c r="L97" s="983"/>
      <c r="M97" s="983"/>
      <c r="N97" s="2856">
        <f>(IF(AND(D97&gt;0,D97&lt;4),D97*F97,0)+IF(AND(D97&gt;3,D97&lt;8),F97*3,0)+IF(AND(D97&gt;7,D97&lt;21),D97/7*F97*3,0)+IF(AND(D97&gt;20,D97&lt;30),F97*9,0)+IF(D97&gt;29,D97/30*F97*9,0))*(1+V$57+I$99)</f>
        <v>6053.0625</v>
      </c>
      <c r="O97" s="2856"/>
      <c r="P97" s="1172" t="s">
        <v>1073</v>
      </c>
      <c r="Q97" s="859" t="s">
        <v>618</v>
      </c>
      <c r="R97" s="77"/>
      <c r="S97" s="77">
        <f>ROUNDUP(H83/12000,0)</f>
        <v>1</v>
      </c>
      <c r="T97" s="77" t="s">
        <v>1452</v>
      </c>
      <c r="U97" s="1174">
        <f>BM84</f>
        <v>0</v>
      </c>
      <c r="V97" s="77" t="s">
        <v>607</v>
      </c>
      <c r="W97" s="1175">
        <f t="shared" si="39"/>
        <v>0</v>
      </c>
      <c r="Y97" s="1254"/>
    </row>
    <row r="98" spans="1:25" ht="19.5" customHeight="1">
      <c r="A98" s="859" t="s">
        <v>1748</v>
      </c>
      <c r="B98" s="77"/>
      <c r="C98" s="839"/>
      <c r="D98" s="1012">
        <f>D100</f>
        <v>30</v>
      </c>
      <c r="E98" s="77" t="s">
        <v>1327</v>
      </c>
      <c r="F98" s="1004">
        <f>Pricing!D33</f>
        <v>475</v>
      </c>
      <c r="G98" s="77" t="s">
        <v>620</v>
      </c>
      <c r="I98" s="2977" t="s">
        <v>1329</v>
      </c>
      <c r="J98" s="2977"/>
      <c r="L98" s="2841">
        <f>IF(D58=0,0,(SUM(N97:O102))/D58)</f>
        <v>0.10152611349825816</v>
      </c>
      <c r="M98" s="2841"/>
      <c r="N98" s="2859">
        <f>(IF(AND(D98&gt;0,D98&lt;4),D98*F98,0)+IF(AND(D98&gt;3,D98&lt;8),F98*3,0)+IF(AND(D98&gt;7,D98&lt;21),D98/7*F98*3,0)+IF(AND(D98&gt;20,D98&lt;30),F98*9,0)+IF(D98&gt;29,D98/30*F98*9,0))*(1+V$57+I$99)</f>
        <v>6765.1875</v>
      </c>
      <c r="O98" s="2859"/>
      <c r="P98" s="1172" t="s">
        <v>1073</v>
      </c>
      <c r="Q98" s="859" t="s">
        <v>1457</v>
      </c>
      <c r="R98" s="77"/>
      <c r="S98" s="77"/>
      <c r="T98" s="77"/>
      <c r="U98" s="1174">
        <v>0</v>
      </c>
      <c r="V98" s="77" t="s">
        <v>1417</v>
      </c>
      <c r="W98" s="1175">
        <f t="shared" ref="W98:W105" si="40">U98*S98</f>
        <v>0</v>
      </c>
      <c r="Y98" s="1254"/>
    </row>
    <row r="99" spans="1:25" ht="19.5" customHeight="1">
      <c r="A99" s="859"/>
      <c r="B99" s="77"/>
      <c r="C99" s="839"/>
      <c r="D99" s="1012"/>
      <c r="E99" s="77" t="s">
        <v>1327</v>
      </c>
      <c r="F99" s="1004"/>
      <c r="G99" s="77" t="s">
        <v>620</v>
      </c>
      <c r="I99" s="3118">
        <v>0.5</v>
      </c>
      <c r="J99" s="3118"/>
      <c r="L99" s="2975">
        <f>SUM(N97:O102)</f>
        <v>19257.525000000001</v>
      </c>
      <c r="M99" s="2975"/>
      <c r="N99" s="2859">
        <f>(IF(AND(D99&gt;0,D99&lt;4),D99*F99,0)+IF(AND(D99&gt;3,D99&lt;8),F99*3,0)+IF(AND(D99&gt;7,D99&lt;21),D99/7*F99*3,0)+IF(AND(D99&gt;20,D99&lt;30),F99*9,0)+IF(D99&gt;29,D99/30*F99*9,0))*(1+V$57+I$99)</f>
        <v>0</v>
      </c>
      <c r="O99" s="2859"/>
      <c r="P99" s="1172" t="s">
        <v>1073</v>
      </c>
      <c r="Q99" s="1208" t="s">
        <v>554</v>
      </c>
      <c r="R99" s="1209"/>
      <c r="S99" s="1222">
        <f>K72</f>
        <v>44825.916321299999</v>
      </c>
      <c r="T99" s="1209" t="s">
        <v>1288</v>
      </c>
      <c r="U99" s="1211">
        <v>0.02</v>
      </c>
      <c r="V99" s="1209" t="s">
        <v>555</v>
      </c>
      <c r="W99" s="1189">
        <f t="shared" si="40"/>
        <v>896.51832642600004</v>
      </c>
      <c r="Y99" s="1254"/>
    </row>
    <row r="100" spans="1:25" ht="19.5" customHeight="1">
      <c r="A100" s="859" t="s">
        <v>626</v>
      </c>
      <c r="B100" s="77"/>
      <c r="C100" s="839"/>
      <c r="D100" s="1012">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30</v>
      </c>
      <c r="E100" s="77" t="s">
        <v>1327</v>
      </c>
      <c r="F100" s="1004">
        <f>Pricing!D35</f>
        <v>325</v>
      </c>
      <c r="G100" s="77" t="s">
        <v>620</v>
      </c>
      <c r="I100" s="3118"/>
      <c r="J100" s="3118"/>
      <c r="N100" s="2859">
        <f>(IF(AND(D100&gt;0,D100&lt;4),D100*F100,0)+IF(AND(D100&gt;3,D100&lt;8),F100*3,0)+IF(AND(D100&gt;7,D100&lt;21),D100/7*F100*3,0)+IF(AND(D100&gt;20,D100&lt;30),F100*9,0)+IF(D100&gt;29,D100/30*F100*9,0))*(1+V$57+I$99)</f>
        <v>4628.8125</v>
      </c>
      <c r="O100" s="2859"/>
      <c r="P100" s="1172" t="s">
        <v>1078</v>
      </c>
      <c r="Q100" s="859" t="s">
        <v>1105</v>
      </c>
      <c r="R100" s="77"/>
      <c r="S100" s="77"/>
      <c r="T100" s="77" t="s">
        <v>1000</v>
      </c>
      <c r="U100" s="1174">
        <v>0</v>
      </c>
      <c r="V100" s="77"/>
      <c r="W100" s="1175">
        <f t="shared" si="40"/>
        <v>0</v>
      </c>
      <c r="Y100" s="1254"/>
    </row>
    <row r="101" spans="1:25" ht="19.5" customHeight="1">
      <c r="A101" s="859" t="s">
        <v>1749</v>
      </c>
      <c r="B101" s="77"/>
      <c r="C101" s="839"/>
      <c r="D101" s="1012">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30</v>
      </c>
      <c r="E101" s="77" t="s">
        <v>1327</v>
      </c>
      <c r="F101" s="1004">
        <v>105</v>
      </c>
      <c r="G101" s="77" t="s">
        <v>620</v>
      </c>
      <c r="N101" s="2859">
        <f>(IF(AND(D101&gt;0,D101&lt;4),D101*F101,0)+IF(AND(D101&gt;3,D101&lt;8),F101*3,0)+IF(AND(D101&gt;7,D101&lt;21),D101/7*F101*3,0)+IF(AND(D101&gt;20,D101&lt;30),F101*9,0)+IF(D101&gt;29,D101/30*F101*9,0))*(1+V$57+I$99)</f>
        <v>1495.4625000000001</v>
      </c>
      <c r="O101" s="2859"/>
      <c r="P101" s="1172" t="s">
        <v>1328</v>
      </c>
      <c r="Q101" s="859" t="s">
        <v>1105</v>
      </c>
      <c r="R101" s="77"/>
      <c r="S101" s="77"/>
      <c r="T101" s="77" t="s">
        <v>1000</v>
      </c>
      <c r="U101" s="1174">
        <v>0</v>
      </c>
      <c r="V101" s="77"/>
      <c r="W101" s="1175">
        <f t="shared" si="40"/>
        <v>0</v>
      </c>
      <c r="Y101" s="1254"/>
    </row>
    <row r="102" spans="1:25" ht="19.5" customHeight="1">
      <c r="A102" s="1435" t="s">
        <v>1067</v>
      </c>
      <c r="B102" s="1621"/>
      <c r="C102" s="1883"/>
      <c r="D102" s="1815">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30</v>
      </c>
      <c r="E102" s="1621" t="s">
        <v>1327</v>
      </c>
      <c r="F102" s="1020">
        <v>35</v>
      </c>
      <c r="G102" s="1621" t="s">
        <v>620</v>
      </c>
      <c r="H102" s="976"/>
      <c r="I102" s="976"/>
      <c r="J102" s="976"/>
      <c r="K102" s="976"/>
      <c r="L102" s="1021"/>
      <c r="M102" s="976"/>
      <c r="N102" s="2839">
        <f>(IF(AND(D102&gt;0,D102&lt;4),D102*F102,0)+IF(AND(D102&gt;3,D102&lt;8),F102*3,0)+IF(AND(D102&gt;7,D102&lt;21),D102/7*F102*3,0)+IF(AND(D102&gt;20,D102&lt;30),F102*9,0)+IF(D102&gt;29,D102/30*F102*9,0))</f>
        <v>315</v>
      </c>
      <c r="O102" s="2839"/>
      <c r="P102" s="1172" t="s">
        <v>1330</v>
      </c>
      <c r="Q102" s="1208" t="s">
        <v>1108</v>
      </c>
      <c r="R102" s="1209"/>
      <c r="S102" s="1209"/>
      <c r="T102" s="1209" t="s">
        <v>1018</v>
      </c>
      <c r="U102" s="1211">
        <v>0</v>
      </c>
      <c r="V102" s="1209"/>
      <c r="W102" s="1189">
        <f t="shared" si="40"/>
        <v>0</v>
      </c>
      <c r="Y102" s="1254"/>
    </row>
    <row r="103" spans="1:25" ht="19.5" customHeight="1">
      <c r="A103" s="1215" t="s">
        <v>1336</v>
      </c>
      <c r="B103" s="980"/>
      <c r="C103" s="980"/>
      <c r="D103" s="980"/>
      <c r="E103" s="980"/>
      <c r="F103" s="980"/>
      <c r="G103" s="980"/>
      <c r="H103" s="980"/>
      <c r="I103" s="980"/>
      <c r="J103" s="980"/>
      <c r="K103" s="980"/>
      <c r="L103" s="980"/>
      <c r="M103" s="980"/>
      <c r="N103" s="980"/>
      <c r="O103" s="980"/>
      <c r="P103" s="1172" t="s">
        <v>1342</v>
      </c>
      <c r="Q103" s="859"/>
      <c r="R103" s="77"/>
      <c r="S103" s="77"/>
      <c r="T103" s="77"/>
      <c r="U103" s="1174">
        <f>BE87</f>
        <v>0</v>
      </c>
      <c r="V103" s="77"/>
      <c r="W103" s="1797">
        <f t="shared" si="40"/>
        <v>0</v>
      </c>
      <c r="Y103" s="1254"/>
    </row>
    <row r="104" spans="1:25" ht="19.5" customHeight="1">
      <c r="A104" s="2844" t="s">
        <v>1458</v>
      </c>
      <c r="B104" s="2844"/>
      <c r="C104" s="2844"/>
      <c r="D104" s="1884">
        <f>SUM(K67:L71)</f>
        <v>130</v>
      </c>
      <c r="E104" s="1597" t="s">
        <v>1285</v>
      </c>
      <c r="F104" s="1228">
        <v>20</v>
      </c>
      <c r="G104" s="1802" t="s">
        <v>1285</v>
      </c>
      <c r="H104" s="983"/>
      <c r="I104" s="983"/>
      <c r="J104" s="983"/>
      <c r="K104" s="983"/>
      <c r="L104" s="983"/>
      <c r="M104" s="1885"/>
      <c r="N104" s="2856">
        <f t="shared" ref="N104:N109" si="41">D104*F104</f>
        <v>2600</v>
      </c>
      <c r="O104" s="2856"/>
      <c r="P104" s="1172" t="s">
        <v>1342</v>
      </c>
      <c r="Q104" s="859" t="s">
        <v>646</v>
      </c>
      <c r="R104" s="77"/>
      <c r="S104" s="1229"/>
      <c r="T104" s="77" t="s">
        <v>1460</v>
      </c>
      <c r="U104" s="1174">
        <f>Pricing!Q44</f>
        <v>567.5</v>
      </c>
      <c r="V104" s="77" t="s">
        <v>647</v>
      </c>
      <c r="W104" s="1175">
        <f t="shared" si="40"/>
        <v>0</v>
      </c>
      <c r="Y104" s="1254"/>
    </row>
    <row r="105" spans="1:25" ht="19.5" customHeight="1">
      <c r="A105" s="2846" t="s">
        <v>1750</v>
      </c>
      <c r="B105" s="2846"/>
      <c r="C105" s="2846"/>
      <c r="D105" s="804"/>
      <c r="E105" s="77" t="s">
        <v>600</v>
      </c>
      <c r="F105" s="1197">
        <v>0.5</v>
      </c>
      <c r="G105" s="77" t="s">
        <v>600</v>
      </c>
      <c r="M105" s="163"/>
      <c r="N105" s="2859">
        <f t="shared" si="41"/>
        <v>0</v>
      </c>
      <c r="O105" s="2859"/>
      <c r="P105" s="1172" t="s">
        <v>1342</v>
      </c>
      <c r="Q105" s="1208" t="s">
        <v>649</v>
      </c>
      <c r="R105" s="1209"/>
      <c r="S105" s="1209">
        <f>ROUNDUP(H83/300/55,0)</f>
        <v>1</v>
      </c>
      <c r="T105" s="1209" t="s">
        <v>1460</v>
      </c>
      <c r="U105" s="1230">
        <f>Pricing!Q45</f>
        <v>542</v>
      </c>
      <c r="V105" s="1209" t="s">
        <v>647</v>
      </c>
      <c r="W105" s="1189">
        <f t="shared" si="40"/>
        <v>542</v>
      </c>
      <c r="Y105" s="1254"/>
    </row>
    <row r="106" spans="1:25" ht="19.5" customHeight="1">
      <c r="A106" s="2846" t="s">
        <v>1462</v>
      </c>
      <c r="B106" s="2846"/>
      <c r="C106" s="2846"/>
      <c r="D106" s="804"/>
      <c r="E106" s="1807" t="s">
        <v>1341</v>
      </c>
      <c r="F106" s="1197">
        <v>2.5</v>
      </c>
      <c r="G106" s="77" t="s">
        <v>1341</v>
      </c>
      <c r="M106" s="163"/>
      <c r="N106" s="2859">
        <f t="shared" si="41"/>
        <v>0</v>
      </c>
      <c r="O106" s="2859"/>
      <c r="P106" s="1172"/>
      <c r="Q106" s="574"/>
      <c r="W106" s="1037"/>
      <c r="Y106" s="1254"/>
    </row>
    <row r="107" spans="1:25" ht="19.5" customHeight="1">
      <c r="A107" s="2846" t="s">
        <v>1067</v>
      </c>
      <c r="B107" s="2846"/>
      <c r="C107" s="2846"/>
      <c r="D107" s="1886"/>
      <c r="E107" s="1824"/>
      <c r="F107" s="1004">
        <v>1000</v>
      </c>
      <c r="G107" s="1826" t="s">
        <v>1348</v>
      </c>
      <c r="H107" s="18" t="s">
        <v>1751</v>
      </c>
      <c r="M107" s="163"/>
      <c r="N107" s="2859">
        <f t="shared" si="41"/>
        <v>0</v>
      </c>
      <c r="O107" s="2859"/>
      <c r="P107" s="1172"/>
      <c r="Q107" s="2864" t="s">
        <v>1349</v>
      </c>
      <c r="R107" s="2864"/>
      <c r="S107" s="18">
        <v>18</v>
      </c>
      <c r="T107" s="18" t="s">
        <v>1350</v>
      </c>
      <c r="W107" s="1232"/>
      <c r="Y107" s="1254"/>
    </row>
    <row r="108" spans="1:25" ht="19.5" customHeight="1">
      <c r="A108" s="2846" t="s">
        <v>1234</v>
      </c>
      <c r="B108" s="2846"/>
      <c r="C108" s="2846"/>
      <c r="D108" s="1887"/>
      <c r="E108" s="1174" t="s">
        <v>1285</v>
      </c>
      <c r="F108" s="1234">
        <v>6</v>
      </c>
      <c r="G108" s="77" t="s">
        <v>1285</v>
      </c>
      <c r="M108" s="163"/>
      <c r="N108" s="2859">
        <f t="shared" si="41"/>
        <v>0</v>
      </c>
      <c r="O108" s="2859"/>
      <c r="P108" s="1172" t="s">
        <v>1072</v>
      </c>
      <c r="Q108" s="577" t="s">
        <v>1353</v>
      </c>
      <c r="R108" s="976"/>
      <c r="S108" s="976">
        <f>S80*12/S107</f>
        <v>0</v>
      </c>
      <c r="T108" s="976" t="s">
        <v>1354</v>
      </c>
      <c r="U108" s="2871">
        <f>BM86</f>
        <v>0</v>
      </c>
      <c r="V108" s="2871"/>
      <c r="W108" s="697">
        <f>U108*S108</f>
        <v>0</v>
      </c>
      <c r="Y108" s="1254"/>
    </row>
    <row r="109" spans="1:25" ht="19.5" customHeight="1">
      <c r="A109" s="2852" t="s">
        <v>1346</v>
      </c>
      <c r="B109" s="2852"/>
      <c r="C109" s="2852"/>
      <c r="D109" s="1888"/>
      <c r="E109" s="1829" t="s">
        <v>1347</v>
      </c>
      <c r="F109" s="977">
        <v>200</v>
      </c>
      <c r="G109" s="1621" t="s">
        <v>620</v>
      </c>
      <c r="H109" s="976"/>
      <c r="I109" s="976"/>
      <c r="J109" s="976"/>
      <c r="K109" s="976"/>
      <c r="L109" s="976"/>
      <c r="M109" s="1889"/>
      <c r="N109" s="2839">
        <f t="shared" si="41"/>
        <v>0</v>
      </c>
      <c r="O109" s="2839"/>
      <c r="W109" s="1052">
        <f>SUM(W68:W108)</f>
        <v>22232.328482676003</v>
      </c>
      <c r="Y109" s="1254"/>
    </row>
    <row r="110" spans="1:25" ht="19.5" customHeight="1">
      <c r="A110" s="3119" t="s">
        <v>1191</v>
      </c>
      <c r="B110" s="3119"/>
      <c r="C110" s="3119"/>
      <c r="D110" s="1890">
        <f>Summary!P60</f>
        <v>0</v>
      </c>
      <c r="E110" s="1891" t="s">
        <v>1465</v>
      </c>
      <c r="F110" s="1892">
        <f>(SUM(N67:O80)+SUM(N82:O89)+SUM(K82:L89)+SUM(N92:O94)+SUM(N97:O102)+SUM(N104:O109))*D110</f>
        <v>0</v>
      </c>
      <c r="G110" s="1893" t="s">
        <v>1039</v>
      </c>
      <c r="H110" s="1240"/>
      <c r="I110" s="1240"/>
      <c r="J110" s="1240"/>
      <c r="K110" s="1240"/>
      <c r="L110" s="1240"/>
      <c r="M110" s="1894"/>
      <c r="N110" s="3030">
        <f>F110</f>
        <v>0</v>
      </c>
      <c r="O110" s="3030"/>
      <c r="Y110" s="1254"/>
    </row>
    <row r="111" spans="1:25">
      <c r="A111" s="888"/>
      <c r="B111" s="889"/>
      <c r="C111" s="889"/>
      <c r="D111" s="889"/>
      <c r="E111" s="889"/>
      <c r="F111" s="889"/>
      <c r="G111" s="889"/>
      <c r="H111" s="889"/>
      <c r="I111" s="889"/>
      <c r="J111" s="889"/>
      <c r="K111" s="891"/>
      <c r="L111" s="889"/>
      <c r="M111" s="889"/>
      <c r="N111" s="889"/>
      <c r="O111" s="889"/>
      <c r="P111" s="889"/>
      <c r="Q111" s="889"/>
      <c r="R111" s="889"/>
      <c r="S111" s="889"/>
      <c r="T111" s="889"/>
      <c r="U111" s="889"/>
      <c r="V111" s="889"/>
      <c r="W111" s="894"/>
      <c r="Y111" s="1254"/>
    </row>
    <row r="112" spans="1:25" ht="15" customHeight="1">
      <c r="A112" s="2786" t="s">
        <v>1262</v>
      </c>
      <c r="B112" s="2786"/>
      <c r="C112" s="2786"/>
      <c r="D112" s="2786" t="s">
        <v>982</v>
      </c>
      <c r="E112" s="2786"/>
      <c r="F112" s="2786" t="s">
        <v>1263</v>
      </c>
      <c r="G112" s="2786"/>
      <c r="H112" s="2786"/>
      <c r="I112" s="2788" t="s">
        <v>1264</v>
      </c>
      <c r="J112" s="2788"/>
      <c r="K112" s="2788"/>
      <c r="L112" s="2789" t="s">
        <v>1265</v>
      </c>
      <c r="M112" s="2789"/>
      <c r="N112" s="1058"/>
      <c r="O112" s="1059"/>
      <c r="P112" s="895"/>
      <c r="Q112" s="574" t="s">
        <v>1266</v>
      </c>
      <c r="S112" s="18" t="s">
        <v>1739</v>
      </c>
      <c r="T112" s="1060" t="str">
        <f>T57</f>
        <v>N</v>
      </c>
      <c r="U112" s="793" t="s">
        <v>1268</v>
      </c>
      <c r="V112" s="1242">
        <f>V57</f>
        <v>8.2500000000000004E-2</v>
      </c>
      <c r="W112" s="898"/>
      <c r="Y112" s="1254"/>
    </row>
    <row r="113" spans="1:23" ht="15.45">
      <c r="A113" s="899" t="s">
        <v>1269</v>
      </c>
      <c r="B113" s="2865">
        <f>B58</f>
        <v>2789.4192666370736</v>
      </c>
      <c r="C113" s="2865"/>
      <c r="D113" s="2866">
        <f>D58</f>
        <v>189680.510131321</v>
      </c>
      <c r="E113" s="2866"/>
      <c r="F113" s="901">
        <f>F58</f>
        <v>0.15254237288135591</v>
      </c>
      <c r="G113" s="2867">
        <f>G58</f>
        <v>28934.315104777779</v>
      </c>
      <c r="H113" s="2867"/>
      <c r="I113" s="2868">
        <f>I58</f>
        <v>2363.9146327432827</v>
      </c>
      <c r="J113" s="2868"/>
      <c r="K113" s="2868"/>
      <c r="L113" s="3031">
        <f>L58</f>
        <v>0.18</v>
      </c>
      <c r="M113" s="3031"/>
      <c r="N113" s="3031"/>
      <c r="O113" s="3031"/>
      <c r="P113" s="1137"/>
      <c r="Q113" s="902" t="s">
        <v>980</v>
      </c>
      <c r="T113" s="2942">
        <f>T58</f>
        <v>160746.19502654322</v>
      </c>
      <c r="U113" s="2942"/>
      <c r="W113" s="898"/>
    </row>
    <row r="114" spans="1:23">
      <c r="A114" s="904"/>
      <c r="B114" s="905"/>
      <c r="C114" s="905"/>
      <c r="D114" s="905"/>
      <c r="E114" s="905"/>
      <c r="F114" s="905"/>
      <c r="G114" s="905"/>
      <c r="H114" s="905"/>
      <c r="I114" s="905"/>
      <c r="J114" s="905"/>
      <c r="K114" s="905"/>
      <c r="L114" s="905"/>
      <c r="M114" s="905"/>
      <c r="N114" s="905"/>
      <c r="O114" s="905"/>
      <c r="P114" s="905"/>
      <c r="Q114" s="905"/>
      <c r="R114" s="905"/>
      <c r="S114" s="905"/>
      <c r="T114" s="905"/>
      <c r="U114" s="905"/>
      <c r="V114" s="905"/>
      <c r="W114" s="913"/>
    </row>
    <row r="115" spans="1:23">
      <c r="A115" s="626"/>
      <c r="B115" s="626"/>
      <c r="C115" s="626"/>
      <c r="D115" s="626"/>
      <c r="E115" s="626"/>
      <c r="F115" s="626"/>
      <c r="G115" s="626"/>
      <c r="H115" s="626"/>
      <c r="I115" s="626"/>
      <c r="J115" s="626"/>
      <c r="K115" s="626"/>
      <c r="L115" s="626"/>
      <c r="M115" s="626"/>
      <c r="N115" s="626"/>
      <c r="O115" s="626"/>
      <c r="P115" s="626"/>
      <c r="Q115" s="626"/>
      <c r="R115" s="626"/>
      <c r="S115" s="626"/>
      <c r="T115" s="626"/>
      <c r="U115" s="626"/>
      <c r="V115" s="626"/>
      <c r="W115" s="626"/>
    </row>
    <row r="116" spans="1:23">
      <c r="A116" s="626"/>
      <c r="B116" s="626"/>
      <c r="C116" s="626"/>
      <c r="D116" s="626"/>
      <c r="E116" s="626"/>
      <c r="F116" s="626"/>
      <c r="G116" s="626"/>
      <c r="H116" s="626"/>
      <c r="I116" s="626"/>
      <c r="J116" s="626"/>
      <c r="K116" s="626"/>
      <c r="L116" s="626"/>
      <c r="M116" s="626"/>
      <c r="N116" s="626"/>
      <c r="O116" s="626"/>
      <c r="P116" s="626"/>
      <c r="Q116" s="626"/>
      <c r="R116" s="626"/>
      <c r="S116" s="626"/>
      <c r="T116" s="626"/>
      <c r="U116" s="626"/>
      <c r="V116" s="626"/>
      <c r="W116" s="626"/>
    </row>
    <row r="117" spans="1:23">
      <c r="A117" s="626"/>
      <c r="B117" s="626"/>
      <c r="C117" s="626"/>
      <c r="D117" s="626"/>
      <c r="E117" s="626"/>
      <c r="F117" s="626"/>
      <c r="G117" s="626"/>
      <c r="H117" s="626"/>
      <c r="I117" s="626"/>
      <c r="J117" s="626"/>
      <c r="K117" s="626"/>
      <c r="L117" s="626"/>
      <c r="M117" s="626"/>
      <c r="N117" s="626"/>
      <c r="O117" s="626"/>
      <c r="P117" s="626"/>
      <c r="Q117" s="626"/>
      <c r="R117" s="626"/>
      <c r="S117" s="626"/>
      <c r="T117" s="626"/>
      <c r="U117" s="626"/>
      <c r="V117" s="626"/>
      <c r="W117" s="626"/>
    </row>
    <row r="118" spans="1:23">
      <c r="A118" s="680" t="s">
        <v>1055</v>
      </c>
      <c r="B118" s="692" t="s">
        <v>797</v>
      </c>
      <c r="C118" s="387"/>
      <c r="D118" s="690">
        <f>T113-D119</f>
        <v>0</v>
      </c>
    </row>
    <row r="119" spans="1:23">
      <c r="A119" s="700" t="s">
        <v>1074</v>
      </c>
      <c r="B119" s="662"/>
      <c r="C119" s="654"/>
      <c r="D119" s="1895">
        <f>SUM(D120:D178)-D152-D162</f>
        <v>160746.1950265432</v>
      </c>
    </row>
    <row r="120" spans="1:23">
      <c r="A120" s="1244">
        <f>Summary!AV74</f>
        <v>70001</v>
      </c>
      <c r="B120" s="707" t="str">
        <f>Summary!AW74</f>
        <v>General Requirements</v>
      </c>
      <c r="C120" s="296"/>
      <c r="D120" s="1071"/>
    </row>
    <row r="121" spans="1:23">
      <c r="A121" s="1244">
        <f>Summary!AV75</f>
        <v>70002</v>
      </c>
      <c r="B121" s="707" t="str">
        <f>Summary!AW75</f>
        <v>Lumber</v>
      </c>
      <c r="C121" s="296"/>
      <c r="D121" s="1072">
        <f>SUM(W67:W86)</f>
        <v>20793.810156250001</v>
      </c>
    </row>
    <row r="122" spans="1:23">
      <c r="A122" s="1244">
        <f>Summary!AV76</f>
        <v>70003</v>
      </c>
      <c r="B122" s="707" t="str">
        <f>Summary!AW76</f>
        <v>Sand Material</v>
      </c>
      <c r="C122" s="296"/>
      <c r="D122" s="1072">
        <f>N75</f>
        <v>0</v>
      </c>
    </row>
    <row r="123" spans="1:23">
      <c r="A123" s="1244">
        <f>Summary!AV77</f>
        <v>70004</v>
      </c>
      <c r="B123" s="707" t="str">
        <f>Summary!AW77</f>
        <v>Rock Material</v>
      </c>
      <c r="C123" s="296"/>
      <c r="D123" s="1072">
        <f>N76</f>
        <v>0</v>
      </c>
    </row>
    <row r="124" spans="1:23">
      <c r="A124" s="1244">
        <f>Summary!AV78</f>
        <v>70005</v>
      </c>
      <c r="B124" s="707" t="str">
        <f>Summary!AW78</f>
        <v>Reinforcement Material</v>
      </c>
      <c r="C124" s="296"/>
      <c r="D124" s="1072">
        <f>N72+N73</f>
        <v>31540.635371574714</v>
      </c>
    </row>
    <row r="125" spans="1:23">
      <c r="A125" s="1244">
        <f>Summary!AV79</f>
        <v>70006</v>
      </c>
      <c r="B125" s="707" t="str">
        <f>Summary!AW79</f>
        <v>Reinforcement Accessories</v>
      </c>
      <c r="C125" s="296"/>
      <c r="D125" s="1072">
        <f>SUM(W97:W99)+W108</f>
        <v>896.51832642600004</v>
      </c>
    </row>
    <row r="126" spans="1:23">
      <c r="A126" s="1244">
        <f>Summary!AV80</f>
        <v>70007</v>
      </c>
      <c r="B126" s="707" t="str">
        <f>Summary!AW80</f>
        <v>PT Cables</v>
      </c>
      <c r="C126" s="296"/>
      <c r="D126" s="1072">
        <f>N74</f>
        <v>0</v>
      </c>
    </row>
    <row r="127" spans="1:23">
      <c r="A127" s="1244">
        <f>Summary!AV81</f>
        <v>70008</v>
      </c>
      <c r="B127" s="707" t="str">
        <f>Summary!AW81</f>
        <v>Concrete Material</v>
      </c>
      <c r="C127" s="296"/>
      <c r="D127" s="1072">
        <f>SUM(N67:O71)</f>
        <v>24626.875</v>
      </c>
    </row>
    <row r="128" spans="1:23">
      <c r="A128" s="1244">
        <f>Summary!AV82</f>
        <v>70009</v>
      </c>
      <c r="B128" s="707" t="str">
        <f>Summary!AW82</f>
        <v>Carton Forms</v>
      </c>
      <c r="C128" s="296"/>
      <c r="D128" s="1072">
        <f>SUM(N77:O79)</f>
        <v>0</v>
      </c>
    </row>
    <row r="129" spans="1:4">
      <c r="A129" s="1244">
        <f>Summary!AV83</f>
        <v>70010</v>
      </c>
      <c r="B129" s="707" t="str">
        <f>Summary!AW83</f>
        <v>Cure/Sealers</v>
      </c>
      <c r="C129" s="296"/>
      <c r="D129" s="1072">
        <f>SUM(W103:W105)</f>
        <v>542</v>
      </c>
    </row>
    <row r="130" spans="1:4">
      <c r="A130" s="1244">
        <f>Summary!AV84</f>
        <v>70011</v>
      </c>
      <c r="B130" s="707" t="str">
        <f>Summary!AW84</f>
        <v>Patch/Grout</v>
      </c>
      <c r="C130" s="296"/>
      <c r="D130" s="1072"/>
    </row>
    <row r="131" spans="1:4">
      <c r="A131" s="1244">
        <f>Summary!AV85</f>
        <v>70012</v>
      </c>
      <c r="B131" s="707" t="str">
        <f>Summary!AW85</f>
        <v>Poly/Vapor Barrier</v>
      </c>
      <c r="C131" s="296"/>
      <c r="D131" s="1072"/>
    </row>
    <row r="132" spans="1:4">
      <c r="A132" s="1244">
        <f>Summary!AV86</f>
        <v>70013</v>
      </c>
      <c r="B132" s="707" t="str">
        <f>Summary!AW86</f>
        <v>Special Material</v>
      </c>
      <c r="C132" s="296"/>
      <c r="D132" s="1072">
        <f>W100</f>
        <v>0</v>
      </c>
    </row>
    <row r="133" spans="1:4">
      <c r="A133" s="1244">
        <f>Summary!AV87</f>
        <v>70014</v>
      </c>
      <c r="B133" s="707" t="str">
        <f>Summary!AW87</f>
        <v>Special Material</v>
      </c>
      <c r="C133" s="296"/>
      <c r="D133" s="1072">
        <f>W101</f>
        <v>0</v>
      </c>
    </row>
    <row r="134" spans="1:4">
      <c r="A134" s="1244">
        <f>Summary!AV88</f>
        <v>70015</v>
      </c>
      <c r="B134" s="707" t="str">
        <f>Summary!AW88</f>
        <v>PPE/Safety</v>
      </c>
      <c r="C134" s="296"/>
      <c r="D134" s="1072">
        <f>W102</f>
        <v>0</v>
      </c>
    </row>
    <row r="135" spans="1:4">
      <c r="A135" s="1244">
        <f>Summary!AV89</f>
        <v>70020</v>
      </c>
      <c r="B135" s="707" t="str">
        <f>Summary!AW89</f>
        <v>Supervision</v>
      </c>
      <c r="C135" s="296"/>
      <c r="D135" s="1896">
        <f>SUM(N92:O93)</f>
        <v>11475</v>
      </c>
    </row>
    <row r="136" spans="1:4">
      <c r="A136" s="1244">
        <f>Summary!AV90</f>
        <v>70021</v>
      </c>
      <c r="B136" s="707" t="str">
        <f>Summary!AW90</f>
        <v>Supervision Expense</v>
      </c>
      <c r="C136" s="296"/>
      <c r="D136" s="1072">
        <f>SUM(N94)</f>
        <v>1700</v>
      </c>
    </row>
    <row r="137" spans="1:4">
      <c r="A137" s="1244">
        <f>Summary!AV91</f>
        <v>70022</v>
      </c>
      <c r="B137" s="707" t="str">
        <f>Summary!AW91</f>
        <v>Project Management</v>
      </c>
      <c r="C137" s="296"/>
      <c r="D137" s="1072">
        <f>N95</f>
        <v>3400</v>
      </c>
    </row>
    <row r="138" spans="1:4">
      <c r="A138" s="1244">
        <f>Summary!AV92</f>
        <v>70023</v>
      </c>
      <c r="B138" s="707" t="str">
        <f>Summary!AW92</f>
        <v>Labor Grade, Poly, Reinf.</v>
      </c>
      <c r="C138" s="296"/>
      <c r="D138" s="1072"/>
    </row>
    <row r="139" spans="1:4">
      <c r="A139" s="1244">
        <f>Summary!AV93</f>
        <v>70024</v>
      </c>
      <c r="B139" s="707" t="str">
        <f>Summary!AW93</f>
        <v>Labor Place &amp; Finish</v>
      </c>
      <c r="C139" s="296"/>
      <c r="D139" s="1072">
        <f>SUM(K84)</f>
        <v>0</v>
      </c>
    </row>
    <row r="140" spans="1:4">
      <c r="A140" s="1244">
        <f>Summary!AV94</f>
        <v>70025</v>
      </c>
      <c r="B140" s="707" t="str">
        <f>Summary!AW94</f>
        <v>Labor Drops</v>
      </c>
      <c r="C140" s="296"/>
      <c r="D140" s="1072"/>
    </row>
    <row r="141" spans="1:4">
      <c r="A141" s="1244">
        <f>Summary!AV95</f>
        <v>70026</v>
      </c>
      <c r="B141" s="707" t="str">
        <f>Summary!AW95</f>
        <v>Labor Strip Forms</v>
      </c>
      <c r="C141" s="296"/>
      <c r="D141" s="1072">
        <f>SUM(K85:L86)</f>
        <v>0</v>
      </c>
    </row>
    <row r="142" spans="1:4">
      <c r="A142" s="1244">
        <f>Summary!AV96</f>
        <v>70027</v>
      </c>
      <c r="B142" s="707" t="str">
        <f>Summary!AW96</f>
        <v>Labor Burden</v>
      </c>
      <c r="C142" s="296"/>
      <c r="D142" s="1072"/>
    </row>
    <row r="143" spans="1:4">
      <c r="A143" s="1244">
        <f>Summary!AV98</f>
        <v>70030</v>
      </c>
      <c r="B143" s="707" t="str">
        <f>Summary!AW98</f>
        <v>Pumping</v>
      </c>
      <c r="C143" s="296"/>
      <c r="D143" s="1072">
        <f>N104</f>
        <v>2600</v>
      </c>
    </row>
    <row r="144" spans="1:4">
      <c r="A144" s="1244">
        <f>Summary!AV99</f>
        <v>70031</v>
      </c>
      <c r="B144" s="707" t="str">
        <f>Summary!AW99</f>
        <v>Earth Work/Excavation</v>
      </c>
      <c r="C144" s="296"/>
      <c r="D144" s="1072"/>
    </row>
    <row r="145" spans="1:4">
      <c r="A145" s="1244">
        <f>Summary!AV100</f>
        <v>70032</v>
      </c>
      <c r="B145" s="707" t="str">
        <f>Summary!AW100</f>
        <v>Drilling</v>
      </c>
      <c r="C145" s="296"/>
      <c r="D145" s="1072"/>
    </row>
    <row r="146" spans="1:4">
      <c r="A146" s="1244">
        <f>Summary!AV101</f>
        <v>70033</v>
      </c>
      <c r="B146" s="707" t="str">
        <f>Summary!AW101</f>
        <v>Haul off</v>
      </c>
      <c r="C146" s="296"/>
      <c r="D146" s="1072">
        <f>N108+W96</f>
        <v>0</v>
      </c>
    </row>
    <row r="147" spans="1:4">
      <c r="A147" s="1244">
        <f>Summary!AV102</f>
        <v>70034</v>
      </c>
      <c r="B147" s="707" t="str">
        <f>Summary!AW102</f>
        <v>Saw Cutting/Sealing</v>
      </c>
      <c r="C147" s="296"/>
      <c r="D147" s="1072">
        <f>N106</f>
        <v>0</v>
      </c>
    </row>
    <row r="148" spans="1:4">
      <c r="A148" s="1244">
        <f>Summary!AV103</f>
        <v>70035</v>
      </c>
      <c r="B148" s="707" t="str">
        <f>Summary!AW103</f>
        <v>Demolition</v>
      </c>
      <c r="C148" s="296"/>
      <c r="D148" s="1072"/>
    </row>
    <row r="149" spans="1:4">
      <c r="A149" s="1244">
        <f>Summary!AV104</f>
        <v>70037</v>
      </c>
      <c r="B149" s="707" t="str">
        <f>Summary!AW104</f>
        <v>Waterproofing</v>
      </c>
      <c r="C149" s="296"/>
      <c r="D149" s="1072"/>
    </row>
    <row r="150" spans="1:4">
      <c r="A150" s="1244">
        <f>Summary!AV105</f>
        <v>70038</v>
      </c>
      <c r="B150" s="707" t="str">
        <f>Summary!AW105</f>
        <v>Crain/Hoisting</v>
      </c>
      <c r="C150" s="296"/>
      <c r="D150" s="1072"/>
    </row>
    <row r="151" spans="1:4">
      <c r="A151" s="1246">
        <f>Summary!AV106</f>
        <v>70039</v>
      </c>
      <c r="B151" s="753" t="str">
        <f>Summary!AW106</f>
        <v>Forming Systems</v>
      </c>
      <c r="C151" s="765"/>
      <c r="D151" s="1076">
        <f>N80</f>
        <v>0</v>
      </c>
    </row>
    <row r="152" spans="1:4">
      <c r="A152" s="1833">
        <f>Summary!AV107</f>
        <v>70040</v>
      </c>
      <c r="B152" s="1834" t="str">
        <f>Summary!AW107</f>
        <v>Total Sub Labor</v>
      </c>
      <c r="C152" s="1835"/>
      <c r="D152" s="1897">
        <f>SUM(D153:D160)</f>
        <v>43913.831172292499</v>
      </c>
    </row>
    <row r="153" spans="1:4">
      <c r="A153" s="1244">
        <f>Summary!AV108</f>
        <v>70041</v>
      </c>
      <c r="B153" s="707" t="str">
        <f>Summary!AW108</f>
        <v>Labor Forming</v>
      </c>
      <c r="C153" s="296"/>
      <c r="D153" s="1071">
        <f>N82+N83</f>
        <v>20508</v>
      </c>
    </row>
    <row r="154" spans="1:4">
      <c r="A154" s="1244">
        <f>Summary!AV109</f>
        <v>70042</v>
      </c>
      <c r="B154" s="707" t="str">
        <f>Summary!AW109</f>
        <v>Labor Grade, Poly, Reinf.</v>
      </c>
      <c r="C154" s="715"/>
      <c r="D154" s="1072"/>
    </row>
    <row r="155" spans="1:4">
      <c r="A155" s="1244">
        <f>Summary!AV110</f>
        <v>70043</v>
      </c>
      <c r="B155" s="707" t="str">
        <f>Summary!AW110</f>
        <v>Labor Place &amp; Finish</v>
      </c>
      <c r="C155" s="715"/>
      <c r="D155" s="1072">
        <f>N84</f>
        <v>8325</v>
      </c>
    </row>
    <row r="156" spans="1:4">
      <c r="A156" s="1244">
        <f>Summary!AV111</f>
        <v>70044</v>
      </c>
      <c r="B156" s="707" t="str">
        <f>Summary!AW111</f>
        <v>Labor Drops</v>
      </c>
      <c r="C156" s="715"/>
      <c r="D156" s="1072"/>
    </row>
    <row r="157" spans="1:4">
      <c r="A157" s="1244">
        <f>Summary!AV112</f>
        <v>70045</v>
      </c>
      <c r="B157" s="707" t="str">
        <f>Summary!AW112</f>
        <v>Labor Strip Forms</v>
      </c>
      <c r="C157" s="715"/>
      <c r="D157" s="1072">
        <f>N85</f>
        <v>3330</v>
      </c>
    </row>
    <row r="158" spans="1:4">
      <c r="A158" s="1244">
        <f>Summary!AV113</f>
        <v>70046</v>
      </c>
      <c r="B158" s="707" t="str">
        <f>Summary!AW113</f>
        <v>Labor Burden</v>
      </c>
      <c r="C158" s="296"/>
      <c r="D158" s="1072">
        <f>N86</f>
        <v>1665</v>
      </c>
    </row>
    <row r="159" spans="1:4">
      <c r="A159" s="1244">
        <f>Summary!AV114</f>
        <v>70047</v>
      </c>
      <c r="B159" s="707" t="str">
        <f>Summary!AW114</f>
        <v>Rebar</v>
      </c>
      <c r="C159" s="715"/>
      <c r="D159" s="1072">
        <f>N87</f>
        <v>10085.831172292499</v>
      </c>
    </row>
    <row r="160" spans="1:4">
      <c r="A160" s="1246">
        <f>Summary!AV115</f>
        <v>70048</v>
      </c>
      <c r="B160" s="753" t="str">
        <f>Summary!AW115</f>
        <v>PT Installation</v>
      </c>
      <c r="C160" s="765"/>
      <c r="D160" s="1076">
        <f>N88</f>
        <v>0</v>
      </c>
    </row>
    <row r="161" spans="1:4">
      <c r="A161" s="1246">
        <f>Summary!AV116</f>
        <v>70049</v>
      </c>
      <c r="B161" s="753" t="str">
        <f>Summary!AW116</f>
        <v>Extra Hours</v>
      </c>
      <c r="C161" s="765"/>
      <c r="D161" s="1076">
        <f>N89</f>
        <v>0</v>
      </c>
    </row>
    <row r="162" spans="1:4">
      <c r="A162" s="1833">
        <f>Summary!AV117</f>
        <v>70060</v>
      </c>
      <c r="B162" s="1834" t="str">
        <f>Summary!AW117</f>
        <v>Total Equipment Rental</v>
      </c>
      <c r="C162" s="1835"/>
      <c r="D162" s="1897">
        <f>SUM(D163:D170)</f>
        <v>19257.525000000001</v>
      </c>
    </row>
    <row r="163" spans="1:4">
      <c r="A163" s="1244">
        <f>Summary!AV118</f>
        <v>70061</v>
      </c>
      <c r="B163" s="707" t="str">
        <f>Summary!AW118</f>
        <v>SkyTrack</v>
      </c>
      <c r="C163" s="296"/>
      <c r="D163" s="1071">
        <f>N97/(1+V$57+I$99)</f>
        <v>3825</v>
      </c>
    </row>
    <row r="164" spans="1:4">
      <c r="A164" s="1244">
        <f>Summary!AV119</f>
        <v>70062</v>
      </c>
      <c r="B164" s="707" t="str">
        <f>Summary!AW119</f>
        <v>Mini Excavator</v>
      </c>
      <c r="C164" s="296"/>
      <c r="D164" s="1071">
        <f>N98</f>
        <v>6765.1875</v>
      </c>
    </row>
    <row r="165" spans="1:4">
      <c r="A165" s="1244">
        <f>Summary!AV120</f>
        <v>70063</v>
      </c>
      <c r="B165" s="707" t="str">
        <f>Summary!AW120</f>
        <v>Trencher</v>
      </c>
      <c r="C165" s="296"/>
      <c r="D165" s="1071">
        <f>N99/(1+V$57+I$99)</f>
        <v>0</v>
      </c>
    </row>
    <row r="166" spans="1:4">
      <c r="A166" s="1244">
        <f>Summary!AV121</f>
        <v>70064</v>
      </c>
      <c r="B166" s="707" t="str">
        <f>Summary!AW121</f>
        <v>Skid Steer</v>
      </c>
      <c r="C166" s="296"/>
      <c r="D166" s="1071">
        <f>N100/(1+V$57+I$99)</f>
        <v>2925</v>
      </c>
    </row>
    <row r="167" spans="1:4">
      <c r="A167" s="1244">
        <f>Summary!AV122</f>
        <v>70065</v>
      </c>
      <c r="B167" s="707" t="str">
        <f>Summary!AW122</f>
        <v>General Equipment Rental</v>
      </c>
      <c r="C167" s="296"/>
      <c r="D167" s="1071">
        <f>(N101+N102)/(1+V$57+I$99)</f>
        <v>1144.0521327014219</v>
      </c>
    </row>
    <row r="168" spans="1:4">
      <c r="A168" s="1244">
        <f>Summary!AV123</f>
        <v>70066</v>
      </c>
      <c r="B168" s="707" t="str">
        <f>Summary!AW123</f>
        <v>Fuel</v>
      </c>
      <c r="C168" s="296"/>
      <c r="D168" s="1072">
        <f>L99-SUM(D163:D167)-D150</f>
        <v>4598.2853672985802</v>
      </c>
    </row>
    <row r="169" spans="1:4">
      <c r="A169" s="1244">
        <f>Summary!AV124</f>
        <v>70067</v>
      </c>
      <c r="B169" s="707" t="str">
        <f>Summary!AW124</f>
        <v>Purchased Tools</v>
      </c>
      <c r="C169" s="296"/>
      <c r="D169" s="1071"/>
    </row>
    <row r="170" spans="1:4" s="373" customFormat="1">
      <c r="A170" s="1244">
        <f>Summary!AV125</f>
        <v>70068</v>
      </c>
      <c r="B170" s="707" t="str">
        <f>Summary!AW125</f>
        <v>Stolen/Damaged</v>
      </c>
      <c r="C170" s="296"/>
      <c r="D170" s="1071"/>
    </row>
    <row r="171" spans="1:4">
      <c r="A171" s="1244">
        <f>Summary!AV126</f>
        <v>70070</v>
      </c>
      <c r="B171" s="707" t="str">
        <f>Summary!AW126</f>
        <v>Out of Town Expense</v>
      </c>
      <c r="C171" s="296"/>
      <c r="D171" s="1071">
        <f>N109</f>
        <v>0</v>
      </c>
    </row>
    <row r="172" spans="1:4">
      <c r="A172" s="1244">
        <f>Summary!AV127</f>
        <v>70071</v>
      </c>
      <c r="B172" s="707" t="str">
        <f>Summary!AW127</f>
        <v>Miscellaneous</v>
      </c>
      <c r="C172" s="296"/>
      <c r="D172" s="1071">
        <f>N107</f>
        <v>0</v>
      </c>
    </row>
    <row r="173" spans="1:4">
      <c r="A173" s="1244">
        <f>Summary!AV128</f>
        <v>70072</v>
      </c>
      <c r="B173" s="707" t="str">
        <f>Summary!AW128</f>
        <v>Repairs</v>
      </c>
      <c r="C173" s="296"/>
      <c r="D173" s="1071"/>
    </row>
    <row r="174" spans="1:4">
      <c r="A174" s="1244">
        <f>Summary!AV129</f>
        <v>70073</v>
      </c>
      <c r="B174" s="707" t="str">
        <f>Summary!AW129</f>
        <v>Engineering</v>
      </c>
      <c r="C174" s="296"/>
      <c r="D174" s="1071"/>
    </row>
    <row r="175" spans="1:4">
      <c r="A175" s="1244">
        <f>Summary!AV130</f>
        <v>70090</v>
      </c>
      <c r="B175" s="707" t="str">
        <f>Summary!AW130</f>
        <v>Not Used</v>
      </c>
      <c r="C175" s="296"/>
      <c r="D175" s="1072"/>
    </row>
    <row r="176" spans="1:4">
      <c r="A176" s="1244">
        <f>Summary!AV131</f>
        <v>70091</v>
      </c>
      <c r="B176" s="707" t="str">
        <f>Summary!AW131</f>
        <v>Margin Contingency</v>
      </c>
      <c r="C176" s="296"/>
      <c r="D176" s="1072">
        <f>N110</f>
        <v>0</v>
      </c>
    </row>
  </sheetData>
  <mergeCells count="181">
    <mergeCell ref="T113:U113"/>
    <mergeCell ref="A110:C110"/>
    <mergeCell ref="N110:O110"/>
    <mergeCell ref="A112:C112"/>
    <mergeCell ref="D112:E112"/>
    <mergeCell ref="F112:H112"/>
    <mergeCell ref="I112:K112"/>
    <mergeCell ref="L112:M112"/>
    <mergeCell ref="B113:C113"/>
    <mergeCell ref="D113:E113"/>
    <mergeCell ref="G113:H113"/>
    <mergeCell ref="I113:K113"/>
    <mergeCell ref="L113:O113"/>
    <mergeCell ref="A106:C106"/>
    <mergeCell ref="N106:O106"/>
    <mergeCell ref="A107:C107"/>
    <mergeCell ref="N107:O107"/>
    <mergeCell ref="Q107:R107"/>
    <mergeCell ref="A108:C108"/>
    <mergeCell ref="N108:O108"/>
    <mergeCell ref="U108:V108"/>
    <mergeCell ref="A109:C109"/>
    <mergeCell ref="N109:O109"/>
    <mergeCell ref="I99:J100"/>
    <mergeCell ref="L99:M99"/>
    <mergeCell ref="N99:O99"/>
    <mergeCell ref="N100:O100"/>
    <mergeCell ref="N101:O101"/>
    <mergeCell ref="N102:O102"/>
    <mergeCell ref="A104:C104"/>
    <mergeCell ref="N104:O104"/>
    <mergeCell ref="A105:C105"/>
    <mergeCell ref="N105:O105"/>
    <mergeCell ref="L93:M93"/>
    <mergeCell ref="N93:O93"/>
    <mergeCell ref="N94:O94"/>
    <mergeCell ref="L95:M95"/>
    <mergeCell ref="N95:O95"/>
    <mergeCell ref="N97:O97"/>
    <mergeCell ref="I98:J98"/>
    <mergeCell ref="L98:M98"/>
    <mergeCell ref="N98:O98"/>
    <mergeCell ref="D89:E89"/>
    <mergeCell ref="K89:L89"/>
    <mergeCell ref="N89:O89"/>
    <mergeCell ref="D90:E90"/>
    <mergeCell ref="H90:J90"/>
    <mergeCell ref="K90:L90"/>
    <mergeCell ref="N90:O90"/>
    <mergeCell ref="L92:M92"/>
    <mergeCell ref="N92:O92"/>
    <mergeCell ref="D86:E86"/>
    <mergeCell ref="H86:I86"/>
    <mergeCell ref="K86:L86"/>
    <mergeCell ref="N86:O86"/>
    <mergeCell ref="D87:E87"/>
    <mergeCell ref="H87:I87"/>
    <mergeCell ref="K87:L87"/>
    <mergeCell ref="N87:O87"/>
    <mergeCell ref="D88:E88"/>
    <mergeCell ref="H88:I88"/>
    <mergeCell ref="K88:L88"/>
    <mergeCell ref="N88:O88"/>
    <mergeCell ref="K81:L81"/>
    <mergeCell ref="M81:O81"/>
    <mergeCell ref="D82:E82"/>
    <mergeCell ref="H82:I82"/>
    <mergeCell ref="K82:L82"/>
    <mergeCell ref="N82:O82"/>
    <mergeCell ref="D83:E83"/>
    <mergeCell ref="G83:G85"/>
    <mergeCell ref="H83:I85"/>
    <mergeCell ref="K83:L83"/>
    <mergeCell ref="N83:O83"/>
    <mergeCell ref="D84:E84"/>
    <mergeCell ref="K84:L84"/>
    <mergeCell ref="N84:O84"/>
    <mergeCell ref="D85:E85"/>
    <mergeCell ref="K85:L85"/>
    <mergeCell ref="N85:O85"/>
    <mergeCell ref="A78:C78"/>
    <mergeCell ref="K78:L78"/>
    <mergeCell ref="N78:O78"/>
    <mergeCell ref="A79:C79"/>
    <mergeCell ref="K79:L79"/>
    <mergeCell ref="N79:O79"/>
    <mergeCell ref="H80:I80"/>
    <mergeCell ref="K80:L80"/>
    <mergeCell ref="N80:O80"/>
    <mergeCell ref="H75:I76"/>
    <mergeCell ref="J75:J76"/>
    <mergeCell ref="K75:L75"/>
    <mergeCell ref="N75:O75"/>
    <mergeCell ref="K76:L76"/>
    <mergeCell ref="N76:O76"/>
    <mergeCell ref="H77:I79"/>
    <mergeCell ref="J77:J79"/>
    <mergeCell ref="K77:L77"/>
    <mergeCell ref="N77:O77"/>
    <mergeCell ref="H72:I72"/>
    <mergeCell ref="K72:L72"/>
    <mergeCell ref="N72:O72"/>
    <mergeCell ref="H73:I73"/>
    <mergeCell ref="K73:L73"/>
    <mergeCell ref="N73:O73"/>
    <mergeCell ref="I74:J74"/>
    <mergeCell ref="K74:L74"/>
    <mergeCell ref="N74:O74"/>
    <mergeCell ref="H67:I71"/>
    <mergeCell ref="J67:J71"/>
    <mergeCell ref="K67:L67"/>
    <mergeCell ref="N67:O67"/>
    <mergeCell ref="K68:L68"/>
    <mergeCell ref="N68:O68"/>
    <mergeCell ref="K69:L69"/>
    <mergeCell ref="N69:O69"/>
    <mergeCell ref="K70:L70"/>
    <mergeCell ref="N70:O70"/>
    <mergeCell ref="K71:L71"/>
    <mergeCell ref="N71:O71"/>
    <mergeCell ref="T58:U58"/>
    <mergeCell ref="D59:E59"/>
    <mergeCell ref="J59:K59"/>
    <mergeCell ref="M59:N59"/>
    <mergeCell ref="T59:U59"/>
    <mergeCell ref="N61:O61"/>
    <mergeCell ref="R62:S62"/>
    <mergeCell ref="R63:S63"/>
    <mergeCell ref="K66:L66"/>
    <mergeCell ref="Q66:R66"/>
    <mergeCell ref="O55:R55"/>
    <mergeCell ref="D56:E56"/>
    <mergeCell ref="A57:C57"/>
    <mergeCell ref="D57:E57"/>
    <mergeCell ref="F57:H57"/>
    <mergeCell ref="I57:K57"/>
    <mergeCell ref="L57:M57"/>
    <mergeCell ref="B58:C58"/>
    <mergeCell ref="D58:E58"/>
    <mergeCell ref="G58:H58"/>
    <mergeCell ref="I58:K58"/>
    <mergeCell ref="L58:O58"/>
    <mergeCell ref="Q8:S8"/>
    <mergeCell ref="T8:T9"/>
    <mergeCell ref="U8:U9"/>
    <mergeCell ref="X8:AA8"/>
    <mergeCell ref="BG8:BL8"/>
    <mergeCell ref="A9:B9"/>
    <mergeCell ref="E54:H54"/>
    <mergeCell ref="K54:L54"/>
    <mergeCell ref="O54:R54"/>
    <mergeCell ref="C7:D7"/>
    <mergeCell ref="F7:H7"/>
    <mergeCell ref="I7:M7"/>
    <mergeCell ref="E8:E9"/>
    <mergeCell ref="F8:H8"/>
    <mergeCell ref="I8:J8"/>
    <mergeCell ref="K8:L8"/>
    <mergeCell ref="M8:N8"/>
    <mergeCell ref="O8:P8"/>
    <mergeCell ref="A4:D4"/>
    <mergeCell ref="I4:M4"/>
    <mergeCell ref="N4:O4"/>
    <mergeCell ref="P4:Q4"/>
    <mergeCell ref="C5:D5"/>
    <mergeCell ref="I5:M5"/>
    <mergeCell ref="N5:O5"/>
    <mergeCell ref="P5:Q5"/>
    <mergeCell ref="C6:D6"/>
    <mergeCell ref="I6:M6"/>
    <mergeCell ref="N6:O6"/>
    <mergeCell ref="P6:Q6"/>
    <mergeCell ref="T1:U1"/>
    <mergeCell ref="V1:W1"/>
    <mergeCell ref="A2:D2"/>
    <mergeCell ref="N2:O2"/>
    <mergeCell ref="P2:Q2"/>
    <mergeCell ref="A3:D3"/>
    <mergeCell ref="I3:M3"/>
    <mergeCell ref="N3:O3"/>
    <mergeCell ref="P3:Q3"/>
  </mergeCells>
  <conditionalFormatting sqref="K66:L66">
    <cfRule type="containsText" dxfId="3" priority="2" operator="containsText" text="Missing Concrete">
      <formula>NOT(ISERROR(SEARCH("Missing Concrete",K66)))</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59" max="16383" man="1"/>
  </rowBreak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B9CDE5"/>
    <pageSetUpPr fitToPage="1"/>
  </sheetPr>
  <dimension ref="A1:DY156"/>
  <sheetViews>
    <sheetView topLeftCell="A60" zoomScale="55" zoomScaleNormal="55" zoomScalePageLayoutView="70" workbookViewId="0">
      <selection activeCell="F76" sqref="F76"/>
    </sheetView>
  </sheetViews>
  <sheetFormatPr defaultColWidth="9.15234375" defaultRowHeight="15"/>
  <cols>
    <col min="1" max="1" width="27.84375" style="18" customWidth="1"/>
    <col min="2" max="2" width="11.4609375" style="18" customWidth="1"/>
    <col min="3" max="15" width="12.84375" style="18" customWidth="1"/>
    <col min="16" max="20" width="15.84375" style="18" customWidth="1"/>
    <col min="21" max="21" width="11.84375" style="18" customWidth="1"/>
    <col min="22" max="22" width="20.4609375" style="18" customWidth="1"/>
    <col min="23" max="23" width="5.15234375" customWidth="1"/>
    <col min="24" max="24" width="0.15234375" customWidth="1"/>
    <col min="30" max="30" width="12.4609375" customWidth="1"/>
    <col min="33" max="33" width="10.15234375" customWidth="1"/>
    <col min="48" max="48" width="12.53515625" customWidth="1"/>
    <col min="49" max="49" width="22" customWidth="1"/>
    <col min="50" max="51" width="15.15234375" customWidth="1"/>
    <col min="52" max="56" width="13.15234375" customWidth="1"/>
    <col min="57" max="57" width="12.84375" customWidth="1"/>
    <col min="58" max="58" width="12" customWidth="1"/>
    <col min="59" max="59" width="12.84375" customWidth="1"/>
    <col min="60" max="60" width="12" customWidth="1"/>
    <col min="61" max="61" width="11.84375" customWidth="1"/>
    <col min="62" max="64" width="13.15234375" customWidth="1"/>
    <col min="65" max="65" width="18.4609375" customWidth="1"/>
    <col min="73" max="113" width="9.15234375" hidden="1"/>
    <col min="117" max="117" width="10.84375" customWidth="1"/>
    <col min="126" max="126" width="5.84375" customWidth="1"/>
    <col min="127" max="127" width="8.53515625" customWidth="1"/>
    <col min="128" max="128" width="9.4609375" customWidth="1"/>
    <col min="129" max="129" width="12.84375" customWidth="1"/>
    <col min="130" max="16384" width="9.15234375" style="18"/>
  </cols>
  <sheetData>
    <row r="1" spans="1:118" s="626" customFormat="1" ht="33" customHeight="1">
      <c r="A1" s="791" t="s">
        <v>1355</v>
      </c>
      <c r="B1" s="18"/>
      <c r="S1" s="792" t="s">
        <v>1193</v>
      </c>
      <c r="T1" s="792"/>
      <c r="U1" s="2748">
        <v>37456</v>
      </c>
      <c r="V1" s="2748"/>
      <c r="W1" s="1254"/>
      <c r="X1" s="1254"/>
      <c r="AE1" s="1254"/>
      <c r="AF1" s="1254"/>
      <c r="AG1" s="1254"/>
      <c r="AH1" s="1254"/>
      <c r="AI1" s="1254"/>
      <c r="AJ1" s="1254"/>
      <c r="AK1" s="1254"/>
      <c r="AL1" s="1254"/>
      <c r="AM1" s="1254"/>
      <c r="AN1" s="1254"/>
      <c r="AO1" s="1254"/>
      <c r="AP1" s="1254"/>
      <c r="AQ1" s="1254"/>
      <c r="AR1" s="1254"/>
      <c r="AS1" s="1254"/>
      <c r="AT1" s="1254"/>
      <c r="AU1" s="1254"/>
      <c r="AV1" s="1254"/>
      <c r="AW1" s="1254"/>
      <c r="AX1" s="1254"/>
      <c r="AY1" s="1254"/>
      <c r="AZ1" s="1254"/>
      <c r="BA1" s="1254"/>
      <c r="BB1" s="1254"/>
      <c r="BC1" s="1254"/>
      <c r="BD1" s="1254"/>
      <c r="BE1" s="1254"/>
      <c r="BF1" s="1254"/>
      <c r="BG1" s="1254"/>
      <c r="BH1" s="1254"/>
      <c r="BI1" s="1254"/>
      <c r="BJ1" s="1254"/>
      <c r="BK1" s="1254"/>
      <c r="BL1" s="1254"/>
      <c r="BM1" s="1254"/>
      <c r="BN1" s="1254"/>
      <c r="BO1" s="1254"/>
      <c r="BP1" s="1254"/>
      <c r="BQ1" s="1254"/>
      <c r="BR1" s="1254"/>
      <c r="BS1" s="1254"/>
      <c r="BT1" s="1254"/>
      <c r="BU1" s="1254"/>
      <c r="BV1" s="1254"/>
      <c r="BW1" s="1254"/>
      <c r="BX1" s="1254"/>
      <c r="BY1" s="1254"/>
      <c r="BZ1" s="1254"/>
      <c r="CA1" s="1254"/>
      <c r="CB1" s="1254"/>
      <c r="CC1" s="1254"/>
      <c r="CD1" s="1254"/>
      <c r="CE1" s="1254"/>
      <c r="CF1" s="1254"/>
      <c r="CG1" s="1254"/>
      <c r="CH1" s="1254"/>
      <c r="CI1" s="1254"/>
      <c r="CJ1" s="1254"/>
      <c r="CK1" s="1254"/>
      <c r="CL1" s="1254"/>
      <c r="CM1" s="1254"/>
      <c r="CN1" s="1254"/>
      <c r="CO1" s="1254"/>
      <c r="CP1" s="1254"/>
      <c r="CQ1" s="1254"/>
      <c r="CR1" s="1254"/>
      <c r="CS1" s="1254"/>
      <c r="CT1" s="1254"/>
      <c r="CU1" s="1254"/>
      <c r="CV1" s="1254"/>
      <c r="CW1" s="1254"/>
      <c r="CX1" s="1254"/>
      <c r="CY1" s="1254"/>
      <c r="CZ1" s="1254"/>
      <c r="DA1" s="1254"/>
      <c r="DB1" s="1254"/>
      <c r="DC1" s="1254"/>
      <c r="DD1" s="1254"/>
      <c r="DE1" s="1254"/>
      <c r="DF1" s="1254"/>
      <c r="DG1" s="1254"/>
      <c r="DH1" s="1254"/>
      <c r="DI1" s="1254"/>
      <c r="DJ1" s="1254"/>
      <c r="DK1" s="1254"/>
      <c r="DL1" s="1254"/>
      <c r="DM1" s="1254"/>
      <c r="DN1" s="1254"/>
    </row>
    <row r="2" spans="1:118" s="626" customFormat="1" ht="24" customHeight="1">
      <c r="A2" s="2749" t="str">
        <f>Summary!C1</f>
        <v>Trammell Crow – LBJ</v>
      </c>
      <c r="B2" s="2749"/>
      <c r="C2" s="2749"/>
      <c r="D2" s="2749"/>
      <c r="G2" s="381"/>
      <c r="H2" s="1140" t="s">
        <v>56</v>
      </c>
      <c r="I2" s="983"/>
      <c r="J2" s="1085" t="s">
        <v>57</v>
      </c>
      <c r="K2" s="983"/>
      <c r="L2" s="983"/>
      <c r="M2" s="983"/>
      <c r="N2" s="2750" t="s">
        <v>1</v>
      </c>
      <c r="O2" s="2750"/>
      <c r="P2" s="2751" t="s">
        <v>1194</v>
      </c>
      <c r="Q2" s="2751"/>
      <c r="S2" s="795" t="s">
        <v>957</v>
      </c>
      <c r="T2" s="663"/>
      <c r="U2" s="796">
        <f>Information!C7</f>
        <v>0</v>
      </c>
      <c r="V2" s="797"/>
      <c r="W2" s="1254"/>
      <c r="X2" s="1254"/>
      <c r="AE2" s="1254"/>
      <c r="AF2" s="1254"/>
      <c r="AG2" s="1254"/>
      <c r="AH2" s="1254"/>
      <c r="AI2" s="1254"/>
      <c r="AJ2" s="1254"/>
      <c r="AK2" s="1254"/>
      <c r="AL2" s="1254"/>
      <c r="AM2" s="1254"/>
      <c r="AN2" s="1254"/>
      <c r="AO2" s="1254"/>
      <c r="AP2" s="1254"/>
      <c r="AQ2" s="1254"/>
      <c r="AR2" s="1254"/>
      <c r="AS2" s="1254"/>
      <c r="AT2" s="1254"/>
      <c r="AU2" s="1254"/>
      <c r="AV2" s="1254"/>
      <c r="AW2" s="1254"/>
      <c r="AX2" s="1254"/>
      <c r="AY2" s="1254"/>
      <c r="AZ2" s="1254"/>
      <c r="BA2" s="1254"/>
      <c r="BB2" s="1254"/>
      <c r="BC2" s="1254"/>
      <c r="BD2" s="1254"/>
      <c r="BE2" s="1254"/>
      <c r="BF2" s="1254"/>
      <c r="BG2" s="1254"/>
      <c r="BH2" s="1254"/>
      <c r="BI2" s="1254"/>
      <c r="BJ2" s="1254"/>
      <c r="BK2" s="1254"/>
      <c r="BL2" s="1254"/>
      <c r="BM2" s="1254"/>
      <c r="BN2" s="1254"/>
      <c r="BO2" s="1254"/>
      <c r="BP2" s="1254"/>
      <c r="BQ2" s="1254"/>
      <c r="BR2" s="1254"/>
      <c r="BS2" s="1254"/>
      <c r="BT2" s="1254"/>
      <c r="BU2" s="1254"/>
      <c r="BV2" s="1254"/>
      <c r="BW2" s="1254"/>
      <c r="BX2" s="1254"/>
      <c r="BY2" s="1254"/>
      <c r="BZ2" s="1254"/>
      <c r="CA2" s="1254"/>
      <c r="CB2" s="1254"/>
      <c r="CC2" s="1254"/>
      <c r="CD2" s="1254"/>
      <c r="CE2" s="1254"/>
      <c r="CF2" s="1254"/>
      <c r="CG2" s="1254"/>
      <c r="CH2" s="1254"/>
      <c r="CI2" s="1254"/>
      <c r="CJ2" s="1254"/>
      <c r="CK2" s="1254"/>
      <c r="CL2" s="1254"/>
      <c r="CM2" s="1254"/>
      <c r="CN2" s="1254"/>
      <c r="CO2" s="1254"/>
      <c r="CP2" s="1254"/>
      <c r="CQ2" s="1254"/>
      <c r="CR2" s="1254"/>
      <c r="CS2" s="1254"/>
      <c r="CT2" s="1254"/>
      <c r="CU2" s="1254"/>
      <c r="CV2" s="1254"/>
      <c r="CW2" s="1254"/>
      <c r="CX2" s="1254"/>
      <c r="CY2" s="1254"/>
      <c r="CZ2" s="1254"/>
      <c r="DA2" s="1254"/>
      <c r="DB2" s="1254"/>
      <c r="DC2" s="1254"/>
      <c r="DD2" s="1254"/>
      <c r="DE2" s="1254"/>
      <c r="DF2" s="1254"/>
      <c r="DG2" s="1254"/>
      <c r="DH2" s="1254"/>
      <c r="DI2" s="1254"/>
      <c r="DJ2" s="1254"/>
      <c r="DK2" s="1254"/>
      <c r="DL2" s="1254"/>
      <c r="DM2" s="1254"/>
      <c r="DN2" s="1254"/>
    </row>
    <row r="3" spans="1:118" s="626" customFormat="1" ht="24" customHeight="1">
      <c r="A3" s="2752">
        <f>Summary!C2</f>
        <v>0</v>
      </c>
      <c r="B3" s="2752"/>
      <c r="C3" s="2752"/>
      <c r="D3" s="2752"/>
      <c r="G3" s="396"/>
      <c r="H3" s="928" t="s">
        <v>955</v>
      </c>
      <c r="I3" s="2753">
        <f>Summary!K2</f>
        <v>0</v>
      </c>
      <c r="J3" s="2753"/>
      <c r="K3" s="2753"/>
      <c r="L3" s="2753"/>
      <c r="M3" s="2753"/>
      <c r="N3" s="2754">
        <f>Summary!O2</f>
        <v>0</v>
      </c>
      <c r="O3" s="2754"/>
      <c r="P3" s="2755">
        <f>Summary!P2</f>
        <v>0</v>
      </c>
      <c r="Q3" s="2755"/>
      <c r="S3" s="574"/>
      <c r="T3" s="18"/>
      <c r="U3" s="18"/>
      <c r="V3" s="798"/>
      <c r="W3" s="1254"/>
      <c r="X3" s="1254"/>
      <c r="AE3" s="1254"/>
      <c r="AF3" s="1254"/>
      <c r="AG3" s="1254"/>
      <c r="AH3" s="1254"/>
      <c r="AI3" s="1254"/>
      <c r="AJ3" s="1254"/>
      <c r="AK3" s="1254"/>
      <c r="AL3" s="1254"/>
      <c r="AM3" s="1254"/>
      <c r="AN3" s="1254"/>
      <c r="AO3" s="1254"/>
      <c r="AP3" s="1254"/>
      <c r="AQ3" s="1254"/>
      <c r="AR3" s="1254"/>
      <c r="AS3" s="1254"/>
      <c r="AT3" s="1254"/>
      <c r="AU3" s="1254"/>
      <c r="AV3" s="1254"/>
      <c r="AW3" s="1254"/>
      <c r="AX3" s="1254"/>
      <c r="AY3" s="1254"/>
      <c r="AZ3" s="1254"/>
      <c r="BA3" s="1254"/>
      <c r="BB3" s="1254"/>
      <c r="BC3" s="1254"/>
      <c r="BD3" s="1254"/>
      <c r="BE3" s="1254"/>
      <c r="BF3" s="1254"/>
      <c r="BG3" s="1254"/>
      <c r="BH3" s="1254"/>
      <c r="BI3" s="1254"/>
      <c r="BJ3" s="1254"/>
      <c r="BK3" s="1254"/>
      <c r="BL3" s="1254"/>
      <c r="BM3" s="1254"/>
      <c r="BN3" s="1254"/>
      <c r="BO3" s="1254"/>
      <c r="BP3" s="1254"/>
      <c r="BQ3" s="1254"/>
      <c r="BR3" s="1254"/>
      <c r="BS3" s="1254"/>
      <c r="BT3" s="1254"/>
      <c r="BU3" s="1254"/>
      <c r="BV3" s="1254"/>
      <c r="BW3" s="1254"/>
      <c r="BX3" s="1254"/>
      <c r="BY3" s="1254"/>
      <c r="BZ3" s="1254"/>
      <c r="CA3" s="1254"/>
      <c r="CB3" s="1254"/>
      <c r="CC3" s="1254"/>
      <c r="CD3" s="1254"/>
      <c r="CE3" s="1254"/>
      <c r="CF3" s="1254"/>
      <c r="CG3" s="1254"/>
      <c r="CH3" s="1254"/>
      <c r="CI3" s="1254"/>
      <c r="CJ3" s="1254"/>
      <c r="CK3" s="1254"/>
      <c r="CL3" s="1254"/>
      <c r="CM3" s="1254"/>
      <c r="CN3" s="1254"/>
      <c r="CO3" s="1254"/>
      <c r="CP3" s="1254"/>
      <c r="CQ3" s="1254"/>
      <c r="CR3" s="1254"/>
      <c r="CS3" s="1254"/>
      <c r="CT3" s="1254"/>
      <c r="CU3" s="1254"/>
      <c r="CV3" s="1254"/>
      <c r="CW3" s="1254"/>
      <c r="CX3" s="1254"/>
      <c r="CY3" s="1254"/>
      <c r="CZ3" s="1254"/>
      <c r="DA3" s="1254"/>
      <c r="DB3" s="1254"/>
      <c r="DC3" s="1254"/>
      <c r="DD3" s="1254"/>
      <c r="DE3" s="1254"/>
      <c r="DF3" s="1254"/>
      <c r="DG3" s="1254"/>
      <c r="DH3" s="1254"/>
      <c r="DI3" s="1254"/>
      <c r="DJ3" s="1254"/>
      <c r="DK3" s="1254"/>
      <c r="DL3" s="1254"/>
      <c r="DM3" s="1254"/>
      <c r="DN3" s="1254"/>
    </row>
    <row r="4" spans="1:118" s="626" customFormat="1" ht="24" customHeight="1">
      <c r="A4" s="2756" t="str">
        <f>Summary!C3</f>
        <v>Dallas, TX</v>
      </c>
      <c r="B4" s="2756"/>
      <c r="C4" s="2756"/>
      <c r="D4" s="2756"/>
      <c r="G4" s="396"/>
      <c r="H4" s="928" t="s">
        <v>71</v>
      </c>
      <c r="I4" s="2757">
        <f>Summary!K3</f>
        <v>0</v>
      </c>
      <c r="J4" s="2757"/>
      <c r="K4" s="2757"/>
      <c r="L4" s="2757"/>
      <c r="M4" s="2757"/>
      <c r="N4" s="2758">
        <f>Summary!O3</f>
        <v>0</v>
      </c>
      <c r="O4" s="2758"/>
      <c r="P4" s="2759">
        <f>Summary!P3</f>
        <v>0</v>
      </c>
      <c r="Q4" s="2759"/>
      <c r="S4" s="574" t="s">
        <v>958</v>
      </c>
      <c r="T4" s="18"/>
      <c r="U4" s="799"/>
      <c r="V4" s="800"/>
      <c r="W4" s="1254"/>
      <c r="X4" s="1254"/>
      <c r="AE4" s="1254"/>
      <c r="AF4" s="1254"/>
      <c r="AG4" s="1254"/>
      <c r="AH4" s="1254"/>
      <c r="AI4" s="1254"/>
      <c r="AJ4" s="1254"/>
      <c r="AK4" s="1254"/>
      <c r="AL4" s="1254"/>
      <c r="AM4" s="1254"/>
      <c r="AN4" s="1254"/>
      <c r="AO4" s="1254"/>
      <c r="AP4" s="1254"/>
      <c r="AQ4" s="1254"/>
      <c r="AR4" s="1254"/>
      <c r="AS4" s="1254"/>
      <c r="AT4" s="1254"/>
      <c r="AU4" s="1254"/>
      <c r="AV4" s="1254"/>
      <c r="AW4" s="1254"/>
      <c r="AX4" s="1254"/>
      <c r="AY4" s="1254"/>
      <c r="AZ4" s="1254"/>
      <c r="BA4" s="1254"/>
      <c r="BB4" s="1254"/>
      <c r="BC4" s="1254"/>
      <c r="BD4" s="1254"/>
      <c r="BE4" s="1254"/>
      <c r="BF4" s="1254"/>
      <c r="BG4" s="1254"/>
      <c r="BH4" s="1254"/>
      <c r="BI4" s="1254"/>
      <c r="BJ4" s="1254"/>
      <c r="BK4" s="1254"/>
      <c r="BL4" s="1254"/>
      <c r="BM4" s="1254"/>
      <c r="BN4" s="1254"/>
      <c r="BO4" s="1254"/>
      <c r="BP4" s="1254"/>
      <c r="BQ4" s="1254"/>
      <c r="BR4" s="1254"/>
      <c r="BS4" s="1254"/>
      <c r="BT4" s="1254"/>
      <c r="BU4" s="1254"/>
      <c r="BV4" s="1254"/>
      <c r="BW4" s="1254"/>
      <c r="BX4" s="1254"/>
      <c r="BY4" s="1254"/>
      <c r="BZ4" s="1254"/>
      <c r="CA4" s="1254"/>
      <c r="CB4" s="1254"/>
      <c r="CC4" s="1254"/>
      <c r="CD4" s="1254"/>
      <c r="CE4" s="1254"/>
      <c r="CF4" s="1254"/>
      <c r="CG4" s="1254"/>
      <c r="CH4" s="1254"/>
      <c r="CI4" s="1254"/>
      <c r="CJ4" s="1254"/>
      <c r="CK4" s="1254"/>
      <c r="CL4" s="1254"/>
      <c r="CM4" s="1254"/>
      <c r="CN4" s="1254"/>
      <c r="CO4" s="1254"/>
      <c r="CP4" s="1254"/>
      <c r="CQ4" s="1254"/>
      <c r="CR4" s="1254"/>
      <c r="CS4" s="1254"/>
      <c r="CT4" s="1254"/>
      <c r="CU4" s="1254"/>
      <c r="CV4" s="1254"/>
      <c r="CW4" s="1254"/>
      <c r="CX4" s="1254"/>
      <c r="CY4" s="1254"/>
      <c r="CZ4" s="1254"/>
      <c r="DA4" s="1254"/>
      <c r="DB4" s="1254"/>
      <c r="DC4" s="1254"/>
      <c r="DD4" s="1254"/>
      <c r="DE4" s="1254"/>
      <c r="DF4" s="1254"/>
      <c r="DG4" s="1254"/>
      <c r="DH4" s="1254"/>
      <c r="DI4" s="1254"/>
      <c r="DJ4" s="1254"/>
      <c r="DK4" s="1254"/>
      <c r="DL4" s="1254"/>
      <c r="DM4" s="1254"/>
      <c r="DN4" s="1254"/>
    </row>
    <row r="5" spans="1:118" s="626" customFormat="1" ht="24" customHeight="1">
      <c r="A5" s="380" t="s">
        <v>0</v>
      </c>
      <c r="B5" s="18"/>
      <c r="C5" s="380" t="s">
        <v>1</v>
      </c>
      <c r="D5" s="18"/>
      <c r="G5" s="396"/>
      <c r="H5" s="928" t="s">
        <v>79</v>
      </c>
      <c r="I5" s="2757">
        <f>Summary!K4</f>
        <v>0</v>
      </c>
      <c r="J5" s="2757"/>
      <c r="K5" s="2757"/>
      <c r="L5" s="2757"/>
      <c r="M5" s="2757"/>
      <c r="N5" s="2758">
        <f>Summary!O4</f>
        <v>0</v>
      </c>
      <c r="O5" s="2758"/>
      <c r="P5" s="2759">
        <f>Summary!P4</f>
        <v>0</v>
      </c>
      <c r="Q5" s="2759"/>
      <c r="S5" s="574"/>
      <c r="T5" s="18"/>
      <c r="U5" s="18"/>
      <c r="V5" s="798"/>
      <c r="W5" s="1254"/>
      <c r="X5" s="1254"/>
      <c r="AE5" s="1254"/>
      <c r="AF5" s="1254"/>
      <c r="AG5" s="1254"/>
      <c r="AH5" s="1254"/>
      <c r="AI5" s="1254"/>
      <c r="AJ5" s="1254"/>
      <c r="AK5" s="1254"/>
      <c r="AL5" s="1254"/>
      <c r="AM5" s="1254"/>
      <c r="AN5" s="1254"/>
      <c r="AO5" s="1254"/>
      <c r="AP5" s="1254"/>
      <c r="AQ5" s="1254"/>
      <c r="AR5" s="1254"/>
      <c r="AS5" s="1254"/>
      <c r="AT5" s="1254"/>
      <c r="AU5" s="1254"/>
      <c r="AV5" s="1254"/>
      <c r="AW5" s="1254"/>
      <c r="AX5" s="1254"/>
      <c r="AY5" s="1254"/>
      <c r="AZ5" s="1254"/>
      <c r="BA5" s="1254"/>
      <c r="BB5" s="1254"/>
      <c r="BC5" s="1254"/>
      <c r="BD5" s="1254"/>
      <c r="BE5" s="1254"/>
      <c r="BF5" s="1254"/>
      <c r="BG5" s="1254"/>
      <c r="BH5" s="1254"/>
      <c r="BI5" s="1254"/>
      <c r="BJ5" s="1254"/>
      <c r="BK5" s="1254"/>
      <c r="BL5" s="1254"/>
      <c r="BM5" s="1254"/>
      <c r="BN5" s="1254"/>
      <c r="BO5" s="1254"/>
      <c r="BP5" s="1254"/>
      <c r="BQ5" s="1254"/>
      <c r="BR5" s="1254"/>
      <c r="BS5" s="1254"/>
      <c r="BT5" s="1254"/>
      <c r="BU5" s="1254"/>
      <c r="BV5" s="1254"/>
      <c r="BW5" s="1254"/>
      <c r="BX5" s="1254"/>
      <c r="BY5" s="1254"/>
      <c r="BZ5" s="1254"/>
      <c r="CA5" s="1254"/>
      <c r="CB5" s="1254"/>
      <c r="CC5" s="1254"/>
      <c r="CD5" s="1254"/>
      <c r="CE5" s="1254"/>
      <c r="CF5" s="1254"/>
      <c r="CG5" s="1254"/>
      <c r="CH5" s="1254"/>
      <c r="CI5" s="1254"/>
      <c r="CJ5" s="1254"/>
      <c r="CK5" s="1254"/>
      <c r="CL5" s="1254"/>
      <c r="CM5" s="1254"/>
      <c r="CN5" s="1254"/>
      <c r="CO5" s="1254"/>
      <c r="CP5" s="1254"/>
      <c r="CQ5" s="1254"/>
      <c r="CR5" s="1254"/>
      <c r="CS5" s="1254"/>
      <c r="CT5" s="1254"/>
      <c r="CU5" s="1254"/>
      <c r="CV5" s="1254"/>
      <c r="CW5" s="1254"/>
      <c r="CX5" s="1254"/>
      <c r="CY5" s="1254"/>
      <c r="CZ5" s="1254"/>
      <c r="DA5" s="1254"/>
      <c r="DB5" s="1254"/>
      <c r="DC5" s="1254"/>
      <c r="DD5" s="1254"/>
      <c r="DE5" s="1254"/>
      <c r="DF5" s="1254"/>
      <c r="DG5" s="1254"/>
      <c r="DH5" s="1254"/>
      <c r="DI5" s="1254"/>
      <c r="DJ5" s="1254"/>
      <c r="DK5" s="1254"/>
      <c r="DL5" s="1254"/>
      <c r="DM5" s="1254"/>
      <c r="DN5" s="1254"/>
    </row>
    <row r="6" spans="1:118" s="626" customFormat="1" ht="24" customHeight="1">
      <c r="A6" s="804">
        <v>0</v>
      </c>
      <c r="C6" s="2760">
        <v>0</v>
      </c>
      <c r="D6" s="2760"/>
      <c r="G6" s="653"/>
      <c r="H6" s="1090" t="s">
        <v>87</v>
      </c>
      <c r="I6" s="2761">
        <f>Summary!K5</f>
        <v>0</v>
      </c>
      <c r="J6" s="2761"/>
      <c r="K6" s="2761"/>
      <c r="L6" s="2761"/>
      <c r="M6" s="2761"/>
      <c r="N6" s="2762">
        <f>Summary!O5</f>
        <v>0</v>
      </c>
      <c r="O6" s="2762"/>
      <c r="P6" s="2763">
        <f>Summary!P5</f>
        <v>0</v>
      </c>
      <c r="Q6" s="2763"/>
      <c r="S6" s="577" t="s">
        <v>958</v>
      </c>
      <c r="T6" s="802"/>
      <c r="U6" s="802"/>
      <c r="V6" s="803"/>
      <c r="W6" s="1254"/>
      <c r="X6" s="1254"/>
      <c r="AE6" s="1254"/>
      <c r="AF6" s="1254"/>
      <c r="AG6" s="1254"/>
      <c r="AH6" s="1254"/>
      <c r="AI6" s="1254"/>
      <c r="AJ6" s="1254"/>
      <c r="AK6" s="1254"/>
      <c r="AL6" s="1254"/>
      <c r="AM6" s="1254"/>
      <c r="AN6" s="1254"/>
      <c r="AO6" s="1254"/>
      <c r="AP6" s="1254"/>
      <c r="AQ6" s="1254"/>
      <c r="AR6" s="1254"/>
      <c r="AS6" s="1254"/>
      <c r="AT6" s="1254"/>
      <c r="AU6" s="1254"/>
      <c r="AV6" s="1254"/>
      <c r="AW6" s="1254"/>
      <c r="AX6" s="1254"/>
      <c r="AY6" s="1254"/>
      <c r="AZ6" s="1254"/>
      <c r="BA6" s="1254"/>
      <c r="BB6" s="1254"/>
      <c r="BC6" s="1739">
        <f>N67</f>
        <v>0</v>
      </c>
      <c r="BD6" s="1254"/>
      <c r="BE6" s="1254"/>
      <c r="BF6" s="1254"/>
      <c r="BG6" s="1254"/>
      <c r="BH6" s="1254"/>
      <c r="BI6" s="1254"/>
      <c r="BJ6" s="1254"/>
      <c r="BK6" s="1254"/>
      <c r="BL6" s="1254"/>
      <c r="BM6" s="1254"/>
      <c r="BN6" s="1254"/>
      <c r="BO6" s="1254"/>
      <c r="BP6" s="1254"/>
      <c r="BQ6" s="1254"/>
      <c r="BR6" s="1254"/>
      <c r="BS6" s="1254"/>
      <c r="BT6" s="1254"/>
      <c r="BU6" s="1254"/>
      <c r="BV6" s="1254"/>
      <c r="BW6" s="1254"/>
      <c r="BX6" s="1254"/>
      <c r="BY6" s="1254"/>
      <c r="BZ6" s="1254"/>
      <c r="CA6" s="1254"/>
      <c r="CB6" s="1254"/>
      <c r="CC6" s="1254"/>
      <c r="CD6" s="1254"/>
      <c r="CE6" s="1254"/>
      <c r="CF6" s="1254"/>
      <c r="CG6" s="1254"/>
      <c r="CH6" s="1254"/>
      <c r="CI6" s="1254"/>
      <c r="CJ6" s="1254"/>
      <c r="CK6" s="1254"/>
      <c r="CL6" s="1254"/>
      <c r="CM6" s="1254"/>
      <c r="CN6" s="1254"/>
      <c r="CO6" s="1254"/>
      <c r="CP6" s="1254"/>
      <c r="CQ6" s="1254"/>
      <c r="CR6" s="1254"/>
      <c r="CS6" s="1254"/>
      <c r="CT6" s="1254"/>
      <c r="CU6" s="1254"/>
      <c r="CV6" s="1254"/>
      <c r="CW6" s="1254"/>
      <c r="CX6" s="1254"/>
      <c r="CY6" s="1254"/>
      <c r="CZ6" s="1254"/>
      <c r="DA6" s="1254"/>
      <c r="DB6" s="1254"/>
      <c r="DC6" s="1254"/>
      <c r="DD6" s="1254"/>
      <c r="DE6" s="1254"/>
      <c r="DF6" s="1254"/>
      <c r="DG6" s="1254"/>
      <c r="DH6" s="1254"/>
      <c r="DI6" s="1254"/>
      <c r="DJ6" s="1254"/>
      <c r="DK6" s="1254"/>
      <c r="DL6" s="1254"/>
      <c r="DM6" s="1254"/>
      <c r="DN6" s="1254"/>
    </row>
    <row r="7" spans="1:118" s="626" customFormat="1" ht="24" customHeight="1">
      <c r="A7" s="801">
        <v>0</v>
      </c>
      <c r="C7" s="2764">
        <v>0</v>
      </c>
      <c r="D7" s="2764"/>
      <c r="E7" s="693"/>
      <c r="F7" s="3120" t="s">
        <v>1196</v>
      </c>
      <c r="G7" s="3120"/>
      <c r="H7" s="3120"/>
      <c r="I7" s="3121" t="str">
        <f>Pricing!A3</f>
        <v>SRM</v>
      </c>
      <c r="J7" s="3121"/>
      <c r="K7" s="3121"/>
      <c r="L7" s="3121"/>
      <c r="M7" s="3121"/>
      <c r="N7" s="693"/>
      <c r="O7" s="693"/>
      <c r="P7" s="693"/>
      <c r="Q7" s="693"/>
      <c r="R7" s="693"/>
      <c r="S7" s="693"/>
      <c r="W7" s="1254"/>
      <c r="X7" s="1254"/>
      <c r="AE7" s="1254"/>
      <c r="AF7" s="1254"/>
      <c r="AG7" s="1254"/>
      <c r="AH7" s="1254"/>
      <c r="AI7" s="1254"/>
      <c r="AJ7" s="1254"/>
      <c r="AK7" s="1254"/>
      <c r="AL7" s="1254"/>
      <c r="AM7" s="1254"/>
      <c r="AN7" s="1254"/>
      <c r="AO7" s="1254"/>
      <c r="AP7" s="1254"/>
      <c r="AQ7" s="1254"/>
      <c r="AR7" s="1254"/>
      <c r="AS7" s="1254"/>
      <c r="AT7" s="1254"/>
      <c r="AU7" s="1254"/>
      <c r="AV7" s="1254"/>
      <c r="AW7" s="1254"/>
      <c r="AX7" s="1254"/>
      <c r="AY7" s="1254"/>
      <c r="AZ7" s="1254"/>
      <c r="BA7" s="1254"/>
      <c r="BB7" s="1254"/>
      <c r="BC7" s="1254"/>
      <c r="BD7" s="1254"/>
      <c r="BE7" s="1254"/>
      <c r="BF7" s="1254"/>
      <c r="BG7" s="1254"/>
      <c r="BH7" s="1254"/>
      <c r="BI7" s="1254"/>
      <c r="BJ7" s="1254"/>
      <c r="BK7" s="1254"/>
      <c r="BL7" s="1254"/>
      <c r="BM7" s="1254"/>
      <c r="BN7" s="1254"/>
      <c r="BO7" s="1254"/>
      <c r="BP7" s="1254"/>
      <c r="BQ7" s="1254"/>
      <c r="BR7" s="1254"/>
      <c r="BS7" s="1254"/>
      <c r="BT7" s="1254"/>
      <c r="BU7" s="1254"/>
      <c r="BV7" s="1254"/>
      <c r="BW7" s="1254"/>
      <c r="BX7" s="1254"/>
      <c r="BY7" s="1254"/>
      <c r="BZ7" s="1254"/>
      <c r="CA7" s="1254"/>
      <c r="CB7" s="1254"/>
      <c r="CC7" s="1254"/>
      <c r="CD7" s="1254"/>
      <c r="CE7" s="1254"/>
      <c r="CF7" s="1254"/>
      <c r="CG7" s="1254"/>
      <c r="CH7" s="1254"/>
      <c r="CI7" s="1254"/>
      <c r="CJ7" s="1254"/>
      <c r="CK7" s="1254"/>
      <c r="CL7" s="1254"/>
      <c r="CM7" s="1254"/>
      <c r="CN7" s="1254"/>
      <c r="CO7" s="1254"/>
      <c r="CP7" s="1254"/>
      <c r="CQ7" s="1254"/>
      <c r="CR7" s="1254"/>
      <c r="CS7" s="1254"/>
      <c r="CT7" s="1254"/>
      <c r="CU7" s="1254"/>
      <c r="CV7" s="1254"/>
      <c r="CW7" s="1254"/>
      <c r="CX7" s="1254"/>
      <c r="CY7" s="1254"/>
      <c r="CZ7" s="1254"/>
      <c r="DA7" s="1254"/>
      <c r="DB7" s="1254"/>
      <c r="DC7" s="1254"/>
      <c r="DD7" s="1254"/>
      <c r="DE7" s="1254"/>
      <c r="DF7" s="1254"/>
      <c r="DG7" s="1254"/>
      <c r="DH7" s="1254"/>
      <c r="DI7" s="1254"/>
      <c r="DJ7" s="1254"/>
      <c r="DK7" s="1254"/>
      <c r="DL7" s="1254"/>
      <c r="DM7" s="1254"/>
      <c r="DN7" s="1254"/>
    </row>
    <row r="8" spans="1:118" s="626" customFormat="1" ht="29.25" customHeight="1">
      <c r="A8" s="1898" t="s">
        <v>1752</v>
      </c>
      <c r="B8" s="3105" t="s">
        <v>1753</v>
      </c>
      <c r="C8" s="3122" t="s">
        <v>1754</v>
      </c>
      <c r="D8" s="3122"/>
      <c r="E8" s="3123" t="s">
        <v>1755</v>
      </c>
      <c r="F8" s="3124" t="s">
        <v>1756</v>
      </c>
      <c r="G8" s="3124" t="s">
        <v>1757</v>
      </c>
      <c r="H8" s="3124" t="s">
        <v>1758</v>
      </c>
      <c r="I8" s="3124" t="s">
        <v>1759</v>
      </c>
      <c r="J8" s="3125" t="s">
        <v>1209</v>
      </c>
      <c r="K8" s="3124" t="s">
        <v>1760</v>
      </c>
      <c r="L8" s="3126" t="s">
        <v>1761</v>
      </c>
      <c r="M8" s="3127" t="s">
        <v>1762</v>
      </c>
      <c r="N8" s="3127"/>
      <c r="O8" s="3124" t="s">
        <v>1763</v>
      </c>
      <c r="P8" s="3000" t="s">
        <v>1764</v>
      </c>
      <c r="Q8" s="3000" t="s">
        <v>1765</v>
      </c>
      <c r="R8" s="3000" t="s">
        <v>1483</v>
      </c>
      <c r="S8" s="3000" t="s">
        <v>1219</v>
      </c>
      <c r="T8" s="3000" t="s">
        <v>1766</v>
      </c>
      <c r="U8" s="3001" t="s">
        <v>1767</v>
      </c>
      <c r="V8" s="3001"/>
      <c r="W8" s="1254"/>
      <c r="X8" s="1254"/>
      <c r="AE8" s="1254"/>
      <c r="AF8" s="1254"/>
      <c r="AG8" s="1254"/>
      <c r="AH8" s="1254"/>
      <c r="AI8" s="1254"/>
      <c r="AJ8" s="1254"/>
      <c r="AK8" s="1254"/>
      <c r="AL8" s="1254"/>
      <c r="AM8" s="1254"/>
      <c r="AN8" s="1254"/>
      <c r="AO8" s="1254"/>
      <c r="AP8" s="1254"/>
      <c r="AQ8" s="1254"/>
      <c r="AR8" s="1254"/>
      <c r="AS8" s="1254"/>
      <c r="AT8" s="1254"/>
      <c r="AU8" s="1254"/>
      <c r="AV8" s="1254"/>
      <c r="AW8" s="1899"/>
      <c r="AX8" s="1121"/>
      <c r="AY8" s="1121"/>
      <c r="AZ8" s="3128" t="s">
        <v>1146</v>
      </c>
      <c r="BA8" s="3128"/>
      <c r="BB8" s="3128"/>
      <c r="BC8" s="3128"/>
      <c r="BD8" s="1121"/>
      <c r="BE8" s="1121">
        <f>SUM(AZ10:BE10)</f>
        <v>187752</v>
      </c>
      <c r="BF8" s="387" t="s">
        <v>1507</v>
      </c>
      <c r="BG8" s="1121"/>
      <c r="BH8" s="1121"/>
      <c r="BI8" s="1121"/>
      <c r="BJ8" s="1121"/>
      <c r="BK8" s="1121"/>
      <c r="BL8" s="1121"/>
      <c r="BM8" s="1121"/>
      <c r="BN8" s="1697"/>
      <c r="BO8" s="1254"/>
      <c r="BP8" s="1254"/>
      <c r="BQ8" s="1254"/>
      <c r="BR8" s="1254"/>
      <c r="BS8" s="1254"/>
      <c r="BT8" s="1254"/>
      <c r="BU8" s="1254"/>
      <c r="BV8" s="1254"/>
      <c r="BW8" s="1254"/>
      <c r="BX8" s="1254"/>
      <c r="BY8" s="1254"/>
      <c r="BZ8" s="1254"/>
      <c r="CA8" s="1254"/>
      <c r="CB8" s="1254"/>
      <c r="CC8" s="1254"/>
      <c r="CD8" s="1254"/>
      <c r="CE8" s="1254"/>
      <c r="CF8" s="1254"/>
      <c r="CG8" s="1254"/>
      <c r="CH8" s="1254"/>
      <c r="CI8" s="1254"/>
      <c r="CJ8" s="1254"/>
      <c r="CK8" s="1254"/>
      <c r="CL8" s="1254"/>
      <c r="CM8" s="1254"/>
      <c r="CN8" s="1254"/>
      <c r="CO8" s="1254"/>
      <c r="CP8" s="1254"/>
      <c r="CQ8" s="1254"/>
      <c r="CR8" s="1254"/>
      <c r="CS8" s="1254"/>
      <c r="CT8" s="1254"/>
      <c r="CU8" s="1254"/>
      <c r="CV8" s="1254"/>
      <c r="CW8" s="1254"/>
      <c r="CX8" s="1254"/>
      <c r="CY8" s="1254"/>
      <c r="CZ8" s="1254"/>
      <c r="DA8" s="1254"/>
      <c r="DB8" s="1254"/>
      <c r="DC8" s="1254"/>
      <c r="DD8" s="1254"/>
      <c r="DE8" s="1254"/>
      <c r="DF8" s="1254"/>
      <c r="DG8" s="1254"/>
      <c r="DH8" s="1254"/>
      <c r="DI8" s="1254"/>
      <c r="DJ8" s="2777" t="s">
        <v>1021</v>
      </c>
      <c r="DK8" s="2777"/>
      <c r="DL8" s="2777"/>
      <c r="DM8" s="2777"/>
      <c r="DN8" s="2777"/>
    </row>
    <row r="9" spans="1:118" s="626" customFormat="1" ht="24" customHeight="1">
      <c r="A9" s="1699"/>
      <c r="B9" s="3105"/>
      <c r="C9" s="3122"/>
      <c r="D9" s="3122"/>
      <c r="E9" s="3123"/>
      <c r="F9" s="3124"/>
      <c r="G9" s="3124"/>
      <c r="H9" s="3124"/>
      <c r="I9" s="3124"/>
      <c r="J9" s="3125"/>
      <c r="K9" s="3124"/>
      <c r="L9" s="3126"/>
      <c r="M9" s="1103" t="s">
        <v>1215</v>
      </c>
      <c r="N9" s="1315" t="s">
        <v>1216</v>
      </c>
      <c r="O9" s="3124"/>
      <c r="P9" s="3000"/>
      <c r="Q9" s="3000"/>
      <c r="R9" s="3000"/>
      <c r="S9" s="3000"/>
      <c r="T9" s="3000"/>
      <c r="U9" s="3000"/>
      <c r="V9" s="3001"/>
      <c r="W9" s="1254"/>
      <c r="X9" s="1254"/>
      <c r="AE9" s="1254"/>
      <c r="AF9" s="1254"/>
      <c r="AG9" s="1900" t="s">
        <v>1521</v>
      </c>
      <c r="AH9" s="1901" t="s">
        <v>1374</v>
      </c>
      <c r="AI9" s="1901" t="s">
        <v>1375</v>
      </c>
      <c r="AJ9" s="1901" t="s">
        <v>1376</v>
      </c>
      <c r="AK9" s="1901" t="s">
        <v>1377</v>
      </c>
      <c r="AL9" s="1901" t="s">
        <v>1378</v>
      </c>
      <c r="AM9" s="1901" t="s">
        <v>1522</v>
      </c>
      <c r="AN9" s="1901" t="s">
        <v>1523</v>
      </c>
      <c r="AO9" s="1901" t="s">
        <v>1524</v>
      </c>
      <c r="AP9" s="1901" t="s">
        <v>1525</v>
      </c>
      <c r="AQ9" s="1901" t="s">
        <v>1526</v>
      </c>
      <c r="AR9" s="1901" t="s">
        <v>1527</v>
      </c>
      <c r="AS9" s="1901" t="s">
        <v>1768</v>
      </c>
      <c r="AT9" s="1901" t="s">
        <v>1769</v>
      </c>
      <c r="AU9" s="1901" t="s">
        <v>1770</v>
      </c>
      <c r="AV9" s="388" t="s">
        <v>1734</v>
      </c>
      <c r="AW9" s="1900" t="s">
        <v>1384</v>
      </c>
      <c r="AX9" s="1901" t="s">
        <v>1385</v>
      </c>
      <c r="AY9" s="1901" t="s">
        <v>1539</v>
      </c>
      <c r="AZ9" s="1902" t="s">
        <v>1771</v>
      </c>
      <c r="BA9" s="1903" t="s">
        <v>1772</v>
      </c>
      <c r="BB9" s="1903" t="s">
        <v>721</v>
      </c>
      <c r="BC9" s="505" t="str">
        <f>A67</f>
        <v>EXTRA HOURS</v>
      </c>
      <c r="BD9" s="1901" t="s">
        <v>1773</v>
      </c>
      <c r="BE9" s="1901" t="s">
        <v>1340</v>
      </c>
      <c r="BF9" s="1901" t="s">
        <v>1540</v>
      </c>
      <c r="BG9" s="1901" t="s">
        <v>1541</v>
      </c>
      <c r="BH9" s="1901" t="s">
        <v>976</v>
      </c>
      <c r="BI9" s="1901" t="s">
        <v>1542</v>
      </c>
      <c r="BJ9" s="1901" t="s">
        <v>1513</v>
      </c>
      <c r="BK9" s="1901" t="s">
        <v>1774</v>
      </c>
      <c r="BL9" s="1903" t="s">
        <v>1039</v>
      </c>
      <c r="BM9" s="1901" t="s">
        <v>1775</v>
      </c>
      <c r="BN9" s="1904"/>
      <c r="BO9" s="1254"/>
      <c r="BP9" s="1254"/>
      <c r="BQ9" s="1254"/>
      <c r="BR9" s="1254"/>
      <c r="BS9" s="1254" t="str">
        <f>A88</f>
        <v>SLIP FORMING</v>
      </c>
      <c r="BT9" s="1254"/>
      <c r="BU9" s="1254"/>
      <c r="BV9" s="1254"/>
      <c r="BW9" s="1254"/>
      <c r="BX9" s="1254"/>
      <c r="BY9" s="1254"/>
      <c r="BZ9" s="1254"/>
      <c r="CA9" s="1254"/>
      <c r="CB9" s="1254"/>
      <c r="CC9" s="1254"/>
      <c r="CD9" s="1254"/>
      <c r="CE9" s="1254"/>
      <c r="CF9" s="1254"/>
      <c r="CG9" s="1254"/>
      <c r="CH9" s="1254"/>
      <c r="CI9" s="1254"/>
      <c r="CJ9" s="1254"/>
      <c r="CK9" s="1254"/>
      <c r="CL9" s="1254"/>
      <c r="CM9" s="1254"/>
      <c r="CN9" s="1254"/>
      <c r="CO9" s="1254"/>
      <c r="CP9" s="1254"/>
      <c r="CQ9" s="1254"/>
      <c r="CR9" s="1254"/>
      <c r="CS9" s="1254"/>
      <c r="CT9" s="1254"/>
      <c r="CU9" s="1254"/>
      <c r="CV9" s="1254"/>
      <c r="CW9" s="1254"/>
      <c r="CX9" s="1254"/>
      <c r="CY9" s="1254"/>
      <c r="CZ9" s="1254"/>
      <c r="DA9" s="1254"/>
      <c r="DB9" s="1254"/>
      <c r="DC9" s="1254"/>
      <c r="DD9" s="1254"/>
      <c r="DE9" s="1254"/>
      <c r="DF9" s="1254"/>
      <c r="DG9" s="1254"/>
      <c r="DH9" s="1254"/>
      <c r="DI9" s="1254"/>
      <c r="DJ9" s="1905" t="s">
        <v>568</v>
      </c>
      <c r="DK9" s="1906" t="s">
        <v>1776</v>
      </c>
      <c r="DL9" s="1906" t="s">
        <v>721</v>
      </c>
      <c r="DM9" s="1907" t="s">
        <v>1777</v>
      </c>
      <c r="DN9" s="1908" t="s">
        <v>1418</v>
      </c>
    </row>
    <row r="10" spans="1:118" s="626" customFormat="1" ht="24" customHeight="1">
      <c r="A10" s="1909" t="s">
        <v>2116</v>
      </c>
      <c r="B10" s="1910"/>
      <c r="C10" s="1911">
        <v>187752</v>
      </c>
      <c r="D10" s="1912"/>
      <c r="E10" s="1910">
        <v>5</v>
      </c>
      <c r="F10" s="1913"/>
      <c r="G10" s="1914"/>
      <c r="H10" s="1915"/>
      <c r="I10" s="1916">
        <v>6566</v>
      </c>
      <c r="J10" s="1917">
        <v>3</v>
      </c>
      <c r="K10" s="1918"/>
      <c r="L10" s="1919">
        <v>2</v>
      </c>
      <c r="M10" s="1920">
        <v>3</v>
      </c>
      <c r="N10" s="1914">
        <v>18</v>
      </c>
      <c r="O10" s="1183"/>
      <c r="P10" s="1921">
        <f t="shared" ref="P10:P34" si="0">C10*L10/324*(1+J$57)</f>
        <v>1228.5007407407409</v>
      </c>
      <c r="Q10" s="1922">
        <v>0</v>
      </c>
      <c r="R10" s="1351">
        <f t="shared" ref="R10:R34" si="1">IF(N10=0,0,(N10/12+N10/12)/(N10/12*N10/12)*C10*((M10/16*M10/16)*10.6870159))*(1+J$54)</f>
        <v>103460.60016480378</v>
      </c>
      <c r="S10" s="1352">
        <f t="shared" ref="S10:S34" si="2">(C10*E10/324+I10/108+K10*1.5*0.18/27)*(1+J$47)</f>
        <v>3135.6959259259256</v>
      </c>
      <c r="T10" s="1923">
        <f t="shared" ref="T10:T34" si="3">IF(C10=0,0,U10/C10)</f>
        <v>5.8699454583481101</v>
      </c>
      <c r="U10" s="2779">
        <f t="shared" ref="U10:U34" si="4">(SUM(AW10:BM10)-BL10)*(1+L$39)</f>
        <v>1102093.9996957744</v>
      </c>
      <c r="V10" s="2779"/>
      <c r="W10" s="1254"/>
      <c r="X10" s="1254"/>
      <c r="AE10" s="1254"/>
      <c r="AF10" s="1254"/>
      <c r="AG10" s="1924">
        <f t="shared" ref="AG10:AG34" si="5">IF(G10="y",C10,0)</f>
        <v>0</v>
      </c>
      <c r="AH10" s="1925">
        <f t="shared" ref="AH10:AH34" si="6">IF($J10=1,$S10,0)</f>
        <v>0</v>
      </c>
      <c r="AI10" s="1926">
        <f t="shared" ref="AI10:AI34" si="7">IF($J10=2,$S10,0)</f>
        <v>0</v>
      </c>
      <c r="AJ10" s="1926">
        <f t="shared" ref="AJ10:AJ34" si="8">IF($J10=3,$S10,0)</f>
        <v>3135.6959259259256</v>
      </c>
      <c r="AK10" s="1926">
        <f t="shared" ref="AK10:AK34" si="9">IF($J10=4,$S10,0)</f>
        <v>0</v>
      </c>
      <c r="AL10" s="1926">
        <f t="shared" ref="AL10:AL34" si="10">IF($J10=5,$S10,0)</f>
        <v>0</v>
      </c>
      <c r="AM10" s="1926">
        <f t="shared" ref="AM10:AM34" si="11">IF($J10=6,$S10,0)</f>
        <v>0</v>
      </c>
      <c r="AN10" s="1926">
        <f t="shared" ref="AN10:AN34" si="12">IF($J10=7,$S10,0)</f>
        <v>0</v>
      </c>
      <c r="AO10" s="1926">
        <f t="shared" ref="AO10:AO34" si="13">IF($J10=8,$S10,0)</f>
        <v>0</v>
      </c>
      <c r="AP10" s="1926">
        <f t="shared" ref="AP10:AP34" si="14">IF($J10=9,$S10,0)</f>
        <v>0</v>
      </c>
      <c r="AQ10" s="1927">
        <f t="shared" ref="AQ10:AQ34" si="15">IF($J10=10,$S10,0)</f>
        <v>0</v>
      </c>
      <c r="AR10" s="1254">
        <f t="shared" ref="AR10:AR34" si="16">SUM(AH10:AM10)</f>
        <v>3135.6959259259256</v>
      </c>
      <c r="AS10" s="1254">
        <f t="shared" ref="AS10:AS34" si="17">IF(F10="N",C10,0)</f>
        <v>0</v>
      </c>
      <c r="AT10" s="1254">
        <f t="shared" ref="AT10:AT34" si="18">IF(C10=0,0,IF(E10&lt;8,C10/M$82,0))</f>
        <v>3129.2</v>
      </c>
      <c r="AU10" s="1254">
        <f t="shared" ref="AU10:AU34" si="19">IF(C10=0,0,IF(E10&gt;8,C10/M$82,0))</f>
        <v>0</v>
      </c>
      <c r="AV10" s="1928">
        <f>IF(SUM(AW10:BN10)=0,0,SUM(AW10:BN10))</f>
        <v>933977.96584387659</v>
      </c>
      <c r="AW10" s="1723">
        <f>(AH10*Pricing!F$3+AI10*Pricing!G$3+AJ10*Pricing!H$3+AK10*Pricing!I$3+AL10*Pricing!J$3+AM10*Pricing!K$3+AN10*Pricing!L$3+AO10*Pricing!M$3+AP10*Pricing!N$3+AQ10*Pricing!O$3)*IF(T$38="N",(1+V$38),1)</f>
        <v>509158.62597222213</v>
      </c>
      <c r="AX10" s="1723">
        <f t="shared" ref="AX10:AX34" si="20">R10*F$54*IF(T$38="n",1+V$38,1)</f>
        <v>67197.659807040051</v>
      </c>
      <c r="AY10" s="1723">
        <f t="shared" ref="AY10:AY34" si="21">IF(SUM(I$10:I$34)=0,0,N$66/SUM(I$10:I$34)*I10)</f>
        <v>0</v>
      </c>
      <c r="AZ10" s="1929">
        <f t="shared" ref="AZ10:AZ34" si="22">C10*SUM(D$61:E$63)</f>
        <v>187752</v>
      </c>
      <c r="BA10" s="1723">
        <f t="shared" ref="BA10:BA34" si="23">C10*F10</f>
        <v>0</v>
      </c>
      <c r="BB10" s="1723">
        <f t="shared" ref="BB10:BB34" si="24">IF(R10="",0,R10*D$65)</f>
        <v>0</v>
      </c>
      <c r="BC10" s="1725">
        <f t="shared" ref="BC10:BC34" si="25">IF(N$67=0,0,N$67/H$61*C10)</f>
        <v>0</v>
      </c>
      <c r="BD10" s="1723"/>
      <c r="BE10" s="1723">
        <f t="shared" ref="BE10:BE34" si="26">H10*D$87</f>
        <v>0</v>
      </c>
      <c r="BF10" s="1723">
        <f t="shared" ref="BF10:BF34" si="27">IF(C10=0,0,SUM(N$70:O$73)/C$35*C10)</f>
        <v>27599.543999999998</v>
      </c>
      <c r="BG10" s="1723">
        <f t="shared" ref="BG10:BG34" si="28">IF(C10=0,0,SUM(V$47:V$90)/C$35*C10)</f>
        <v>62663.370641410795</v>
      </c>
      <c r="BH10" s="1723">
        <f t="shared" ref="BH10:BH34" si="29">IF(C10=0,0,(SUM(N$75:O$80)-N$80)/C$35*C10)</f>
        <v>17258.122696119954</v>
      </c>
      <c r="BI10" s="1723">
        <f t="shared" ref="BI10:BI34" si="30">IF(C10=0,0,(SUM(N$82:N$90)+N$59-N$87-N$88)/C$35)*C10</f>
        <v>29102.341430787343</v>
      </c>
      <c r="BJ10" s="1723">
        <f t="shared" ref="BJ10:BJ34" si="31">(P10*F$57)*IF(T$38="N",1+V$38,1)+IF(C$35=0,0,(N$58/C$35*C10))</f>
        <v>33246.301296296304</v>
      </c>
      <c r="BK10" s="1723">
        <f t="shared" ref="BK10:BK34" si="32">IF(BS10&gt;0,N$88/BS$36*BS10,0)</f>
        <v>0</v>
      </c>
      <c r="BL10" s="1723">
        <f t="shared" ref="BL10:BL34" si="33">IF(N$72=0,0,N$91/H$61*C10)</f>
        <v>0</v>
      </c>
      <c r="BM10" s="1723">
        <f t="shared" ref="BM10:BM34" si="34">IF(G10="y",N$80/AG$35*C10,0)</f>
        <v>0</v>
      </c>
      <c r="BN10" s="1725"/>
      <c r="BO10" s="1254"/>
      <c r="BP10" s="1254"/>
      <c r="BQ10" s="1254"/>
      <c r="BR10" s="1254"/>
      <c r="BS10" s="1254">
        <f t="shared" ref="BS10:BS34" si="35">IF(B10="Y",C10,0)</f>
        <v>0</v>
      </c>
      <c r="BT10" s="1254"/>
      <c r="BU10" s="1254"/>
      <c r="BV10" s="1254"/>
      <c r="BW10" s="1254"/>
      <c r="BX10" s="1254"/>
      <c r="BY10" s="1254"/>
      <c r="BZ10" s="1254"/>
      <c r="CA10" s="1254"/>
      <c r="CB10" s="1254"/>
      <c r="CC10" s="1254"/>
      <c r="CD10" s="1254"/>
      <c r="CE10" s="1254"/>
      <c r="CF10" s="1254"/>
      <c r="CG10" s="1254"/>
      <c r="CH10" s="1254"/>
      <c r="CI10" s="1254"/>
      <c r="CJ10" s="1254"/>
      <c r="CK10" s="1254"/>
      <c r="CL10" s="1254"/>
      <c r="CM10" s="1254"/>
      <c r="CN10" s="1254"/>
      <c r="CO10" s="1254"/>
      <c r="CP10" s="1254"/>
      <c r="CQ10" s="1254"/>
      <c r="CR10" s="1254"/>
      <c r="CS10" s="1254"/>
      <c r="CT10" s="1254"/>
      <c r="CU10" s="1254"/>
      <c r="CV10" s="1254"/>
      <c r="CW10" s="1254"/>
      <c r="CX10" s="1254"/>
      <c r="CY10" s="1254"/>
      <c r="CZ10" s="1254"/>
      <c r="DA10" s="1254"/>
      <c r="DB10" s="1254"/>
      <c r="DC10" s="1254"/>
      <c r="DD10" s="1254"/>
      <c r="DE10" s="1254"/>
      <c r="DF10" s="1254"/>
      <c r="DG10" s="1254"/>
      <c r="DH10" s="1254"/>
      <c r="DI10" s="1254"/>
      <c r="DJ10" s="1254" t="str">
        <f t="shared" ref="DJ10:DJ34" si="36">A10</f>
        <v>Light Duty parking</v>
      </c>
      <c r="DK10" s="1930">
        <f t="shared" ref="DK10:DK34" si="37">K10</f>
        <v>0</v>
      </c>
      <c r="DL10" s="1719">
        <f t="shared" ref="DL10:DL34" si="38">R10</f>
        <v>103460.60016480378</v>
      </c>
      <c r="DM10" s="1254">
        <f t="shared" ref="DM10:DM34" si="39">IF(F10="Y",C10,0)</f>
        <v>0</v>
      </c>
      <c r="DN10" s="1931">
        <f t="shared" ref="DN10:DN34" si="40">C10</f>
        <v>187752</v>
      </c>
    </row>
    <row r="11" spans="1:118" s="626" customFormat="1" ht="24" customHeight="1">
      <c r="A11" s="1909" t="s">
        <v>2117</v>
      </c>
      <c r="B11" s="1910"/>
      <c r="C11" s="1911">
        <v>82399</v>
      </c>
      <c r="D11" s="1932"/>
      <c r="E11" s="1933">
        <v>6</v>
      </c>
      <c r="F11" s="1934"/>
      <c r="G11" s="1933"/>
      <c r="H11" s="1935"/>
      <c r="I11" s="1936">
        <v>2882</v>
      </c>
      <c r="J11" s="1937">
        <v>3</v>
      </c>
      <c r="K11" s="1938"/>
      <c r="L11" s="1939">
        <v>2</v>
      </c>
      <c r="M11" s="1940">
        <v>3</v>
      </c>
      <c r="N11" s="1910">
        <v>18</v>
      </c>
      <c r="O11" s="1183"/>
      <c r="P11" s="1921">
        <f t="shared" si="0"/>
        <v>539.15395061728395</v>
      </c>
      <c r="Q11" s="1922">
        <v>0</v>
      </c>
      <c r="R11" s="1351">
        <f t="shared" si="1"/>
        <v>45405.907755867665</v>
      </c>
      <c r="S11" s="1352">
        <f t="shared" si="2"/>
        <v>1645.7481481481482</v>
      </c>
      <c r="T11" s="1941">
        <f t="shared" si="3"/>
        <v>6.4968015831735197</v>
      </c>
      <c r="U11" s="2779">
        <f t="shared" si="4"/>
        <v>535329.95365191484</v>
      </c>
      <c r="V11" s="2779"/>
      <c r="W11" s="1254"/>
      <c r="X11" s="1254"/>
      <c r="AE11" s="1254"/>
      <c r="AF11" s="1254"/>
      <c r="AG11" s="1924">
        <f t="shared" si="5"/>
        <v>0</v>
      </c>
      <c r="AH11" s="1924">
        <f t="shared" si="6"/>
        <v>0</v>
      </c>
      <c r="AI11" s="1254">
        <f t="shared" si="7"/>
        <v>0</v>
      </c>
      <c r="AJ11" s="1254">
        <f t="shared" si="8"/>
        <v>1645.7481481481482</v>
      </c>
      <c r="AK11" s="1254">
        <f t="shared" si="9"/>
        <v>0</v>
      </c>
      <c r="AL11" s="1254">
        <f t="shared" si="10"/>
        <v>0</v>
      </c>
      <c r="AM11" s="1254">
        <f t="shared" si="11"/>
        <v>0</v>
      </c>
      <c r="AN11" s="1254">
        <f t="shared" si="12"/>
        <v>0</v>
      </c>
      <c r="AO11" s="1254">
        <f t="shared" si="13"/>
        <v>0</v>
      </c>
      <c r="AP11" s="1254">
        <f t="shared" si="14"/>
        <v>0</v>
      </c>
      <c r="AQ11" s="1942">
        <f t="shared" si="15"/>
        <v>0</v>
      </c>
      <c r="AR11" s="1254">
        <f t="shared" si="16"/>
        <v>1645.7481481481482</v>
      </c>
      <c r="AS11" s="1254">
        <f t="shared" si="17"/>
        <v>0</v>
      </c>
      <c r="AT11" s="1254">
        <f t="shared" si="18"/>
        <v>1373.3166666666666</v>
      </c>
      <c r="AU11" s="1254">
        <f t="shared" si="19"/>
        <v>0</v>
      </c>
      <c r="AV11" s="1928">
        <f t="shared" ref="AV11:AV34" si="41">SUM(AW11:BN11)</f>
        <v>453669.45224738546</v>
      </c>
      <c r="AW11" s="1723">
        <f>(AH11*Pricing!F$3+AI11*Pricing!G$3+AJ11*Pricing!H$3+AK11*Pricing!I$3+AL11*Pricing!J$3+AM11*Pricing!K$3+AN11*Pricing!L$3+AO11*Pricing!M$3+AP11*Pricing!N$3+AQ11*Pricing!O$3)*IF(T$38="N",(1+V$38),1)</f>
        <v>267228.35555555555</v>
      </c>
      <c r="AX11" s="1723">
        <f t="shared" si="20"/>
        <v>29491.137087436051</v>
      </c>
      <c r="AY11" s="1723">
        <f t="shared" si="21"/>
        <v>0</v>
      </c>
      <c r="AZ11" s="1929">
        <f t="shared" si="22"/>
        <v>82399</v>
      </c>
      <c r="BA11" s="1723">
        <f t="shared" si="23"/>
        <v>0</v>
      </c>
      <c r="BB11" s="1723">
        <f t="shared" si="24"/>
        <v>0</v>
      </c>
      <c r="BC11" s="1725">
        <f t="shared" si="25"/>
        <v>0</v>
      </c>
      <c r="BD11" s="1723"/>
      <c r="BE11" s="1723">
        <f t="shared" si="26"/>
        <v>0</v>
      </c>
      <c r="BF11" s="1723">
        <f t="shared" si="27"/>
        <v>12112.652999999998</v>
      </c>
      <c r="BG11" s="1723">
        <f t="shared" si="28"/>
        <v>27501.166844995569</v>
      </c>
      <c r="BH11" s="1723">
        <f t="shared" si="29"/>
        <v>7574.0980231240583</v>
      </c>
      <c r="BI11" s="1723">
        <f t="shared" si="30"/>
        <v>12772.187947694012</v>
      </c>
      <c r="BJ11" s="1723">
        <f t="shared" si="31"/>
        <v>14590.853788580249</v>
      </c>
      <c r="BK11" s="1723">
        <f t="shared" si="32"/>
        <v>0</v>
      </c>
      <c r="BL11" s="1723">
        <f t="shared" si="33"/>
        <v>0</v>
      </c>
      <c r="BM11" s="1723">
        <f t="shared" si="34"/>
        <v>0</v>
      </c>
      <c r="BN11" s="1725"/>
      <c r="BO11" s="1254"/>
      <c r="BP11" s="1254"/>
      <c r="BQ11" s="1254"/>
      <c r="BR11" s="1254"/>
      <c r="BS11" s="1254">
        <f t="shared" si="35"/>
        <v>0</v>
      </c>
      <c r="BT11" s="1254"/>
      <c r="BU11" s="1254"/>
      <c r="BV11" s="1254"/>
      <c r="BW11" s="1254"/>
      <c r="BX11" s="1254"/>
      <c r="BY11" s="1254"/>
      <c r="BZ11" s="1254"/>
      <c r="CA11" s="1254"/>
      <c r="CB11" s="1254"/>
      <c r="CC11" s="1254"/>
      <c r="CD11" s="1254"/>
      <c r="CE11" s="1254"/>
      <c r="CF11" s="1254"/>
      <c r="CG11" s="1254"/>
      <c r="CH11" s="1254"/>
      <c r="CI11" s="1254"/>
      <c r="CJ11" s="1254"/>
      <c r="CK11" s="1254"/>
      <c r="CL11" s="1254"/>
      <c r="CM11" s="1254"/>
      <c r="CN11" s="1254"/>
      <c r="CO11" s="1254"/>
      <c r="CP11" s="1254"/>
      <c r="CQ11" s="1254"/>
      <c r="CR11" s="1254"/>
      <c r="CS11" s="1254"/>
      <c r="CT11" s="1254"/>
      <c r="CU11" s="1254"/>
      <c r="CV11" s="1254"/>
      <c r="CW11" s="1254"/>
      <c r="CX11" s="1254"/>
      <c r="CY11" s="1254"/>
      <c r="CZ11" s="1254"/>
      <c r="DA11" s="1254"/>
      <c r="DB11" s="1254"/>
      <c r="DC11" s="1254"/>
      <c r="DD11" s="1254"/>
      <c r="DE11" s="1254"/>
      <c r="DF11" s="1254"/>
      <c r="DG11" s="1254"/>
      <c r="DH11" s="1254"/>
      <c r="DI11" s="1254"/>
      <c r="DJ11" s="1254" t="str">
        <f t="shared" si="36"/>
        <v>Firelane</v>
      </c>
      <c r="DK11" s="1930">
        <f t="shared" si="37"/>
        <v>0</v>
      </c>
      <c r="DL11" s="1719">
        <f t="shared" si="38"/>
        <v>45405.907755867665</v>
      </c>
      <c r="DM11" s="1254">
        <f t="shared" si="39"/>
        <v>0</v>
      </c>
      <c r="DN11" s="1931">
        <f t="shared" si="40"/>
        <v>82399</v>
      </c>
    </row>
    <row r="12" spans="1:118" s="626" customFormat="1" ht="24" customHeight="1">
      <c r="A12" s="1909" t="s">
        <v>2118</v>
      </c>
      <c r="B12" s="1910"/>
      <c r="C12" s="1911">
        <v>2552</v>
      </c>
      <c r="D12" s="1932"/>
      <c r="E12" s="1933">
        <v>6</v>
      </c>
      <c r="F12" s="1934"/>
      <c r="G12" s="1933"/>
      <c r="H12" s="1935"/>
      <c r="I12" s="1936">
        <v>89</v>
      </c>
      <c r="J12" s="1937">
        <v>3</v>
      </c>
      <c r="K12" s="1938"/>
      <c r="L12" s="1939">
        <v>2</v>
      </c>
      <c r="M12" s="1940">
        <v>3</v>
      </c>
      <c r="N12" s="1910">
        <v>18</v>
      </c>
      <c r="O12" s="1183"/>
      <c r="P12" s="1921">
        <f t="shared" si="0"/>
        <v>16.698271604938274</v>
      </c>
      <c r="Q12" s="1922">
        <v>0</v>
      </c>
      <c r="R12" s="1351">
        <f t="shared" si="1"/>
        <v>1406.2777047412503</v>
      </c>
      <c r="S12" s="1352">
        <f t="shared" si="2"/>
        <v>50.968333333333341</v>
      </c>
      <c r="T12" s="1941">
        <f t="shared" si="3"/>
        <v>6.4966106244204767</v>
      </c>
      <c r="U12" s="2779">
        <f t="shared" si="4"/>
        <v>16579.350313521056</v>
      </c>
      <c r="V12" s="2779"/>
      <c r="W12" s="1254"/>
      <c r="X12" s="1254"/>
      <c r="AE12" s="1254"/>
      <c r="AF12" s="1254"/>
      <c r="AG12" s="1924">
        <f t="shared" si="5"/>
        <v>0</v>
      </c>
      <c r="AH12" s="1924">
        <f t="shared" si="6"/>
        <v>0</v>
      </c>
      <c r="AI12" s="1254">
        <f t="shared" si="7"/>
        <v>0</v>
      </c>
      <c r="AJ12" s="1254">
        <f t="shared" si="8"/>
        <v>50.968333333333341</v>
      </c>
      <c r="AK12" s="1254">
        <f t="shared" si="9"/>
        <v>0</v>
      </c>
      <c r="AL12" s="1254">
        <f t="shared" si="10"/>
        <v>0</v>
      </c>
      <c r="AM12" s="1254">
        <f t="shared" si="11"/>
        <v>0</v>
      </c>
      <c r="AN12" s="1254">
        <f t="shared" si="12"/>
        <v>0</v>
      </c>
      <c r="AO12" s="1254">
        <f t="shared" si="13"/>
        <v>0</v>
      </c>
      <c r="AP12" s="1254">
        <f t="shared" si="14"/>
        <v>0</v>
      </c>
      <c r="AQ12" s="1942">
        <f t="shared" si="15"/>
        <v>0</v>
      </c>
      <c r="AR12" s="1254">
        <f t="shared" si="16"/>
        <v>50.968333333333341</v>
      </c>
      <c r="AS12" s="1254">
        <f t="shared" si="17"/>
        <v>0</v>
      </c>
      <c r="AT12" s="1254">
        <f t="shared" si="18"/>
        <v>42.533333333333331</v>
      </c>
      <c r="AU12" s="1254">
        <f t="shared" si="19"/>
        <v>0</v>
      </c>
      <c r="AV12" s="1928">
        <f t="shared" si="41"/>
        <v>14050.296875865302</v>
      </c>
      <c r="AW12" s="1723">
        <f>(AH12*Pricing!F$3+AI12*Pricing!G$3+AJ12*Pricing!H$3+AK12*Pricing!I$3+AL12*Pricing!J$3+AM12*Pricing!K$3+AN12*Pricing!L$3+AO12*Pricing!M$3+AP12*Pricing!N$3+AQ12*Pricing!O$3)*IF(T$38="N",(1+V$38),1)</f>
        <v>8275.9831250000007</v>
      </c>
      <c r="AX12" s="1723">
        <f t="shared" si="20"/>
        <v>913.37736922944202</v>
      </c>
      <c r="AY12" s="1723">
        <f t="shared" si="21"/>
        <v>0</v>
      </c>
      <c r="AZ12" s="1929">
        <f t="shared" si="22"/>
        <v>2552</v>
      </c>
      <c r="BA12" s="1723">
        <f t="shared" si="23"/>
        <v>0</v>
      </c>
      <c r="BB12" s="1723">
        <f t="shared" si="24"/>
        <v>0</v>
      </c>
      <c r="BC12" s="1725">
        <f t="shared" si="25"/>
        <v>0</v>
      </c>
      <c r="BD12" s="1723"/>
      <c r="BE12" s="1723">
        <f t="shared" si="26"/>
        <v>0</v>
      </c>
      <c r="BF12" s="1723">
        <f t="shared" si="27"/>
        <v>375.14400000000001</v>
      </c>
      <c r="BG12" s="1723">
        <f t="shared" si="28"/>
        <v>851.74550405258185</v>
      </c>
      <c r="BH12" s="1723">
        <f t="shared" si="29"/>
        <v>234.57928075598727</v>
      </c>
      <c r="BI12" s="1723">
        <f t="shared" si="30"/>
        <v>395.57062151864852</v>
      </c>
      <c r="BJ12" s="1723">
        <f t="shared" si="31"/>
        <v>451.89697530864208</v>
      </c>
      <c r="BK12" s="1723">
        <f t="shared" si="32"/>
        <v>0</v>
      </c>
      <c r="BL12" s="1723">
        <f t="shared" si="33"/>
        <v>0</v>
      </c>
      <c r="BM12" s="1723">
        <f t="shared" si="34"/>
        <v>0</v>
      </c>
      <c r="BN12" s="1725"/>
      <c r="BO12" s="1254"/>
      <c r="BP12" s="1254"/>
      <c r="BQ12" s="1254"/>
      <c r="BR12" s="1254"/>
      <c r="BS12" s="1254">
        <f t="shared" si="35"/>
        <v>0</v>
      </c>
      <c r="BT12" s="1254"/>
      <c r="BU12" s="1254"/>
      <c r="BV12" s="1254"/>
      <c r="BW12" s="1254"/>
      <c r="BX12" s="1254"/>
      <c r="BY12" s="1254"/>
      <c r="BZ12" s="1254"/>
      <c r="CA12" s="1254"/>
      <c r="CB12" s="1254"/>
      <c r="CC12" s="1254"/>
      <c r="CD12" s="1254"/>
      <c r="CE12" s="1254"/>
      <c r="CF12" s="1254"/>
      <c r="CG12" s="1254"/>
      <c r="CH12" s="1254"/>
      <c r="CI12" s="1254"/>
      <c r="CJ12" s="1254"/>
      <c r="CK12" s="1254"/>
      <c r="CL12" s="1254"/>
      <c r="CM12" s="1254"/>
      <c r="CN12" s="1254"/>
      <c r="CO12" s="1254"/>
      <c r="CP12" s="1254"/>
      <c r="CQ12" s="1254"/>
      <c r="CR12" s="1254"/>
      <c r="CS12" s="1254"/>
      <c r="CT12" s="1254"/>
      <c r="CU12" s="1254"/>
      <c r="CV12" s="1254"/>
      <c r="CW12" s="1254"/>
      <c r="CX12" s="1254"/>
      <c r="CY12" s="1254"/>
      <c r="CZ12" s="1254"/>
      <c r="DA12" s="1254"/>
      <c r="DB12" s="1254"/>
      <c r="DC12" s="1254"/>
      <c r="DD12" s="1254"/>
      <c r="DE12" s="1254"/>
      <c r="DF12" s="1254"/>
      <c r="DG12" s="1254"/>
      <c r="DH12" s="1254"/>
      <c r="DI12" s="1254"/>
      <c r="DJ12" s="1254" t="str">
        <f t="shared" si="36"/>
        <v>Heavy Duty</v>
      </c>
      <c r="DK12" s="1930">
        <f t="shared" si="37"/>
        <v>0</v>
      </c>
      <c r="DL12" s="1719">
        <f t="shared" si="38"/>
        <v>1406.2777047412503</v>
      </c>
      <c r="DM12" s="1254">
        <f t="shared" si="39"/>
        <v>0</v>
      </c>
      <c r="DN12" s="1931">
        <f t="shared" si="40"/>
        <v>2552</v>
      </c>
    </row>
    <row r="13" spans="1:118" s="626" customFormat="1" ht="24" customHeight="1">
      <c r="A13" s="1909"/>
      <c r="B13" s="1910"/>
      <c r="C13" s="1911"/>
      <c r="D13" s="1932"/>
      <c r="E13" s="1933"/>
      <c r="F13" s="1934"/>
      <c r="G13" s="1933"/>
      <c r="H13" s="1943"/>
      <c r="I13" s="1936"/>
      <c r="J13" s="1944"/>
      <c r="K13" s="1938"/>
      <c r="L13" s="1939"/>
      <c r="M13" s="1945"/>
      <c r="N13" s="1946"/>
      <c r="O13" s="1183"/>
      <c r="P13" s="1921">
        <f t="shared" si="0"/>
        <v>0</v>
      </c>
      <c r="Q13" s="1922">
        <v>0</v>
      </c>
      <c r="R13" s="1351">
        <f t="shared" si="1"/>
        <v>0</v>
      </c>
      <c r="S13" s="1352">
        <f t="shared" si="2"/>
        <v>0</v>
      </c>
      <c r="T13" s="1941">
        <f t="shared" si="3"/>
        <v>0</v>
      </c>
      <c r="U13" s="2779">
        <f t="shared" si="4"/>
        <v>0</v>
      </c>
      <c r="V13" s="2779"/>
      <c r="W13" s="1254"/>
      <c r="X13" s="1254"/>
      <c r="AE13" s="1254"/>
      <c r="AF13" s="1254"/>
      <c r="AG13" s="1924">
        <f t="shared" si="5"/>
        <v>0</v>
      </c>
      <c r="AH13" s="1924">
        <f t="shared" si="6"/>
        <v>0</v>
      </c>
      <c r="AI13" s="1254">
        <f t="shared" si="7"/>
        <v>0</v>
      </c>
      <c r="AJ13" s="1254">
        <f t="shared" si="8"/>
        <v>0</v>
      </c>
      <c r="AK13" s="1254">
        <f t="shared" si="9"/>
        <v>0</v>
      </c>
      <c r="AL13" s="1254">
        <f t="shared" si="10"/>
        <v>0</v>
      </c>
      <c r="AM13" s="1254">
        <f t="shared" si="11"/>
        <v>0</v>
      </c>
      <c r="AN13" s="1254">
        <f t="shared" si="12"/>
        <v>0</v>
      </c>
      <c r="AO13" s="1254">
        <f t="shared" si="13"/>
        <v>0</v>
      </c>
      <c r="AP13" s="1254">
        <f t="shared" si="14"/>
        <v>0</v>
      </c>
      <c r="AQ13" s="1942">
        <f t="shared" si="15"/>
        <v>0</v>
      </c>
      <c r="AR13" s="1254">
        <f t="shared" si="16"/>
        <v>0</v>
      </c>
      <c r="AS13" s="1254">
        <f t="shared" si="17"/>
        <v>0</v>
      </c>
      <c r="AT13" s="1254">
        <f t="shared" si="18"/>
        <v>0</v>
      </c>
      <c r="AU13" s="1254">
        <f t="shared" si="19"/>
        <v>0</v>
      </c>
      <c r="AV13" s="1928">
        <f t="shared" si="41"/>
        <v>0</v>
      </c>
      <c r="AW13" s="1723">
        <f>(AH13*Pricing!F$3+AI13*Pricing!G$3+AJ13*Pricing!H$3+AK13*Pricing!I$3+AL13*Pricing!J$3+AM13*Pricing!K$3+AN13*Pricing!L$3+AO13*Pricing!M$3+AP13*Pricing!N$3+AQ13*Pricing!O$3)*IF(T$38="N",(1+V$38),1)</f>
        <v>0</v>
      </c>
      <c r="AX13" s="1723">
        <f t="shared" si="20"/>
        <v>0</v>
      </c>
      <c r="AY13" s="1723">
        <f t="shared" si="21"/>
        <v>0</v>
      </c>
      <c r="AZ13" s="1929">
        <f t="shared" si="22"/>
        <v>0</v>
      </c>
      <c r="BA13" s="1723">
        <f t="shared" si="23"/>
        <v>0</v>
      </c>
      <c r="BB13" s="1723">
        <f t="shared" si="24"/>
        <v>0</v>
      </c>
      <c r="BC13" s="1725">
        <f t="shared" si="25"/>
        <v>0</v>
      </c>
      <c r="BD13" s="1723"/>
      <c r="BE13" s="1723">
        <f t="shared" si="26"/>
        <v>0</v>
      </c>
      <c r="BF13" s="1723">
        <f t="shared" si="27"/>
        <v>0</v>
      </c>
      <c r="BG13" s="1723">
        <f t="shared" si="28"/>
        <v>0</v>
      </c>
      <c r="BH13" s="1723">
        <f t="shared" si="29"/>
        <v>0</v>
      </c>
      <c r="BI13" s="1723">
        <f t="shared" si="30"/>
        <v>0</v>
      </c>
      <c r="BJ13" s="1723">
        <f t="shared" si="31"/>
        <v>0</v>
      </c>
      <c r="BK13" s="1723">
        <f t="shared" si="32"/>
        <v>0</v>
      </c>
      <c r="BL13" s="1723">
        <f t="shared" si="33"/>
        <v>0</v>
      </c>
      <c r="BM13" s="1723">
        <f t="shared" si="34"/>
        <v>0</v>
      </c>
      <c r="BN13" s="1725"/>
      <c r="BO13" s="1254"/>
      <c r="BP13" s="1254"/>
      <c r="BQ13" s="1254"/>
      <c r="BR13" s="1254"/>
      <c r="BS13" s="1254">
        <f t="shared" si="35"/>
        <v>0</v>
      </c>
      <c r="BT13" s="1254"/>
      <c r="BU13" s="1254"/>
      <c r="BV13" s="1254"/>
      <c r="BW13" s="1254"/>
      <c r="BX13" s="1254"/>
      <c r="BY13" s="1254"/>
      <c r="BZ13" s="1254"/>
      <c r="CA13" s="1254"/>
      <c r="CB13" s="1254"/>
      <c r="CC13" s="1254"/>
      <c r="CD13" s="1254"/>
      <c r="CE13" s="1254"/>
      <c r="CF13" s="1254"/>
      <c r="CG13" s="1254"/>
      <c r="CH13" s="1254"/>
      <c r="CI13" s="1254"/>
      <c r="CJ13" s="1254"/>
      <c r="CK13" s="1254"/>
      <c r="CL13" s="1254"/>
      <c r="CM13" s="1254"/>
      <c r="CN13" s="1254"/>
      <c r="CO13" s="1254"/>
      <c r="CP13" s="1254"/>
      <c r="CQ13" s="1254"/>
      <c r="CR13" s="1254"/>
      <c r="CS13" s="1254"/>
      <c r="CT13" s="1254"/>
      <c r="CU13" s="1254"/>
      <c r="CV13" s="1254"/>
      <c r="CW13" s="1254"/>
      <c r="CX13" s="1254"/>
      <c r="CY13" s="1254"/>
      <c r="CZ13" s="1254"/>
      <c r="DA13" s="1254"/>
      <c r="DB13" s="1254"/>
      <c r="DC13" s="1254"/>
      <c r="DD13" s="1254"/>
      <c r="DE13" s="1254"/>
      <c r="DF13" s="1254"/>
      <c r="DG13" s="1254"/>
      <c r="DH13" s="1254"/>
      <c r="DI13" s="1254"/>
      <c r="DJ13" s="1254">
        <f t="shared" si="36"/>
        <v>0</v>
      </c>
      <c r="DK13" s="1930">
        <f t="shared" si="37"/>
        <v>0</v>
      </c>
      <c r="DL13" s="1719">
        <f t="shared" si="38"/>
        <v>0</v>
      </c>
      <c r="DM13" s="1254">
        <f t="shared" si="39"/>
        <v>0</v>
      </c>
      <c r="DN13" s="1931">
        <f t="shared" si="40"/>
        <v>0</v>
      </c>
    </row>
    <row r="14" spans="1:118" s="626" customFormat="1" ht="24" customHeight="1">
      <c r="A14" s="1909"/>
      <c r="B14" s="1183"/>
      <c r="C14" s="1947"/>
      <c r="D14" s="1932"/>
      <c r="E14" s="1948"/>
      <c r="F14" s="1934"/>
      <c r="G14" s="1948"/>
      <c r="H14" s="1949"/>
      <c r="I14" s="1936"/>
      <c r="J14" s="1950"/>
      <c r="K14" s="1951"/>
      <c r="L14" s="1952"/>
      <c r="M14" s="42"/>
      <c r="N14" s="1948"/>
      <c r="O14" s="1183"/>
      <c r="P14" s="1921">
        <f t="shared" si="0"/>
        <v>0</v>
      </c>
      <c r="Q14" s="1922">
        <v>0</v>
      </c>
      <c r="R14" s="1351">
        <f t="shared" si="1"/>
        <v>0</v>
      </c>
      <c r="S14" s="1352">
        <f t="shared" si="2"/>
        <v>0</v>
      </c>
      <c r="T14" s="1941">
        <f t="shared" si="3"/>
        <v>0</v>
      </c>
      <c r="U14" s="2779">
        <f t="shared" si="4"/>
        <v>0</v>
      </c>
      <c r="V14" s="2779"/>
      <c r="W14" s="1254"/>
      <c r="X14" s="1254"/>
      <c r="AE14" s="1254"/>
      <c r="AF14" s="1254"/>
      <c r="AG14" s="1924">
        <f t="shared" si="5"/>
        <v>0</v>
      </c>
      <c r="AH14" s="1924">
        <f t="shared" si="6"/>
        <v>0</v>
      </c>
      <c r="AI14" s="1254">
        <f t="shared" si="7"/>
        <v>0</v>
      </c>
      <c r="AJ14" s="1254">
        <f t="shared" si="8"/>
        <v>0</v>
      </c>
      <c r="AK14" s="1254">
        <f t="shared" si="9"/>
        <v>0</v>
      </c>
      <c r="AL14" s="1254">
        <f t="shared" si="10"/>
        <v>0</v>
      </c>
      <c r="AM14" s="1254">
        <f t="shared" si="11"/>
        <v>0</v>
      </c>
      <c r="AN14" s="1254">
        <f t="shared" si="12"/>
        <v>0</v>
      </c>
      <c r="AO14" s="1254">
        <f t="shared" si="13"/>
        <v>0</v>
      </c>
      <c r="AP14" s="1254">
        <f t="shared" si="14"/>
        <v>0</v>
      </c>
      <c r="AQ14" s="1942">
        <f t="shared" si="15"/>
        <v>0</v>
      </c>
      <c r="AR14" s="1254">
        <f t="shared" si="16"/>
        <v>0</v>
      </c>
      <c r="AS14" s="1254">
        <f t="shared" si="17"/>
        <v>0</v>
      </c>
      <c r="AT14" s="1254">
        <f t="shared" si="18"/>
        <v>0</v>
      </c>
      <c r="AU14" s="1254">
        <f t="shared" si="19"/>
        <v>0</v>
      </c>
      <c r="AV14" s="1928">
        <f t="shared" si="41"/>
        <v>0</v>
      </c>
      <c r="AW14" s="1723">
        <f>(AH14*Pricing!F$3+AI14*Pricing!G$3+AJ14*Pricing!H$3+AK14*Pricing!I$3+AL14*Pricing!J$3+AM14*Pricing!K$3+AN14*Pricing!L$3+AO14*Pricing!M$3+AP14*Pricing!N$3+AQ14*Pricing!O$3)*IF(T$38="N",(1+V$38),1)</f>
        <v>0</v>
      </c>
      <c r="AX14" s="1723">
        <f t="shared" si="20"/>
        <v>0</v>
      </c>
      <c r="AY14" s="1723">
        <f t="shared" si="21"/>
        <v>0</v>
      </c>
      <c r="AZ14" s="1929">
        <f t="shared" si="22"/>
        <v>0</v>
      </c>
      <c r="BA14" s="1723">
        <f t="shared" si="23"/>
        <v>0</v>
      </c>
      <c r="BB14" s="1723">
        <f t="shared" si="24"/>
        <v>0</v>
      </c>
      <c r="BC14" s="1725">
        <f t="shared" si="25"/>
        <v>0</v>
      </c>
      <c r="BD14" s="1723"/>
      <c r="BE14" s="1723">
        <f t="shared" si="26"/>
        <v>0</v>
      </c>
      <c r="BF14" s="1723">
        <f t="shared" si="27"/>
        <v>0</v>
      </c>
      <c r="BG14" s="1723">
        <f t="shared" si="28"/>
        <v>0</v>
      </c>
      <c r="BH14" s="1723">
        <f t="shared" si="29"/>
        <v>0</v>
      </c>
      <c r="BI14" s="1723">
        <f t="shared" si="30"/>
        <v>0</v>
      </c>
      <c r="BJ14" s="1723">
        <f t="shared" si="31"/>
        <v>0</v>
      </c>
      <c r="BK14" s="1723">
        <f t="shared" si="32"/>
        <v>0</v>
      </c>
      <c r="BL14" s="1723">
        <f t="shared" si="33"/>
        <v>0</v>
      </c>
      <c r="BM14" s="1723">
        <f t="shared" si="34"/>
        <v>0</v>
      </c>
      <c r="BN14" s="1725"/>
      <c r="BO14" s="1254"/>
      <c r="BP14" s="1254"/>
      <c r="BQ14" s="1254"/>
      <c r="BR14" s="1254"/>
      <c r="BS14" s="1254">
        <f t="shared" si="35"/>
        <v>0</v>
      </c>
      <c r="BT14" s="1254"/>
      <c r="BU14" s="1254"/>
      <c r="BV14" s="1254"/>
      <c r="BW14" s="1254"/>
      <c r="BX14" s="1254"/>
      <c r="BY14" s="1254"/>
      <c r="BZ14" s="1254"/>
      <c r="CA14" s="1254"/>
      <c r="CB14" s="1254"/>
      <c r="CC14" s="1254"/>
      <c r="CD14" s="1254"/>
      <c r="CE14" s="1254"/>
      <c r="CF14" s="1254"/>
      <c r="CG14" s="1254"/>
      <c r="CH14" s="1254"/>
      <c r="CI14" s="1254"/>
      <c r="CJ14" s="1254"/>
      <c r="CK14" s="1254"/>
      <c r="CL14" s="1254"/>
      <c r="CM14" s="1254"/>
      <c r="CN14" s="1254"/>
      <c r="CO14" s="1254"/>
      <c r="CP14" s="1254"/>
      <c r="CQ14" s="1254"/>
      <c r="CR14" s="1254"/>
      <c r="CS14" s="1254"/>
      <c r="CT14" s="1254"/>
      <c r="CU14" s="1254"/>
      <c r="CV14" s="1254"/>
      <c r="CW14" s="1254"/>
      <c r="CX14" s="1254"/>
      <c r="CY14" s="1254"/>
      <c r="CZ14" s="1254"/>
      <c r="DA14" s="1254"/>
      <c r="DB14" s="1254"/>
      <c r="DC14" s="1254"/>
      <c r="DD14" s="1254"/>
      <c r="DE14" s="1254"/>
      <c r="DF14" s="1254"/>
      <c r="DG14" s="1254"/>
      <c r="DH14" s="1254"/>
      <c r="DI14" s="1254"/>
      <c r="DJ14" s="1254">
        <f t="shared" si="36"/>
        <v>0</v>
      </c>
      <c r="DK14" s="1930">
        <f t="shared" si="37"/>
        <v>0</v>
      </c>
      <c r="DL14" s="1719">
        <f t="shared" si="38"/>
        <v>0</v>
      </c>
      <c r="DM14" s="1254">
        <f t="shared" si="39"/>
        <v>0</v>
      </c>
      <c r="DN14" s="1931">
        <f t="shared" si="40"/>
        <v>0</v>
      </c>
    </row>
    <row r="15" spans="1:118" s="626" customFormat="1" ht="24" customHeight="1">
      <c r="A15" s="1909"/>
      <c r="B15" s="1183"/>
      <c r="C15" s="1953"/>
      <c r="D15" s="1932"/>
      <c r="E15" s="1948"/>
      <c r="F15" s="1934"/>
      <c r="G15" s="1948"/>
      <c r="H15" s="1949"/>
      <c r="I15" s="1936"/>
      <c r="J15" s="1950"/>
      <c r="K15" s="1951"/>
      <c r="L15" s="1952"/>
      <c r="M15" s="42"/>
      <c r="N15" s="1948"/>
      <c r="O15" s="1183"/>
      <c r="P15" s="1921">
        <f t="shared" si="0"/>
        <v>0</v>
      </c>
      <c r="Q15" s="1922">
        <v>0</v>
      </c>
      <c r="R15" s="1351">
        <f t="shared" si="1"/>
        <v>0</v>
      </c>
      <c r="S15" s="1352">
        <f t="shared" si="2"/>
        <v>0</v>
      </c>
      <c r="T15" s="1941">
        <f t="shared" si="3"/>
        <v>0</v>
      </c>
      <c r="U15" s="2779">
        <f t="shared" si="4"/>
        <v>0</v>
      </c>
      <c r="V15" s="2779"/>
      <c r="W15" s="1254"/>
      <c r="X15" s="1254"/>
      <c r="AE15" s="1254"/>
      <c r="AF15" s="1254"/>
      <c r="AG15" s="1924">
        <f t="shared" si="5"/>
        <v>0</v>
      </c>
      <c r="AH15" s="1924">
        <f t="shared" si="6"/>
        <v>0</v>
      </c>
      <c r="AI15" s="1254">
        <f t="shared" si="7"/>
        <v>0</v>
      </c>
      <c r="AJ15" s="1254">
        <f t="shared" si="8"/>
        <v>0</v>
      </c>
      <c r="AK15" s="1254">
        <f t="shared" si="9"/>
        <v>0</v>
      </c>
      <c r="AL15" s="1254">
        <f t="shared" si="10"/>
        <v>0</v>
      </c>
      <c r="AM15" s="1254">
        <f t="shared" si="11"/>
        <v>0</v>
      </c>
      <c r="AN15" s="1254">
        <f t="shared" si="12"/>
        <v>0</v>
      </c>
      <c r="AO15" s="1254">
        <f t="shared" si="13"/>
        <v>0</v>
      </c>
      <c r="AP15" s="1254">
        <f t="shared" si="14"/>
        <v>0</v>
      </c>
      <c r="AQ15" s="1942">
        <f t="shared" si="15"/>
        <v>0</v>
      </c>
      <c r="AR15" s="1254">
        <f t="shared" si="16"/>
        <v>0</v>
      </c>
      <c r="AS15" s="1254">
        <f t="shared" si="17"/>
        <v>0</v>
      </c>
      <c r="AT15" s="1254">
        <f t="shared" si="18"/>
        <v>0</v>
      </c>
      <c r="AU15" s="1254">
        <f t="shared" si="19"/>
        <v>0</v>
      </c>
      <c r="AV15" s="1928">
        <f t="shared" si="41"/>
        <v>0</v>
      </c>
      <c r="AW15" s="1723">
        <f>(AH15*Pricing!F$3+AI15*Pricing!G$3+AJ15*Pricing!H$3+AK15*Pricing!I$3+AL15*Pricing!J$3+AM15*Pricing!K$3+AN15*Pricing!L$3+AO15*Pricing!M$3+AP15*Pricing!N$3+AQ15*Pricing!O$3)*IF(T$38="N",(1+V$38),1)</f>
        <v>0</v>
      </c>
      <c r="AX15" s="1723">
        <f t="shared" si="20"/>
        <v>0</v>
      </c>
      <c r="AY15" s="1723">
        <f t="shared" si="21"/>
        <v>0</v>
      </c>
      <c r="AZ15" s="1929">
        <f t="shared" si="22"/>
        <v>0</v>
      </c>
      <c r="BA15" s="1723">
        <f t="shared" si="23"/>
        <v>0</v>
      </c>
      <c r="BB15" s="1723">
        <f t="shared" si="24"/>
        <v>0</v>
      </c>
      <c r="BC15" s="1725">
        <f t="shared" si="25"/>
        <v>0</v>
      </c>
      <c r="BD15" s="1723"/>
      <c r="BE15" s="1723">
        <f t="shared" si="26"/>
        <v>0</v>
      </c>
      <c r="BF15" s="1723">
        <f t="shared" si="27"/>
        <v>0</v>
      </c>
      <c r="BG15" s="1723">
        <f t="shared" si="28"/>
        <v>0</v>
      </c>
      <c r="BH15" s="1723">
        <f t="shared" si="29"/>
        <v>0</v>
      </c>
      <c r="BI15" s="1723">
        <f t="shared" si="30"/>
        <v>0</v>
      </c>
      <c r="BJ15" s="1723">
        <f t="shared" si="31"/>
        <v>0</v>
      </c>
      <c r="BK15" s="1723">
        <f t="shared" si="32"/>
        <v>0</v>
      </c>
      <c r="BL15" s="1723">
        <f t="shared" si="33"/>
        <v>0</v>
      </c>
      <c r="BM15" s="1723">
        <f t="shared" si="34"/>
        <v>0</v>
      </c>
      <c r="BN15" s="1725"/>
      <c r="BO15" s="1254"/>
      <c r="BP15" s="1254"/>
      <c r="BQ15" s="1254"/>
      <c r="BR15" s="1254"/>
      <c r="BS15" s="1254">
        <f t="shared" si="35"/>
        <v>0</v>
      </c>
      <c r="BT15" s="1254"/>
      <c r="BU15" s="1254"/>
      <c r="BV15" s="1254"/>
      <c r="BW15" s="1254"/>
      <c r="BX15" s="1254"/>
      <c r="BY15" s="1254"/>
      <c r="BZ15" s="1254"/>
      <c r="CA15" s="1254"/>
      <c r="CB15" s="1254"/>
      <c r="CC15" s="1254"/>
      <c r="CD15" s="1254"/>
      <c r="CE15" s="1254"/>
      <c r="CF15" s="1254"/>
      <c r="CG15" s="1254"/>
      <c r="CH15" s="1254"/>
      <c r="CI15" s="1254"/>
      <c r="CJ15" s="1254"/>
      <c r="CK15" s="1254"/>
      <c r="CL15" s="1254"/>
      <c r="CM15" s="1254"/>
      <c r="CN15" s="1254"/>
      <c r="CO15" s="1254"/>
      <c r="CP15" s="1254"/>
      <c r="CQ15" s="1254"/>
      <c r="CR15" s="1254"/>
      <c r="CS15" s="1254"/>
      <c r="CT15" s="1254"/>
      <c r="CU15" s="1254"/>
      <c r="CV15" s="1254"/>
      <c r="CW15" s="1254"/>
      <c r="CX15" s="1254"/>
      <c r="CY15" s="1254"/>
      <c r="CZ15" s="1254"/>
      <c r="DA15" s="1254"/>
      <c r="DB15" s="1254"/>
      <c r="DC15" s="1254"/>
      <c r="DD15" s="1254"/>
      <c r="DE15" s="1254"/>
      <c r="DF15" s="1254"/>
      <c r="DG15" s="1254"/>
      <c r="DH15" s="1254"/>
      <c r="DI15" s="1254"/>
      <c r="DJ15" s="1254">
        <f t="shared" si="36"/>
        <v>0</v>
      </c>
      <c r="DK15" s="1930">
        <f t="shared" si="37"/>
        <v>0</v>
      </c>
      <c r="DL15" s="1719">
        <f t="shared" si="38"/>
        <v>0</v>
      </c>
      <c r="DM15" s="1254">
        <f t="shared" si="39"/>
        <v>0</v>
      </c>
      <c r="DN15" s="1931">
        <f t="shared" si="40"/>
        <v>0</v>
      </c>
    </row>
    <row r="16" spans="1:118" s="626" customFormat="1" ht="24" customHeight="1">
      <c r="A16" s="1909"/>
      <c r="B16" s="1183"/>
      <c r="C16" s="1953"/>
      <c r="D16" s="1932"/>
      <c r="E16" s="1948"/>
      <c r="F16" s="1934"/>
      <c r="G16" s="1948"/>
      <c r="H16" s="1949"/>
      <c r="I16" s="1936"/>
      <c r="J16" s="1950"/>
      <c r="K16" s="1951"/>
      <c r="L16" s="1952"/>
      <c r="M16" s="42"/>
      <c r="N16" s="1948"/>
      <c r="O16" s="1183"/>
      <c r="P16" s="1921">
        <f t="shared" si="0"/>
        <v>0</v>
      </c>
      <c r="Q16" s="1922">
        <v>0</v>
      </c>
      <c r="R16" s="1351">
        <f t="shared" si="1"/>
        <v>0</v>
      </c>
      <c r="S16" s="1352">
        <f t="shared" si="2"/>
        <v>0</v>
      </c>
      <c r="T16" s="1941">
        <f t="shared" si="3"/>
        <v>0</v>
      </c>
      <c r="U16" s="2779">
        <f t="shared" si="4"/>
        <v>0</v>
      </c>
      <c r="V16" s="2779"/>
      <c r="W16" s="1254"/>
      <c r="X16" s="1254"/>
      <c r="AE16" s="1254"/>
      <c r="AF16" s="1254"/>
      <c r="AG16" s="1924">
        <f t="shared" si="5"/>
        <v>0</v>
      </c>
      <c r="AH16" s="1924">
        <f t="shared" si="6"/>
        <v>0</v>
      </c>
      <c r="AI16" s="1254">
        <f t="shared" si="7"/>
        <v>0</v>
      </c>
      <c r="AJ16" s="1254">
        <f t="shared" si="8"/>
        <v>0</v>
      </c>
      <c r="AK16" s="1254">
        <f t="shared" si="9"/>
        <v>0</v>
      </c>
      <c r="AL16" s="1254">
        <f t="shared" si="10"/>
        <v>0</v>
      </c>
      <c r="AM16" s="1254">
        <f t="shared" si="11"/>
        <v>0</v>
      </c>
      <c r="AN16" s="1254">
        <f t="shared" si="12"/>
        <v>0</v>
      </c>
      <c r="AO16" s="1254">
        <f t="shared" si="13"/>
        <v>0</v>
      </c>
      <c r="AP16" s="1254">
        <f t="shared" si="14"/>
        <v>0</v>
      </c>
      <c r="AQ16" s="1942">
        <f t="shared" si="15"/>
        <v>0</v>
      </c>
      <c r="AR16" s="1254">
        <f t="shared" si="16"/>
        <v>0</v>
      </c>
      <c r="AS16" s="1254">
        <f t="shared" si="17"/>
        <v>0</v>
      </c>
      <c r="AT16" s="1254">
        <f t="shared" si="18"/>
        <v>0</v>
      </c>
      <c r="AU16" s="1254">
        <f t="shared" si="19"/>
        <v>0</v>
      </c>
      <c r="AV16" s="1928">
        <f t="shared" si="41"/>
        <v>0</v>
      </c>
      <c r="AW16" s="1723">
        <f>(AH16*Pricing!F$3+AI16*Pricing!G$3+AJ16*Pricing!H$3+AK16*Pricing!I$3+AL16*Pricing!J$3+AM16*Pricing!K$3+AN16*Pricing!L$3+AO16*Pricing!M$3+AP16*Pricing!N$3+AQ16*Pricing!O$3)*IF(T$38="N",(1+V$38),1)</f>
        <v>0</v>
      </c>
      <c r="AX16" s="1723">
        <f t="shared" si="20"/>
        <v>0</v>
      </c>
      <c r="AY16" s="1723">
        <f t="shared" si="21"/>
        <v>0</v>
      </c>
      <c r="AZ16" s="1929">
        <f t="shared" si="22"/>
        <v>0</v>
      </c>
      <c r="BA16" s="1723">
        <f t="shared" si="23"/>
        <v>0</v>
      </c>
      <c r="BB16" s="1723">
        <f t="shared" si="24"/>
        <v>0</v>
      </c>
      <c r="BC16" s="1725">
        <f t="shared" si="25"/>
        <v>0</v>
      </c>
      <c r="BD16" s="1723"/>
      <c r="BE16" s="1723">
        <f t="shared" si="26"/>
        <v>0</v>
      </c>
      <c r="BF16" s="1723">
        <f t="shared" si="27"/>
        <v>0</v>
      </c>
      <c r="BG16" s="1723">
        <f t="shared" si="28"/>
        <v>0</v>
      </c>
      <c r="BH16" s="1723">
        <f t="shared" si="29"/>
        <v>0</v>
      </c>
      <c r="BI16" s="1723">
        <f t="shared" si="30"/>
        <v>0</v>
      </c>
      <c r="BJ16" s="1723">
        <f t="shared" si="31"/>
        <v>0</v>
      </c>
      <c r="BK16" s="1723">
        <f t="shared" si="32"/>
        <v>0</v>
      </c>
      <c r="BL16" s="1723">
        <f t="shared" si="33"/>
        <v>0</v>
      </c>
      <c r="BM16" s="1723">
        <f t="shared" si="34"/>
        <v>0</v>
      </c>
      <c r="BN16" s="1725"/>
      <c r="BO16" s="1254"/>
      <c r="BP16" s="1254"/>
      <c r="BQ16" s="1254"/>
      <c r="BR16" s="1254"/>
      <c r="BS16" s="1254">
        <f t="shared" si="35"/>
        <v>0</v>
      </c>
      <c r="BT16" s="1254"/>
      <c r="BU16" s="1254"/>
      <c r="BV16" s="1254"/>
      <c r="BW16" s="1254"/>
      <c r="BX16" s="1254"/>
      <c r="BY16" s="1254"/>
      <c r="BZ16" s="1254"/>
      <c r="CA16" s="1254"/>
      <c r="CB16" s="1254"/>
      <c r="CC16" s="1254"/>
      <c r="CD16" s="1254"/>
      <c r="CE16" s="1254"/>
      <c r="CF16" s="1254"/>
      <c r="CG16" s="1254"/>
      <c r="CH16" s="1254"/>
      <c r="CI16" s="1254"/>
      <c r="CJ16" s="1254"/>
      <c r="CK16" s="1254"/>
      <c r="CL16" s="1254"/>
      <c r="CM16" s="1254"/>
      <c r="CN16" s="1254"/>
      <c r="CO16" s="1254"/>
      <c r="CP16" s="1254"/>
      <c r="CQ16" s="1254"/>
      <c r="CR16" s="1254"/>
      <c r="CS16" s="1254"/>
      <c r="CT16" s="1254"/>
      <c r="CU16" s="1254"/>
      <c r="CV16" s="1254"/>
      <c r="CW16" s="1254"/>
      <c r="CX16" s="1254"/>
      <c r="CY16" s="1254"/>
      <c r="CZ16" s="1254"/>
      <c r="DA16" s="1254"/>
      <c r="DB16" s="1254"/>
      <c r="DC16" s="1254"/>
      <c r="DD16" s="1254"/>
      <c r="DE16" s="1254"/>
      <c r="DF16" s="1254"/>
      <c r="DG16" s="1254"/>
      <c r="DH16" s="1254"/>
      <c r="DI16" s="1254"/>
      <c r="DJ16" s="1254">
        <f t="shared" si="36"/>
        <v>0</v>
      </c>
      <c r="DK16" s="1930">
        <f t="shared" si="37"/>
        <v>0</v>
      </c>
      <c r="DL16" s="1719">
        <f t="shared" si="38"/>
        <v>0</v>
      </c>
      <c r="DM16" s="1254">
        <f t="shared" si="39"/>
        <v>0</v>
      </c>
      <c r="DN16" s="1931">
        <f t="shared" si="40"/>
        <v>0</v>
      </c>
    </row>
    <row r="17" spans="1:118" s="626" customFormat="1" ht="24" customHeight="1">
      <c r="A17" s="1909"/>
      <c r="B17" s="1183"/>
      <c r="C17" s="1953"/>
      <c r="D17" s="1932"/>
      <c r="E17" s="1948"/>
      <c r="F17" s="1934"/>
      <c r="G17" s="1948"/>
      <c r="H17" s="1949"/>
      <c r="I17" s="1936"/>
      <c r="J17" s="1950"/>
      <c r="K17" s="1951"/>
      <c r="L17" s="1952"/>
      <c r="M17" s="42"/>
      <c r="N17" s="1948"/>
      <c r="O17" s="1183"/>
      <c r="P17" s="1921">
        <f t="shared" si="0"/>
        <v>0</v>
      </c>
      <c r="Q17" s="1922">
        <v>0</v>
      </c>
      <c r="R17" s="1351">
        <f t="shared" si="1"/>
        <v>0</v>
      </c>
      <c r="S17" s="1352">
        <f t="shared" si="2"/>
        <v>0</v>
      </c>
      <c r="T17" s="1941">
        <f t="shared" si="3"/>
        <v>0</v>
      </c>
      <c r="U17" s="2779">
        <f t="shared" si="4"/>
        <v>0</v>
      </c>
      <c r="V17" s="2779"/>
      <c r="W17" s="1254"/>
      <c r="X17" s="1254"/>
      <c r="AE17" s="1254"/>
      <c r="AF17" s="1254"/>
      <c r="AG17" s="1924">
        <f t="shared" si="5"/>
        <v>0</v>
      </c>
      <c r="AH17" s="1924">
        <f t="shared" si="6"/>
        <v>0</v>
      </c>
      <c r="AI17" s="1254">
        <f t="shared" si="7"/>
        <v>0</v>
      </c>
      <c r="AJ17" s="1254">
        <f t="shared" si="8"/>
        <v>0</v>
      </c>
      <c r="AK17" s="1254">
        <f t="shared" si="9"/>
        <v>0</v>
      </c>
      <c r="AL17" s="1254">
        <f t="shared" si="10"/>
        <v>0</v>
      </c>
      <c r="AM17" s="1254">
        <f t="shared" si="11"/>
        <v>0</v>
      </c>
      <c r="AN17" s="1254">
        <f t="shared" si="12"/>
        <v>0</v>
      </c>
      <c r="AO17" s="1254">
        <f t="shared" si="13"/>
        <v>0</v>
      </c>
      <c r="AP17" s="1254">
        <f t="shared" si="14"/>
        <v>0</v>
      </c>
      <c r="AQ17" s="1942">
        <f t="shared" si="15"/>
        <v>0</v>
      </c>
      <c r="AR17" s="1254">
        <f t="shared" si="16"/>
        <v>0</v>
      </c>
      <c r="AS17" s="1254">
        <f t="shared" si="17"/>
        <v>0</v>
      </c>
      <c r="AT17" s="1254">
        <f t="shared" si="18"/>
        <v>0</v>
      </c>
      <c r="AU17" s="1254">
        <f t="shared" si="19"/>
        <v>0</v>
      </c>
      <c r="AV17" s="1928">
        <f t="shared" si="41"/>
        <v>0</v>
      </c>
      <c r="AW17" s="1723">
        <f>(AH17*Pricing!F$3+AI17*Pricing!G$3+AJ17*Pricing!H$3+AK17*Pricing!I$3+AL17*Pricing!J$3+AM17*Pricing!K$3+AN17*Pricing!L$3+AO17*Pricing!M$3+AP17*Pricing!N$3+AQ17*Pricing!O$3)*IF(T$38="N",(1+V$38),1)</f>
        <v>0</v>
      </c>
      <c r="AX17" s="1723">
        <f t="shared" si="20"/>
        <v>0</v>
      </c>
      <c r="AY17" s="1723">
        <f t="shared" si="21"/>
        <v>0</v>
      </c>
      <c r="AZ17" s="1929">
        <f t="shared" si="22"/>
        <v>0</v>
      </c>
      <c r="BA17" s="1723">
        <f t="shared" si="23"/>
        <v>0</v>
      </c>
      <c r="BB17" s="1723">
        <f t="shared" si="24"/>
        <v>0</v>
      </c>
      <c r="BC17" s="1725">
        <f t="shared" si="25"/>
        <v>0</v>
      </c>
      <c r="BD17" s="1723"/>
      <c r="BE17" s="1723">
        <f t="shared" si="26"/>
        <v>0</v>
      </c>
      <c r="BF17" s="1723">
        <f t="shared" si="27"/>
        <v>0</v>
      </c>
      <c r="BG17" s="1723">
        <f t="shared" si="28"/>
        <v>0</v>
      </c>
      <c r="BH17" s="1723">
        <f t="shared" si="29"/>
        <v>0</v>
      </c>
      <c r="BI17" s="1723">
        <f t="shared" si="30"/>
        <v>0</v>
      </c>
      <c r="BJ17" s="1723">
        <f t="shared" si="31"/>
        <v>0</v>
      </c>
      <c r="BK17" s="1723">
        <f t="shared" si="32"/>
        <v>0</v>
      </c>
      <c r="BL17" s="1723">
        <f t="shared" si="33"/>
        <v>0</v>
      </c>
      <c r="BM17" s="1723">
        <f t="shared" si="34"/>
        <v>0</v>
      </c>
      <c r="BN17" s="1725"/>
      <c r="BO17" s="1254"/>
      <c r="BP17" s="1254"/>
      <c r="BQ17" s="1254"/>
      <c r="BR17" s="1254"/>
      <c r="BS17" s="1254">
        <f t="shared" si="35"/>
        <v>0</v>
      </c>
      <c r="BT17" s="1254"/>
      <c r="BU17" s="1254"/>
      <c r="BV17" s="1254"/>
      <c r="BW17" s="1254"/>
      <c r="BX17" s="1254"/>
      <c r="BY17" s="1254"/>
      <c r="BZ17" s="1254"/>
      <c r="CA17" s="1254"/>
      <c r="CB17" s="1254"/>
      <c r="CC17" s="1254"/>
      <c r="CD17" s="1254"/>
      <c r="CE17" s="1254"/>
      <c r="CF17" s="1254"/>
      <c r="CG17" s="1254"/>
      <c r="CH17" s="1254"/>
      <c r="CI17" s="1254"/>
      <c r="CJ17" s="1254"/>
      <c r="CK17" s="1254"/>
      <c r="CL17" s="1254"/>
      <c r="CM17" s="1254"/>
      <c r="CN17" s="1254"/>
      <c r="CO17" s="1254"/>
      <c r="CP17" s="1254"/>
      <c r="CQ17" s="1254"/>
      <c r="CR17" s="1254"/>
      <c r="CS17" s="1254"/>
      <c r="CT17" s="1254"/>
      <c r="CU17" s="1254"/>
      <c r="CV17" s="1254"/>
      <c r="CW17" s="1254"/>
      <c r="CX17" s="1254"/>
      <c r="CY17" s="1254"/>
      <c r="CZ17" s="1254"/>
      <c r="DA17" s="1254"/>
      <c r="DB17" s="1254"/>
      <c r="DC17" s="1254"/>
      <c r="DD17" s="1254"/>
      <c r="DE17" s="1254"/>
      <c r="DF17" s="1254"/>
      <c r="DG17" s="1254"/>
      <c r="DH17" s="1254"/>
      <c r="DI17" s="1254"/>
      <c r="DJ17" s="1254">
        <f t="shared" si="36"/>
        <v>0</v>
      </c>
      <c r="DK17" s="1930">
        <f t="shared" si="37"/>
        <v>0</v>
      </c>
      <c r="DL17" s="1719">
        <f t="shared" si="38"/>
        <v>0</v>
      </c>
      <c r="DM17" s="1254">
        <f t="shared" si="39"/>
        <v>0</v>
      </c>
      <c r="DN17" s="1931">
        <f t="shared" si="40"/>
        <v>0</v>
      </c>
    </row>
    <row r="18" spans="1:118" s="626" customFormat="1" ht="24" customHeight="1">
      <c r="A18" s="1909"/>
      <c r="B18" s="1910"/>
      <c r="C18" s="1953"/>
      <c r="D18" s="1932"/>
      <c r="E18" s="1933"/>
      <c r="F18" s="1934"/>
      <c r="G18" s="1948"/>
      <c r="H18" s="1949"/>
      <c r="I18" s="1936"/>
      <c r="J18" s="1954"/>
      <c r="K18" s="1938"/>
      <c r="L18" s="1952"/>
      <c r="M18" s="42"/>
      <c r="N18" s="1948"/>
      <c r="O18" s="1183"/>
      <c r="P18" s="1921">
        <f t="shared" si="0"/>
        <v>0</v>
      </c>
      <c r="Q18" s="1922">
        <v>0</v>
      </c>
      <c r="R18" s="1351">
        <f t="shared" si="1"/>
        <v>0</v>
      </c>
      <c r="S18" s="1352">
        <f t="shared" si="2"/>
        <v>0</v>
      </c>
      <c r="T18" s="1941">
        <f t="shared" si="3"/>
        <v>0</v>
      </c>
      <c r="U18" s="2779">
        <f t="shared" si="4"/>
        <v>0</v>
      </c>
      <c r="V18" s="2779"/>
      <c r="W18" s="1254"/>
      <c r="X18" s="1254"/>
      <c r="AE18" s="1254"/>
      <c r="AF18" s="1254"/>
      <c r="AG18" s="1924">
        <f t="shared" si="5"/>
        <v>0</v>
      </c>
      <c r="AH18" s="1924">
        <f t="shared" si="6"/>
        <v>0</v>
      </c>
      <c r="AI18" s="1254">
        <f t="shared" si="7"/>
        <v>0</v>
      </c>
      <c r="AJ18" s="1254">
        <f t="shared" si="8"/>
        <v>0</v>
      </c>
      <c r="AK18" s="1254">
        <f t="shared" si="9"/>
        <v>0</v>
      </c>
      <c r="AL18" s="1254">
        <f t="shared" si="10"/>
        <v>0</v>
      </c>
      <c r="AM18" s="1254">
        <f t="shared" si="11"/>
        <v>0</v>
      </c>
      <c r="AN18" s="1254">
        <f t="shared" si="12"/>
        <v>0</v>
      </c>
      <c r="AO18" s="1254">
        <f t="shared" si="13"/>
        <v>0</v>
      </c>
      <c r="AP18" s="1254">
        <f t="shared" si="14"/>
        <v>0</v>
      </c>
      <c r="AQ18" s="1942">
        <f t="shared" si="15"/>
        <v>0</v>
      </c>
      <c r="AR18" s="1254">
        <f t="shared" si="16"/>
        <v>0</v>
      </c>
      <c r="AS18" s="1254">
        <f t="shared" si="17"/>
        <v>0</v>
      </c>
      <c r="AT18" s="1254">
        <f t="shared" si="18"/>
        <v>0</v>
      </c>
      <c r="AU18" s="1254">
        <f t="shared" si="19"/>
        <v>0</v>
      </c>
      <c r="AV18" s="1928">
        <f t="shared" si="41"/>
        <v>0</v>
      </c>
      <c r="AW18" s="1723">
        <f>(AH18*Pricing!F$3+AI18*Pricing!G$3+AJ18*Pricing!H$3+AK18*Pricing!I$3+AL18*Pricing!J$3+AM18*Pricing!K$3+AN18*Pricing!L$3+AO18*Pricing!M$3+AP18*Pricing!N$3+AQ18*Pricing!O$3)*IF(T$38="N",(1+V$38),1)</f>
        <v>0</v>
      </c>
      <c r="AX18" s="1723">
        <f t="shared" si="20"/>
        <v>0</v>
      </c>
      <c r="AY18" s="1723">
        <f t="shared" si="21"/>
        <v>0</v>
      </c>
      <c r="AZ18" s="1929">
        <f t="shared" si="22"/>
        <v>0</v>
      </c>
      <c r="BA18" s="1723">
        <f t="shared" si="23"/>
        <v>0</v>
      </c>
      <c r="BB18" s="1723">
        <f t="shared" si="24"/>
        <v>0</v>
      </c>
      <c r="BC18" s="1725">
        <f t="shared" si="25"/>
        <v>0</v>
      </c>
      <c r="BD18" s="1723"/>
      <c r="BE18" s="1723">
        <f t="shared" si="26"/>
        <v>0</v>
      </c>
      <c r="BF18" s="1723">
        <f t="shared" si="27"/>
        <v>0</v>
      </c>
      <c r="BG18" s="1723">
        <f t="shared" si="28"/>
        <v>0</v>
      </c>
      <c r="BH18" s="1723">
        <f t="shared" si="29"/>
        <v>0</v>
      </c>
      <c r="BI18" s="1723">
        <f t="shared" si="30"/>
        <v>0</v>
      </c>
      <c r="BJ18" s="1723">
        <f t="shared" si="31"/>
        <v>0</v>
      </c>
      <c r="BK18" s="1723">
        <f t="shared" si="32"/>
        <v>0</v>
      </c>
      <c r="BL18" s="1723">
        <f t="shared" si="33"/>
        <v>0</v>
      </c>
      <c r="BM18" s="1723">
        <f t="shared" si="34"/>
        <v>0</v>
      </c>
      <c r="BN18" s="1725"/>
      <c r="BO18" s="1254"/>
      <c r="BP18" s="1254"/>
      <c r="BQ18" s="1254"/>
      <c r="BR18" s="1254"/>
      <c r="BS18" s="1254">
        <f t="shared" si="35"/>
        <v>0</v>
      </c>
      <c r="BT18" s="1254"/>
      <c r="BU18" s="1254"/>
      <c r="BV18" s="1254"/>
      <c r="BW18" s="1254"/>
      <c r="BX18" s="1254"/>
      <c r="BY18" s="1254"/>
      <c r="BZ18" s="1254"/>
      <c r="CA18" s="1254"/>
      <c r="CB18" s="1254"/>
      <c r="CC18" s="1254"/>
      <c r="CD18" s="1254"/>
      <c r="CE18" s="1254"/>
      <c r="CF18" s="1254"/>
      <c r="CG18" s="1254"/>
      <c r="CH18" s="1254"/>
      <c r="CI18" s="1254"/>
      <c r="CJ18" s="1254"/>
      <c r="CK18" s="1254"/>
      <c r="CL18" s="1254"/>
      <c r="CM18" s="1254"/>
      <c r="CN18" s="1254"/>
      <c r="CO18" s="1254"/>
      <c r="CP18" s="1254"/>
      <c r="CQ18" s="1254"/>
      <c r="CR18" s="1254"/>
      <c r="CS18" s="1254"/>
      <c r="CT18" s="1254"/>
      <c r="CU18" s="1254"/>
      <c r="CV18" s="1254"/>
      <c r="CW18" s="1254"/>
      <c r="CX18" s="1254"/>
      <c r="CY18" s="1254"/>
      <c r="CZ18" s="1254"/>
      <c r="DA18" s="1254"/>
      <c r="DB18" s="1254"/>
      <c r="DC18" s="1254"/>
      <c r="DD18" s="1254"/>
      <c r="DE18" s="1254"/>
      <c r="DF18" s="1254"/>
      <c r="DG18" s="1254"/>
      <c r="DH18" s="1254"/>
      <c r="DI18" s="1254"/>
      <c r="DJ18" s="1254">
        <f t="shared" si="36"/>
        <v>0</v>
      </c>
      <c r="DK18" s="1930">
        <f t="shared" si="37"/>
        <v>0</v>
      </c>
      <c r="DL18" s="1719">
        <f t="shared" si="38"/>
        <v>0</v>
      </c>
      <c r="DM18" s="1254">
        <f t="shared" si="39"/>
        <v>0</v>
      </c>
      <c r="DN18" s="1931">
        <f t="shared" si="40"/>
        <v>0</v>
      </c>
    </row>
    <row r="19" spans="1:118" s="626" customFormat="1" ht="24" customHeight="1">
      <c r="A19" s="1909"/>
      <c r="B19" s="1910"/>
      <c r="C19" s="1953"/>
      <c r="D19" s="1932"/>
      <c r="E19" s="1933"/>
      <c r="F19" s="1934"/>
      <c r="G19" s="1948"/>
      <c r="H19" s="1949"/>
      <c r="I19" s="1936"/>
      <c r="J19" s="1944"/>
      <c r="K19" s="1938"/>
      <c r="L19" s="1952"/>
      <c r="M19" s="42"/>
      <c r="N19" s="1948"/>
      <c r="O19" s="1183"/>
      <c r="P19" s="1921">
        <f t="shared" si="0"/>
        <v>0</v>
      </c>
      <c r="Q19" s="1922">
        <v>0</v>
      </c>
      <c r="R19" s="1351">
        <f t="shared" si="1"/>
        <v>0</v>
      </c>
      <c r="S19" s="1352">
        <f t="shared" si="2"/>
        <v>0</v>
      </c>
      <c r="T19" s="1941">
        <f t="shared" si="3"/>
        <v>0</v>
      </c>
      <c r="U19" s="2779">
        <f t="shared" si="4"/>
        <v>0</v>
      </c>
      <c r="V19" s="2779"/>
      <c r="W19" s="1254"/>
      <c r="X19" s="1254"/>
      <c r="AE19" s="1254"/>
      <c r="AF19" s="1254"/>
      <c r="AG19" s="1924">
        <f t="shared" si="5"/>
        <v>0</v>
      </c>
      <c r="AH19" s="1924">
        <f t="shared" si="6"/>
        <v>0</v>
      </c>
      <c r="AI19" s="1254">
        <f t="shared" si="7"/>
        <v>0</v>
      </c>
      <c r="AJ19" s="1254">
        <f t="shared" si="8"/>
        <v>0</v>
      </c>
      <c r="AK19" s="1254">
        <f t="shared" si="9"/>
        <v>0</v>
      </c>
      <c r="AL19" s="1254">
        <f t="shared" si="10"/>
        <v>0</v>
      </c>
      <c r="AM19" s="1254">
        <f t="shared" si="11"/>
        <v>0</v>
      </c>
      <c r="AN19" s="1254">
        <f t="shared" si="12"/>
        <v>0</v>
      </c>
      <c r="AO19" s="1254">
        <f t="shared" si="13"/>
        <v>0</v>
      </c>
      <c r="AP19" s="1254">
        <f t="shared" si="14"/>
        <v>0</v>
      </c>
      <c r="AQ19" s="1942">
        <f t="shared" si="15"/>
        <v>0</v>
      </c>
      <c r="AR19" s="1254">
        <f t="shared" si="16"/>
        <v>0</v>
      </c>
      <c r="AS19" s="1254">
        <f t="shared" si="17"/>
        <v>0</v>
      </c>
      <c r="AT19" s="1254">
        <f t="shared" si="18"/>
        <v>0</v>
      </c>
      <c r="AU19" s="1254">
        <f t="shared" si="19"/>
        <v>0</v>
      </c>
      <c r="AV19" s="1928">
        <f t="shared" si="41"/>
        <v>0</v>
      </c>
      <c r="AW19" s="1723">
        <f>(AH19*Pricing!F$3+AI19*Pricing!G$3+AJ19*Pricing!H$3+AK19*Pricing!I$3+AL19*Pricing!J$3+AM19*Pricing!K$3+AN19*Pricing!L$3+AO19*Pricing!M$3+AP19*Pricing!N$3+AQ19*Pricing!O$3)*IF(T$38="N",(1+V$38),1)</f>
        <v>0</v>
      </c>
      <c r="AX19" s="1723">
        <f t="shared" si="20"/>
        <v>0</v>
      </c>
      <c r="AY19" s="1723">
        <f t="shared" si="21"/>
        <v>0</v>
      </c>
      <c r="AZ19" s="1929">
        <f t="shared" si="22"/>
        <v>0</v>
      </c>
      <c r="BA19" s="1723">
        <f t="shared" si="23"/>
        <v>0</v>
      </c>
      <c r="BB19" s="1723">
        <f t="shared" si="24"/>
        <v>0</v>
      </c>
      <c r="BC19" s="1725">
        <f t="shared" si="25"/>
        <v>0</v>
      </c>
      <c r="BD19" s="1723"/>
      <c r="BE19" s="1723">
        <f t="shared" si="26"/>
        <v>0</v>
      </c>
      <c r="BF19" s="1723">
        <f t="shared" si="27"/>
        <v>0</v>
      </c>
      <c r="BG19" s="1723">
        <f t="shared" si="28"/>
        <v>0</v>
      </c>
      <c r="BH19" s="1723">
        <f t="shared" si="29"/>
        <v>0</v>
      </c>
      <c r="BI19" s="1723">
        <f t="shared" si="30"/>
        <v>0</v>
      </c>
      <c r="BJ19" s="1723">
        <f t="shared" si="31"/>
        <v>0</v>
      </c>
      <c r="BK19" s="1723">
        <f t="shared" si="32"/>
        <v>0</v>
      </c>
      <c r="BL19" s="1723">
        <f t="shared" si="33"/>
        <v>0</v>
      </c>
      <c r="BM19" s="1723">
        <f t="shared" si="34"/>
        <v>0</v>
      </c>
      <c r="BN19" s="1725"/>
      <c r="BO19" s="1254"/>
      <c r="BP19" s="1254"/>
      <c r="BQ19" s="1254"/>
      <c r="BR19" s="1254"/>
      <c r="BS19" s="1254">
        <f t="shared" si="35"/>
        <v>0</v>
      </c>
      <c r="BT19" s="1254"/>
      <c r="BU19" s="1254"/>
      <c r="BV19" s="1254"/>
      <c r="BW19" s="1254"/>
      <c r="BX19" s="1254"/>
      <c r="BY19" s="1254"/>
      <c r="BZ19" s="1254"/>
      <c r="CA19" s="1254"/>
      <c r="CB19" s="1254"/>
      <c r="CC19" s="1254"/>
      <c r="CD19" s="1254"/>
      <c r="CE19" s="1254"/>
      <c r="CF19" s="1254"/>
      <c r="CG19" s="1254"/>
      <c r="CH19" s="1254"/>
      <c r="CI19" s="1254"/>
      <c r="CJ19" s="1254"/>
      <c r="CK19" s="1254"/>
      <c r="CL19" s="1254"/>
      <c r="CM19" s="1254"/>
      <c r="CN19" s="1254"/>
      <c r="CO19" s="1254"/>
      <c r="CP19" s="1254"/>
      <c r="CQ19" s="1254"/>
      <c r="CR19" s="1254"/>
      <c r="CS19" s="1254"/>
      <c r="CT19" s="1254"/>
      <c r="CU19" s="1254"/>
      <c r="CV19" s="1254"/>
      <c r="CW19" s="1254"/>
      <c r="CX19" s="1254"/>
      <c r="CY19" s="1254"/>
      <c r="CZ19" s="1254"/>
      <c r="DA19" s="1254"/>
      <c r="DB19" s="1254"/>
      <c r="DC19" s="1254"/>
      <c r="DD19" s="1254"/>
      <c r="DE19" s="1254"/>
      <c r="DF19" s="1254"/>
      <c r="DG19" s="1254"/>
      <c r="DH19" s="1254"/>
      <c r="DI19" s="1254"/>
      <c r="DJ19" s="1254">
        <f t="shared" si="36"/>
        <v>0</v>
      </c>
      <c r="DK19" s="1930">
        <f t="shared" si="37"/>
        <v>0</v>
      </c>
      <c r="DL19" s="1719">
        <f t="shared" si="38"/>
        <v>0</v>
      </c>
      <c r="DM19" s="1254">
        <f t="shared" si="39"/>
        <v>0</v>
      </c>
      <c r="DN19" s="1931">
        <f t="shared" si="40"/>
        <v>0</v>
      </c>
    </row>
    <row r="20" spans="1:118" s="626" customFormat="1" ht="24" customHeight="1">
      <c r="A20" s="1909"/>
      <c r="B20" s="1910"/>
      <c r="C20" s="1953"/>
      <c r="D20" s="1932"/>
      <c r="E20" s="1933"/>
      <c r="F20" s="1934"/>
      <c r="G20" s="1948"/>
      <c r="H20" s="1949"/>
      <c r="I20" s="1936"/>
      <c r="J20" s="1944"/>
      <c r="K20" s="1938"/>
      <c r="L20" s="1952"/>
      <c r="M20" s="42"/>
      <c r="N20" s="1933"/>
      <c r="O20" s="1183"/>
      <c r="P20" s="1921">
        <f t="shared" si="0"/>
        <v>0</v>
      </c>
      <c r="Q20" s="1922">
        <v>0</v>
      </c>
      <c r="R20" s="1351">
        <f t="shared" si="1"/>
        <v>0</v>
      </c>
      <c r="S20" s="1352">
        <f t="shared" si="2"/>
        <v>0</v>
      </c>
      <c r="T20" s="1941">
        <f t="shared" si="3"/>
        <v>0</v>
      </c>
      <c r="U20" s="2779">
        <f t="shared" si="4"/>
        <v>0</v>
      </c>
      <c r="V20" s="2779"/>
      <c r="W20" s="1254"/>
      <c r="X20" s="1254"/>
      <c r="AE20" s="1254"/>
      <c r="AF20" s="1254"/>
      <c r="AG20" s="1924">
        <f t="shared" si="5"/>
        <v>0</v>
      </c>
      <c r="AH20" s="1924">
        <f t="shared" si="6"/>
        <v>0</v>
      </c>
      <c r="AI20" s="1254">
        <f t="shared" si="7"/>
        <v>0</v>
      </c>
      <c r="AJ20" s="1254">
        <f t="shared" si="8"/>
        <v>0</v>
      </c>
      <c r="AK20" s="1254">
        <f t="shared" si="9"/>
        <v>0</v>
      </c>
      <c r="AL20" s="1254">
        <f t="shared" si="10"/>
        <v>0</v>
      </c>
      <c r="AM20" s="1254">
        <f t="shared" si="11"/>
        <v>0</v>
      </c>
      <c r="AN20" s="1254">
        <f t="shared" si="12"/>
        <v>0</v>
      </c>
      <c r="AO20" s="1254">
        <f t="shared" si="13"/>
        <v>0</v>
      </c>
      <c r="AP20" s="1254">
        <f t="shared" si="14"/>
        <v>0</v>
      </c>
      <c r="AQ20" s="1942">
        <f t="shared" si="15"/>
        <v>0</v>
      </c>
      <c r="AR20" s="1254">
        <f t="shared" si="16"/>
        <v>0</v>
      </c>
      <c r="AS20" s="1254">
        <f t="shared" si="17"/>
        <v>0</v>
      </c>
      <c r="AT20" s="1254">
        <f t="shared" si="18"/>
        <v>0</v>
      </c>
      <c r="AU20" s="1254">
        <f t="shared" si="19"/>
        <v>0</v>
      </c>
      <c r="AV20" s="1928">
        <f t="shared" si="41"/>
        <v>0</v>
      </c>
      <c r="AW20" s="1723">
        <f>(AH20*Pricing!F$3+AI20*Pricing!G$3+AJ20*Pricing!H$3+AK20*Pricing!I$3+AL20*Pricing!J$3+AM20*Pricing!K$3+AN20*Pricing!L$3+AO20*Pricing!M$3+AP20*Pricing!N$3+AQ20*Pricing!O$3)*IF(T$38="N",(1+V$38),1)</f>
        <v>0</v>
      </c>
      <c r="AX20" s="1723">
        <f t="shared" si="20"/>
        <v>0</v>
      </c>
      <c r="AY20" s="1723">
        <f t="shared" si="21"/>
        <v>0</v>
      </c>
      <c r="AZ20" s="1929">
        <f t="shared" si="22"/>
        <v>0</v>
      </c>
      <c r="BA20" s="1723">
        <f t="shared" si="23"/>
        <v>0</v>
      </c>
      <c r="BB20" s="1723">
        <f t="shared" si="24"/>
        <v>0</v>
      </c>
      <c r="BC20" s="1725">
        <f t="shared" si="25"/>
        <v>0</v>
      </c>
      <c r="BD20" s="1723"/>
      <c r="BE20" s="1723">
        <f t="shared" si="26"/>
        <v>0</v>
      </c>
      <c r="BF20" s="1723">
        <f t="shared" si="27"/>
        <v>0</v>
      </c>
      <c r="BG20" s="1723">
        <f t="shared" si="28"/>
        <v>0</v>
      </c>
      <c r="BH20" s="1723">
        <f t="shared" si="29"/>
        <v>0</v>
      </c>
      <c r="BI20" s="1723">
        <f t="shared" si="30"/>
        <v>0</v>
      </c>
      <c r="BJ20" s="1723">
        <f t="shared" si="31"/>
        <v>0</v>
      </c>
      <c r="BK20" s="1723">
        <f t="shared" si="32"/>
        <v>0</v>
      </c>
      <c r="BL20" s="1723">
        <f t="shared" si="33"/>
        <v>0</v>
      </c>
      <c r="BM20" s="1723">
        <f t="shared" si="34"/>
        <v>0</v>
      </c>
      <c r="BN20" s="1725"/>
      <c r="BO20" s="1254"/>
      <c r="BP20" s="1254"/>
      <c r="BQ20" s="1254"/>
      <c r="BR20" s="1254"/>
      <c r="BS20" s="1254">
        <f t="shared" si="35"/>
        <v>0</v>
      </c>
      <c r="BT20" s="1254"/>
      <c r="BU20" s="1254"/>
      <c r="BV20" s="1254"/>
      <c r="BW20" s="1254"/>
      <c r="BX20" s="1254"/>
      <c r="BY20" s="1254"/>
      <c r="BZ20" s="1254"/>
      <c r="CA20" s="1254"/>
      <c r="CB20" s="1254"/>
      <c r="CC20" s="1254"/>
      <c r="CD20" s="1254"/>
      <c r="CE20" s="1254"/>
      <c r="CF20" s="1254"/>
      <c r="CG20" s="1254"/>
      <c r="CH20" s="1254"/>
      <c r="CI20" s="1254"/>
      <c r="CJ20" s="1254"/>
      <c r="CK20" s="1254"/>
      <c r="CL20" s="1254"/>
      <c r="CM20" s="1254"/>
      <c r="CN20" s="1254"/>
      <c r="CO20" s="1254"/>
      <c r="CP20" s="1254"/>
      <c r="CQ20" s="1254"/>
      <c r="CR20" s="1254"/>
      <c r="CS20" s="1254"/>
      <c r="CT20" s="1254"/>
      <c r="CU20" s="1254"/>
      <c r="CV20" s="1254"/>
      <c r="CW20" s="1254"/>
      <c r="CX20" s="1254"/>
      <c r="CY20" s="1254"/>
      <c r="CZ20" s="1254"/>
      <c r="DA20" s="1254"/>
      <c r="DB20" s="1254"/>
      <c r="DC20" s="1254"/>
      <c r="DD20" s="1254"/>
      <c r="DE20" s="1254"/>
      <c r="DF20" s="1254"/>
      <c r="DG20" s="1254"/>
      <c r="DH20" s="1254"/>
      <c r="DI20" s="1254"/>
      <c r="DJ20" s="1254">
        <f t="shared" si="36"/>
        <v>0</v>
      </c>
      <c r="DK20" s="1930">
        <f t="shared" si="37"/>
        <v>0</v>
      </c>
      <c r="DL20" s="1719">
        <f t="shared" si="38"/>
        <v>0</v>
      </c>
      <c r="DM20" s="1254">
        <f t="shared" si="39"/>
        <v>0</v>
      </c>
      <c r="DN20" s="1931">
        <f t="shared" si="40"/>
        <v>0</v>
      </c>
    </row>
    <row r="21" spans="1:118" s="626" customFormat="1" ht="24" customHeight="1">
      <c r="A21" s="1909"/>
      <c r="B21" s="1910"/>
      <c r="C21" s="1911"/>
      <c r="D21" s="1932"/>
      <c r="E21" s="1933"/>
      <c r="F21" s="1934"/>
      <c r="G21" s="1948"/>
      <c r="H21" s="1949"/>
      <c r="I21" s="1936"/>
      <c r="J21" s="1944"/>
      <c r="K21" s="1938"/>
      <c r="L21" s="1952"/>
      <c r="M21" s="1955"/>
      <c r="N21" s="1933"/>
      <c r="O21" s="1183"/>
      <c r="P21" s="1921">
        <f t="shared" si="0"/>
        <v>0</v>
      </c>
      <c r="Q21" s="1922">
        <v>0</v>
      </c>
      <c r="R21" s="1351">
        <f t="shared" si="1"/>
        <v>0</v>
      </c>
      <c r="S21" s="1352">
        <f t="shared" si="2"/>
        <v>0</v>
      </c>
      <c r="T21" s="1941">
        <f t="shared" si="3"/>
        <v>0</v>
      </c>
      <c r="U21" s="2779">
        <f t="shared" si="4"/>
        <v>0</v>
      </c>
      <c r="V21" s="2779"/>
      <c r="W21" s="1254"/>
      <c r="X21" s="1254"/>
      <c r="AE21" s="1254"/>
      <c r="AF21" s="1254"/>
      <c r="AG21" s="1924">
        <f t="shared" si="5"/>
        <v>0</v>
      </c>
      <c r="AH21" s="1924">
        <f t="shared" si="6"/>
        <v>0</v>
      </c>
      <c r="AI21" s="1254">
        <f t="shared" si="7"/>
        <v>0</v>
      </c>
      <c r="AJ21" s="1254">
        <f t="shared" si="8"/>
        <v>0</v>
      </c>
      <c r="AK21" s="1254">
        <f t="shared" si="9"/>
        <v>0</v>
      </c>
      <c r="AL21" s="1254">
        <f t="shared" si="10"/>
        <v>0</v>
      </c>
      <c r="AM21" s="1254">
        <f t="shared" si="11"/>
        <v>0</v>
      </c>
      <c r="AN21" s="1254">
        <f t="shared" si="12"/>
        <v>0</v>
      </c>
      <c r="AO21" s="1254">
        <f t="shared" si="13"/>
        <v>0</v>
      </c>
      <c r="AP21" s="1254">
        <f t="shared" si="14"/>
        <v>0</v>
      </c>
      <c r="AQ21" s="1942">
        <f t="shared" si="15"/>
        <v>0</v>
      </c>
      <c r="AR21" s="1254">
        <f t="shared" si="16"/>
        <v>0</v>
      </c>
      <c r="AS21" s="1254">
        <f t="shared" si="17"/>
        <v>0</v>
      </c>
      <c r="AT21" s="1254">
        <f t="shared" si="18"/>
        <v>0</v>
      </c>
      <c r="AU21" s="1254">
        <f t="shared" si="19"/>
        <v>0</v>
      </c>
      <c r="AV21" s="1928">
        <f t="shared" si="41"/>
        <v>0</v>
      </c>
      <c r="AW21" s="1723">
        <f>(AH21*Pricing!F$3+AI21*Pricing!G$3+AJ21*Pricing!H$3+AK21*Pricing!I$3+AL21*Pricing!J$3+AM21*Pricing!K$3+AN21*Pricing!L$3+AO21*Pricing!M$3+AP21*Pricing!N$3+AQ21*Pricing!O$3)*IF(T$38="N",(1+V$38),1)</f>
        <v>0</v>
      </c>
      <c r="AX21" s="1723">
        <f t="shared" si="20"/>
        <v>0</v>
      </c>
      <c r="AY21" s="1723">
        <f t="shared" si="21"/>
        <v>0</v>
      </c>
      <c r="AZ21" s="1929">
        <f t="shared" si="22"/>
        <v>0</v>
      </c>
      <c r="BA21" s="1723">
        <f t="shared" si="23"/>
        <v>0</v>
      </c>
      <c r="BB21" s="1723">
        <f t="shared" si="24"/>
        <v>0</v>
      </c>
      <c r="BC21" s="1725">
        <f t="shared" si="25"/>
        <v>0</v>
      </c>
      <c r="BD21" s="1723"/>
      <c r="BE21" s="1723">
        <f t="shared" si="26"/>
        <v>0</v>
      </c>
      <c r="BF21" s="1723">
        <f t="shared" si="27"/>
        <v>0</v>
      </c>
      <c r="BG21" s="1723">
        <f t="shared" si="28"/>
        <v>0</v>
      </c>
      <c r="BH21" s="1723">
        <f t="shared" si="29"/>
        <v>0</v>
      </c>
      <c r="BI21" s="1723">
        <f t="shared" si="30"/>
        <v>0</v>
      </c>
      <c r="BJ21" s="1723">
        <f t="shared" si="31"/>
        <v>0</v>
      </c>
      <c r="BK21" s="1723">
        <f t="shared" si="32"/>
        <v>0</v>
      </c>
      <c r="BL21" s="1723">
        <f t="shared" si="33"/>
        <v>0</v>
      </c>
      <c r="BM21" s="1723">
        <f t="shared" si="34"/>
        <v>0</v>
      </c>
      <c r="BN21" s="1725"/>
      <c r="BO21" s="1254"/>
      <c r="BP21" s="1254"/>
      <c r="BQ21" s="1254"/>
      <c r="BR21" s="1254"/>
      <c r="BS21" s="1254">
        <f t="shared" si="35"/>
        <v>0</v>
      </c>
      <c r="BT21" s="1254"/>
      <c r="BU21" s="1254"/>
      <c r="BV21" s="1254"/>
      <c r="BW21" s="1254"/>
      <c r="BX21" s="1254"/>
      <c r="BY21" s="1254"/>
      <c r="BZ21" s="1254"/>
      <c r="CA21" s="1254"/>
      <c r="CB21" s="1254"/>
      <c r="CC21" s="1254"/>
      <c r="CD21" s="1254"/>
      <c r="CE21" s="1254"/>
      <c r="CF21" s="1254"/>
      <c r="CG21" s="1254"/>
      <c r="CH21" s="1254"/>
      <c r="CI21" s="1254"/>
      <c r="CJ21" s="1254"/>
      <c r="CK21" s="1254"/>
      <c r="CL21" s="1254"/>
      <c r="CM21" s="1254"/>
      <c r="CN21" s="1254"/>
      <c r="CO21" s="1254"/>
      <c r="CP21" s="1254"/>
      <c r="CQ21" s="1254"/>
      <c r="CR21" s="1254"/>
      <c r="CS21" s="1254"/>
      <c r="CT21" s="1254"/>
      <c r="CU21" s="1254"/>
      <c r="CV21" s="1254"/>
      <c r="CW21" s="1254"/>
      <c r="CX21" s="1254"/>
      <c r="CY21" s="1254"/>
      <c r="CZ21" s="1254"/>
      <c r="DA21" s="1254"/>
      <c r="DB21" s="1254"/>
      <c r="DC21" s="1254"/>
      <c r="DD21" s="1254"/>
      <c r="DE21" s="1254"/>
      <c r="DF21" s="1254"/>
      <c r="DG21" s="1254"/>
      <c r="DH21" s="1254"/>
      <c r="DI21" s="1254"/>
      <c r="DJ21" s="1254">
        <f t="shared" si="36"/>
        <v>0</v>
      </c>
      <c r="DK21" s="1930">
        <f t="shared" si="37"/>
        <v>0</v>
      </c>
      <c r="DL21" s="1719">
        <f t="shared" si="38"/>
        <v>0</v>
      </c>
      <c r="DM21" s="1254">
        <f t="shared" si="39"/>
        <v>0</v>
      </c>
      <c r="DN21" s="1931">
        <f t="shared" si="40"/>
        <v>0</v>
      </c>
    </row>
    <row r="22" spans="1:118" s="626" customFormat="1" ht="24" customHeight="1">
      <c r="A22" s="1909"/>
      <c r="B22" s="1183"/>
      <c r="C22" s="1947"/>
      <c r="D22" s="1932"/>
      <c r="E22" s="1948"/>
      <c r="F22" s="1934"/>
      <c r="G22" s="1948"/>
      <c r="H22" s="1949"/>
      <c r="I22" s="1936"/>
      <c r="J22" s="1950"/>
      <c r="K22" s="1951"/>
      <c r="L22" s="1952"/>
      <c r="M22" s="42"/>
      <c r="N22" s="1948"/>
      <c r="O22" s="1183"/>
      <c r="P22" s="1921">
        <f t="shared" si="0"/>
        <v>0</v>
      </c>
      <c r="Q22" s="1922">
        <v>0</v>
      </c>
      <c r="R22" s="1351">
        <f t="shared" si="1"/>
        <v>0</v>
      </c>
      <c r="S22" s="1352">
        <f t="shared" si="2"/>
        <v>0</v>
      </c>
      <c r="T22" s="1941">
        <f t="shared" si="3"/>
        <v>0</v>
      </c>
      <c r="U22" s="2779">
        <f t="shared" si="4"/>
        <v>0</v>
      </c>
      <c r="V22" s="2779"/>
      <c r="W22" s="1254"/>
      <c r="X22" s="1254"/>
      <c r="AE22" s="1254"/>
      <c r="AF22" s="1254"/>
      <c r="AG22" s="1924">
        <f t="shared" si="5"/>
        <v>0</v>
      </c>
      <c r="AH22" s="1924">
        <f t="shared" si="6"/>
        <v>0</v>
      </c>
      <c r="AI22" s="1254">
        <f t="shared" si="7"/>
        <v>0</v>
      </c>
      <c r="AJ22" s="1254">
        <f t="shared" si="8"/>
        <v>0</v>
      </c>
      <c r="AK22" s="1254">
        <f t="shared" si="9"/>
        <v>0</v>
      </c>
      <c r="AL22" s="1254">
        <f t="shared" si="10"/>
        <v>0</v>
      </c>
      <c r="AM22" s="1254">
        <f t="shared" si="11"/>
        <v>0</v>
      </c>
      <c r="AN22" s="1254">
        <f t="shared" si="12"/>
        <v>0</v>
      </c>
      <c r="AO22" s="1254">
        <f t="shared" si="13"/>
        <v>0</v>
      </c>
      <c r="AP22" s="1254">
        <f t="shared" si="14"/>
        <v>0</v>
      </c>
      <c r="AQ22" s="1942">
        <f t="shared" si="15"/>
        <v>0</v>
      </c>
      <c r="AR22" s="1254">
        <f t="shared" si="16"/>
        <v>0</v>
      </c>
      <c r="AS22" s="1254">
        <f t="shared" si="17"/>
        <v>0</v>
      </c>
      <c r="AT22" s="1254">
        <f t="shared" si="18"/>
        <v>0</v>
      </c>
      <c r="AU22" s="1254">
        <f t="shared" si="19"/>
        <v>0</v>
      </c>
      <c r="AV22" s="1928">
        <f t="shared" si="41"/>
        <v>0</v>
      </c>
      <c r="AW22" s="1723">
        <f>(AH22*Pricing!F$3+AI22*Pricing!G$3+AJ22*Pricing!H$3+AK22*Pricing!I$3+AL22*Pricing!J$3+AM22*Pricing!K$3+AN22*Pricing!L$3+AO22*Pricing!M$3+AP22*Pricing!N$3+AQ22*Pricing!O$3)*IF(T$38="N",(1+V$38),1)</f>
        <v>0</v>
      </c>
      <c r="AX22" s="1723">
        <f t="shared" si="20"/>
        <v>0</v>
      </c>
      <c r="AY22" s="1723">
        <f t="shared" si="21"/>
        <v>0</v>
      </c>
      <c r="AZ22" s="1929">
        <f t="shared" si="22"/>
        <v>0</v>
      </c>
      <c r="BA22" s="1723">
        <f t="shared" si="23"/>
        <v>0</v>
      </c>
      <c r="BB22" s="1723">
        <f t="shared" si="24"/>
        <v>0</v>
      </c>
      <c r="BC22" s="1725">
        <f t="shared" si="25"/>
        <v>0</v>
      </c>
      <c r="BD22" s="1723"/>
      <c r="BE22" s="1723">
        <f t="shared" si="26"/>
        <v>0</v>
      </c>
      <c r="BF22" s="1723">
        <f t="shared" si="27"/>
        <v>0</v>
      </c>
      <c r="BG22" s="1723">
        <f t="shared" si="28"/>
        <v>0</v>
      </c>
      <c r="BH22" s="1723">
        <f t="shared" si="29"/>
        <v>0</v>
      </c>
      <c r="BI22" s="1723">
        <f t="shared" si="30"/>
        <v>0</v>
      </c>
      <c r="BJ22" s="1723">
        <f t="shared" si="31"/>
        <v>0</v>
      </c>
      <c r="BK22" s="1723">
        <f t="shared" si="32"/>
        <v>0</v>
      </c>
      <c r="BL22" s="1723">
        <f t="shared" si="33"/>
        <v>0</v>
      </c>
      <c r="BM22" s="1723">
        <f t="shared" si="34"/>
        <v>0</v>
      </c>
      <c r="BN22" s="1725"/>
      <c r="BO22" s="1254"/>
      <c r="BP22" s="1254"/>
      <c r="BQ22" s="1254"/>
      <c r="BR22" s="1254"/>
      <c r="BS22" s="1254">
        <f t="shared" si="35"/>
        <v>0</v>
      </c>
      <c r="BT22" s="1254"/>
      <c r="BU22" s="1254"/>
      <c r="BV22" s="1254"/>
      <c r="BW22" s="1254"/>
      <c r="BX22" s="1254"/>
      <c r="BY22" s="1254"/>
      <c r="BZ22" s="1254"/>
      <c r="CA22" s="1254"/>
      <c r="CB22" s="1254"/>
      <c r="CC22" s="1254"/>
      <c r="CD22" s="1254"/>
      <c r="CE22" s="1254"/>
      <c r="CF22" s="1254"/>
      <c r="CG22" s="1254"/>
      <c r="CH22" s="1254"/>
      <c r="CI22" s="1254"/>
      <c r="CJ22" s="1254"/>
      <c r="CK22" s="1254"/>
      <c r="CL22" s="1254"/>
      <c r="CM22" s="1254"/>
      <c r="CN22" s="1254"/>
      <c r="CO22" s="1254"/>
      <c r="CP22" s="1254"/>
      <c r="CQ22" s="1254"/>
      <c r="CR22" s="1254"/>
      <c r="CS22" s="1254"/>
      <c r="CT22" s="1254"/>
      <c r="CU22" s="1254"/>
      <c r="CV22" s="1254"/>
      <c r="CW22" s="1254"/>
      <c r="CX22" s="1254"/>
      <c r="CY22" s="1254"/>
      <c r="CZ22" s="1254"/>
      <c r="DA22" s="1254"/>
      <c r="DB22" s="1254"/>
      <c r="DC22" s="1254"/>
      <c r="DD22" s="1254"/>
      <c r="DE22" s="1254"/>
      <c r="DF22" s="1254"/>
      <c r="DG22" s="1254"/>
      <c r="DH22" s="1254"/>
      <c r="DI22" s="1254"/>
      <c r="DJ22" s="1254">
        <f t="shared" si="36"/>
        <v>0</v>
      </c>
      <c r="DK22" s="1930">
        <f t="shared" si="37"/>
        <v>0</v>
      </c>
      <c r="DL22" s="1719">
        <f t="shared" si="38"/>
        <v>0</v>
      </c>
      <c r="DM22" s="1254">
        <f t="shared" si="39"/>
        <v>0</v>
      </c>
      <c r="DN22" s="1931">
        <f t="shared" si="40"/>
        <v>0</v>
      </c>
    </row>
    <row r="23" spans="1:118" s="626" customFormat="1" ht="24" customHeight="1">
      <c r="A23" s="1909"/>
      <c r="B23" s="1183"/>
      <c r="C23" s="1953"/>
      <c r="D23" s="1932"/>
      <c r="E23" s="1948"/>
      <c r="F23" s="1934"/>
      <c r="G23" s="1948"/>
      <c r="H23" s="1949"/>
      <c r="I23" s="1936"/>
      <c r="J23" s="1950"/>
      <c r="K23" s="1951"/>
      <c r="L23" s="1952"/>
      <c r="M23" s="42"/>
      <c r="N23" s="1948"/>
      <c r="O23" s="1183"/>
      <c r="P23" s="1921">
        <f t="shared" si="0"/>
        <v>0</v>
      </c>
      <c r="Q23" s="1922">
        <v>0</v>
      </c>
      <c r="R23" s="1351">
        <f t="shared" si="1"/>
        <v>0</v>
      </c>
      <c r="S23" s="1352">
        <f t="shared" si="2"/>
        <v>0</v>
      </c>
      <c r="T23" s="1941">
        <f t="shared" si="3"/>
        <v>0</v>
      </c>
      <c r="U23" s="2779">
        <f t="shared" si="4"/>
        <v>0</v>
      </c>
      <c r="V23" s="2779"/>
      <c r="W23" s="1254"/>
      <c r="X23" s="1254"/>
      <c r="AE23" s="1254"/>
      <c r="AF23" s="1254"/>
      <c r="AG23" s="1924">
        <f t="shared" si="5"/>
        <v>0</v>
      </c>
      <c r="AH23" s="1924">
        <f t="shared" si="6"/>
        <v>0</v>
      </c>
      <c r="AI23" s="1254">
        <f t="shared" si="7"/>
        <v>0</v>
      </c>
      <c r="AJ23" s="1254">
        <f t="shared" si="8"/>
        <v>0</v>
      </c>
      <c r="AK23" s="1254">
        <f t="shared" si="9"/>
        <v>0</v>
      </c>
      <c r="AL23" s="1254">
        <f t="shared" si="10"/>
        <v>0</v>
      </c>
      <c r="AM23" s="1254">
        <f t="shared" si="11"/>
        <v>0</v>
      </c>
      <c r="AN23" s="1254">
        <f t="shared" si="12"/>
        <v>0</v>
      </c>
      <c r="AO23" s="1254">
        <f t="shared" si="13"/>
        <v>0</v>
      </c>
      <c r="AP23" s="1254">
        <f t="shared" si="14"/>
        <v>0</v>
      </c>
      <c r="AQ23" s="1942">
        <f t="shared" si="15"/>
        <v>0</v>
      </c>
      <c r="AR23" s="1254">
        <f t="shared" si="16"/>
        <v>0</v>
      </c>
      <c r="AS23" s="1254">
        <f t="shared" si="17"/>
        <v>0</v>
      </c>
      <c r="AT23" s="1254">
        <f t="shared" si="18"/>
        <v>0</v>
      </c>
      <c r="AU23" s="1254">
        <f t="shared" si="19"/>
        <v>0</v>
      </c>
      <c r="AV23" s="1928">
        <f t="shared" si="41"/>
        <v>0</v>
      </c>
      <c r="AW23" s="1723">
        <f>(AH23*Pricing!F$3+AI23*Pricing!G$3+AJ23*Pricing!H$3+AK23*Pricing!I$3+AL23*Pricing!J$3+AM23*Pricing!K$3+AN23*Pricing!L$3+AO23*Pricing!M$3+AP23*Pricing!N$3+AQ23*Pricing!O$3)*IF(T$38="N",(1+V$38),1)</f>
        <v>0</v>
      </c>
      <c r="AX23" s="1723">
        <f t="shared" si="20"/>
        <v>0</v>
      </c>
      <c r="AY23" s="1723">
        <f t="shared" si="21"/>
        <v>0</v>
      </c>
      <c r="AZ23" s="1929">
        <f t="shared" si="22"/>
        <v>0</v>
      </c>
      <c r="BA23" s="1723">
        <f t="shared" si="23"/>
        <v>0</v>
      </c>
      <c r="BB23" s="1723">
        <f t="shared" si="24"/>
        <v>0</v>
      </c>
      <c r="BC23" s="1725">
        <f t="shared" si="25"/>
        <v>0</v>
      </c>
      <c r="BD23" s="1723"/>
      <c r="BE23" s="1723">
        <f t="shared" si="26"/>
        <v>0</v>
      </c>
      <c r="BF23" s="1723">
        <f t="shared" si="27"/>
        <v>0</v>
      </c>
      <c r="BG23" s="1723">
        <f t="shared" si="28"/>
        <v>0</v>
      </c>
      <c r="BH23" s="1723">
        <f t="shared" si="29"/>
        <v>0</v>
      </c>
      <c r="BI23" s="1723">
        <f t="shared" si="30"/>
        <v>0</v>
      </c>
      <c r="BJ23" s="1723">
        <f t="shared" si="31"/>
        <v>0</v>
      </c>
      <c r="BK23" s="1723">
        <f t="shared" si="32"/>
        <v>0</v>
      </c>
      <c r="BL23" s="1723">
        <f t="shared" si="33"/>
        <v>0</v>
      </c>
      <c r="BM23" s="1723">
        <f t="shared" si="34"/>
        <v>0</v>
      </c>
      <c r="BN23" s="1725"/>
      <c r="BO23" s="1254"/>
      <c r="BP23" s="1254"/>
      <c r="BQ23" s="1254"/>
      <c r="BR23" s="1254"/>
      <c r="BS23" s="1254">
        <f t="shared" si="35"/>
        <v>0</v>
      </c>
      <c r="BT23" s="1254"/>
      <c r="BU23" s="1254"/>
      <c r="BV23" s="1254"/>
      <c r="BW23" s="1254"/>
      <c r="BX23" s="1254"/>
      <c r="BY23" s="1254"/>
      <c r="BZ23" s="1254"/>
      <c r="CA23" s="1254"/>
      <c r="CB23" s="1254"/>
      <c r="CC23" s="1254"/>
      <c r="CD23" s="1254"/>
      <c r="CE23" s="1254"/>
      <c r="CF23" s="1254"/>
      <c r="CG23" s="1254"/>
      <c r="CH23" s="1254"/>
      <c r="CI23" s="1254"/>
      <c r="CJ23" s="1254"/>
      <c r="CK23" s="1254"/>
      <c r="CL23" s="1254"/>
      <c r="CM23" s="1254"/>
      <c r="CN23" s="1254"/>
      <c r="CO23" s="1254"/>
      <c r="CP23" s="1254"/>
      <c r="CQ23" s="1254"/>
      <c r="CR23" s="1254"/>
      <c r="CS23" s="1254"/>
      <c r="CT23" s="1254"/>
      <c r="CU23" s="1254"/>
      <c r="CV23" s="1254"/>
      <c r="CW23" s="1254"/>
      <c r="CX23" s="1254"/>
      <c r="CY23" s="1254"/>
      <c r="CZ23" s="1254"/>
      <c r="DA23" s="1254"/>
      <c r="DB23" s="1254"/>
      <c r="DC23" s="1254"/>
      <c r="DD23" s="1254"/>
      <c r="DE23" s="1254"/>
      <c r="DF23" s="1254"/>
      <c r="DG23" s="1254"/>
      <c r="DH23" s="1254"/>
      <c r="DI23" s="1254"/>
      <c r="DJ23" s="1254">
        <f t="shared" si="36"/>
        <v>0</v>
      </c>
      <c r="DK23" s="1930">
        <f t="shared" si="37"/>
        <v>0</v>
      </c>
      <c r="DL23" s="1719">
        <f t="shared" si="38"/>
        <v>0</v>
      </c>
      <c r="DM23" s="1254">
        <f t="shared" si="39"/>
        <v>0</v>
      </c>
      <c r="DN23" s="1931">
        <f t="shared" si="40"/>
        <v>0</v>
      </c>
    </row>
    <row r="24" spans="1:118" s="626" customFormat="1" ht="24" customHeight="1">
      <c r="A24" s="1909"/>
      <c r="B24" s="1183"/>
      <c r="C24" s="1953"/>
      <c r="D24" s="1932"/>
      <c r="E24" s="1948"/>
      <c r="F24" s="1934"/>
      <c r="G24" s="1948"/>
      <c r="H24" s="1949"/>
      <c r="I24" s="1936"/>
      <c r="J24" s="1950"/>
      <c r="K24" s="1951"/>
      <c r="L24" s="1952"/>
      <c r="M24" s="42"/>
      <c r="N24" s="1948"/>
      <c r="O24" s="1183"/>
      <c r="P24" s="1921">
        <f t="shared" si="0"/>
        <v>0</v>
      </c>
      <c r="Q24" s="1922">
        <v>0</v>
      </c>
      <c r="R24" s="1351">
        <f t="shared" si="1"/>
        <v>0</v>
      </c>
      <c r="S24" s="1352">
        <f t="shared" si="2"/>
        <v>0</v>
      </c>
      <c r="T24" s="1941">
        <f t="shared" si="3"/>
        <v>0</v>
      </c>
      <c r="U24" s="2779">
        <f t="shared" si="4"/>
        <v>0</v>
      </c>
      <c r="V24" s="2779"/>
      <c r="W24" s="1254"/>
      <c r="X24" s="1254"/>
      <c r="AE24" s="1254"/>
      <c r="AF24" s="1254"/>
      <c r="AG24" s="1924">
        <f t="shared" si="5"/>
        <v>0</v>
      </c>
      <c r="AH24" s="1924">
        <f t="shared" si="6"/>
        <v>0</v>
      </c>
      <c r="AI24" s="1254">
        <f t="shared" si="7"/>
        <v>0</v>
      </c>
      <c r="AJ24" s="1254">
        <f t="shared" si="8"/>
        <v>0</v>
      </c>
      <c r="AK24" s="1254">
        <f t="shared" si="9"/>
        <v>0</v>
      </c>
      <c r="AL24" s="1254">
        <f t="shared" si="10"/>
        <v>0</v>
      </c>
      <c r="AM24" s="1254">
        <f t="shared" si="11"/>
        <v>0</v>
      </c>
      <c r="AN24" s="1254">
        <f t="shared" si="12"/>
        <v>0</v>
      </c>
      <c r="AO24" s="1254">
        <f t="shared" si="13"/>
        <v>0</v>
      </c>
      <c r="AP24" s="1254">
        <f t="shared" si="14"/>
        <v>0</v>
      </c>
      <c r="AQ24" s="1942">
        <f t="shared" si="15"/>
        <v>0</v>
      </c>
      <c r="AR24" s="1254">
        <f t="shared" si="16"/>
        <v>0</v>
      </c>
      <c r="AS24" s="1254">
        <f t="shared" si="17"/>
        <v>0</v>
      </c>
      <c r="AT24" s="1254">
        <f t="shared" si="18"/>
        <v>0</v>
      </c>
      <c r="AU24" s="1254">
        <f t="shared" si="19"/>
        <v>0</v>
      </c>
      <c r="AV24" s="1928">
        <f t="shared" si="41"/>
        <v>0</v>
      </c>
      <c r="AW24" s="1723">
        <f>(AH24*Pricing!F$3+AI24*Pricing!G$3+AJ24*Pricing!H$3+AK24*Pricing!I$3+AL24*Pricing!J$3+AM24*Pricing!K$3+AN24*Pricing!L$3+AO24*Pricing!M$3+AP24*Pricing!N$3+AQ24*Pricing!O$3)*IF(T$38="N",(1+V$38),1)</f>
        <v>0</v>
      </c>
      <c r="AX24" s="1723">
        <f t="shared" si="20"/>
        <v>0</v>
      </c>
      <c r="AY24" s="1723">
        <f t="shared" si="21"/>
        <v>0</v>
      </c>
      <c r="AZ24" s="1929">
        <f t="shared" si="22"/>
        <v>0</v>
      </c>
      <c r="BA24" s="1723">
        <f t="shared" si="23"/>
        <v>0</v>
      </c>
      <c r="BB24" s="1723">
        <f t="shared" si="24"/>
        <v>0</v>
      </c>
      <c r="BC24" s="1725">
        <f t="shared" si="25"/>
        <v>0</v>
      </c>
      <c r="BD24" s="1723"/>
      <c r="BE24" s="1723">
        <f t="shared" si="26"/>
        <v>0</v>
      </c>
      <c r="BF24" s="1723">
        <f t="shared" si="27"/>
        <v>0</v>
      </c>
      <c r="BG24" s="1723">
        <f t="shared" si="28"/>
        <v>0</v>
      </c>
      <c r="BH24" s="1723">
        <f t="shared" si="29"/>
        <v>0</v>
      </c>
      <c r="BI24" s="1723">
        <f t="shared" si="30"/>
        <v>0</v>
      </c>
      <c r="BJ24" s="1723">
        <f t="shared" si="31"/>
        <v>0</v>
      </c>
      <c r="BK24" s="1723">
        <f t="shared" si="32"/>
        <v>0</v>
      </c>
      <c r="BL24" s="1723">
        <f t="shared" si="33"/>
        <v>0</v>
      </c>
      <c r="BM24" s="1723">
        <f t="shared" si="34"/>
        <v>0</v>
      </c>
      <c r="BN24" s="1725"/>
      <c r="BO24" s="1254"/>
      <c r="BP24" s="1254"/>
      <c r="BQ24" s="1254"/>
      <c r="BR24" s="1254"/>
      <c r="BS24" s="1254">
        <f t="shared" si="35"/>
        <v>0</v>
      </c>
      <c r="BT24" s="1254"/>
      <c r="BU24" s="1254"/>
      <c r="BV24" s="1254"/>
      <c r="BW24" s="1254"/>
      <c r="BX24" s="1254"/>
      <c r="BY24" s="1254"/>
      <c r="BZ24" s="1254"/>
      <c r="CA24" s="1254"/>
      <c r="CB24" s="1254"/>
      <c r="CC24" s="1254"/>
      <c r="CD24" s="1254"/>
      <c r="CE24" s="1254"/>
      <c r="CF24" s="1254"/>
      <c r="CG24" s="1254"/>
      <c r="CH24" s="1254"/>
      <c r="CI24" s="1254"/>
      <c r="CJ24" s="1254"/>
      <c r="CK24" s="1254"/>
      <c r="CL24" s="1254"/>
      <c r="CM24" s="1254"/>
      <c r="CN24" s="1254"/>
      <c r="CO24" s="1254"/>
      <c r="CP24" s="1254"/>
      <c r="CQ24" s="1254"/>
      <c r="CR24" s="1254"/>
      <c r="CS24" s="1254"/>
      <c r="CT24" s="1254"/>
      <c r="CU24" s="1254"/>
      <c r="CV24" s="1254"/>
      <c r="CW24" s="1254"/>
      <c r="CX24" s="1254"/>
      <c r="CY24" s="1254"/>
      <c r="CZ24" s="1254"/>
      <c r="DA24" s="1254"/>
      <c r="DB24" s="1254"/>
      <c r="DC24" s="1254"/>
      <c r="DD24" s="1254"/>
      <c r="DE24" s="1254"/>
      <c r="DF24" s="1254"/>
      <c r="DG24" s="1254"/>
      <c r="DH24" s="1254"/>
      <c r="DI24" s="1254"/>
      <c r="DJ24" s="1254">
        <f t="shared" si="36"/>
        <v>0</v>
      </c>
      <c r="DK24" s="1930">
        <f t="shared" si="37"/>
        <v>0</v>
      </c>
      <c r="DL24" s="1719">
        <f t="shared" si="38"/>
        <v>0</v>
      </c>
      <c r="DM24" s="1254">
        <f t="shared" si="39"/>
        <v>0</v>
      </c>
      <c r="DN24" s="1931">
        <f t="shared" si="40"/>
        <v>0</v>
      </c>
    </row>
    <row r="25" spans="1:118" s="626" customFormat="1" ht="24" customHeight="1">
      <c r="A25" s="1909"/>
      <c r="B25" s="1183"/>
      <c r="C25" s="1953"/>
      <c r="D25" s="1932"/>
      <c r="E25" s="1948"/>
      <c r="F25" s="1934"/>
      <c r="G25" s="1948"/>
      <c r="H25" s="1949"/>
      <c r="I25" s="1936"/>
      <c r="J25" s="1950"/>
      <c r="K25" s="1951"/>
      <c r="L25" s="1952"/>
      <c r="M25" s="42"/>
      <c r="N25" s="1948"/>
      <c r="O25" s="1183"/>
      <c r="P25" s="1921">
        <f t="shared" si="0"/>
        <v>0</v>
      </c>
      <c r="Q25" s="1922">
        <v>0</v>
      </c>
      <c r="R25" s="1351">
        <f t="shared" si="1"/>
        <v>0</v>
      </c>
      <c r="S25" s="1352">
        <f t="shared" si="2"/>
        <v>0</v>
      </c>
      <c r="T25" s="1941">
        <f t="shared" si="3"/>
        <v>0</v>
      </c>
      <c r="U25" s="2779">
        <f t="shared" si="4"/>
        <v>0</v>
      </c>
      <c r="V25" s="2779"/>
      <c r="W25" s="1254"/>
      <c r="X25" s="1254"/>
      <c r="AE25" s="1254"/>
      <c r="AF25" s="1254"/>
      <c r="AG25" s="1924">
        <f t="shared" si="5"/>
        <v>0</v>
      </c>
      <c r="AH25" s="1924">
        <f t="shared" si="6"/>
        <v>0</v>
      </c>
      <c r="AI25" s="1254">
        <f t="shared" si="7"/>
        <v>0</v>
      </c>
      <c r="AJ25" s="1254">
        <f t="shared" si="8"/>
        <v>0</v>
      </c>
      <c r="AK25" s="1254">
        <f t="shared" si="9"/>
        <v>0</v>
      </c>
      <c r="AL25" s="1254">
        <f t="shared" si="10"/>
        <v>0</v>
      </c>
      <c r="AM25" s="1254">
        <f t="shared" si="11"/>
        <v>0</v>
      </c>
      <c r="AN25" s="1254">
        <f t="shared" si="12"/>
        <v>0</v>
      </c>
      <c r="AO25" s="1254">
        <f t="shared" si="13"/>
        <v>0</v>
      </c>
      <c r="AP25" s="1254">
        <f t="shared" si="14"/>
        <v>0</v>
      </c>
      <c r="AQ25" s="1942">
        <f t="shared" si="15"/>
        <v>0</v>
      </c>
      <c r="AR25" s="1254">
        <f t="shared" si="16"/>
        <v>0</v>
      </c>
      <c r="AS25" s="1254">
        <f t="shared" si="17"/>
        <v>0</v>
      </c>
      <c r="AT25" s="1254">
        <f t="shared" si="18"/>
        <v>0</v>
      </c>
      <c r="AU25" s="1254">
        <f t="shared" si="19"/>
        <v>0</v>
      </c>
      <c r="AV25" s="1928">
        <f t="shared" si="41"/>
        <v>0</v>
      </c>
      <c r="AW25" s="1723">
        <f>(AH25*Pricing!F$3+AI25*Pricing!G$3+AJ25*Pricing!H$3+AK25*Pricing!I$3+AL25*Pricing!J$3+AM25*Pricing!K$3+AN25*Pricing!L$3+AO25*Pricing!M$3+AP25*Pricing!N$3+AQ25*Pricing!O$3)*IF(T$38="N",(1+V$38),1)</f>
        <v>0</v>
      </c>
      <c r="AX25" s="1723">
        <f t="shared" si="20"/>
        <v>0</v>
      </c>
      <c r="AY25" s="1723">
        <f t="shared" si="21"/>
        <v>0</v>
      </c>
      <c r="AZ25" s="1929">
        <f t="shared" si="22"/>
        <v>0</v>
      </c>
      <c r="BA25" s="1723">
        <f t="shared" si="23"/>
        <v>0</v>
      </c>
      <c r="BB25" s="1723">
        <f t="shared" si="24"/>
        <v>0</v>
      </c>
      <c r="BC25" s="1725">
        <f t="shared" si="25"/>
        <v>0</v>
      </c>
      <c r="BD25" s="1723"/>
      <c r="BE25" s="1723">
        <f t="shared" si="26"/>
        <v>0</v>
      </c>
      <c r="BF25" s="1723">
        <f t="shared" si="27"/>
        <v>0</v>
      </c>
      <c r="BG25" s="1723">
        <f t="shared" si="28"/>
        <v>0</v>
      </c>
      <c r="BH25" s="1723">
        <f t="shared" si="29"/>
        <v>0</v>
      </c>
      <c r="BI25" s="1723">
        <f t="shared" si="30"/>
        <v>0</v>
      </c>
      <c r="BJ25" s="1723">
        <f t="shared" si="31"/>
        <v>0</v>
      </c>
      <c r="BK25" s="1723">
        <f t="shared" si="32"/>
        <v>0</v>
      </c>
      <c r="BL25" s="1723">
        <f t="shared" si="33"/>
        <v>0</v>
      </c>
      <c r="BM25" s="1723">
        <f t="shared" si="34"/>
        <v>0</v>
      </c>
      <c r="BN25" s="1725"/>
      <c r="BO25" s="1254"/>
      <c r="BP25" s="1254"/>
      <c r="BQ25" s="1254"/>
      <c r="BR25" s="1254"/>
      <c r="BS25" s="1254">
        <f t="shared" si="35"/>
        <v>0</v>
      </c>
      <c r="BT25" s="1254"/>
      <c r="BU25" s="1254"/>
      <c r="BV25" s="1254"/>
      <c r="BW25" s="1254"/>
      <c r="BX25" s="1254"/>
      <c r="BY25" s="1254"/>
      <c r="BZ25" s="1254"/>
      <c r="CA25" s="1254"/>
      <c r="CB25" s="1254"/>
      <c r="CC25" s="1254"/>
      <c r="CD25" s="1254"/>
      <c r="CE25" s="1254"/>
      <c r="CF25" s="1254"/>
      <c r="CG25" s="1254"/>
      <c r="CH25" s="1254"/>
      <c r="CI25" s="1254"/>
      <c r="CJ25" s="1254"/>
      <c r="CK25" s="1254"/>
      <c r="CL25" s="1254"/>
      <c r="CM25" s="1254"/>
      <c r="CN25" s="1254"/>
      <c r="CO25" s="1254"/>
      <c r="CP25" s="1254"/>
      <c r="CQ25" s="1254"/>
      <c r="CR25" s="1254"/>
      <c r="CS25" s="1254"/>
      <c r="CT25" s="1254"/>
      <c r="CU25" s="1254"/>
      <c r="CV25" s="1254"/>
      <c r="CW25" s="1254"/>
      <c r="CX25" s="1254"/>
      <c r="CY25" s="1254"/>
      <c r="CZ25" s="1254"/>
      <c r="DA25" s="1254"/>
      <c r="DB25" s="1254"/>
      <c r="DC25" s="1254"/>
      <c r="DD25" s="1254"/>
      <c r="DE25" s="1254"/>
      <c r="DF25" s="1254"/>
      <c r="DG25" s="1254"/>
      <c r="DH25" s="1254"/>
      <c r="DI25" s="1254"/>
      <c r="DJ25" s="1254">
        <f t="shared" si="36"/>
        <v>0</v>
      </c>
      <c r="DK25" s="1930">
        <f t="shared" si="37"/>
        <v>0</v>
      </c>
      <c r="DL25" s="1719">
        <f t="shared" si="38"/>
        <v>0</v>
      </c>
      <c r="DM25" s="1254">
        <f t="shared" si="39"/>
        <v>0</v>
      </c>
      <c r="DN25" s="1931">
        <f t="shared" si="40"/>
        <v>0</v>
      </c>
    </row>
    <row r="26" spans="1:118" s="626" customFormat="1" ht="24" customHeight="1">
      <c r="A26" s="1909"/>
      <c r="B26" s="1183"/>
      <c r="C26" s="1953"/>
      <c r="D26" s="1932"/>
      <c r="E26" s="1948"/>
      <c r="F26" s="1934"/>
      <c r="G26" s="1948"/>
      <c r="H26" s="1949"/>
      <c r="I26" s="1936"/>
      <c r="J26" s="1950"/>
      <c r="K26" s="1951"/>
      <c r="L26" s="1952"/>
      <c r="M26" s="42"/>
      <c r="N26" s="1948"/>
      <c r="O26" s="1183"/>
      <c r="P26" s="1921">
        <f t="shared" si="0"/>
        <v>0</v>
      </c>
      <c r="Q26" s="1922">
        <v>0</v>
      </c>
      <c r="R26" s="1351">
        <f t="shared" si="1"/>
        <v>0</v>
      </c>
      <c r="S26" s="1352">
        <f t="shared" si="2"/>
        <v>0</v>
      </c>
      <c r="T26" s="1941">
        <f t="shared" si="3"/>
        <v>0</v>
      </c>
      <c r="U26" s="2779">
        <f t="shared" si="4"/>
        <v>0</v>
      </c>
      <c r="V26" s="2779"/>
      <c r="W26" s="1254"/>
      <c r="X26" s="1254"/>
      <c r="AE26" s="1254"/>
      <c r="AF26" s="1254"/>
      <c r="AG26" s="1924">
        <f t="shared" si="5"/>
        <v>0</v>
      </c>
      <c r="AH26" s="1924">
        <f t="shared" si="6"/>
        <v>0</v>
      </c>
      <c r="AI26" s="1254">
        <f t="shared" si="7"/>
        <v>0</v>
      </c>
      <c r="AJ26" s="1254">
        <f t="shared" si="8"/>
        <v>0</v>
      </c>
      <c r="AK26" s="1254">
        <f t="shared" si="9"/>
        <v>0</v>
      </c>
      <c r="AL26" s="1254">
        <f t="shared" si="10"/>
        <v>0</v>
      </c>
      <c r="AM26" s="1254">
        <f t="shared" si="11"/>
        <v>0</v>
      </c>
      <c r="AN26" s="1254">
        <f t="shared" si="12"/>
        <v>0</v>
      </c>
      <c r="AO26" s="1254">
        <f t="shared" si="13"/>
        <v>0</v>
      </c>
      <c r="AP26" s="1254">
        <f t="shared" si="14"/>
        <v>0</v>
      </c>
      <c r="AQ26" s="1942">
        <f t="shared" si="15"/>
        <v>0</v>
      </c>
      <c r="AR26" s="1254">
        <f t="shared" si="16"/>
        <v>0</v>
      </c>
      <c r="AS26" s="1254">
        <f t="shared" si="17"/>
        <v>0</v>
      </c>
      <c r="AT26" s="1254">
        <f t="shared" si="18"/>
        <v>0</v>
      </c>
      <c r="AU26" s="1254">
        <f t="shared" si="19"/>
        <v>0</v>
      </c>
      <c r="AV26" s="1928">
        <f t="shared" si="41"/>
        <v>0</v>
      </c>
      <c r="AW26" s="1723">
        <f>(AH26*Pricing!F$3+AI26*Pricing!G$3+AJ26*Pricing!H$3+AK26*Pricing!I$3+AL26*Pricing!J$3+AM26*Pricing!K$3+AN26*Pricing!L$3+AO26*Pricing!M$3+AP26*Pricing!N$3+AQ26*Pricing!O$3)*IF(T$38="N",(1+V$38),1)</f>
        <v>0</v>
      </c>
      <c r="AX26" s="1723">
        <f t="shared" si="20"/>
        <v>0</v>
      </c>
      <c r="AY26" s="1723">
        <f t="shared" si="21"/>
        <v>0</v>
      </c>
      <c r="AZ26" s="1929">
        <f t="shared" si="22"/>
        <v>0</v>
      </c>
      <c r="BA26" s="1723">
        <f t="shared" si="23"/>
        <v>0</v>
      </c>
      <c r="BB26" s="1723">
        <f t="shared" si="24"/>
        <v>0</v>
      </c>
      <c r="BC26" s="1725">
        <f t="shared" si="25"/>
        <v>0</v>
      </c>
      <c r="BD26" s="1723"/>
      <c r="BE26" s="1723">
        <f t="shared" si="26"/>
        <v>0</v>
      </c>
      <c r="BF26" s="1723">
        <f t="shared" si="27"/>
        <v>0</v>
      </c>
      <c r="BG26" s="1723">
        <f t="shared" si="28"/>
        <v>0</v>
      </c>
      <c r="BH26" s="1723">
        <f t="shared" si="29"/>
        <v>0</v>
      </c>
      <c r="BI26" s="1723">
        <f t="shared" si="30"/>
        <v>0</v>
      </c>
      <c r="BJ26" s="1723">
        <f t="shared" si="31"/>
        <v>0</v>
      </c>
      <c r="BK26" s="1723">
        <f t="shared" si="32"/>
        <v>0</v>
      </c>
      <c r="BL26" s="1723">
        <f t="shared" si="33"/>
        <v>0</v>
      </c>
      <c r="BM26" s="1723">
        <f t="shared" si="34"/>
        <v>0</v>
      </c>
      <c r="BN26" s="1725"/>
      <c r="BO26" s="1254"/>
      <c r="BP26" s="1254"/>
      <c r="BQ26" s="1254"/>
      <c r="BR26" s="1254"/>
      <c r="BS26" s="1254">
        <f t="shared" si="35"/>
        <v>0</v>
      </c>
      <c r="BT26" s="1254"/>
      <c r="BU26" s="1254"/>
      <c r="BV26" s="1254"/>
      <c r="BW26" s="1254"/>
      <c r="BX26" s="1254"/>
      <c r="BY26" s="1254"/>
      <c r="BZ26" s="1254"/>
      <c r="CA26" s="1254"/>
      <c r="CB26" s="1254"/>
      <c r="CC26" s="1254"/>
      <c r="CD26" s="1254"/>
      <c r="CE26" s="1254"/>
      <c r="CF26" s="1254"/>
      <c r="CG26" s="1254"/>
      <c r="CH26" s="1254"/>
      <c r="CI26" s="1254"/>
      <c r="CJ26" s="1254"/>
      <c r="CK26" s="1254"/>
      <c r="CL26" s="1254"/>
      <c r="CM26" s="1254"/>
      <c r="CN26" s="1254"/>
      <c r="CO26" s="1254"/>
      <c r="CP26" s="1254"/>
      <c r="CQ26" s="1254"/>
      <c r="CR26" s="1254"/>
      <c r="CS26" s="1254"/>
      <c r="CT26" s="1254"/>
      <c r="CU26" s="1254"/>
      <c r="CV26" s="1254"/>
      <c r="CW26" s="1254"/>
      <c r="CX26" s="1254"/>
      <c r="CY26" s="1254"/>
      <c r="CZ26" s="1254"/>
      <c r="DA26" s="1254"/>
      <c r="DB26" s="1254"/>
      <c r="DC26" s="1254"/>
      <c r="DD26" s="1254"/>
      <c r="DE26" s="1254"/>
      <c r="DF26" s="1254"/>
      <c r="DG26" s="1254"/>
      <c r="DH26" s="1254"/>
      <c r="DI26" s="1254"/>
      <c r="DJ26" s="1254">
        <f t="shared" si="36"/>
        <v>0</v>
      </c>
      <c r="DK26" s="1930">
        <f t="shared" si="37"/>
        <v>0</v>
      </c>
      <c r="DL26" s="1719">
        <f t="shared" si="38"/>
        <v>0</v>
      </c>
      <c r="DM26" s="1254">
        <f t="shared" si="39"/>
        <v>0</v>
      </c>
      <c r="DN26" s="1931">
        <f t="shared" si="40"/>
        <v>0</v>
      </c>
    </row>
    <row r="27" spans="1:118" s="626" customFormat="1" ht="24" customHeight="1">
      <c r="A27" s="1909"/>
      <c r="B27" s="1183"/>
      <c r="C27" s="1953"/>
      <c r="D27" s="1932"/>
      <c r="E27" s="1948"/>
      <c r="F27" s="1934"/>
      <c r="G27" s="1948"/>
      <c r="H27" s="1949"/>
      <c r="I27" s="1936"/>
      <c r="J27" s="1950"/>
      <c r="K27" s="1951"/>
      <c r="L27" s="1952"/>
      <c r="M27" s="42"/>
      <c r="N27" s="1948"/>
      <c r="O27" s="1183"/>
      <c r="P27" s="1921">
        <f t="shared" si="0"/>
        <v>0</v>
      </c>
      <c r="Q27" s="1922">
        <v>0</v>
      </c>
      <c r="R27" s="1351">
        <f t="shared" si="1"/>
        <v>0</v>
      </c>
      <c r="S27" s="1352">
        <f t="shared" si="2"/>
        <v>0</v>
      </c>
      <c r="T27" s="1941">
        <f t="shared" si="3"/>
        <v>0</v>
      </c>
      <c r="U27" s="2779">
        <f t="shared" si="4"/>
        <v>0</v>
      </c>
      <c r="V27" s="2779"/>
      <c r="W27" s="1254"/>
      <c r="X27" s="1254"/>
      <c r="AE27" s="1254"/>
      <c r="AF27" s="1254"/>
      <c r="AG27" s="1924">
        <f t="shared" si="5"/>
        <v>0</v>
      </c>
      <c r="AH27" s="1924">
        <f t="shared" si="6"/>
        <v>0</v>
      </c>
      <c r="AI27" s="1254">
        <f t="shared" si="7"/>
        <v>0</v>
      </c>
      <c r="AJ27" s="1254">
        <f t="shared" si="8"/>
        <v>0</v>
      </c>
      <c r="AK27" s="1254">
        <f t="shared" si="9"/>
        <v>0</v>
      </c>
      <c r="AL27" s="1254">
        <f t="shared" si="10"/>
        <v>0</v>
      </c>
      <c r="AM27" s="1254">
        <f t="shared" si="11"/>
        <v>0</v>
      </c>
      <c r="AN27" s="1254">
        <f t="shared" si="12"/>
        <v>0</v>
      </c>
      <c r="AO27" s="1254">
        <f t="shared" si="13"/>
        <v>0</v>
      </c>
      <c r="AP27" s="1254">
        <f t="shared" si="14"/>
        <v>0</v>
      </c>
      <c r="AQ27" s="1942">
        <f t="shared" si="15"/>
        <v>0</v>
      </c>
      <c r="AR27" s="1254">
        <f t="shared" si="16"/>
        <v>0</v>
      </c>
      <c r="AS27" s="1254">
        <f t="shared" si="17"/>
        <v>0</v>
      </c>
      <c r="AT27" s="1254">
        <f t="shared" si="18"/>
        <v>0</v>
      </c>
      <c r="AU27" s="1254">
        <f t="shared" si="19"/>
        <v>0</v>
      </c>
      <c r="AV27" s="1928">
        <f t="shared" si="41"/>
        <v>0</v>
      </c>
      <c r="AW27" s="1723">
        <f>(AH27*Pricing!F$3+AI27*Pricing!G$3+AJ27*Pricing!H$3+AK27*Pricing!I$3+AL27*Pricing!J$3+AM27*Pricing!K$3+AN27*Pricing!L$3+AO27*Pricing!M$3+AP27*Pricing!N$3+AQ27*Pricing!O$3)*IF(T$38="N",(1+V$38),1)</f>
        <v>0</v>
      </c>
      <c r="AX27" s="1723">
        <f t="shared" si="20"/>
        <v>0</v>
      </c>
      <c r="AY27" s="1723">
        <f t="shared" si="21"/>
        <v>0</v>
      </c>
      <c r="AZ27" s="1929">
        <f t="shared" si="22"/>
        <v>0</v>
      </c>
      <c r="BA27" s="1723">
        <f t="shared" si="23"/>
        <v>0</v>
      </c>
      <c r="BB27" s="1723">
        <f t="shared" si="24"/>
        <v>0</v>
      </c>
      <c r="BC27" s="1725">
        <f t="shared" si="25"/>
        <v>0</v>
      </c>
      <c r="BD27" s="1723"/>
      <c r="BE27" s="1723">
        <f t="shared" si="26"/>
        <v>0</v>
      </c>
      <c r="BF27" s="1723">
        <f t="shared" si="27"/>
        <v>0</v>
      </c>
      <c r="BG27" s="1723">
        <f t="shared" si="28"/>
        <v>0</v>
      </c>
      <c r="BH27" s="1723">
        <f t="shared" si="29"/>
        <v>0</v>
      </c>
      <c r="BI27" s="1723">
        <f t="shared" si="30"/>
        <v>0</v>
      </c>
      <c r="BJ27" s="1723">
        <f t="shared" si="31"/>
        <v>0</v>
      </c>
      <c r="BK27" s="1723">
        <f t="shared" si="32"/>
        <v>0</v>
      </c>
      <c r="BL27" s="1723">
        <f t="shared" si="33"/>
        <v>0</v>
      </c>
      <c r="BM27" s="1723">
        <f t="shared" si="34"/>
        <v>0</v>
      </c>
      <c r="BN27" s="1725"/>
      <c r="BO27" s="1254"/>
      <c r="BP27" s="1254"/>
      <c r="BQ27" s="1254"/>
      <c r="BR27" s="1254"/>
      <c r="BS27" s="1254">
        <f t="shared" si="35"/>
        <v>0</v>
      </c>
      <c r="BT27" s="1254"/>
      <c r="BU27" s="1254"/>
      <c r="BV27" s="1254"/>
      <c r="BW27" s="1254"/>
      <c r="BX27" s="1254"/>
      <c r="BY27" s="1254"/>
      <c r="BZ27" s="1254"/>
      <c r="CA27" s="1254"/>
      <c r="CB27" s="1254"/>
      <c r="CC27" s="1254"/>
      <c r="CD27" s="1254"/>
      <c r="CE27" s="1254"/>
      <c r="CF27" s="1254"/>
      <c r="CG27" s="1254"/>
      <c r="CH27" s="1254"/>
      <c r="CI27" s="1254"/>
      <c r="CJ27" s="1254"/>
      <c r="CK27" s="1254"/>
      <c r="CL27" s="1254"/>
      <c r="CM27" s="1254"/>
      <c r="CN27" s="1254"/>
      <c r="CO27" s="1254"/>
      <c r="CP27" s="1254"/>
      <c r="CQ27" s="1254"/>
      <c r="CR27" s="1254"/>
      <c r="CS27" s="1254"/>
      <c r="CT27" s="1254"/>
      <c r="CU27" s="1254"/>
      <c r="CV27" s="1254"/>
      <c r="CW27" s="1254"/>
      <c r="CX27" s="1254"/>
      <c r="CY27" s="1254"/>
      <c r="CZ27" s="1254"/>
      <c r="DA27" s="1254"/>
      <c r="DB27" s="1254"/>
      <c r="DC27" s="1254"/>
      <c r="DD27" s="1254"/>
      <c r="DE27" s="1254"/>
      <c r="DF27" s="1254"/>
      <c r="DG27" s="1254"/>
      <c r="DH27" s="1254"/>
      <c r="DI27" s="1254"/>
      <c r="DJ27" s="1254">
        <f t="shared" si="36"/>
        <v>0</v>
      </c>
      <c r="DK27" s="1930">
        <f t="shared" si="37"/>
        <v>0</v>
      </c>
      <c r="DL27" s="1719">
        <f t="shared" si="38"/>
        <v>0</v>
      </c>
      <c r="DM27" s="1254">
        <f t="shared" si="39"/>
        <v>0</v>
      </c>
      <c r="DN27" s="1931">
        <f t="shared" si="40"/>
        <v>0</v>
      </c>
    </row>
    <row r="28" spans="1:118" s="626" customFormat="1" ht="24" customHeight="1">
      <c r="A28" s="1909"/>
      <c r="B28" s="1183"/>
      <c r="C28" s="1953"/>
      <c r="D28" s="1932"/>
      <c r="E28" s="1948"/>
      <c r="F28" s="1934"/>
      <c r="G28" s="1948"/>
      <c r="H28" s="1949"/>
      <c r="I28" s="1936"/>
      <c r="J28" s="1950"/>
      <c r="K28" s="1951"/>
      <c r="L28" s="1952"/>
      <c r="M28" s="42"/>
      <c r="N28" s="1948"/>
      <c r="O28" s="1183"/>
      <c r="P28" s="1921">
        <f t="shared" si="0"/>
        <v>0</v>
      </c>
      <c r="Q28" s="1922">
        <v>0</v>
      </c>
      <c r="R28" s="1351">
        <f t="shared" si="1"/>
        <v>0</v>
      </c>
      <c r="S28" s="1352">
        <f t="shared" si="2"/>
        <v>0</v>
      </c>
      <c r="T28" s="1941">
        <f t="shared" si="3"/>
        <v>0</v>
      </c>
      <c r="U28" s="2779">
        <f t="shared" si="4"/>
        <v>0</v>
      </c>
      <c r="V28" s="2779"/>
      <c r="W28" s="1254"/>
      <c r="X28" s="1254"/>
      <c r="AE28" s="1254"/>
      <c r="AF28" s="1254"/>
      <c r="AG28" s="1924">
        <f t="shared" si="5"/>
        <v>0</v>
      </c>
      <c r="AH28" s="1924">
        <f t="shared" si="6"/>
        <v>0</v>
      </c>
      <c r="AI28" s="1254">
        <f t="shared" si="7"/>
        <v>0</v>
      </c>
      <c r="AJ28" s="1254">
        <f t="shared" si="8"/>
        <v>0</v>
      </c>
      <c r="AK28" s="1254">
        <f t="shared" si="9"/>
        <v>0</v>
      </c>
      <c r="AL28" s="1254">
        <f t="shared" si="10"/>
        <v>0</v>
      </c>
      <c r="AM28" s="1254">
        <f t="shared" si="11"/>
        <v>0</v>
      </c>
      <c r="AN28" s="1254">
        <f t="shared" si="12"/>
        <v>0</v>
      </c>
      <c r="AO28" s="1254">
        <f t="shared" si="13"/>
        <v>0</v>
      </c>
      <c r="AP28" s="1254">
        <f t="shared" si="14"/>
        <v>0</v>
      </c>
      <c r="AQ28" s="1942">
        <f t="shared" si="15"/>
        <v>0</v>
      </c>
      <c r="AR28" s="1254">
        <f t="shared" si="16"/>
        <v>0</v>
      </c>
      <c r="AS28" s="1254">
        <f t="shared" si="17"/>
        <v>0</v>
      </c>
      <c r="AT28" s="1254">
        <f t="shared" si="18"/>
        <v>0</v>
      </c>
      <c r="AU28" s="1254">
        <f t="shared" si="19"/>
        <v>0</v>
      </c>
      <c r="AV28" s="1928">
        <f t="shared" si="41"/>
        <v>0</v>
      </c>
      <c r="AW28" s="1723">
        <f>(AH28*Pricing!F$3+AI28*Pricing!G$3+AJ28*Pricing!H$3+AK28*Pricing!I$3+AL28*Pricing!J$3+AM28*Pricing!K$3+AN28*Pricing!L$3+AO28*Pricing!M$3+AP28*Pricing!N$3+AQ28*Pricing!O$3)*IF(T$38="N",(1+V$38),1)</f>
        <v>0</v>
      </c>
      <c r="AX28" s="1723">
        <f t="shared" si="20"/>
        <v>0</v>
      </c>
      <c r="AY28" s="1723">
        <f t="shared" si="21"/>
        <v>0</v>
      </c>
      <c r="AZ28" s="1929">
        <f t="shared" si="22"/>
        <v>0</v>
      </c>
      <c r="BA28" s="1723">
        <f t="shared" si="23"/>
        <v>0</v>
      </c>
      <c r="BB28" s="1723">
        <f t="shared" si="24"/>
        <v>0</v>
      </c>
      <c r="BC28" s="1725">
        <f t="shared" si="25"/>
        <v>0</v>
      </c>
      <c r="BD28" s="1723"/>
      <c r="BE28" s="1723">
        <f t="shared" si="26"/>
        <v>0</v>
      </c>
      <c r="BF28" s="1723">
        <f t="shared" si="27"/>
        <v>0</v>
      </c>
      <c r="BG28" s="1723">
        <f t="shared" si="28"/>
        <v>0</v>
      </c>
      <c r="BH28" s="1723">
        <f t="shared" si="29"/>
        <v>0</v>
      </c>
      <c r="BI28" s="1723">
        <f t="shared" si="30"/>
        <v>0</v>
      </c>
      <c r="BJ28" s="1723">
        <f t="shared" si="31"/>
        <v>0</v>
      </c>
      <c r="BK28" s="1723">
        <f t="shared" si="32"/>
        <v>0</v>
      </c>
      <c r="BL28" s="1723">
        <f t="shared" si="33"/>
        <v>0</v>
      </c>
      <c r="BM28" s="1723">
        <f t="shared" si="34"/>
        <v>0</v>
      </c>
      <c r="BN28" s="1725"/>
      <c r="BO28" s="1254"/>
      <c r="BP28" s="1254"/>
      <c r="BQ28" s="1254"/>
      <c r="BR28" s="1254"/>
      <c r="BS28" s="1254">
        <f t="shared" si="35"/>
        <v>0</v>
      </c>
      <c r="BT28" s="1254"/>
      <c r="BU28" s="1254"/>
      <c r="BV28" s="1254"/>
      <c r="BW28" s="1254"/>
      <c r="BX28" s="1254"/>
      <c r="BY28" s="1254"/>
      <c r="BZ28" s="1254"/>
      <c r="CA28" s="1254"/>
      <c r="CB28" s="1254"/>
      <c r="CC28" s="1254"/>
      <c r="CD28" s="1254"/>
      <c r="CE28" s="1254"/>
      <c r="CF28" s="1254"/>
      <c r="CG28" s="1254"/>
      <c r="CH28" s="1254"/>
      <c r="CI28" s="1254"/>
      <c r="CJ28" s="1254"/>
      <c r="CK28" s="1254"/>
      <c r="CL28" s="1254"/>
      <c r="CM28" s="1254"/>
      <c r="CN28" s="1254"/>
      <c r="CO28" s="1254"/>
      <c r="CP28" s="1254"/>
      <c r="CQ28" s="1254"/>
      <c r="CR28" s="1254"/>
      <c r="CS28" s="1254"/>
      <c r="CT28" s="1254"/>
      <c r="CU28" s="1254"/>
      <c r="CV28" s="1254"/>
      <c r="CW28" s="1254"/>
      <c r="CX28" s="1254"/>
      <c r="CY28" s="1254"/>
      <c r="CZ28" s="1254"/>
      <c r="DA28" s="1254"/>
      <c r="DB28" s="1254"/>
      <c r="DC28" s="1254"/>
      <c r="DD28" s="1254"/>
      <c r="DE28" s="1254"/>
      <c r="DF28" s="1254"/>
      <c r="DG28" s="1254"/>
      <c r="DH28" s="1254"/>
      <c r="DI28" s="1254"/>
      <c r="DJ28" s="1254">
        <f t="shared" si="36"/>
        <v>0</v>
      </c>
      <c r="DK28" s="1930">
        <f t="shared" si="37"/>
        <v>0</v>
      </c>
      <c r="DL28" s="1719">
        <f t="shared" si="38"/>
        <v>0</v>
      </c>
      <c r="DM28" s="1254">
        <f t="shared" si="39"/>
        <v>0</v>
      </c>
      <c r="DN28" s="1931">
        <f t="shared" si="40"/>
        <v>0</v>
      </c>
    </row>
    <row r="29" spans="1:118" s="626" customFormat="1" ht="24" customHeight="1">
      <c r="A29" s="1909"/>
      <c r="B29" s="1183"/>
      <c r="C29" s="1953"/>
      <c r="D29" s="1932"/>
      <c r="E29" s="1948"/>
      <c r="F29" s="1934"/>
      <c r="G29" s="1948"/>
      <c r="H29" s="1949"/>
      <c r="I29" s="1936"/>
      <c r="J29" s="1950"/>
      <c r="K29" s="1951"/>
      <c r="L29" s="1952"/>
      <c r="M29" s="42"/>
      <c r="N29" s="1948"/>
      <c r="O29" s="1183"/>
      <c r="P29" s="1921">
        <f t="shared" si="0"/>
        <v>0</v>
      </c>
      <c r="Q29" s="1922">
        <v>0</v>
      </c>
      <c r="R29" s="1351">
        <f t="shared" si="1"/>
        <v>0</v>
      </c>
      <c r="S29" s="1352">
        <f t="shared" si="2"/>
        <v>0</v>
      </c>
      <c r="T29" s="1941">
        <f t="shared" si="3"/>
        <v>0</v>
      </c>
      <c r="U29" s="2779">
        <f t="shared" si="4"/>
        <v>0</v>
      </c>
      <c r="V29" s="2779"/>
      <c r="W29" s="1254"/>
      <c r="X29" s="1254"/>
      <c r="AE29" s="1254"/>
      <c r="AF29" s="1254"/>
      <c r="AG29" s="1924">
        <f t="shared" si="5"/>
        <v>0</v>
      </c>
      <c r="AH29" s="1924">
        <f t="shared" si="6"/>
        <v>0</v>
      </c>
      <c r="AI29" s="1254">
        <f t="shared" si="7"/>
        <v>0</v>
      </c>
      <c r="AJ29" s="1254">
        <f t="shared" si="8"/>
        <v>0</v>
      </c>
      <c r="AK29" s="1254">
        <f t="shared" si="9"/>
        <v>0</v>
      </c>
      <c r="AL29" s="1254">
        <f t="shared" si="10"/>
        <v>0</v>
      </c>
      <c r="AM29" s="1254">
        <f t="shared" si="11"/>
        <v>0</v>
      </c>
      <c r="AN29" s="1254">
        <f t="shared" si="12"/>
        <v>0</v>
      </c>
      <c r="AO29" s="1254">
        <f t="shared" si="13"/>
        <v>0</v>
      </c>
      <c r="AP29" s="1254">
        <f t="shared" si="14"/>
        <v>0</v>
      </c>
      <c r="AQ29" s="1942">
        <f t="shared" si="15"/>
        <v>0</v>
      </c>
      <c r="AR29" s="1254">
        <f t="shared" si="16"/>
        <v>0</v>
      </c>
      <c r="AS29" s="1254">
        <f t="shared" si="17"/>
        <v>0</v>
      </c>
      <c r="AT29" s="1254">
        <f t="shared" si="18"/>
        <v>0</v>
      </c>
      <c r="AU29" s="1254">
        <f t="shared" si="19"/>
        <v>0</v>
      </c>
      <c r="AV29" s="1928">
        <f t="shared" si="41"/>
        <v>0</v>
      </c>
      <c r="AW29" s="1723">
        <f>(AH29*Pricing!F$3+AI29*Pricing!G$3+AJ29*Pricing!H$3+AK29*Pricing!I$3+AL29*Pricing!J$3+AM29*Pricing!K$3+AN29*Pricing!L$3+AO29*Pricing!M$3+AP29*Pricing!N$3+AQ29*Pricing!O$3)*IF(T$38="N",(1+V$38),1)</f>
        <v>0</v>
      </c>
      <c r="AX29" s="1723">
        <f t="shared" si="20"/>
        <v>0</v>
      </c>
      <c r="AY29" s="1723">
        <f t="shared" si="21"/>
        <v>0</v>
      </c>
      <c r="AZ29" s="1929">
        <f t="shared" si="22"/>
        <v>0</v>
      </c>
      <c r="BA29" s="1723">
        <f t="shared" si="23"/>
        <v>0</v>
      </c>
      <c r="BB29" s="1723">
        <f t="shared" si="24"/>
        <v>0</v>
      </c>
      <c r="BC29" s="1725">
        <f t="shared" si="25"/>
        <v>0</v>
      </c>
      <c r="BD29" s="1723"/>
      <c r="BE29" s="1723">
        <f t="shared" si="26"/>
        <v>0</v>
      </c>
      <c r="BF29" s="1723">
        <f t="shared" si="27"/>
        <v>0</v>
      </c>
      <c r="BG29" s="1723">
        <f t="shared" si="28"/>
        <v>0</v>
      </c>
      <c r="BH29" s="1723">
        <f t="shared" si="29"/>
        <v>0</v>
      </c>
      <c r="BI29" s="1723">
        <f t="shared" si="30"/>
        <v>0</v>
      </c>
      <c r="BJ29" s="1723">
        <f t="shared" si="31"/>
        <v>0</v>
      </c>
      <c r="BK29" s="1723">
        <f t="shared" si="32"/>
        <v>0</v>
      </c>
      <c r="BL29" s="1723">
        <f t="shared" si="33"/>
        <v>0</v>
      </c>
      <c r="BM29" s="1723">
        <f t="shared" si="34"/>
        <v>0</v>
      </c>
      <c r="BN29" s="1725"/>
      <c r="BO29" s="1254"/>
      <c r="BP29" s="1254"/>
      <c r="BQ29" s="1254"/>
      <c r="BR29" s="1254"/>
      <c r="BS29" s="1254">
        <f t="shared" si="35"/>
        <v>0</v>
      </c>
      <c r="BT29" s="1254"/>
      <c r="BU29" s="1254"/>
      <c r="BV29" s="1254"/>
      <c r="BW29" s="1254"/>
      <c r="BX29" s="1254"/>
      <c r="BY29" s="1254"/>
      <c r="BZ29" s="1254"/>
      <c r="CA29" s="1254"/>
      <c r="CB29" s="1254"/>
      <c r="CC29" s="1254"/>
      <c r="CD29" s="1254"/>
      <c r="CE29" s="1254"/>
      <c r="CF29" s="1254"/>
      <c r="CG29" s="1254"/>
      <c r="CH29" s="1254"/>
      <c r="CI29" s="1254"/>
      <c r="CJ29" s="1254"/>
      <c r="CK29" s="1254"/>
      <c r="CL29" s="1254"/>
      <c r="CM29" s="1254"/>
      <c r="CN29" s="1254"/>
      <c r="CO29" s="1254"/>
      <c r="CP29" s="1254"/>
      <c r="CQ29" s="1254"/>
      <c r="CR29" s="1254"/>
      <c r="CS29" s="1254"/>
      <c r="CT29" s="1254"/>
      <c r="CU29" s="1254"/>
      <c r="CV29" s="1254"/>
      <c r="CW29" s="1254"/>
      <c r="CX29" s="1254"/>
      <c r="CY29" s="1254"/>
      <c r="CZ29" s="1254"/>
      <c r="DA29" s="1254"/>
      <c r="DB29" s="1254"/>
      <c r="DC29" s="1254"/>
      <c r="DD29" s="1254"/>
      <c r="DE29" s="1254"/>
      <c r="DF29" s="1254"/>
      <c r="DG29" s="1254"/>
      <c r="DH29" s="1254"/>
      <c r="DI29" s="1254"/>
      <c r="DJ29" s="1254">
        <f t="shared" si="36"/>
        <v>0</v>
      </c>
      <c r="DK29" s="1930">
        <f t="shared" si="37"/>
        <v>0</v>
      </c>
      <c r="DL29" s="1719">
        <f t="shared" si="38"/>
        <v>0</v>
      </c>
      <c r="DM29" s="1254">
        <f t="shared" si="39"/>
        <v>0</v>
      </c>
      <c r="DN29" s="1931">
        <f t="shared" si="40"/>
        <v>0</v>
      </c>
    </row>
    <row r="30" spans="1:118" s="626" customFormat="1" ht="24" customHeight="1">
      <c r="A30" s="1909"/>
      <c r="B30" s="1183"/>
      <c r="C30" s="1953"/>
      <c r="D30" s="1932"/>
      <c r="E30" s="1948"/>
      <c r="F30" s="1934"/>
      <c r="G30" s="1948"/>
      <c r="H30" s="1949"/>
      <c r="I30" s="1936"/>
      <c r="J30" s="1950"/>
      <c r="K30" s="1951"/>
      <c r="L30" s="1952"/>
      <c r="M30" s="42"/>
      <c r="N30" s="1948"/>
      <c r="O30" s="1183"/>
      <c r="P30" s="1921">
        <f t="shared" si="0"/>
        <v>0</v>
      </c>
      <c r="Q30" s="1922">
        <v>0</v>
      </c>
      <c r="R30" s="1351">
        <f t="shared" si="1"/>
        <v>0</v>
      </c>
      <c r="S30" s="1352">
        <f t="shared" si="2"/>
        <v>0</v>
      </c>
      <c r="T30" s="1941">
        <f t="shared" si="3"/>
        <v>0</v>
      </c>
      <c r="U30" s="2779">
        <f t="shared" si="4"/>
        <v>0</v>
      </c>
      <c r="V30" s="2779"/>
      <c r="W30" s="1254"/>
      <c r="X30" s="1254"/>
      <c r="AE30" s="1254"/>
      <c r="AF30" s="1254"/>
      <c r="AG30" s="1924">
        <f t="shared" si="5"/>
        <v>0</v>
      </c>
      <c r="AH30" s="1924">
        <f t="shared" si="6"/>
        <v>0</v>
      </c>
      <c r="AI30" s="1254">
        <f t="shared" si="7"/>
        <v>0</v>
      </c>
      <c r="AJ30" s="1254">
        <f t="shared" si="8"/>
        <v>0</v>
      </c>
      <c r="AK30" s="1254">
        <f t="shared" si="9"/>
        <v>0</v>
      </c>
      <c r="AL30" s="1254">
        <f t="shared" si="10"/>
        <v>0</v>
      </c>
      <c r="AM30" s="1254">
        <f t="shared" si="11"/>
        <v>0</v>
      </c>
      <c r="AN30" s="1254">
        <f t="shared" si="12"/>
        <v>0</v>
      </c>
      <c r="AO30" s="1254">
        <f t="shared" si="13"/>
        <v>0</v>
      </c>
      <c r="AP30" s="1254">
        <f t="shared" si="14"/>
        <v>0</v>
      </c>
      <c r="AQ30" s="1942">
        <f t="shared" si="15"/>
        <v>0</v>
      </c>
      <c r="AR30" s="1254">
        <f t="shared" si="16"/>
        <v>0</v>
      </c>
      <c r="AS30" s="1254">
        <f t="shared" si="17"/>
        <v>0</v>
      </c>
      <c r="AT30" s="1254">
        <f t="shared" si="18"/>
        <v>0</v>
      </c>
      <c r="AU30" s="1254">
        <f t="shared" si="19"/>
        <v>0</v>
      </c>
      <c r="AV30" s="1928">
        <f t="shared" si="41"/>
        <v>0</v>
      </c>
      <c r="AW30" s="1723">
        <f>(AH30*Pricing!F$3+AI30*Pricing!G$3+AJ30*Pricing!H$3+AK30*Pricing!I$3+AL30*Pricing!J$3+AM30*Pricing!K$3+AN30*Pricing!L$3+AO30*Pricing!M$3+AP30*Pricing!N$3+AQ30*Pricing!O$3)*IF(T$38="N",(1+V$38),1)</f>
        <v>0</v>
      </c>
      <c r="AX30" s="1723">
        <f t="shared" si="20"/>
        <v>0</v>
      </c>
      <c r="AY30" s="1723">
        <f t="shared" si="21"/>
        <v>0</v>
      </c>
      <c r="AZ30" s="1929">
        <f t="shared" si="22"/>
        <v>0</v>
      </c>
      <c r="BA30" s="1723">
        <f t="shared" si="23"/>
        <v>0</v>
      </c>
      <c r="BB30" s="1723">
        <f t="shared" si="24"/>
        <v>0</v>
      </c>
      <c r="BC30" s="1725">
        <f t="shared" si="25"/>
        <v>0</v>
      </c>
      <c r="BD30" s="1723"/>
      <c r="BE30" s="1723">
        <f t="shared" si="26"/>
        <v>0</v>
      </c>
      <c r="BF30" s="1723">
        <f t="shared" si="27"/>
        <v>0</v>
      </c>
      <c r="BG30" s="1723">
        <f t="shared" si="28"/>
        <v>0</v>
      </c>
      <c r="BH30" s="1723">
        <f t="shared" si="29"/>
        <v>0</v>
      </c>
      <c r="BI30" s="1723">
        <f t="shared" si="30"/>
        <v>0</v>
      </c>
      <c r="BJ30" s="1723">
        <f t="shared" si="31"/>
        <v>0</v>
      </c>
      <c r="BK30" s="1723">
        <f t="shared" si="32"/>
        <v>0</v>
      </c>
      <c r="BL30" s="1723">
        <f t="shared" si="33"/>
        <v>0</v>
      </c>
      <c r="BM30" s="1723">
        <f t="shared" si="34"/>
        <v>0</v>
      </c>
      <c r="BN30" s="1725"/>
      <c r="BO30" s="1254"/>
      <c r="BP30" s="1254"/>
      <c r="BQ30" s="1254"/>
      <c r="BR30" s="1254"/>
      <c r="BS30" s="1254">
        <f t="shared" si="35"/>
        <v>0</v>
      </c>
      <c r="BT30" s="1254"/>
      <c r="BU30" s="1254"/>
      <c r="BV30" s="1254"/>
      <c r="BW30" s="1254"/>
      <c r="BX30" s="1254"/>
      <c r="BY30" s="1254"/>
      <c r="BZ30" s="1254"/>
      <c r="CA30" s="1254"/>
      <c r="CB30" s="1254"/>
      <c r="CC30" s="1254"/>
      <c r="CD30" s="1254"/>
      <c r="CE30" s="1254"/>
      <c r="CF30" s="1254"/>
      <c r="CG30" s="1254"/>
      <c r="CH30" s="1254"/>
      <c r="CI30" s="1254"/>
      <c r="CJ30" s="1254"/>
      <c r="CK30" s="1254"/>
      <c r="CL30" s="1254"/>
      <c r="CM30" s="1254"/>
      <c r="CN30" s="1254"/>
      <c r="CO30" s="1254"/>
      <c r="CP30" s="1254"/>
      <c r="CQ30" s="1254"/>
      <c r="CR30" s="1254"/>
      <c r="CS30" s="1254"/>
      <c r="CT30" s="1254"/>
      <c r="CU30" s="1254"/>
      <c r="CV30" s="1254"/>
      <c r="CW30" s="1254"/>
      <c r="CX30" s="1254"/>
      <c r="CY30" s="1254"/>
      <c r="CZ30" s="1254"/>
      <c r="DA30" s="1254"/>
      <c r="DB30" s="1254"/>
      <c r="DC30" s="1254"/>
      <c r="DD30" s="1254"/>
      <c r="DE30" s="1254"/>
      <c r="DF30" s="1254"/>
      <c r="DG30" s="1254"/>
      <c r="DH30" s="1254"/>
      <c r="DI30" s="1254"/>
      <c r="DJ30" s="1254">
        <f t="shared" si="36"/>
        <v>0</v>
      </c>
      <c r="DK30" s="1930">
        <f t="shared" si="37"/>
        <v>0</v>
      </c>
      <c r="DL30" s="1719">
        <f t="shared" si="38"/>
        <v>0</v>
      </c>
      <c r="DM30" s="1254">
        <f t="shared" si="39"/>
        <v>0</v>
      </c>
      <c r="DN30" s="1931">
        <f t="shared" si="40"/>
        <v>0</v>
      </c>
    </row>
    <row r="31" spans="1:118" s="626" customFormat="1" ht="24" customHeight="1">
      <c r="A31" s="1956">
        <f>K54-R12</f>
        <v>148866.50792067143</v>
      </c>
      <c r="B31" s="1183"/>
      <c r="C31" s="1953"/>
      <c r="D31" s="1932"/>
      <c r="E31" s="1948"/>
      <c r="F31" s="1934"/>
      <c r="G31" s="1948"/>
      <c r="H31" s="1949"/>
      <c r="I31" s="1936"/>
      <c r="J31" s="1950"/>
      <c r="K31" s="1951"/>
      <c r="L31" s="1952"/>
      <c r="M31" s="42"/>
      <c r="N31" s="1948"/>
      <c r="O31" s="1183"/>
      <c r="P31" s="1921">
        <f t="shared" si="0"/>
        <v>0</v>
      </c>
      <c r="Q31" s="1922">
        <v>0</v>
      </c>
      <c r="R31" s="1351">
        <f t="shared" si="1"/>
        <v>0</v>
      </c>
      <c r="S31" s="1352">
        <f t="shared" si="2"/>
        <v>0</v>
      </c>
      <c r="T31" s="1941">
        <f t="shared" si="3"/>
        <v>0</v>
      </c>
      <c r="U31" s="2779">
        <f t="shared" si="4"/>
        <v>0</v>
      </c>
      <c r="V31" s="2779"/>
      <c r="W31" s="1254"/>
      <c r="X31" s="1254"/>
      <c r="AE31" s="1254"/>
      <c r="AF31" s="1254"/>
      <c r="AG31" s="1924">
        <f t="shared" si="5"/>
        <v>0</v>
      </c>
      <c r="AH31" s="1924">
        <f t="shared" si="6"/>
        <v>0</v>
      </c>
      <c r="AI31" s="1254">
        <f t="shared" si="7"/>
        <v>0</v>
      </c>
      <c r="AJ31" s="1254">
        <f t="shared" si="8"/>
        <v>0</v>
      </c>
      <c r="AK31" s="1254">
        <f t="shared" si="9"/>
        <v>0</v>
      </c>
      <c r="AL31" s="1254">
        <f t="shared" si="10"/>
        <v>0</v>
      </c>
      <c r="AM31" s="1254">
        <f t="shared" si="11"/>
        <v>0</v>
      </c>
      <c r="AN31" s="1254">
        <f t="shared" si="12"/>
        <v>0</v>
      </c>
      <c r="AO31" s="1254">
        <f t="shared" si="13"/>
        <v>0</v>
      </c>
      <c r="AP31" s="1254">
        <f t="shared" si="14"/>
        <v>0</v>
      </c>
      <c r="AQ31" s="1942">
        <f t="shared" si="15"/>
        <v>0</v>
      </c>
      <c r="AR31" s="1254">
        <f t="shared" si="16"/>
        <v>0</v>
      </c>
      <c r="AS31" s="1254">
        <f t="shared" si="17"/>
        <v>0</v>
      </c>
      <c r="AT31" s="1254">
        <f t="shared" si="18"/>
        <v>0</v>
      </c>
      <c r="AU31" s="1254">
        <f t="shared" si="19"/>
        <v>0</v>
      </c>
      <c r="AV31" s="1928">
        <f t="shared" si="41"/>
        <v>0</v>
      </c>
      <c r="AW31" s="1723">
        <f>(AH31*Pricing!F$3+AI31*Pricing!G$3+AJ31*Pricing!H$3+AK31*Pricing!I$3+AL31*Pricing!J$3+AM31*Pricing!K$3+AN31*Pricing!L$3+AO31*Pricing!M$3+AP31*Pricing!N$3+AQ31*Pricing!O$3)*IF(T$38="N",(1+V$38),1)</f>
        <v>0</v>
      </c>
      <c r="AX31" s="1723">
        <f t="shared" si="20"/>
        <v>0</v>
      </c>
      <c r="AY31" s="1723">
        <f t="shared" si="21"/>
        <v>0</v>
      </c>
      <c r="AZ31" s="1929">
        <f t="shared" si="22"/>
        <v>0</v>
      </c>
      <c r="BA31" s="1723">
        <f t="shared" si="23"/>
        <v>0</v>
      </c>
      <c r="BB31" s="1723">
        <f t="shared" si="24"/>
        <v>0</v>
      </c>
      <c r="BC31" s="1725">
        <f t="shared" si="25"/>
        <v>0</v>
      </c>
      <c r="BD31" s="1723"/>
      <c r="BE31" s="1723">
        <f t="shared" si="26"/>
        <v>0</v>
      </c>
      <c r="BF31" s="1723">
        <f t="shared" si="27"/>
        <v>0</v>
      </c>
      <c r="BG31" s="1723">
        <f t="shared" si="28"/>
        <v>0</v>
      </c>
      <c r="BH31" s="1723">
        <f t="shared" si="29"/>
        <v>0</v>
      </c>
      <c r="BI31" s="1723">
        <f t="shared" si="30"/>
        <v>0</v>
      </c>
      <c r="BJ31" s="1723">
        <f t="shared" si="31"/>
        <v>0</v>
      </c>
      <c r="BK31" s="1723">
        <f t="shared" si="32"/>
        <v>0</v>
      </c>
      <c r="BL31" s="1723">
        <f t="shared" si="33"/>
        <v>0</v>
      </c>
      <c r="BM31" s="1723">
        <f t="shared" si="34"/>
        <v>0</v>
      </c>
      <c r="BN31" s="1725"/>
      <c r="BO31" s="1254"/>
      <c r="BP31" s="1254"/>
      <c r="BQ31" s="1254"/>
      <c r="BR31" s="1254"/>
      <c r="BS31" s="1254">
        <f t="shared" si="35"/>
        <v>0</v>
      </c>
      <c r="BT31" s="1254"/>
      <c r="BU31" s="1254"/>
      <c r="BV31" s="1254"/>
      <c r="BW31" s="1254"/>
      <c r="BX31" s="1254"/>
      <c r="BY31" s="1254"/>
      <c r="BZ31" s="1254"/>
      <c r="CA31" s="1254"/>
      <c r="CB31" s="1254"/>
      <c r="CC31" s="1254"/>
      <c r="CD31" s="1254"/>
      <c r="CE31" s="1254"/>
      <c r="CF31" s="1254"/>
      <c r="CG31" s="1254"/>
      <c r="CH31" s="1254"/>
      <c r="CI31" s="1254"/>
      <c r="CJ31" s="1254"/>
      <c r="CK31" s="1254"/>
      <c r="CL31" s="1254"/>
      <c r="CM31" s="1254"/>
      <c r="CN31" s="1254"/>
      <c r="CO31" s="1254"/>
      <c r="CP31" s="1254"/>
      <c r="CQ31" s="1254"/>
      <c r="CR31" s="1254"/>
      <c r="CS31" s="1254"/>
      <c r="CT31" s="1254"/>
      <c r="CU31" s="1254"/>
      <c r="CV31" s="1254"/>
      <c r="CW31" s="1254"/>
      <c r="CX31" s="1254"/>
      <c r="CY31" s="1254"/>
      <c r="CZ31" s="1254"/>
      <c r="DA31" s="1254"/>
      <c r="DB31" s="1254"/>
      <c r="DC31" s="1254"/>
      <c r="DD31" s="1254"/>
      <c r="DE31" s="1254"/>
      <c r="DF31" s="1254"/>
      <c r="DG31" s="1254"/>
      <c r="DH31" s="1254"/>
      <c r="DI31" s="1254"/>
      <c r="DJ31" s="1957">
        <f t="shared" si="36"/>
        <v>148866.50792067143</v>
      </c>
      <c r="DK31" s="1930">
        <f t="shared" si="37"/>
        <v>0</v>
      </c>
      <c r="DL31" s="1719">
        <f t="shared" si="38"/>
        <v>0</v>
      </c>
      <c r="DM31" s="1254">
        <f t="shared" si="39"/>
        <v>0</v>
      </c>
      <c r="DN31" s="1931">
        <f t="shared" si="40"/>
        <v>0</v>
      </c>
    </row>
    <row r="32" spans="1:118" s="626" customFormat="1" ht="24" customHeight="1">
      <c r="A32" s="1956">
        <f>A31/2000</f>
        <v>74.433253960335719</v>
      </c>
      <c r="B32" s="1183"/>
      <c r="C32" s="1953"/>
      <c r="D32" s="1932"/>
      <c r="E32" s="1948"/>
      <c r="F32" s="1934"/>
      <c r="G32" s="1948"/>
      <c r="H32" s="1949"/>
      <c r="I32" s="1936"/>
      <c r="J32" s="1950"/>
      <c r="K32" s="1951"/>
      <c r="L32" s="1952"/>
      <c r="M32" s="42"/>
      <c r="N32" s="1948"/>
      <c r="O32" s="1183"/>
      <c r="P32" s="1921">
        <f t="shared" si="0"/>
        <v>0</v>
      </c>
      <c r="Q32" s="1922">
        <v>0</v>
      </c>
      <c r="R32" s="1351">
        <f t="shared" si="1"/>
        <v>0</v>
      </c>
      <c r="S32" s="1352">
        <f t="shared" si="2"/>
        <v>0</v>
      </c>
      <c r="T32" s="1941">
        <f t="shared" si="3"/>
        <v>0</v>
      </c>
      <c r="U32" s="2779">
        <f t="shared" si="4"/>
        <v>0</v>
      </c>
      <c r="V32" s="2779"/>
      <c r="W32" s="1254"/>
      <c r="X32" s="1254"/>
      <c r="AE32" s="1254"/>
      <c r="AF32" s="1254"/>
      <c r="AG32" s="1924">
        <f t="shared" si="5"/>
        <v>0</v>
      </c>
      <c r="AH32" s="1924">
        <f t="shared" si="6"/>
        <v>0</v>
      </c>
      <c r="AI32" s="1254">
        <f t="shared" si="7"/>
        <v>0</v>
      </c>
      <c r="AJ32" s="1254">
        <f t="shared" si="8"/>
        <v>0</v>
      </c>
      <c r="AK32" s="1254">
        <f t="shared" si="9"/>
        <v>0</v>
      </c>
      <c r="AL32" s="1254">
        <f t="shared" si="10"/>
        <v>0</v>
      </c>
      <c r="AM32" s="1254">
        <f t="shared" si="11"/>
        <v>0</v>
      </c>
      <c r="AN32" s="1254">
        <f t="shared" si="12"/>
        <v>0</v>
      </c>
      <c r="AO32" s="1254">
        <f t="shared" si="13"/>
        <v>0</v>
      </c>
      <c r="AP32" s="1254">
        <f t="shared" si="14"/>
        <v>0</v>
      </c>
      <c r="AQ32" s="1942">
        <f t="shared" si="15"/>
        <v>0</v>
      </c>
      <c r="AR32" s="1254">
        <f t="shared" si="16"/>
        <v>0</v>
      </c>
      <c r="AS32" s="1254">
        <f t="shared" si="17"/>
        <v>0</v>
      </c>
      <c r="AT32" s="1254">
        <f t="shared" si="18"/>
        <v>0</v>
      </c>
      <c r="AU32" s="1254">
        <f t="shared" si="19"/>
        <v>0</v>
      </c>
      <c r="AV32" s="1928">
        <f t="shared" si="41"/>
        <v>0</v>
      </c>
      <c r="AW32" s="1723">
        <f>(AH32*Pricing!F$3+AI32*Pricing!G$3+AJ32*Pricing!H$3+AK32*Pricing!I$3+AL32*Pricing!J$3+AM32*Pricing!K$3+AN32*Pricing!L$3+AO32*Pricing!M$3+AP32*Pricing!N$3+AQ32*Pricing!O$3)*IF(T$38="N",(1+V$38),1)</f>
        <v>0</v>
      </c>
      <c r="AX32" s="1723">
        <f t="shared" si="20"/>
        <v>0</v>
      </c>
      <c r="AY32" s="1723">
        <f t="shared" si="21"/>
        <v>0</v>
      </c>
      <c r="AZ32" s="1929">
        <f t="shared" si="22"/>
        <v>0</v>
      </c>
      <c r="BA32" s="1723">
        <f t="shared" si="23"/>
        <v>0</v>
      </c>
      <c r="BB32" s="1723">
        <f t="shared" si="24"/>
        <v>0</v>
      </c>
      <c r="BC32" s="1725">
        <f t="shared" si="25"/>
        <v>0</v>
      </c>
      <c r="BD32" s="1723"/>
      <c r="BE32" s="1723">
        <f t="shared" si="26"/>
        <v>0</v>
      </c>
      <c r="BF32" s="1723">
        <f t="shared" si="27"/>
        <v>0</v>
      </c>
      <c r="BG32" s="1723">
        <f t="shared" si="28"/>
        <v>0</v>
      </c>
      <c r="BH32" s="1723">
        <f t="shared" si="29"/>
        <v>0</v>
      </c>
      <c r="BI32" s="1723">
        <f t="shared" si="30"/>
        <v>0</v>
      </c>
      <c r="BJ32" s="1723">
        <f t="shared" si="31"/>
        <v>0</v>
      </c>
      <c r="BK32" s="1723">
        <f t="shared" si="32"/>
        <v>0</v>
      </c>
      <c r="BL32" s="1723">
        <f t="shared" si="33"/>
        <v>0</v>
      </c>
      <c r="BM32" s="1723">
        <f t="shared" si="34"/>
        <v>0</v>
      </c>
      <c r="BN32" s="1725"/>
      <c r="BO32" s="1254"/>
      <c r="BP32" s="1254"/>
      <c r="BQ32" s="1254"/>
      <c r="BR32" s="1254"/>
      <c r="BS32" s="1254">
        <f t="shared" si="35"/>
        <v>0</v>
      </c>
      <c r="BT32" s="1254"/>
      <c r="BU32" s="1254"/>
      <c r="BV32" s="1254"/>
      <c r="BW32" s="1254"/>
      <c r="BX32" s="1254"/>
      <c r="BY32" s="1254"/>
      <c r="BZ32" s="1254"/>
      <c r="CA32" s="1254"/>
      <c r="CB32" s="1254"/>
      <c r="CC32" s="1254"/>
      <c r="CD32" s="1254"/>
      <c r="CE32" s="1254"/>
      <c r="CF32" s="1254"/>
      <c r="CG32" s="1254"/>
      <c r="CH32" s="1254"/>
      <c r="CI32" s="1254"/>
      <c r="CJ32" s="1254"/>
      <c r="CK32" s="1254"/>
      <c r="CL32" s="1254"/>
      <c r="CM32" s="1254"/>
      <c r="CN32" s="1254"/>
      <c r="CO32" s="1254"/>
      <c r="CP32" s="1254"/>
      <c r="CQ32" s="1254"/>
      <c r="CR32" s="1254"/>
      <c r="CS32" s="1254"/>
      <c r="CT32" s="1254"/>
      <c r="CU32" s="1254"/>
      <c r="CV32" s="1254"/>
      <c r="CW32" s="1254"/>
      <c r="CX32" s="1254"/>
      <c r="CY32" s="1254"/>
      <c r="CZ32" s="1254"/>
      <c r="DA32" s="1254"/>
      <c r="DB32" s="1254"/>
      <c r="DC32" s="1254"/>
      <c r="DD32" s="1254"/>
      <c r="DE32" s="1254"/>
      <c r="DF32" s="1254"/>
      <c r="DG32" s="1254"/>
      <c r="DH32" s="1254"/>
      <c r="DI32" s="1254"/>
      <c r="DJ32" s="1957">
        <f t="shared" si="36"/>
        <v>74.433253960335719</v>
      </c>
      <c r="DK32" s="1930">
        <f t="shared" si="37"/>
        <v>0</v>
      </c>
      <c r="DL32" s="1719">
        <f t="shared" si="38"/>
        <v>0</v>
      </c>
      <c r="DM32" s="1254">
        <f t="shared" si="39"/>
        <v>0</v>
      </c>
      <c r="DN32" s="1931">
        <f t="shared" si="40"/>
        <v>0</v>
      </c>
    </row>
    <row r="33" spans="1:118" s="626" customFormat="1" ht="24" customHeight="1">
      <c r="A33" s="963"/>
      <c r="B33" s="1183"/>
      <c r="C33" s="1953"/>
      <c r="D33" s="1932"/>
      <c r="E33" s="1948"/>
      <c r="F33" s="1934"/>
      <c r="G33" s="1948"/>
      <c r="H33" s="1949"/>
      <c r="I33" s="1936"/>
      <c r="J33" s="1950"/>
      <c r="K33" s="1951"/>
      <c r="L33" s="1952"/>
      <c r="M33" s="42"/>
      <c r="N33" s="1948"/>
      <c r="O33" s="1183"/>
      <c r="P33" s="1921">
        <f t="shared" si="0"/>
        <v>0</v>
      </c>
      <c r="Q33" s="1922">
        <v>0</v>
      </c>
      <c r="R33" s="1351">
        <f t="shared" si="1"/>
        <v>0</v>
      </c>
      <c r="S33" s="1352">
        <f t="shared" si="2"/>
        <v>0</v>
      </c>
      <c r="T33" s="1941">
        <f t="shared" si="3"/>
        <v>0</v>
      </c>
      <c r="U33" s="2779">
        <f t="shared" si="4"/>
        <v>0</v>
      </c>
      <c r="V33" s="2779"/>
      <c r="W33" s="1254"/>
      <c r="X33" s="1254"/>
      <c r="AE33" s="1254"/>
      <c r="AF33" s="1254"/>
      <c r="AG33" s="1924">
        <f t="shared" si="5"/>
        <v>0</v>
      </c>
      <c r="AH33" s="1924">
        <f t="shared" si="6"/>
        <v>0</v>
      </c>
      <c r="AI33" s="1254">
        <f t="shared" si="7"/>
        <v>0</v>
      </c>
      <c r="AJ33" s="1254">
        <f t="shared" si="8"/>
        <v>0</v>
      </c>
      <c r="AK33" s="1254">
        <f t="shared" si="9"/>
        <v>0</v>
      </c>
      <c r="AL33" s="1254">
        <f t="shared" si="10"/>
        <v>0</v>
      </c>
      <c r="AM33" s="1254">
        <f t="shared" si="11"/>
        <v>0</v>
      </c>
      <c r="AN33" s="1254">
        <f t="shared" si="12"/>
        <v>0</v>
      </c>
      <c r="AO33" s="1254">
        <f t="shared" si="13"/>
        <v>0</v>
      </c>
      <c r="AP33" s="1254">
        <f t="shared" si="14"/>
        <v>0</v>
      </c>
      <c r="AQ33" s="1942">
        <f t="shared" si="15"/>
        <v>0</v>
      </c>
      <c r="AR33" s="1254">
        <f t="shared" si="16"/>
        <v>0</v>
      </c>
      <c r="AS33" s="1254">
        <f t="shared" si="17"/>
        <v>0</v>
      </c>
      <c r="AT33" s="1254">
        <f t="shared" si="18"/>
        <v>0</v>
      </c>
      <c r="AU33" s="1254">
        <f t="shared" si="19"/>
        <v>0</v>
      </c>
      <c r="AV33" s="1928">
        <f t="shared" si="41"/>
        <v>0</v>
      </c>
      <c r="AW33" s="1723">
        <f>(AH33*Pricing!F$3+AI33*Pricing!G$3+AJ33*Pricing!H$3+AK33*Pricing!I$3+AL33*Pricing!J$3+AM33*Pricing!K$3+AN33*Pricing!L$3+AO33*Pricing!M$3+AP33*Pricing!N$3+AQ33*Pricing!O$3)*IF(T$38="N",(1+V$38),1)</f>
        <v>0</v>
      </c>
      <c r="AX33" s="1723">
        <f t="shared" si="20"/>
        <v>0</v>
      </c>
      <c r="AY33" s="1723">
        <f t="shared" si="21"/>
        <v>0</v>
      </c>
      <c r="AZ33" s="1929">
        <f t="shared" si="22"/>
        <v>0</v>
      </c>
      <c r="BA33" s="1723">
        <f t="shared" si="23"/>
        <v>0</v>
      </c>
      <c r="BB33" s="1723">
        <f t="shared" si="24"/>
        <v>0</v>
      </c>
      <c r="BC33" s="1725">
        <f t="shared" si="25"/>
        <v>0</v>
      </c>
      <c r="BD33" s="1723"/>
      <c r="BE33" s="1723">
        <f t="shared" si="26"/>
        <v>0</v>
      </c>
      <c r="BF33" s="1723">
        <f t="shared" si="27"/>
        <v>0</v>
      </c>
      <c r="BG33" s="1723">
        <f t="shared" si="28"/>
        <v>0</v>
      </c>
      <c r="BH33" s="1723">
        <f t="shared" si="29"/>
        <v>0</v>
      </c>
      <c r="BI33" s="1723">
        <f t="shared" si="30"/>
        <v>0</v>
      </c>
      <c r="BJ33" s="1723">
        <f t="shared" si="31"/>
        <v>0</v>
      </c>
      <c r="BK33" s="1723">
        <f t="shared" si="32"/>
        <v>0</v>
      </c>
      <c r="BL33" s="1723">
        <f t="shared" si="33"/>
        <v>0</v>
      </c>
      <c r="BM33" s="1723">
        <f t="shared" si="34"/>
        <v>0</v>
      </c>
      <c r="BN33" s="1725"/>
      <c r="BO33" s="1254"/>
      <c r="BP33" s="1254"/>
      <c r="BQ33" s="1254"/>
      <c r="BR33" s="1254"/>
      <c r="BS33" s="1254">
        <f t="shared" si="35"/>
        <v>0</v>
      </c>
      <c r="BT33" s="1254"/>
      <c r="BU33" s="1254"/>
      <c r="BV33" s="1254"/>
      <c r="BW33" s="1254"/>
      <c r="BX33" s="1254"/>
      <c r="BY33" s="1254"/>
      <c r="BZ33" s="1254"/>
      <c r="CA33" s="1254"/>
      <c r="CB33" s="1254"/>
      <c r="CC33" s="1254"/>
      <c r="CD33" s="1254"/>
      <c r="CE33" s="1254"/>
      <c r="CF33" s="1254"/>
      <c r="CG33" s="1254"/>
      <c r="CH33" s="1254"/>
      <c r="CI33" s="1254"/>
      <c r="CJ33" s="1254"/>
      <c r="CK33" s="1254"/>
      <c r="CL33" s="1254"/>
      <c r="CM33" s="1254"/>
      <c r="CN33" s="1254"/>
      <c r="CO33" s="1254"/>
      <c r="CP33" s="1254"/>
      <c r="CQ33" s="1254"/>
      <c r="CR33" s="1254"/>
      <c r="CS33" s="1254"/>
      <c r="CT33" s="1254"/>
      <c r="CU33" s="1254"/>
      <c r="CV33" s="1254"/>
      <c r="CW33" s="1254"/>
      <c r="CX33" s="1254"/>
      <c r="CY33" s="1254"/>
      <c r="CZ33" s="1254"/>
      <c r="DA33" s="1254"/>
      <c r="DB33" s="1254"/>
      <c r="DC33" s="1254"/>
      <c r="DD33" s="1254"/>
      <c r="DE33" s="1254"/>
      <c r="DF33" s="1254"/>
      <c r="DG33" s="1254"/>
      <c r="DH33" s="1254"/>
      <c r="DI33" s="1254"/>
      <c r="DJ33" s="1254">
        <f t="shared" si="36"/>
        <v>0</v>
      </c>
      <c r="DK33" s="1930">
        <f t="shared" si="37"/>
        <v>0</v>
      </c>
      <c r="DL33" s="1719">
        <f t="shared" si="38"/>
        <v>0</v>
      </c>
      <c r="DM33" s="1254">
        <f t="shared" si="39"/>
        <v>0</v>
      </c>
      <c r="DN33" s="1931">
        <f t="shared" si="40"/>
        <v>0</v>
      </c>
    </row>
    <row r="34" spans="1:118" s="626" customFormat="1" ht="24" customHeight="1">
      <c r="A34" s="1007"/>
      <c r="B34" s="1575"/>
      <c r="C34" s="1958"/>
      <c r="D34" s="1959"/>
      <c r="E34" s="1960"/>
      <c r="F34" s="1961"/>
      <c r="G34" s="1960"/>
      <c r="H34" s="1962"/>
      <c r="I34" s="1963"/>
      <c r="J34" s="1964"/>
      <c r="K34" s="1965"/>
      <c r="L34" s="1966"/>
      <c r="M34" s="1967"/>
      <c r="N34" s="1960"/>
      <c r="O34" s="1968"/>
      <c r="P34" s="1969">
        <f t="shared" si="0"/>
        <v>0</v>
      </c>
      <c r="Q34" s="1970">
        <v>0</v>
      </c>
      <c r="R34" s="1971">
        <f t="shared" si="1"/>
        <v>0</v>
      </c>
      <c r="S34" s="1352">
        <f t="shared" si="2"/>
        <v>0</v>
      </c>
      <c r="T34" s="1972">
        <f t="shared" si="3"/>
        <v>0</v>
      </c>
      <c r="U34" s="3129">
        <f t="shared" si="4"/>
        <v>0</v>
      </c>
      <c r="V34" s="3129"/>
      <c r="W34" s="1254"/>
      <c r="X34" s="1254"/>
      <c r="AE34" s="1254"/>
      <c r="AF34" s="1254"/>
      <c r="AG34" s="1973">
        <f t="shared" si="5"/>
        <v>0</v>
      </c>
      <c r="AH34" s="1973">
        <f t="shared" si="6"/>
        <v>0</v>
      </c>
      <c r="AI34" s="1529">
        <f t="shared" si="7"/>
        <v>0</v>
      </c>
      <c r="AJ34" s="1529">
        <f t="shared" si="8"/>
        <v>0</v>
      </c>
      <c r="AK34" s="1529">
        <f t="shared" si="9"/>
        <v>0</v>
      </c>
      <c r="AL34" s="1529">
        <f t="shared" si="10"/>
        <v>0</v>
      </c>
      <c r="AM34" s="1529">
        <f t="shared" si="11"/>
        <v>0</v>
      </c>
      <c r="AN34" s="1529">
        <f t="shared" si="12"/>
        <v>0</v>
      </c>
      <c r="AO34" s="1529">
        <f t="shared" si="13"/>
        <v>0</v>
      </c>
      <c r="AP34" s="1529">
        <f t="shared" si="14"/>
        <v>0</v>
      </c>
      <c r="AQ34" s="1790">
        <f t="shared" si="15"/>
        <v>0</v>
      </c>
      <c r="AR34" s="1529">
        <f t="shared" si="16"/>
        <v>0</v>
      </c>
      <c r="AS34" s="1529">
        <f t="shared" si="17"/>
        <v>0</v>
      </c>
      <c r="AT34" s="1529">
        <f t="shared" si="18"/>
        <v>0</v>
      </c>
      <c r="AU34" s="1529">
        <f t="shared" si="19"/>
        <v>0</v>
      </c>
      <c r="AV34" s="1974">
        <f t="shared" si="41"/>
        <v>0</v>
      </c>
      <c r="AW34" s="1723">
        <f>(AH34*Pricing!F$3+AI34*Pricing!G$3+AJ34*Pricing!H$3+AK34*Pricing!I$3+AL34*Pricing!J$3+AM34*Pricing!K$3+AN34*Pricing!L$3+AO34*Pricing!M$3+AP34*Pricing!N$3+AQ34*Pricing!O$3)*IF(T$38="N",(1+V$38),1)</f>
        <v>0</v>
      </c>
      <c r="AX34" s="1723">
        <f t="shared" si="20"/>
        <v>0</v>
      </c>
      <c r="AY34" s="1723">
        <f t="shared" si="21"/>
        <v>0</v>
      </c>
      <c r="AZ34" s="1929">
        <f t="shared" si="22"/>
        <v>0</v>
      </c>
      <c r="BA34" s="1723">
        <f t="shared" si="23"/>
        <v>0</v>
      </c>
      <c r="BB34" s="1723">
        <f t="shared" si="24"/>
        <v>0</v>
      </c>
      <c r="BC34" s="1725">
        <f t="shared" si="25"/>
        <v>0</v>
      </c>
      <c r="BD34" s="1723"/>
      <c r="BE34" s="1723">
        <f t="shared" si="26"/>
        <v>0</v>
      </c>
      <c r="BF34" s="1723">
        <f t="shared" si="27"/>
        <v>0</v>
      </c>
      <c r="BG34" s="1723">
        <f t="shared" si="28"/>
        <v>0</v>
      </c>
      <c r="BH34" s="1723">
        <f t="shared" si="29"/>
        <v>0</v>
      </c>
      <c r="BI34" s="1723">
        <f t="shared" si="30"/>
        <v>0</v>
      </c>
      <c r="BJ34" s="1723">
        <f t="shared" si="31"/>
        <v>0</v>
      </c>
      <c r="BK34" s="1723">
        <f t="shared" si="32"/>
        <v>0</v>
      </c>
      <c r="BL34" s="1723">
        <f t="shared" si="33"/>
        <v>0</v>
      </c>
      <c r="BM34" s="1723">
        <f t="shared" si="34"/>
        <v>0</v>
      </c>
      <c r="BN34" s="1725"/>
      <c r="BO34" s="1254"/>
      <c r="BP34" s="1254"/>
      <c r="BQ34" s="1254"/>
      <c r="BR34" s="1254"/>
      <c r="BS34" s="1254">
        <f t="shared" si="35"/>
        <v>0</v>
      </c>
      <c r="BT34" s="1254"/>
      <c r="BU34" s="1254"/>
      <c r="BV34" s="1254"/>
      <c r="BW34" s="1254"/>
      <c r="BX34" s="1254"/>
      <c r="BY34" s="1254"/>
      <c r="BZ34" s="1254"/>
      <c r="CA34" s="1254"/>
      <c r="CB34" s="1254"/>
      <c r="CC34" s="1254"/>
      <c r="CD34" s="1254"/>
      <c r="CE34" s="1254"/>
      <c r="CF34" s="1254"/>
      <c r="CG34" s="1254"/>
      <c r="CH34" s="1254"/>
      <c r="CI34" s="1254"/>
      <c r="CJ34" s="1254"/>
      <c r="CK34" s="1254"/>
      <c r="CL34" s="1254"/>
      <c r="CM34" s="1254"/>
      <c r="CN34" s="1254"/>
      <c r="CO34" s="1254"/>
      <c r="CP34" s="1254"/>
      <c r="CQ34" s="1254"/>
      <c r="CR34" s="1254"/>
      <c r="CS34" s="1254"/>
      <c r="CT34" s="1254"/>
      <c r="CU34" s="1254"/>
      <c r="CV34" s="1254"/>
      <c r="CW34" s="1254"/>
      <c r="CX34" s="1254"/>
      <c r="CY34" s="1254"/>
      <c r="CZ34" s="1254"/>
      <c r="DA34" s="1254"/>
      <c r="DB34" s="1254"/>
      <c r="DC34" s="1254"/>
      <c r="DD34" s="1254"/>
      <c r="DE34" s="1254"/>
      <c r="DF34" s="1254"/>
      <c r="DG34" s="1254"/>
      <c r="DH34" s="1254"/>
      <c r="DI34" s="1254"/>
      <c r="DJ34" s="1254">
        <f t="shared" si="36"/>
        <v>0</v>
      </c>
      <c r="DK34" s="1930">
        <f t="shared" si="37"/>
        <v>0</v>
      </c>
      <c r="DL34" s="1719">
        <f t="shared" si="38"/>
        <v>0</v>
      </c>
      <c r="DM34" s="1254">
        <f t="shared" si="39"/>
        <v>0</v>
      </c>
      <c r="DN34" s="1931">
        <f t="shared" si="40"/>
        <v>0</v>
      </c>
    </row>
    <row r="35" spans="1:118" s="626" customFormat="1" ht="24" customHeight="1">
      <c r="A35" s="574">
        <f>956</f>
        <v>956</v>
      </c>
      <c r="B35" s="1975">
        <f>A35/C35</f>
        <v>3.5056453357682166E-3</v>
      </c>
      <c r="C35" s="3130">
        <f>SUM(C10:D34)</f>
        <v>272703</v>
      </c>
      <c r="D35" s="3130"/>
      <c r="E35" s="18" t="s">
        <v>1533</v>
      </c>
      <c r="F35" s="18"/>
      <c r="G35" s="18"/>
      <c r="H35" s="18"/>
      <c r="I35" s="1976">
        <f>SUM(I10:I34)</f>
        <v>9537</v>
      </c>
      <c r="J35" s="18"/>
      <c r="K35" s="1977"/>
      <c r="L35" s="380"/>
      <c r="M35" s="3131">
        <f>SUM(R10:R34)</f>
        <v>150272.78562541268</v>
      </c>
      <c r="N35" s="3131"/>
      <c r="O35" s="1978" t="s">
        <v>1778</v>
      </c>
      <c r="P35" s="568"/>
      <c r="Q35" s="569"/>
      <c r="R35" s="878">
        <f>SUM(S10:S34)</f>
        <v>4832.412407407407</v>
      </c>
      <c r="S35" s="1979" t="s">
        <v>1219</v>
      </c>
      <c r="T35" s="1980"/>
      <c r="U35" s="500"/>
      <c r="V35" s="1981">
        <f>SUM(U10:V34)</f>
        <v>1654003.3036612102</v>
      </c>
      <c r="W35" s="1254"/>
      <c r="X35" s="1254"/>
      <c r="AE35" s="1254"/>
      <c r="AF35" s="1254"/>
      <c r="AG35" s="1924">
        <f t="shared" ref="AG35:AS35" si="42">SUM(AG10:AG34)</f>
        <v>0</v>
      </c>
      <c r="AH35" s="1254">
        <f t="shared" si="42"/>
        <v>0</v>
      </c>
      <c r="AI35" s="1254">
        <f t="shared" si="42"/>
        <v>0</v>
      </c>
      <c r="AJ35" s="1254">
        <f t="shared" si="42"/>
        <v>4832.412407407407</v>
      </c>
      <c r="AK35" s="1254">
        <f t="shared" si="42"/>
        <v>0</v>
      </c>
      <c r="AL35" s="1254">
        <f t="shared" si="42"/>
        <v>0</v>
      </c>
      <c r="AM35" s="1254">
        <f t="shared" si="42"/>
        <v>0</v>
      </c>
      <c r="AN35" s="1254">
        <f t="shared" si="42"/>
        <v>0</v>
      </c>
      <c r="AO35" s="1254">
        <f t="shared" si="42"/>
        <v>0</v>
      </c>
      <c r="AP35" s="1254">
        <f t="shared" si="42"/>
        <v>0</v>
      </c>
      <c r="AQ35" s="1254">
        <f t="shared" si="42"/>
        <v>0</v>
      </c>
      <c r="AR35" s="1254">
        <f t="shared" si="42"/>
        <v>4832.412407407407</v>
      </c>
      <c r="AS35" s="1254">
        <f t="shared" si="42"/>
        <v>0</v>
      </c>
      <c r="AT35" s="1254">
        <f>ROUNDUP(SUM(AT10:AT34),0)</f>
        <v>4546</v>
      </c>
      <c r="AU35" s="1254">
        <f>ROUNDUP(SUM(AU10:AU34),0)</f>
        <v>0</v>
      </c>
      <c r="AV35" s="1982">
        <f t="shared" ref="AV35:BM35" si="43">SUM(AV10:AV34)</f>
        <v>1401697.7149671272</v>
      </c>
      <c r="AW35" s="1983">
        <f t="shared" si="43"/>
        <v>784662.96465277765</v>
      </c>
      <c r="AX35" s="1984">
        <f t="shared" si="43"/>
        <v>97602.174263705558</v>
      </c>
      <c r="AY35" s="1984">
        <f t="shared" si="43"/>
        <v>0</v>
      </c>
      <c r="AZ35" s="1984">
        <f t="shared" si="43"/>
        <v>272703</v>
      </c>
      <c r="BA35" s="1984">
        <f t="shared" si="43"/>
        <v>0</v>
      </c>
      <c r="BB35" s="1984">
        <f t="shared" si="43"/>
        <v>0</v>
      </c>
      <c r="BC35" s="1984">
        <f t="shared" si="43"/>
        <v>0</v>
      </c>
      <c r="BD35" s="1984">
        <f t="shared" si="43"/>
        <v>0</v>
      </c>
      <c r="BE35" s="1984">
        <f t="shared" si="43"/>
        <v>0</v>
      </c>
      <c r="BF35" s="1984">
        <f t="shared" si="43"/>
        <v>40087.341</v>
      </c>
      <c r="BG35" s="1984">
        <f t="shared" si="43"/>
        <v>91016.282990458945</v>
      </c>
      <c r="BH35" s="1984">
        <f t="shared" si="43"/>
        <v>25066.799999999999</v>
      </c>
      <c r="BI35" s="1984">
        <f t="shared" si="43"/>
        <v>42270.100000000006</v>
      </c>
      <c r="BJ35" s="1984">
        <f t="shared" si="43"/>
        <v>48289.052060185197</v>
      </c>
      <c r="BK35" s="1984">
        <f t="shared" si="43"/>
        <v>0</v>
      </c>
      <c r="BL35" s="1984">
        <f t="shared" si="43"/>
        <v>0</v>
      </c>
      <c r="BM35" s="1984">
        <f t="shared" si="43"/>
        <v>0</v>
      </c>
      <c r="BN35" s="1985"/>
      <c r="BO35" s="1254"/>
      <c r="BP35" s="1254"/>
      <c r="BQ35" s="1254"/>
      <c r="BR35" s="1254"/>
      <c r="BS35" s="1254"/>
      <c r="BT35" s="1254"/>
      <c r="BU35" s="1254"/>
      <c r="BV35" s="1254"/>
      <c r="BW35" s="1254"/>
      <c r="BX35" s="1254"/>
      <c r="BY35" s="1254"/>
      <c r="BZ35" s="1254"/>
      <c r="CA35" s="1254"/>
      <c r="CB35" s="1254"/>
      <c r="CC35" s="1254"/>
      <c r="CD35" s="1254"/>
      <c r="CE35" s="1254"/>
      <c r="CF35" s="1254"/>
      <c r="CG35" s="1254"/>
      <c r="CH35" s="1254"/>
      <c r="CI35" s="1254"/>
      <c r="CJ35" s="1254"/>
      <c r="CK35" s="1254"/>
      <c r="CL35" s="1254"/>
      <c r="CM35" s="1254"/>
      <c r="CN35" s="1254"/>
      <c r="CO35" s="1254"/>
      <c r="CP35" s="1254"/>
      <c r="CQ35" s="1254"/>
      <c r="CR35" s="1254"/>
      <c r="CS35" s="1254"/>
      <c r="CT35" s="1254"/>
      <c r="CU35" s="1254"/>
      <c r="CV35" s="1254"/>
      <c r="CW35" s="1254"/>
      <c r="CX35" s="1254"/>
      <c r="CY35" s="1254"/>
      <c r="CZ35" s="1254"/>
      <c r="DA35" s="1254"/>
      <c r="DB35" s="1254"/>
      <c r="DC35" s="1254"/>
      <c r="DD35" s="1254"/>
      <c r="DE35" s="1254"/>
      <c r="DF35" s="1254"/>
      <c r="DG35" s="1254"/>
      <c r="DH35" s="1254"/>
      <c r="DI35" s="1254"/>
      <c r="DJ35" s="1986">
        <f>V35-D39</f>
        <v>0</v>
      </c>
      <c r="DK35" s="1987"/>
      <c r="DL35" s="1987"/>
      <c r="DM35" s="1987"/>
      <c r="DN35" s="1988"/>
    </row>
    <row r="36" spans="1:118" s="626" customFormat="1" ht="24" customHeight="1">
      <c r="A36" s="574"/>
      <c r="B36" s="18"/>
      <c r="C36" s="18"/>
      <c r="D36" s="18"/>
      <c r="E36" s="3132">
        <f>SUM(C16:D26)</f>
        <v>0</v>
      </c>
      <c r="F36" s="3132"/>
      <c r="G36" s="3132"/>
      <c r="H36" s="3132"/>
      <c r="I36" s="18"/>
      <c r="J36" s="18"/>
      <c r="K36" s="18"/>
      <c r="L36" s="380"/>
      <c r="M36" s="380"/>
      <c r="N36" s="380"/>
      <c r="O36" s="380"/>
      <c r="P36" s="18"/>
      <c r="Q36" s="18"/>
      <c r="R36" s="18"/>
      <c r="S36" s="18"/>
      <c r="T36" s="3133"/>
      <c r="U36" s="3133"/>
      <c r="V36" s="1981">
        <f>V35-D39</f>
        <v>0</v>
      </c>
      <c r="W36" s="1254"/>
      <c r="X36" s="1254"/>
      <c r="AE36" s="1254"/>
      <c r="AF36" s="1254"/>
      <c r="AG36" s="1924"/>
      <c r="AH36" s="1254"/>
      <c r="AI36" s="1254"/>
      <c r="AJ36" s="1254"/>
      <c r="AK36" s="1254"/>
      <c r="AL36" s="1254"/>
      <c r="AM36" s="1254"/>
      <c r="AN36" s="1254"/>
      <c r="AO36" s="1254"/>
      <c r="AP36" s="1254"/>
      <c r="AQ36" s="1254"/>
      <c r="AR36" s="1254"/>
      <c r="AS36" s="1254"/>
      <c r="AT36" s="1254"/>
      <c r="AU36" s="1254"/>
      <c r="AV36" s="1982">
        <f>T39</f>
        <v>1401697.7149671274</v>
      </c>
      <c r="AW36" s="1989">
        <f>SUM(N47:O53)</f>
        <v>784662.96465277765</v>
      </c>
      <c r="AX36" s="1990">
        <f>SUM(N54:O56)</f>
        <v>97602.174263705529</v>
      </c>
      <c r="AY36" s="1990">
        <f>N66</f>
        <v>0</v>
      </c>
      <c r="AZ36" s="1990">
        <f>SUM(N61:O63)</f>
        <v>272703</v>
      </c>
      <c r="BA36" s="1990">
        <f>N64</f>
        <v>0</v>
      </c>
      <c r="BB36" s="1990">
        <f>N65</f>
        <v>0</v>
      </c>
      <c r="BC36" s="1990">
        <f>N67</f>
        <v>0</v>
      </c>
      <c r="BD36" s="1128"/>
      <c r="BE36" s="1990">
        <f>N87</f>
        <v>0</v>
      </c>
      <c r="BF36" s="1990">
        <f>L71+N73</f>
        <v>40087.341</v>
      </c>
      <c r="BG36" s="1990">
        <f>V92</f>
        <v>91016.282990458945</v>
      </c>
      <c r="BH36" s="1990">
        <f>L77</f>
        <v>25066.799999999999</v>
      </c>
      <c r="BI36" s="1990">
        <f>SUM(N82:O90)-N87-N88</f>
        <v>42270.1</v>
      </c>
      <c r="BJ36" s="1990">
        <f>N57+N58</f>
        <v>48289.052060185189</v>
      </c>
      <c r="BK36" s="1990">
        <f>N88</f>
        <v>0</v>
      </c>
      <c r="BL36" s="1990">
        <f>N91</f>
        <v>0</v>
      </c>
      <c r="BM36" s="1128"/>
      <c r="BN36" s="1991"/>
      <c r="BO36" s="1254"/>
      <c r="BP36" s="1254"/>
      <c r="BQ36" s="1254"/>
      <c r="BR36" s="1254"/>
      <c r="BS36" s="1254">
        <f>SUM(BS10:BS35)</f>
        <v>0</v>
      </c>
      <c r="BT36" s="1254"/>
      <c r="BU36" s="1254"/>
      <c r="BV36" s="1254"/>
      <c r="BW36" s="1254"/>
      <c r="BX36" s="1254"/>
      <c r="BY36" s="1254"/>
      <c r="BZ36" s="1254"/>
      <c r="CA36" s="1254"/>
      <c r="CB36" s="1254"/>
      <c r="CC36" s="1254"/>
      <c r="CD36" s="1254"/>
      <c r="CE36" s="1254"/>
      <c r="CF36" s="1254"/>
      <c r="CG36" s="1254"/>
      <c r="CH36" s="1254"/>
      <c r="CI36" s="1254"/>
      <c r="CJ36" s="1254"/>
      <c r="CK36" s="1254"/>
      <c r="CL36" s="1254"/>
      <c r="CM36" s="1254"/>
      <c r="CN36" s="1254"/>
      <c r="CO36" s="1254"/>
      <c r="CP36" s="1254"/>
      <c r="CQ36" s="1254"/>
      <c r="CR36" s="1254"/>
      <c r="CS36" s="1254"/>
      <c r="CT36" s="1254"/>
      <c r="CU36" s="1254"/>
      <c r="CV36" s="1254"/>
      <c r="CW36" s="1254"/>
      <c r="CX36" s="1254"/>
      <c r="CY36" s="1254"/>
      <c r="CZ36" s="1254"/>
      <c r="DA36" s="1254"/>
      <c r="DB36" s="1254"/>
      <c r="DC36" s="1254"/>
      <c r="DD36" s="1254"/>
      <c r="DE36" s="1254"/>
      <c r="DF36" s="1254"/>
      <c r="DG36" s="1254"/>
      <c r="DH36" s="1254"/>
      <c r="DI36" s="1254"/>
      <c r="DJ36" s="1254"/>
      <c r="DK36" s="1254"/>
      <c r="DL36" s="1254"/>
      <c r="DM36" s="1254"/>
      <c r="DN36" s="1254"/>
    </row>
    <row r="37" spans="1:118" s="626" customFormat="1" ht="24" customHeight="1">
      <c r="A37" s="888"/>
      <c r="B37" s="889"/>
      <c r="C37" s="890" t="s">
        <v>1261</v>
      </c>
      <c r="D37" s="3036"/>
      <c r="E37" s="3036"/>
      <c r="F37" s="1992"/>
      <c r="G37" s="889"/>
      <c r="H37" s="889"/>
      <c r="I37" s="889"/>
      <c r="J37" s="889"/>
      <c r="K37" s="891"/>
      <c r="L37" s="889"/>
      <c r="M37" s="889"/>
      <c r="N37" s="889"/>
      <c r="O37" s="889"/>
      <c r="P37" s="889"/>
      <c r="Q37" s="889"/>
      <c r="R37" s="889"/>
      <c r="S37" s="889"/>
      <c r="T37" s="889"/>
      <c r="U37" s="889"/>
      <c r="V37" s="1053"/>
      <c r="W37" s="1254"/>
      <c r="X37" s="1254"/>
      <c r="AE37" s="1254"/>
      <c r="AF37" s="1254"/>
      <c r="AG37" s="1973"/>
      <c r="AH37" s="1529"/>
      <c r="AI37" s="1529"/>
      <c r="AJ37" s="1529"/>
      <c r="AK37" s="1529"/>
      <c r="AL37" s="1529"/>
      <c r="AM37" s="1529"/>
      <c r="AN37" s="1529"/>
      <c r="AO37" s="1529"/>
      <c r="AP37" s="1529"/>
      <c r="AQ37" s="1529"/>
      <c r="AR37" s="1529"/>
      <c r="AS37" s="1529"/>
      <c r="AT37" s="1529"/>
      <c r="AU37" s="1529"/>
      <c r="AV37" s="1974">
        <f t="shared" ref="AV37:BN37" si="44">AV35-AV36</f>
        <v>0</v>
      </c>
      <c r="AW37" s="1739">
        <f t="shared" si="44"/>
        <v>0</v>
      </c>
      <c r="AX37" s="1739">
        <f t="shared" si="44"/>
        <v>0</v>
      </c>
      <c r="AY37" s="1739">
        <f t="shared" si="44"/>
        <v>0</v>
      </c>
      <c r="AZ37" s="1739">
        <f t="shared" si="44"/>
        <v>0</v>
      </c>
      <c r="BA37" s="1739">
        <f t="shared" si="44"/>
        <v>0</v>
      </c>
      <c r="BB37" s="1739">
        <f t="shared" si="44"/>
        <v>0</v>
      </c>
      <c r="BC37" s="1739">
        <f t="shared" si="44"/>
        <v>0</v>
      </c>
      <c r="BD37" s="1739">
        <f t="shared" si="44"/>
        <v>0</v>
      </c>
      <c r="BE37" s="1739">
        <f t="shared" si="44"/>
        <v>0</v>
      </c>
      <c r="BF37" s="1739">
        <f t="shared" si="44"/>
        <v>0</v>
      </c>
      <c r="BG37" s="1739">
        <f t="shared" si="44"/>
        <v>0</v>
      </c>
      <c r="BH37" s="1739">
        <f t="shared" si="44"/>
        <v>0</v>
      </c>
      <c r="BI37" s="1739">
        <f t="shared" si="44"/>
        <v>0</v>
      </c>
      <c r="BJ37" s="1739">
        <f t="shared" si="44"/>
        <v>0</v>
      </c>
      <c r="BK37" s="1739">
        <f t="shared" si="44"/>
        <v>0</v>
      </c>
      <c r="BL37" s="1739">
        <f t="shared" si="44"/>
        <v>0</v>
      </c>
      <c r="BM37" s="1739">
        <f t="shared" si="44"/>
        <v>0</v>
      </c>
      <c r="BN37" s="1739">
        <f t="shared" si="44"/>
        <v>0</v>
      </c>
      <c r="BO37" s="1254"/>
      <c r="BP37" s="1254"/>
      <c r="BQ37" s="1254"/>
      <c r="BR37" s="1254"/>
      <c r="BS37" s="1254"/>
      <c r="BT37" s="1254"/>
      <c r="BU37" s="1254"/>
      <c r="BV37" s="1254"/>
      <c r="BW37" s="1254"/>
      <c r="BX37" s="1254"/>
      <c r="BY37" s="1254"/>
      <c r="BZ37" s="1254"/>
      <c r="CA37" s="1254"/>
      <c r="CB37" s="1254"/>
      <c r="CC37" s="1254"/>
      <c r="CD37" s="1254"/>
      <c r="CE37" s="1254"/>
      <c r="CF37" s="1254"/>
      <c r="CG37" s="1254"/>
      <c r="CH37" s="1254"/>
      <c r="CI37" s="1254"/>
      <c r="CJ37" s="1254"/>
      <c r="CK37" s="1254"/>
      <c r="CL37" s="1254"/>
      <c r="CM37" s="1254"/>
      <c r="CN37" s="1254"/>
      <c r="CO37" s="1254"/>
      <c r="CP37" s="1254"/>
      <c r="CQ37" s="1254"/>
      <c r="CR37" s="1254"/>
      <c r="CS37" s="1254"/>
      <c r="CT37" s="1254"/>
      <c r="CU37" s="1254"/>
      <c r="CV37" s="1254"/>
      <c r="CW37" s="1254"/>
      <c r="CX37" s="1254"/>
      <c r="CY37" s="1254"/>
      <c r="CZ37" s="1254"/>
      <c r="DA37" s="1254"/>
      <c r="DB37" s="1254"/>
      <c r="DC37" s="1254"/>
      <c r="DD37" s="1254"/>
      <c r="DE37" s="1254"/>
      <c r="DF37" s="1254"/>
      <c r="DG37" s="1254"/>
      <c r="DH37" s="1254"/>
      <c r="DI37" s="1254"/>
      <c r="DJ37" s="1254"/>
      <c r="DK37" s="1254"/>
      <c r="DL37" s="1254"/>
      <c r="DM37" s="1254"/>
      <c r="DN37" s="1254"/>
    </row>
    <row r="38" spans="1:118" s="626" customFormat="1" ht="24" customHeight="1">
      <c r="A38" s="2786" t="s">
        <v>1262</v>
      </c>
      <c r="B38" s="2786"/>
      <c r="C38" s="2786"/>
      <c r="D38" s="2786"/>
      <c r="E38" s="2786"/>
      <c r="F38" s="2786" t="s">
        <v>1263</v>
      </c>
      <c r="G38" s="2786"/>
      <c r="H38" s="2786"/>
      <c r="I38" s="2788" t="s">
        <v>1264</v>
      </c>
      <c r="J38" s="2788"/>
      <c r="K38" s="2788"/>
      <c r="L38" s="2789" t="s">
        <v>1265</v>
      </c>
      <c r="M38" s="2789"/>
      <c r="N38" s="1058"/>
      <c r="O38" s="1059"/>
      <c r="P38" s="895"/>
      <c r="Q38" s="574" t="s">
        <v>1266</v>
      </c>
      <c r="R38" s="18"/>
      <c r="S38" s="18" t="s">
        <v>1267</v>
      </c>
      <c r="T38" s="1993" t="str">
        <f>Summary!P62</f>
        <v>N</v>
      </c>
      <c r="U38" s="793" t="s">
        <v>1268</v>
      </c>
      <c r="V38" s="1994">
        <f>Summary!R62</f>
        <v>8.2500000000000004E-2</v>
      </c>
      <c r="W38" s="1254"/>
      <c r="X38" s="1254"/>
      <c r="AE38" s="1254"/>
      <c r="AF38" s="1254"/>
      <c r="AG38" s="1254"/>
      <c r="AH38" s="1254"/>
      <c r="AI38" s="1254"/>
      <c r="AJ38" s="1254"/>
      <c r="AK38" s="1254"/>
      <c r="AL38" s="1254"/>
      <c r="AM38" s="1254"/>
      <c r="AN38" s="1254"/>
      <c r="AO38" s="1254"/>
      <c r="AP38" s="1254"/>
      <c r="AQ38" s="1254"/>
      <c r="AR38" s="1254"/>
      <c r="AS38" s="1254"/>
      <c r="AT38" s="1254"/>
      <c r="AU38" s="1254"/>
      <c r="AV38" s="1254"/>
      <c r="AW38" s="1254"/>
      <c r="AX38" s="1254"/>
      <c r="AY38" s="1254"/>
      <c r="AZ38" s="1254"/>
      <c r="BA38" s="1254"/>
      <c r="BB38" s="1254"/>
      <c r="BC38" s="1254"/>
      <c r="BD38" s="1254"/>
      <c r="BE38" s="1254"/>
      <c r="BF38" s="1254"/>
      <c r="BG38" s="1254"/>
      <c r="BH38" s="1254"/>
      <c r="BI38" s="1254"/>
      <c r="BJ38" s="1254"/>
      <c r="BK38" s="1254"/>
      <c r="BL38" s="1254"/>
      <c r="BM38" s="1254"/>
      <c r="BN38" s="1254"/>
      <c r="BO38" s="1254"/>
      <c r="BP38" s="1254"/>
      <c r="BQ38" s="1254"/>
      <c r="BR38" s="1254"/>
      <c r="BS38" s="1254"/>
      <c r="BT38" s="1254"/>
      <c r="BU38" s="1254"/>
      <c r="BV38" s="1254"/>
      <c r="BW38" s="1254"/>
      <c r="BX38" s="1254"/>
      <c r="BY38" s="1254"/>
      <c r="BZ38" s="1254"/>
      <c r="CA38" s="1254"/>
      <c r="CB38" s="1254"/>
      <c r="CC38" s="1254"/>
      <c r="CD38" s="1254"/>
      <c r="CE38" s="1254"/>
      <c r="CF38" s="1254"/>
      <c r="CG38" s="1254"/>
      <c r="CH38" s="1254"/>
      <c r="CI38" s="1254"/>
      <c r="CJ38" s="1254"/>
      <c r="CK38" s="1254"/>
      <c r="CL38" s="1254"/>
      <c r="CM38" s="1254"/>
      <c r="CN38" s="1254"/>
      <c r="CO38" s="1254"/>
      <c r="CP38" s="1254"/>
      <c r="CQ38" s="1254"/>
      <c r="CR38" s="1254"/>
      <c r="CS38" s="1254"/>
      <c r="CT38" s="1254"/>
      <c r="CU38" s="1254"/>
      <c r="CV38" s="1254"/>
      <c r="CW38" s="1254"/>
      <c r="CX38" s="1254"/>
      <c r="CY38" s="1254"/>
      <c r="CZ38" s="1254"/>
      <c r="DA38" s="1254"/>
      <c r="DB38" s="1254"/>
      <c r="DC38" s="1254"/>
      <c r="DD38" s="1254"/>
      <c r="DE38" s="1254"/>
      <c r="DF38" s="1254"/>
      <c r="DG38" s="1254"/>
      <c r="DH38" s="1254"/>
      <c r="DI38" s="1254"/>
      <c r="DJ38" s="1254"/>
      <c r="DK38" s="1254"/>
      <c r="DL38" s="1254"/>
      <c r="DM38" s="1254"/>
      <c r="DN38" s="1254"/>
    </row>
    <row r="39" spans="1:118" s="626" customFormat="1" ht="24" customHeight="1">
      <c r="A39" s="899" t="s">
        <v>1269</v>
      </c>
      <c r="B39" s="2865">
        <f>IF(C35=0,0,D39/C35)</f>
        <v>6.0652185845451285</v>
      </c>
      <c r="C39" s="2865"/>
      <c r="D39" s="2866">
        <f>(T39-N91)*(1+L39)</f>
        <v>1654003.3036612102</v>
      </c>
      <c r="E39" s="2866"/>
      <c r="F39" s="901">
        <f>IF(G39=0,0,G39/D39)</f>
        <v>0.15254237288135586</v>
      </c>
      <c r="G39" s="2867">
        <f>(D39-T39)</f>
        <v>252305.58869408281</v>
      </c>
      <c r="H39" s="2867"/>
      <c r="I39" s="2868">
        <f>IF(C35=0,0,T39/C35)</f>
        <v>5.1400157496145162</v>
      </c>
      <c r="J39" s="2868"/>
      <c r="K39" s="2868"/>
      <c r="L39" s="3134">
        <f>Summary!P59</f>
        <v>0.18</v>
      </c>
      <c r="M39" s="3134"/>
      <c r="N39" s="3134"/>
      <c r="O39" s="3134"/>
      <c r="P39" s="895"/>
      <c r="Q39" s="902" t="s">
        <v>980</v>
      </c>
      <c r="R39" s="18"/>
      <c r="S39" s="18"/>
      <c r="T39" s="2942">
        <f>SUM(N47:O59)+SUM(N61:O67)+SUM(N70:O72)+SUM(N75:O80)+SUM(N82:O90)+V92+SUM(K61:L67)+N91+N73</f>
        <v>1401697.7149671274</v>
      </c>
      <c r="U39" s="2942"/>
      <c r="V39" s="798"/>
      <c r="W39" s="1254"/>
      <c r="X39" s="1254"/>
      <c r="AE39" s="1254"/>
      <c r="AF39" s="1254"/>
      <c r="AG39" s="1254"/>
      <c r="AH39" s="1254"/>
      <c r="AI39" s="1254"/>
      <c r="AJ39" s="1254"/>
      <c r="AK39" s="1254"/>
      <c r="AL39" s="1254"/>
      <c r="AM39" s="1254"/>
      <c r="AN39" s="1254"/>
      <c r="AO39" s="1254"/>
      <c r="AP39" s="1254"/>
      <c r="AQ39" s="1254"/>
      <c r="AR39" s="1254"/>
      <c r="AS39" s="1254"/>
      <c r="AT39" s="1254"/>
      <c r="AU39" s="1254"/>
      <c r="AV39" s="1254"/>
      <c r="AW39" s="1254"/>
      <c r="AX39" s="1254"/>
      <c r="AY39" s="1254"/>
      <c r="AZ39" s="1254"/>
      <c r="BA39" s="1254"/>
      <c r="BB39" s="1254"/>
      <c r="BC39" s="1254"/>
      <c r="BD39" s="1254"/>
      <c r="BE39" s="1254"/>
      <c r="BF39" s="1254"/>
      <c r="BG39" s="1254"/>
      <c r="BH39" s="1254"/>
      <c r="BI39" s="1254"/>
      <c r="BJ39" s="1254"/>
      <c r="BK39" s="1254"/>
      <c r="BL39" s="1254"/>
      <c r="BM39" s="1254"/>
      <c r="BN39" s="1254"/>
      <c r="BO39" s="1254"/>
      <c r="BP39" s="1254"/>
      <c r="BQ39" s="1254"/>
      <c r="BR39" s="1254"/>
      <c r="BS39" s="1254"/>
      <c r="BT39" s="1254"/>
      <c r="BU39" s="1254"/>
      <c r="BV39" s="1254"/>
      <c r="BW39" s="1254"/>
      <c r="BX39" s="1254"/>
      <c r="BY39" s="1254"/>
      <c r="BZ39" s="1254"/>
      <c r="CA39" s="1254"/>
      <c r="CB39" s="1254"/>
      <c r="CC39" s="1254"/>
      <c r="CD39" s="1254"/>
      <c r="CE39" s="1254"/>
      <c r="CF39" s="1254"/>
      <c r="CG39" s="1254"/>
      <c r="CH39" s="1254"/>
      <c r="CI39" s="1254"/>
      <c r="CJ39" s="1254"/>
      <c r="CK39" s="1254"/>
      <c r="CL39" s="1254"/>
      <c r="CM39" s="1254"/>
      <c r="CN39" s="1254"/>
      <c r="CO39" s="1254"/>
      <c r="CP39" s="1254"/>
      <c r="CQ39" s="1254"/>
      <c r="CR39" s="1254"/>
      <c r="CS39" s="1254"/>
      <c r="CT39" s="1254"/>
      <c r="CU39" s="1254"/>
      <c r="CV39" s="1254"/>
      <c r="CW39" s="1254"/>
      <c r="CX39" s="1254"/>
      <c r="CY39" s="1254"/>
      <c r="CZ39" s="1254"/>
      <c r="DA39" s="1254"/>
      <c r="DB39" s="1254"/>
      <c r="DC39" s="1254"/>
      <c r="DD39" s="1254"/>
      <c r="DE39" s="1254"/>
      <c r="DF39" s="1254"/>
      <c r="DG39" s="1254"/>
      <c r="DH39" s="1254"/>
      <c r="DI39" s="1254"/>
      <c r="DJ39" s="1254"/>
      <c r="DK39" s="1254"/>
      <c r="DL39" s="1254"/>
      <c r="DM39" s="1254"/>
      <c r="DN39" s="1254"/>
    </row>
    <row r="40" spans="1:118" s="626" customFormat="1" ht="24" customHeight="1">
      <c r="A40" s="904"/>
      <c r="B40" s="905"/>
      <c r="C40" s="906" t="str">
        <f>IF(ROUND(D40,0)=0,"BINGO!!",IF(ROUND(D40,0)&lt;0,"To Low","T0 High"))</f>
        <v>T0 High</v>
      </c>
      <c r="D40" s="3135">
        <f>D39-D37</f>
        <v>1654003.3036612102</v>
      </c>
      <c r="E40" s="3135"/>
      <c r="F40" s="905"/>
      <c r="G40" s="905"/>
      <c r="H40" s="907" t="s">
        <v>1270</v>
      </c>
      <c r="I40" s="908"/>
      <c r="J40" s="3041"/>
      <c r="K40" s="3041"/>
      <c r="L40" s="909"/>
      <c r="M40" s="3109">
        <f>IF(J40&gt;0,(J40-D39)/(1+L39),0)</f>
        <v>0</v>
      </c>
      <c r="N40" s="3109"/>
      <c r="O40" s="905"/>
      <c r="P40" s="911"/>
      <c r="Q40" s="912"/>
      <c r="R40" s="905"/>
      <c r="S40" s="905"/>
      <c r="T40" s="2946">
        <f>AV35</f>
        <v>1401697.7149671272</v>
      </c>
      <c r="U40" s="2946"/>
      <c r="V40" s="913"/>
      <c r="W40" s="1254"/>
      <c r="X40" s="1254"/>
      <c r="AE40" s="1254"/>
      <c r="AF40" s="1254"/>
      <c r="AG40" s="1254"/>
      <c r="AH40" s="1254"/>
      <c r="AI40" s="1254"/>
      <c r="AJ40" s="1254"/>
      <c r="AK40" s="1254"/>
      <c r="AL40" s="1254"/>
      <c r="AM40" s="1254"/>
      <c r="AN40" s="1254"/>
      <c r="AO40" s="1254"/>
      <c r="AP40" s="1254"/>
      <c r="AQ40" s="1254"/>
      <c r="AR40" s="1254"/>
      <c r="AS40" s="1254"/>
      <c r="AT40" s="1254"/>
      <c r="AU40" s="1254"/>
      <c r="AV40" s="1254"/>
      <c r="BO40" s="1254"/>
      <c r="BP40" s="1254"/>
      <c r="BQ40" s="1254"/>
      <c r="BR40" s="1254"/>
      <c r="BS40" s="1254"/>
      <c r="BT40" s="1254"/>
      <c r="BU40" s="1254"/>
      <c r="BV40" s="1254"/>
      <c r="BW40" s="1254"/>
      <c r="BX40" s="1254"/>
      <c r="BY40" s="1254"/>
      <c r="BZ40" s="1254"/>
      <c r="CA40" s="1254"/>
      <c r="CB40" s="1254"/>
      <c r="CC40" s="1254"/>
      <c r="CD40" s="1254"/>
      <c r="CE40" s="1254"/>
      <c r="CF40" s="1254"/>
      <c r="CG40" s="1254"/>
      <c r="CH40" s="1254"/>
      <c r="CI40" s="1254"/>
      <c r="CJ40" s="1254"/>
      <c r="CK40" s="1254"/>
      <c r="CL40" s="1254"/>
      <c r="CM40" s="1254"/>
      <c r="CN40" s="1254"/>
      <c r="CO40" s="1254"/>
      <c r="CP40" s="1254"/>
      <c r="CQ40" s="1254"/>
      <c r="CR40" s="1254"/>
      <c r="CS40" s="1254"/>
      <c r="CT40" s="1254"/>
      <c r="CU40" s="1254"/>
      <c r="CV40" s="1254"/>
      <c r="CW40" s="1254"/>
      <c r="CX40" s="1254"/>
      <c r="CY40" s="1254"/>
      <c r="CZ40" s="1254"/>
      <c r="DA40" s="1254"/>
      <c r="DB40" s="1254"/>
      <c r="DC40" s="1254"/>
      <c r="DD40" s="1254"/>
      <c r="DE40" s="1254"/>
      <c r="DF40" s="1254"/>
      <c r="DG40" s="1254"/>
      <c r="DH40" s="1254"/>
      <c r="DI40" s="1254"/>
      <c r="DJ40" s="1254"/>
      <c r="DK40" s="1254"/>
      <c r="DL40" s="1254"/>
      <c r="DM40" s="1254"/>
      <c r="DN40" s="1254"/>
    </row>
    <row r="41" spans="1:118" s="626" customFormat="1" ht="20.25" customHeight="1">
      <c r="A41" s="18" t="s">
        <v>1697</v>
      </c>
      <c r="B41" s="1995" t="s">
        <v>1779</v>
      </c>
      <c r="C41" s="919"/>
      <c r="D41" s="919"/>
      <c r="E41" s="1996"/>
      <c r="F41" s="919"/>
      <c r="G41" s="919"/>
      <c r="H41" s="919"/>
      <c r="I41" s="919"/>
      <c r="J41" s="919"/>
      <c r="K41" s="919"/>
      <c r="L41" s="919"/>
      <c r="M41" s="1997"/>
      <c r="N41" s="2803" t="s">
        <v>721</v>
      </c>
      <c r="O41" s="2803"/>
      <c r="U41" s="628">
        <f>T39-T40</f>
        <v>0</v>
      </c>
    </row>
    <row r="42" spans="1:118" s="626" customFormat="1" ht="18.75" customHeight="1">
      <c r="B42" s="1995"/>
      <c r="C42" s="1998"/>
      <c r="D42" s="919"/>
      <c r="E42" s="1999"/>
      <c r="F42" s="1995"/>
      <c r="G42" s="1998"/>
      <c r="H42" s="919"/>
      <c r="I42" s="3136"/>
      <c r="J42" s="3136"/>
      <c r="K42" s="919"/>
      <c r="L42" s="919"/>
      <c r="M42" s="919"/>
      <c r="N42" s="924" t="s">
        <v>1274</v>
      </c>
      <c r="O42" s="2000"/>
    </row>
    <row r="43" spans="1:118" s="626" customFormat="1" ht="18.75" customHeight="1">
      <c r="B43" s="1995"/>
      <c r="C43" s="1998"/>
      <c r="D43" s="919"/>
      <c r="E43" s="2001"/>
      <c r="F43" s="1995"/>
      <c r="G43" s="1998"/>
      <c r="H43" s="919"/>
      <c r="I43" s="919"/>
      <c r="J43" s="919"/>
      <c r="K43" s="919"/>
      <c r="L43" s="919"/>
      <c r="M43" s="919"/>
      <c r="N43" s="932" t="s">
        <v>1276</v>
      </c>
      <c r="O43" s="2002">
        <f>K54</f>
        <v>150272.78562541268</v>
      </c>
    </row>
    <row r="44" spans="1:118" s="626" customFormat="1" ht="18.75" customHeight="1">
      <c r="B44" s="1995"/>
      <c r="C44" s="1998"/>
      <c r="D44" s="919"/>
      <c r="E44" s="919"/>
      <c r="F44" s="1995"/>
      <c r="G44" s="1998"/>
      <c r="H44" s="919"/>
      <c r="I44" s="919"/>
      <c r="J44" s="919"/>
      <c r="K44" s="919"/>
      <c r="L44" s="919"/>
      <c r="M44" s="919"/>
      <c r="N44" s="919"/>
      <c r="O44" s="919"/>
      <c r="R44" s="626">
        <f>R54/16</f>
        <v>596.0625</v>
      </c>
    </row>
    <row r="45" spans="1:118" s="626" customFormat="1" ht="18.75" customHeight="1">
      <c r="B45" s="1995"/>
      <c r="C45" s="1998"/>
      <c r="D45" s="919"/>
      <c r="E45" s="919"/>
      <c r="F45" s="1995"/>
      <c r="G45" s="1998"/>
      <c r="H45" s="2003"/>
      <c r="I45" s="919"/>
      <c r="J45" s="919"/>
      <c r="K45" s="919"/>
      <c r="L45" s="919"/>
      <c r="M45" s="2004"/>
      <c r="N45" s="2003"/>
      <c r="O45" s="919"/>
    </row>
    <row r="46" spans="1:118" ht="45" customHeight="1">
      <c r="A46" s="941" t="s">
        <v>1280</v>
      </c>
      <c r="B46" s="1163" t="s">
        <v>1281</v>
      </c>
      <c r="C46" s="1875"/>
      <c r="D46" s="1875"/>
      <c r="E46" s="1875"/>
      <c r="F46" s="1875"/>
      <c r="G46" s="1875"/>
      <c r="H46" s="1875"/>
      <c r="I46" s="1875"/>
      <c r="J46" s="943" t="s">
        <v>1282</v>
      </c>
      <c r="K46" s="3111" t="str">
        <f>IF(SUM(K47:K53)=R35,"Good","Missing Concrete!!!")</f>
        <v>Good</v>
      </c>
      <c r="L46" s="3111"/>
      <c r="M46" s="1875"/>
      <c r="N46" s="1875"/>
      <c r="O46" s="1876"/>
      <c r="P46" s="2806" t="s">
        <v>1283</v>
      </c>
      <c r="Q46" s="2806"/>
      <c r="R46" s="818" t="s">
        <v>835</v>
      </c>
      <c r="S46" s="947"/>
      <c r="T46" s="948" t="s">
        <v>518</v>
      </c>
      <c r="U46" s="947"/>
      <c r="V46" s="949"/>
      <c r="DJ46" s="950" t="s">
        <v>1284</v>
      </c>
    </row>
    <row r="47" spans="1:118" ht="18.75" customHeight="1">
      <c r="A47" s="951">
        <v>1</v>
      </c>
      <c r="B47" s="18" t="str">
        <f>IF(A47=1,Pricing!F$2,IF(A47=2,Pricing!G$2,IF(A47=3,Pricing!H$2,IF(A47=4,Pricing!I$2,IF(A47=5,Pricing!J$2,IF(A47=6,Pricing!K$2,IF(A47=7,Pricing!L$2,IF(A47=8,Pricing!M$2,IF(A47=9,Pricing!N$2,IF(A47=10,Pricing!O$2,0))))))))))</f>
        <v>3,000 PSI 5sk /Ash and Air</v>
      </c>
      <c r="F47" s="2005">
        <f>IF(A47=1,Pricing!F$3,IF(A47=2,Pricing!G$3,IF(A47=3,Pricing!H$3,IF(A47=4,Pricing!I$3,IF(A47=5,Pricing!J$3,IF(A47=6,Pricing!K$3,IF(A47=7,Pricing!L$3,IF(A47=8,Pricing!M$3,IF(A47=9,Pricing!N$3,IF(A47=10,Pricing!O$3,0))))))))))</f>
        <v>134</v>
      </c>
      <c r="G47" s="18" t="s">
        <v>1285</v>
      </c>
      <c r="H47" s="2807"/>
      <c r="I47" s="2807"/>
      <c r="J47" s="3137">
        <v>0.06</v>
      </c>
      <c r="K47" s="2809">
        <f t="shared" ref="K47:K53" si="45">IF(A47=1,AH$35,IF(A47=2,AI$35,IF(A47=3,AJ$35,IF(A47=4,AK$35,IF(A47=5,AL$35,IF(A47=6,AM$35,IF(A47=7,AN$35,IF(A47=8,AO$35,IF(A47=9,AP$35,IF(A47=10,AQ$35))))))))))</f>
        <v>0</v>
      </c>
      <c r="L47" s="2809"/>
      <c r="M47" s="17" t="s">
        <v>1286</v>
      </c>
      <c r="N47" s="2953">
        <f t="shared" ref="N47:N53" si="46">K47*F47*(IF(T$38="N",1+V$38,1))</f>
        <v>0</v>
      </c>
      <c r="O47" s="2953"/>
      <c r="P47" s="859" t="s">
        <v>1415</v>
      </c>
      <c r="Q47" s="77"/>
      <c r="R47" s="2006">
        <v>1</v>
      </c>
      <c r="S47" s="77"/>
      <c r="T47" s="1174"/>
      <c r="U47" s="77"/>
      <c r="V47" s="960">
        <f t="shared" ref="V47:V54" si="47">IF(T$38="Y",R47*T47,R47*T47*(1+V$38))</f>
        <v>0</v>
      </c>
      <c r="DJ47" s="2007">
        <v>2</v>
      </c>
    </row>
    <row r="48" spans="1:118" ht="18.75" customHeight="1">
      <c r="A48" s="951">
        <v>2</v>
      </c>
      <c r="B48" s="18" t="str">
        <f>IF(A48=1,Pricing!F$2,IF(A48=2,Pricing!G$2,IF(A48=3,Pricing!H$2,IF(A48=4,Pricing!I$2,IF(A48=5,Pricing!J$2,IF(A48=6,Pricing!K$2,IF(A48=7,Pricing!L$2,IF(A48=8,Pricing!M$2,IF(A48=9,Pricing!N$2,IF(A48=10,Pricing!O$2,0))))))))))</f>
        <v>3,000 PSI / Ash no Air</v>
      </c>
      <c r="F48" s="2005">
        <f>IF(A48=1,Pricing!F$3,IF(A48=2,Pricing!G$3,IF(A48=3,Pricing!H$3,IF(A48=4,Pricing!I$3,IF(A48=5,Pricing!J$3,IF(A48=6,Pricing!K$3,IF(A48=7,Pricing!L$3,IF(A48=8,Pricing!M$3,IF(A48=9,Pricing!N$3,IF(A48=10,Pricing!O$3,0))))))))))</f>
        <v>145</v>
      </c>
      <c r="G48" s="18" t="s">
        <v>1285</v>
      </c>
      <c r="H48" s="2807"/>
      <c r="I48" s="2807"/>
      <c r="J48" s="3137"/>
      <c r="K48" s="2809">
        <f t="shared" si="45"/>
        <v>0</v>
      </c>
      <c r="L48" s="2809"/>
      <c r="M48" s="17" t="s">
        <v>1286</v>
      </c>
      <c r="N48" s="2953">
        <f t="shared" si="46"/>
        <v>0</v>
      </c>
      <c r="O48" s="2953"/>
      <c r="P48" s="859" t="s">
        <v>526</v>
      </c>
      <c r="Q48" s="77"/>
      <c r="R48" s="1176">
        <f>SUM(I10:I34)*R47</f>
        <v>9537</v>
      </c>
      <c r="S48" s="77" t="s">
        <v>1259</v>
      </c>
      <c r="T48" s="1174">
        <f>Pricing!Q4</f>
        <v>0.859375</v>
      </c>
      <c r="U48" s="77" t="s">
        <v>527</v>
      </c>
      <c r="V48" s="960">
        <f t="shared" si="47"/>
        <v>8872.0177734374993</v>
      </c>
      <c r="DJ48" s="2007"/>
    </row>
    <row r="49" spans="1:114" ht="18.75" customHeight="1">
      <c r="A49" s="951">
        <v>3</v>
      </c>
      <c r="B49" s="18" t="str">
        <f>IF(A49=1,Pricing!F$2,IF(A49=2,Pricing!G$2,IF(A49=3,Pricing!H$2,IF(A49=4,Pricing!I$2,IF(A49=5,Pricing!J$2,IF(A49=6,Pricing!K$2,IF(A49=7,Pricing!L$2,IF(A49=8,Pricing!M$2,IF(A49=9,Pricing!N$2,IF(A49=10,Pricing!O$2,0))))))))))</f>
        <v>3,500 PSI 5.5sk /Ash and Air</v>
      </c>
      <c r="F49" s="2005">
        <f>IF(A49=1,Pricing!F$3,IF(A49=2,Pricing!G$3,IF(A49=3,Pricing!H$3,IF(A49=4,Pricing!I$3,IF(A49=5,Pricing!J$3,IF(A49=6,Pricing!K$3,IF(A49=7,Pricing!L$3,IF(A49=8,Pricing!M$3,IF(A49=9,Pricing!N$3,IF(A49=10,Pricing!O$3,0))))))))))</f>
        <v>150</v>
      </c>
      <c r="G49" s="18" t="s">
        <v>1285</v>
      </c>
      <c r="H49" s="2807"/>
      <c r="I49" s="2807"/>
      <c r="J49" s="3137"/>
      <c r="K49" s="2809">
        <f t="shared" si="45"/>
        <v>4832.412407407407</v>
      </c>
      <c r="L49" s="2809"/>
      <c r="M49" s="17" t="s">
        <v>1286</v>
      </c>
      <c r="N49" s="2953">
        <f t="shared" si="46"/>
        <v>784662.96465277765</v>
      </c>
      <c r="O49" s="2953"/>
      <c r="P49" s="859"/>
      <c r="Q49" s="77"/>
      <c r="R49" s="1176"/>
      <c r="S49" s="77"/>
      <c r="T49" s="1174"/>
      <c r="U49" s="77"/>
      <c r="V49" s="960">
        <f t="shared" si="47"/>
        <v>0</v>
      </c>
      <c r="DJ49" s="2007"/>
    </row>
    <row r="50" spans="1:114" ht="18.75" customHeight="1">
      <c r="A50" s="951">
        <v>4</v>
      </c>
      <c r="B50" s="18" t="str">
        <f>IF(A50=1,Pricing!F$2,IF(A50=2,Pricing!G$2,IF(A50=3,Pricing!H$2,IF(A50=4,Pricing!I$2,IF(A50=5,Pricing!J$2,IF(A50=6,Pricing!K$2,IF(A50=7,Pricing!L$2,IF(A50=8,Pricing!M$2,IF(A50=9,Pricing!N$2,IF(A50=10,Pricing!O$2,0))))))))))</f>
        <v>3,500 PSI /Ash No Air</v>
      </c>
      <c r="F50" s="2005">
        <f>IF(A50=1,Pricing!F$3,IF(A50=2,Pricing!G$3,IF(A50=3,Pricing!H$3,IF(A50=4,Pricing!I$3,IF(A50=5,Pricing!J$3,IF(A50=6,Pricing!K$3,IF(A50=7,Pricing!L$3,IF(A50=8,Pricing!M$3,IF(A50=9,Pricing!N$3,IF(A50=10,Pricing!O$3,0))))))))))</f>
        <v>150</v>
      </c>
      <c r="G50" s="18" t="s">
        <v>1285</v>
      </c>
      <c r="H50" s="2807"/>
      <c r="I50" s="2807"/>
      <c r="J50" s="3137"/>
      <c r="K50" s="2809">
        <f t="shared" si="45"/>
        <v>0</v>
      </c>
      <c r="L50" s="2809"/>
      <c r="M50" s="17" t="s">
        <v>1286</v>
      </c>
      <c r="N50" s="2953">
        <f t="shared" si="46"/>
        <v>0</v>
      </c>
      <c r="O50" s="2953"/>
      <c r="P50" s="859"/>
      <c r="Q50" s="77"/>
      <c r="R50" s="1176"/>
      <c r="S50" s="77"/>
      <c r="T50" s="1174"/>
      <c r="U50" s="77"/>
      <c r="V50" s="960">
        <f t="shared" si="47"/>
        <v>0</v>
      </c>
      <c r="DJ50" s="2007"/>
    </row>
    <row r="51" spans="1:114" ht="18.75" customHeight="1">
      <c r="A51" s="951">
        <v>5</v>
      </c>
      <c r="B51" s="18" t="str">
        <f>IF(A51=1,Pricing!F$2,IF(A51=2,Pricing!G$2,IF(A51=3,Pricing!H$2,IF(A51=4,Pricing!I$2,IF(A51=5,Pricing!J$2,IF(A51=6,Pricing!K$2,IF(A51=7,Pricing!L$2,IF(A51=8,Pricing!M$2,IF(A51=9,Pricing!N$2,IF(A51=10,Pricing!O$2,0))))))))))</f>
        <v>4,000 PSI /Ash and Air</v>
      </c>
      <c r="F51" s="2005">
        <f>IF(A51=1,Pricing!F$3,IF(A51=2,Pricing!G$3,IF(A51=3,Pricing!H$3,IF(A51=4,Pricing!I$3,IF(A51=5,Pricing!J$3,IF(A51=6,Pricing!K$3,IF(A51=7,Pricing!L$3,IF(A51=8,Pricing!M$3,IF(A51=9,Pricing!N$3,IF(A51=10,Pricing!O$3,0))))))))))</f>
        <v>155</v>
      </c>
      <c r="G51" s="18" t="s">
        <v>1285</v>
      </c>
      <c r="H51" s="2807"/>
      <c r="I51" s="2807"/>
      <c r="J51" s="3137"/>
      <c r="K51" s="2809">
        <f t="shared" si="45"/>
        <v>0</v>
      </c>
      <c r="L51" s="2809"/>
      <c r="M51" s="17" t="s">
        <v>1286</v>
      </c>
      <c r="N51" s="2953">
        <f t="shared" si="46"/>
        <v>0</v>
      </c>
      <c r="O51" s="2953"/>
      <c r="P51" s="859"/>
      <c r="Q51" s="77"/>
      <c r="R51" s="1176"/>
      <c r="S51" s="77"/>
      <c r="T51" s="1174"/>
      <c r="U51" s="77"/>
      <c r="V51" s="960">
        <f t="shared" si="47"/>
        <v>0</v>
      </c>
      <c r="DJ51" s="2007"/>
    </row>
    <row r="52" spans="1:114" ht="18.75" customHeight="1">
      <c r="A52" s="962">
        <v>9</v>
      </c>
      <c r="B52" s="18" t="str">
        <f>IF(A52=1,Pricing!F$2,IF(A52=2,Pricing!G$2,IF(A52=3,Pricing!H$2,IF(A52=4,Pricing!I$2,IF(A52=5,Pricing!J$2,IF(A52=6,Pricing!K$2,IF(A52=7,Pricing!L$2,IF(A52=8,Pricing!M$2,IF(A52=9,Pricing!N$2,IF(A52=10,Pricing!O$2,0))))))))))</f>
        <v>3,000 PSI /Air and intergral Color</v>
      </c>
      <c r="F52" s="2005">
        <f>IF(A52=1,Pricing!F$3,IF(A52=2,Pricing!G$3,IF(A52=3,Pricing!H$3,IF(A52=4,Pricing!I$3,IF(A52=5,Pricing!J$3,IF(A52=6,Pricing!K$3,IF(A52=7,Pricing!L$3,IF(A52=8,Pricing!M$3,IF(A52=9,Pricing!N$3,IF(A52=10,Pricing!O$3,0))))))))))</f>
        <v>250</v>
      </c>
      <c r="G52" s="18" t="s">
        <v>1285</v>
      </c>
      <c r="H52" s="2807"/>
      <c r="I52" s="2807"/>
      <c r="J52" s="3137"/>
      <c r="K52" s="2809">
        <f t="shared" si="45"/>
        <v>0</v>
      </c>
      <c r="L52" s="2809"/>
      <c r="M52" s="17" t="s">
        <v>1286</v>
      </c>
      <c r="N52" s="2953">
        <f t="shared" si="46"/>
        <v>0</v>
      </c>
      <c r="O52" s="2953"/>
      <c r="P52" s="859" t="s">
        <v>534</v>
      </c>
      <c r="Q52" s="77"/>
      <c r="R52" s="1176">
        <f>R54</f>
        <v>9537</v>
      </c>
      <c r="S52" s="77" t="s">
        <v>1259</v>
      </c>
      <c r="T52" s="1174">
        <f>Pricing!Q5</f>
        <v>1.4453125</v>
      </c>
      <c r="U52" s="77" t="s">
        <v>527</v>
      </c>
      <c r="V52" s="960">
        <f t="shared" si="47"/>
        <v>14921.120800781251</v>
      </c>
      <c r="DJ52" s="2007">
        <v>2</v>
      </c>
    </row>
    <row r="53" spans="1:114" ht="18.75" customHeight="1">
      <c r="A53" s="2008">
        <v>7</v>
      </c>
      <c r="B53" s="966" t="str">
        <f>IF(A53=1,Pricing!F$2,IF(A53=2,Pricing!G$2,IF(A53=3,Pricing!H$2,IF(A53=4,Pricing!I$2,IF(A53=5,Pricing!J$2,IF(A53=6,Pricing!K$2,IF(A53=7,Pricing!L$2,IF(A53=8,Pricing!M$2,IF(A53=9,Pricing!N$2,IF(A53=10,Pricing!O$2,0))))))))))</f>
        <v>4,500 PSI / Ash and Air</v>
      </c>
      <c r="C53" s="373"/>
      <c r="D53" s="373"/>
      <c r="E53" s="1179"/>
      <c r="F53" s="2009">
        <f>IF(A53=1,Pricing!F$3,IF(A53=2,Pricing!G$3,IF(A53=3,Pricing!H$3,IF(A53=4,Pricing!I$3,IF(A53=5,Pricing!J$3,IF(A53=6,Pricing!K$3,IF(A53=7,Pricing!L$3,IF(A53=8,Pricing!M$3,IF(A53=9,Pricing!N$3,IF(A53=10,Pricing!O$3,0))))))))))</f>
        <v>160</v>
      </c>
      <c r="G53" s="373" t="s">
        <v>1285</v>
      </c>
      <c r="H53" s="2807"/>
      <c r="I53" s="2807"/>
      <c r="J53" s="3137"/>
      <c r="K53" s="2809">
        <f t="shared" si="45"/>
        <v>0</v>
      </c>
      <c r="L53" s="2809"/>
      <c r="M53" s="967" t="s">
        <v>1286</v>
      </c>
      <c r="N53" s="2953">
        <f t="shared" si="46"/>
        <v>0</v>
      </c>
      <c r="O53" s="2953"/>
      <c r="P53" s="859" t="s">
        <v>536</v>
      </c>
      <c r="Q53" s="77"/>
      <c r="R53" s="1176">
        <v>0</v>
      </c>
      <c r="S53" s="77" t="s">
        <v>1259</v>
      </c>
      <c r="T53" s="1174">
        <f>Pricing!Q6</f>
        <v>1.171875</v>
      </c>
      <c r="U53" s="77" t="s">
        <v>527</v>
      </c>
      <c r="V53" s="960">
        <f t="shared" si="47"/>
        <v>0</v>
      </c>
      <c r="DJ53" s="2007">
        <v>2</v>
      </c>
    </row>
    <row r="54" spans="1:114" ht="18.75" customHeight="1">
      <c r="A54" s="1877" t="str">
        <f>Summary!V61</f>
        <v>Import</v>
      </c>
      <c r="B54" s="963" t="s">
        <v>1287</v>
      </c>
      <c r="F54" s="2005">
        <f>Pricing!D24</f>
        <v>0.6</v>
      </c>
      <c r="G54" s="18" t="s">
        <v>555</v>
      </c>
      <c r="H54" s="2811"/>
      <c r="I54" s="2811"/>
      <c r="J54" s="1242">
        <v>0.1</v>
      </c>
      <c r="K54" s="2812">
        <f>SUM(R10:R34)</f>
        <v>150272.78562541268</v>
      </c>
      <c r="L54" s="2812"/>
      <c r="M54" s="18" t="s">
        <v>1288</v>
      </c>
      <c r="N54" s="2958">
        <f>F54*K54*(IF(T38="N",1+V38,1))</f>
        <v>97602.174263705529</v>
      </c>
      <c r="O54" s="2958"/>
      <c r="P54" s="859" t="s">
        <v>538</v>
      </c>
      <c r="Q54" s="77"/>
      <c r="R54" s="2010">
        <f>SUM(I10:I34)*R47</f>
        <v>9537</v>
      </c>
      <c r="S54" s="77" t="s">
        <v>1259</v>
      </c>
      <c r="T54" s="1174">
        <f>Pricing!Q7</f>
        <v>1.09375</v>
      </c>
      <c r="U54" s="77" t="s">
        <v>527</v>
      </c>
      <c r="V54" s="960">
        <f t="shared" si="47"/>
        <v>11291.658984375001</v>
      </c>
      <c r="DJ54" s="2007">
        <v>2</v>
      </c>
    </row>
    <row r="55" spans="1:114" ht="18.75" customHeight="1">
      <c r="A55" s="574"/>
      <c r="B55" s="963" t="s">
        <v>598</v>
      </c>
      <c r="F55" s="2011">
        <f>Pricing!D28</f>
        <v>0.86250000000000004</v>
      </c>
      <c r="G55" s="18" t="s">
        <v>600</v>
      </c>
      <c r="H55" s="2814"/>
      <c r="I55" s="2814"/>
      <c r="J55" s="2012">
        <v>0.1</v>
      </c>
      <c r="K55" s="2809">
        <v>0</v>
      </c>
      <c r="L55" s="2809"/>
      <c r="M55" s="18" t="s">
        <v>1418</v>
      </c>
      <c r="N55" s="2953">
        <f>K55*F55*(IF(T38="N",1+V38,1))*(J55+1)</f>
        <v>0</v>
      </c>
      <c r="O55" s="2953"/>
      <c r="P55" s="859" t="s">
        <v>1292</v>
      </c>
      <c r="Q55" s="77"/>
      <c r="R55" s="1176">
        <f>ROUNDUP(SUM(I10:I34)*0.03/16,0)</f>
        <v>18</v>
      </c>
      <c r="S55" s="77" t="s">
        <v>1259</v>
      </c>
      <c r="T55" s="1174">
        <f>Pricing!Q9</f>
        <v>20</v>
      </c>
      <c r="U55" s="77" t="s">
        <v>1610</v>
      </c>
      <c r="V55" s="960">
        <f>T55*R55</f>
        <v>360</v>
      </c>
      <c r="DJ55" s="2007">
        <v>2</v>
      </c>
    </row>
    <row r="56" spans="1:114" ht="18.75" customHeight="1">
      <c r="A56" s="574"/>
      <c r="B56" s="966" t="s">
        <v>966</v>
      </c>
      <c r="C56" s="373"/>
      <c r="D56" s="373"/>
      <c r="E56" s="373"/>
      <c r="F56" s="2009">
        <v>0.35</v>
      </c>
      <c r="G56" s="373" t="s">
        <v>600</v>
      </c>
      <c r="H56" s="373" t="s">
        <v>1291</v>
      </c>
      <c r="I56" s="3138">
        <v>0</v>
      </c>
      <c r="J56" s="3138"/>
      <c r="K56" s="2818">
        <v>0</v>
      </c>
      <c r="L56" s="2818"/>
      <c r="M56" s="373" t="s">
        <v>1418</v>
      </c>
      <c r="N56" s="2835"/>
      <c r="O56" s="2835"/>
      <c r="P56" s="859" t="s">
        <v>540</v>
      </c>
      <c r="Q56" s="77"/>
      <c r="R56" s="1176">
        <f>CC34*0.35</f>
        <v>0</v>
      </c>
      <c r="S56" s="77" t="s">
        <v>1293</v>
      </c>
      <c r="T56" s="1174">
        <f>Pricing!Q8</f>
        <v>74.75</v>
      </c>
      <c r="U56" s="77" t="s">
        <v>541</v>
      </c>
      <c r="V56" s="960">
        <f t="shared" ref="V56:V73" si="48">IF(T$38="Y",R56*T56,R56*T56*(1+V$38))</f>
        <v>0</v>
      </c>
      <c r="DJ56" s="2007">
        <v>2</v>
      </c>
    </row>
    <row r="57" spans="1:114" ht="18.75" customHeight="1">
      <c r="A57" s="1087"/>
      <c r="B57" s="17" t="s">
        <v>1421</v>
      </c>
      <c r="F57" s="2014">
        <f>Pricing!D19</f>
        <v>25</v>
      </c>
      <c r="G57" s="18" t="s">
        <v>1285</v>
      </c>
      <c r="H57" s="2816"/>
      <c r="I57" s="2816"/>
      <c r="J57" s="3137">
        <v>0.06</v>
      </c>
      <c r="K57" s="2817">
        <f>SUM(P10:P34)</f>
        <v>1784.3529629629631</v>
      </c>
      <c r="L57" s="2817"/>
      <c r="M57" s="18" t="s">
        <v>1286</v>
      </c>
      <c r="N57" s="2958">
        <f>K57*F57*(IF(T38="N",(1+V38),1))</f>
        <v>48289.052060185189</v>
      </c>
      <c r="O57" s="2958"/>
      <c r="P57" s="859" t="s">
        <v>1298</v>
      </c>
      <c r="Q57" s="77"/>
      <c r="R57" s="1176">
        <f>ROUND(R54/25,0)</f>
        <v>381</v>
      </c>
      <c r="S57" s="77" t="s">
        <v>1780</v>
      </c>
      <c r="T57" s="1174">
        <f>Pricing!Q15</f>
        <v>24</v>
      </c>
      <c r="U57" s="77" t="s">
        <v>1300</v>
      </c>
      <c r="V57" s="960">
        <f t="shared" si="48"/>
        <v>9898.380000000001</v>
      </c>
      <c r="DJ57" s="2007">
        <v>2</v>
      </c>
    </row>
    <row r="58" spans="1:114" ht="18.75" customHeight="1">
      <c r="A58" s="574"/>
      <c r="B58" s="987" t="s">
        <v>1781</v>
      </c>
      <c r="C58" s="373"/>
      <c r="D58" s="1192"/>
      <c r="E58" s="373"/>
      <c r="F58" s="2015">
        <v>15</v>
      </c>
      <c r="G58" s="373" t="s">
        <v>1285</v>
      </c>
      <c r="H58" s="2816"/>
      <c r="I58" s="2816"/>
      <c r="J58" s="3137"/>
      <c r="K58" s="2818">
        <v>0</v>
      </c>
      <c r="L58" s="2818"/>
      <c r="M58" s="373" t="s">
        <v>1286</v>
      </c>
      <c r="N58" s="3048">
        <f>K58*F58*(IF(T38="N",(1+V38),1))</f>
        <v>0</v>
      </c>
      <c r="O58" s="3048"/>
      <c r="P58" s="859" t="s">
        <v>561</v>
      </c>
      <c r="Q58" s="77"/>
      <c r="R58" s="2016">
        <f>ROUNDUP(SUM(I10:I34)*1.25/1500,0)</f>
        <v>8</v>
      </c>
      <c r="S58" s="77" t="s">
        <v>1303</v>
      </c>
      <c r="T58" s="1174">
        <f>Pricing!Q16</f>
        <v>68.2</v>
      </c>
      <c r="U58" s="77" t="s">
        <v>562</v>
      </c>
      <c r="V58" s="960">
        <f t="shared" si="48"/>
        <v>590.61200000000008</v>
      </c>
      <c r="DJ58" s="2007">
        <v>2</v>
      </c>
    </row>
    <row r="59" spans="1:114" ht="18.75" customHeight="1">
      <c r="A59" s="577"/>
      <c r="B59" s="577" t="s">
        <v>1431</v>
      </c>
      <c r="C59" s="976"/>
      <c r="D59" s="976"/>
      <c r="E59" s="976"/>
      <c r="F59" s="2017">
        <v>0.65</v>
      </c>
      <c r="G59" s="976" t="s">
        <v>1432</v>
      </c>
      <c r="H59" s="2820" t="s">
        <v>1433</v>
      </c>
      <c r="I59" s="2820"/>
      <c r="J59" s="2018">
        <v>0</v>
      </c>
      <c r="K59" s="2821">
        <f>SUM(I10:I34)</f>
        <v>9537</v>
      </c>
      <c r="L59" s="2821"/>
      <c r="M59" s="976" t="s">
        <v>1259</v>
      </c>
      <c r="N59" s="2822">
        <f>F59*J59*K59</f>
        <v>0</v>
      </c>
      <c r="O59" s="2822"/>
      <c r="P59" s="859" t="s">
        <v>563</v>
      </c>
      <c r="Q59" s="77"/>
      <c r="R59" s="1176">
        <f>ROUNDUP(SUM(I10:I34)*1.25/3000,0)</f>
        <v>4</v>
      </c>
      <c r="S59" s="77" t="s">
        <v>1303</v>
      </c>
      <c r="T59" s="1174">
        <f>Pricing!Q17</f>
        <v>68.2</v>
      </c>
      <c r="U59" s="77" t="s">
        <v>562</v>
      </c>
      <c r="V59" s="960">
        <f t="shared" si="48"/>
        <v>295.30600000000004</v>
      </c>
      <c r="DJ59" s="2007">
        <v>2</v>
      </c>
    </row>
    <row r="60" spans="1:114" ht="18.75" customHeight="1">
      <c r="A60" s="1202" t="s">
        <v>1434</v>
      </c>
      <c r="B60" s="1203"/>
      <c r="C60" s="1203" t="s">
        <v>1296</v>
      </c>
      <c r="D60" s="1203"/>
      <c r="E60" s="1203"/>
      <c r="F60" s="1203"/>
      <c r="G60" s="1203"/>
      <c r="H60" s="1203"/>
      <c r="I60" s="1203"/>
      <c r="J60" s="1203"/>
      <c r="K60" s="2823" t="s">
        <v>973</v>
      </c>
      <c r="L60" s="2823"/>
      <c r="M60" s="2824" t="s">
        <v>1297</v>
      </c>
      <c r="N60" s="2824"/>
      <c r="O60" s="2824"/>
      <c r="P60" s="859" t="s">
        <v>564</v>
      </c>
      <c r="Q60" s="77"/>
      <c r="R60" s="1176">
        <f>R59</f>
        <v>4</v>
      </c>
      <c r="S60" s="77" t="s">
        <v>1303</v>
      </c>
      <c r="T60" s="1174">
        <f>Pricing!Q18</f>
        <v>68.2</v>
      </c>
      <c r="U60" s="77" t="s">
        <v>562</v>
      </c>
      <c r="V60" s="960">
        <f t="shared" si="48"/>
        <v>295.30600000000004</v>
      </c>
      <c r="DJ60" s="2007">
        <v>2</v>
      </c>
    </row>
    <row r="61" spans="1:114" ht="18.75" customHeight="1">
      <c r="A61" s="574" t="s">
        <v>1437</v>
      </c>
      <c r="B61" s="380"/>
      <c r="C61" s="1206" t="s">
        <v>1306</v>
      </c>
      <c r="D61" s="3139">
        <v>0.3</v>
      </c>
      <c r="E61" s="3139"/>
      <c r="F61" s="18" t="s">
        <v>1618</v>
      </c>
      <c r="G61" s="3020">
        <f>SUM(D61:E63)</f>
        <v>1</v>
      </c>
      <c r="H61" s="3140">
        <f>C35</f>
        <v>272703</v>
      </c>
      <c r="I61" s="3140"/>
      <c r="J61" s="18" t="s">
        <v>1418</v>
      </c>
      <c r="K61" s="2831">
        <f>IF(C61="N",D61*H61,0)</f>
        <v>0</v>
      </c>
      <c r="L61" s="2831"/>
      <c r="M61" s="12"/>
      <c r="N61" s="3141">
        <f>IF(C61="y",H$61*D61,0)</f>
        <v>81810.899999999994</v>
      </c>
      <c r="O61" s="3141"/>
      <c r="P61" s="859" t="s">
        <v>1310</v>
      </c>
      <c r="Q61" s="77"/>
      <c r="R61" s="1176">
        <v>0</v>
      </c>
      <c r="S61" s="77" t="s">
        <v>1303</v>
      </c>
      <c r="T61" s="1174">
        <f>Pricing!Q34</f>
        <v>45.239999999999995</v>
      </c>
      <c r="U61" s="77" t="s">
        <v>562</v>
      </c>
      <c r="V61" s="960">
        <f t="shared" si="48"/>
        <v>0</v>
      </c>
      <c r="DJ61" s="2007">
        <v>2</v>
      </c>
    </row>
    <row r="62" spans="1:114" ht="18.75" customHeight="1">
      <c r="A62" s="963" t="s">
        <v>1442</v>
      </c>
      <c r="B62" s="380"/>
      <c r="C62" s="984" t="s">
        <v>1306</v>
      </c>
      <c r="D62" s="3139">
        <v>0.55000000000000004</v>
      </c>
      <c r="E62" s="3139"/>
      <c r="F62" s="18" t="s">
        <v>1618</v>
      </c>
      <c r="G62" s="3020"/>
      <c r="H62" s="3140"/>
      <c r="I62" s="3140"/>
      <c r="J62" s="18" t="s">
        <v>1418</v>
      </c>
      <c r="K62" s="2831">
        <f>IF(C62="N",D62*H61,0)</f>
        <v>0</v>
      </c>
      <c r="L62" s="2831"/>
      <c r="M62" s="12"/>
      <c r="N62" s="3142">
        <f>IF(C62="y",H$61*D62,0)</f>
        <v>149986.65000000002</v>
      </c>
      <c r="O62" s="3142"/>
      <c r="P62" s="859" t="s">
        <v>571</v>
      </c>
      <c r="Q62" s="77"/>
      <c r="R62" s="1176">
        <v>0</v>
      </c>
      <c r="S62" s="77" t="s">
        <v>1259</v>
      </c>
      <c r="T62" s="1174">
        <f>Pricing!Q19</f>
        <v>0.95</v>
      </c>
      <c r="U62" s="77" t="s">
        <v>527</v>
      </c>
      <c r="V62" s="960">
        <f t="shared" si="48"/>
        <v>0</v>
      </c>
      <c r="DJ62" s="2007">
        <v>2</v>
      </c>
    </row>
    <row r="63" spans="1:114" ht="18.75" customHeight="1">
      <c r="A63" s="963" t="s">
        <v>1443</v>
      </c>
      <c r="B63" s="380"/>
      <c r="C63" s="984" t="s">
        <v>1306</v>
      </c>
      <c r="D63" s="3139">
        <v>0.15</v>
      </c>
      <c r="E63" s="3139"/>
      <c r="F63" s="18" t="s">
        <v>1618</v>
      </c>
      <c r="G63" s="3020"/>
      <c r="H63" s="3140"/>
      <c r="I63" s="3140"/>
      <c r="J63" s="18" t="s">
        <v>1418</v>
      </c>
      <c r="K63" s="2831">
        <f>IF(C63="N",D63*H61,0)</f>
        <v>0</v>
      </c>
      <c r="L63" s="2831"/>
      <c r="M63" s="12"/>
      <c r="N63" s="3142">
        <f>IF(C63="y",H$61*D63,0)</f>
        <v>40905.449999999997</v>
      </c>
      <c r="O63" s="3142"/>
      <c r="P63" s="859" t="s">
        <v>576</v>
      </c>
      <c r="Q63" s="77"/>
      <c r="R63" s="1176">
        <v>0</v>
      </c>
      <c r="S63" s="77" t="s">
        <v>1259</v>
      </c>
      <c r="T63" s="1174">
        <f>Pricing!Q20</f>
        <v>0.25</v>
      </c>
      <c r="U63" s="77" t="s">
        <v>527</v>
      </c>
      <c r="V63" s="960">
        <f t="shared" si="48"/>
        <v>0</v>
      </c>
      <c r="DJ63" s="2007">
        <v>2</v>
      </c>
    </row>
    <row r="64" spans="1:114" ht="18.75" customHeight="1">
      <c r="A64" s="963" t="s">
        <v>1782</v>
      </c>
      <c r="B64" s="380"/>
      <c r="C64" s="984" t="s">
        <v>1306</v>
      </c>
      <c r="D64" s="3143"/>
      <c r="E64" s="3143"/>
      <c r="F64" s="2019"/>
      <c r="G64" s="2019"/>
      <c r="H64" s="3144"/>
      <c r="I64" s="3144"/>
      <c r="J64" s="18" t="s">
        <v>1418</v>
      </c>
      <c r="K64" s="2831">
        <f>IF(C64="N",D64*H64,0)</f>
        <v>0</v>
      </c>
      <c r="L64" s="2831"/>
      <c r="M64" s="12"/>
      <c r="N64" s="3142">
        <f>BA35</f>
        <v>0</v>
      </c>
      <c r="O64" s="3142"/>
      <c r="P64" s="859" t="s">
        <v>551</v>
      </c>
      <c r="Q64" s="77"/>
      <c r="R64" s="1176">
        <f>F82</f>
        <v>4546</v>
      </c>
      <c r="S64" s="77" t="s">
        <v>1259</v>
      </c>
      <c r="T64" s="1174">
        <f>Pricing!Q12</f>
        <v>1.0631249999999999</v>
      </c>
      <c r="U64" s="77" t="s">
        <v>527</v>
      </c>
      <c r="V64" s="960">
        <f t="shared" si="48"/>
        <v>5231.6859656249999</v>
      </c>
      <c r="DJ64" s="2007">
        <v>2</v>
      </c>
    </row>
    <row r="65" spans="1:114" ht="18.75" customHeight="1">
      <c r="A65" s="963" t="s">
        <v>967</v>
      </c>
      <c r="B65" s="380"/>
      <c r="C65" s="984" t="s">
        <v>1306</v>
      </c>
      <c r="D65" s="3139">
        <v>0</v>
      </c>
      <c r="E65" s="3139"/>
      <c r="F65" s="18" t="s">
        <v>555</v>
      </c>
      <c r="H65" s="2832">
        <f>SUM(R10:R34)</f>
        <v>150272.78562541268</v>
      </c>
      <c r="I65" s="2832"/>
      <c r="K65" s="2831">
        <f>IF(C65="N",D65*H65,0)</f>
        <v>0</v>
      </c>
      <c r="L65" s="2831"/>
      <c r="M65" s="12"/>
      <c r="N65" s="3142">
        <f>IF(C65="y",H65*D65,0)</f>
        <v>0</v>
      </c>
      <c r="O65" s="3142"/>
      <c r="P65" s="859"/>
      <c r="Q65" s="77"/>
      <c r="R65" s="1176"/>
      <c r="S65" s="77"/>
      <c r="T65" s="1174"/>
      <c r="U65" s="77"/>
      <c r="V65" s="960">
        <f t="shared" si="48"/>
        <v>0</v>
      </c>
      <c r="DJ65" s="2007"/>
    </row>
    <row r="66" spans="1:114" ht="18.75" customHeight="1">
      <c r="A66" s="963" t="s">
        <v>1783</v>
      </c>
      <c r="B66" s="380"/>
      <c r="C66" s="984" t="s">
        <v>1306</v>
      </c>
      <c r="D66" s="3139">
        <v>0</v>
      </c>
      <c r="E66" s="3139"/>
      <c r="F66" s="18" t="s">
        <v>1259</v>
      </c>
      <c r="H66" s="2832">
        <f>I35</f>
        <v>9537</v>
      </c>
      <c r="I66" s="2832"/>
      <c r="J66" s="18" t="s">
        <v>1259</v>
      </c>
      <c r="K66" s="2831">
        <f>IF(C66="N",D66*H66,0)</f>
        <v>0</v>
      </c>
      <c r="L66" s="2831"/>
      <c r="M66" s="12"/>
      <c r="N66" s="3142">
        <f>IF(C66="y",H66*D66,0)</f>
        <v>0</v>
      </c>
      <c r="O66" s="3142"/>
      <c r="P66" s="859" t="s">
        <v>552</v>
      </c>
      <c r="Q66" s="77"/>
      <c r="R66" s="1176">
        <v>0</v>
      </c>
      <c r="S66" s="77" t="s">
        <v>1259</v>
      </c>
      <c r="T66" s="1174">
        <f>Pricing!Q13</f>
        <v>1.494375</v>
      </c>
      <c r="U66" s="77" t="s">
        <v>527</v>
      </c>
      <c r="V66" s="960">
        <f t="shared" si="48"/>
        <v>0</v>
      </c>
      <c r="DJ66" s="2007">
        <v>2</v>
      </c>
    </row>
    <row r="67" spans="1:114" ht="18.75" customHeight="1">
      <c r="A67" s="987" t="s">
        <v>1313</v>
      </c>
      <c r="B67" s="988"/>
      <c r="C67" s="989" t="s">
        <v>1306</v>
      </c>
      <c r="D67" s="3145"/>
      <c r="E67" s="3145"/>
      <c r="F67" s="373"/>
      <c r="G67" s="373"/>
      <c r="H67" s="2013"/>
      <c r="I67" s="2013"/>
      <c r="J67" s="373"/>
      <c r="K67" s="2834">
        <f>IF(C67="N",D67,0)</f>
        <v>0</v>
      </c>
      <c r="L67" s="2834"/>
      <c r="M67" s="779"/>
      <c r="N67" s="3146">
        <f>IF(C67="y",D67,0)</f>
        <v>0</v>
      </c>
      <c r="O67" s="3146"/>
      <c r="P67" s="859"/>
      <c r="Q67" s="77"/>
      <c r="R67" s="1176"/>
      <c r="S67" s="77"/>
      <c r="T67" s="1174"/>
      <c r="U67" s="77"/>
      <c r="V67" s="960">
        <f t="shared" si="48"/>
        <v>0</v>
      </c>
      <c r="DJ67" s="2007"/>
    </row>
    <row r="68" spans="1:114" ht="18.75" customHeight="1">
      <c r="A68" s="990" t="s">
        <v>1447</v>
      </c>
      <c r="B68" s="991"/>
      <c r="C68" s="992"/>
      <c r="D68" s="2836">
        <f>IF(H61=0,0,(N68-N67+K68)/H61)</f>
        <v>1</v>
      </c>
      <c r="E68" s="2836"/>
      <c r="F68" s="802"/>
      <c r="G68" s="976"/>
      <c r="H68" s="2837" t="s">
        <v>980</v>
      </c>
      <c r="I68" s="2837"/>
      <c r="J68" s="2837"/>
      <c r="K68" s="2838">
        <f>SUM(K61:L67)</f>
        <v>0</v>
      </c>
      <c r="L68" s="2838"/>
      <c r="M68" s="12"/>
      <c r="N68" s="3147">
        <f>SUM(N61:O67)</f>
        <v>272703</v>
      </c>
      <c r="O68" s="3147"/>
      <c r="P68" s="859" t="s">
        <v>1784</v>
      </c>
      <c r="Q68" s="77"/>
      <c r="R68" s="1176">
        <f>R66+R64</f>
        <v>4546</v>
      </c>
      <c r="S68" s="77" t="s">
        <v>1259</v>
      </c>
      <c r="T68" s="1174">
        <f>Pricing!Q10</f>
        <v>0.70874999999999999</v>
      </c>
      <c r="U68" s="77" t="s">
        <v>527</v>
      </c>
      <c r="V68" s="960">
        <f t="shared" si="48"/>
        <v>3487.7906437500001</v>
      </c>
      <c r="DJ68" s="2007">
        <v>2</v>
      </c>
    </row>
    <row r="69" spans="1:114" ht="18.75" customHeight="1">
      <c r="A69" s="1578" t="s">
        <v>1315</v>
      </c>
      <c r="B69" s="2020"/>
      <c r="C69" s="2020"/>
      <c r="D69" s="2020"/>
      <c r="E69" s="2020"/>
      <c r="F69" s="2020"/>
      <c r="G69" s="2020"/>
      <c r="H69" s="2020"/>
      <c r="I69" s="2020"/>
      <c r="J69" s="2020"/>
      <c r="K69" s="2020"/>
      <c r="L69" s="2020"/>
      <c r="M69" s="2020"/>
      <c r="N69" s="2020"/>
      <c r="O69" s="2021"/>
      <c r="P69" s="41"/>
      <c r="Q69" s="41"/>
      <c r="R69" s="2022"/>
      <c r="S69" s="41"/>
      <c r="T69" s="2023">
        <v>0</v>
      </c>
      <c r="U69" s="77"/>
      <c r="V69" s="960">
        <f t="shared" si="48"/>
        <v>0</v>
      </c>
      <c r="DJ69" s="2007"/>
    </row>
    <row r="70" spans="1:114" ht="18.75" customHeight="1">
      <c r="A70" s="997" t="s">
        <v>1316</v>
      </c>
      <c r="B70" s="983"/>
      <c r="C70" s="998">
        <f>H61/25000</f>
        <v>10.90812</v>
      </c>
      <c r="D70" s="2024">
        <f>C70*7</f>
        <v>76.356840000000005</v>
      </c>
      <c r="E70" s="983" t="s">
        <v>1317</v>
      </c>
      <c r="F70" s="2025">
        <v>425</v>
      </c>
      <c r="G70" s="1001" t="s">
        <v>620</v>
      </c>
      <c r="H70" s="983"/>
      <c r="I70" s="983"/>
      <c r="J70" s="983"/>
      <c r="K70" s="983"/>
      <c r="L70" s="2974">
        <f>IF(D39=0,0,(SUM(N70:O72))/D39)</f>
        <v>2.4236554371605473E-2</v>
      </c>
      <c r="M70" s="2974"/>
      <c r="N70" s="2829">
        <f>D70*F70</f>
        <v>32451.657000000003</v>
      </c>
      <c r="O70" s="2829"/>
      <c r="P70" s="859" t="s">
        <v>1785</v>
      </c>
      <c r="Q70" s="77"/>
      <c r="R70" s="1176">
        <v>0</v>
      </c>
      <c r="S70" s="77" t="s">
        <v>1463</v>
      </c>
      <c r="T70" s="1174">
        <v>200</v>
      </c>
      <c r="U70" s="77" t="s">
        <v>1616</v>
      </c>
      <c r="V70" s="960">
        <f t="shared" si="48"/>
        <v>0</v>
      </c>
      <c r="DJ70" s="2007">
        <v>2</v>
      </c>
    </row>
    <row r="71" spans="1:114" ht="18.75" customHeight="1">
      <c r="A71" s="963" t="s">
        <v>1640</v>
      </c>
      <c r="D71" s="2026">
        <v>0</v>
      </c>
      <c r="E71" s="1003" t="s">
        <v>1317</v>
      </c>
      <c r="F71" s="2027">
        <v>250</v>
      </c>
      <c r="G71" s="1035" t="s">
        <v>620</v>
      </c>
      <c r="L71" s="2975">
        <f>SUM(N70:O72)</f>
        <v>40087.341</v>
      </c>
      <c r="M71" s="2975"/>
      <c r="N71" s="2792">
        <f>D71*F71</f>
        <v>0</v>
      </c>
      <c r="O71" s="2792"/>
      <c r="P71" s="859"/>
      <c r="Q71" s="77"/>
      <c r="R71" s="1176"/>
      <c r="S71" s="77"/>
      <c r="T71" s="1174"/>
      <c r="U71" s="77"/>
      <c r="V71" s="960">
        <f t="shared" si="48"/>
        <v>0</v>
      </c>
      <c r="Y71" s="1254"/>
      <c r="Z71" s="1254"/>
      <c r="AA71" s="1254"/>
      <c r="AB71" s="1254"/>
      <c r="AC71" s="1254"/>
      <c r="AD71" s="1254"/>
      <c r="DJ71" s="2007"/>
    </row>
    <row r="72" spans="1:114" ht="18.75" customHeight="1">
      <c r="A72" s="963" t="s">
        <v>1320</v>
      </c>
      <c r="D72" s="2026">
        <f>D70</f>
        <v>76.356840000000005</v>
      </c>
      <c r="E72" s="18" t="s">
        <v>1317</v>
      </c>
      <c r="F72" s="2027">
        <v>100</v>
      </c>
      <c r="G72" s="18" t="s">
        <v>620</v>
      </c>
      <c r="N72" s="2792">
        <f>D72*F72</f>
        <v>7635.6840000000002</v>
      </c>
      <c r="O72" s="2792"/>
      <c r="P72" s="859"/>
      <c r="Q72" s="77"/>
      <c r="R72" s="1176"/>
      <c r="S72" s="77"/>
      <c r="T72" s="1174"/>
      <c r="U72" s="77"/>
      <c r="V72" s="960">
        <f t="shared" si="48"/>
        <v>0</v>
      </c>
      <c r="Y72" s="1254"/>
      <c r="Z72" s="1254"/>
      <c r="AA72" s="1254"/>
      <c r="AB72" s="1254"/>
      <c r="AC72" s="1254"/>
      <c r="AD72" s="1254"/>
      <c r="DJ72" s="2007"/>
    </row>
    <row r="73" spans="1:114" ht="18.75" customHeight="1">
      <c r="A73" s="1007" t="s">
        <v>1321</v>
      </c>
      <c r="B73" s="976"/>
      <c r="C73" s="976"/>
      <c r="D73" s="2028"/>
      <c r="E73" s="1009" t="s">
        <v>1317</v>
      </c>
      <c r="F73" s="2029">
        <v>200</v>
      </c>
      <c r="G73" s="976"/>
      <c r="H73" s="976"/>
      <c r="I73" s="976"/>
      <c r="J73" s="976"/>
      <c r="K73" s="976"/>
      <c r="L73" s="2843">
        <f>IF(D39=0,0,N73/D39)</f>
        <v>0</v>
      </c>
      <c r="M73" s="2843"/>
      <c r="N73" s="2792">
        <f>D73*F73</f>
        <v>0</v>
      </c>
      <c r="O73" s="2792"/>
      <c r="P73" s="859"/>
      <c r="Q73" s="77"/>
      <c r="R73" s="1176"/>
      <c r="S73" s="77"/>
      <c r="T73" s="1174"/>
      <c r="U73" s="77"/>
      <c r="V73" s="960">
        <f t="shared" si="48"/>
        <v>0</v>
      </c>
      <c r="Y73" s="1254"/>
      <c r="Z73" s="1254"/>
      <c r="AA73" s="1254"/>
      <c r="AB73" s="1254"/>
      <c r="AC73" s="1254"/>
      <c r="AD73" s="1254"/>
      <c r="DJ73" s="2007"/>
    </row>
    <row r="74" spans="1:114" ht="18.75" customHeight="1">
      <c r="A74" s="979" t="s">
        <v>1325</v>
      </c>
      <c r="B74" s="1215"/>
      <c r="C74" s="1215"/>
      <c r="D74" s="1215"/>
      <c r="E74" s="1215"/>
      <c r="F74" s="1215"/>
      <c r="G74" s="1215"/>
      <c r="H74" s="1215"/>
      <c r="I74" s="1215"/>
      <c r="J74" s="1215"/>
      <c r="K74" s="1215"/>
      <c r="L74" s="1215"/>
      <c r="M74" s="1215"/>
      <c r="N74" s="1215"/>
      <c r="O74" s="2030"/>
      <c r="P74" s="859"/>
      <c r="Q74" s="77"/>
      <c r="R74" s="1176"/>
      <c r="S74" s="1212"/>
      <c r="T74" s="1174"/>
      <c r="U74" s="77"/>
      <c r="V74" s="960">
        <f>R74*T74</f>
        <v>0</v>
      </c>
      <c r="Y74" s="1254"/>
      <c r="Z74" s="1254"/>
      <c r="AA74" s="1254"/>
      <c r="AB74" s="1254"/>
      <c r="AC74" s="1254"/>
      <c r="AD74" s="1254"/>
      <c r="DJ74" s="2007"/>
    </row>
    <row r="75" spans="1:114" ht="18.75" customHeight="1">
      <c r="A75" s="3026" t="s">
        <v>1786</v>
      </c>
      <c r="B75" s="3026"/>
      <c r="C75" s="3026"/>
      <c r="D75" s="2024"/>
      <c r="E75" s="983" t="s">
        <v>1327</v>
      </c>
      <c r="F75" s="2025">
        <f>Pricing!D32</f>
        <v>425</v>
      </c>
      <c r="G75" s="983" t="s">
        <v>620</v>
      </c>
      <c r="H75" s="983"/>
      <c r="I75" s="983"/>
      <c r="J75" s="983"/>
      <c r="K75" s="983"/>
      <c r="L75" s="983"/>
      <c r="M75" s="983"/>
      <c r="N75" s="2829">
        <f>(IF(AND(D75&gt;0,D75&lt;4),D75*F75,0)+IF(AND(D75&gt;3,D75&lt;8),F75*3,0)+IF(AND(D75&gt;7,D75&lt;21),D75/7*F75*3,0)+IF(AND(D75&gt;20,D75&lt;30),F75*9,0)+IF(D75&gt;29,D75/30*F75*9,0))*(1+V$38+I$77)</f>
        <v>0</v>
      </c>
      <c r="O75" s="2829"/>
      <c r="P75" s="859"/>
      <c r="Q75" s="77"/>
      <c r="R75" s="1176"/>
      <c r="S75" s="77"/>
      <c r="T75" s="1174"/>
      <c r="U75" s="77"/>
      <c r="V75" s="960">
        <f>R75*T75</f>
        <v>0</v>
      </c>
      <c r="Y75" s="1254"/>
      <c r="Z75" s="1254"/>
      <c r="AA75" s="1254"/>
      <c r="AB75" s="1254"/>
      <c r="AC75" s="1254"/>
      <c r="AD75" s="1254"/>
      <c r="DJ75" s="2007"/>
    </row>
    <row r="76" spans="1:114" ht="18.75" customHeight="1">
      <c r="A76" s="3027" t="s">
        <v>1787</v>
      </c>
      <c r="B76" s="3027"/>
      <c r="C76" s="3027"/>
      <c r="D76" s="2031">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120</v>
      </c>
      <c r="E76" s="18" t="s">
        <v>1327</v>
      </c>
      <c r="F76" s="2027">
        <f>Pricing!D35</f>
        <v>325</v>
      </c>
      <c r="G76" s="18" t="s">
        <v>620</v>
      </c>
      <c r="I76" s="2977" t="s">
        <v>1329</v>
      </c>
      <c r="J76" s="2977"/>
      <c r="L76" s="2841">
        <f>IF(D39=0,0,(SUM(N75:O80))/D39)</f>
        <v>1.5155229705112147E-2</v>
      </c>
      <c r="M76" s="2841"/>
      <c r="N76" s="2792">
        <f>(IF(AND(D76&gt;0,D76&lt;4),D76*F76,0)+IF(AND(D76&gt;3,D76&lt;8),F76*3,0)+IF(AND(D76&gt;7,D76&lt;21),D76/7*F76*3,0)+IF(AND(D76&gt;20,D76&lt;30),F76*9,0)+IF(D76&gt;29,D76/30*F76*9,0))*(1+V$38+I$77)</f>
        <v>18515.25</v>
      </c>
      <c r="O76" s="2792"/>
      <c r="P76" s="859"/>
      <c r="Q76" s="77"/>
      <c r="R76" s="1176"/>
      <c r="S76" s="77"/>
      <c r="T76" s="1174"/>
      <c r="U76" s="77"/>
      <c r="V76" s="960">
        <f>R76*T76</f>
        <v>0</v>
      </c>
      <c r="Y76" s="1254"/>
      <c r="Z76" s="1254"/>
      <c r="AA76" s="1254"/>
      <c r="AB76" s="1254"/>
      <c r="AC76" s="1254"/>
      <c r="AD76" s="1254"/>
      <c r="DJ76" s="2007"/>
    </row>
    <row r="77" spans="1:114" ht="18.75" customHeight="1">
      <c r="A77" s="3027" t="s">
        <v>1788</v>
      </c>
      <c r="B77" s="3027"/>
      <c r="C77" s="3027"/>
      <c r="D77" s="2031"/>
      <c r="E77" s="18" t="s">
        <v>1327</v>
      </c>
      <c r="F77" s="2027">
        <v>350</v>
      </c>
      <c r="G77" s="18" t="s">
        <v>620</v>
      </c>
      <c r="I77" s="3118">
        <v>0.5</v>
      </c>
      <c r="J77" s="3118"/>
      <c r="L77" s="2975">
        <f>SUM(N75:O80)</f>
        <v>25066.799999999999</v>
      </c>
      <c r="M77" s="2975"/>
      <c r="N77" s="2792">
        <f>(IF(AND(D77&gt;0,D77&lt;4),D77*F77,0)+IF(AND(D77&gt;3,D77&lt;8),F77*3,0)+IF(AND(D77&gt;7,D77&lt;21),D77/7*F77*3,0)+IF(AND(D77&gt;20,D77&lt;30),F77*9,0)+IF(D77&gt;29,D77/30*F77*9,0))*(1+V$38+I$77)</f>
        <v>0</v>
      </c>
      <c r="O77" s="2792"/>
      <c r="P77" s="966" t="s">
        <v>1789</v>
      </c>
      <c r="Q77" s="373"/>
      <c r="R77" s="373"/>
      <c r="S77" s="373" t="s">
        <v>1718</v>
      </c>
      <c r="T77" s="1006">
        <v>500</v>
      </c>
      <c r="U77" s="373" t="s">
        <v>1719</v>
      </c>
      <c r="V77" s="974">
        <f>R77*T77</f>
        <v>0</v>
      </c>
      <c r="Y77" s="1254"/>
      <c r="Z77" s="1254"/>
      <c r="AA77" s="1254"/>
      <c r="AB77" s="1254"/>
      <c r="AC77" s="1254"/>
      <c r="AD77" s="1254"/>
      <c r="DJ77" s="2007"/>
    </row>
    <row r="78" spans="1:114" ht="18.75" customHeight="1">
      <c r="A78" s="3027" t="s">
        <v>1332</v>
      </c>
      <c r="B78" s="3027"/>
      <c r="C78" s="3027"/>
      <c r="D78" s="2031">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120</v>
      </c>
      <c r="E78" s="18" t="s">
        <v>1327</v>
      </c>
      <c r="F78" s="2027">
        <f>Pricing!D39</f>
        <v>100</v>
      </c>
      <c r="G78" s="18" t="s">
        <v>620</v>
      </c>
      <c r="I78" s="3118"/>
      <c r="J78" s="3118"/>
      <c r="N78" s="2792">
        <f>(IF(AND(D78&gt;0,D78&lt;4),D78*F78,0)+IF(AND(D78&gt;3,D78&lt;8),F78*3,0)+IF(AND(D78&gt;7,D78&lt;21),D78/7*F78*3,0)+IF(AND(D78&gt;20,D78&lt;30),F78*9,0)+IF(D78&gt;29,D78/30*F78*9,0))*(1+V$38+I$77)</f>
        <v>5697</v>
      </c>
      <c r="O78" s="2792"/>
      <c r="P78" s="859" t="s">
        <v>1790</v>
      </c>
      <c r="Q78" s="77"/>
      <c r="R78" s="1176">
        <f>ROUNDUP(C35/15000,0)</f>
        <v>19</v>
      </c>
      <c r="S78" s="77" t="s">
        <v>1452</v>
      </c>
      <c r="T78" s="1174">
        <f>Pricing!Q39</f>
        <v>27</v>
      </c>
      <c r="U78" s="77" t="s">
        <v>607</v>
      </c>
      <c r="V78" s="960">
        <f>R78*T78*(1+V$38)</f>
        <v>555.32249999999999</v>
      </c>
      <c r="Y78" s="1254"/>
      <c r="Z78" s="1254"/>
      <c r="AA78" s="1254"/>
      <c r="AB78" s="1254"/>
      <c r="AC78" s="1254"/>
      <c r="AD78" s="1254"/>
      <c r="DJ78" s="2007">
        <v>6</v>
      </c>
    </row>
    <row r="79" spans="1:114" ht="18.75" customHeight="1">
      <c r="A79" s="3027" t="s">
        <v>1333</v>
      </c>
      <c r="B79" s="3027"/>
      <c r="C79" s="3027"/>
      <c r="D79" s="2031">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120</v>
      </c>
      <c r="E79" s="18" t="s">
        <v>1327</v>
      </c>
      <c r="F79" s="2027">
        <v>15</v>
      </c>
      <c r="G79" s="18" t="s">
        <v>620</v>
      </c>
      <c r="N79" s="2792">
        <f>(IF(AND(D79&gt;0,D79&lt;4),D79*F79,0)+IF(AND(D79&gt;3,D79&lt;8),F79*3,0)+IF(AND(D79&gt;7,D79&lt;21),D79/7*F79*3,0)+IF(AND(D79&gt;20,D79&lt;30),F79*9,0)+IF(D79&gt;29,D79/30*F79*9,0))*(1+V$38+I$77)</f>
        <v>854.55</v>
      </c>
      <c r="O79" s="2792"/>
      <c r="P79" s="859" t="s">
        <v>629</v>
      </c>
      <c r="Q79" s="77"/>
      <c r="R79" s="1176">
        <f>H61/15000</f>
        <v>18.180199999999999</v>
      </c>
      <c r="S79" s="77" t="s">
        <v>1644</v>
      </c>
      <c r="T79" s="1174">
        <f>Pricing!Q36</f>
        <v>37.799999999999997</v>
      </c>
      <c r="U79" s="77" t="s">
        <v>630</v>
      </c>
      <c r="V79" s="960">
        <f>R79*T79*(1+V$38)</f>
        <v>743.9065137</v>
      </c>
      <c r="Y79" s="1254"/>
      <c r="Z79" s="1254"/>
      <c r="AA79" s="1254"/>
      <c r="AB79" s="1254"/>
      <c r="AC79" s="1254"/>
      <c r="AD79" s="1254"/>
      <c r="DJ79" s="2007">
        <v>6</v>
      </c>
    </row>
    <row r="80" spans="1:114" ht="18.75" customHeight="1">
      <c r="A80" s="3148" t="s">
        <v>1791</v>
      </c>
      <c r="B80" s="3148"/>
      <c r="C80" s="3148"/>
      <c r="D80" s="2028"/>
      <c r="E80" s="976" t="s">
        <v>1792</v>
      </c>
      <c r="F80" s="2029">
        <v>3500</v>
      </c>
      <c r="G80" s="976" t="s">
        <v>1793</v>
      </c>
      <c r="H80" s="976"/>
      <c r="I80" s="976"/>
      <c r="J80" s="976"/>
      <c r="K80" s="976"/>
      <c r="L80" s="2843">
        <f>IF(D28=0,0,N80/D28)</f>
        <v>0</v>
      </c>
      <c r="M80" s="2843"/>
      <c r="N80" s="2867">
        <f>(IF(AND(D80&gt;0,D80&lt;4),D80*F80,0)+IF(AND(D80&gt;3,D80&lt;8),F80*3,0)+IF(AND(D80&gt;7,D80&lt;21),D80/7*F80*3,0)+IF(AND(D80&gt;20,D80&lt;30),F80*9,0)+IF(D80&gt;29,D80/30*F80*9,0))</f>
        <v>0</v>
      </c>
      <c r="O80" s="2867"/>
      <c r="P80" s="859" t="s">
        <v>554</v>
      </c>
      <c r="Q80" s="77"/>
      <c r="R80" s="1176">
        <f>K54</f>
        <v>150272.78562541268</v>
      </c>
      <c r="S80" s="77" t="s">
        <v>1288</v>
      </c>
      <c r="T80" s="1174">
        <v>0.02</v>
      </c>
      <c r="U80" s="77" t="s">
        <v>555</v>
      </c>
      <c r="V80" s="960">
        <f>R80*T80*(1+V$38)</f>
        <v>3253.4058087901849</v>
      </c>
      <c r="Y80" s="1254"/>
      <c r="Z80" s="1254"/>
      <c r="AA80" s="1254"/>
      <c r="AB80" s="1254"/>
      <c r="AC80" s="1254"/>
      <c r="AD80" s="1739"/>
      <c r="DJ80" s="2007">
        <v>6</v>
      </c>
    </row>
    <row r="81" spans="1:114" ht="18.75" customHeight="1">
      <c r="A81" s="979" t="s">
        <v>1336</v>
      </c>
      <c r="B81" s="1215"/>
      <c r="C81" s="1215"/>
      <c r="D81" s="1215"/>
      <c r="E81" s="1215"/>
      <c r="F81" s="1215"/>
      <c r="G81" s="1215"/>
      <c r="H81" s="1215"/>
      <c r="I81" s="1215"/>
      <c r="J81" s="1215"/>
      <c r="K81" s="1215"/>
      <c r="L81" s="1215"/>
      <c r="M81" s="1215"/>
      <c r="N81" s="1215"/>
      <c r="O81" s="2030"/>
      <c r="P81" s="1208" t="s">
        <v>1794</v>
      </c>
      <c r="Q81" s="1209"/>
      <c r="R81" s="1210">
        <v>0</v>
      </c>
      <c r="S81" s="1209" t="s">
        <v>1259</v>
      </c>
      <c r="T81" s="1211">
        <v>5.25</v>
      </c>
      <c r="U81" s="1209" t="s">
        <v>527</v>
      </c>
      <c r="V81" s="974">
        <f>R81*T81*(1+V$38)</f>
        <v>0</v>
      </c>
      <c r="Y81" s="1254"/>
      <c r="Z81" s="1254"/>
      <c r="AA81" s="1254"/>
      <c r="AB81" s="1254"/>
      <c r="AC81" s="1254"/>
      <c r="AD81" s="1254"/>
      <c r="DJ81" s="2007">
        <v>6</v>
      </c>
    </row>
    <row r="82" spans="1:114" ht="18.75" customHeight="1">
      <c r="A82" s="3026" t="s">
        <v>1795</v>
      </c>
      <c r="B82" s="3026"/>
      <c r="C82" s="3026"/>
      <c r="D82" s="2032">
        <v>1.6</v>
      </c>
      <c r="E82" s="1027" t="s">
        <v>1341</v>
      </c>
      <c r="F82" s="3149">
        <f>ROUNDUP(C35/M82*J82,0)</f>
        <v>4546</v>
      </c>
      <c r="G82" s="3149"/>
      <c r="H82" s="983" t="s">
        <v>1259</v>
      </c>
      <c r="I82" s="2033" t="s">
        <v>1796</v>
      </c>
      <c r="J82" s="2034">
        <v>1</v>
      </c>
      <c r="K82" s="2855" t="s">
        <v>1648</v>
      </c>
      <c r="L82" s="2855"/>
      <c r="M82" s="2034">
        <v>60</v>
      </c>
      <c r="N82" s="2829">
        <f t="shared" ref="N82:N87" si="49">D82*F82</f>
        <v>7273.6</v>
      </c>
      <c r="O82" s="2829"/>
      <c r="P82" s="859" t="s">
        <v>1797</v>
      </c>
      <c r="Q82" s="77"/>
      <c r="R82" s="77"/>
      <c r="S82" s="77"/>
      <c r="T82" s="1174"/>
      <c r="U82" s="77"/>
      <c r="V82" s="960">
        <f>T82*R82</f>
        <v>0</v>
      </c>
      <c r="Y82" s="1254"/>
      <c r="Z82" s="1254"/>
      <c r="AA82" s="1254"/>
      <c r="AB82" s="1254"/>
      <c r="AC82" s="1254"/>
      <c r="AD82" s="1254"/>
      <c r="DJ82" s="2007">
        <v>13</v>
      </c>
    </row>
    <row r="83" spans="1:114" ht="18.75" customHeight="1">
      <c r="A83" s="3027" t="s">
        <v>1798</v>
      </c>
      <c r="B83" s="3027"/>
      <c r="C83" s="3027"/>
      <c r="D83" s="2035">
        <v>0.65</v>
      </c>
      <c r="E83" s="18" t="s">
        <v>1341</v>
      </c>
      <c r="F83" s="3150">
        <f>ROUNDUP(C35/M83*2-F82,0)</f>
        <v>31815</v>
      </c>
      <c r="G83" s="3150"/>
      <c r="H83" s="18" t="s">
        <v>1259</v>
      </c>
      <c r="K83" s="2857" t="s">
        <v>1648</v>
      </c>
      <c r="L83" s="2857"/>
      <c r="M83" s="3151">
        <v>15</v>
      </c>
      <c r="N83" s="2792">
        <f t="shared" si="49"/>
        <v>20679.75</v>
      </c>
      <c r="O83" s="2792"/>
      <c r="P83" s="18" t="s">
        <v>1797</v>
      </c>
      <c r="V83" s="960">
        <f>T83*R83</f>
        <v>0</v>
      </c>
      <c r="Y83" s="1254"/>
      <c r="Z83" s="1254"/>
      <c r="AA83" s="1254"/>
      <c r="AB83" s="1254"/>
      <c r="AC83" s="1254"/>
      <c r="AD83" s="1254"/>
      <c r="DJ83" s="2007">
        <v>14</v>
      </c>
    </row>
    <row r="84" spans="1:114" ht="18.75" customHeight="1">
      <c r="A84" s="3027" t="s">
        <v>1799</v>
      </c>
      <c r="B84" s="3027"/>
      <c r="C84" s="3027"/>
      <c r="D84" s="2036">
        <f>Pricing!E71</f>
        <v>0.45</v>
      </c>
      <c r="E84" s="1035" t="s">
        <v>1341</v>
      </c>
      <c r="F84" s="3150">
        <f>F83</f>
        <v>31815</v>
      </c>
      <c r="G84" s="3150"/>
      <c r="H84" s="18" t="s">
        <v>1259</v>
      </c>
      <c r="K84" s="2857"/>
      <c r="L84" s="2857"/>
      <c r="M84" s="3151"/>
      <c r="N84" s="2792">
        <f t="shared" si="49"/>
        <v>14316.75</v>
      </c>
      <c r="O84" s="2792"/>
      <c r="P84" s="1208" t="s">
        <v>1108</v>
      </c>
      <c r="Q84" s="1209"/>
      <c r="R84" s="1209"/>
      <c r="S84" s="1209"/>
      <c r="T84" s="1211"/>
      <c r="U84" s="1209"/>
      <c r="V84" s="974">
        <f>T84*R84</f>
        <v>0</v>
      </c>
      <c r="Y84" s="1254"/>
      <c r="Z84" s="1254"/>
      <c r="AA84" s="1254"/>
      <c r="AB84" s="1254"/>
      <c r="AC84" s="1254"/>
      <c r="AD84" s="1254"/>
      <c r="DJ84" s="2007">
        <v>15</v>
      </c>
    </row>
    <row r="85" spans="1:114" ht="18.75" customHeight="1">
      <c r="A85" s="963" t="s">
        <v>1800</v>
      </c>
      <c r="B85" s="17"/>
      <c r="C85" s="17"/>
      <c r="D85" s="2036">
        <v>0</v>
      </c>
      <c r="E85" s="18" t="s">
        <v>1285</v>
      </c>
      <c r="F85" s="3152">
        <f>R35</f>
        <v>4832.412407407407</v>
      </c>
      <c r="G85" s="3152"/>
      <c r="H85" s="18" t="s">
        <v>998</v>
      </c>
      <c r="J85" s="500"/>
      <c r="K85" s="1612"/>
      <c r="L85" s="1612"/>
      <c r="M85" s="986"/>
      <c r="N85" s="2792">
        <f t="shared" si="49"/>
        <v>0</v>
      </c>
      <c r="O85" s="2792"/>
      <c r="P85" s="859"/>
      <c r="Q85" s="77"/>
      <c r="R85" s="77"/>
      <c r="S85" s="77"/>
      <c r="T85" s="1174"/>
      <c r="U85" s="77"/>
      <c r="V85" s="960"/>
      <c r="Y85" s="1254"/>
      <c r="Z85" s="1254"/>
      <c r="AA85" s="1254"/>
      <c r="AB85" s="1254"/>
      <c r="AC85" s="1254"/>
      <c r="AD85" s="1254"/>
      <c r="DJ85" s="2007"/>
    </row>
    <row r="86" spans="1:114" ht="18.75" customHeight="1">
      <c r="A86" s="2955" t="s">
        <v>1801</v>
      </c>
      <c r="B86" s="2955"/>
      <c r="C86" s="2955"/>
      <c r="D86" s="2036">
        <v>2.5</v>
      </c>
      <c r="E86" s="18" t="s">
        <v>1618</v>
      </c>
      <c r="F86" s="3153"/>
      <c r="G86" s="3153"/>
      <c r="H86" s="18" t="s">
        <v>1418</v>
      </c>
      <c r="L86" s="163"/>
      <c r="M86" s="774"/>
      <c r="N86" s="2792">
        <f t="shared" si="49"/>
        <v>0</v>
      </c>
      <c r="O86" s="2792"/>
      <c r="P86" s="859" t="s">
        <v>646</v>
      </c>
      <c r="Q86" s="77"/>
      <c r="R86" s="1176">
        <f>ROUNDUP(H61/350/55,0)</f>
        <v>15</v>
      </c>
      <c r="S86" s="77" t="s">
        <v>1649</v>
      </c>
      <c r="T86" s="1174">
        <f>Pricing!Q44</f>
        <v>567.5</v>
      </c>
      <c r="U86" s="77" t="s">
        <v>647</v>
      </c>
      <c r="V86" s="960">
        <f>T86*R86</f>
        <v>8512.5</v>
      </c>
      <c r="Y86" s="1254"/>
      <c r="Z86" s="1254"/>
      <c r="AA86" s="1254"/>
      <c r="AB86" s="1254"/>
      <c r="AC86" s="1254"/>
      <c r="AD86" s="1254"/>
      <c r="DJ86" s="2007">
        <v>10</v>
      </c>
    </row>
    <row r="87" spans="1:114" ht="18.75" customHeight="1">
      <c r="A87" s="963" t="s">
        <v>1340</v>
      </c>
      <c r="B87" s="380"/>
      <c r="C87" s="380"/>
      <c r="D87" s="2035">
        <v>6</v>
      </c>
      <c r="E87" s="1013" t="s">
        <v>1341</v>
      </c>
      <c r="F87" s="3154">
        <f>SUM(H10:H34)</f>
        <v>0</v>
      </c>
      <c r="G87" s="3154"/>
      <c r="H87" s="3155" t="s">
        <v>1259</v>
      </c>
      <c r="I87" s="3155"/>
      <c r="M87" s="500"/>
      <c r="N87" s="2792">
        <f t="shared" si="49"/>
        <v>0</v>
      </c>
      <c r="O87" s="2792"/>
      <c r="P87" s="1208" t="s">
        <v>649</v>
      </c>
      <c r="Q87" s="1209"/>
      <c r="R87" s="1210">
        <f>BS76</f>
        <v>0</v>
      </c>
      <c r="S87" s="1209" t="s">
        <v>1649</v>
      </c>
      <c r="T87" s="1211">
        <f>Pricing!Q45</f>
        <v>542</v>
      </c>
      <c r="U87" s="1209" t="s">
        <v>647</v>
      </c>
      <c r="V87" s="974">
        <f>T87*R87</f>
        <v>0</v>
      </c>
      <c r="Y87" s="1254"/>
      <c r="Z87" s="1254"/>
      <c r="AA87" s="1254"/>
      <c r="AB87" s="1254"/>
      <c r="AC87" s="1254"/>
      <c r="AD87" s="1254"/>
      <c r="DJ87" s="2007">
        <v>10</v>
      </c>
    </row>
    <row r="88" spans="1:114" ht="18" customHeight="1">
      <c r="A88" s="2955" t="s">
        <v>1802</v>
      </c>
      <c r="B88" s="2955"/>
      <c r="C88" s="2955"/>
      <c r="D88" s="2037">
        <v>5</v>
      </c>
      <c r="E88" s="18" t="s">
        <v>1618</v>
      </c>
      <c r="F88" s="3154">
        <f>BS35+BS36</f>
        <v>0</v>
      </c>
      <c r="G88" s="3154"/>
      <c r="H88" s="18" t="s">
        <v>1418</v>
      </c>
      <c r="M88" s="774"/>
      <c r="N88" s="2792">
        <f>IF(D88=0,0,D88*F88)</f>
        <v>0</v>
      </c>
      <c r="O88" s="2792"/>
      <c r="P88" s="574"/>
      <c r="V88" s="1037"/>
      <c r="Y88" s="1254"/>
      <c r="Z88" s="1254"/>
      <c r="AA88" s="1254"/>
      <c r="AB88" s="1254"/>
      <c r="AC88" s="1254"/>
      <c r="AD88" s="1254"/>
      <c r="DJ88" s="2007"/>
    </row>
    <row r="89" spans="1:114" ht="24.75" customHeight="1">
      <c r="A89" s="2955" t="s">
        <v>1346</v>
      </c>
      <c r="B89" s="2955"/>
      <c r="C89" s="2955"/>
      <c r="D89" s="2026"/>
      <c r="E89" s="861" t="s">
        <v>1347</v>
      </c>
      <c r="F89" s="3156">
        <v>200</v>
      </c>
      <c r="G89" s="3156"/>
      <c r="H89" s="18" t="s">
        <v>620</v>
      </c>
      <c r="N89" s="2792">
        <f>D89*F89</f>
        <v>0</v>
      </c>
      <c r="O89" s="2792"/>
      <c r="P89" s="2864" t="s">
        <v>1349</v>
      </c>
      <c r="Q89" s="2864"/>
      <c r="R89" s="919">
        <v>18</v>
      </c>
      <c r="S89" s="18" t="s">
        <v>1350</v>
      </c>
      <c r="V89" s="1042"/>
      <c r="Y89" s="1254"/>
      <c r="Z89" s="1254"/>
      <c r="AA89" s="1254"/>
      <c r="AB89" s="1254"/>
      <c r="AC89" s="1254"/>
      <c r="AD89" s="1254"/>
      <c r="DJ89" s="2007"/>
    </row>
    <row r="90" spans="1:114" ht="20.25" customHeight="1">
      <c r="A90" s="3157" t="s">
        <v>1803</v>
      </c>
      <c r="B90" s="3157"/>
      <c r="C90" s="3157"/>
      <c r="D90" s="2038">
        <v>0.03</v>
      </c>
      <c r="E90" s="747"/>
      <c r="F90" s="3158"/>
      <c r="G90" s="3158"/>
      <c r="H90" s="747" t="s">
        <v>1804</v>
      </c>
      <c r="I90" s="747"/>
      <c r="J90" s="747"/>
      <c r="K90" s="747"/>
      <c r="L90" s="747"/>
      <c r="M90" s="2039"/>
      <c r="N90" s="3159">
        <f>D90*F90</f>
        <v>0</v>
      </c>
      <c r="O90" s="3159"/>
      <c r="P90" s="577" t="s">
        <v>1650</v>
      </c>
      <c r="Q90" s="976"/>
      <c r="R90" s="2040">
        <f>F82</f>
        <v>4546</v>
      </c>
      <c r="S90" s="976" t="s">
        <v>1354</v>
      </c>
      <c r="T90" s="2871">
        <f>Pricing!Q50</f>
        <v>4.9950000000000001</v>
      </c>
      <c r="U90" s="2871"/>
      <c r="V90" s="703">
        <f>T90*R90</f>
        <v>22707.27</v>
      </c>
      <c r="Y90" s="1254"/>
      <c r="Z90" s="1254"/>
      <c r="AA90" s="1254"/>
      <c r="AB90" s="1254"/>
      <c r="AC90" s="1254"/>
      <c r="AD90" s="1254"/>
      <c r="DJ90" s="2007">
        <v>5</v>
      </c>
    </row>
    <row r="91" spans="1:114" ht="20.25" customHeight="1">
      <c r="A91" s="2872" t="s">
        <v>1191</v>
      </c>
      <c r="B91" s="2872"/>
      <c r="C91" s="2872"/>
      <c r="D91" s="2041">
        <v>0</v>
      </c>
      <c r="E91" s="2042" t="s">
        <v>1465</v>
      </c>
      <c r="F91" s="2873">
        <f>(SUM(N47:O59)+SUM(K61:L67)+SUM(N61:O67)+SUM(N70:O72)+SUM(N75:O80)+SUM(N82:O90))*D91</f>
        <v>0</v>
      </c>
      <c r="G91" s="2873"/>
      <c r="H91" s="2043" t="s">
        <v>1039</v>
      </c>
      <c r="I91" s="2043"/>
      <c r="J91" s="2043"/>
      <c r="K91" s="2043"/>
      <c r="L91" s="2043"/>
      <c r="M91" s="2044"/>
      <c r="N91" s="2874">
        <f>F91</f>
        <v>0</v>
      </c>
      <c r="O91" s="2874"/>
      <c r="P91" s="577"/>
      <c r="Q91" s="976"/>
      <c r="R91" s="976"/>
      <c r="S91" s="976"/>
      <c r="T91" s="2871"/>
      <c r="U91" s="2871"/>
      <c r="V91" s="703"/>
      <c r="Y91" s="1254"/>
      <c r="Z91" s="1254"/>
      <c r="AA91" s="1254"/>
      <c r="AB91" s="1254"/>
      <c r="AC91" s="1254"/>
      <c r="AD91" s="1254"/>
      <c r="DJ91" s="2007">
        <v>5</v>
      </c>
    </row>
    <row r="92" spans="1:114" ht="20.25" customHeight="1">
      <c r="A92" s="577"/>
      <c r="B92" s="976"/>
      <c r="C92" s="976"/>
      <c r="D92" s="976"/>
      <c r="E92" s="976"/>
      <c r="F92" s="976"/>
      <c r="G92" s="976"/>
      <c r="H92" s="802"/>
      <c r="I92" s="802"/>
      <c r="J92" s="2045"/>
      <c r="K92" s="1577"/>
      <c r="L92" s="1577"/>
      <c r="M92" s="976"/>
      <c r="N92" s="2046"/>
      <c r="O92" s="2047"/>
      <c r="V92" s="1052">
        <f>SUM(V47:V90)</f>
        <v>91016.282990458945</v>
      </c>
      <c r="Y92" s="1254"/>
      <c r="Z92" s="1254"/>
      <c r="AA92" s="1254"/>
      <c r="AB92" s="1254"/>
      <c r="AC92" s="1254"/>
      <c r="AD92" s="1254"/>
    </row>
    <row r="93" spans="1:114">
      <c r="A93" s="888"/>
      <c r="B93" s="889"/>
      <c r="C93" s="889"/>
      <c r="D93" s="889"/>
      <c r="E93" s="889"/>
      <c r="F93" s="889"/>
      <c r="G93" s="889"/>
      <c r="H93" s="889"/>
      <c r="I93" s="889"/>
      <c r="J93" s="889"/>
      <c r="K93" s="891"/>
      <c r="L93" s="889"/>
      <c r="M93" s="889"/>
      <c r="N93" s="889"/>
      <c r="O93" s="889"/>
      <c r="P93" s="889"/>
      <c r="Q93" s="889"/>
      <c r="R93" s="889"/>
      <c r="S93" s="889"/>
      <c r="T93" s="889"/>
      <c r="U93" s="889"/>
      <c r="V93" s="1053"/>
      <c r="Y93" s="1254"/>
      <c r="Z93" s="1254"/>
      <c r="AA93" s="1254"/>
      <c r="AB93" s="1254"/>
      <c r="AC93" s="1254"/>
      <c r="AD93" s="1254"/>
    </row>
    <row r="94" spans="1:114" ht="26.25" customHeight="1">
      <c r="A94" s="2786" t="s">
        <v>1262</v>
      </c>
      <c r="B94" s="2786"/>
      <c r="C94" s="2786"/>
      <c r="D94" s="2786" t="s">
        <v>982</v>
      </c>
      <c r="E94" s="2786"/>
      <c r="F94" s="2786" t="s">
        <v>1263</v>
      </c>
      <c r="G94" s="2786"/>
      <c r="H94" s="2786"/>
      <c r="I94" s="1054" t="s">
        <v>1264</v>
      </c>
      <c r="J94" s="1055"/>
      <c r="K94" s="1056"/>
      <c r="L94" s="2789" t="s">
        <v>1265</v>
      </c>
      <c r="M94" s="2789"/>
      <c r="N94" s="1058"/>
      <c r="O94" s="1059"/>
      <c r="P94" s="895"/>
      <c r="Q94" s="574" t="s">
        <v>1266</v>
      </c>
      <c r="S94" s="18" t="s">
        <v>1267</v>
      </c>
      <c r="T94" s="1060" t="str">
        <f>T38</f>
        <v>N</v>
      </c>
      <c r="U94" s="793" t="s">
        <v>1268</v>
      </c>
      <c r="V94" s="1061">
        <f>V38</f>
        <v>8.2500000000000004E-2</v>
      </c>
      <c r="Y94" s="1254"/>
      <c r="Z94" s="1254"/>
      <c r="AA94" s="1254"/>
      <c r="AB94" s="1254"/>
      <c r="AC94" s="1254"/>
      <c r="AD94" s="1254"/>
    </row>
    <row r="95" spans="1:114" ht="15.45">
      <c r="A95" s="899" t="s">
        <v>1269</v>
      </c>
      <c r="B95" s="2865">
        <f>B39</f>
        <v>6.0652185845451285</v>
      </c>
      <c r="C95" s="2865"/>
      <c r="D95" s="2866">
        <f>D39</f>
        <v>1654003.3036612102</v>
      </c>
      <c r="E95" s="2866"/>
      <c r="F95" s="901">
        <f>F39</f>
        <v>0.15254237288135586</v>
      </c>
      <c r="G95" s="2867">
        <f>G39</f>
        <v>252305.58869408281</v>
      </c>
      <c r="H95" s="2867"/>
      <c r="I95" s="2868">
        <f>I39</f>
        <v>5.1400157496145162</v>
      </c>
      <c r="J95" s="2868"/>
      <c r="K95" s="2868"/>
      <c r="L95" s="1623">
        <f>L39</f>
        <v>0.18</v>
      </c>
      <c r="M95" s="1489"/>
      <c r="N95" s="1489"/>
      <c r="O95" s="1490"/>
      <c r="P95" s="1137"/>
      <c r="Q95" s="902" t="s">
        <v>980</v>
      </c>
      <c r="T95" s="2942">
        <f>T39</f>
        <v>1401697.7149671274</v>
      </c>
      <c r="U95" s="2942"/>
      <c r="V95" s="798"/>
      <c r="Y95" s="1254"/>
      <c r="Z95" s="1254"/>
      <c r="AA95" s="1254"/>
      <c r="AB95" s="1254"/>
      <c r="AC95" s="1254"/>
      <c r="AD95" s="1254"/>
    </row>
    <row r="97" spans="1:4">
      <c r="B97" s="1581"/>
      <c r="D97" s="500">
        <f>D99-T95</f>
        <v>0</v>
      </c>
    </row>
    <row r="98" spans="1:4" ht="15.45">
      <c r="A98" s="684" t="s">
        <v>1055</v>
      </c>
      <c r="B98" s="1243" t="s">
        <v>1655</v>
      </c>
      <c r="C98" s="686"/>
      <c r="D98" s="689">
        <f>D99-T95</f>
        <v>0</v>
      </c>
    </row>
    <row r="99" spans="1:4">
      <c r="A99" s="700">
        <v>10</v>
      </c>
      <c r="B99" s="702"/>
      <c r="C99" s="702"/>
      <c r="D99" s="703">
        <f>SUM(D100:D156)-D132-D142</f>
        <v>1401697.714967127</v>
      </c>
    </row>
    <row r="100" spans="1:4">
      <c r="A100" s="1244">
        <f>Summary!BH74</f>
        <v>100001</v>
      </c>
      <c r="B100" s="2048" t="str">
        <f>Summary!BI74</f>
        <v>General Requirements</v>
      </c>
      <c r="C100" s="296"/>
      <c r="D100" s="717">
        <f>N90</f>
        <v>0</v>
      </c>
    </row>
    <row r="101" spans="1:4">
      <c r="A101" s="1244">
        <f>Summary!BH75</f>
        <v>100002</v>
      </c>
      <c r="B101" s="2048" t="str">
        <f>Summary!BI75</f>
        <v>Lumber</v>
      </c>
      <c r="C101" s="296"/>
      <c r="D101" s="717">
        <f>SUM(V47:V77)</f>
        <v>55243.878167968753</v>
      </c>
    </row>
    <row r="102" spans="1:4">
      <c r="A102" s="1244">
        <f>Summary!BH76</f>
        <v>100003</v>
      </c>
      <c r="B102" s="2048" t="str">
        <f>Summary!BI76</f>
        <v>Sand Material</v>
      </c>
      <c r="C102" s="296"/>
      <c r="D102" s="717">
        <f>N57</f>
        <v>48289.052060185189</v>
      </c>
    </row>
    <row r="103" spans="1:4">
      <c r="A103" s="1244">
        <f>Summary!BH77</f>
        <v>100004</v>
      </c>
      <c r="B103" s="2048" t="str">
        <f>Summary!BI77</f>
        <v>Rock Material</v>
      </c>
      <c r="C103" s="296"/>
      <c r="D103" s="717">
        <f>N58</f>
        <v>0</v>
      </c>
    </row>
    <row r="104" spans="1:4">
      <c r="A104" s="1244">
        <f>Summary!BH78</f>
        <v>100005</v>
      </c>
      <c r="B104" s="2048" t="str">
        <f>Summary!BI78</f>
        <v>Reinforcement Material</v>
      </c>
      <c r="C104" s="296"/>
      <c r="D104" s="717">
        <f>N54+N55</f>
        <v>97602.174263705529</v>
      </c>
    </row>
    <row r="105" spans="1:4">
      <c r="A105" s="1244">
        <f>Summary!BH79</f>
        <v>100006</v>
      </c>
      <c r="B105" s="2048" t="str">
        <f>Summary!BI79</f>
        <v>Reinforcement Accessories</v>
      </c>
      <c r="C105" s="296"/>
      <c r="D105" s="717">
        <f>SUM(V78:DI81)+V90</f>
        <v>27259.904822490185</v>
      </c>
    </row>
    <row r="106" spans="1:4">
      <c r="A106" s="1244">
        <f>Summary!BH80</f>
        <v>100007</v>
      </c>
      <c r="B106" s="2048" t="str">
        <f>Summary!BI80</f>
        <v>PT Cables</v>
      </c>
      <c r="C106" s="296"/>
      <c r="D106" s="717">
        <f>N56</f>
        <v>0</v>
      </c>
    </row>
    <row r="107" spans="1:4">
      <c r="A107" s="1244">
        <f>Summary!BH81</f>
        <v>100008</v>
      </c>
      <c r="B107" s="2048" t="str">
        <f>Summary!BI81</f>
        <v>Concrete Material</v>
      </c>
      <c r="C107" s="296"/>
      <c r="D107" s="717">
        <f>SUM(N47:O53)</f>
        <v>784662.96465277765</v>
      </c>
    </row>
    <row r="108" spans="1:4">
      <c r="A108" s="1244">
        <f>Summary!BH82</f>
        <v>100009</v>
      </c>
      <c r="B108" s="2048" t="str">
        <f>Summary!BI82</f>
        <v>Carton Forms</v>
      </c>
      <c r="C108" s="296"/>
      <c r="D108" s="717"/>
    </row>
    <row r="109" spans="1:4">
      <c r="A109" s="1244">
        <f>Summary!BH83</f>
        <v>100010</v>
      </c>
      <c r="B109" s="2048" t="str">
        <f>Summary!BI83</f>
        <v>Cure/Sealers</v>
      </c>
      <c r="C109" s="296"/>
      <c r="D109" s="717">
        <f>SUM(V84:V87)</f>
        <v>8512.5</v>
      </c>
    </row>
    <row r="110" spans="1:4">
      <c r="A110" s="1244">
        <f>Summary!BH84</f>
        <v>100011</v>
      </c>
      <c r="B110" s="2048" t="str">
        <f>Summary!BI84</f>
        <v>Patch/Grout</v>
      </c>
      <c r="C110" s="296"/>
      <c r="D110" s="717"/>
    </row>
    <row r="111" spans="1:4">
      <c r="A111" s="1244">
        <f>Summary!BH85</f>
        <v>100012</v>
      </c>
      <c r="B111" s="2048" t="str">
        <f>Summary!BI85</f>
        <v>Poly/Vapor Barrier</v>
      </c>
      <c r="C111" s="296"/>
      <c r="D111" s="717"/>
    </row>
    <row r="112" spans="1:4">
      <c r="A112" s="1244">
        <f>Summary!BH86</f>
        <v>100013</v>
      </c>
      <c r="B112" s="2048" t="str">
        <f>Summary!BI86</f>
        <v>Special Material</v>
      </c>
      <c r="C112" s="296"/>
      <c r="D112" s="717">
        <f>V82</f>
        <v>0</v>
      </c>
    </row>
    <row r="113" spans="1:4">
      <c r="A113" s="1244">
        <f>Summary!BH87</f>
        <v>100014</v>
      </c>
      <c r="B113" s="2048" t="str">
        <f>Summary!BI87</f>
        <v>Special Material</v>
      </c>
      <c r="C113" s="296"/>
      <c r="D113" s="717">
        <f>V83</f>
        <v>0</v>
      </c>
    </row>
    <row r="114" spans="1:4">
      <c r="A114" s="1244">
        <f>Summary!BH88</f>
        <v>100015</v>
      </c>
      <c r="B114" s="2048" t="str">
        <f>Summary!BI88</f>
        <v>PPE/Safety</v>
      </c>
      <c r="C114" s="296"/>
      <c r="D114" s="717">
        <f>V84</f>
        <v>0</v>
      </c>
    </row>
    <row r="115" spans="1:4">
      <c r="A115" s="1244">
        <f>Summary!BH89</f>
        <v>100020</v>
      </c>
      <c r="B115" s="2048" t="str">
        <f>Summary!BI89</f>
        <v>Supervision</v>
      </c>
      <c r="C115" s="296"/>
      <c r="D115" s="717">
        <f>SUM(N70:O71)</f>
        <v>32451.657000000003</v>
      </c>
    </row>
    <row r="116" spans="1:4">
      <c r="A116" s="1244">
        <f>Summary!BH90</f>
        <v>100021</v>
      </c>
      <c r="B116" s="2048" t="str">
        <f>Summary!BI90</f>
        <v>Supervision Expense</v>
      </c>
      <c r="C116" s="296"/>
      <c r="D116" s="717">
        <f>SUM(N72)</f>
        <v>7635.6840000000002</v>
      </c>
    </row>
    <row r="117" spans="1:4">
      <c r="A117" s="1244">
        <f>Summary!BH91</f>
        <v>100022</v>
      </c>
      <c r="B117" s="2048" t="str">
        <f>Summary!BI91</f>
        <v>Project Management</v>
      </c>
      <c r="C117" s="296"/>
      <c r="D117" s="717">
        <f>N73</f>
        <v>0</v>
      </c>
    </row>
    <row r="118" spans="1:4">
      <c r="A118" s="1244">
        <f>Summary!BH92</f>
        <v>100023</v>
      </c>
      <c r="B118" s="2048" t="str">
        <f>Summary!BI92</f>
        <v>Labor Grade, Poly, Reinf.</v>
      </c>
      <c r="C118" s="296"/>
      <c r="D118" s="717">
        <f>K64</f>
        <v>0</v>
      </c>
    </row>
    <row r="119" spans="1:4">
      <c r="A119" s="1244">
        <f>Summary!BH93</f>
        <v>100024</v>
      </c>
      <c r="B119" s="2048" t="str">
        <f>Summary!BI93</f>
        <v>Labor Place &amp; Finish</v>
      </c>
      <c r="C119" s="296"/>
      <c r="D119" s="717">
        <f>K62</f>
        <v>0</v>
      </c>
    </row>
    <row r="120" spans="1:4">
      <c r="A120" s="1244">
        <f>Summary!BH94</f>
        <v>100025</v>
      </c>
      <c r="B120" s="2048" t="str">
        <f>Summary!BI94</f>
        <v>Labor Drops</v>
      </c>
      <c r="C120" s="296"/>
      <c r="D120" s="717">
        <f>K66</f>
        <v>0</v>
      </c>
    </row>
    <row r="121" spans="1:4">
      <c r="A121" s="1244">
        <f>Summary!BH95</f>
        <v>100026</v>
      </c>
      <c r="B121" s="2048" t="str">
        <f>Summary!BI95</f>
        <v>Labor Strip Forms</v>
      </c>
      <c r="C121" s="296"/>
      <c r="D121" s="717">
        <f>K63</f>
        <v>0</v>
      </c>
    </row>
    <row r="122" spans="1:4">
      <c r="A122" s="1244">
        <f>Summary!BH96</f>
        <v>100027</v>
      </c>
      <c r="B122" s="2048" t="str">
        <f>Summary!BI96</f>
        <v>Labor Burden</v>
      </c>
      <c r="C122" s="296"/>
      <c r="D122" s="717"/>
    </row>
    <row r="123" spans="1:4">
      <c r="A123" s="1244">
        <f>Summary!BH98</f>
        <v>100030</v>
      </c>
      <c r="B123" s="2048" t="str">
        <f>Summary!BI98</f>
        <v>Pumping</v>
      </c>
      <c r="C123" s="296"/>
      <c r="D123" s="717">
        <f>N85</f>
        <v>0</v>
      </c>
    </row>
    <row r="124" spans="1:4">
      <c r="A124" s="1244">
        <f>Summary!BH99</f>
        <v>100031</v>
      </c>
      <c r="B124" s="2048" t="str">
        <f>Summary!BI99</f>
        <v>Earth Work/Excavation</v>
      </c>
      <c r="C124" s="296"/>
      <c r="D124" s="717"/>
    </row>
    <row r="125" spans="1:4">
      <c r="A125" s="1244">
        <f>Summary!BH100</f>
        <v>100032</v>
      </c>
      <c r="B125" s="2048" t="str">
        <f>Summary!BI100</f>
        <v>Drilling</v>
      </c>
      <c r="C125" s="296"/>
      <c r="D125" s="717"/>
    </row>
    <row r="126" spans="1:4">
      <c r="A126" s="1244">
        <f>Summary!BH101</f>
        <v>100033</v>
      </c>
      <c r="B126" s="2048" t="str">
        <f>Summary!BI101</f>
        <v>Haul off</v>
      </c>
      <c r="C126" s="296"/>
      <c r="D126" s="717"/>
    </row>
    <row r="127" spans="1:4">
      <c r="A127" s="1244">
        <f>Summary!BH102</f>
        <v>100034</v>
      </c>
      <c r="B127" s="2048" t="str">
        <f>Summary!BI102</f>
        <v>Saw Cutting/Sealing</v>
      </c>
      <c r="C127" s="296"/>
      <c r="D127" s="717">
        <f>N82+N83+N84</f>
        <v>42270.1</v>
      </c>
    </row>
    <row r="128" spans="1:4">
      <c r="A128" s="1244">
        <f>Summary!BH103</f>
        <v>100035</v>
      </c>
      <c r="B128" s="2048" t="str">
        <f>Summary!BI103</f>
        <v>Demolition</v>
      </c>
      <c r="C128" s="296"/>
      <c r="D128" s="717">
        <f>N87</f>
        <v>0</v>
      </c>
    </row>
    <row r="129" spans="1:4">
      <c r="A129" s="1244">
        <f>Summary!BH104</f>
        <v>100037</v>
      </c>
      <c r="B129" s="2048" t="str">
        <f>Summary!BI104</f>
        <v>Waterproofing</v>
      </c>
      <c r="C129" s="296"/>
      <c r="D129" s="717"/>
    </row>
    <row r="130" spans="1:4">
      <c r="A130" s="1244">
        <f>Summary!BH105</f>
        <v>100038</v>
      </c>
      <c r="B130" s="2048" t="str">
        <f>Summary!BI105</f>
        <v>Crain/Hoisting</v>
      </c>
      <c r="C130" s="296"/>
      <c r="D130" s="717"/>
    </row>
    <row r="131" spans="1:4">
      <c r="A131" s="1246">
        <f>Summary!BH106</f>
        <v>100039</v>
      </c>
      <c r="B131" s="2049" t="str">
        <f>Summary!BI106</f>
        <v>Forming Systems</v>
      </c>
      <c r="C131" s="765"/>
      <c r="D131" s="722">
        <f>N59+N88</f>
        <v>0</v>
      </c>
    </row>
    <row r="132" spans="1:4">
      <c r="A132" s="1833">
        <f>Summary!BH107</f>
        <v>100040</v>
      </c>
      <c r="B132" s="2050" t="str">
        <f>Summary!BI107</f>
        <v>Total Sub Labor</v>
      </c>
      <c r="C132" s="1835"/>
      <c r="D132" s="1836">
        <f>SUM(D133:D140)</f>
        <v>272703</v>
      </c>
    </row>
    <row r="133" spans="1:4">
      <c r="A133" s="1244">
        <f>Summary!BH108</f>
        <v>100041</v>
      </c>
      <c r="B133" s="2048" t="str">
        <f>Summary!BI108</f>
        <v>Labor Forming</v>
      </c>
      <c r="C133" s="296"/>
      <c r="D133" s="708">
        <f>N61</f>
        <v>81810.899999999994</v>
      </c>
    </row>
    <row r="134" spans="1:4">
      <c r="A134" s="1244">
        <f>Summary!BH109</f>
        <v>100042</v>
      </c>
      <c r="B134" s="2048" t="str">
        <f>Summary!BI109</f>
        <v>Labor Grade, Poly, Reinf.</v>
      </c>
      <c r="C134" s="715"/>
      <c r="D134" s="708">
        <f>N62</f>
        <v>149986.65000000002</v>
      </c>
    </row>
    <row r="135" spans="1:4">
      <c r="A135" s="1244">
        <f>Summary!BH110</f>
        <v>100043</v>
      </c>
      <c r="B135" s="2048" t="str">
        <f>Summary!BI110</f>
        <v>Labor Place &amp; Finish</v>
      </c>
      <c r="C135" s="296"/>
      <c r="D135" s="717">
        <f>N66+N86</f>
        <v>0</v>
      </c>
    </row>
    <row r="136" spans="1:4">
      <c r="A136" s="1244">
        <f>Summary!BH111</f>
        <v>100044</v>
      </c>
      <c r="B136" s="2048" t="str">
        <f>Summary!BI111</f>
        <v>Labor Drops</v>
      </c>
      <c r="C136" s="296"/>
      <c r="D136" s="717">
        <f>N63</f>
        <v>40905.449999999997</v>
      </c>
    </row>
    <row r="137" spans="1:4">
      <c r="A137" s="1244">
        <f>Summary!BH112</f>
        <v>100045</v>
      </c>
      <c r="B137" s="2048" t="str">
        <f>Summary!BI112</f>
        <v>Labor Strip Forms</v>
      </c>
      <c r="C137" s="715"/>
      <c r="D137" s="708"/>
    </row>
    <row r="138" spans="1:4">
      <c r="A138" s="1244">
        <f>Summary!BH113</f>
        <v>100046</v>
      </c>
      <c r="B138" s="2048" t="str">
        <f>Summary!BI113</f>
        <v>Labor Burden</v>
      </c>
      <c r="C138" s="715"/>
      <c r="D138" s="708">
        <f>N64</f>
        <v>0</v>
      </c>
    </row>
    <row r="139" spans="1:4">
      <c r="A139" s="1244">
        <f>Summary!BH114</f>
        <v>100047</v>
      </c>
      <c r="B139" s="2048" t="str">
        <f>Summary!BI114</f>
        <v>Rebar</v>
      </c>
      <c r="C139" s="296"/>
      <c r="D139" s="717">
        <f>N65</f>
        <v>0</v>
      </c>
    </row>
    <row r="140" spans="1:4">
      <c r="A140" s="1246">
        <f>Summary!BH115</f>
        <v>100048</v>
      </c>
      <c r="B140" s="2049" t="str">
        <f>Summary!BI115</f>
        <v>PT Installation</v>
      </c>
      <c r="C140" s="765"/>
      <c r="D140" s="722"/>
    </row>
    <row r="141" spans="1:4">
      <c r="A141" s="1246">
        <f>Summary!BH116</f>
        <v>100049</v>
      </c>
      <c r="B141" s="2049" t="str">
        <f>Summary!BI116</f>
        <v>Extra Hours</v>
      </c>
      <c r="C141" s="765"/>
      <c r="D141" s="722">
        <f>N67</f>
        <v>0</v>
      </c>
    </row>
    <row r="142" spans="1:4">
      <c r="A142" s="1833">
        <f>Summary!BH117</f>
        <v>100060</v>
      </c>
      <c r="B142" s="2050" t="str">
        <f>Summary!BI117</f>
        <v>Total Equipment Rental</v>
      </c>
      <c r="C142" s="1835"/>
      <c r="D142" s="1836">
        <f>SUM(D143:D150)</f>
        <v>25066.799999999999</v>
      </c>
    </row>
    <row r="143" spans="1:4">
      <c r="A143" s="1244">
        <f>Summary!BH118</f>
        <v>100061</v>
      </c>
      <c r="B143" s="2048" t="str">
        <f>Summary!BI118</f>
        <v>SkyTrack</v>
      </c>
      <c r="C143" s="296"/>
      <c r="D143" s="708">
        <f>N75/(1+V$38+I$77)</f>
        <v>0</v>
      </c>
    </row>
    <row r="144" spans="1:4">
      <c r="A144" s="1244">
        <f>Summary!BH119</f>
        <v>100062</v>
      </c>
      <c r="B144" s="2048" t="str">
        <f>Summary!BI119</f>
        <v>Mini Excavator</v>
      </c>
      <c r="C144" s="296"/>
      <c r="D144" s="717">
        <f>N76/(1+V$38+I$77)</f>
        <v>11700</v>
      </c>
    </row>
    <row r="145" spans="1:4">
      <c r="A145" s="1244">
        <f>Summary!BH120</f>
        <v>100063</v>
      </c>
      <c r="B145" s="2048" t="str">
        <f>Summary!BI120</f>
        <v>Trencher</v>
      </c>
      <c r="C145" s="296"/>
      <c r="D145" s="717">
        <f>N77/(1+V$38+I$77)</f>
        <v>0</v>
      </c>
    </row>
    <row r="146" spans="1:4">
      <c r="A146" s="1244">
        <f>Summary!BH121</f>
        <v>100064</v>
      </c>
      <c r="B146" s="2048" t="str">
        <f>Summary!BI121</f>
        <v>Skid Steer</v>
      </c>
      <c r="C146" s="296"/>
      <c r="D146" s="717">
        <f>N78/(1+V$38+I$77)</f>
        <v>3600</v>
      </c>
    </row>
    <row r="147" spans="1:4">
      <c r="A147" s="1244">
        <f>Summary!BH122</f>
        <v>100065</v>
      </c>
      <c r="B147" s="2048" t="str">
        <f>Summary!BI122</f>
        <v>General Equipment Rental</v>
      </c>
      <c r="C147" s="296"/>
      <c r="D147" s="717">
        <f>(N79)/(1+V$38+I$77)+N80</f>
        <v>540</v>
      </c>
    </row>
    <row r="148" spans="1:4">
      <c r="A148" s="1244">
        <f>Summary!BH123</f>
        <v>100066</v>
      </c>
      <c r="B148" s="2048" t="str">
        <f>Summary!BI123</f>
        <v>Fuel</v>
      </c>
      <c r="C148" s="296"/>
      <c r="D148" s="717">
        <f>L77-SUM(D143:D147)</f>
        <v>9226.7999999999993</v>
      </c>
    </row>
    <row r="149" spans="1:4">
      <c r="A149" s="1244">
        <f>Summary!BH124</f>
        <v>100067</v>
      </c>
      <c r="B149" s="2048" t="str">
        <f>Summary!BI124</f>
        <v>Purchased Tools</v>
      </c>
      <c r="C149" s="296"/>
      <c r="D149" s="717"/>
    </row>
    <row r="150" spans="1:4">
      <c r="A150" s="1244">
        <f>Summary!BH125</f>
        <v>100068</v>
      </c>
      <c r="B150" s="2048" t="str">
        <f>Summary!BI125</f>
        <v>Stolen/Damaged</v>
      </c>
      <c r="C150" s="296"/>
      <c r="D150" s="717">
        <v>0</v>
      </c>
    </row>
    <row r="151" spans="1:4">
      <c r="A151" s="1244">
        <f>Summary!BH126</f>
        <v>100070</v>
      </c>
      <c r="B151" s="2048" t="str">
        <f>Summary!BI126</f>
        <v>Out of Town Expense</v>
      </c>
      <c r="C151" s="296"/>
      <c r="D151" s="717">
        <f>N89</f>
        <v>0</v>
      </c>
    </row>
    <row r="152" spans="1:4">
      <c r="A152" s="1244">
        <f>Summary!BH127</f>
        <v>100071</v>
      </c>
      <c r="B152" s="2048" t="str">
        <f>Summary!BI127</f>
        <v>Miscellaneous</v>
      </c>
      <c r="C152" s="296"/>
      <c r="D152" s="717"/>
    </row>
    <row r="153" spans="1:4">
      <c r="A153" s="1244">
        <f>Summary!BH128</f>
        <v>100072</v>
      </c>
      <c r="B153" s="2048" t="str">
        <f>Summary!BI128</f>
        <v>Repairs</v>
      </c>
      <c r="C153" s="296"/>
      <c r="D153" s="717"/>
    </row>
    <row r="154" spans="1:4">
      <c r="A154" s="1244">
        <f>Summary!BH129</f>
        <v>100073</v>
      </c>
      <c r="B154" s="2048" t="str">
        <f>Summary!BI129</f>
        <v>Engineering</v>
      </c>
      <c r="C154" s="296"/>
      <c r="D154" s="717"/>
    </row>
    <row r="155" spans="1:4">
      <c r="A155" s="1244">
        <f>Summary!BH130</f>
        <v>100090</v>
      </c>
      <c r="B155" s="2048" t="str">
        <f>Summary!BI130</f>
        <v>Not Used</v>
      </c>
      <c r="C155" s="296"/>
      <c r="D155" s="717"/>
    </row>
    <row r="156" spans="1:4">
      <c r="A156" s="1244">
        <f>Summary!BH131</f>
        <v>100091</v>
      </c>
      <c r="B156" s="2048" t="str">
        <f>Summary!BI131</f>
        <v>Margin Contingency</v>
      </c>
      <c r="C156" s="296"/>
      <c r="D156" s="717">
        <f>N91</f>
        <v>0</v>
      </c>
    </row>
  </sheetData>
  <mergeCells count="226">
    <mergeCell ref="A94:C94"/>
    <mergeCell ref="D94:E94"/>
    <mergeCell ref="F94:H94"/>
    <mergeCell ref="L94:M94"/>
    <mergeCell ref="B95:C95"/>
    <mergeCell ref="D95:E95"/>
    <mergeCell ref="G95:H95"/>
    <mergeCell ref="I95:K95"/>
    <mergeCell ref="T95:U95"/>
    <mergeCell ref="A89:C89"/>
    <mergeCell ref="F89:G89"/>
    <mergeCell ref="N89:O89"/>
    <mergeCell ref="P89:Q89"/>
    <mergeCell ref="A90:C90"/>
    <mergeCell ref="F90:G90"/>
    <mergeCell ref="N90:O90"/>
    <mergeCell ref="T90:U90"/>
    <mergeCell ref="A91:C91"/>
    <mergeCell ref="F91:G91"/>
    <mergeCell ref="N91:O91"/>
    <mergeCell ref="T91:U91"/>
    <mergeCell ref="F85:G85"/>
    <mergeCell ref="N85:O85"/>
    <mergeCell ref="A86:C86"/>
    <mergeCell ref="F86:G86"/>
    <mergeCell ref="N86:O86"/>
    <mergeCell ref="F87:G87"/>
    <mergeCell ref="H87:I87"/>
    <mergeCell ref="N87:O87"/>
    <mergeCell ref="A88:C88"/>
    <mergeCell ref="F88:G88"/>
    <mergeCell ref="N88:O88"/>
    <mergeCell ref="A82:C82"/>
    <mergeCell ref="F82:G82"/>
    <mergeCell ref="K82:L82"/>
    <mergeCell ref="N82:O82"/>
    <mergeCell ref="A83:C83"/>
    <mergeCell ref="F83:G83"/>
    <mergeCell ref="K83:L84"/>
    <mergeCell ref="M83:M84"/>
    <mergeCell ref="N83:O83"/>
    <mergeCell ref="A84:C84"/>
    <mergeCell ref="F84:G84"/>
    <mergeCell ref="N84:O84"/>
    <mergeCell ref="A77:C77"/>
    <mergeCell ref="I77:J78"/>
    <mergeCell ref="L77:M77"/>
    <mergeCell ref="N77:O77"/>
    <mergeCell ref="A78:C78"/>
    <mergeCell ref="N78:O78"/>
    <mergeCell ref="A79:C79"/>
    <mergeCell ref="N79:O79"/>
    <mergeCell ref="A80:C80"/>
    <mergeCell ref="L80:M80"/>
    <mergeCell ref="N80:O80"/>
    <mergeCell ref="L71:M71"/>
    <mergeCell ref="N71:O71"/>
    <mergeCell ref="N72:O72"/>
    <mergeCell ref="L73:M73"/>
    <mergeCell ref="N73:O73"/>
    <mergeCell ref="A75:C75"/>
    <mergeCell ref="N75:O75"/>
    <mergeCell ref="A76:C76"/>
    <mergeCell ref="I76:J76"/>
    <mergeCell ref="L76:M76"/>
    <mergeCell ref="N76:O76"/>
    <mergeCell ref="D67:E67"/>
    <mergeCell ref="K67:L67"/>
    <mergeCell ref="N67:O67"/>
    <mergeCell ref="D68:E68"/>
    <mergeCell ref="H68:J68"/>
    <mergeCell ref="K68:L68"/>
    <mergeCell ref="N68:O68"/>
    <mergeCell ref="L70:M70"/>
    <mergeCell ref="N70:O70"/>
    <mergeCell ref="D64:E64"/>
    <mergeCell ref="H64:I64"/>
    <mergeCell ref="K64:L64"/>
    <mergeCell ref="N64:O64"/>
    <mergeCell ref="D65:E65"/>
    <mergeCell ref="H65:I65"/>
    <mergeCell ref="K65:L65"/>
    <mergeCell ref="N65:O65"/>
    <mergeCell ref="D66:E66"/>
    <mergeCell ref="H66:I66"/>
    <mergeCell ref="K66:L66"/>
    <mergeCell ref="N66:O66"/>
    <mergeCell ref="K60:L60"/>
    <mergeCell ref="M60:O60"/>
    <mergeCell ref="D61:E61"/>
    <mergeCell ref="G61:G63"/>
    <mergeCell ref="H61:I63"/>
    <mergeCell ref="K61:L61"/>
    <mergeCell ref="N61:O61"/>
    <mergeCell ref="D62:E62"/>
    <mergeCell ref="K62:L62"/>
    <mergeCell ref="N62:O62"/>
    <mergeCell ref="D63:E63"/>
    <mergeCell ref="K63:L63"/>
    <mergeCell ref="N63:O63"/>
    <mergeCell ref="H57:I58"/>
    <mergeCell ref="J57:J58"/>
    <mergeCell ref="K57:L57"/>
    <mergeCell ref="N57:O57"/>
    <mergeCell ref="K58:L58"/>
    <mergeCell ref="N58:O58"/>
    <mergeCell ref="H59:I59"/>
    <mergeCell ref="K59:L59"/>
    <mergeCell ref="N59:O59"/>
    <mergeCell ref="H54:I54"/>
    <mergeCell ref="K54:L54"/>
    <mergeCell ref="N54:O54"/>
    <mergeCell ref="H55:I55"/>
    <mergeCell ref="K55:L55"/>
    <mergeCell ref="N55:O55"/>
    <mergeCell ref="I56:J56"/>
    <mergeCell ref="K56:L56"/>
    <mergeCell ref="N56:O56"/>
    <mergeCell ref="N41:O41"/>
    <mergeCell ref="I42:J42"/>
    <mergeCell ref="K46:L46"/>
    <mergeCell ref="P46:Q46"/>
    <mergeCell ref="H47:I53"/>
    <mergeCell ref="J47:J53"/>
    <mergeCell ref="K47:L47"/>
    <mergeCell ref="N47:O47"/>
    <mergeCell ref="K48:L48"/>
    <mergeCell ref="N48:O48"/>
    <mergeCell ref="K49:L49"/>
    <mergeCell ref="N49:O49"/>
    <mergeCell ref="K50:L50"/>
    <mergeCell ref="N50:O50"/>
    <mergeCell ref="K51:L51"/>
    <mergeCell ref="N51:O51"/>
    <mergeCell ref="K52:L52"/>
    <mergeCell ref="N52:O52"/>
    <mergeCell ref="K53:L53"/>
    <mergeCell ref="N53:O53"/>
    <mergeCell ref="B39:C39"/>
    <mergeCell ref="D39:E39"/>
    <mergeCell ref="G39:H39"/>
    <mergeCell ref="I39:K39"/>
    <mergeCell ref="L39:O39"/>
    <mergeCell ref="T39:U39"/>
    <mergeCell ref="D40:E40"/>
    <mergeCell ref="J40:K40"/>
    <mergeCell ref="M40:N40"/>
    <mergeCell ref="T40:U40"/>
    <mergeCell ref="C35:D35"/>
    <mergeCell ref="M35:N35"/>
    <mergeCell ref="E36:F36"/>
    <mergeCell ref="G36:H36"/>
    <mergeCell ref="T36:U36"/>
    <mergeCell ref="D37:E37"/>
    <mergeCell ref="A38:C38"/>
    <mergeCell ref="D38:E38"/>
    <mergeCell ref="F38:H38"/>
    <mergeCell ref="I38:K38"/>
    <mergeCell ref="L38:M38"/>
    <mergeCell ref="U26:V26"/>
    <mergeCell ref="U27:V27"/>
    <mergeCell ref="U28:V28"/>
    <mergeCell ref="U29:V29"/>
    <mergeCell ref="U30:V30"/>
    <mergeCell ref="U31:V31"/>
    <mergeCell ref="U32:V32"/>
    <mergeCell ref="U33:V33"/>
    <mergeCell ref="U34:V34"/>
    <mergeCell ref="U17:V17"/>
    <mergeCell ref="U18:V18"/>
    <mergeCell ref="U19:V19"/>
    <mergeCell ref="U20:V20"/>
    <mergeCell ref="U21:V21"/>
    <mergeCell ref="U22:V22"/>
    <mergeCell ref="U23:V23"/>
    <mergeCell ref="U24:V24"/>
    <mergeCell ref="U25:V25"/>
    <mergeCell ref="AZ8:BC8"/>
    <mergeCell ref="DJ8:DN8"/>
    <mergeCell ref="U10:V10"/>
    <mergeCell ref="U11:V11"/>
    <mergeCell ref="U12:V12"/>
    <mergeCell ref="U13:V13"/>
    <mergeCell ref="U14:V14"/>
    <mergeCell ref="U15:V15"/>
    <mergeCell ref="U16:V16"/>
    <mergeCell ref="L8:L9"/>
    <mergeCell ref="M8:N8"/>
    <mergeCell ref="O8:O9"/>
    <mergeCell ref="P8:P9"/>
    <mergeCell ref="Q8:Q9"/>
    <mergeCell ref="R8:R9"/>
    <mergeCell ref="S8:S9"/>
    <mergeCell ref="T8:T9"/>
    <mergeCell ref="U8:V9"/>
    <mergeCell ref="B8:B9"/>
    <mergeCell ref="C8:D9"/>
    <mergeCell ref="E8:E9"/>
    <mergeCell ref="F8:F9"/>
    <mergeCell ref="G8:G9"/>
    <mergeCell ref="H8:H9"/>
    <mergeCell ref="I8:I9"/>
    <mergeCell ref="J8:J9"/>
    <mergeCell ref="K8:K9"/>
    <mergeCell ref="I5:M5"/>
    <mergeCell ref="N5:O5"/>
    <mergeCell ref="P5:Q5"/>
    <mergeCell ref="C6:D6"/>
    <mergeCell ref="I6:M6"/>
    <mergeCell ref="N6:O6"/>
    <mergeCell ref="P6:Q6"/>
    <mergeCell ref="C7:D7"/>
    <mergeCell ref="F7:H7"/>
    <mergeCell ref="I7:M7"/>
    <mergeCell ref="U1:V1"/>
    <mergeCell ref="A2:D2"/>
    <mergeCell ref="N2:O2"/>
    <mergeCell ref="P2:Q2"/>
    <mergeCell ref="A3:D3"/>
    <mergeCell ref="I3:M3"/>
    <mergeCell ref="N3:O3"/>
    <mergeCell ref="P3:Q3"/>
    <mergeCell ref="A4:D4"/>
    <mergeCell ref="I4:M4"/>
    <mergeCell ref="N4:O4"/>
    <mergeCell ref="P4:Q4"/>
  </mergeCells>
  <conditionalFormatting sqref="K46:L46">
    <cfRule type="containsText" dxfId="2" priority="2" operator="containsText" text="Missing">
      <formula>NOT(ISERROR(SEARCH("Missing",K46)))</formula>
    </cfRule>
  </conditionalFormatting>
  <hyperlinks>
    <hyperlink ref="E73" r:id="rId1" xr:uid="{00000000-0004-0000-0F00-000000000000}"/>
  </hyperlinks>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0" max="16383" man="1"/>
  </rowBreaks>
  <colBreaks count="1" manualBreakCount="1">
    <brk id="113" max="1048575" man="1"/>
  </colBreak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B9CDE5"/>
    <pageSetUpPr fitToPage="1"/>
  </sheetPr>
  <dimension ref="A1:HW209"/>
  <sheetViews>
    <sheetView topLeftCell="A95" zoomScale="55" zoomScaleNormal="55" zoomScalePageLayoutView="70" workbookViewId="0">
      <selection activeCell="A77" sqref="A77"/>
    </sheetView>
  </sheetViews>
  <sheetFormatPr defaultColWidth="9.15234375" defaultRowHeight="15"/>
  <cols>
    <col min="1" max="2" width="15.84375" style="18" customWidth="1"/>
    <col min="3" max="3" width="15.4609375" style="18" customWidth="1"/>
    <col min="4" max="4" width="13.15234375" style="18" customWidth="1"/>
    <col min="5" max="5" width="12.84375" style="18" customWidth="1"/>
    <col min="6" max="6" width="15.15234375" style="18" customWidth="1"/>
    <col min="7" max="8" width="12.84375" style="18" customWidth="1"/>
    <col min="9" max="9" width="16" style="18" customWidth="1"/>
    <col min="10" max="10" width="12.84375" style="18" customWidth="1"/>
    <col min="11" max="12" width="11.4609375" style="18" customWidth="1"/>
    <col min="13" max="13" width="12.84375" style="18" customWidth="1"/>
    <col min="14" max="15" width="14.15234375" style="18" customWidth="1"/>
    <col min="16" max="16" width="17.15234375" style="18" customWidth="1"/>
    <col min="17" max="17" width="17" style="18" customWidth="1"/>
    <col min="18" max="18" width="17.53515625" style="18" customWidth="1"/>
    <col min="19" max="19" width="12.84375" style="18" customWidth="1"/>
    <col min="20" max="20" width="14" style="18" customWidth="1"/>
    <col min="21" max="21" width="15.4609375" style="18" customWidth="1"/>
    <col min="22" max="22" width="18.4609375" style="18" customWidth="1"/>
    <col min="23" max="23" width="28.15234375" style="18" customWidth="1"/>
    <col min="24" max="24" width="5.15234375" customWidth="1"/>
    <col min="25" max="25" width="7" customWidth="1"/>
    <col min="26" max="30" width="9.15234375" style="18"/>
    <col min="31" max="31" width="14.53515625" style="18" customWidth="1"/>
    <col min="32" max="32" width="9.15234375" style="18"/>
    <col min="33" max="36" width="10.4609375" style="18" customWidth="1"/>
    <col min="37" max="37" width="9.15234375" style="18"/>
    <col min="38" max="40" width="10.15234375" style="18" customWidth="1"/>
    <col min="41" max="41" width="19.84375" style="18" customWidth="1"/>
    <col min="42" max="42" width="17.53515625" style="18" customWidth="1"/>
    <col min="43" max="43" width="14.15234375" style="18" customWidth="1"/>
    <col min="44" max="44" width="11.15234375" style="18" customWidth="1"/>
    <col min="45" max="56" width="9.15234375" style="18"/>
    <col min="57" max="57" width="18.84375" style="18" customWidth="1"/>
    <col min="58" max="60" width="22" style="18" customWidth="1"/>
    <col min="61" max="61" width="15.15234375" style="18" customWidth="1"/>
    <col min="62" max="62" width="17.84375" style="18" customWidth="1"/>
    <col min="63" max="63" width="18.15234375" style="18" customWidth="1"/>
    <col min="64" max="65" width="16.84375" style="18" customWidth="1"/>
    <col min="66" max="66" width="21.15234375" style="18" customWidth="1"/>
    <col min="67" max="68" width="19.84375" style="18" customWidth="1"/>
    <col min="69" max="70" width="18.15234375" style="18" customWidth="1"/>
    <col min="71" max="73" width="15.15234375" style="18" customWidth="1"/>
    <col min="74" max="74" width="14.84375" style="18" customWidth="1"/>
    <col min="75" max="75" width="12.84375" style="18" customWidth="1"/>
    <col min="76" max="76" width="18.84375" style="18" customWidth="1"/>
    <col min="77" max="82" width="12.84375" style="18" customWidth="1"/>
    <col min="83" max="175" width="9.15234375" style="18"/>
    <col min="232" max="16384" width="9.15234375" style="18"/>
  </cols>
  <sheetData>
    <row r="1" spans="1:98" s="626" customFormat="1" ht="28.5" customHeight="1">
      <c r="A1" s="791" t="s">
        <v>1355</v>
      </c>
      <c r="B1" s="18"/>
      <c r="C1" s="18"/>
      <c r="D1" s="18"/>
      <c r="T1" s="3093" t="s">
        <v>1193</v>
      </c>
      <c r="U1" s="3093"/>
      <c r="V1" s="3094"/>
      <c r="W1" s="3094"/>
      <c r="X1" s="1254"/>
      <c r="Y1" s="1254"/>
    </row>
    <row r="2" spans="1:98" s="626" customFormat="1" ht="15.45">
      <c r="A2" s="2749" t="str">
        <f>Summary!C1</f>
        <v>Trammell Crow – LBJ</v>
      </c>
      <c r="B2" s="2749"/>
      <c r="C2" s="2749"/>
      <c r="D2" s="2749"/>
      <c r="G2" s="997" t="s">
        <v>56</v>
      </c>
      <c r="H2" s="1259"/>
      <c r="I2" s="983"/>
      <c r="J2" s="1085" t="s">
        <v>57</v>
      </c>
      <c r="K2" s="983"/>
      <c r="L2" s="983"/>
      <c r="M2" s="983"/>
      <c r="N2" s="2750" t="s">
        <v>1</v>
      </c>
      <c r="O2" s="2750"/>
      <c r="P2" s="2751" t="s">
        <v>1194</v>
      </c>
      <c r="Q2" s="2751"/>
      <c r="T2" s="795" t="s">
        <v>957</v>
      </c>
      <c r="U2" s="663"/>
      <c r="V2" s="796">
        <f>Information!C7</f>
        <v>0</v>
      </c>
      <c r="W2" s="797"/>
      <c r="X2" s="1254"/>
      <c r="Y2" s="1254"/>
    </row>
    <row r="3" spans="1:98" s="626" customFormat="1" ht="19.5" customHeight="1">
      <c r="A3" s="2752">
        <f>Summary!C2</f>
        <v>0</v>
      </c>
      <c r="B3" s="2752"/>
      <c r="C3" s="2752"/>
      <c r="D3" s="2752"/>
      <c r="G3" s="3160" t="s">
        <v>1805</v>
      </c>
      <c r="H3" s="3160"/>
      <c r="I3" s="3161">
        <f>Summary!K2</f>
        <v>0</v>
      </c>
      <c r="J3" s="3161"/>
      <c r="K3" s="3161"/>
      <c r="L3" s="3161"/>
      <c r="M3" s="3161"/>
      <c r="N3" s="3162">
        <f>Summary!O2</f>
        <v>0</v>
      </c>
      <c r="O3" s="3162"/>
      <c r="P3" s="2755">
        <f>Summary!P2</f>
        <v>0</v>
      </c>
      <c r="Q3" s="2755"/>
      <c r="T3" s="574"/>
      <c r="U3" s="18"/>
      <c r="V3" s="18"/>
      <c r="W3" s="798"/>
      <c r="X3" s="1254"/>
      <c r="Y3" s="1254"/>
    </row>
    <row r="4" spans="1:98" s="626" customFormat="1" ht="19.5" customHeight="1">
      <c r="A4" s="2756" t="str">
        <f>Summary!C3</f>
        <v>Dallas, TX</v>
      </c>
      <c r="B4" s="2756"/>
      <c r="C4" s="2756"/>
      <c r="D4" s="2756"/>
      <c r="G4" s="3160" t="s">
        <v>1806</v>
      </c>
      <c r="H4" s="3160"/>
      <c r="I4" s="3163">
        <f>Summary!K3</f>
        <v>0</v>
      </c>
      <c r="J4" s="3163"/>
      <c r="K4" s="3163"/>
      <c r="L4" s="3163"/>
      <c r="M4" s="3163"/>
      <c r="N4" s="3164">
        <f>Summary!O3</f>
        <v>0</v>
      </c>
      <c r="O4" s="3164"/>
      <c r="P4" s="2759">
        <f>Summary!P3</f>
        <v>0</v>
      </c>
      <c r="Q4" s="2759"/>
      <c r="T4" s="574" t="s">
        <v>958</v>
      </c>
      <c r="U4" s="18"/>
      <c r="V4" s="799"/>
      <c r="W4" s="800"/>
      <c r="X4" s="1254"/>
      <c r="Y4" s="1254"/>
    </row>
    <row r="5" spans="1:98" s="626" customFormat="1" ht="19.5" customHeight="1">
      <c r="A5" s="380" t="s">
        <v>0</v>
      </c>
      <c r="B5" s="18"/>
      <c r="C5" s="3097" t="s">
        <v>1</v>
      </c>
      <c r="D5" s="3097"/>
      <c r="G5" s="574"/>
      <c r="H5" s="793" t="s">
        <v>79</v>
      </c>
      <c r="I5" s="3163">
        <f>Summary!K4</f>
        <v>0</v>
      </c>
      <c r="J5" s="3163"/>
      <c r="K5" s="3163"/>
      <c r="L5" s="3163"/>
      <c r="M5" s="3163"/>
      <c r="N5" s="3164">
        <f>Summary!O4</f>
        <v>0</v>
      </c>
      <c r="O5" s="3164"/>
      <c r="P5" s="2759">
        <f>Summary!P4</f>
        <v>0</v>
      </c>
      <c r="Q5" s="2759"/>
      <c r="T5" s="574"/>
      <c r="U5" s="18"/>
      <c r="V5" s="18"/>
      <c r="W5" s="798"/>
      <c r="X5" s="1254"/>
      <c r="Y5" s="1254"/>
    </row>
    <row r="6" spans="1:98" s="626" customFormat="1" ht="19.5" customHeight="1">
      <c r="A6" s="2051">
        <v>0</v>
      </c>
      <c r="B6" s="18"/>
      <c r="C6" s="3165">
        <v>0</v>
      </c>
      <c r="D6" s="3165"/>
      <c r="G6" s="577"/>
      <c r="H6" s="2052" t="s">
        <v>87</v>
      </c>
      <c r="I6" s="3166">
        <f>Summary!K5</f>
        <v>0</v>
      </c>
      <c r="J6" s="3166"/>
      <c r="K6" s="3166"/>
      <c r="L6" s="3166"/>
      <c r="M6" s="3166"/>
      <c r="N6" s="3167">
        <f>Summary!O5</f>
        <v>0</v>
      </c>
      <c r="O6" s="3167"/>
      <c r="P6" s="2763">
        <f>Summary!P5</f>
        <v>0</v>
      </c>
      <c r="Q6" s="2763"/>
      <c r="T6" s="577" t="s">
        <v>958</v>
      </c>
      <c r="U6" s="802"/>
      <c r="V6" s="802"/>
      <c r="W6" s="803"/>
      <c r="X6" s="1254"/>
      <c r="Y6" s="1254"/>
    </row>
    <row r="7" spans="1:98" ht="19.5" customHeight="1">
      <c r="A7" s="2053">
        <v>0</v>
      </c>
      <c r="C7" s="3168">
        <v>0</v>
      </c>
      <c r="D7" s="3168"/>
      <c r="E7" s="693"/>
      <c r="F7" s="3169" t="s">
        <v>1196</v>
      </c>
      <c r="G7" s="3169"/>
      <c r="H7" s="3169"/>
      <c r="I7" s="2930" t="str">
        <f>Pricing!A3</f>
        <v>SRM</v>
      </c>
      <c r="J7" s="2930"/>
      <c r="K7" s="2930"/>
      <c r="L7" s="2930"/>
      <c r="M7" s="2930"/>
      <c r="N7" s="976"/>
      <c r="O7" s="693"/>
      <c r="P7" s="693"/>
      <c r="Q7" s="693"/>
      <c r="R7" s="693"/>
      <c r="S7" s="693"/>
      <c r="T7" s="626"/>
      <c r="U7" s="626"/>
      <c r="V7" s="626"/>
      <c r="W7" s="626"/>
      <c r="X7" s="1254"/>
      <c r="Y7" s="1254"/>
      <c r="BJ7" s="18" t="s">
        <v>1507</v>
      </c>
    </row>
    <row r="8" spans="1:98" ht="39" customHeight="1">
      <c r="A8" s="3170" t="s">
        <v>1807</v>
      </c>
      <c r="B8" s="3170"/>
      <c r="C8" s="3171" t="s">
        <v>1754</v>
      </c>
      <c r="D8" s="3171"/>
      <c r="E8" s="3123" t="s">
        <v>1475</v>
      </c>
      <c r="F8" s="3124" t="s">
        <v>1477</v>
      </c>
      <c r="G8" s="3105" t="s">
        <v>1209</v>
      </c>
      <c r="H8" s="3124" t="s">
        <v>1479</v>
      </c>
      <c r="I8" s="3127" t="s">
        <v>1808</v>
      </c>
      <c r="J8" s="3127"/>
      <c r="K8" s="3127" t="s">
        <v>1809</v>
      </c>
      <c r="L8" s="3127"/>
      <c r="M8" s="3172" t="s">
        <v>1810</v>
      </c>
      <c r="N8" s="3173" t="s">
        <v>1811</v>
      </c>
      <c r="O8" s="3173"/>
      <c r="P8" s="3173"/>
      <c r="Q8" s="3173"/>
      <c r="R8" s="3173"/>
      <c r="S8" s="3173"/>
      <c r="T8" s="2806" t="s">
        <v>1483</v>
      </c>
      <c r="U8" s="3000" t="s">
        <v>1219</v>
      </c>
      <c r="V8" s="3000" t="s">
        <v>1484</v>
      </c>
      <c r="W8" s="3001" t="s">
        <v>1767</v>
      </c>
      <c r="X8" s="3001"/>
      <c r="Y8" s="1254"/>
      <c r="AH8" s="2054"/>
      <c r="AI8" s="2055" t="s">
        <v>1505</v>
      </c>
      <c r="AJ8" s="2055"/>
      <c r="AK8" s="2056"/>
      <c r="AL8" s="2055"/>
      <c r="AM8" s="2055"/>
      <c r="AN8" s="2055"/>
      <c r="AO8" s="3174" t="s">
        <v>1812</v>
      </c>
      <c r="AP8" s="2055"/>
      <c r="AQ8" s="2054"/>
      <c r="AR8" s="2055"/>
      <c r="AS8" s="2055"/>
      <c r="AT8" s="2054"/>
      <c r="AU8" s="2055"/>
      <c r="AV8" s="2055"/>
      <c r="AW8" s="2055"/>
      <c r="AX8" s="2055"/>
      <c r="AY8" s="2055"/>
      <c r="AZ8" s="2055"/>
      <c r="BA8" s="2055"/>
      <c r="BB8" s="2055"/>
      <c r="BC8" s="2056"/>
      <c r="BD8" s="2055"/>
      <c r="BE8" s="2055"/>
      <c r="BF8" s="2055"/>
      <c r="BG8" s="2055"/>
      <c r="BH8" s="2055"/>
      <c r="BI8" s="2055"/>
      <c r="BJ8" s="795" t="s">
        <v>1813</v>
      </c>
      <c r="BK8" s="983"/>
      <c r="BL8" s="983"/>
      <c r="BM8" s="983"/>
      <c r="BN8" s="2054" t="s">
        <v>1146</v>
      </c>
      <c r="BO8" s="2055"/>
      <c r="BP8" s="2055"/>
      <c r="BQ8" s="2055"/>
      <c r="BR8" s="2055"/>
      <c r="BS8" s="2055"/>
      <c r="BT8" s="2056"/>
      <c r="BU8" s="983"/>
      <c r="BV8" s="983"/>
      <c r="BW8" s="983"/>
      <c r="BX8" s="983"/>
      <c r="BY8" s="983"/>
      <c r="BZ8" s="983"/>
      <c r="CA8" s="983"/>
      <c r="CB8" s="983"/>
      <c r="CC8" s="1839"/>
      <c r="CP8" s="3175" t="s">
        <v>1021</v>
      </c>
      <c r="CQ8" s="3175"/>
      <c r="CR8" s="3175"/>
      <c r="CS8" s="3175"/>
      <c r="CT8" s="3175"/>
    </row>
    <row r="9" spans="1:98" ht="19.5" customHeight="1">
      <c r="A9" s="3170"/>
      <c r="B9" s="3170"/>
      <c r="C9" s="3171"/>
      <c r="D9" s="3171"/>
      <c r="E9" s="3123"/>
      <c r="F9" s="3124"/>
      <c r="G9" s="3105"/>
      <c r="H9" s="3124"/>
      <c r="I9" s="1103" t="s">
        <v>1215</v>
      </c>
      <c r="J9" s="1315" t="s">
        <v>1514</v>
      </c>
      <c r="K9" s="1103" t="s">
        <v>1215</v>
      </c>
      <c r="L9" s="1315" t="s">
        <v>1514</v>
      </c>
      <c r="M9" s="3172"/>
      <c r="N9" s="1320" t="s">
        <v>1517</v>
      </c>
      <c r="O9" s="1322" t="s">
        <v>1259</v>
      </c>
      <c r="P9" s="1323" t="s">
        <v>1517</v>
      </c>
      <c r="Q9" s="1322" t="s">
        <v>1259</v>
      </c>
      <c r="R9" s="1320" t="s">
        <v>1208</v>
      </c>
      <c r="S9" s="1321" t="s">
        <v>1259</v>
      </c>
      <c r="T9" s="2806"/>
      <c r="U9" s="3000"/>
      <c r="V9" s="3000"/>
      <c r="W9" s="3000"/>
      <c r="X9" s="3001"/>
      <c r="Y9" s="1254"/>
      <c r="AH9" s="1881"/>
      <c r="AI9" s="373"/>
      <c r="AJ9" s="373"/>
      <c r="AK9" s="1179"/>
      <c r="AL9" s="373" t="s">
        <v>1814</v>
      </c>
      <c r="AM9" s="373"/>
      <c r="AN9" s="373"/>
      <c r="AO9" s="3174"/>
      <c r="AP9" s="373" t="s">
        <v>1518</v>
      </c>
      <c r="AQ9" s="1881" t="s">
        <v>1519</v>
      </c>
      <c r="AR9" s="373"/>
      <c r="AS9" s="373" t="s">
        <v>1521</v>
      </c>
      <c r="AT9" s="1881" t="s">
        <v>1374</v>
      </c>
      <c r="AU9" s="373" t="s">
        <v>1375</v>
      </c>
      <c r="AV9" s="373" t="s">
        <v>1376</v>
      </c>
      <c r="AW9" s="373" t="s">
        <v>1377</v>
      </c>
      <c r="AX9" s="373" t="s">
        <v>1378</v>
      </c>
      <c r="AY9" s="373" t="s">
        <v>1522</v>
      </c>
      <c r="AZ9" s="373" t="s">
        <v>1523</v>
      </c>
      <c r="BA9" s="373" t="s">
        <v>1524</v>
      </c>
      <c r="BB9" s="373" t="s">
        <v>1525</v>
      </c>
      <c r="BC9" s="1179" t="s">
        <v>1526</v>
      </c>
      <c r="BD9" s="373" t="s">
        <v>1527</v>
      </c>
      <c r="BE9" s="373" t="s">
        <v>1528</v>
      </c>
      <c r="BF9" s="373" t="s">
        <v>1815</v>
      </c>
      <c r="BG9" s="373" t="s">
        <v>1815</v>
      </c>
      <c r="BH9" s="373" t="s">
        <v>1815</v>
      </c>
      <c r="BI9" s="373"/>
      <c r="BJ9" s="966" t="s">
        <v>1384</v>
      </c>
      <c r="BK9" s="373" t="s">
        <v>1385</v>
      </c>
      <c r="BL9" s="373" t="s">
        <v>1816</v>
      </c>
      <c r="BM9" s="373" t="s">
        <v>1817</v>
      </c>
      <c r="BN9" s="2057" t="s">
        <v>1537</v>
      </c>
      <c r="BO9" s="988" t="s">
        <v>1818</v>
      </c>
      <c r="BP9" s="988" t="s">
        <v>1819</v>
      </c>
      <c r="BQ9" s="988" t="s">
        <v>1444</v>
      </c>
      <c r="BR9" s="988" t="s">
        <v>1820</v>
      </c>
      <c r="BS9" s="988" t="s">
        <v>1307</v>
      </c>
      <c r="BT9" s="2058" t="s">
        <v>1159</v>
      </c>
      <c r="BU9" s="988" t="s">
        <v>1540</v>
      </c>
      <c r="BV9" s="373" t="s">
        <v>1541</v>
      </c>
      <c r="BW9" s="373" t="s">
        <v>976</v>
      </c>
      <c r="BX9" s="373" t="s">
        <v>1542</v>
      </c>
      <c r="BY9" s="373" t="s">
        <v>1543</v>
      </c>
      <c r="BZ9" s="373" t="s">
        <v>1821</v>
      </c>
      <c r="CA9" s="373"/>
      <c r="CB9" s="373" t="s">
        <v>1822</v>
      </c>
      <c r="CC9" s="2059" t="s">
        <v>598</v>
      </c>
      <c r="CP9" s="567" t="s">
        <v>568</v>
      </c>
      <c r="CQ9" s="568" t="s">
        <v>1486</v>
      </c>
      <c r="CR9" s="568" t="s">
        <v>1823</v>
      </c>
      <c r="CS9" s="568" t="s">
        <v>1824</v>
      </c>
      <c r="CT9" s="568" t="s">
        <v>868</v>
      </c>
    </row>
    <row r="10" spans="1:98" ht="19.5" customHeight="1">
      <c r="A10" s="482" t="s">
        <v>2123</v>
      </c>
      <c r="B10" s="1598"/>
      <c r="C10" s="2060">
        <v>10447</v>
      </c>
      <c r="D10" s="1423"/>
      <c r="E10" s="2061">
        <v>14</v>
      </c>
      <c r="F10" s="2062" t="s">
        <v>1302</v>
      </c>
      <c r="G10" s="2063">
        <v>8</v>
      </c>
      <c r="H10" s="1109">
        <v>628</v>
      </c>
      <c r="I10" s="2062">
        <v>4</v>
      </c>
      <c r="J10" s="1661">
        <v>10</v>
      </c>
      <c r="K10" s="2062"/>
      <c r="L10" s="1661"/>
      <c r="M10" s="2064"/>
      <c r="N10" s="2062">
        <v>1</v>
      </c>
      <c r="O10" s="2065">
        <v>30</v>
      </c>
      <c r="P10" s="2062">
        <v>2</v>
      </c>
      <c r="Q10" s="2066">
        <v>45</v>
      </c>
      <c r="R10" s="2067"/>
      <c r="S10" s="2068"/>
      <c r="T10" s="1351">
        <f>SUM(AO10:AP11)</f>
        <v>20334.757092704502</v>
      </c>
      <c r="U10" s="1352">
        <f>((((C10*E10/324)+(C11*E11/324))*(1+J$73))+AK10+AK11)</f>
        <v>479.87012345679011</v>
      </c>
      <c r="V10" s="2069">
        <f>IF(C10=0,0,W10/(C10+C11))</f>
        <v>35.228428033834795</v>
      </c>
      <c r="W10" s="2779">
        <f>(IF(SUM(BJ10:CC11)=0,0,SUM(BJ10:CC11)-BZ10-BZ11))*(1+L$65)</f>
        <v>368031.38766947208</v>
      </c>
      <c r="X10" s="2779"/>
      <c r="Y10" s="1254"/>
      <c r="AH10" s="1035">
        <f t="shared" ref="AH10:AH49" si="0">IF(N10=1,O10*$Q$53,0)+IF(N10=2,O10*$Q$54,0)+IF(N10=3,O10*$Q$55,0)+IF(N10=4,O10*$Q$60,0)+IF(N10=5,O10*$Q$61,0)+IF(N10=6,O10*$Q$62+IF(N10=7,O10*$Q$54,0)+IF(N10=8,O10*$Q$55,0)+IF(N10=9,O10*$Q$60,0)+IF(N10=10,O10*$Q$61,0),0)</f>
        <v>3.4666666666666663</v>
      </c>
      <c r="AI10" s="18">
        <f t="shared" ref="AI10:AI49" si="1">IF(P10=1,Q10*$Q$53,0)+IF(P10=2,Q10*$Q$54,0)+IF(P10=3,Q10*$Q$55,0)+IF(P10=4,Q10*$Q$60,0)+IF(P10=5,Q10*$Q$61,0)+IF(P10=6,Q10*$Q$62+IF(P10=7,Q10*$Q$54,0)+IF(P10=8,Q10*$Q$55,0)+IF(P10=9,Q10*$Q$60,0)+IF(P10=10,Q10*$Q$61,0),0)</f>
        <v>6.9333333333333327</v>
      </c>
      <c r="AJ10" s="18">
        <f t="shared" ref="AJ10:AJ49" si="2">IF(R10=1,S10*$Q$53,0)+IF(R10=2,S10*$Q$54,0)+IF(R10=3,S10*$Q$55,0)+IF(R10=4,S10*$Q$60,0)+IF(R10=5,S10*$Q$61,0)+IF(R10=6,S10*$Q$62+IF(R10=7,S10*$Q$54,0)+IF(R10=8,S10*$Q$55,0)+IF(R10=9,S10*$Q$60,0)+IF(R10=10,S10*$Q$61,0),0)</f>
        <v>0</v>
      </c>
      <c r="AK10" s="1013">
        <f t="shared" ref="AK10:AK49" si="3">SUM(AH10:AJ10)</f>
        <v>10.399999999999999</v>
      </c>
      <c r="AL10" s="18">
        <f t="shared" ref="AL10:AL49" si="4">ROUNDUP(IF(N10=1,O10*$O$53,0)+IF(N10=2,O10*$O$54,0)+IF(N10=3,O10*$O$55,0)+IF(N10=4,O10*$O$56,0)+IF(N10=5,O10*$O$57,0)+IF(N10=6,O10*$O$58+IF(N10=7,O10*$O$59,0)+IF(N10=8,O10*$O$60,0)+IF(N10=9,O10*$O$61+IF(N10=10,O10*$O$62,0),0),0),0)</f>
        <v>1701</v>
      </c>
      <c r="AM10" s="18">
        <f t="shared" ref="AM10:AM49" si="5">ROUNDUP(IF(P10=1,Q10*$Q$53,0)+IF(P10=2,Q10*$Q$54,0)+IF(P10=3,Q10*$Q$55,0)+IF(P10=4,Q10*$Q$56,0)+IF(P10=5,Q10*$Q$57,0)+IF(P10=6,Q10*$Q$58+IF(P10=7,Q10*$Q$59,0)+IF(P10=8,Q10*$Q$60,0)+IF(P10=9,Q10*$Q$61+IF(P10=10,Q10*$Q$62,0),0),0),0)</f>
        <v>7</v>
      </c>
      <c r="AN10" s="18">
        <f t="shared" ref="AN10:AN49" si="6">ROUNDUP(IF(R10=1,S10*$S$53,0)+IF(R10=2,S10*$S$54,0)+IF(R10=3,S10*$S$55,0)+IF(R10=4,S10*$S$56,0)+IF(R10=5,S10*$S$57,0)+IF(R10=6,S10*$S$58+IF(R10=7,S10*$S$59,0)+IF(R10=8,S10*$S$60,0)+IF(R10=9,S10*$S$61+IF(R10=10,S10*$S$62,0),0),0),0)</f>
        <v>0</v>
      </c>
      <c r="AO10" s="1035">
        <f t="shared" ref="AO10:AO49" si="7">SUM(AL10:AN10)*1.12</f>
        <v>1912.9600000000003</v>
      </c>
      <c r="AP10" s="1975">
        <f t="shared" ref="AP10:AP49" si="8">IF(L10=0,0,(L10/12+L10/12)/(L10/12*L10/12)*C10*((K10/16*K10/16)*10.6870159))*(1+J$78)+IF(J10=0,0,(J10/12+J10/12)/(J10/12*J10/12)*C10*((I10/16*I10/16)*10.6870159))*(1+J$78)</f>
        <v>18421.797092704503</v>
      </c>
      <c r="AQ10" s="1035">
        <f t="shared" ref="AQ10:AQ49" si="9">M10*(1+J$79)</f>
        <v>0</v>
      </c>
      <c r="AS10" s="18">
        <f t="shared" ref="AS10:AS26" si="10">IF(M10="y",C10,0)</f>
        <v>0</v>
      </c>
      <c r="AT10" s="1035">
        <f t="shared" ref="AT10:AT49" si="11">IF($G10=1,$U10,0)</f>
        <v>0</v>
      </c>
      <c r="AU10" s="18">
        <f t="shared" ref="AU10:AU49" si="12">IF($G10=2,$U10,0)</f>
        <v>0</v>
      </c>
      <c r="AV10" s="18">
        <f t="shared" ref="AV10:AV49" si="13">IF($G10=3,$U10,0)</f>
        <v>0</v>
      </c>
      <c r="AW10" s="18">
        <f t="shared" ref="AW10:AW49" si="14">IF($G10=4,$U10,0)</f>
        <v>0</v>
      </c>
      <c r="AX10" s="18">
        <f t="shared" ref="AX10:AX49" si="15">IF($G10=5,$U10,0)</f>
        <v>0</v>
      </c>
      <c r="AY10" s="18">
        <f t="shared" ref="AY10:AY49" si="16">IF($G10=6,$U10,0)</f>
        <v>0</v>
      </c>
      <c r="AZ10" s="18">
        <f t="shared" ref="AZ10:AZ49" si="17">IF($G10=7,$U10,0)</f>
        <v>0</v>
      </c>
      <c r="BA10" s="18">
        <f t="shared" ref="BA10:BA49" si="18">IF($G10=8,$U10,0)</f>
        <v>479.87012345679011</v>
      </c>
      <c r="BB10" s="18">
        <f t="shared" ref="BB10:BB49" si="19">IF($G10=9,$U10,0)</f>
        <v>0</v>
      </c>
      <c r="BC10" s="1013">
        <f t="shared" ref="BC10:BC49" si="20">IF($G10=10,$U10,0)</f>
        <v>0</v>
      </c>
      <c r="BD10" s="18">
        <f t="shared" ref="BD10:BD49" si="21">SUM(AT10:AY10)</f>
        <v>0</v>
      </c>
      <c r="BE10" s="18">
        <f t="shared" ref="BE10:BE49" si="22">IF(F10="N",0,C10)</f>
        <v>10447</v>
      </c>
      <c r="BF10" s="18">
        <f t="shared" ref="BF10:BF49" si="23">IF(N10=1,O10*$U$53,0)+IF(N10=2,O10*$U$54,0)+IF(N10=3,O10*$U$55,0)+IF(N10=4,O10*$U$60,0)+IF(N10=5,O10*$U$61,0)+IF(N10=6,O10*$U$62,0)</f>
        <v>60</v>
      </c>
      <c r="BG10" s="18">
        <f t="shared" ref="BG10:BG49" si="24">IF(P10=1,Q10*$U$53,0)+IF(P10=2,Q10*$U$54,0)+IF(P10=3,Q10*$U$55,0)+IF(P10=4,Q10*$U$60,0)+IF(P10=5,Q10*$U$61,0)+IF(P10=6,Q10*$U$62,0)</f>
        <v>90</v>
      </c>
      <c r="BH10" s="18">
        <f t="shared" ref="BH10:BH49" si="25">IF(R10=1,S10*$U$53,0)+IF(R10=2,S10*$U$54,0)+IF(R10=3,S10*$U$55,0)+IF(R10=4,S10*$U$60,0)+IF(R10=5,S10*$U$61,0)+IF(R10=6,S10*$U$62,0)</f>
        <v>0</v>
      </c>
      <c r="BI10" s="481">
        <f>IF(SUM(BJ10:CC11)=0,0,SUM(BJ10:CC11))</f>
        <v>311891.00649955263</v>
      </c>
      <c r="BJ10" s="2070">
        <f>(AT10*Pricing!F$3+AU10*Pricing!G$3+AV10*Pricing!H$3+AW10*Pricing!I$3+AX10*Pricing!J$3+AY10*Pricing!K$3+AZ10*Pricing!L$3+BA10*Pricing!M$3+BB10*Pricing!M$3+BC10*Pricing!O$3)*IF(T$64="N",(1+V$64),1)</f>
        <v>90905.396512345687</v>
      </c>
      <c r="BK10" s="1864">
        <f t="shared" ref="BK10:BK49" si="26">T10*F$78*IF(T$64="n",1+V$64,1)</f>
        <v>14308.043459354207</v>
      </c>
      <c r="BL10" s="1864">
        <f t="shared" ref="BL10:BL49" si="27">IF(BE$50=0,0,IF(F10="y",N$80/BE$50*BE10,0))</f>
        <v>16397.872374999999</v>
      </c>
      <c r="BM10" s="1864">
        <f t="shared" ref="BM10:BM49" si="28">IF(N$79=0,0,N$79/H$87*C10)</f>
        <v>0</v>
      </c>
      <c r="BN10" s="2071">
        <f t="shared" ref="BN10:BN49" si="29">(C10*G$87)</f>
        <v>63204.35</v>
      </c>
      <c r="BO10" s="1864">
        <f t="shared" ref="BO10:BO49" si="30">H10*D$91</f>
        <v>3768</v>
      </c>
      <c r="BP10" s="1864">
        <f t="shared" ref="BP10:BP49" si="31">SUM(BF10:BH10)*D$92</f>
        <v>900</v>
      </c>
      <c r="BQ10" s="1864">
        <f t="shared" ref="BQ10:BQ49" si="32">D$93*C10</f>
        <v>2611.75</v>
      </c>
      <c r="BR10" s="1864">
        <f t="shared" ref="BR10:BR49" si="33">IF(C10="","",(N$95+N$94)/H$87*C10)</f>
        <v>7809.1325000000006</v>
      </c>
      <c r="BS10" s="1864">
        <f t="shared" ref="BS10:BS49" si="34">IF(C10=0,0,(T10/2000*D$96))</f>
        <v>4575.3203458585131</v>
      </c>
      <c r="BT10" s="2072">
        <f t="shared" ref="BT10:BT49" si="35">IF(C10="","",N$97/H$87*C10)</f>
        <v>0</v>
      </c>
      <c r="BU10" s="1864">
        <f t="shared" ref="BU10:BU49" si="36">IF(C10=0,0,SUM(N$100:O$103)/C$50*C10)</f>
        <v>19038.925233644859</v>
      </c>
      <c r="BV10" s="1864">
        <f t="shared" ref="BV10:BV49" si="37">IF(C10=0,0,SUM(W$73:W$106)/C$50*C10)+IF(H$87=0,0,(N$84+N$83+N$82)/H$87*C10)</f>
        <v>26823.612986801745</v>
      </c>
      <c r="BW10" s="1864">
        <f t="shared" ref="BW10:BW49" si="38">IF(C10=0,0,SUM(N$105:O$110)/C$50*C10)</f>
        <v>56000.032896028046</v>
      </c>
      <c r="BX10" s="1864">
        <f t="shared" ref="BX10:BX49" si="39">IF(C10=0,0,SUM(N$112:O$118)/C$50)*C10</f>
        <v>4751.112864889812</v>
      </c>
      <c r="BY10" s="1864">
        <f t="shared" ref="BY10:BY49" si="40">IF(C$50=0,0,SUM(W$107:W$118)/C$50*C10)</f>
        <v>797.45732562979094</v>
      </c>
      <c r="BZ10" s="1864">
        <f t="shared" ref="BZ10:BZ49" si="41">IF(N$119=0,0,N$119/H$87*C10)</f>
        <v>0</v>
      </c>
      <c r="CA10" s="1864"/>
      <c r="CB10" s="1864">
        <f t="shared" ref="CB10:CB49" si="42">AG10*F$81*IF(T$64="n",(1+V$64),1)</f>
        <v>0</v>
      </c>
      <c r="CC10" s="2073">
        <f t="shared" ref="CC10:CC49" si="43">AQ10*F$79*IF(T$64="Y",1,1+V$64)</f>
        <v>0</v>
      </c>
      <c r="CP10" s="18" t="str">
        <f>A10</f>
        <v>level 2</v>
      </c>
      <c r="CQ10" s="18">
        <f>BF10+BG10+BH10+BH11+BG11+BF11</f>
        <v>150</v>
      </c>
      <c r="CR10" s="959">
        <f>T10</f>
        <v>20334.757092704502</v>
      </c>
      <c r="CS10" s="959">
        <f>H$100/H$87*(C10+C11)</f>
        <v>0</v>
      </c>
      <c r="CT10" s="18">
        <f>BE10+BE11</f>
        <v>10447</v>
      </c>
    </row>
    <row r="11" spans="1:98" ht="19.5" customHeight="1">
      <c r="A11" s="2074" t="s">
        <v>2124</v>
      </c>
      <c r="B11" s="1392"/>
      <c r="C11" s="2075"/>
      <c r="D11" s="1388"/>
      <c r="E11" s="1392"/>
      <c r="F11" s="1395"/>
      <c r="G11" s="1389"/>
      <c r="H11" s="1109"/>
      <c r="I11" s="503"/>
      <c r="J11" s="834"/>
      <c r="K11" s="503"/>
      <c r="L11" s="834"/>
      <c r="M11" s="2076"/>
      <c r="N11" s="503"/>
      <c r="O11" s="834"/>
      <c r="P11" s="503"/>
      <c r="Q11" s="1418"/>
      <c r="R11" s="2077"/>
      <c r="S11" s="2078"/>
      <c r="T11" s="2079"/>
      <c r="U11" s="2080"/>
      <c r="V11" s="2081"/>
      <c r="W11" s="2779"/>
      <c r="X11" s="2779"/>
      <c r="Y11" s="1254"/>
      <c r="AH11" s="1035">
        <f t="shared" si="0"/>
        <v>0</v>
      </c>
      <c r="AI11" s="18">
        <f t="shared" si="1"/>
        <v>0</v>
      </c>
      <c r="AJ11" s="18">
        <f t="shared" si="2"/>
        <v>0</v>
      </c>
      <c r="AK11" s="1013">
        <f t="shared" si="3"/>
        <v>0</v>
      </c>
      <c r="AL11" s="18">
        <f t="shared" si="4"/>
        <v>0</v>
      </c>
      <c r="AM11" s="18">
        <f t="shared" si="5"/>
        <v>0</v>
      </c>
      <c r="AN11" s="18">
        <f t="shared" si="6"/>
        <v>0</v>
      </c>
      <c r="AO11" s="1035">
        <f t="shared" si="7"/>
        <v>0</v>
      </c>
      <c r="AP11" s="1975">
        <f t="shared" si="8"/>
        <v>0</v>
      </c>
      <c r="AQ11" s="1035">
        <f t="shared" si="9"/>
        <v>0</v>
      </c>
      <c r="AS11" s="18">
        <f t="shared" si="10"/>
        <v>0</v>
      </c>
      <c r="AT11" s="1035">
        <f t="shared" si="11"/>
        <v>0</v>
      </c>
      <c r="AU11" s="18">
        <f t="shared" si="12"/>
        <v>0</v>
      </c>
      <c r="AV11" s="18">
        <f t="shared" si="13"/>
        <v>0</v>
      </c>
      <c r="AW11" s="18">
        <f t="shared" si="14"/>
        <v>0</v>
      </c>
      <c r="AX11" s="18">
        <f t="shared" si="15"/>
        <v>0</v>
      </c>
      <c r="AY11" s="18">
        <f t="shared" si="16"/>
        <v>0</v>
      </c>
      <c r="AZ11" s="18">
        <f t="shared" si="17"/>
        <v>0</v>
      </c>
      <c r="BA11" s="18">
        <f t="shared" si="18"/>
        <v>0</v>
      </c>
      <c r="BB11" s="18">
        <f t="shared" si="19"/>
        <v>0</v>
      </c>
      <c r="BC11" s="1013">
        <f t="shared" si="20"/>
        <v>0</v>
      </c>
      <c r="BD11" s="18">
        <f t="shared" si="21"/>
        <v>0</v>
      </c>
      <c r="BE11" s="575">
        <f t="shared" si="22"/>
        <v>0</v>
      </c>
      <c r="BF11" s="18">
        <f t="shared" si="23"/>
        <v>0</v>
      </c>
      <c r="BG11" s="18">
        <f t="shared" si="24"/>
        <v>0</v>
      </c>
      <c r="BH11" s="18">
        <f t="shared" si="25"/>
        <v>0</v>
      </c>
      <c r="BI11" s="481"/>
      <c r="BJ11" s="2070">
        <f>(AT11*Pricing!F$3+AU11*Pricing!G$3+AV11*Pricing!H$3+AW11*Pricing!I$3+AX11*Pricing!J$3+AY11*Pricing!K$3+AZ11*Pricing!L$3+BA11*Pricing!M$3+BB11*Pricing!M$3+BC11*Pricing!O$3)*IF(T$64="N",(1+V$64),1)</f>
        <v>0</v>
      </c>
      <c r="BK11" s="1864">
        <f t="shared" si="26"/>
        <v>0</v>
      </c>
      <c r="BL11" s="1864">
        <f t="shared" si="27"/>
        <v>0</v>
      </c>
      <c r="BM11" s="1864">
        <f t="shared" si="28"/>
        <v>0</v>
      </c>
      <c r="BN11" s="2071">
        <f t="shared" si="29"/>
        <v>0</v>
      </c>
      <c r="BO11" s="1864">
        <f t="shared" si="30"/>
        <v>0</v>
      </c>
      <c r="BP11" s="1864">
        <f t="shared" si="31"/>
        <v>0</v>
      </c>
      <c r="BQ11" s="1864">
        <f t="shared" si="32"/>
        <v>0</v>
      </c>
      <c r="BR11" s="1864" t="str">
        <f t="shared" si="33"/>
        <v/>
      </c>
      <c r="BS11" s="1864">
        <f t="shared" si="34"/>
        <v>0</v>
      </c>
      <c r="BT11" s="2072" t="str">
        <f t="shared" si="35"/>
        <v/>
      </c>
      <c r="BU11" s="1864">
        <f t="shared" si="36"/>
        <v>0</v>
      </c>
      <c r="BV11" s="1864">
        <f t="shared" si="37"/>
        <v>0</v>
      </c>
      <c r="BW11" s="1864">
        <f t="shared" si="38"/>
        <v>0</v>
      </c>
      <c r="BX11" s="1864">
        <f t="shared" si="39"/>
        <v>0</v>
      </c>
      <c r="BY11" s="1864">
        <f t="shared" si="40"/>
        <v>0</v>
      </c>
      <c r="BZ11" s="1864">
        <f t="shared" si="41"/>
        <v>0</v>
      </c>
      <c r="CA11" s="1864"/>
      <c r="CB11" s="1864">
        <f t="shared" si="42"/>
        <v>0</v>
      </c>
      <c r="CC11" s="2073">
        <f t="shared" si="43"/>
        <v>0</v>
      </c>
      <c r="CP11" s="18" t="str">
        <f>A12</f>
        <v>level 3</v>
      </c>
      <c r="CQ11" s="18">
        <f>BF12+BG12+BH12+BH13+BG13+BF13</f>
        <v>90</v>
      </c>
      <c r="CR11" s="959">
        <f>T12</f>
        <v>41380.702621645505</v>
      </c>
      <c r="CS11" s="959">
        <f>H$100/H$87*(C12+C13)</f>
        <v>0</v>
      </c>
      <c r="CT11" s="18">
        <f>BE12+BE13</f>
        <v>21653</v>
      </c>
    </row>
    <row r="12" spans="1:98" ht="19.5" customHeight="1">
      <c r="A12" s="482" t="s">
        <v>2125</v>
      </c>
      <c r="B12" s="2082"/>
      <c r="C12" s="2060">
        <v>21653</v>
      </c>
      <c r="D12" s="1423"/>
      <c r="E12" s="2083">
        <v>14</v>
      </c>
      <c r="F12" s="503" t="s">
        <v>1302</v>
      </c>
      <c r="G12" s="1345">
        <v>8</v>
      </c>
      <c r="H12" s="2084">
        <v>1056</v>
      </c>
      <c r="I12" s="1347">
        <v>4</v>
      </c>
      <c r="J12" s="1348">
        <v>10</v>
      </c>
      <c r="K12" s="1347"/>
      <c r="L12" s="1348"/>
      <c r="M12" s="2085"/>
      <c r="N12" s="1347">
        <v>2</v>
      </c>
      <c r="O12" s="1348">
        <v>45</v>
      </c>
      <c r="P12" s="1347"/>
      <c r="Q12" s="2086"/>
      <c r="R12" s="2087"/>
      <c r="S12" s="2088"/>
      <c r="T12" s="1351">
        <f>SUM(AO12:AP13)</f>
        <v>41380.702621645505</v>
      </c>
      <c r="U12" s="1352">
        <f>((((C12*E12/324)+(C13*E13/324))*(1+J$73))+AK12+AK13)</f>
        <v>979.98172839506174</v>
      </c>
      <c r="V12" s="2089">
        <f>IF(C12=0,0,W12/(C12+C13))</f>
        <v>34.886158853664242</v>
      </c>
      <c r="W12" s="2779">
        <f>(IF(SUM(BJ12:CC13)=0,0,SUM(BJ12:CC13)-BZ12-BZ13))*(1+L$65)</f>
        <v>755389.99765839183</v>
      </c>
      <c r="X12" s="2779"/>
      <c r="Y12" s="1254"/>
      <c r="AH12" s="1035">
        <f t="shared" si="0"/>
        <v>6.9333333333333327</v>
      </c>
      <c r="AI12" s="18">
        <f t="shared" si="1"/>
        <v>0</v>
      </c>
      <c r="AJ12" s="18">
        <f t="shared" si="2"/>
        <v>0</v>
      </c>
      <c r="AK12" s="1013">
        <f t="shared" si="3"/>
        <v>6.9333333333333327</v>
      </c>
      <c r="AL12" s="18">
        <f t="shared" si="4"/>
        <v>2856</v>
      </c>
      <c r="AM12" s="18">
        <f t="shared" si="5"/>
        <v>0</v>
      </c>
      <c r="AN12" s="18">
        <f t="shared" si="6"/>
        <v>0</v>
      </c>
      <c r="AO12" s="1035">
        <f t="shared" si="7"/>
        <v>3198.7200000000003</v>
      </c>
      <c r="AP12" s="1975">
        <f t="shared" si="8"/>
        <v>38181.982621645504</v>
      </c>
      <c r="AQ12" s="1035">
        <f t="shared" si="9"/>
        <v>0</v>
      </c>
      <c r="AS12" s="18">
        <f t="shared" si="10"/>
        <v>0</v>
      </c>
      <c r="AT12" s="1035">
        <f t="shared" si="11"/>
        <v>0</v>
      </c>
      <c r="AU12" s="18">
        <f t="shared" si="12"/>
        <v>0</v>
      </c>
      <c r="AV12" s="18">
        <f t="shared" si="13"/>
        <v>0</v>
      </c>
      <c r="AW12" s="18">
        <f t="shared" si="14"/>
        <v>0</v>
      </c>
      <c r="AX12" s="18">
        <f t="shared" si="15"/>
        <v>0</v>
      </c>
      <c r="AY12" s="18">
        <f t="shared" si="16"/>
        <v>0</v>
      </c>
      <c r="AZ12" s="18">
        <f t="shared" si="17"/>
        <v>0</v>
      </c>
      <c r="BA12" s="18">
        <f t="shared" si="18"/>
        <v>979.98172839506174</v>
      </c>
      <c r="BB12" s="18">
        <f t="shared" si="19"/>
        <v>0</v>
      </c>
      <c r="BC12" s="1013">
        <f t="shared" si="20"/>
        <v>0</v>
      </c>
      <c r="BD12" s="18">
        <f t="shared" si="21"/>
        <v>0</v>
      </c>
      <c r="BE12" s="575">
        <f t="shared" si="22"/>
        <v>21653</v>
      </c>
      <c r="BF12" s="18">
        <f t="shared" si="23"/>
        <v>90</v>
      </c>
      <c r="BG12" s="18">
        <f t="shared" si="24"/>
        <v>0</v>
      </c>
      <c r="BH12" s="18">
        <f t="shared" si="25"/>
        <v>0</v>
      </c>
      <c r="BI12" s="481">
        <f>SUM(BJ12:CC13)</f>
        <v>640161.01496473886</v>
      </c>
      <c r="BJ12" s="2070">
        <f>(AT12*Pricing!F$3+AU12*Pricing!G$3+AV12*Pricing!H$3+AW12*Pricing!I$3+AX12*Pricing!J$3+AY12*Pricing!K$3+AZ12*Pricing!L$3+BA12*Pricing!M$3+BB12*Pricing!M$3+BC12*Pricing!O$3)*IF(T$64="N",(1+V$64),1)</f>
        <v>185645.28867283952</v>
      </c>
      <c r="BK12" s="1864">
        <f t="shared" si="26"/>
        <v>29116.496882155319</v>
      </c>
      <c r="BL12" s="1864">
        <f t="shared" si="27"/>
        <v>33987.090125000002</v>
      </c>
      <c r="BM12" s="1864">
        <f t="shared" si="28"/>
        <v>0</v>
      </c>
      <c r="BN12" s="2071">
        <f t="shared" si="29"/>
        <v>131000.65</v>
      </c>
      <c r="BO12" s="1864">
        <f t="shared" si="30"/>
        <v>6336</v>
      </c>
      <c r="BP12" s="1864">
        <f t="shared" si="31"/>
        <v>540</v>
      </c>
      <c r="BQ12" s="1864">
        <f t="shared" si="32"/>
        <v>5413.25</v>
      </c>
      <c r="BR12" s="1864">
        <f t="shared" si="33"/>
        <v>16185.6175</v>
      </c>
      <c r="BS12" s="1864">
        <f t="shared" si="34"/>
        <v>9310.6580898702377</v>
      </c>
      <c r="BT12" s="2072">
        <f t="shared" si="35"/>
        <v>0</v>
      </c>
      <c r="BU12" s="1864">
        <f t="shared" si="36"/>
        <v>39461.074766355145</v>
      </c>
      <c r="BV12" s="1864">
        <f t="shared" si="37"/>
        <v>55596.026802260763</v>
      </c>
      <c r="BW12" s="1864">
        <f t="shared" si="38"/>
        <v>116068.60460397198</v>
      </c>
      <c r="BX12" s="1864">
        <f t="shared" si="39"/>
        <v>9847.4056536287062</v>
      </c>
      <c r="BY12" s="1864">
        <f t="shared" si="40"/>
        <v>1652.851868657209</v>
      </c>
      <c r="BZ12" s="1864">
        <f t="shared" si="41"/>
        <v>0</v>
      </c>
      <c r="CA12" s="1864"/>
      <c r="CB12" s="1864">
        <f t="shared" si="42"/>
        <v>0</v>
      </c>
      <c r="CC12" s="2073">
        <f t="shared" si="43"/>
        <v>0</v>
      </c>
      <c r="CP12" s="18">
        <f>A14</f>
        <v>0</v>
      </c>
      <c r="CQ12" s="18">
        <f>BF14+BG14+BH14+BH15+BG15+BF15</f>
        <v>0</v>
      </c>
      <c r="CR12" s="959">
        <f>T14</f>
        <v>0</v>
      </c>
      <c r="CS12" s="959">
        <f>H$100/H$87*(C14+C15)</f>
        <v>0</v>
      </c>
      <c r="CT12" s="18">
        <f>BE14+BE15</f>
        <v>0</v>
      </c>
    </row>
    <row r="13" spans="1:98" ht="19.5" customHeight="1">
      <c r="A13" s="2074"/>
      <c r="B13" s="2090"/>
      <c r="C13" s="2075"/>
      <c r="D13" s="1388"/>
      <c r="E13" s="1392"/>
      <c r="F13" s="1395"/>
      <c r="G13" s="1345"/>
      <c r="H13" s="2091"/>
      <c r="I13" s="1395"/>
      <c r="J13" s="1392"/>
      <c r="K13" s="1395"/>
      <c r="L13" s="1392"/>
      <c r="M13" s="2076"/>
      <c r="N13" s="1395"/>
      <c r="O13" s="1392"/>
      <c r="P13" s="1395"/>
      <c r="Q13" s="1417"/>
      <c r="R13" s="2092"/>
      <c r="S13" s="2093"/>
      <c r="T13" s="2079"/>
      <c r="U13" s="2080"/>
      <c r="V13" s="2094"/>
      <c r="W13" s="2779"/>
      <c r="X13" s="2779"/>
      <c r="Y13" s="1254"/>
      <c r="AH13" s="1035">
        <f t="shared" si="0"/>
        <v>0</v>
      </c>
      <c r="AI13" s="18">
        <f t="shared" si="1"/>
        <v>0</v>
      </c>
      <c r="AJ13" s="18">
        <f t="shared" si="2"/>
        <v>0</v>
      </c>
      <c r="AK13" s="1013">
        <f t="shared" si="3"/>
        <v>0</v>
      </c>
      <c r="AL13" s="18">
        <f t="shared" si="4"/>
        <v>0</v>
      </c>
      <c r="AM13" s="18">
        <f t="shared" si="5"/>
        <v>0</v>
      </c>
      <c r="AN13" s="18">
        <f t="shared" si="6"/>
        <v>0</v>
      </c>
      <c r="AO13" s="1035">
        <f t="shared" si="7"/>
        <v>0</v>
      </c>
      <c r="AP13" s="1975">
        <f t="shared" si="8"/>
        <v>0</v>
      </c>
      <c r="AQ13" s="1035">
        <f t="shared" si="9"/>
        <v>0</v>
      </c>
      <c r="AS13" s="18">
        <f t="shared" si="10"/>
        <v>0</v>
      </c>
      <c r="AT13" s="1035">
        <f t="shared" si="11"/>
        <v>0</v>
      </c>
      <c r="AU13" s="18">
        <f t="shared" si="12"/>
        <v>0</v>
      </c>
      <c r="AV13" s="18">
        <f t="shared" si="13"/>
        <v>0</v>
      </c>
      <c r="AW13" s="18">
        <f t="shared" si="14"/>
        <v>0</v>
      </c>
      <c r="AX13" s="18">
        <f t="shared" si="15"/>
        <v>0</v>
      </c>
      <c r="AY13" s="18">
        <f t="shared" si="16"/>
        <v>0</v>
      </c>
      <c r="AZ13" s="18">
        <f t="shared" si="17"/>
        <v>0</v>
      </c>
      <c r="BA13" s="18">
        <f t="shared" si="18"/>
        <v>0</v>
      </c>
      <c r="BB13" s="18">
        <f t="shared" si="19"/>
        <v>0</v>
      </c>
      <c r="BC13" s="1013">
        <f t="shared" si="20"/>
        <v>0</v>
      </c>
      <c r="BD13" s="18">
        <f t="shared" si="21"/>
        <v>0</v>
      </c>
      <c r="BE13" s="575">
        <f t="shared" si="22"/>
        <v>0</v>
      </c>
      <c r="BF13" s="18">
        <f t="shared" si="23"/>
        <v>0</v>
      </c>
      <c r="BG13" s="18">
        <f t="shared" si="24"/>
        <v>0</v>
      </c>
      <c r="BH13" s="18">
        <f t="shared" si="25"/>
        <v>0</v>
      </c>
      <c r="BI13" s="481"/>
      <c r="BJ13" s="2070">
        <f>(AT13*Pricing!F$3+AU13*Pricing!G$3+AV13*Pricing!H$3+AW13*Pricing!I$3+AX13*Pricing!J$3+AY13*Pricing!K$3+AZ13*Pricing!L$3+BA13*Pricing!M$3+BB13*Pricing!M$3+BC13*Pricing!O$3)*IF(T$64="N",(1+V$64),1)</f>
        <v>0</v>
      </c>
      <c r="BK13" s="1864">
        <f t="shared" si="26"/>
        <v>0</v>
      </c>
      <c r="BL13" s="1864">
        <f t="shared" si="27"/>
        <v>0</v>
      </c>
      <c r="BM13" s="1864">
        <f t="shared" si="28"/>
        <v>0</v>
      </c>
      <c r="BN13" s="2071">
        <f t="shared" si="29"/>
        <v>0</v>
      </c>
      <c r="BO13" s="1864">
        <f t="shared" si="30"/>
        <v>0</v>
      </c>
      <c r="BP13" s="1864">
        <f t="shared" si="31"/>
        <v>0</v>
      </c>
      <c r="BQ13" s="1864">
        <f t="shared" si="32"/>
        <v>0</v>
      </c>
      <c r="BR13" s="1864" t="str">
        <f t="shared" si="33"/>
        <v/>
      </c>
      <c r="BS13" s="1864">
        <f t="shared" si="34"/>
        <v>0</v>
      </c>
      <c r="BT13" s="2072" t="str">
        <f t="shared" si="35"/>
        <v/>
      </c>
      <c r="BU13" s="1864">
        <f t="shared" si="36"/>
        <v>0</v>
      </c>
      <c r="BV13" s="1864">
        <f t="shared" si="37"/>
        <v>0</v>
      </c>
      <c r="BW13" s="1864">
        <f t="shared" si="38"/>
        <v>0</v>
      </c>
      <c r="BX13" s="1864">
        <f t="shared" si="39"/>
        <v>0</v>
      </c>
      <c r="BY13" s="1864">
        <f t="shared" si="40"/>
        <v>0</v>
      </c>
      <c r="BZ13" s="1864">
        <f t="shared" si="41"/>
        <v>0</v>
      </c>
      <c r="CA13" s="1864"/>
      <c r="CB13" s="1864">
        <f t="shared" si="42"/>
        <v>0</v>
      </c>
      <c r="CC13" s="2073">
        <f t="shared" si="43"/>
        <v>0</v>
      </c>
      <c r="CP13" s="18">
        <f>A16</f>
        <v>0</v>
      </c>
      <c r="CQ13" s="18">
        <f>BF16+BG16+BH16+BH17+BG17+BF17</f>
        <v>0</v>
      </c>
      <c r="CR13" s="959">
        <f>T16</f>
        <v>0</v>
      </c>
      <c r="CS13" s="959">
        <f>H$100/H$87*(C16+C17)</f>
        <v>0</v>
      </c>
      <c r="CT13" s="18">
        <f>BE16+BE17</f>
        <v>0</v>
      </c>
    </row>
    <row r="14" spans="1:98" ht="19.5" customHeight="1">
      <c r="A14" s="482"/>
      <c r="B14" s="1598"/>
      <c r="C14" s="2095"/>
      <c r="D14" s="1344"/>
      <c r="E14" s="2083"/>
      <c r="F14" s="503"/>
      <c r="G14" s="1389"/>
      <c r="H14" s="1109"/>
      <c r="I14" s="503"/>
      <c r="J14" s="834"/>
      <c r="K14" s="503"/>
      <c r="L14" s="834"/>
      <c r="M14" s="2085"/>
      <c r="N14" s="2096"/>
      <c r="O14" s="1428"/>
      <c r="P14" s="503"/>
      <c r="Q14" s="1363"/>
      <c r="R14" s="2077"/>
      <c r="S14" s="2078"/>
      <c r="T14" s="1351">
        <f>SUM(AO14:AP15)</f>
        <v>0</v>
      </c>
      <c r="U14" s="1352">
        <f>((((C14*E14/324)+(C15*E15/324))*(1+J$73))+AK14+AK15)</f>
        <v>0</v>
      </c>
      <c r="V14" s="2081">
        <f>IF(C14=0,0,W14/(C14+C15))</f>
        <v>0</v>
      </c>
      <c r="W14" s="2779">
        <f>(IF(SUM(BJ14:CC15)=0,0,SUM(BJ14:CC15)-BZ14-BZ15))*(1+L$65)</f>
        <v>0</v>
      </c>
      <c r="X14" s="2779"/>
      <c r="Y14" s="1254"/>
      <c r="AH14" s="1035">
        <f t="shared" si="0"/>
        <v>0</v>
      </c>
      <c r="AI14" s="18">
        <f t="shared" si="1"/>
        <v>0</v>
      </c>
      <c r="AJ14" s="18">
        <f t="shared" si="2"/>
        <v>0</v>
      </c>
      <c r="AK14" s="1013">
        <f t="shared" si="3"/>
        <v>0</v>
      </c>
      <c r="AL14" s="18">
        <f t="shared" si="4"/>
        <v>0</v>
      </c>
      <c r="AM14" s="18">
        <f t="shared" si="5"/>
        <v>0</v>
      </c>
      <c r="AN14" s="18">
        <f t="shared" si="6"/>
        <v>0</v>
      </c>
      <c r="AO14" s="1035">
        <f t="shared" si="7"/>
        <v>0</v>
      </c>
      <c r="AP14" s="1975">
        <f t="shared" si="8"/>
        <v>0</v>
      </c>
      <c r="AQ14" s="1035">
        <f t="shared" si="9"/>
        <v>0</v>
      </c>
      <c r="AS14" s="18">
        <f t="shared" si="10"/>
        <v>0</v>
      </c>
      <c r="AT14" s="1035">
        <f t="shared" si="11"/>
        <v>0</v>
      </c>
      <c r="AU14" s="18">
        <f t="shared" si="12"/>
        <v>0</v>
      </c>
      <c r="AV14" s="18">
        <f t="shared" si="13"/>
        <v>0</v>
      </c>
      <c r="AW14" s="18">
        <f t="shared" si="14"/>
        <v>0</v>
      </c>
      <c r="AX14" s="18">
        <f t="shared" si="15"/>
        <v>0</v>
      </c>
      <c r="AY14" s="18">
        <f t="shared" si="16"/>
        <v>0</v>
      </c>
      <c r="AZ14" s="18">
        <f t="shared" si="17"/>
        <v>0</v>
      </c>
      <c r="BA14" s="18">
        <f t="shared" si="18"/>
        <v>0</v>
      </c>
      <c r="BB14" s="18">
        <f t="shared" si="19"/>
        <v>0</v>
      </c>
      <c r="BC14" s="1013">
        <f t="shared" si="20"/>
        <v>0</v>
      </c>
      <c r="BD14" s="18">
        <f t="shared" si="21"/>
        <v>0</v>
      </c>
      <c r="BE14" s="575">
        <f t="shared" si="22"/>
        <v>0</v>
      </c>
      <c r="BF14" s="18">
        <f t="shared" si="23"/>
        <v>0</v>
      </c>
      <c r="BG14" s="18">
        <f t="shared" si="24"/>
        <v>0</v>
      </c>
      <c r="BH14" s="18">
        <f t="shared" si="25"/>
        <v>0</v>
      </c>
      <c r="BI14" s="481">
        <f>SUM(BJ14:CC15)</f>
        <v>0</v>
      </c>
      <c r="BJ14" s="2070">
        <f>(AT14*Pricing!F$3+AU14*Pricing!G$3+AV14*Pricing!H$3+AW14*Pricing!I$3+AX14*Pricing!J$3+AY14*Pricing!K$3+AZ14*Pricing!L$3+BA14*Pricing!M$3+BB14*Pricing!M$3+BC14*Pricing!O$3)*IF(T$64="N",(1+V$64),1)</f>
        <v>0</v>
      </c>
      <c r="BK14" s="1864">
        <f t="shared" si="26"/>
        <v>0</v>
      </c>
      <c r="BL14" s="1864">
        <f t="shared" si="27"/>
        <v>0</v>
      </c>
      <c r="BM14" s="1864">
        <f t="shared" si="28"/>
        <v>0</v>
      </c>
      <c r="BN14" s="2071">
        <f t="shared" si="29"/>
        <v>0</v>
      </c>
      <c r="BO14" s="1864">
        <f t="shared" si="30"/>
        <v>0</v>
      </c>
      <c r="BP14" s="1864">
        <f t="shared" si="31"/>
        <v>0</v>
      </c>
      <c r="BQ14" s="1864">
        <f t="shared" si="32"/>
        <v>0</v>
      </c>
      <c r="BR14" s="1864" t="str">
        <f t="shared" si="33"/>
        <v/>
      </c>
      <c r="BS14" s="1864">
        <f t="shared" si="34"/>
        <v>0</v>
      </c>
      <c r="BT14" s="2072" t="str">
        <f t="shared" si="35"/>
        <v/>
      </c>
      <c r="BU14" s="1864">
        <f t="shared" si="36"/>
        <v>0</v>
      </c>
      <c r="BV14" s="1864">
        <f t="shared" si="37"/>
        <v>0</v>
      </c>
      <c r="BW14" s="1864">
        <f t="shared" si="38"/>
        <v>0</v>
      </c>
      <c r="BX14" s="1864">
        <f t="shared" si="39"/>
        <v>0</v>
      </c>
      <c r="BY14" s="1864">
        <f t="shared" si="40"/>
        <v>0</v>
      </c>
      <c r="BZ14" s="1864">
        <f t="shared" si="41"/>
        <v>0</v>
      </c>
      <c r="CA14" s="1864"/>
      <c r="CB14" s="1864">
        <f t="shared" si="42"/>
        <v>0</v>
      </c>
      <c r="CC14" s="2073">
        <f t="shared" si="43"/>
        <v>0</v>
      </c>
      <c r="CP14" s="18">
        <f>A18</f>
        <v>0</v>
      </c>
      <c r="CQ14" s="18">
        <f>BF18+BG18+BH18+BH19+BG19+BF19</f>
        <v>0</v>
      </c>
      <c r="CR14" s="959">
        <f>T18</f>
        <v>0</v>
      </c>
      <c r="CS14" s="959">
        <f>H$100/H$87*(C18+C19)</f>
        <v>0</v>
      </c>
      <c r="CT14" s="18">
        <f>BE18+BE19</f>
        <v>0</v>
      </c>
    </row>
    <row r="15" spans="1:98" ht="19.5" customHeight="1">
      <c r="A15" s="482"/>
      <c r="B15" s="1598"/>
      <c r="C15" s="2075"/>
      <c r="D15" s="1388"/>
      <c r="E15" s="2083"/>
      <c r="F15" s="503"/>
      <c r="G15" s="1851"/>
      <c r="H15" s="1109"/>
      <c r="I15" s="503"/>
      <c r="J15" s="834"/>
      <c r="K15" s="503"/>
      <c r="L15" s="834"/>
      <c r="M15" s="2076"/>
      <c r="N15" s="503"/>
      <c r="O15" s="834"/>
      <c r="P15" s="503"/>
      <c r="Q15" s="1418"/>
      <c r="R15" s="2077"/>
      <c r="S15" s="2078"/>
      <c r="T15" s="2079"/>
      <c r="U15" s="2080"/>
      <c r="V15" s="2081"/>
      <c r="W15" s="2779"/>
      <c r="X15" s="2779"/>
      <c r="Y15" s="1254"/>
      <c r="AH15" s="1035">
        <f t="shared" si="0"/>
        <v>0</v>
      </c>
      <c r="AI15" s="18">
        <f t="shared" si="1"/>
        <v>0</v>
      </c>
      <c r="AJ15" s="18">
        <f t="shared" si="2"/>
        <v>0</v>
      </c>
      <c r="AK15" s="1013">
        <f t="shared" si="3"/>
        <v>0</v>
      </c>
      <c r="AL15" s="18">
        <f t="shared" si="4"/>
        <v>0</v>
      </c>
      <c r="AM15" s="18">
        <f t="shared" si="5"/>
        <v>0</v>
      </c>
      <c r="AN15" s="18">
        <f t="shared" si="6"/>
        <v>0</v>
      </c>
      <c r="AO15" s="1035">
        <f t="shared" si="7"/>
        <v>0</v>
      </c>
      <c r="AP15" s="1975">
        <f t="shared" si="8"/>
        <v>0</v>
      </c>
      <c r="AQ15" s="1035">
        <f t="shared" si="9"/>
        <v>0</v>
      </c>
      <c r="AS15" s="18">
        <f t="shared" si="10"/>
        <v>0</v>
      </c>
      <c r="AT15" s="1035">
        <f t="shared" si="11"/>
        <v>0</v>
      </c>
      <c r="AU15" s="18">
        <f t="shared" si="12"/>
        <v>0</v>
      </c>
      <c r="AV15" s="18">
        <f t="shared" si="13"/>
        <v>0</v>
      </c>
      <c r="AW15" s="18">
        <f t="shared" si="14"/>
        <v>0</v>
      </c>
      <c r="AX15" s="18">
        <f t="shared" si="15"/>
        <v>0</v>
      </c>
      <c r="AY15" s="18">
        <f t="shared" si="16"/>
        <v>0</v>
      </c>
      <c r="AZ15" s="18">
        <f t="shared" si="17"/>
        <v>0</v>
      </c>
      <c r="BA15" s="18">
        <f t="shared" si="18"/>
        <v>0</v>
      </c>
      <c r="BB15" s="18">
        <f t="shared" si="19"/>
        <v>0</v>
      </c>
      <c r="BC15" s="1013">
        <f t="shared" si="20"/>
        <v>0</v>
      </c>
      <c r="BD15" s="18">
        <f t="shared" si="21"/>
        <v>0</v>
      </c>
      <c r="BE15" s="575">
        <f t="shared" si="22"/>
        <v>0</v>
      </c>
      <c r="BF15" s="18">
        <f t="shared" si="23"/>
        <v>0</v>
      </c>
      <c r="BG15" s="18">
        <f t="shared" si="24"/>
        <v>0</v>
      </c>
      <c r="BH15" s="18">
        <f t="shared" si="25"/>
        <v>0</v>
      </c>
      <c r="BI15" s="481"/>
      <c r="BJ15" s="2070">
        <f>(AT15*Pricing!F$3+AU15*Pricing!G$3+AV15*Pricing!H$3+AW15*Pricing!I$3+AX15*Pricing!J$3+AY15*Pricing!K$3+AZ15*Pricing!L$3+BA15*Pricing!M$3+BB15*Pricing!M$3+BC15*Pricing!O$3)*IF(T$64="N",(1+V$64),1)</f>
        <v>0</v>
      </c>
      <c r="BK15" s="1864">
        <f t="shared" si="26"/>
        <v>0</v>
      </c>
      <c r="BL15" s="1864">
        <f t="shared" si="27"/>
        <v>0</v>
      </c>
      <c r="BM15" s="1864">
        <f t="shared" si="28"/>
        <v>0</v>
      </c>
      <c r="BN15" s="2071">
        <f t="shared" si="29"/>
        <v>0</v>
      </c>
      <c r="BO15" s="1864">
        <f t="shared" si="30"/>
        <v>0</v>
      </c>
      <c r="BP15" s="1864">
        <f t="shared" si="31"/>
        <v>0</v>
      </c>
      <c r="BQ15" s="1864">
        <f t="shared" si="32"/>
        <v>0</v>
      </c>
      <c r="BR15" s="1864" t="str">
        <f t="shared" si="33"/>
        <v/>
      </c>
      <c r="BS15" s="1864">
        <f t="shared" si="34"/>
        <v>0</v>
      </c>
      <c r="BT15" s="2072" t="str">
        <f t="shared" si="35"/>
        <v/>
      </c>
      <c r="BU15" s="1864">
        <f t="shared" si="36"/>
        <v>0</v>
      </c>
      <c r="BV15" s="1864">
        <f t="shared" si="37"/>
        <v>0</v>
      </c>
      <c r="BW15" s="1864">
        <f t="shared" si="38"/>
        <v>0</v>
      </c>
      <c r="BX15" s="1864">
        <f t="shared" si="39"/>
        <v>0</v>
      </c>
      <c r="BY15" s="1864">
        <f t="shared" si="40"/>
        <v>0</v>
      </c>
      <c r="BZ15" s="1864">
        <f t="shared" si="41"/>
        <v>0</v>
      </c>
      <c r="CA15" s="1864"/>
      <c r="CB15" s="1864">
        <f t="shared" si="42"/>
        <v>0</v>
      </c>
      <c r="CC15" s="2073">
        <f t="shared" si="43"/>
        <v>0</v>
      </c>
      <c r="CP15" s="18">
        <f>A20</f>
        <v>0</v>
      </c>
      <c r="CQ15" s="18">
        <f>BF20+BG20+BH20+BH21+BG21+BF21</f>
        <v>0</v>
      </c>
      <c r="CR15" s="959">
        <f>T20</f>
        <v>0</v>
      </c>
      <c r="CS15" s="959">
        <f>H$100/H$87*(C20+C21)</f>
        <v>0</v>
      </c>
      <c r="CT15" s="18">
        <f>BE20+BE21</f>
        <v>0</v>
      </c>
    </row>
    <row r="16" spans="1:98" ht="19.5" customHeight="1">
      <c r="A16" s="2097"/>
      <c r="B16" s="2098"/>
      <c r="C16" s="2095"/>
      <c r="D16" s="1344"/>
      <c r="E16" s="1207"/>
      <c r="F16" s="1347"/>
      <c r="G16" s="1389"/>
      <c r="H16" s="2084"/>
      <c r="I16" s="1347"/>
      <c r="J16" s="1348"/>
      <c r="K16" s="1347"/>
      <c r="L16" s="1348"/>
      <c r="M16" s="2085"/>
      <c r="N16" s="1347"/>
      <c r="O16" s="2099"/>
      <c r="P16" s="1347"/>
      <c r="Q16" s="1409"/>
      <c r="R16" s="2087"/>
      <c r="S16" s="2088"/>
      <c r="T16" s="1351">
        <f>SUM(AO16:AP17)</f>
        <v>0</v>
      </c>
      <c r="U16" s="1352">
        <f>((((C16*E16/324)+(C17*E17/324))*(1+J$73))+AK16+AK17)</f>
        <v>0</v>
      </c>
      <c r="V16" s="2089">
        <f>IF(C16=0,0,W16/(C16+C17))</f>
        <v>0</v>
      </c>
      <c r="W16" s="2779">
        <f>(IF(SUM(BJ16:CC17)=0,0,SUM(BJ16:CC17)-BZ16-BZ17))*(1+L$65)</f>
        <v>0</v>
      </c>
      <c r="X16" s="2779"/>
      <c r="Y16" s="1254"/>
      <c r="AH16" s="1035">
        <f t="shared" si="0"/>
        <v>0</v>
      </c>
      <c r="AI16" s="18">
        <f t="shared" si="1"/>
        <v>0</v>
      </c>
      <c r="AJ16" s="18">
        <f t="shared" si="2"/>
        <v>0</v>
      </c>
      <c r="AK16" s="1013">
        <f t="shared" si="3"/>
        <v>0</v>
      </c>
      <c r="AL16" s="18">
        <f t="shared" si="4"/>
        <v>0</v>
      </c>
      <c r="AM16" s="18">
        <f t="shared" si="5"/>
        <v>0</v>
      </c>
      <c r="AN16" s="18">
        <f t="shared" si="6"/>
        <v>0</v>
      </c>
      <c r="AO16" s="1035">
        <f t="shared" si="7"/>
        <v>0</v>
      </c>
      <c r="AP16" s="1975">
        <f t="shared" si="8"/>
        <v>0</v>
      </c>
      <c r="AQ16" s="1035">
        <f t="shared" si="9"/>
        <v>0</v>
      </c>
      <c r="AS16" s="18">
        <f t="shared" si="10"/>
        <v>0</v>
      </c>
      <c r="AT16" s="1035">
        <f t="shared" si="11"/>
        <v>0</v>
      </c>
      <c r="AU16" s="18">
        <f t="shared" si="12"/>
        <v>0</v>
      </c>
      <c r="AV16" s="18">
        <f t="shared" si="13"/>
        <v>0</v>
      </c>
      <c r="AW16" s="18">
        <f t="shared" si="14"/>
        <v>0</v>
      </c>
      <c r="AX16" s="18">
        <f t="shared" si="15"/>
        <v>0</v>
      </c>
      <c r="AY16" s="18">
        <f t="shared" si="16"/>
        <v>0</v>
      </c>
      <c r="AZ16" s="18">
        <f t="shared" si="17"/>
        <v>0</v>
      </c>
      <c r="BA16" s="18">
        <f t="shared" si="18"/>
        <v>0</v>
      </c>
      <c r="BB16" s="18">
        <f t="shared" si="19"/>
        <v>0</v>
      </c>
      <c r="BC16" s="1013">
        <f t="shared" si="20"/>
        <v>0</v>
      </c>
      <c r="BD16" s="18">
        <f t="shared" si="21"/>
        <v>0</v>
      </c>
      <c r="BE16" s="575">
        <f t="shared" si="22"/>
        <v>0</v>
      </c>
      <c r="BF16" s="18">
        <f t="shared" si="23"/>
        <v>0</v>
      </c>
      <c r="BG16" s="18">
        <f t="shared" si="24"/>
        <v>0</v>
      </c>
      <c r="BH16" s="18">
        <f t="shared" si="25"/>
        <v>0</v>
      </c>
      <c r="BI16" s="481">
        <f>SUM(BJ16:CC17)</f>
        <v>0</v>
      </c>
      <c r="BJ16" s="2070">
        <f>(AT16*Pricing!F$3+AU16*Pricing!G$3+AV16*Pricing!H$3+AW16*Pricing!I$3+AX16*Pricing!J$3+AY16*Pricing!K$3+AZ16*Pricing!L$3+BA16*Pricing!M$3+BB16*Pricing!M$3+BC16*Pricing!O$3)*IF(T$64="N",(1+V$64),1)</f>
        <v>0</v>
      </c>
      <c r="BK16" s="1864">
        <f t="shared" si="26"/>
        <v>0</v>
      </c>
      <c r="BL16" s="1864">
        <f t="shared" si="27"/>
        <v>0</v>
      </c>
      <c r="BM16" s="1864">
        <f t="shared" si="28"/>
        <v>0</v>
      </c>
      <c r="BN16" s="2071">
        <f t="shared" si="29"/>
        <v>0</v>
      </c>
      <c r="BO16" s="1864">
        <f t="shared" si="30"/>
        <v>0</v>
      </c>
      <c r="BP16" s="1864">
        <f t="shared" si="31"/>
        <v>0</v>
      </c>
      <c r="BQ16" s="1864">
        <f t="shared" si="32"/>
        <v>0</v>
      </c>
      <c r="BR16" s="1864" t="str">
        <f t="shared" si="33"/>
        <v/>
      </c>
      <c r="BS16" s="1864">
        <f t="shared" si="34"/>
        <v>0</v>
      </c>
      <c r="BT16" s="2072" t="str">
        <f t="shared" si="35"/>
        <v/>
      </c>
      <c r="BU16" s="1864">
        <f t="shared" si="36"/>
        <v>0</v>
      </c>
      <c r="BV16" s="1864">
        <f t="shared" si="37"/>
        <v>0</v>
      </c>
      <c r="BW16" s="1864">
        <f t="shared" si="38"/>
        <v>0</v>
      </c>
      <c r="BX16" s="1864">
        <f t="shared" si="39"/>
        <v>0</v>
      </c>
      <c r="BY16" s="1864">
        <f t="shared" si="40"/>
        <v>0</v>
      </c>
      <c r="BZ16" s="1864">
        <f t="shared" si="41"/>
        <v>0</v>
      </c>
      <c r="CA16" s="1864"/>
      <c r="CB16" s="1864">
        <f t="shared" si="42"/>
        <v>0</v>
      </c>
      <c r="CC16" s="2073">
        <f t="shared" si="43"/>
        <v>0</v>
      </c>
      <c r="CP16" s="18">
        <f>A22</f>
        <v>0</v>
      </c>
      <c r="CQ16" s="18">
        <f>BF22+BG22+BH22+BH23+BG23+BF23</f>
        <v>0</v>
      </c>
      <c r="CR16" s="959">
        <f>T22</f>
        <v>0</v>
      </c>
      <c r="CS16" s="959">
        <f>H$100/H$87*(C22+C23)</f>
        <v>0</v>
      </c>
      <c r="CT16" s="18">
        <f>BE22+BE23</f>
        <v>0</v>
      </c>
    </row>
    <row r="17" spans="1:98" ht="19.5" customHeight="1">
      <c r="A17" s="2074"/>
      <c r="B17" s="2100"/>
      <c r="C17" s="2075"/>
      <c r="D17" s="1388"/>
      <c r="E17" s="1206"/>
      <c r="F17" s="1395"/>
      <c r="G17" s="1345"/>
      <c r="H17" s="2091"/>
      <c r="I17" s="1395"/>
      <c r="J17" s="1392"/>
      <c r="K17" s="1395"/>
      <c r="L17" s="1392"/>
      <c r="M17" s="2076"/>
      <c r="N17" s="1395"/>
      <c r="O17" s="1392"/>
      <c r="P17" s="1395"/>
      <c r="Q17" s="1417"/>
      <c r="R17" s="2092"/>
      <c r="S17" s="2093"/>
      <c r="T17" s="2079"/>
      <c r="U17" s="2080"/>
      <c r="V17" s="2094"/>
      <c r="W17" s="2779"/>
      <c r="X17" s="2779"/>
      <c r="Y17" s="1254"/>
      <c r="AH17" s="1035">
        <f t="shared" si="0"/>
        <v>0</v>
      </c>
      <c r="AI17" s="18">
        <f t="shared" si="1"/>
        <v>0</v>
      </c>
      <c r="AJ17" s="18">
        <f t="shared" si="2"/>
        <v>0</v>
      </c>
      <c r="AK17" s="1013">
        <f t="shared" si="3"/>
        <v>0</v>
      </c>
      <c r="AL17" s="18">
        <f t="shared" si="4"/>
        <v>0</v>
      </c>
      <c r="AM17" s="18">
        <f t="shared" si="5"/>
        <v>0</v>
      </c>
      <c r="AN17" s="18">
        <f t="shared" si="6"/>
        <v>0</v>
      </c>
      <c r="AO17" s="1035">
        <f t="shared" si="7"/>
        <v>0</v>
      </c>
      <c r="AP17" s="1975">
        <f t="shared" si="8"/>
        <v>0</v>
      </c>
      <c r="AQ17" s="1035">
        <f t="shared" si="9"/>
        <v>0</v>
      </c>
      <c r="AS17" s="18">
        <f t="shared" si="10"/>
        <v>0</v>
      </c>
      <c r="AT17" s="1035">
        <f t="shared" si="11"/>
        <v>0</v>
      </c>
      <c r="AU17" s="18">
        <f t="shared" si="12"/>
        <v>0</v>
      </c>
      <c r="AV17" s="18">
        <f t="shared" si="13"/>
        <v>0</v>
      </c>
      <c r="AW17" s="18">
        <f t="shared" si="14"/>
        <v>0</v>
      </c>
      <c r="AX17" s="18">
        <f t="shared" si="15"/>
        <v>0</v>
      </c>
      <c r="AY17" s="18">
        <f t="shared" si="16"/>
        <v>0</v>
      </c>
      <c r="AZ17" s="18">
        <f t="shared" si="17"/>
        <v>0</v>
      </c>
      <c r="BA17" s="18">
        <f t="shared" si="18"/>
        <v>0</v>
      </c>
      <c r="BB17" s="18">
        <f t="shared" si="19"/>
        <v>0</v>
      </c>
      <c r="BC17" s="1013">
        <f t="shared" si="20"/>
        <v>0</v>
      </c>
      <c r="BD17" s="18">
        <f t="shared" si="21"/>
        <v>0</v>
      </c>
      <c r="BE17" s="575">
        <f t="shared" si="22"/>
        <v>0</v>
      </c>
      <c r="BF17" s="18">
        <f t="shared" si="23"/>
        <v>0</v>
      </c>
      <c r="BG17" s="18">
        <f t="shared" si="24"/>
        <v>0</v>
      </c>
      <c r="BH17" s="18">
        <f t="shared" si="25"/>
        <v>0</v>
      </c>
      <c r="BI17" s="481"/>
      <c r="BJ17" s="2070">
        <f>(AT17*Pricing!F$3+AU17*Pricing!G$3+AV17*Pricing!H$3+AW17*Pricing!I$3+AX17*Pricing!J$3+AY17*Pricing!K$3+AZ17*Pricing!L$3+BA17*Pricing!M$3+BB17*Pricing!M$3+BC17*Pricing!O$3)*IF(T$64="N",(1+V$64),1)</f>
        <v>0</v>
      </c>
      <c r="BK17" s="1864">
        <f t="shared" si="26"/>
        <v>0</v>
      </c>
      <c r="BL17" s="1864">
        <f t="shared" si="27"/>
        <v>0</v>
      </c>
      <c r="BM17" s="1864">
        <f t="shared" si="28"/>
        <v>0</v>
      </c>
      <c r="BN17" s="2071">
        <f t="shared" si="29"/>
        <v>0</v>
      </c>
      <c r="BO17" s="1864">
        <f t="shared" si="30"/>
        <v>0</v>
      </c>
      <c r="BP17" s="1864">
        <f t="shared" si="31"/>
        <v>0</v>
      </c>
      <c r="BQ17" s="1864">
        <f t="shared" si="32"/>
        <v>0</v>
      </c>
      <c r="BR17" s="1864" t="str">
        <f t="shared" si="33"/>
        <v/>
      </c>
      <c r="BS17" s="1864">
        <f t="shared" si="34"/>
        <v>0</v>
      </c>
      <c r="BT17" s="2072" t="str">
        <f t="shared" si="35"/>
        <v/>
      </c>
      <c r="BU17" s="1864">
        <f t="shared" si="36"/>
        <v>0</v>
      </c>
      <c r="BV17" s="1864">
        <f t="shared" si="37"/>
        <v>0</v>
      </c>
      <c r="BW17" s="1864">
        <f t="shared" si="38"/>
        <v>0</v>
      </c>
      <c r="BX17" s="1864">
        <f t="shared" si="39"/>
        <v>0</v>
      </c>
      <c r="BY17" s="1864">
        <f t="shared" si="40"/>
        <v>0</v>
      </c>
      <c r="BZ17" s="1864">
        <f t="shared" si="41"/>
        <v>0</v>
      </c>
      <c r="CA17" s="1864"/>
      <c r="CB17" s="1864">
        <f t="shared" si="42"/>
        <v>0</v>
      </c>
      <c r="CC17" s="2073">
        <f t="shared" si="43"/>
        <v>0</v>
      </c>
      <c r="CP17" s="18">
        <f>A24</f>
        <v>0</v>
      </c>
      <c r="CQ17" s="18">
        <f>BF24+BG24+BH24+BH25+BG25+BF25</f>
        <v>0</v>
      </c>
      <c r="CR17" s="959">
        <f>T24</f>
        <v>0</v>
      </c>
      <c r="CS17" s="959">
        <f>H$100/H$87*(C24+C25)</f>
        <v>0</v>
      </c>
      <c r="CT17" s="18">
        <f>BE24+BE25</f>
        <v>0</v>
      </c>
    </row>
    <row r="18" spans="1:98" ht="19.5" customHeight="1">
      <c r="A18" s="482"/>
      <c r="B18" s="1598"/>
      <c r="C18" s="2095"/>
      <c r="D18" s="1344"/>
      <c r="E18" s="2083"/>
      <c r="F18" s="503"/>
      <c r="G18" s="1389"/>
      <c r="H18" s="1109"/>
      <c r="I18" s="503"/>
      <c r="J18" s="834"/>
      <c r="K18" s="503"/>
      <c r="L18" s="834"/>
      <c r="M18" s="2085"/>
      <c r="N18" s="503"/>
      <c r="O18" s="834"/>
      <c r="P18" s="503"/>
      <c r="Q18" s="1363"/>
      <c r="R18" s="2077"/>
      <c r="S18" s="2078"/>
      <c r="T18" s="1351">
        <f>SUM(AO18:AP19)</f>
        <v>0</v>
      </c>
      <c r="U18" s="1352">
        <f>((((C18*E18/324)+(C19*E19/324))*(1+J$73))+AK18+AK19)</f>
        <v>0</v>
      </c>
      <c r="V18" s="2081">
        <f>IF(C18=0,0,W18/(C18+C19))</f>
        <v>0</v>
      </c>
      <c r="W18" s="2779">
        <f>(IF(SUM(BJ18:CC19)=0,0,SUM(BJ18:CC19)-BZ18-BZ19))*(1+L$65)</f>
        <v>0</v>
      </c>
      <c r="X18" s="2779"/>
      <c r="Y18" s="1254"/>
      <c r="AH18" s="1035">
        <f t="shared" si="0"/>
        <v>0</v>
      </c>
      <c r="AI18" s="18">
        <f t="shared" si="1"/>
        <v>0</v>
      </c>
      <c r="AJ18" s="18">
        <f t="shared" si="2"/>
        <v>0</v>
      </c>
      <c r="AK18" s="1013">
        <f t="shared" si="3"/>
        <v>0</v>
      </c>
      <c r="AL18" s="18">
        <f t="shared" si="4"/>
        <v>0</v>
      </c>
      <c r="AM18" s="18">
        <f t="shared" si="5"/>
        <v>0</v>
      </c>
      <c r="AN18" s="18">
        <f t="shared" si="6"/>
        <v>0</v>
      </c>
      <c r="AO18" s="1035">
        <f t="shared" si="7"/>
        <v>0</v>
      </c>
      <c r="AP18" s="1975">
        <f t="shared" si="8"/>
        <v>0</v>
      </c>
      <c r="AQ18" s="1035">
        <f t="shared" si="9"/>
        <v>0</v>
      </c>
      <c r="AS18" s="18">
        <f t="shared" si="10"/>
        <v>0</v>
      </c>
      <c r="AT18" s="1035">
        <f t="shared" si="11"/>
        <v>0</v>
      </c>
      <c r="AU18" s="18">
        <f t="shared" si="12"/>
        <v>0</v>
      </c>
      <c r="AV18" s="18">
        <f t="shared" si="13"/>
        <v>0</v>
      </c>
      <c r="AW18" s="18">
        <f t="shared" si="14"/>
        <v>0</v>
      </c>
      <c r="AX18" s="18">
        <f t="shared" si="15"/>
        <v>0</v>
      </c>
      <c r="AY18" s="18">
        <f t="shared" si="16"/>
        <v>0</v>
      </c>
      <c r="AZ18" s="18">
        <f t="shared" si="17"/>
        <v>0</v>
      </c>
      <c r="BA18" s="18">
        <f t="shared" si="18"/>
        <v>0</v>
      </c>
      <c r="BB18" s="18">
        <f t="shared" si="19"/>
        <v>0</v>
      </c>
      <c r="BC18" s="1013">
        <f t="shared" si="20"/>
        <v>0</v>
      </c>
      <c r="BD18" s="18">
        <f t="shared" si="21"/>
        <v>0</v>
      </c>
      <c r="BE18" s="575">
        <f t="shared" si="22"/>
        <v>0</v>
      </c>
      <c r="BF18" s="18">
        <f t="shared" si="23"/>
        <v>0</v>
      </c>
      <c r="BG18" s="18">
        <f t="shared" si="24"/>
        <v>0</v>
      </c>
      <c r="BH18" s="18">
        <f t="shared" si="25"/>
        <v>0</v>
      </c>
      <c r="BI18" s="481">
        <f>SUM(BJ18:CC19)</f>
        <v>0</v>
      </c>
      <c r="BJ18" s="2070">
        <f>(AT18*Pricing!F$3+AU18*Pricing!G$3+AV18*Pricing!H$3+AW18*Pricing!I$3+AX18*Pricing!J$3+AY18*Pricing!K$3+AZ18*Pricing!L$3+BA18*Pricing!M$3+BB18*Pricing!M$3+BC18*Pricing!O$3)*IF(T$64="N",(1+V$64),1)</f>
        <v>0</v>
      </c>
      <c r="BK18" s="1864">
        <f t="shared" si="26"/>
        <v>0</v>
      </c>
      <c r="BL18" s="1864">
        <f t="shared" si="27"/>
        <v>0</v>
      </c>
      <c r="BM18" s="1864">
        <f t="shared" si="28"/>
        <v>0</v>
      </c>
      <c r="BN18" s="2071">
        <f t="shared" si="29"/>
        <v>0</v>
      </c>
      <c r="BO18" s="1864">
        <f t="shared" si="30"/>
        <v>0</v>
      </c>
      <c r="BP18" s="1864">
        <f t="shared" si="31"/>
        <v>0</v>
      </c>
      <c r="BQ18" s="1864">
        <f t="shared" si="32"/>
        <v>0</v>
      </c>
      <c r="BR18" s="1864" t="str">
        <f t="shared" si="33"/>
        <v/>
      </c>
      <c r="BS18" s="1864">
        <f t="shared" si="34"/>
        <v>0</v>
      </c>
      <c r="BT18" s="2072" t="str">
        <f t="shared" si="35"/>
        <v/>
      </c>
      <c r="BU18" s="1864">
        <f t="shared" si="36"/>
        <v>0</v>
      </c>
      <c r="BV18" s="1864">
        <f t="shared" si="37"/>
        <v>0</v>
      </c>
      <c r="BW18" s="1864">
        <f t="shared" si="38"/>
        <v>0</v>
      </c>
      <c r="BX18" s="1864">
        <f t="shared" si="39"/>
        <v>0</v>
      </c>
      <c r="BY18" s="1864">
        <f t="shared" si="40"/>
        <v>0</v>
      </c>
      <c r="BZ18" s="1864">
        <f t="shared" si="41"/>
        <v>0</v>
      </c>
      <c r="CA18" s="1864"/>
      <c r="CB18" s="1864">
        <f t="shared" si="42"/>
        <v>0</v>
      </c>
      <c r="CC18" s="2073">
        <f t="shared" si="43"/>
        <v>0</v>
      </c>
      <c r="CP18" s="18">
        <f>A26</f>
        <v>0</v>
      </c>
      <c r="CQ18" s="18">
        <f>BF26+BG26+BH26+BH27+BG27+BF27</f>
        <v>0</v>
      </c>
      <c r="CR18" s="959">
        <f>T26</f>
        <v>0</v>
      </c>
      <c r="CS18" s="959">
        <f>H$100/H$87*(C26+C27)</f>
        <v>0</v>
      </c>
      <c r="CT18" s="18">
        <f>BE26+BE27</f>
        <v>0</v>
      </c>
    </row>
    <row r="19" spans="1:98" ht="19.5" customHeight="1">
      <c r="A19" s="482"/>
      <c r="B19" s="1598"/>
      <c r="C19" s="2101"/>
      <c r="D19" s="1388"/>
      <c r="E19" s="2083"/>
      <c r="F19" s="503"/>
      <c r="G19" s="1851"/>
      <c r="H19" s="1109"/>
      <c r="I19" s="503"/>
      <c r="J19" s="834"/>
      <c r="K19" s="503"/>
      <c r="L19" s="834"/>
      <c r="M19" s="2076"/>
      <c r="N19" s="503"/>
      <c r="O19" s="834"/>
      <c r="P19" s="503"/>
      <c r="Q19" s="1418"/>
      <c r="R19" s="2077"/>
      <c r="S19" s="2078"/>
      <c r="T19" s="2079"/>
      <c r="U19" s="2080"/>
      <c r="V19" s="2094"/>
      <c r="W19" s="2779"/>
      <c r="X19" s="2779"/>
      <c r="Y19" s="1254"/>
      <c r="AH19" s="1035">
        <f t="shared" si="0"/>
        <v>0</v>
      </c>
      <c r="AI19" s="18">
        <f t="shared" si="1"/>
        <v>0</v>
      </c>
      <c r="AJ19" s="18">
        <f t="shared" si="2"/>
        <v>0</v>
      </c>
      <c r="AK19" s="1013">
        <f t="shared" si="3"/>
        <v>0</v>
      </c>
      <c r="AL19" s="18">
        <f t="shared" si="4"/>
        <v>0</v>
      </c>
      <c r="AM19" s="18">
        <f t="shared" si="5"/>
        <v>0</v>
      </c>
      <c r="AN19" s="18">
        <f t="shared" si="6"/>
        <v>0</v>
      </c>
      <c r="AO19" s="1035">
        <f t="shared" si="7"/>
        <v>0</v>
      </c>
      <c r="AP19" s="1975">
        <f t="shared" si="8"/>
        <v>0</v>
      </c>
      <c r="AQ19" s="1035">
        <f t="shared" si="9"/>
        <v>0</v>
      </c>
      <c r="AS19" s="18">
        <f t="shared" si="10"/>
        <v>0</v>
      </c>
      <c r="AT19" s="1035">
        <f t="shared" si="11"/>
        <v>0</v>
      </c>
      <c r="AU19" s="18">
        <f t="shared" si="12"/>
        <v>0</v>
      </c>
      <c r="AV19" s="18">
        <f t="shared" si="13"/>
        <v>0</v>
      </c>
      <c r="AW19" s="18">
        <f t="shared" si="14"/>
        <v>0</v>
      </c>
      <c r="AX19" s="18">
        <f t="shared" si="15"/>
        <v>0</v>
      </c>
      <c r="AY19" s="18">
        <f t="shared" si="16"/>
        <v>0</v>
      </c>
      <c r="AZ19" s="18">
        <f t="shared" si="17"/>
        <v>0</v>
      </c>
      <c r="BA19" s="18">
        <f t="shared" si="18"/>
        <v>0</v>
      </c>
      <c r="BB19" s="18">
        <f t="shared" si="19"/>
        <v>0</v>
      </c>
      <c r="BC19" s="1013">
        <f t="shared" si="20"/>
        <v>0</v>
      </c>
      <c r="BD19" s="18">
        <f t="shared" si="21"/>
        <v>0</v>
      </c>
      <c r="BE19" s="575">
        <f t="shared" si="22"/>
        <v>0</v>
      </c>
      <c r="BF19" s="18">
        <f t="shared" si="23"/>
        <v>0</v>
      </c>
      <c r="BG19" s="18">
        <f t="shared" si="24"/>
        <v>0</v>
      </c>
      <c r="BH19" s="18">
        <f t="shared" si="25"/>
        <v>0</v>
      </c>
      <c r="BI19" s="481"/>
      <c r="BJ19" s="2070">
        <f>(AT19*Pricing!F$3+AU19*Pricing!G$3+AV19*Pricing!H$3+AW19*Pricing!I$3+AX19*Pricing!J$3+AY19*Pricing!K$3+AZ19*Pricing!L$3+BA19*Pricing!M$3+BB19*Pricing!M$3+BC19*Pricing!O$3)*IF(T$64="N",(1+V$64),1)</f>
        <v>0</v>
      </c>
      <c r="BK19" s="1864">
        <f t="shared" si="26"/>
        <v>0</v>
      </c>
      <c r="BL19" s="1864">
        <f t="shared" si="27"/>
        <v>0</v>
      </c>
      <c r="BM19" s="1864">
        <f t="shared" si="28"/>
        <v>0</v>
      </c>
      <c r="BN19" s="2071">
        <f t="shared" si="29"/>
        <v>0</v>
      </c>
      <c r="BO19" s="1864">
        <f t="shared" si="30"/>
        <v>0</v>
      </c>
      <c r="BP19" s="1864">
        <f t="shared" si="31"/>
        <v>0</v>
      </c>
      <c r="BQ19" s="1864">
        <f t="shared" si="32"/>
        <v>0</v>
      </c>
      <c r="BR19" s="1864" t="str">
        <f t="shared" si="33"/>
        <v/>
      </c>
      <c r="BS19" s="1864">
        <f t="shared" si="34"/>
        <v>0</v>
      </c>
      <c r="BT19" s="2072" t="str">
        <f t="shared" si="35"/>
        <v/>
      </c>
      <c r="BU19" s="1864">
        <f t="shared" si="36"/>
        <v>0</v>
      </c>
      <c r="BV19" s="1864">
        <f t="shared" si="37"/>
        <v>0</v>
      </c>
      <c r="BW19" s="1864">
        <f t="shared" si="38"/>
        <v>0</v>
      </c>
      <c r="BX19" s="1864">
        <f t="shared" si="39"/>
        <v>0</v>
      </c>
      <c r="BY19" s="1864">
        <f t="shared" si="40"/>
        <v>0</v>
      </c>
      <c r="BZ19" s="1864">
        <f t="shared" si="41"/>
        <v>0</v>
      </c>
      <c r="CA19" s="1864"/>
      <c r="CB19" s="1864">
        <f t="shared" si="42"/>
        <v>0</v>
      </c>
      <c r="CC19" s="2073">
        <f t="shared" si="43"/>
        <v>0</v>
      </c>
      <c r="CP19" s="18">
        <f>A28</f>
        <v>0</v>
      </c>
      <c r="CQ19" s="18">
        <f>BF28+BG28+BH28+BH29+BG29+BF29</f>
        <v>0</v>
      </c>
      <c r="CR19" s="959">
        <f>T28</f>
        <v>0</v>
      </c>
      <c r="CS19" s="959">
        <f>H$100/H$87*(C28+C29)</f>
        <v>0</v>
      </c>
      <c r="CT19" s="18">
        <f>BE28+BE29</f>
        <v>0</v>
      </c>
    </row>
    <row r="20" spans="1:98" ht="19.5" customHeight="1">
      <c r="A20" s="2097"/>
      <c r="B20" s="2098"/>
      <c r="C20" s="2102"/>
      <c r="D20" s="1344"/>
      <c r="E20" s="1207"/>
      <c r="F20" s="1347"/>
      <c r="G20" s="1389"/>
      <c r="H20" s="2084"/>
      <c r="I20" s="1347"/>
      <c r="J20" s="1348"/>
      <c r="K20" s="1347"/>
      <c r="L20" s="1348"/>
      <c r="M20" s="2103"/>
      <c r="N20" s="1347"/>
      <c r="O20" s="1348"/>
      <c r="P20" s="1347"/>
      <c r="Q20" s="2086"/>
      <c r="R20" s="2087"/>
      <c r="S20" s="2088"/>
      <c r="T20" s="1351">
        <f>SUM(AO20:AP21)</f>
        <v>0</v>
      </c>
      <c r="U20" s="1352">
        <f>((((C20*E20/324)+(C21*E21/324))*(1+J$73))+AK20+AK21)</f>
        <v>0</v>
      </c>
      <c r="V20" s="2081">
        <f>IF(C20=0,0,W20/(C20+C21))</f>
        <v>0</v>
      </c>
      <c r="W20" s="2779">
        <f>(IF(SUM(BJ20:CC21)=0,0,SUM(BJ20:CC21)-BZ20-BZ21))*(1+L$65)</f>
        <v>0</v>
      </c>
      <c r="X20" s="2779"/>
      <c r="Y20" s="1254"/>
      <c r="AH20" s="1035">
        <f t="shared" si="0"/>
        <v>0</v>
      </c>
      <c r="AI20" s="18">
        <f t="shared" si="1"/>
        <v>0</v>
      </c>
      <c r="AJ20" s="18">
        <f t="shared" si="2"/>
        <v>0</v>
      </c>
      <c r="AK20" s="1013">
        <f t="shared" si="3"/>
        <v>0</v>
      </c>
      <c r="AL20" s="18">
        <f t="shared" si="4"/>
        <v>0</v>
      </c>
      <c r="AM20" s="18">
        <f t="shared" si="5"/>
        <v>0</v>
      </c>
      <c r="AN20" s="18">
        <f t="shared" si="6"/>
        <v>0</v>
      </c>
      <c r="AO20" s="1035">
        <f t="shared" si="7"/>
        <v>0</v>
      </c>
      <c r="AP20" s="1975">
        <f t="shared" si="8"/>
        <v>0</v>
      </c>
      <c r="AQ20" s="1035">
        <f t="shared" si="9"/>
        <v>0</v>
      </c>
      <c r="AS20" s="18">
        <f t="shared" si="10"/>
        <v>0</v>
      </c>
      <c r="AT20" s="1035">
        <f t="shared" si="11"/>
        <v>0</v>
      </c>
      <c r="AU20" s="18">
        <f t="shared" si="12"/>
        <v>0</v>
      </c>
      <c r="AV20" s="18">
        <f t="shared" si="13"/>
        <v>0</v>
      </c>
      <c r="AW20" s="18">
        <f t="shared" si="14"/>
        <v>0</v>
      </c>
      <c r="AX20" s="18">
        <f t="shared" si="15"/>
        <v>0</v>
      </c>
      <c r="AY20" s="18">
        <f t="shared" si="16"/>
        <v>0</v>
      </c>
      <c r="AZ20" s="18">
        <f t="shared" si="17"/>
        <v>0</v>
      </c>
      <c r="BA20" s="18">
        <f t="shared" si="18"/>
        <v>0</v>
      </c>
      <c r="BB20" s="18">
        <f t="shared" si="19"/>
        <v>0</v>
      </c>
      <c r="BC20" s="1013">
        <f t="shared" si="20"/>
        <v>0</v>
      </c>
      <c r="BD20" s="18">
        <f t="shared" si="21"/>
        <v>0</v>
      </c>
      <c r="BE20" s="575">
        <f t="shared" si="22"/>
        <v>0</v>
      </c>
      <c r="BF20" s="18">
        <f t="shared" si="23"/>
        <v>0</v>
      </c>
      <c r="BG20" s="18">
        <f t="shared" si="24"/>
        <v>0</v>
      </c>
      <c r="BH20" s="18">
        <f t="shared" si="25"/>
        <v>0</v>
      </c>
      <c r="BI20" s="481">
        <f>SUM(BJ20:CC21)</f>
        <v>0</v>
      </c>
      <c r="BJ20" s="2070">
        <f>(AT20*Pricing!F$3+AU20*Pricing!G$3+AV20*Pricing!H$3+AW20*Pricing!I$3+AX20*Pricing!J$3+AY20*Pricing!K$3+AZ20*Pricing!L$3+BA20*Pricing!M$3+BB20*Pricing!M$3+BC20*Pricing!O$3)*IF(T$64="N",(1+V$64),1)</f>
        <v>0</v>
      </c>
      <c r="BK20" s="1864">
        <f t="shared" si="26"/>
        <v>0</v>
      </c>
      <c r="BL20" s="1864">
        <f t="shared" si="27"/>
        <v>0</v>
      </c>
      <c r="BM20" s="1864">
        <f t="shared" si="28"/>
        <v>0</v>
      </c>
      <c r="BN20" s="2071">
        <f t="shared" si="29"/>
        <v>0</v>
      </c>
      <c r="BO20" s="1864">
        <f t="shared" si="30"/>
        <v>0</v>
      </c>
      <c r="BP20" s="1864">
        <f t="shared" si="31"/>
        <v>0</v>
      </c>
      <c r="BQ20" s="1864">
        <f t="shared" si="32"/>
        <v>0</v>
      </c>
      <c r="BR20" s="1864" t="str">
        <f t="shared" si="33"/>
        <v/>
      </c>
      <c r="BS20" s="1864">
        <f t="shared" si="34"/>
        <v>0</v>
      </c>
      <c r="BT20" s="2072" t="str">
        <f t="shared" si="35"/>
        <v/>
      </c>
      <c r="BU20" s="1864">
        <f t="shared" si="36"/>
        <v>0</v>
      </c>
      <c r="BV20" s="1864">
        <f t="shared" si="37"/>
        <v>0</v>
      </c>
      <c r="BW20" s="1864">
        <f t="shared" si="38"/>
        <v>0</v>
      </c>
      <c r="BX20" s="1864">
        <f t="shared" si="39"/>
        <v>0</v>
      </c>
      <c r="BY20" s="1864">
        <f t="shared" si="40"/>
        <v>0</v>
      </c>
      <c r="BZ20" s="1864">
        <f t="shared" si="41"/>
        <v>0</v>
      </c>
      <c r="CA20" s="1864"/>
      <c r="CB20" s="1864">
        <f t="shared" si="42"/>
        <v>0</v>
      </c>
      <c r="CC20" s="2073">
        <f t="shared" si="43"/>
        <v>0</v>
      </c>
      <c r="CP20" s="18">
        <f>A30</f>
        <v>0</v>
      </c>
      <c r="CQ20" s="18">
        <f>BF30+BG30+BH30+BH31+BG31+BF31</f>
        <v>0</v>
      </c>
      <c r="CR20" s="959">
        <f>T30</f>
        <v>0</v>
      </c>
      <c r="CS20" s="959">
        <f>H$100/H$87*(C30+C31)</f>
        <v>0</v>
      </c>
      <c r="CT20" s="18">
        <f>BE30+BE31</f>
        <v>0</v>
      </c>
    </row>
    <row r="21" spans="1:98" ht="19.5" customHeight="1">
      <c r="A21" s="2074"/>
      <c r="B21" s="2100"/>
      <c r="C21" s="2101"/>
      <c r="D21" s="1388"/>
      <c r="E21" s="1206"/>
      <c r="F21" s="1395"/>
      <c r="G21" s="1345"/>
      <c r="H21" s="2091"/>
      <c r="I21" s="1395"/>
      <c r="J21" s="1392"/>
      <c r="K21" s="1395"/>
      <c r="L21" s="1392"/>
      <c r="M21" s="2076"/>
      <c r="N21" s="1395"/>
      <c r="O21" s="1392"/>
      <c r="P21" s="1395"/>
      <c r="Q21" s="1417"/>
      <c r="R21" s="2092"/>
      <c r="S21" s="2093"/>
      <c r="T21" s="2079"/>
      <c r="U21" s="2080"/>
      <c r="V21" s="2094"/>
      <c r="W21" s="2779"/>
      <c r="X21" s="2779"/>
      <c r="Y21" s="1254"/>
      <c r="AH21" s="1035">
        <f t="shared" si="0"/>
        <v>0</v>
      </c>
      <c r="AI21" s="18">
        <f t="shared" si="1"/>
        <v>0</v>
      </c>
      <c r="AJ21" s="18">
        <f t="shared" si="2"/>
        <v>0</v>
      </c>
      <c r="AK21" s="1013">
        <f t="shared" si="3"/>
        <v>0</v>
      </c>
      <c r="AL21" s="18">
        <f t="shared" si="4"/>
        <v>0</v>
      </c>
      <c r="AM21" s="18">
        <f t="shared" si="5"/>
        <v>0</v>
      </c>
      <c r="AN21" s="18">
        <f t="shared" si="6"/>
        <v>0</v>
      </c>
      <c r="AO21" s="1035">
        <f t="shared" si="7"/>
        <v>0</v>
      </c>
      <c r="AP21" s="1975">
        <f t="shared" si="8"/>
        <v>0</v>
      </c>
      <c r="AQ21" s="1035">
        <f t="shared" si="9"/>
        <v>0</v>
      </c>
      <c r="AS21" s="18">
        <f t="shared" si="10"/>
        <v>0</v>
      </c>
      <c r="AT21" s="1035">
        <f t="shared" si="11"/>
        <v>0</v>
      </c>
      <c r="AU21" s="18">
        <f t="shared" si="12"/>
        <v>0</v>
      </c>
      <c r="AV21" s="18">
        <f t="shared" si="13"/>
        <v>0</v>
      </c>
      <c r="AW21" s="18">
        <f t="shared" si="14"/>
        <v>0</v>
      </c>
      <c r="AX21" s="18">
        <f t="shared" si="15"/>
        <v>0</v>
      </c>
      <c r="AY21" s="18">
        <f t="shared" si="16"/>
        <v>0</v>
      </c>
      <c r="AZ21" s="18">
        <f t="shared" si="17"/>
        <v>0</v>
      </c>
      <c r="BA21" s="18">
        <f t="shared" si="18"/>
        <v>0</v>
      </c>
      <c r="BB21" s="18">
        <f t="shared" si="19"/>
        <v>0</v>
      </c>
      <c r="BC21" s="1013">
        <f t="shared" si="20"/>
        <v>0</v>
      </c>
      <c r="BD21" s="18">
        <f t="shared" si="21"/>
        <v>0</v>
      </c>
      <c r="BE21" s="575">
        <f t="shared" si="22"/>
        <v>0</v>
      </c>
      <c r="BF21" s="18">
        <f t="shared" si="23"/>
        <v>0</v>
      </c>
      <c r="BG21" s="18">
        <f t="shared" si="24"/>
        <v>0</v>
      </c>
      <c r="BH21" s="18">
        <f t="shared" si="25"/>
        <v>0</v>
      </c>
      <c r="BI21" s="481"/>
      <c r="BJ21" s="2070">
        <f>(AT21*Pricing!F$3+AU21*Pricing!G$3+AV21*Pricing!H$3+AW21*Pricing!I$3+AX21*Pricing!J$3+AY21*Pricing!K$3+AZ21*Pricing!L$3+BA21*Pricing!M$3+BB21*Pricing!M$3+BC21*Pricing!O$3)*IF(T$64="N",(1+V$64),1)</f>
        <v>0</v>
      </c>
      <c r="BK21" s="1864">
        <f t="shared" si="26"/>
        <v>0</v>
      </c>
      <c r="BL21" s="1864">
        <f t="shared" si="27"/>
        <v>0</v>
      </c>
      <c r="BM21" s="1864">
        <f t="shared" si="28"/>
        <v>0</v>
      </c>
      <c r="BN21" s="2071">
        <f t="shared" si="29"/>
        <v>0</v>
      </c>
      <c r="BO21" s="1864">
        <f t="shared" si="30"/>
        <v>0</v>
      </c>
      <c r="BP21" s="1864">
        <f t="shared" si="31"/>
        <v>0</v>
      </c>
      <c r="BQ21" s="1864">
        <f t="shared" si="32"/>
        <v>0</v>
      </c>
      <c r="BR21" s="1864" t="str">
        <f t="shared" si="33"/>
        <v/>
      </c>
      <c r="BS21" s="1864">
        <f t="shared" si="34"/>
        <v>0</v>
      </c>
      <c r="BT21" s="2072" t="str">
        <f t="shared" si="35"/>
        <v/>
      </c>
      <c r="BU21" s="1864">
        <f t="shared" si="36"/>
        <v>0</v>
      </c>
      <c r="BV21" s="1864">
        <f t="shared" si="37"/>
        <v>0</v>
      </c>
      <c r="BW21" s="1864">
        <f t="shared" si="38"/>
        <v>0</v>
      </c>
      <c r="BX21" s="1864">
        <f t="shared" si="39"/>
        <v>0</v>
      </c>
      <c r="BY21" s="1864">
        <f t="shared" si="40"/>
        <v>0</v>
      </c>
      <c r="BZ21" s="1864">
        <f t="shared" si="41"/>
        <v>0</v>
      </c>
      <c r="CA21" s="1864"/>
      <c r="CB21" s="1864">
        <f t="shared" si="42"/>
        <v>0</v>
      </c>
      <c r="CC21" s="2073">
        <f t="shared" si="43"/>
        <v>0</v>
      </c>
      <c r="CP21" s="18">
        <f>A32</f>
        <v>0</v>
      </c>
      <c r="CQ21" s="18">
        <f>BF32+BG32+BH32+BH33+BG33+BF33</f>
        <v>0</v>
      </c>
      <c r="CR21" s="959">
        <f>T32</f>
        <v>0</v>
      </c>
      <c r="CS21" s="959">
        <f>H$100/H$87*(C32+C33)</f>
        <v>0</v>
      </c>
      <c r="CT21" s="18">
        <f>BE32+BE33</f>
        <v>0</v>
      </c>
    </row>
    <row r="22" spans="1:98" ht="19.5" customHeight="1">
      <c r="A22" s="482"/>
      <c r="B22" s="1598"/>
      <c r="C22" s="2102"/>
      <c r="D22" s="1344"/>
      <c r="E22" s="2083"/>
      <c r="F22" s="503"/>
      <c r="G22" s="1389"/>
      <c r="H22" s="1109"/>
      <c r="I22" s="503"/>
      <c r="J22" s="834"/>
      <c r="K22" s="503"/>
      <c r="L22" s="834"/>
      <c r="M22" s="2085"/>
      <c r="N22" s="503"/>
      <c r="O22" s="834"/>
      <c r="P22" s="503"/>
      <c r="Q22" s="1418"/>
      <c r="R22" s="2077"/>
      <c r="S22" s="2078"/>
      <c r="T22" s="1351">
        <f>SUM(AO22:AP23)</f>
        <v>0</v>
      </c>
      <c r="U22" s="1352">
        <f>((((C22*E22/324)+(C23*E23/324))*(1+J$73))+AK22+AK23)</f>
        <v>0</v>
      </c>
      <c r="V22" s="2081">
        <f>IF(C22=0,0,W22/(C22+C23))</f>
        <v>0</v>
      </c>
      <c r="W22" s="2779">
        <f>(IF(SUM(BJ22:CC23)=0,0,SUM(BJ22:CC23)-BZ22-BZ23))*(1+L$65)</f>
        <v>0</v>
      </c>
      <c r="X22" s="2779"/>
      <c r="Y22" s="1254"/>
      <c r="AH22" s="1035">
        <f t="shared" si="0"/>
        <v>0</v>
      </c>
      <c r="AI22" s="18">
        <f t="shared" si="1"/>
        <v>0</v>
      </c>
      <c r="AJ22" s="18">
        <f t="shared" si="2"/>
        <v>0</v>
      </c>
      <c r="AK22" s="1013">
        <f t="shared" si="3"/>
        <v>0</v>
      </c>
      <c r="AL22" s="18">
        <f t="shared" si="4"/>
        <v>0</v>
      </c>
      <c r="AM22" s="18">
        <f t="shared" si="5"/>
        <v>0</v>
      </c>
      <c r="AN22" s="18">
        <f t="shared" si="6"/>
        <v>0</v>
      </c>
      <c r="AO22" s="1035">
        <f t="shared" si="7"/>
        <v>0</v>
      </c>
      <c r="AP22" s="1975">
        <f t="shared" si="8"/>
        <v>0</v>
      </c>
      <c r="AQ22" s="1035">
        <f t="shared" si="9"/>
        <v>0</v>
      </c>
      <c r="AS22" s="18">
        <f t="shared" si="10"/>
        <v>0</v>
      </c>
      <c r="AT22" s="1035">
        <f t="shared" si="11"/>
        <v>0</v>
      </c>
      <c r="AU22" s="18">
        <f t="shared" si="12"/>
        <v>0</v>
      </c>
      <c r="AV22" s="18">
        <f t="shared" si="13"/>
        <v>0</v>
      </c>
      <c r="AW22" s="18">
        <f t="shared" si="14"/>
        <v>0</v>
      </c>
      <c r="AX22" s="18">
        <f t="shared" si="15"/>
        <v>0</v>
      </c>
      <c r="AY22" s="18">
        <f t="shared" si="16"/>
        <v>0</v>
      </c>
      <c r="AZ22" s="18">
        <f t="shared" si="17"/>
        <v>0</v>
      </c>
      <c r="BA22" s="18">
        <f t="shared" si="18"/>
        <v>0</v>
      </c>
      <c r="BB22" s="18">
        <f t="shared" si="19"/>
        <v>0</v>
      </c>
      <c r="BC22" s="1013">
        <f t="shared" si="20"/>
        <v>0</v>
      </c>
      <c r="BD22" s="18">
        <f t="shared" si="21"/>
        <v>0</v>
      </c>
      <c r="BE22" s="575">
        <f t="shared" si="22"/>
        <v>0</v>
      </c>
      <c r="BF22" s="18">
        <f t="shared" si="23"/>
        <v>0</v>
      </c>
      <c r="BG22" s="18">
        <f t="shared" si="24"/>
        <v>0</v>
      </c>
      <c r="BH22" s="18">
        <f t="shared" si="25"/>
        <v>0</v>
      </c>
      <c r="BI22" s="481">
        <f>SUM(BJ22:CC23)</f>
        <v>0</v>
      </c>
      <c r="BJ22" s="2070">
        <f>(AT22*Pricing!F$3+AU22*Pricing!G$3+AV22*Pricing!H$3+AW22*Pricing!I$3+AX22*Pricing!J$3+AY22*Pricing!K$3+AZ22*Pricing!L$3+BA22*Pricing!M$3+BB22*Pricing!M$3+BC22*Pricing!O$3)*IF(T$64="N",(1+V$64),1)</f>
        <v>0</v>
      </c>
      <c r="BK22" s="1864">
        <f t="shared" si="26"/>
        <v>0</v>
      </c>
      <c r="BL22" s="1864">
        <f t="shared" si="27"/>
        <v>0</v>
      </c>
      <c r="BM22" s="1864">
        <f t="shared" si="28"/>
        <v>0</v>
      </c>
      <c r="BN22" s="2071">
        <f t="shared" si="29"/>
        <v>0</v>
      </c>
      <c r="BO22" s="1864">
        <f t="shared" si="30"/>
        <v>0</v>
      </c>
      <c r="BP22" s="1864">
        <f t="shared" si="31"/>
        <v>0</v>
      </c>
      <c r="BQ22" s="1864">
        <f t="shared" si="32"/>
        <v>0</v>
      </c>
      <c r="BR22" s="1864" t="str">
        <f t="shared" si="33"/>
        <v/>
      </c>
      <c r="BS22" s="1864">
        <f t="shared" si="34"/>
        <v>0</v>
      </c>
      <c r="BT22" s="2072" t="str">
        <f t="shared" si="35"/>
        <v/>
      </c>
      <c r="BU22" s="1864">
        <f t="shared" si="36"/>
        <v>0</v>
      </c>
      <c r="BV22" s="1864">
        <f t="shared" si="37"/>
        <v>0</v>
      </c>
      <c r="BW22" s="1864">
        <f t="shared" si="38"/>
        <v>0</v>
      </c>
      <c r="BX22" s="1864">
        <f t="shared" si="39"/>
        <v>0</v>
      </c>
      <c r="BY22" s="1864">
        <f t="shared" si="40"/>
        <v>0</v>
      </c>
      <c r="BZ22" s="1864">
        <f t="shared" si="41"/>
        <v>0</v>
      </c>
      <c r="CA22" s="1864"/>
      <c r="CB22" s="1864">
        <f t="shared" si="42"/>
        <v>0</v>
      </c>
      <c r="CC22" s="2073">
        <f t="shared" si="43"/>
        <v>0</v>
      </c>
      <c r="CP22" s="18">
        <f>A34</f>
        <v>0</v>
      </c>
      <c r="CQ22" s="18">
        <f>BF34+BG34+BH34+BH35+BG35+BF35</f>
        <v>0</v>
      </c>
      <c r="CR22" s="959">
        <f>T34</f>
        <v>0</v>
      </c>
      <c r="CS22" s="959">
        <f>H$100/H$87*(C34+C35)</f>
        <v>0</v>
      </c>
      <c r="CT22" s="18">
        <f>BE34+BE35</f>
        <v>0</v>
      </c>
    </row>
    <row r="23" spans="1:98" ht="19.5" customHeight="1">
      <c r="A23" s="482"/>
      <c r="B23" s="1598"/>
      <c r="C23" s="2101"/>
      <c r="D23" s="1388"/>
      <c r="E23" s="2083"/>
      <c r="F23" s="503"/>
      <c r="G23" s="1851"/>
      <c r="H23" s="1109"/>
      <c r="I23" s="503"/>
      <c r="J23" s="834"/>
      <c r="K23" s="503"/>
      <c r="L23" s="834"/>
      <c r="M23" s="2076"/>
      <c r="N23" s="503"/>
      <c r="O23" s="834"/>
      <c r="P23" s="503"/>
      <c r="Q23" s="1418"/>
      <c r="R23" s="2077"/>
      <c r="S23" s="2078"/>
      <c r="T23" s="2079"/>
      <c r="U23" s="2080"/>
      <c r="V23" s="2094"/>
      <c r="W23" s="2779"/>
      <c r="X23" s="2779"/>
      <c r="Y23" s="1254"/>
      <c r="AH23" s="1035">
        <f t="shared" si="0"/>
        <v>0</v>
      </c>
      <c r="AI23" s="18">
        <f t="shared" si="1"/>
        <v>0</v>
      </c>
      <c r="AJ23" s="18">
        <f t="shared" si="2"/>
        <v>0</v>
      </c>
      <c r="AK23" s="1013">
        <f t="shared" si="3"/>
        <v>0</v>
      </c>
      <c r="AL23" s="18">
        <f t="shared" si="4"/>
        <v>0</v>
      </c>
      <c r="AM23" s="18">
        <f t="shared" si="5"/>
        <v>0</v>
      </c>
      <c r="AN23" s="18">
        <f t="shared" si="6"/>
        <v>0</v>
      </c>
      <c r="AO23" s="1035">
        <f t="shared" si="7"/>
        <v>0</v>
      </c>
      <c r="AP23" s="1975">
        <f t="shared" si="8"/>
        <v>0</v>
      </c>
      <c r="AQ23" s="1035">
        <f t="shared" si="9"/>
        <v>0</v>
      </c>
      <c r="AS23" s="18">
        <f t="shared" si="10"/>
        <v>0</v>
      </c>
      <c r="AT23" s="1035">
        <f t="shared" si="11"/>
        <v>0</v>
      </c>
      <c r="AU23" s="18">
        <f t="shared" si="12"/>
        <v>0</v>
      </c>
      <c r="AV23" s="18">
        <f t="shared" si="13"/>
        <v>0</v>
      </c>
      <c r="AW23" s="18">
        <f t="shared" si="14"/>
        <v>0</v>
      </c>
      <c r="AX23" s="18">
        <f t="shared" si="15"/>
        <v>0</v>
      </c>
      <c r="AY23" s="18">
        <f t="shared" si="16"/>
        <v>0</v>
      </c>
      <c r="AZ23" s="18">
        <f t="shared" si="17"/>
        <v>0</v>
      </c>
      <c r="BA23" s="18">
        <f t="shared" si="18"/>
        <v>0</v>
      </c>
      <c r="BB23" s="18">
        <f t="shared" si="19"/>
        <v>0</v>
      </c>
      <c r="BC23" s="1013">
        <f t="shared" si="20"/>
        <v>0</v>
      </c>
      <c r="BD23" s="18">
        <f t="shared" si="21"/>
        <v>0</v>
      </c>
      <c r="BE23" s="575">
        <f t="shared" si="22"/>
        <v>0</v>
      </c>
      <c r="BF23" s="18">
        <f t="shared" si="23"/>
        <v>0</v>
      </c>
      <c r="BG23" s="18">
        <f t="shared" si="24"/>
        <v>0</v>
      </c>
      <c r="BH23" s="18">
        <f t="shared" si="25"/>
        <v>0</v>
      </c>
      <c r="BI23" s="481"/>
      <c r="BJ23" s="2070">
        <f>(AT23*Pricing!F$3+AU23*Pricing!G$3+AV23*Pricing!H$3+AW23*Pricing!I$3+AX23*Pricing!J$3+AY23*Pricing!K$3+AZ23*Pricing!L$3+BA23*Pricing!M$3+BB23*Pricing!M$3+BC23*Pricing!O$3)*IF(T$64="N",(1+V$64),1)</f>
        <v>0</v>
      </c>
      <c r="BK23" s="1864">
        <f t="shared" si="26"/>
        <v>0</v>
      </c>
      <c r="BL23" s="1864">
        <f t="shared" si="27"/>
        <v>0</v>
      </c>
      <c r="BM23" s="1864">
        <f t="shared" si="28"/>
        <v>0</v>
      </c>
      <c r="BN23" s="2071">
        <f t="shared" si="29"/>
        <v>0</v>
      </c>
      <c r="BO23" s="1864">
        <f t="shared" si="30"/>
        <v>0</v>
      </c>
      <c r="BP23" s="1864">
        <f t="shared" si="31"/>
        <v>0</v>
      </c>
      <c r="BQ23" s="1864">
        <f t="shared" si="32"/>
        <v>0</v>
      </c>
      <c r="BR23" s="1864" t="str">
        <f t="shared" si="33"/>
        <v/>
      </c>
      <c r="BS23" s="1864">
        <f t="shared" si="34"/>
        <v>0</v>
      </c>
      <c r="BT23" s="2072" t="str">
        <f t="shared" si="35"/>
        <v/>
      </c>
      <c r="BU23" s="1864">
        <f t="shared" si="36"/>
        <v>0</v>
      </c>
      <c r="BV23" s="1864">
        <f t="shared" si="37"/>
        <v>0</v>
      </c>
      <c r="BW23" s="1864">
        <f t="shared" si="38"/>
        <v>0</v>
      </c>
      <c r="BX23" s="1864">
        <f t="shared" si="39"/>
        <v>0</v>
      </c>
      <c r="BY23" s="1864">
        <f t="shared" si="40"/>
        <v>0</v>
      </c>
      <c r="BZ23" s="1864">
        <f t="shared" si="41"/>
        <v>0</v>
      </c>
      <c r="CA23" s="1864"/>
      <c r="CB23" s="1864">
        <f t="shared" si="42"/>
        <v>0</v>
      </c>
      <c r="CC23" s="2073">
        <f t="shared" si="43"/>
        <v>0</v>
      </c>
      <c r="CP23" s="18">
        <f>A36</f>
        <v>0</v>
      </c>
      <c r="CQ23" s="18">
        <f>BF36+BG36+BH36+BH37+BG37+BF37</f>
        <v>0</v>
      </c>
      <c r="CR23" s="959">
        <f>T36</f>
        <v>0</v>
      </c>
      <c r="CS23" s="959">
        <f>H$100/H$87*(C36+C37)</f>
        <v>0</v>
      </c>
      <c r="CT23" s="18">
        <f>BE36+BE37</f>
        <v>0</v>
      </c>
    </row>
    <row r="24" spans="1:98" ht="19.5" customHeight="1">
      <c r="A24" s="2097"/>
      <c r="B24" s="2098"/>
      <c r="C24" s="2102"/>
      <c r="D24" s="1344"/>
      <c r="E24" s="1207"/>
      <c r="F24" s="1347"/>
      <c r="G24" s="1389"/>
      <c r="H24" s="2084"/>
      <c r="I24" s="1347"/>
      <c r="J24" s="1348"/>
      <c r="K24" s="1347"/>
      <c r="L24" s="1348"/>
      <c r="M24" s="2085"/>
      <c r="N24" s="1347"/>
      <c r="O24" s="1348"/>
      <c r="P24" s="1347"/>
      <c r="Q24" s="2086"/>
      <c r="R24" s="2087"/>
      <c r="S24" s="2088"/>
      <c r="T24" s="1351">
        <f>SUM(AO24:AP25)</f>
        <v>0</v>
      </c>
      <c r="U24" s="1352">
        <f>((((C24*E24/324)+(C25*E25/324))*(1+J$73))+AK24+AK25)</f>
        <v>0</v>
      </c>
      <c r="V24" s="2081">
        <f>IF(C24=0,0,W24/(C24+C25))</f>
        <v>0</v>
      </c>
      <c r="W24" s="2779">
        <f>(IF(SUM(BJ24:CC25)=0,0,SUM(BJ24:CC25)-BZ24-BZ25))*(1+L$65)</f>
        <v>0</v>
      </c>
      <c r="X24" s="2779"/>
      <c r="Y24" s="1254"/>
      <c r="AH24" s="1035">
        <f t="shared" si="0"/>
        <v>0</v>
      </c>
      <c r="AI24" s="18">
        <f t="shared" si="1"/>
        <v>0</v>
      </c>
      <c r="AJ24" s="18">
        <f t="shared" si="2"/>
        <v>0</v>
      </c>
      <c r="AK24" s="1013">
        <f t="shared" si="3"/>
        <v>0</v>
      </c>
      <c r="AL24" s="18">
        <f t="shared" si="4"/>
        <v>0</v>
      </c>
      <c r="AM24" s="18">
        <f t="shared" si="5"/>
        <v>0</v>
      </c>
      <c r="AN24" s="18">
        <f t="shared" si="6"/>
        <v>0</v>
      </c>
      <c r="AO24" s="1035">
        <f t="shared" si="7"/>
        <v>0</v>
      </c>
      <c r="AP24" s="1975">
        <f t="shared" si="8"/>
        <v>0</v>
      </c>
      <c r="AQ24" s="1035">
        <f t="shared" si="9"/>
        <v>0</v>
      </c>
      <c r="AS24" s="18">
        <f t="shared" si="10"/>
        <v>0</v>
      </c>
      <c r="AT24" s="1035">
        <f t="shared" si="11"/>
        <v>0</v>
      </c>
      <c r="AU24" s="18">
        <f t="shared" si="12"/>
        <v>0</v>
      </c>
      <c r="AV24" s="18">
        <f t="shared" si="13"/>
        <v>0</v>
      </c>
      <c r="AW24" s="18">
        <f t="shared" si="14"/>
        <v>0</v>
      </c>
      <c r="AX24" s="18">
        <f t="shared" si="15"/>
        <v>0</v>
      </c>
      <c r="AY24" s="18">
        <f t="shared" si="16"/>
        <v>0</v>
      </c>
      <c r="AZ24" s="18">
        <f t="shared" si="17"/>
        <v>0</v>
      </c>
      <c r="BA24" s="18">
        <f t="shared" si="18"/>
        <v>0</v>
      </c>
      <c r="BB24" s="18">
        <f t="shared" si="19"/>
        <v>0</v>
      </c>
      <c r="BC24" s="1013">
        <f t="shared" si="20"/>
        <v>0</v>
      </c>
      <c r="BD24" s="18">
        <f t="shared" si="21"/>
        <v>0</v>
      </c>
      <c r="BE24" s="575">
        <f t="shared" si="22"/>
        <v>0</v>
      </c>
      <c r="BF24" s="18">
        <f t="shared" si="23"/>
        <v>0</v>
      </c>
      <c r="BG24" s="18">
        <f t="shared" si="24"/>
        <v>0</v>
      </c>
      <c r="BH24" s="18">
        <f t="shared" si="25"/>
        <v>0</v>
      </c>
      <c r="BI24" s="481">
        <f>SUM(BJ24:CC25)</f>
        <v>0</v>
      </c>
      <c r="BJ24" s="2070">
        <f>(AT24*Pricing!F$3+AU24*Pricing!G$3+AV24*Pricing!H$3+AW24*Pricing!I$3+AX24*Pricing!J$3+AY24*Pricing!K$3+AZ24*Pricing!L$3+BA24*Pricing!M$3+BB24*Pricing!M$3+BC24*Pricing!O$3)*IF(T$64="N",(1+V$64),1)</f>
        <v>0</v>
      </c>
      <c r="BK24" s="1864">
        <f t="shared" si="26"/>
        <v>0</v>
      </c>
      <c r="BL24" s="1864">
        <f t="shared" si="27"/>
        <v>0</v>
      </c>
      <c r="BM24" s="1864">
        <f t="shared" si="28"/>
        <v>0</v>
      </c>
      <c r="BN24" s="2071">
        <f t="shared" si="29"/>
        <v>0</v>
      </c>
      <c r="BO24" s="1864">
        <f t="shared" si="30"/>
        <v>0</v>
      </c>
      <c r="BP24" s="1864">
        <f t="shared" si="31"/>
        <v>0</v>
      </c>
      <c r="BQ24" s="1864">
        <f t="shared" si="32"/>
        <v>0</v>
      </c>
      <c r="BR24" s="1864" t="str">
        <f t="shared" si="33"/>
        <v/>
      </c>
      <c r="BS24" s="1864">
        <f t="shared" si="34"/>
        <v>0</v>
      </c>
      <c r="BT24" s="2072" t="str">
        <f t="shared" si="35"/>
        <v/>
      </c>
      <c r="BU24" s="1864">
        <f t="shared" si="36"/>
        <v>0</v>
      </c>
      <c r="BV24" s="1864">
        <f t="shared" si="37"/>
        <v>0</v>
      </c>
      <c r="BW24" s="1864">
        <f t="shared" si="38"/>
        <v>0</v>
      </c>
      <c r="BX24" s="1864">
        <f t="shared" si="39"/>
        <v>0</v>
      </c>
      <c r="BY24" s="1864">
        <f t="shared" si="40"/>
        <v>0</v>
      </c>
      <c r="BZ24" s="1864">
        <f t="shared" si="41"/>
        <v>0</v>
      </c>
      <c r="CA24" s="1864"/>
      <c r="CB24" s="1864">
        <f t="shared" si="42"/>
        <v>0</v>
      </c>
      <c r="CC24" s="2073">
        <f t="shared" si="43"/>
        <v>0</v>
      </c>
      <c r="CP24" s="18">
        <f>A38</f>
        <v>0</v>
      </c>
      <c r="CQ24" s="18">
        <f>BF38+BG38+BH38+BH39+BG39+BF39</f>
        <v>0</v>
      </c>
      <c r="CR24" s="959">
        <f>T38</f>
        <v>0</v>
      </c>
      <c r="CS24" s="959">
        <f>H$100/H$87*(C38+C39)</f>
        <v>0</v>
      </c>
      <c r="CT24" s="18">
        <f>BE38+BE39</f>
        <v>0</v>
      </c>
    </row>
    <row r="25" spans="1:98" ht="19.5" customHeight="1">
      <c r="A25" s="2074"/>
      <c r="B25" s="2100"/>
      <c r="C25" s="2101"/>
      <c r="D25" s="1388"/>
      <c r="E25" s="1206"/>
      <c r="F25" s="1395"/>
      <c r="G25" s="1345"/>
      <c r="H25" s="2091"/>
      <c r="I25" s="1395"/>
      <c r="J25" s="1392"/>
      <c r="K25" s="1395"/>
      <c r="L25" s="1392"/>
      <c r="M25" s="2076"/>
      <c r="N25" s="1395"/>
      <c r="O25" s="1392"/>
      <c r="P25" s="1395"/>
      <c r="Q25" s="1417"/>
      <c r="R25" s="2092"/>
      <c r="S25" s="2093"/>
      <c r="T25" s="2079"/>
      <c r="U25" s="2080"/>
      <c r="V25" s="2094"/>
      <c r="W25" s="2779"/>
      <c r="X25" s="2779"/>
      <c r="Y25" s="1254"/>
      <c r="AH25" s="1035">
        <f t="shared" si="0"/>
        <v>0</v>
      </c>
      <c r="AI25" s="18">
        <f t="shared" si="1"/>
        <v>0</v>
      </c>
      <c r="AJ25" s="18">
        <f t="shared" si="2"/>
        <v>0</v>
      </c>
      <c r="AK25" s="1013">
        <f t="shared" si="3"/>
        <v>0</v>
      </c>
      <c r="AL25" s="18">
        <f t="shared" si="4"/>
        <v>0</v>
      </c>
      <c r="AM25" s="18">
        <f t="shared" si="5"/>
        <v>0</v>
      </c>
      <c r="AN25" s="18">
        <f t="shared" si="6"/>
        <v>0</v>
      </c>
      <c r="AO25" s="1035">
        <f t="shared" si="7"/>
        <v>0</v>
      </c>
      <c r="AP25" s="1975">
        <f t="shared" si="8"/>
        <v>0</v>
      </c>
      <c r="AQ25" s="1035">
        <f t="shared" si="9"/>
        <v>0</v>
      </c>
      <c r="AS25" s="18">
        <f t="shared" si="10"/>
        <v>0</v>
      </c>
      <c r="AT25" s="1035">
        <f t="shared" si="11"/>
        <v>0</v>
      </c>
      <c r="AU25" s="18">
        <f t="shared" si="12"/>
        <v>0</v>
      </c>
      <c r="AV25" s="18">
        <f t="shared" si="13"/>
        <v>0</v>
      </c>
      <c r="AW25" s="18">
        <f t="shared" si="14"/>
        <v>0</v>
      </c>
      <c r="AX25" s="18">
        <f t="shared" si="15"/>
        <v>0</v>
      </c>
      <c r="AY25" s="18">
        <f t="shared" si="16"/>
        <v>0</v>
      </c>
      <c r="AZ25" s="18">
        <f t="shared" si="17"/>
        <v>0</v>
      </c>
      <c r="BA25" s="18">
        <f t="shared" si="18"/>
        <v>0</v>
      </c>
      <c r="BB25" s="18">
        <f t="shared" si="19"/>
        <v>0</v>
      </c>
      <c r="BC25" s="1013">
        <f t="shared" si="20"/>
        <v>0</v>
      </c>
      <c r="BD25" s="18">
        <f t="shared" si="21"/>
        <v>0</v>
      </c>
      <c r="BE25" s="575">
        <f t="shared" si="22"/>
        <v>0</v>
      </c>
      <c r="BF25" s="18">
        <f t="shared" si="23"/>
        <v>0</v>
      </c>
      <c r="BG25" s="18">
        <f t="shared" si="24"/>
        <v>0</v>
      </c>
      <c r="BH25" s="18">
        <f t="shared" si="25"/>
        <v>0</v>
      </c>
      <c r="BI25" s="481"/>
      <c r="BJ25" s="2070">
        <f>(AT25*Pricing!F$3+AU25*Pricing!G$3+AV25*Pricing!H$3+AW25*Pricing!I$3+AX25*Pricing!J$3+AY25*Pricing!K$3+AZ25*Pricing!L$3+BA25*Pricing!M$3+BB25*Pricing!M$3+BC25*Pricing!O$3)*IF(T$64="N",(1+V$64),1)</f>
        <v>0</v>
      </c>
      <c r="BK25" s="1864">
        <f t="shared" si="26"/>
        <v>0</v>
      </c>
      <c r="BL25" s="1864">
        <f t="shared" si="27"/>
        <v>0</v>
      </c>
      <c r="BM25" s="1864">
        <f t="shared" si="28"/>
        <v>0</v>
      </c>
      <c r="BN25" s="2071">
        <f t="shared" si="29"/>
        <v>0</v>
      </c>
      <c r="BO25" s="1864">
        <f t="shared" si="30"/>
        <v>0</v>
      </c>
      <c r="BP25" s="1864">
        <f t="shared" si="31"/>
        <v>0</v>
      </c>
      <c r="BQ25" s="1864">
        <f t="shared" si="32"/>
        <v>0</v>
      </c>
      <c r="BR25" s="1864" t="str">
        <f t="shared" si="33"/>
        <v/>
      </c>
      <c r="BS25" s="1864">
        <f t="shared" si="34"/>
        <v>0</v>
      </c>
      <c r="BT25" s="2072" t="str">
        <f t="shared" si="35"/>
        <v/>
      </c>
      <c r="BU25" s="1864">
        <f t="shared" si="36"/>
        <v>0</v>
      </c>
      <c r="BV25" s="1864">
        <f t="shared" si="37"/>
        <v>0</v>
      </c>
      <c r="BW25" s="1864">
        <f t="shared" si="38"/>
        <v>0</v>
      </c>
      <c r="BX25" s="1864">
        <f t="shared" si="39"/>
        <v>0</v>
      </c>
      <c r="BY25" s="1864">
        <f t="shared" si="40"/>
        <v>0</v>
      </c>
      <c r="BZ25" s="1864">
        <f t="shared" si="41"/>
        <v>0</v>
      </c>
      <c r="CA25" s="1864"/>
      <c r="CB25" s="1864">
        <f t="shared" si="42"/>
        <v>0</v>
      </c>
      <c r="CC25" s="2073">
        <f t="shared" si="43"/>
        <v>0</v>
      </c>
      <c r="CP25" s="18">
        <f>A40</f>
        <v>0</v>
      </c>
      <c r="CQ25" s="18">
        <f>BF40+BG40+BH40+BH41+BG41+BF41</f>
        <v>0</v>
      </c>
      <c r="CR25" s="959">
        <f>T40</f>
        <v>0</v>
      </c>
      <c r="CS25" s="959">
        <f>H$100/H$87*(C40+C41)</f>
        <v>0</v>
      </c>
      <c r="CT25" s="18">
        <f>BE40+BE41</f>
        <v>0</v>
      </c>
    </row>
    <row r="26" spans="1:98" ht="19.5" customHeight="1">
      <c r="A26" s="2097"/>
      <c r="B26" s="2098"/>
      <c r="C26" s="2102"/>
      <c r="D26" s="1344"/>
      <c r="E26" s="1207"/>
      <c r="F26" s="1347"/>
      <c r="G26" s="1389"/>
      <c r="H26" s="2084"/>
      <c r="I26" s="1347"/>
      <c r="J26" s="1348"/>
      <c r="K26" s="1347"/>
      <c r="L26" s="1348"/>
      <c r="M26" s="2085"/>
      <c r="N26" s="1347"/>
      <c r="O26" s="1348"/>
      <c r="P26" s="1347"/>
      <c r="Q26" s="2086"/>
      <c r="R26" s="2087"/>
      <c r="S26" s="2088"/>
      <c r="T26" s="1351">
        <f>SUM(AO26:AP27)</f>
        <v>0</v>
      </c>
      <c r="U26" s="1352">
        <f>((((C26*E26/324)+(C27*E27/324))*(1+J$73))+AK26+AK27)</f>
        <v>0</v>
      </c>
      <c r="V26" s="2081">
        <f>IF(C26=0,0,W26/(C26+C27))</f>
        <v>0</v>
      </c>
      <c r="W26" s="2779">
        <f>(IF(SUM(BJ26:CC27)=0,0,SUM(BJ26:CC27)-BZ26-BZ27))*(1+L$65)</f>
        <v>0</v>
      </c>
      <c r="X26" s="2779"/>
      <c r="Y26" s="1254"/>
      <c r="AH26" s="1035">
        <f t="shared" si="0"/>
        <v>0</v>
      </c>
      <c r="AI26" s="18">
        <f t="shared" si="1"/>
        <v>0</v>
      </c>
      <c r="AJ26" s="18">
        <f t="shared" si="2"/>
        <v>0</v>
      </c>
      <c r="AK26" s="1013">
        <f t="shared" si="3"/>
        <v>0</v>
      </c>
      <c r="AL26" s="18">
        <f t="shared" si="4"/>
        <v>0</v>
      </c>
      <c r="AM26" s="18">
        <f t="shared" si="5"/>
        <v>0</v>
      </c>
      <c r="AN26" s="18">
        <f t="shared" si="6"/>
        <v>0</v>
      </c>
      <c r="AO26" s="1035">
        <f t="shared" si="7"/>
        <v>0</v>
      </c>
      <c r="AP26" s="1975">
        <f t="shared" si="8"/>
        <v>0</v>
      </c>
      <c r="AQ26" s="1035">
        <f t="shared" si="9"/>
        <v>0</v>
      </c>
      <c r="AS26" s="18">
        <f t="shared" si="10"/>
        <v>0</v>
      </c>
      <c r="AT26" s="1035">
        <f t="shared" si="11"/>
        <v>0</v>
      </c>
      <c r="AU26" s="18">
        <f t="shared" si="12"/>
        <v>0</v>
      </c>
      <c r="AV26" s="18">
        <f t="shared" si="13"/>
        <v>0</v>
      </c>
      <c r="AW26" s="18">
        <f t="shared" si="14"/>
        <v>0</v>
      </c>
      <c r="AX26" s="18">
        <f t="shared" si="15"/>
        <v>0</v>
      </c>
      <c r="AY26" s="18">
        <f t="shared" si="16"/>
        <v>0</v>
      </c>
      <c r="AZ26" s="18">
        <f t="shared" si="17"/>
        <v>0</v>
      </c>
      <c r="BA26" s="18">
        <f t="shared" si="18"/>
        <v>0</v>
      </c>
      <c r="BB26" s="18">
        <f t="shared" si="19"/>
        <v>0</v>
      </c>
      <c r="BC26" s="1013">
        <f t="shared" si="20"/>
        <v>0</v>
      </c>
      <c r="BD26" s="18">
        <f t="shared" si="21"/>
        <v>0</v>
      </c>
      <c r="BE26" s="575">
        <f t="shared" si="22"/>
        <v>0</v>
      </c>
      <c r="BF26" s="18">
        <f t="shared" si="23"/>
        <v>0</v>
      </c>
      <c r="BG26" s="18">
        <f t="shared" si="24"/>
        <v>0</v>
      </c>
      <c r="BH26" s="18">
        <f t="shared" si="25"/>
        <v>0</v>
      </c>
      <c r="BI26" s="481">
        <f>SUM(BJ26:CC27)</f>
        <v>0</v>
      </c>
      <c r="BJ26" s="2070">
        <f>(AT26*Pricing!F$3+AU26*Pricing!G$3+AV26*Pricing!H$3+AW26*Pricing!I$3+AX26*Pricing!J$3+AY26*Pricing!K$3+AZ26*Pricing!L$3+BA26*Pricing!M$3+BB26*Pricing!M$3+BC26*Pricing!O$3)*IF(T$64="N",(1+V$64),1)</f>
        <v>0</v>
      </c>
      <c r="BK26" s="1864">
        <f t="shared" si="26"/>
        <v>0</v>
      </c>
      <c r="BL26" s="1864">
        <f t="shared" si="27"/>
        <v>0</v>
      </c>
      <c r="BM26" s="1864">
        <f t="shared" si="28"/>
        <v>0</v>
      </c>
      <c r="BN26" s="2071">
        <f t="shared" si="29"/>
        <v>0</v>
      </c>
      <c r="BO26" s="1864">
        <f t="shared" si="30"/>
        <v>0</v>
      </c>
      <c r="BP26" s="1864">
        <f t="shared" si="31"/>
        <v>0</v>
      </c>
      <c r="BQ26" s="1864">
        <f t="shared" si="32"/>
        <v>0</v>
      </c>
      <c r="BR26" s="1864" t="str">
        <f t="shared" si="33"/>
        <v/>
      </c>
      <c r="BS26" s="1864">
        <f t="shared" si="34"/>
        <v>0</v>
      </c>
      <c r="BT26" s="2072" t="str">
        <f t="shared" si="35"/>
        <v/>
      </c>
      <c r="BU26" s="1864">
        <f t="shared" si="36"/>
        <v>0</v>
      </c>
      <c r="BV26" s="1864">
        <f t="shared" si="37"/>
        <v>0</v>
      </c>
      <c r="BW26" s="1864">
        <f t="shared" si="38"/>
        <v>0</v>
      </c>
      <c r="BX26" s="1864">
        <f t="shared" si="39"/>
        <v>0</v>
      </c>
      <c r="BY26" s="1864">
        <f t="shared" si="40"/>
        <v>0</v>
      </c>
      <c r="BZ26" s="1864">
        <f t="shared" si="41"/>
        <v>0</v>
      </c>
      <c r="CA26" s="1864"/>
      <c r="CB26" s="1864">
        <f t="shared" si="42"/>
        <v>0</v>
      </c>
      <c r="CC26" s="2073">
        <f t="shared" si="43"/>
        <v>0</v>
      </c>
      <c r="CP26" s="18">
        <f>A42</f>
        <v>0</v>
      </c>
      <c r="CQ26" s="18">
        <f>BF42+BG42+BH42+BH43+BG43+BF43</f>
        <v>0</v>
      </c>
      <c r="CR26" s="959">
        <f>T42</f>
        <v>0</v>
      </c>
      <c r="CS26" s="959">
        <f>H$100/H$87*(C42+C43)</f>
        <v>0</v>
      </c>
      <c r="CT26" s="18">
        <f>BE42+BE43</f>
        <v>0</v>
      </c>
    </row>
    <row r="27" spans="1:98" ht="19.5" customHeight="1">
      <c r="A27" s="2074"/>
      <c r="B27" s="2100"/>
      <c r="C27" s="2101"/>
      <c r="D27" s="1388"/>
      <c r="E27" s="1206"/>
      <c r="F27" s="1395"/>
      <c r="G27" s="1345"/>
      <c r="H27" s="2091"/>
      <c r="I27" s="1395"/>
      <c r="J27" s="1392"/>
      <c r="K27" s="1395"/>
      <c r="L27" s="1392"/>
      <c r="M27" s="2076"/>
      <c r="N27" s="1395"/>
      <c r="O27" s="1392"/>
      <c r="P27" s="1395"/>
      <c r="Q27" s="1417"/>
      <c r="R27" s="2092"/>
      <c r="S27" s="2093"/>
      <c r="T27" s="2079"/>
      <c r="U27" s="2080"/>
      <c r="V27" s="2094"/>
      <c r="W27" s="2779"/>
      <c r="X27" s="2779"/>
      <c r="Y27" s="1254"/>
      <c r="AH27" s="1035">
        <f t="shared" si="0"/>
        <v>0</v>
      </c>
      <c r="AI27" s="18">
        <f t="shared" si="1"/>
        <v>0</v>
      </c>
      <c r="AJ27" s="18">
        <f t="shared" si="2"/>
        <v>0</v>
      </c>
      <c r="AK27" s="1013">
        <f t="shared" si="3"/>
        <v>0</v>
      </c>
      <c r="AL27" s="18">
        <f t="shared" si="4"/>
        <v>0</v>
      </c>
      <c r="AM27" s="18">
        <f t="shared" si="5"/>
        <v>0</v>
      </c>
      <c r="AN27" s="18">
        <f t="shared" si="6"/>
        <v>0</v>
      </c>
      <c r="AO27" s="1035">
        <f t="shared" si="7"/>
        <v>0</v>
      </c>
      <c r="AP27" s="1975">
        <f t="shared" si="8"/>
        <v>0</v>
      </c>
      <c r="AQ27" s="1035">
        <f t="shared" si="9"/>
        <v>0</v>
      </c>
      <c r="AS27" s="18">
        <f>IF(X8="y",C27,0)</f>
        <v>0</v>
      </c>
      <c r="AT27" s="1035">
        <f t="shared" si="11"/>
        <v>0</v>
      </c>
      <c r="AU27" s="18">
        <f t="shared" si="12"/>
        <v>0</v>
      </c>
      <c r="AV27" s="18">
        <f t="shared" si="13"/>
        <v>0</v>
      </c>
      <c r="AW27" s="18">
        <f t="shared" si="14"/>
        <v>0</v>
      </c>
      <c r="AX27" s="18">
        <f t="shared" si="15"/>
        <v>0</v>
      </c>
      <c r="AY27" s="18">
        <f t="shared" si="16"/>
        <v>0</v>
      </c>
      <c r="AZ27" s="18">
        <f t="shared" si="17"/>
        <v>0</v>
      </c>
      <c r="BA27" s="18">
        <f t="shared" si="18"/>
        <v>0</v>
      </c>
      <c r="BB27" s="18">
        <f t="shared" si="19"/>
        <v>0</v>
      </c>
      <c r="BC27" s="1013">
        <f t="shared" si="20"/>
        <v>0</v>
      </c>
      <c r="BD27" s="18">
        <f t="shared" si="21"/>
        <v>0</v>
      </c>
      <c r="BE27" s="575">
        <f t="shared" si="22"/>
        <v>0</v>
      </c>
      <c r="BF27" s="18">
        <f t="shared" si="23"/>
        <v>0</v>
      </c>
      <c r="BG27" s="18">
        <f t="shared" si="24"/>
        <v>0</v>
      </c>
      <c r="BH27" s="18">
        <f t="shared" si="25"/>
        <v>0</v>
      </c>
      <c r="BI27" s="481"/>
      <c r="BJ27" s="2070">
        <f>(AT27*Pricing!F$3+AU27*Pricing!G$3+AV27*Pricing!H$3+AW27*Pricing!I$3+AX27*Pricing!J$3+AY27*Pricing!K$3+AZ27*Pricing!L$3+BA27*Pricing!M$3+BB27*Pricing!M$3+BC27*Pricing!O$3)*IF(T$64="N",(1+V$64),1)</f>
        <v>0</v>
      </c>
      <c r="BK27" s="1864">
        <f t="shared" si="26"/>
        <v>0</v>
      </c>
      <c r="BL27" s="1864">
        <f t="shared" si="27"/>
        <v>0</v>
      </c>
      <c r="BM27" s="1864">
        <f t="shared" si="28"/>
        <v>0</v>
      </c>
      <c r="BN27" s="2071">
        <f t="shared" si="29"/>
        <v>0</v>
      </c>
      <c r="BO27" s="1864">
        <f t="shared" si="30"/>
        <v>0</v>
      </c>
      <c r="BP27" s="1864">
        <f t="shared" si="31"/>
        <v>0</v>
      </c>
      <c r="BQ27" s="1864">
        <f t="shared" si="32"/>
        <v>0</v>
      </c>
      <c r="BR27" s="1864" t="str">
        <f t="shared" si="33"/>
        <v/>
      </c>
      <c r="BS27" s="1864">
        <f t="shared" si="34"/>
        <v>0</v>
      </c>
      <c r="BT27" s="2072" t="str">
        <f t="shared" si="35"/>
        <v/>
      </c>
      <c r="BU27" s="1864">
        <f t="shared" si="36"/>
        <v>0</v>
      </c>
      <c r="BV27" s="1864">
        <f t="shared" si="37"/>
        <v>0</v>
      </c>
      <c r="BW27" s="1864">
        <f t="shared" si="38"/>
        <v>0</v>
      </c>
      <c r="BX27" s="1864">
        <f t="shared" si="39"/>
        <v>0</v>
      </c>
      <c r="BY27" s="1864">
        <f t="shared" si="40"/>
        <v>0</v>
      </c>
      <c r="BZ27" s="1864">
        <f t="shared" si="41"/>
        <v>0</v>
      </c>
      <c r="CA27" s="1864"/>
      <c r="CB27" s="1864">
        <f t="shared" si="42"/>
        <v>0</v>
      </c>
      <c r="CC27" s="2073">
        <f t="shared" si="43"/>
        <v>0</v>
      </c>
      <c r="CP27" s="18">
        <f>A44</f>
        <v>0</v>
      </c>
      <c r="CQ27" s="18">
        <f>BF44+BG44+BH44+BH45+BG45+BF45</f>
        <v>0</v>
      </c>
      <c r="CR27" s="959">
        <f>T44</f>
        <v>0</v>
      </c>
      <c r="CS27" s="959">
        <f>H$100/H$87*(C44+C45)</f>
        <v>0</v>
      </c>
      <c r="CT27" s="18">
        <f>BE44+BE45</f>
        <v>0</v>
      </c>
    </row>
    <row r="28" spans="1:98" ht="19.5" customHeight="1">
      <c r="A28" s="2097"/>
      <c r="B28" s="2098"/>
      <c r="C28" s="2102"/>
      <c r="D28" s="1344"/>
      <c r="E28" s="1207"/>
      <c r="F28" s="1347"/>
      <c r="G28" s="1389"/>
      <c r="H28" s="2084"/>
      <c r="I28" s="1347"/>
      <c r="J28" s="1348"/>
      <c r="K28" s="1347"/>
      <c r="L28" s="1348"/>
      <c r="M28" s="2085"/>
      <c r="N28" s="1347"/>
      <c r="O28" s="1348"/>
      <c r="P28" s="1347"/>
      <c r="Q28" s="2086"/>
      <c r="R28" s="2087"/>
      <c r="S28" s="2088"/>
      <c r="T28" s="1351">
        <f>SUM(AO28:AP29)</f>
        <v>0</v>
      </c>
      <c r="U28" s="1352">
        <f>((((C28*E28/324)+(C29*E29/324))*(1+J$73))+AK28+AK29)</f>
        <v>0</v>
      </c>
      <c r="V28" s="2081">
        <f>IF(C28=0,0,W28/(C28+C29))</f>
        <v>0</v>
      </c>
      <c r="W28" s="2779">
        <f>(IF(SUM(BJ28:CC29)=0,0,SUM(BJ28:CC29)-BZ28-BZ29))*(1+L$65)</f>
        <v>0</v>
      </c>
      <c r="X28" s="2779"/>
      <c r="Y28" s="1254"/>
      <c r="AH28" s="1035">
        <f t="shared" si="0"/>
        <v>0</v>
      </c>
      <c r="AI28" s="18">
        <f t="shared" si="1"/>
        <v>0</v>
      </c>
      <c r="AJ28" s="18">
        <f t="shared" si="2"/>
        <v>0</v>
      </c>
      <c r="AK28" s="1013">
        <f t="shared" si="3"/>
        <v>0</v>
      </c>
      <c r="AL28" s="18">
        <f t="shared" si="4"/>
        <v>0</v>
      </c>
      <c r="AM28" s="18">
        <f t="shared" si="5"/>
        <v>0</v>
      </c>
      <c r="AN28" s="18">
        <f t="shared" si="6"/>
        <v>0</v>
      </c>
      <c r="AO28" s="1035">
        <f t="shared" si="7"/>
        <v>0</v>
      </c>
      <c r="AP28" s="1975">
        <f t="shared" si="8"/>
        <v>0</v>
      </c>
      <c r="AQ28" s="1035">
        <f t="shared" si="9"/>
        <v>0</v>
      </c>
      <c r="AS28" s="18">
        <f t="shared" ref="AS28:AS49" si="44">IF(M28="y",C28,0)</f>
        <v>0</v>
      </c>
      <c r="AT28" s="1035">
        <f t="shared" si="11"/>
        <v>0</v>
      </c>
      <c r="AU28" s="18">
        <f t="shared" si="12"/>
        <v>0</v>
      </c>
      <c r="AV28" s="18">
        <f t="shared" si="13"/>
        <v>0</v>
      </c>
      <c r="AW28" s="18">
        <f t="shared" si="14"/>
        <v>0</v>
      </c>
      <c r="AX28" s="18">
        <f t="shared" si="15"/>
        <v>0</v>
      </c>
      <c r="AY28" s="18">
        <f t="shared" si="16"/>
        <v>0</v>
      </c>
      <c r="AZ28" s="18">
        <f t="shared" si="17"/>
        <v>0</v>
      </c>
      <c r="BA28" s="18">
        <f t="shared" si="18"/>
        <v>0</v>
      </c>
      <c r="BB28" s="18">
        <f t="shared" si="19"/>
        <v>0</v>
      </c>
      <c r="BC28" s="1013">
        <f t="shared" si="20"/>
        <v>0</v>
      </c>
      <c r="BD28" s="18">
        <f t="shared" si="21"/>
        <v>0</v>
      </c>
      <c r="BE28" s="575">
        <f t="shared" si="22"/>
        <v>0</v>
      </c>
      <c r="BF28" s="18">
        <f t="shared" si="23"/>
        <v>0</v>
      </c>
      <c r="BG28" s="18">
        <f t="shared" si="24"/>
        <v>0</v>
      </c>
      <c r="BH28" s="18">
        <f t="shared" si="25"/>
        <v>0</v>
      </c>
      <c r="BI28" s="481">
        <f>SUM(BJ28:CC29)</f>
        <v>0</v>
      </c>
      <c r="BJ28" s="2070">
        <f>(AT28*Pricing!F$3+AU28*Pricing!G$3+AV28*Pricing!H$3+AW28*Pricing!I$3+AX28*Pricing!J$3+AY28*Pricing!K$3+AZ28*Pricing!L$3+BA28*Pricing!M$3+BB28*Pricing!M$3+BC28*Pricing!O$3)*IF(T$64="N",(1+V$64),1)</f>
        <v>0</v>
      </c>
      <c r="BK28" s="1864">
        <f t="shared" si="26"/>
        <v>0</v>
      </c>
      <c r="BL28" s="1864">
        <f t="shared" si="27"/>
        <v>0</v>
      </c>
      <c r="BM28" s="1864">
        <f t="shared" si="28"/>
        <v>0</v>
      </c>
      <c r="BN28" s="2071">
        <f t="shared" si="29"/>
        <v>0</v>
      </c>
      <c r="BO28" s="1864">
        <f t="shared" si="30"/>
        <v>0</v>
      </c>
      <c r="BP28" s="1864">
        <f t="shared" si="31"/>
        <v>0</v>
      </c>
      <c r="BQ28" s="1864">
        <f t="shared" si="32"/>
        <v>0</v>
      </c>
      <c r="BR28" s="1864" t="str">
        <f t="shared" si="33"/>
        <v/>
      </c>
      <c r="BS28" s="1864">
        <f t="shared" si="34"/>
        <v>0</v>
      </c>
      <c r="BT28" s="2072" t="str">
        <f t="shared" si="35"/>
        <v/>
      </c>
      <c r="BU28" s="1864">
        <f t="shared" si="36"/>
        <v>0</v>
      </c>
      <c r="BV28" s="1864">
        <f t="shared" si="37"/>
        <v>0</v>
      </c>
      <c r="BW28" s="1864">
        <f t="shared" si="38"/>
        <v>0</v>
      </c>
      <c r="BX28" s="1864">
        <f t="shared" si="39"/>
        <v>0</v>
      </c>
      <c r="BY28" s="1864">
        <f t="shared" si="40"/>
        <v>0</v>
      </c>
      <c r="BZ28" s="1864">
        <f t="shared" si="41"/>
        <v>0</v>
      </c>
      <c r="CA28" s="1864"/>
      <c r="CB28" s="1864">
        <f t="shared" si="42"/>
        <v>0</v>
      </c>
      <c r="CC28" s="2073">
        <f t="shared" si="43"/>
        <v>0</v>
      </c>
      <c r="CP28" s="18">
        <f>A46</f>
        <v>0</v>
      </c>
      <c r="CQ28" s="18">
        <f>BF46+BG46+BH46+BH47+BG47+BF47</f>
        <v>0</v>
      </c>
      <c r="CR28" s="959">
        <f>T46</f>
        <v>0</v>
      </c>
      <c r="CS28" s="959">
        <f>H$100/H$87*(C46+C47)</f>
        <v>0</v>
      </c>
      <c r="CT28" s="18">
        <f>BE46+BE47</f>
        <v>0</v>
      </c>
    </row>
    <row r="29" spans="1:98" ht="19.5" customHeight="1">
      <c r="A29" s="2074"/>
      <c r="B29" s="2100"/>
      <c r="C29" s="2101"/>
      <c r="D29" s="1388"/>
      <c r="E29" s="1206"/>
      <c r="F29" s="1395"/>
      <c r="G29" s="1345"/>
      <c r="H29" s="2091"/>
      <c r="I29" s="1395"/>
      <c r="J29" s="1392"/>
      <c r="K29" s="1395"/>
      <c r="L29" s="1392"/>
      <c r="M29" s="2076"/>
      <c r="N29" s="1395"/>
      <c r="O29" s="1392"/>
      <c r="P29" s="1395"/>
      <c r="Q29" s="1417"/>
      <c r="R29" s="2092"/>
      <c r="S29" s="2093"/>
      <c r="T29" s="2079"/>
      <c r="U29" s="2080"/>
      <c r="V29" s="2094"/>
      <c r="W29" s="2779"/>
      <c r="X29" s="2779"/>
      <c r="Y29" s="1254"/>
      <c r="AH29" s="1035">
        <f t="shared" si="0"/>
        <v>0</v>
      </c>
      <c r="AI29" s="18">
        <f t="shared" si="1"/>
        <v>0</v>
      </c>
      <c r="AJ29" s="18">
        <f t="shared" si="2"/>
        <v>0</v>
      </c>
      <c r="AK29" s="1013">
        <f t="shared" si="3"/>
        <v>0</v>
      </c>
      <c r="AL29" s="18">
        <f t="shared" si="4"/>
        <v>0</v>
      </c>
      <c r="AM29" s="18">
        <f t="shared" si="5"/>
        <v>0</v>
      </c>
      <c r="AN29" s="18">
        <f t="shared" si="6"/>
        <v>0</v>
      </c>
      <c r="AO29" s="1035">
        <f t="shared" si="7"/>
        <v>0</v>
      </c>
      <c r="AP29" s="1975">
        <f t="shared" si="8"/>
        <v>0</v>
      </c>
      <c r="AQ29" s="1035">
        <f t="shared" si="9"/>
        <v>0</v>
      </c>
      <c r="AS29" s="18">
        <f t="shared" si="44"/>
        <v>0</v>
      </c>
      <c r="AT29" s="1035">
        <f t="shared" si="11"/>
        <v>0</v>
      </c>
      <c r="AU29" s="18">
        <f t="shared" si="12"/>
        <v>0</v>
      </c>
      <c r="AV29" s="18">
        <f t="shared" si="13"/>
        <v>0</v>
      </c>
      <c r="AW29" s="18">
        <f t="shared" si="14"/>
        <v>0</v>
      </c>
      <c r="AX29" s="18">
        <f t="shared" si="15"/>
        <v>0</v>
      </c>
      <c r="AY29" s="18">
        <f t="shared" si="16"/>
        <v>0</v>
      </c>
      <c r="AZ29" s="18">
        <f t="shared" si="17"/>
        <v>0</v>
      </c>
      <c r="BA29" s="18">
        <f t="shared" si="18"/>
        <v>0</v>
      </c>
      <c r="BB29" s="18">
        <f t="shared" si="19"/>
        <v>0</v>
      </c>
      <c r="BC29" s="1013">
        <f t="shared" si="20"/>
        <v>0</v>
      </c>
      <c r="BD29" s="18">
        <f t="shared" si="21"/>
        <v>0</v>
      </c>
      <c r="BE29" s="575">
        <f t="shared" si="22"/>
        <v>0</v>
      </c>
      <c r="BF29" s="18">
        <f t="shared" si="23"/>
        <v>0</v>
      </c>
      <c r="BG29" s="18">
        <f t="shared" si="24"/>
        <v>0</v>
      </c>
      <c r="BH29" s="18">
        <f t="shared" si="25"/>
        <v>0</v>
      </c>
      <c r="BI29" s="481"/>
      <c r="BJ29" s="2070">
        <f>(AT29*Pricing!F$3+AU29*Pricing!G$3+AV29*Pricing!H$3+AW29*Pricing!I$3+AX29*Pricing!J$3+AY29*Pricing!K$3+AZ29*Pricing!L$3+BA29*Pricing!M$3+BB29*Pricing!M$3+BC29*Pricing!O$3)*IF(T$64="N",(1+V$64),1)</f>
        <v>0</v>
      </c>
      <c r="BK29" s="1864">
        <f t="shared" si="26"/>
        <v>0</v>
      </c>
      <c r="BL29" s="1864">
        <f t="shared" si="27"/>
        <v>0</v>
      </c>
      <c r="BM29" s="1864">
        <f t="shared" si="28"/>
        <v>0</v>
      </c>
      <c r="BN29" s="2071">
        <f t="shared" si="29"/>
        <v>0</v>
      </c>
      <c r="BO29" s="1864">
        <f t="shared" si="30"/>
        <v>0</v>
      </c>
      <c r="BP29" s="1864">
        <f t="shared" si="31"/>
        <v>0</v>
      </c>
      <c r="BQ29" s="1864">
        <f t="shared" si="32"/>
        <v>0</v>
      </c>
      <c r="BR29" s="1864" t="str">
        <f t="shared" si="33"/>
        <v/>
      </c>
      <c r="BS29" s="1864">
        <f t="shared" si="34"/>
        <v>0</v>
      </c>
      <c r="BT29" s="2072" t="str">
        <f t="shared" si="35"/>
        <v/>
      </c>
      <c r="BU29" s="1864">
        <f t="shared" si="36"/>
        <v>0</v>
      </c>
      <c r="BV29" s="1864">
        <f t="shared" si="37"/>
        <v>0</v>
      </c>
      <c r="BW29" s="1864">
        <f t="shared" si="38"/>
        <v>0</v>
      </c>
      <c r="BX29" s="1864">
        <f t="shared" si="39"/>
        <v>0</v>
      </c>
      <c r="BY29" s="1864">
        <f t="shared" si="40"/>
        <v>0</v>
      </c>
      <c r="BZ29" s="1864">
        <f t="shared" si="41"/>
        <v>0</v>
      </c>
      <c r="CA29" s="1864"/>
      <c r="CB29" s="1864">
        <f t="shared" si="42"/>
        <v>0</v>
      </c>
      <c r="CC29" s="2073">
        <f t="shared" si="43"/>
        <v>0</v>
      </c>
      <c r="CP29" s="18">
        <f>A48</f>
        <v>0</v>
      </c>
      <c r="CQ29" s="18">
        <f>BF48+BG48+BH48+BH49+BG49+BF49</f>
        <v>0</v>
      </c>
      <c r="CR29" s="959">
        <f>T48</f>
        <v>0</v>
      </c>
      <c r="CS29" s="959">
        <f>H$100/H$87*(C48+C49)</f>
        <v>0</v>
      </c>
      <c r="CT29" s="18">
        <f>BE48+BE49</f>
        <v>0</v>
      </c>
    </row>
    <row r="30" spans="1:98" ht="19.5" customHeight="1">
      <c r="A30" s="2097"/>
      <c r="B30" s="2098"/>
      <c r="C30" s="2102"/>
      <c r="D30" s="1344"/>
      <c r="E30" s="1207"/>
      <c r="F30" s="1347"/>
      <c r="G30" s="1389"/>
      <c r="H30" s="2084"/>
      <c r="I30" s="1347"/>
      <c r="J30" s="1348"/>
      <c r="K30" s="1347"/>
      <c r="L30" s="1348"/>
      <c r="M30" s="2085"/>
      <c r="N30" s="1347"/>
      <c r="O30" s="1348"/>
      <c r="P30" s="1347"/>
      <c r="Q30" s="2086"/>
      <c r="R30" s="2087"/>
      <c r="S30" s="2088"/>
      <c r="T30" s="1351">
        <f>SUM(AO30:AP31)</f>
        <v>0</v>
      </c>
      <c r="U30" s="1352">
        <f>((((C30*E30/324)+(C31*E31/324))*(1+J$73))+AK30+AK31)</f>
        <v>0</v>
      </c>
      <c r="V30" s="2081">
        <f>IF(C30=0,0,W30/(C30+C31))</f>
        <v>0</v>
      </c>
      <c r="W30" s="2779">
        <f>(IF(SUM(BJ30:CC31)=0,0,SUM(BJ30:CC31)-BZ30-BZ31))*(1+L$65)</f>
        <v>0</v>
      </c>
      <c r="X30" s="2779"/>
      <c r="Y30" s="1254"/>
      <c r="AH30" s="1035">
        <f t="shared" si="0"/>
        <v>0</v>
      </c>
      <c r="AI30" s="18">
        <f t="shared" si="1"/>
        <v>0</v>
      </c>
      <c r="AJ30" s="18">
        <f t="shared" si="2"/>
        <v>0</v>
      </c>
      <c r="AK30" s="1013">
        <f t="shared" si="3"/>
        <v>0</v>
      </c>
      <c r="AL30" s="18">
        <f t="shared" si="4"/>
        <v>0</v>
      </c>
      <c r="AM30" s="18">
        <f t="shared" si="5"/>
        <v>0</v>
      </c>
      <c r="AN30" s="18">
        <f t="shared" si="6"/>
        <v>0</v>
      </c>
      <c r="AO30" s="1035">
        <f t="shared" si="7"/>
        <v>0</v>
      </c>
      <c r="AP30" s="1975">
        <f t="shared" si="8"/>
        <v>0</v>
      </c>
      <c r="AQ30" s="1035">
        <f t="shared" si="9"/>
        <v>0</v>
      </c>
      <c r="AS30" s="18">
        <f t="shared" si="44"/>
        <v>0</v>
      </c>
      <c r="AT30" s="1035">
        <f t="shared" si="11"/>
        <v>0</v>
      </c>
      <c r="AU30" s="18">
        <f t="shared" si="12"/>
        <v>0</v>
      </c>
      <c r="AV30" s="18">
        <f t="shared" si="13"/>
        <v>0</v>
      </c>
      <c r="AW30" s="18">
        <f t="shared" si="14"/>
        <v>0</v>
      </c>
      <c r="AX30" s="18">
        <f t="shared" si="15"/>
        <v>0</v>
      </c>
      <c r="AY30" s="18">
        <f t="shared" si="16"/>
        <v>0</v>
      </c>
      <c r="AZ30" s="18">
        <f t="shared" si="17"/>
        <v>0</v>
      </c>
      <c r="BA30" s="18">
        <f t="shared" si="18"/>
        <v>0</v>
      </c>
      <c r="BB30" s="18">
        <f t="shared" si="19"/>
        <v>0</v>
      </c>
      <c r="BC30" s="1013">
        <f t="shared" si="20"/>
        <v>0</v>
      </c>
      <c r="BD30" s="18">
        <f t="shared" si="21"/>
        <v>0</v>
      </c>
      <c r="BE30" s="575">
        <f t="shared" si="22"/>
        <v>0</v>
      </c>
      <c r="BF30" s="18">
        <f t="shared" si="23"/>
        <v>0</v>
      </c>
      <c r="BG30" s="18">
        <f t="shared" si="24"/>
        <v>0</v>
      </c>
      <c r="BH30" s="18">
        <f t="shared" si="25"/>
        <v>0</v>
      </c>
      <c r="BI30" s="481">
        <f>SUM(BJ30:CC31)</f>
        <v>0</v>
      </c>
      <c r="BJ30" s="2070">
        <f>(AT30*Pricing!F$3+AU30*Pricing!G$3+AV30*Pricing!H$3+AW30*Pricing!I$3+AX30*Pricing!J$3+AY30*Pricing!K$3+AZ30*Pricing!L$3+BA30*Pricing!M$3+BB30*Pricing!M$3+BC30*Pricing!O$3)*IF(T$64="N",(1+V$64),1)</f>
        <v>0</v>
      </c>
      <c r="BK30" s="1864">
        <f t="shared" si="26"/>
        <v>0</v>
      </c>
      <c r="BL30" s="1864">
        <f t="shared" si="27"/>
        <v>0</v>
      </c>
      <c r="BM30" s="1864">
        <f t="shared" si="28"/>
        <v>0</v>
      </c>
      <c r="BN30" s="2071">
        <f t="shared" si="29"/>
        <v>0</v>
      </c>
      <c r="BO30" s="1864">
        <f t="shared" si="30"/>
        <v>0</v>
      </c>
      <c r="BP30" s="1864">
        <f t="shared" si="31"/>
        <v>0</v>
      </c>
      <c r="BQ30" s="1864">
        <f t="shared" si="32"/>
        <v>0</v>
      </c>
      <c r="BR30" s="1864" t="str">
        <f t="shared" si="33"/>
        <v/>
      </c>
      <c r="BS30" s="1864">
        <f t="shared" si="34"/>
        <v>0</v>
      </c>
      <c r="BT30" s="2072" t="str">
        <f t="shared" si="35"/>
        <v/>
      </c>
      <c r="BU30" s="1864">
        <f t="shared" si="36"/>
        <v>0</v>
      </c>
      <c r="BV30" s="1864">
        <f t="shared" si="37"/>
        <v>0</v>
      </c>
      <c r="BW30" s="1864">
        <f t="shared" si="38"/>
        <v>0</v>
      </c>
      <c r="BX30" s="1864">
        <f t="shared" si="39"/>
        <v>0</v>
      </c>
      <c r="BY30" s="1864">
        <f t="shared" si="40"/>
        <v>0</v>
      </c>
      <c r="BZ30" s="1864">
        <f t="shared" si="41"/>
        <v>0</v>
      </c>
      <c r="CA30" s="1864"/>
      <c r="CB30" s="1864">
        <f t="shared" si="42"/>
        <v>0</v>
      </c>
      <c r="CC30" s="2073">
        <f t="shared" si="43"/>
        <v>0</v>
      </c>
      <c r="CP30" s="670"/>
      <c r="CQ30" s="670"/>
      <c r="CR30" s="2104"/>
      <c r="CS30" s="2104"/>
      <c r="CT30" s="670"/>
    </row>
    <row r="31" spans="1:98" ht="19.5" customHeight="1">
      <c r="A31" s="2074"/>
      <c r="B31" s="2100"/>
      <c r="C31" s="2101"/>
      <c r="D31" s="1388"/>
      <c r="E31" s="1206"/>
      <c r="F31" s="1395"/>
      <c r="G31" s="1345"/>
      <c r="H31" s="2091"/>
      <c r="I31" s="1395"/>
      <c r="J31" s="1392"/>
      <c r="K31" s="1395"/>
      <c r="L31" s="1392"/>
      <c r="M31" s="2076"/>
      <c r="N31" s="1395"/>
      <c r="O31" s="1392"/>
      <c r="P31" s="1395"/>
      <c r="Q31" s="1417"/>
      <c r="R31" s="2092"/>
      <c r="S31" s="2105"/>
      <c r="T31" s="2079"/>
      <c r="U31" s="2080"/>
      <c r="V31" s="2094"/>
      <c r="W31" s="2779"/>
      <c r="X31" s="2779"/>
      <c r="Y31" s="1254"/>
      <c r="AH31" s="1035">
        <f t="shared" si="0"/>
        <v>0</v>
      </c>
      <c r="AI31" s="18">
        <f t="shared" si="1"/>
        <v>0</v>
      </c>
      <c r="AJ31" s="18">
        <f t="shared" si="2"/>
        <v>0</v>
      </c>
      <c r="AK31" s="1013">
        <f t="shared" si="3"/>
        <v>0</v>
      </c>
      <c r="AL31" s="18">
        <f t="shared" si="4"/>
        <v>0</v>
      </c>
      <c r="AM31" s="18">
        <f t="shared" si="5"/>
        <v>0</v>
      </c>
      <c r="AN31" s="18">
        <f t="shared" si="6"/>
        <v>0</v>
      </c>
      <c r="AO31" s="1035">
        <f t="shared" si="7"/>
        <v>0</v>
      </c>
      <c r="AP31" s="1975">
        <f t="shared" si="8"/>
        <v>0</v>
      </c>
      <c r="AQ31" s="1035">
        <f t="shared" si="9"/>
        <v>0</v>
      </c>
      <c r="AS31" s="18">
        <f t="shared" si="44"/>
        <v>0</v>
      </c>
      <c r="AT31" s="1035">
        <f t="shared" si="11"/>
        <v>0</v>
      </c>
      <c r="AU31" s="18">
        <f t="shared" si="12"/>
        <v>0</v>
      </c>
      <c r="AV31" s="18">
        <f t="shared" si="13"/>
        <v>0</v>
      </c>
      <c r="AW31" s="18">
        <f t="shared" si="14"/>
        <v>0</v>
      </c>
      <c r="AX31" s="18">
        <f t="shared" si="15"/>
        <v>0</v>
      </c>
      <c r="AY31" s="18">
        <f t="shared" si="16"/>
        <v>0</v>
      </c>
      <c r="AZ31" s="18">
        <f t="shared" si="17"/>
        <v>0</v>
      </c>
      <c r="BA31" s="18">
        <f t="shared" si="18"/>
        <v>0</v>
      </c>
      <c r="BB31" s="18">
        <f t="shared" si="19"/>
        <v>0</v>
      </c>
      <c r="BC31" s="1013">
        <f t="shared" si="20"/>
        <v>0</v>
      </c>
      <c r="BD31" s="18">
        <f t="shared" si="21"/>
        <v>0</v>
      </c>
      <c r="BE31" s="575">
        <f t="shared" si="22"/>
        <v>0</v>
      </c>
      <c r="BF31" s="18">
        <f t="shared" si="23"/>
        <v>0</v>
      </c>
      <c r="BG31" s="18">
        <f t="shared" si="24"/>
        <v>0</v>
      </c>
      <c r="BH31" s="18">
        <f t="shared" si="25"/>
        <v>0</v>
      </c>
      <c r="BI31" s="481"/>
      <c r="BJ31" s="2070">
        <f>(AT31*Pricing!F$3+AU31*Pricing!G$3+AV31*Pricing!H$3+AW31*Pricing!I$3+AX31*Pricing!J$3+AY31*Pricing!K$3+AZ31*Pricing!L$3+BA31*Pricing!M$3+BB31*Pricing!M$3+BC31*Pricing!O$3)*IF(T$64="N",(1+V$64),1)</f>
        <v>0</v>
      </c>
      <c r="BK31" s="1864">
        <f t="shared" si="26"/>
        <v>0</v>
      </c>
      <c r="BL31" s="1864">
        <f t="shared" si="27"/>
        <v>0</v>
      </c>
      <c r="BM31" s="1864">
        <f t="shared" si="28"/>
        <v>0</v>
      </c>
      <c r="BN31" s="2071">
        <f t="shared" si="29"/>
        <v>0</v>
      </c>
      <c r="BO31" s="1864">
        <f t="shared" si="30"/>
        <v>0</v>
      </c>
      <c r="BP31" s="1864">
        <f t="shared" si="31"/>
        <v>0</v>
      </c>
      <c r="BQ31" s="1864">
        <f t="shared" si="32"/>
        <v>0</v>
      </c>
      <c r="BR31" s="1864" t="str">
        <f t="shared" si="33"/>
        <v/>
      </c>
      <c r="BS31" s="1864">
        <f t="shared" si="34"/>
        <v>0</v>
      </c>
      <c r="BT31" s="2072" t="str">
        <f t="shared" si="35"/>
        <v/>
      </c>
      <c r="BU31" s="1864">
        <f t="shared" si="36"/>
        <v>0</v>
      </c>
      <c r="BV31" s="1864">
        <f t="shared" si="37"/>
        <v>0</v>
      </c>
      <c r="BW31" s="1864">
        <f t="shared" si="38"/>
        <v>0</v>
      </c>
      <c r="BX31" s="1864">
        <f t="shared" si="39"/>
        <v>0</v>
      </c>
      <c r="BY31" s="1864">
        <f t="shared" si="40"/>
        <v>0</v>
      </c>
      <c r="BZ31" s="1864">
        <f t="shared" si="41"/>
        <v>0</v>
      </c>
      <c r="CA31" s="1864"/>
      <c r="CB31" s="1864">
        <f t="shared" si="42"/>
        <v>0</v>
      </c>
      <c r="CC31" s="2073">
        <f t="shared" si="43"/>
        <v>0</v>
      </c>
      <c r="CR31" s="959"/>
      <c r="CS31" s="959"/>
    </row>
    <row r="32" spans="1:98" ht="19.5" customHeight="1">
      <c r="A32" s="2097"/>
      <c r="B32" s="2098"/>
      <c r="C32" s="2102"/>
      <c r="D32" s="1344"/>
      <c r="E32" s="1207"/>
      <c r="F32" s="1347"/>
      <c r="G32" s="1389"/>
      <c r="H32" s="2084"/>
      <c r="I32" s="1347"/>
      <c r="J32" s="1348"/>
      <c r="K32" s="1347"/>
      <c r="L32" s="1348"/>
      <c r="M32" s="2085"/>
      <c r="N32" s="1347"/>
      <c r="O32" s="1348"/>
      <c r="P32" s="1347"/>
      <c r="Q32" s="2086"/>
      <c r="R32" s="2087"/>
      <c r="S32" s="2088"/>
      <c r="T32" s="1351">
        <f>SUM(AO32:AP33)</f>
        <v>0</v>
      </c>
      <c r="U32" s="1352">
        <f>((((C32*E32/324)+(C33*E33/324))*(1+J$73))+AK32+AK33)</f>
        <v>0</v>
      </c>
      <c r="V32" s="2081">
        <f>IF(C32=0,0,W32/(C32+C33))</f>
        <v>0</v>
      </c>
      <c r="W32" s="2779">
        <f>(IF(SUM(BJ32:CC33)=0,0,SUM(BJ32:CC33)-BZ32-BZ33))*(1+L$65)</f>
        <v>0</v>
      </c>
      <c r="X32" s="2779"/>
      <c r="Y32" s="1254"/>
      <c r="AH32" s="1035">
        <f t="shared" si="0"/>
        <v>0</v>
      </c>
      <c r="AI32" s="18">
        <f t="shared" si="1"/>
        <v>0</v>
      </c>
      <c r="AJ32" s="18">
        <f t="shared" si="2"/>
        <v>0</v>
      </c>
      <c r="AK32" s="1013">
        <f t="shared" si="3"/>
        <v>0</v>
      </c>
      <c r="AL32" s="18">
        <f t="shared" si="4"/>
        <v>0</v>
      </c>
      <c r="AM32" s="18">
        <f t="shared" si="5"/>
        <v>0</v>
      </c>
      <c r="AN32" s="18">
        <f t="shared" si="6"/>
        <v>0</v>
      </c>
      <c r="AO32" s="1035">
        <f t="shared" si="7"/>
        <v>0</v>
      </c>
      <c r="AP32" s="1975">
        <f t="shared" si="8"/>
        <v>0</v>
      </c>
      <c r="AQ32" s="1035">
        <f t="shared" si="9"/>
        <v>0</v>
      </c>
      <c r="AS32" s="18">
        <f t="shared" si="44"/>
        <v>0</v>
      </c>
      <c r="AT32" s="1035">
        <f t="shared" si="11"/>
        <v>0</v>
      </c>
      <c r="AU32" s="18">
        <f t="shared" si="12"/>
        <v>0</v>
      </c>
      <c r="AV32" s="18">
        <f t="shared" si="13"/>
        <v>0</v>
      </c>
      <c r="AW32" s="18">
        <f t="shared" si="14"/>
        <v>0</v>
      </c>
      <c r="AX32" s="18">
        <f t="shared" si="15"/>
        <v>0</v>
      </c>
      <c r="AY32" s="18">
        <f t="shared" si="16"/>
        <v>0</v>
      </c>
      <c r="AZ32" s="18">
        <f t="shared" si="17"/>
        <v>0</v>
      </c>
      <c r="BA32" s="18">
        <f t="shared" si="18"/>
        <v>0</v>
      </c>
      <c r="BB32" s="18">
        <f t="shared" si="19"/>
        <v>0</v>
      </c>
      <c r="BC32" s="1013">
        <f t="shared" si="20"/>
        <v>0</v>
      </c>
      <c r="BD32" s="18">
        <f t="shared" si="21"/>
        <v>0</v>
      </c>
      <c r="BE32" s="575">
        <f t="shared" si="22"/>
        <v>0</v>
      </c>
      <c r="BF32" s="18">
        <f t="shared" si="23"/>
        <v>0</v>
      </c>
      <c r="BG32" s="18">
        <f t="shared" si="24"/>
        <v>0</v>
      </c>
      <c r="BH32" s="18">
        <f t="shared" si="25"/>
        <v>0</v>
      </c>
      <c r="BI32" s="481">
        <f>SUM(BJ32:CC33)</f>
        <v>0</v>
      </c>
      <c r="BJ32" s="2070">
        <f>(AT32*Pricing!F$3+AU32*Pricing!G$3+AV32*Pricing!H$3+AW32*Pricing!I$3+AX32*Pricing!J$3+AY32*Pricing!K$3+AZ32*Pricing!L$3+BA32*Pricing!M$3+BB32*Pricing!M$3+BC32*Pricing!O$3)*IF(T$64="N",(1+V$64),1)</f>
        <v>0</v>
      </c>
      <c r="BK32" s="1864">
        <f t="shared" si="26"/>
        <v>0</v>
      </c>
      <c r="BL32" s="1864">
        <f t="shared" si="27"/>
        <v>0</v>
      </c>
      <c r="BM32" s="1864">
        <f t="shared" si="28"/>
        <v>0</v>
      </c>
      <c r="BN32" s="2071">
        <f t="shared" si="29"/>
        <v>0</v>
      </c>
      <c r="BO32" s="1864">
        <f t="shared" si="30"/>
        <v>0</v>
      </c>
      <c r="BP32" s="1864">
        <f t="shared" si="31"/>
        <v>0</v>
      </c>
      <c r="BQ32" s="1864">
        <f t="shared" si="32"/>
        <v>0</v>
      </c>
      <c r="BR32" s="1864" t="str">
        <f t="shared" si="33"/>
        <v/>
      </c>
      <c r="BS32" s="1864">
        <f t="shared" si="34"/>
        <v>0</v>
      </c>
      <c r="BT32" s="2072" t="str">
        <f t="shared" si="35"/>
        <v/>
      </c>
      <c r="BU32" s="1864">
        <f t="shared" si="36"/>
        <v>0</v>
      </c>
      <c r="BV32" s="1864">
        <f t="shared" si="37"/>
        <v>0</v>
      </c>
      <c r="BW32" s="1864">
        <f t="shared" si="38"/>
        <v>0</v>
      </c>
      <c r="BX32" s="1864">
        <f t="shared" si="39"/>
        <v>0</v>
      </c>
      <c r="BY32" s="1864">
        <f t="shared" si="40"/>
        <v>0</v>
      </c>
      <c r="BZ32" s="1864">
        <f t="shared" si="41"/>
        <v>0</v>
      </c>
      <c r="CA32" s="1864"/>
      <c r="CB32" s="1864">
        <f t="shared" si="42"/>
        <v>0</v>
      </c>
      <c r="CC32" s="2073">
        <f t="shared" si="43"/>
        <v>0</v>
      </c>
      <c r="CP32" s="626"/>
      <c r="CQ32" s="626"/>
      <c r="CR32" s="626"/>
      <c r="CS32" s="626"/>
      <c r="CT32" s="626"/>
    </row>
    <row r="33" spans="1:81" ht="19.5" customHeight="1">
      <c r="A33" s="2074"/>
      <c r="B33" s="2100"/>
      <c r="C33" s="2101"/>
      <c r="D33" s="1388"/>
      <c r="E33" s="1206"/>
      <c r="F33" s="1395"/>
      <c r="G33" s="1345"/>
      <c r="H33" s="2091"/>
      <c r="I33" s="1395"/>
      <c r="J33" s="1392"/>
      <c r="K33" s="1395"/>
      <c r="L33" s="1392"/>
      <c r="M33" s="2076"/>
      <c r="N33" s="1395"/>
      <c r="O33" s="1392"/>
      <c r="P33" s="1395"/>
      <c r="Q33" s="1417"/>
      <c r="R33" s="2092"/>
      <c r="S33" s="2105"/>
      <c r="T33" s="2079"/>
      <c r="U33" s="2080"/>
      <c r="V33" s="2094"/>
      <c r="W33" s="2779"/>
      <c r="X33" s="2779"/>
      <c r="Y33" s="1254"/>
      <c r="AH33" s="1035">
        <f t="shared" si="0"/>
        <v>0</v>
      </c>
      <c r="AI33" s="18">
        <f t="shared" si="1"/>
        <v>0</v>
      </c>
      <c r="AJ33" s="18">
        <f t="shared" si="2"/>
        <v>0</v>
      </c>
      <c r="AK33" s="1013">
        <f t="shared" si="3"/>
        <v>0</v>
      </c>
      <c r="AL33" s="18">
        <f t="shared" si="4"/>
        <v>0</v>
      </c>
      <c r="AM33" s="18">
        <f t="shared" si="5"/>
        <v>0</v>
      </c>
      <c r="AN33" s="18">
        <f t="shared" si="6"/>
        <v>0</v>
      </c>
      <c r="AO33" s="1035">
        <f t="shared" si="7"/>
        <v>0</v>
      </c>
      <c r="AP33" s="1975">
        <f t="shared" si="8"/>
        <v>0</v>
      </c>
      <c r="AQ33" s="1035">
        <f t="shared" si="9"/>
        <v>0</v>
      </c>
      <c r="AS33" s="18">
        <f t="shared" si="44"/>
        <v>0</v>
      </c>
      <c r="AT33" s="1035">
        <f t="shared" si="11"/>
        <v>0</v>
      </c>
      <c r="AU33" s="18">
        <f t="shared" si="12"/>
        <v>0</v>
      </c>
      <c r="AV33" s="18">
        <f t="shared" si="13"/>
        <v>0</v>
      </c>
      <c r="AW33" s="18">
        <f t="shared" si="14"/>
        <v>0</v>
      </c>
      <c r="AX33" s="18">
        <f t="shared" si="15"/>
        <v>0</v>
      </c>
      <c r="AY33" s="18">
        <f t="shared" si="16"/>
        <v>0</v>
      </c>
      <c r="AZ33" s="18">
        <f t="shared" si="17"/>
        <v>0</v>
      </c>
      <c r="BA33" s="18">
        <f t="shared" si="18"/>
        <v>0</v>
      </c>
      <c r="BB33" s="18">
        <f t="shared" si="19"/>
        <v>0</v>
      </c>
      <c r="BC33" s="1013">
        <f t="shared" si="20"/>
        <v>0</v>
      </c>
      <c r="BD33" s="18">
        <f t="shared" si="21"/>
        <v>0</v>
      </c>
      <c r="BE33" s="575">
        <f t="shared" si="22"/>
        <v>0</v>
      </c>
      <c r="BF33" s="18">
        <f t="shared" si="23"/>
        <v>0</v>
      </c>
      <c r="BG33" s="18">
        <f t="shared" si="24"/>
        <v>0</v>
      </c>
      <c r="BH33" s="18">
        <f t="shared" si="25"/>
        <v>0</v>
      </c>
      <c r="BI33" s="481"/>
      <c r="BJ33" s="2070">
        <f>(AT33*Pricing!F$3+AU33*Pricing!G$3+AV33*Pricing!H$3+AW33*Pricing!I$3+AX33*Pricing!J$3+AY33*Pricing!K$3+AZ33*Pricing!L$3+BA33*Pricing!M$3+BB33*Pricing!M$3+BC33*Pricing!O$3)*IF(T$64="N",(1+V$64),1)</f>
        <v>0</v>
      </c>
      <c r="BK33" s="1864">
        <f t="shared" si="26"/>
        <v>0</v>
      </c>
      <c r="BL33" s="1864">
        <f t="shared" si="27"/>
        <v>0</v>
      </c>
      <c r="BM33" s="1864">
        <f t="shared" si="28"/>
        <v>0</v>
      </c>
      <c r="BN33" s="2071">
        <f t="shared" si="29"/>
        <v>0</v>
      </c>
      <c r="BO33" s="1864">
        <f t="shared" si="30"/>
        <v>0</v>
      </c>
      <c r="BP33" s="1864">
        <f t="shared" si="31"/>
        <v>0</v>
      </c>
      <c r="BQ33" s="1864">
        <f t="shared" si="32"/>
        <v>0</v>
      </c>
      <c r="BR33" s="1864" t="str">
        <f t="shared" si="33"/>
        <v/>
      </c>
      <c r="BS33" s="1864">
        <f t="shared" si="34"/>
        <v>0</v>
      </c>
      <c r="BT33" s="2072" t="str">
        <f t="shared" si="35"/>
        <v/>
      </c>
      <c r="BU33" s="1864">
        <f t="shared" si="36"/>
        <v>0</v>
      </c>
      <c r="BV33" s="1864">
        <f t="shared" si="37"/>
        <v>0</v>
      </c>
      <c r="BW33" s="1864">
        <f t="shared" si="38"/>
        <v>0</v>
      </c>
      <c r="BX33" s="1864">
        <f t="shared" si="39"/>
        <v>0</v>
      </c>
      <c r="BY33" s="1864">
        <f t="shared" si="40"/>
        <v>0</v>
      </c>
      <c r="BZ33" s="1864">
        <f t="shared" si="41"/>
        <v>0</v>
      </c>
      <c r="CA33" s="1864"/>
      <c r="CB33" s="1864">
        <f t="shared" si="42"/>
        <v>0</v>
      </c>
      <c r="CC33" s="2073">
        <f t="shared" si="43"/>
        <v>0</v>
      </c>
    </row>
    <row r="34" spans="1:81" ht="19.5" customHeight="1">
      <c r="A34" s="2097"/>
      <c r="B34" s="2098"/>
      <c r="C34" s="2102"/>
      <c r="D34" s="1344"/>
      <c r="E34" s="1207"/>
      <c r="F34" s="1347"/>
      <c r="G34" s="1389"/>
      <c r="H34" s="2084"/>
      <c r="I34" s="1347"/>
      <c r="J34" s="1348"/>
      <c r="K34" s="1347"/>
      <c r="L34" s="1348"/>
      <c r="M34" s="2085"/>
      <c r="N34" s="1347"/>
      <c r="O34" s="1348"/>
      <c r="P34" s="1347"/>
      <c r="Q34" s="2086"/>
      <c r="R34" s="2087"/>
      <c r="S34" s="2088"/>
      <c r="T34" s="1351">
        <f>SUM(AO34:AP35)</f>
        <v>0</v>
      </c>
      <c r="U34" s="1352">
        <f>((((C34*E34/324)+(C35*E35/324))*(1+J$73))+AK34+AK35)</f>
        <v>0</v>
      </c>
      <c r="V34" s="2081">
        <f>IF(C34=0,0,W34/(C34+C35))</f>
        <v>0</v>
      </c>
      <c r="W34" s="2779">
        <f>(IF(SUM(BJ34:CC35)=0,0,SUM(BJ34:CC35)-BZ34-BZ35))*(1+L$65)</f>
        <v>0</v>
      </c>
      <c r="X34" s="2779"/>
      <c r="Y34" s="1254"/>
      <c r="AH34" s="1035">
        <f t="shared" si="0"/>
        <v>0</v>
      </c>
      <c r="AI34" s="18">
        <f t="shared" si="1"/>
        <v>0</v>
      </c>
      <c r="AJ34" s="18">
        <f t="shared" si="2"/>
        <v>0</v>
      </c>
      <c r="AK34" s="1013">
        <f t="shared" si="3"/>
        <v>0</v>
      </c>
      <c r="AL34" s="18">
        <f t="shared" si="4"/>
        <v>0</v>
      </c>
      <c r="AM34" s="18">
        <f t="shared" si="5"/>
        <v>0</v>
      </c>
      <c r="AN34" s="18">
        <f t="shared" si="6"/>
        <v>0</v>
      </c>
      <c r="AO34" s="1035">
        <f t="shared" si="7"/>
        <v>0</v>
      </c>
      <c r="AP34" s="1975">
        <f t="shared" si="8"/>
        <v>0</v>
      </c>
      <c r="AQ34" s="1035">
        <f t="shared" si="9"/>
        <v>0</v>
      </c>
      <c r="AS34" s="18">
        <f t="shared" si="44"/>
        <v>0</v>
      </c>
      <c r="AT34" s="1035">
        <f t="shared" si="11"/>
        <v>0</v>
      </c>
      <c r="AU34" s="18">
        <f t="shared" si="12"/>
        <v>0</v>
      </c>
      <c r="AV34" s="18">
        <f t="shared" si="13"/>
        <v>0</v>
      </c>
      <c r="AW34" s="18">
        <f t="shared" si="14"/>
        <v>0</v>
      </c>
      <c r="AX34" s="18">
        <f t="shared" si="15"/>
        <v>0</v>
      </c>
      <c r="AY34" s="18">
        <f t="shared" si="16"/>
        <v>0</v>
      </c>
      <c r="AZ34" s="18">
        <f t="shared" si="17"/>
        <v>0</v>
      </c>
      <c r="BA34" s="18">
        <f t="shared" si="18"/>
        <v>0</v>
      </c>
      <c r="BB34" s="18">
        <f t="shared" si="19"/>
        <v>0</v>
      </c>
      <c r="BC34" s="1013">
        <f t="shared" si="20"/>
        <v>0</v>
      </c>
      <c r="BD34" s="18">
        <f t="shared" si="21"/>
        <v>0</v>
      </c>
      <c r="BE34" s="575">
        <f t="shared" si="22"/>
        <v>0</v>
      </c>
      <c r="BF34" s="18">
        <f t="shared" si="23"/>
        <v>0</v>
      </c>
      <c r="BG34" s="18">
        <f t="shared" si="24"/>
        <v>0</v>
      </c>
      <c r="BH34" s="18">
        <f t="shared" si="25"/>
        <v>0</v>
      </c>
      <c r="BI34" s="481">
        <f>SUM(BJ34:CC35)</f>
        <v>0</v>
      </c>
      <c r="BJ34" s="2070">
        <f>(AT34*Pricing!F$3+AU34*Pricing!G$3+AV34*Pricing!H$3+AW34*Pricing!I$3+AX34*Pricing!J$3+AY34*Pricing!K$3+AZ34*Pricing!L$3+BA34*Pricing!M$3+BB34*Pricing!M$3+BC34*Pricing!O$3)*IF(T$64="N",(1+V$64),1)</f>
        <v>0</v>
      </c>
      <c r="BK34" s="1864">
        <f t="shared" si="26"/>
        <v>0</v>
      </c>
      <c r="BL34" s="1864">
        <f t="shared" si="27"/>
        <v>0</v>
      </c>
      <c r="BM34" s="1864">
        <f t="shared" si="28"/>
        <v>0</v>
      </c>
      <c r="BN34" s="2071">
        <f t="shared" si="29"/>
        <v>0</v>
      </c>
      <c r="BO34" s="1864">
        <f t="shared" si="30"/>
        <v>0</v>
      </c>
      <c r="BP34" s="1864">
        <f t="shared" si="31"/>
        <v>0</v>
      </c>
      <c r="BQ34" s="1864">
        <f t="shared" si="32"/>
        <v>0</v>
      </c>
      <c r="BR34" s="1864" t="str">
        <f t="shared" si="33"/>
        <v/>
      </c>
      <c r="BS34" s="1864">
        <f t="shared" si="34"/>
        <v>0</v>
      </c>
      <c r="BT34" s="2072" t="str">
        <f t="shared" si="35"/>
        <v/>
      </c>
      <c r="BU34" s="1864">
        <f t="shared" si="36"/>
        <v>0</v>
      </c>
      <c r="BV34" s="1864">
        <f t="shared" si="37"/>
        <v>0</v>
      </c>
      <c r="BW34" s="1864">
        <f t="shared" si="38"/>
        <v>0</v>
      </c>
      <c r="BX34" s="1864">
        <f t="shared" si="39"/>
        <v>0</v>
      </c>
      <c r="BY34" s="1864">
        <f t="shared" si="40"/>
        <v>0</v>
      </c>
      <c r="BZ34" s="1864">
        <f t="shared" si="41"/>
        <v>0</v>
      </c>
      <c r="CA34" s="1864"/>
      <c r="CB34" s="1864">
        <f t="shared" si="42"/>
        <v>0</v>
      </c>
      <c r="CC34" s="2073">
        <f t="shared" si="43"/>
        <v>0</v>
      </c>
    </row>
    <row r="35" spans="1:81" ht="19.5" customHeight="1">
      <c r="A35" s="2074"/>
      <c r="B35" s="2100"/>
      <c r="C35" s="2101"/>
      <c r="D35" s="1388"/>
      <c r="E35" s="1206"/>
      <c r="F35" s="1395"/>
      <c r="G35" s="1345"/>
      <c r="H35" s="2091"/>
      <c r="I35" s="1395"/>
      <c r="J35" s="1392"/>
      <c r="K35" s="1395"/>
      <c r="L35" s="1392"/>
      <c r="M35" s="2076"/>
      <c r="N35" s="1395"/>
      <c r="O35" s="1392"/>
      <c r="P35" s="1395"/>
      <c r="Q35" s="1417"/>
      <c r="R35" s="2092"/>
      <c r="S35" s="2105"/>
      <c r="T35" s="2079"/>
      <c r="U35" s="2080"/>
      <c r="V35" s="2094"/>
      <c r="W35" s="2779"/>
      <c r="X35" s="2779"/>
      <c r="Y35" s="1254"/>
      <c r="AH35" s="1035">
        <f t="shared" si="0"/>
        <v>0</v>
      </c>
      <c r="AI35" s="18">
        <f t="shared" si="1"/>
        <v>0</v>
      </c>
      <c r="AJ35" s="18">
        <f t="shared" si="2"/>
        <v>0</v>
      </c>
      <c r="AK35" s="1013">
        <f t="shared" si="3"/>
        <v>0</v>
      </c>
      <c r="AL35" s="18">
        <f t="shared" si="4"/>
        <v>0</v>
      </c>
      <c r="AM35" s="18">
        <f t="shared" si="5"/>
        <v>0</v>
      </c>
      <c r="AN35" s="18">
        <f t="shared" si="6"/>
        <v>0</v>
      </c>
      <c r="AO35" s="1035">
        <f t="shared" si="7"/>
        <v>0</v>
      </c>
      <c r="AP35" s="1975">
        <f t="shared" si="8"/>
        <v>0</v>
      </c>
      <c r="AQ35" s="1035">
        <f t="shared" si="9"/>
        <v>0</v>
      </c>
      <c r="AS35" s="18">
        <f t="shared" si="44"/>
        <v>0</v>
      </c>
      <c r="AT35" s="1035">
        <f t="shared" si="11"/>
        <v>0</v>
      </c>
      <c r="AU35" s="18">
        <f t="shared" si="12"/>
        <v>0</v>
      </c>
      <c r="AV35" s="18">
        <f t="shared" si="13"/>
        <v>0</v>
      </c>
      <c r="AW35" s="18">
        <f t="shared" si="14"/>
        <v>0</v>
      </c>
      <c r="AX35" s="18">
        <f t="shared" si="15"/>
        <v>0</v>
      </c>
      <c r="AY35" s="18">
        <f t="shared" si="16"/>
        <v>0</v>
      </c>
      <c r="AZ35" s="18">
        <f t="shared" si="17"/>
        <v>0</v>
      </c>
      <c r="BA35" s="18">
        <f t="shared" si="18"/>
        <v>0</v>
      </c>
      <c r="BB35" s="18">
        <f t="shared" si="19"/>
        <v>0</v>
      </c>
      <c r="BC35" s="1013">
        <f t="shared" si="20"/>
        <v>0</v>
      </c>
      <c r="BD35" s="18">
        <f t="shared" si="21"/>
        <v>0</v>
      </c>
      <c r="BE35" s="575">
        <f t="shared" si="22"/>
        <v>0</v>
      </c>
      <c r="BF35" s="18">
        <f t="shared" si="23"/>
        <v>0</v>
      </c>
      <c r="BG35" s="18">
        <f t="shared" si="24"/>
        <v>0</v>
      </c>
      <c r="BH35" s="18">
        <f t="shared" si="25"/>
        <v>0</v>
      </c>
      <c r="BI35" s="481"/>
      <c r="BJ35" s="2070">
        <f>(AT35*Pricing!F$3+AU35*Pricing!G$3+AV35*Pricing!H$3+AW35*Pricing!I$3+AX35*Pricing!J$3+AY35*Pricing!K$3+AZ35*Pricing!L$3+BA35*Pricing!M$3+BB35*Pricing!M$3+BC35*Pricing!O$3)*IF(T$64="N",(1+V$64),1)</f>
        <v>0</v>
      </c>
      <c r="BK35" s="1864">
        <f t="shared" si="26"/>
        <v>0</v>
      </c>
      <c r="BL35" s="1864">
        <f t="shared" si="27"/>
        <v>0</v>
      </c>
      <c r="BM35" s="1864">
        <f t="shared" si="28"/>
        <v>0</v>
      </c>
      <c r="BN35" s="2071">
        <f t="shared" si="29"/>
        <v>0</v>
      </c>
      <c r="BO35" s="1864">
        <f t="shared" si="30"/>
        <v>0</v>
      </c>
      <c r="BP35" s="1864">
        <f t="shared" si="31"/>
        <v>0</v>
      </c>
      <c r="BQ35" s="1864">
        <f t="shared" si="32"/>
        <v>0</v>
      </c>
      <c r="BR35" s="1864" t="str">
        <f t="shared" si="33"/>
        <v/>
      </c>
      <c r="BS35" s="1864">
        <f t="shared" si="34"/>
        <v>0</v>
      </c>
      <c r="BT35" s="2072" t="str">
        <f t="shared" si="35"/>
        <v/>
      </c>
      <c r="BU35" s="1864">
        <f t="shared" si="36"/>
        <v>0</v>
      </c>
      <c r="BV35" s="1864">
        <f t="shared" si="37"/>
        <v>0</v>
      </c>
      <c r="BW35" s="1864">
        <f t="shared" si="38"/>
        <v>0</v>
      </c>
      <c r="BX35" s="1864">
        <f t="shared" si="39"/>
        <v>0</v>
      </c>
      <c r="BY35" s="1864">
        <f t="shared" si="40"/>
        <v>0</v>
      </c>
      <c r="BZ35" s="1864">
        <f t="shared" si="41"/>
        <v>0</v>
      </c>
      <c r="CA35" s="1864"/>
      <c r="CB35" s="1864">
        <f t="shared" si="42"/>
        <v>0</v>
      </c>
      <c r="CC35" s="2073">
        <f t="shared" si="43"/>
        <v>0</v>
      </c>
    </row>
    <row r="36" spans="1:81" ht="19.5" customHeight="1">
      <c r="A36" s="2097"/>
      <c r="B36" s="2098"/>
      <c r="C36" s="2102"/>
      <c r="D36" s="1344"/>
      <c r="E36" s="1207"/>
      <c r="F36" s="1347"/>
      <c r="G36" s="1389"/>
      <c r="H36" s="2084"/>
      <c r="I36" s="1347"/>
      <c r="J36" s="1348"/>
      <c r="K36" s="1347"/>
      <c r="L36" s="1348"/>
      <c r="M36" s="2085"/>
      <c r="N36" s="1347"/>
      <c r="O36" s="1348"/>
      <c r="P36" s="1347"/>
      <c r="Q36" s="2086"/>
      <c r="R36" s="1976"/>
      <c r="S36" s="2088"/>
      <c r="T36" s="1351">
        <f>SUM(AO36:AP37)</f>
        <v>0</v>
      </c>
      <c r="U36" s="1352">
        <f>((((C36*E36/324)+(C37*E37/324))*(1+J$73))+AK36+AK37)</f>
        <v>0</v>
      </c>
      <c r="V36" s="2081">
        <f>IF(C36=0,0,W36/(C36+C37))</f>
        <v>0</v>
      </c>
      <c r="W36" s="2779">
        <f>(IF(SUM(BJ36:CC37)=0,0,SUM(BJ36:CC37)-BZ36-BZ37))*(1+L$65)</f>
        <v>0</v>
      </c>
      <c r="X36" s="2779"/>
      <c r="Y36" s="1254"/>
      <c r="AH36" s="1035">
        <f t="shared" si="0"/>
        <v>0</v>
      </c>
      <c r="AI36" s="18">
        <f t="shared" si="1"/>
        <v>0</v>
      </c>
      <c r="AJ36" s="18">
        <f t="shared" si="2"/>
        <v>0</v>
      </c>
      <c r="AK36" s="1013">
        <f t="shared" si="3"/>
        <v>0</v>
      </c>
      <c r="AL36" s="18">
        <f t="shared" si="4"/>
        <v>0</v>
      </c>
      <c r="AM36" s="18">
        <f t="shared" si="5"/>
        <v>0</v>
      </c>
      <c r="AN36" s="18">
        <f t="shared" si="6"/>
        <v>0</v>
      </c>
      <c r="AO36" s="1035">
        <f t="shared" si="7"/>
        <v>0</v>
      </c>
      <c r="AP36" s="1975">
        <f t="shared" si="8"/>
        <v>0</v>
      </c>
      <c r="AQ36" s="1035">
        <f t="shared" si="9"/>
        <v>0</v>
      </c>
      <c r="AS36" s="18">
        <f t="shared" si="44"/>
        <v>0</v>
      </c>
      <c r="AT36" s="1035">
        <f t="shared" si="11"/>
        <v>0</v>
      </c>
      <c r="AU36" s="18">
        <f t="shared" si="12"/>
        <v>0</v>
      </c>
      <c r="AV36" s="18">
        <f t="shared" si="13"/>
        <v>0</v>
      </c>
      <c r="AW36" s="18">
        <f t="shared" si="14"/>
        <v>0</v>
      </c>
      <c r="AX36" s="18">
        <f t="shared" si="15"/>
        <v>0</v>
      </c>
      <c r="AY36" s="18">
        <f t="shared" si="16"/>
        <v>0</v>
      </c>
      <c r="AZ36" s="18">
        <f t="shared" si="17"/>
        <v>0</v>
      </c>
      <c r="BA36" s="18">
        <f t="shared" si="18"/>
        <v>0</v>
      </c>
      <c r="BB36" s="18">
        <f t="shared" si="19"/>
        <v>0</v>
      </c>
      <c r="BC36" s="1013">
        <f t="shared" si="20"/>
        <v>0</v>
      </c>
      <c r="BD36" s="18">
        <f t="shared" si="21"/>
        <v>0</v>
      </c>
      <c r="BE36" s="575">
        <f t="shared" si="22"/>
        <v>0</v>
      </c>
      <c r="BF36" s="18">
        <f t="shared" si="23"/>
        <v>0</v>
      </c>
      <c r="BG36" s="18">
        <f t="shared" si="24"/>
        <v>0</v>
      </c>
      <c r="BH36" s="18">
        <f t="shared" si="25"/>
        <v>0</v>
      </c>
      <c r="BI36" s="481">
        <f>SUM(BJ36:CC37)</f>
        <v>0</v>
      </c>
      <c r="BJ36" s="2070">
        <f>(AT36*Pricing!F$3+AU36*Pricing!G$3+AV36*Pricing!H$3+AW36*Pricing!I$3+AX36*Pricing!J$3+AY36*Pricing!K$3+AZ36*Pricing!L$3+BA36*Pricing!M$3+BB36*Pricing!M$3+BC36*Pricing!O$3)*IF(T$64="N",(1+V$64),1)</f>
        <v>0</v>
      </c>
      <c r="BK36" s="1864">
        <f t="shared" si="26"/>
        <v>0</v>
      </c>
      <c r="BL36" s="1864">
        <f t="shared" si="27"/>
        <v>0</v>
      </c>
      <c r="BM36" s="1864">
        <f t="shared" si="28"/>
        <v>0</v>
      </c>
      <c r="BN36" s="2071">
        <f t="shared" si="29"/>
        <v>0</v>
      </c>
      <c r="BO36" s="1864">
        <f t="shared" si="30"/>
        <v>0</v>
      </c>
      <c r="BP36" s="1864">
        <f t="shared" si="31"/>
        <v>0</v>
      </c>
      <c r="BQ36" s="1864">
        <f t="shared" si="32"/>
        <v>0</v>
      </c>
      <c r="BR36" s="1864" t="str">
        <f t="shared" si="33"/>
        <v/>
      </c>
      <c r="BS36" s="1864">
        <f t="shared" si="34"/>
        <v>0</v>
      </c>
      <c r="BT36" s="2072" t="str">
        <f t="shared" si="35"/>
        <v/>
      </c>
      <c r="BU36" s="1864">
        <f t="shared" si="36"/>
        <v>0</v>
      </c>
      <c r="BV36" s="1864">
        <f t="shared" si="37"/>
        <v>0</v>
      </c>
      <c r="BW36" s="1864">
        <f t="shared" si="38"/>
        <v>0</v>
      </c>
      <c r="BX36" s="1864">
        <f t="shared" si="39"/>
        <v>0</v>
      </c>
      <c r="BY36" s="1864">
        <f t="shared" si="40"/>
        <v>0</v>
      </c>
      <c r="BZ36" s="1864">
        <f t="shared" si="41"/>
        <v>0</v>
      </c>
      <c r="CA36" s="1864"/>
      <c r="CB36" s="1864">
        <f t="shared" si="42"/>
        <v>0</v>
      </c>
      <c r="CC36" s="2073">
        <f t="shared" si="43"/>
        <v>0</v>
      </c>
    </row>
    <row r="37" spans="1:81" ht="19.5" customHeight="1">
      <c r="A37" s="2074"/>
      <c r="B37" s="2100"/>
      <c r="C37" s="2101"/>
      <c r="D37" s="1388"/>
      <c r="E37" s="1206"/>
      <c r="F37" s="1395"/>
      <c r="G37" s="1345"/>
      <c r="H37" s="2091"/>
      <c r="I37" s="1395"/>
      <c r="J37" s="1392"/>
      <c r="K37" s="1395"/>
      <c r="L37" s="1392"/>
      <c r="M37" s="2076"/>
      <c r="N37" s="1395"/>
      <c r="O37" s="1392"/>
      <c r="P37" s="1395"/>
      <c r="Q37" s="1417"/>
      <c r="R37" s="1976"/>
      <c r="S37" s="2093"/>
      <c r="T37" s="2079"/>
      <c r="U37" s="2080"/>
      <c r="V37" s="2094"/>
      <c r="W37" s="2779"/>
      <c r="X37" s="2779"/>
      <c r="Y37" s="1254"/>
      <c r="AH37" s="1035">
        <f t="shared" si="0"/>
        <v>0</v>
      </c>
      <c r="AI37" s="18">
        <f t="shared" si="1"/>
        <v>0</v>
      </c>
      <c r="AJ37" s="18">
        <f t="shared" si="2"/>
        <v>0</v>
      </c>
      <c r="AK37" s="1013">
        <f t="shared" si="3"/>
        <v>0</v>
      </c>
      <c r="AL37" s="18">
        <f t="shared" si="4"/>
        <v>0</v>
      </c>
      <c r="AM37" s="18">
        <f t="shared" si="5"/>
        <v>0</v>
      </c>
      <c r="AN37" s="18">
        <f t="shared" si="6"/>
        <v>0</v>
      </c>
      <c r="AO37" s="1035">
        <f t="shared" si="7"/>
        <v>0</v>
      </c>
      <c r="AP37" s="1975">
        <f t="shared" si="8"/>
        <v>0</v>
      </c>
      <c r="AQ37" s="1035">
        <f t="shared" si="9"/>
        <v>0</v>
      </c>
      <c r="AS37" s="18">
        <f t="shared" si="44"/>
        <v>0</v>
      </c>
      <c r="AT37" s="1035">
        <f t="shared" si="11"/>
        <v>0</v>
      </c>
      <c r="AU37" s="18">
        <f t="shared" si="12"/>
        <v>0</v>
      </c>
      <c r="AV37" s="18">
        <f t="shared" si="13"/>
        <v>0</v>
      </c>
      <c r="AW37" s="18">
        <f t="shared" si="14"/>
        <v>0</v>
      </c>
      <c r="AX37" s="18">
        <f t="shared" si="15"/>
        <v>0</v>
      </c>
      <c r="AY37" s="18">
        <f t="shared" si="16"/>
        <v>0</v>
      </c>
      <c r="AZ37" s="18">
        <f t="shared" si="17"/>
        <v>0</v>
      </c>
      <c r="BA37" s="18">
        <f t="shared" si="18"/>
        <v>0</v>
      </c>
      <c r="BB37" s="18">
        <f t="shared" si="19"/>
        <v>0</v>
      </c>
      <c r="BC37" s="1013">
        <f t="shared" si="20"/>
        <v>0</v>
      </c>
      <c r="BD37" s="18">
        <f t="shared" si="21"/>
        <v>0</v>
      </c>
      <c r="BE37" s="575">
        <f t="shared" si="22"/>
        <v>0</v>
      </c>
      <c r="BF37" s="18">
        <f t="shared" si="23"/>
        <v>0</v>
      </c>
      <c r="BG37" s="18">
        <f t="shared" si="24"/>
        <v>0</v>
      </c>
      <c r="BH37" s="18">
        <f t="shared" si="25"/>
        <v>0</v>
      </c>
      <c r="BI37" s="481"/>
      <c r="BJ37" s="2070">
        <f>(AT37*Pricing!F$3+AU37*Pricing!G$3+AV37*Pricing!H$3+AW37*Pricing!I$3+AX37*Pricing!J$3+AY37*Pricing!K$3+AZ37*Pricing!L$3+BA37*Pricing!M$3+BB37*Pricing!M$3+BC37*Pricing!O$3)*IF(T$64="N",(1+V$64),1)</f>
        <v>0</v>
      </c>
      <c r="BK37" s="1864">
        <f t="shared" si="26"/>
        <v>0</v>
      </c>
      <c r="BL37" s="1864">
        <f t="shared" si="27"/>
        <v>0</v>
      </c>
      <c r="BM37" s="1864">
        <f t="shared" si="28"/>
        <v>0</v>
      </c>
      <c r="BN37" s="2071">
        <f t="shared" si="29"/>
        <v>0</v>
      </c>
      <c r="BO37" s="1864">
        <f t="shared" si="30"/>
        <v>0</v>
      </c>
      <c r="BP37" s="1864">
        <f t="shared" si="31"/>
        <v>0</v>
      </c>
      <c r="BQ37" s="1864">
        <f t="shared" si="32"/>
        <v>0</v>
      </c>
      <c r="BR37" s="1864" t="str">
        <f t="shared" si="33"/>
        <v/>
      </c>
      <c r="BS37" s="1864">
        <f t="shared" si="34"/>
        <v>0</v>
      </c>
      <c r="BT37" s="2072" t="str">
        <f t="shared" si="35"/>
        <v/>
      </c>
      <c r="BU37" s="1864">
        <f t="shared" si="36"/>
        <v>0</v>
      </c>
      <c r="BV37" s="1864">
        <f t="shared" si="37"/>
        <v>0</v>
      </c>
      <c r="BW37" s="1864">
        <f t="shared" si="38"/>
        <v>0</v>
      </c>
      <c r="BX37" s="1864">
        <f t="shared" si="39"/>
        <v>0</v>
      </c>
      <c r="BY37" s="1864">
        <f t="shared" si="40"/>
        <v>0</v>
      </c>
      <c r="BZ37" s="1864">
        <f t="shared" si="41"/>
        <v>0</v>
      </c>
      <c r="CA37" s="1864"/>
      <c r="CB37" s="1864">
        <f t="shared" si="42"/>
        <v>0</v>
      </c>
      <c r="CC37" s="2073">
        <f t="shared" si="43"/>
        <v>0</v>
      </c>
    </row>
    <row r="38" spans="1:81" ht="19.5" customHeight="1">
      <c r="A38" s="2097"/>
      <c r="B38" s="2098"/>
      <c r="C38" s="2102"/>
      <c r="D38" s="1344"/>
      <c r="E38" s="1207"/>
      <c r="F38" s="1347"/>
      <c r="G38" s="1389"/>
      <c r="H38" s="2084"/>
      <c r="I38" s="1347"/>
      <c r="J38" s="1348"/>
      <c r="K38" s="1347"/>
      <c r="L38" s="1348"/>
      <c r="M38" s="2085"/>
      <c r="N38" s="1347"/>
      <c r="O38" s="1348"/>
      <c r="P38" s="1347"/>
      <c r="Q38" s="2086"/>
      <c r="R38" s="2087"/>
      <c r="S38" s="2088"/>
      <c r="T38" s="1351">
        <f>SUM(AO38:AP39)</f>
        <v>0</v>
      </c>
      <c r="U38" s="1352">
        <f>((((C38*E38/324)+(C39*E39/324))*(1+J$73))+AK38+AK39)</f>
        <v>0</v>
      </c>
      <c r="V38" s="2081">
        <f>IF(C38=0,0,W38/(C38+C39))</f>
        <v>0</v>
      </c>
      <c r="W38" s="2779">
        <f>(IF(SUM(BJ38:CC39)=0,0,SUM(BJ38:CC39)-BZ38-BZ39))*(1+L$65)</f>
        <v>0</v>
      </c>
      <c r="X38" s="2779"/>
      <c r="Y38" s="1254"/>
      <c r="AH38" s="1035">
        <f t="shared" si="0"/>
        <v>0</v>
      </c>
      <c r="AI38" s="18">
        <f t="shared" si="1"/>
        <v>0</v>
      </c>
      <c r="AJ38" s="18">
        <f t="shared" si="2"/>
        <v>0</v>
      </c>
      <c r="AK38" s="1013">
        <f t="shared" si="3"/>
        <v>0</v>
      </c>
      <c r="AL38" s="18">
        <f t="shared" si="4"/>
        <v>0</v>
      </c>
      <c r="AM38" s="18">
        <f t="shared" si="5"/>
        <v>0</v>
      </c>
      <c r="AN38" s="18">
        <f t="shared" si="6"/>
        <v>0</v>
      </c>
      <c r="AO38" s="1035">
        <f t="shared" si="7"/>
        <v>0</v>
      </c>
      <c r="AP38" s="1975">
        <f t="shared" si="8"/>
        <v>0</v>
      </c>
      <c r="AQ38" s="1035">
        <f t="shared" si="9"/>
        <v>0</v>
      </c>
      <c r="AS38" s="18">
        <f t="shared" si="44"/>
        <v>0</v>
      </c>
      <c r="AT38" s="1035">
        <f t="shared" si="11"/>
        <v>0</v>
      </c>
      <c r="AU38" s="18">
        <f t="shared" si="12"/>
        <v>0</v>
      </c>
      <c r="AV38" s="18">
        <f t="shared" si="13"/>
        <v>0</v>
      </c>
      <c r="AW38" s="18">
        <f t="shared" si="14"/>
        <v>0</v>
      </c>
      <c r="AX38" s="18">
        <f t="shared" si="15"/>
        <v>0</v>
      </c>
      <c r="AY38" s="18">
        <f t="shared" si="16"/>
        <v>0</v>
      </c>
      <c r="AZ38" s="18">
        <f t="shared" si="17"/>
        <v>0</v>
      </c>
      <c r="BA38" s="18">
        <f t="shared" si="18"/>
        <v>0</v>
      </c>
      <c r="BB38" s="18">
        <f t="shared" si="19"/>
        <v>0</v>
      </c>
      <c r="BC38" s="1013">
        <f t="shared" si="20"/>
        <v>0</v>
      </c>
      <c r="BD38" s="18">
        <f t="shared" si="21"/>
        <v>0</v>
      </c>
      <c r="BE38" s="575">
        <f t="shared" si="22"/>
        <v>0</v>
      </c>
      <c r="BF38" s="18">
        <f t="shared" si="23"/>
        <v>0</v>
      </c>
      <c r="BG38" s="18">
        <f t="shared" si="24"/>
        <v>0</v>
      </c>
      <c r="BH38" s="18">
        <f t="shared" si="25"/>
        <v>0</v>
      </c>
      <c r="BI38" s="481">
        <f>SUM(BJ38:CC39)</f>
        <v>0</v>
      </c>
      <c r="BJ38" s="2070">
        <f>(AT38*Pricing!F$3+AU38*Pricing!G$3+AV38*Pricing!H$3+AW38*Pricing!I$3+AX38*Pricing!J$3+AY38*Pricing!K$3+AZ38*Pricing!L$3+BA38*Pricing!M$3+BB38*Pricing!M$3+BC38*Pricing!O$3)*IF(T$64="N",(1+V$64),1)</f>
        <v>0</v>
      </c>
      <c r="BK38" s="1864">
        <f t="shared" si="26"/>
        <v>0</v>
      </c>
      <c r="BL38" s="1864">
        <f t="shared" si="27"/>
        <v>0</v>
      </c>
      <c r="BM38" s="1864">
        <f t="shared" si="28"/>
        <v>0</v>
      </c>
      <c r="BN38" s="2071">
        <f t="shared" si="29"/>
        <v>0</v>
      </c>
      <c r="BO38" s="1864">
        <f t="shared" si="30"/>
        <v>0</v>
      </c>
      <c r="BP38" s="1864">
        <f t="shared" si="31"/>
        <v>0</v>
      </c>
      <c r="BQ38" s="1864">
        <f t="shared" si="32"/>
        <v>0</v>
      </c>
      <c r="BR38" s="1864" t="str">
        <f t="shared" si="33"/>
        <v/>
      </c>
      <c r="BS38" s="1864">
        <f t="shared" si="34"/>
        <v>0</v>
      </c>
      <c r="BT38" s="2072" t="str">
        <f t="shared" si="35"/>
        <v/>
      </c>
      <c r="BU38" s="1864">
        <f t="shared" si="36"/>
        <v>0</v>
      </c>
      <c r="BV38" s="1864">
        <f t="shared" si="37"/>
        <v>0</v>
      </c>
      <c r="BW38" s="1864">
        <f t="shared" si="38"/>
        <v>0</v>
      </c>
      <c r="BX38" s="1864">
        <f t="shared" si="39"/>
        <v>0</v>
      </c>
      <c r="BY38" s="1864">
        <f t="shared" si="40"/>
        <v>0</v>
      </c>
      <c r="BZ38" s="1864">
        <f t="shared" si="41"/>
        <v>0</v>
      </c>
      <c r="CA38" s="1864"/>
      <c r="CB38" s="1864">
        <f t="shared" si="42"/>
        <v>0</v>
      </c>
      <c r="CC38" s="2073">
        <f t="shared" si="43"/>
        <v>0</v>
      </c>
    </row>
    <row r="39" spans="1:81" ht="19.5" customHeight="1">
      <c r="A39" s="2074"/>
      <c r="B39" s="2100"/>
      <c r="C39" s="2101"/>
      <c r="D39" s="1388"/>
      <c r="E39" s="1206"/>
      <c r="F39" s="1395"/>
      <c r="G39" s="1345"/>
      <c r="H39" s="2091"/>
      <c r="I39" s="1395"/>
      <c r="J39" s="1392"/>
      <c r="K39" s="1395"/>
      <c r="L39" s="1392"/>
      <c r="M39" s="2076"/>
      <c r="N39" s="1395"/>
      <c r="O39" s="1392"/>
      <c r="P39" s="1395"/>
      <c r="Q39" s="1417"/>
      <c r="R39" s="2092"/>
      <c r="S39" s="2093"/>
      <c r="T39" s="2079"/>
      <c r="U39" s="2080"/>
      <c r="V39" s="2094"/>
      <c r="W39" s="2779"/>
      <c r="X39" s="2779"/>
      <c r="Y39" s="1254"/>
      <c r="AH39" s="1035">
        <f t="shared" si="0"/>
        <v>0</v>
      </c>
      <c r="AI39" s="18">
        <f t="shared" si="1"/>
        <v>0</v>
      </c>
      <c r="AJ39" s="18">
        <f t="shared" si="2"/>
        <v>0</v>
      </c>
      <c r="AK39" s="1013">
        <f t="shared" si="3"/>
        <v>0</v>
      </c>
      <c r="AL39" s="18">
        <f t="shared" si="4"/>
        <v>0</v>
      </c>
      <c r="AM39" s="18">
        <f t="shared" si="5"/>
        <v>0</v>
      </c>
      <c r="AN39" s="18">
        <f t="shared" si="6"/>
        <v>0</v>
      </c>
      <c r="AO39" s="1035">
        <f t="shared" si="7"/>
        <v>0</v>
      </c>
      <c r="AP39" s="1975">
        <f t="shared" si="8"/>
        <v>0</v>
      </c>
      <c r="AQ39" s="1035">
        <f t="shared" si="9"/>
        <v>0</v>
      </c>
      <c r="AS39" s="18">
        <f t="shared" si="44"/>
        <v>0</v>
      </c>
      <c r="AT39" s="1035">
        <f t="shared" si="11"/>
        <v>0</v>
      </c>
      <c r="AU39" s="18">
        <f t="shared" si="12"/>
        <v>0</v>
      </c>
      <c r="AV39" s="18">
        <f t="shared" si="13"/>
        <v>0</v>
      </c>
      <c r="AW39" s="18">
        <f t="shared" si="14"/>
        <v>0</v>
      </c>
      <c r="AX39" s="18">
        <f t="shared" si="15"/>
        <v>0</v>
      </c>
      <c r="AY39" s="18">
        <f t="shared" si="16"/>
        <v>0</v>
      </c>
      <c r="AZ39" s="18">
        <f t="shared" si="17"/>
        <v>0</v>
      </c>
      <c r="BA39" s="18">
        <f t="shared" si="18"/>
        <v>0</v>
      </c>
      <c r="BB39" s="18">
        <f t="shared" si="19"/>
        <v>0</v>
      </c>
      <c r="BC39" s="1013">
        <f t="shared" si="20"/>
        <v>0</v>
      </c>
      <c r="BD39" s="18">
        <f t="shared" si="21"/>
        <v>0</v>
      </c>
      <c r="BE39" s="575">
        <f t="shared" si="22"/>
        <v>0</v>
      </c>
      <c r="BF39" s="18">
        <f t="shared" si="23"/>
        <v>0</v>
      </c>
      <c r="BG39" s="18">
        <f t="shared" si="24"/>
        <v>0</v>
      </c>
      <c r="BH39" s="18">
        <f t="shared" si="25"/>
        <v>0</v>
      </c>
      <c r="BI39" s="481"/>
      <c r="BJ39" s="2070">
        <f>(AT39*Pricing!F$3+AU39*Pricing!G$3+AV39*Pricing!H$3+AW39*Pricing!I$3+AX39*Pricing!J$3+AY39*Pricing!K$3+AZ39*Pricing!L$3+BA39*Pricing!M$3+BB39*Pricing!M$3+BC39*Pricing!O$3)*IF(T$64="N",(1+V$64),1)</f>
        <v>0</v>
      </c>
      <c r="BK39" s="1864">
        <f t="shared" si="26"/>
        <v>0</v>
      </c>
      <c r="BL39" s="1864">
        <f t="shared" si="27"/>
        <v>0</v>
      </c>
      <c r="BM39" s="1864">
        <f t="shared" si="28"/>
        <v>0</v>
      </c>
      <c r="BN39" s="2071">
        <f t="shared" si="29"/>
        <v>0</v>
      </c>
      <c r="BO39" s="1864">
        <f t="shared" si="30"/>
        <v>0</v>
      </c>
      <c r="BP39" s="1864">
        <f t="shared" si="31"/>
        <v>0</v>
      </c>
      <c r="BQ39" s="1864">
        <f t="shared" si="32"/>
        <v>0</v>
      </c>
      <c r="BR39" s="1864" t="str">
        <f t="shared" si="33"/>
        <v/>
      </c>
      <c r="BS39" s="1864">
        <f t="shared" si="34"/>
        <v>0</v>
      </c>
      <c r="BT39" s="2072" t="str">
        <f t="shared" si="35"/>
        <v/>
      </c>
      <c r="BU39" s="1864">
        <f t="shared" si="36"/>
        <v>0</v>
      </c>
      <c r="BV39" s="1864">
        <f t="shared" si="37"/>
        <v>0</v>
      </c>
      <c r="BW39" s="1864">
        <f t="shared" si="38"/>
        <v>0</v>
      </c>
      <c r="BX39" s="1864">
        <f t="shared" si="39"/>
        <v>0</v>
      </c>
      <c r="BY39" s="1864">
        <f t="shared" si="40"/>
        <v>0</v>
      </c>
      <c r="BZ39" s="1864">
        <f t="shared" si="41"/>
        <v>0</v>
      </c>
      <c r="CA39" s="1864"/>
      <c r="CB39" s="1864">
        <f t="shared" si="42"/>
        <v>0</v>
      </c>
      <c r="CC39" s="2073">
        <f t="shared" si="43"/>
        <v>0</v>
      </c>
    </row>
    <row r="40" spans="1:81" ht="19.5" customHeight="1">
      <c r="A40" s="2097"/>
      <c r="B40" s="2098"/>
      <c r="C40" s="2102"/>
      <c r="D40" s="1344"/>
      <c r="E40" s="1207"/>
      <c r="F40" s="1347"/>
      <c r="G40" s="1389"/>
      <c r="H40" s="2084"/>
      <c r="I40" s="1347"/>
      <c r="J40" s="1348"/>
      <c r="K40" s="1347"/>
      <c r="L40" s="1348"/>
      <c r="M40" s="2085"/>
      <c r="N40" s="1347"/>
      <c r="O40" s="1348"/>
      <c r="P40" s="1347"/>
      <c r="Q40" s="2086"/>
      <c r="R40" s="2087"/>
      <c r="S40" s="2088"/>
      <c r="T40" s="1351">
        <f>SUM(AO40:AP41)</f>
        <v>0</v>
      </c>
      <c r="U40" s="1352">
        <f>((((C40*E40/324)+(C41*E41/324))*(1+J$73))+AK40+AK41)</f>
        <v>0</v>
      </c>
      <c r="V40" s="2081">
        <f>IF(C40=0,0,W40/(C40+C41))</f>
        <v>0</v>
      </c>
      <c r="W40" s="2779">
        <f>(IF(SUM(BJ40:CC41)=0,0,SUM(BJ40:CC41)-BZ40-BZ41))*(1+L$65)</f>
        <v>0</v>
      </c>
      <c r="X40" s="2779"/>
      <c r="Y40" s="1254"/>
      <c r="AH40" s="1035">
        <f t="shared" si="0"/>
        <v>0</v>
      </c>
      <c r="AI40" s="18">
        <f t="shared" si="1"/>
        <v>0</v>
      </c>
      <c r="AJ40" s="18">
        <f t="shared" si="2"/>
        <v>0</v>
      </c>
      <c r="AK40" s="1013">
        <f t="shared" si="3"/>
        <v>0</v>
      </c>
      <c r="AL40" s="18">
        <f t="shared" si="4"/>
        <v>0</v>
      </c>
      <c r="AM40" s="18">
        <f t="shared" si="5"/>
        <v>0</v>
      </c>
      <c r="AN40" s="18">
        <f t="shared" si="6"/>
        <v>0</v>
      </c>
      <c r="AO40" s="1035">
        <f t="shared" si="7"/>
        <v>0</v>
      </c>
      <c r="AP40" s="1975">
        <f t="shared" si="8"/>
        <v>0</v>
      </c>
      <c r="AQ40" s="1035">
        <f t="shared" si="9"/>
        <v>0</v>
      </c>
      <c r="AS40" s="18">
        <f t="shared" si="44"/>
        <v>0</v>
      </c>
      <c r="AT40" s="1035">
        <f t="shared" si="11"/>
        <v>0</v>
      </c>
      <c r="AU40" s="18">
        <f t="shared" si="12"/>
        <v>0</v>
      </c>
      <c r="AV40" s="18">
        <f t="shared" si="13"/>
        <v>0</v>
      </c>
      <c r="AW40" s="18">
        <f t="shared" si="14"/>
        <v>0</v>
      </c>
      <c r="AX40" s="18">
        <f t="shared" si="15"/>
        <v>0</v>
      </c>
      <c r="AY40" s="18">
        <f t="shared" si="16"/>
        <v>0</v>
      </c>
      <c r="AZ40" s="18">
        <f t="shared" si="17"/>
        <v>0</v>
      </c>
      <c r="BA40" s="18">
        <f t="shared" si="18"/>
        <v>0</v>
      </c>
      <c r="BB40" s="18">
        <f t="shared" si="19"/>
        <v>0</v>
      </c>
      <c r="BC40" s="1013">
        <f t="shared" si="20"/>
        <v>0</v>
      </c>
      <c r="BD40" s="18">
        <f t="shared" si="21"/>
        <v>0</v>
      </c>
      <c r="BE40" s="575">
        <f t="shared" si="22"/>
        <v>0</v>
      </c>
      <c r="BF40" s="18">
        <f t="shared" si="23"/>
        <v>0</v>
      </c>
      <c r="BG40" s="18">
        <f t="shared" si="24"/>
        <v>0</v>
      </c>
      <c r="BH40" s="18">
        <f t="shared" si="25"/>
        <v>0</v>
      </c>
      <c r="BI40" s="481">
        <f>SUM(BJ40:CC41)</f>
        <v>0</v>
      </c>
      <c r="BJ40" s="2070">
        <f>(AT40*Pricing!F$3+AU40*Pricing!G$3+AV40*Pricing!H$3+AW40*Pricing!I$3+AX40*Pricing!J$3+AY40*Pricing!K$3+AZ40*Pricing!L$3+BA40*Pricing!M$3+BB40*Pricing!M$3+BC40*Pricing!O$3)*IF(T$64="N",(1+V$64),1)</f>
        <v>0</v>
      </c>
      <c r="BK40" s="1864">
        <f t="shared" si="26"/>
        <v>0</v>
      </c>
      <c r="BL40" s="1864">
        <f t="shared" si="27"/>
        <v>0</v>
      </c>
      <c r="BM40" s="1864">
        <f t="shared" si="28"/>
        <v>0</v>
      </c>
      <c r="BN40" s="2071">
        <f t="shared" si="29"/>
        <v>0</v>
      </c>
      <c r="BO40" s="1864">
        <f t="shared" si="30"/>
        <v>0</v>
      </c>
      <c r="BP40" s="1864">
        <f t="shared" si="31"/>
        <v>0</v>
      </c>
      <c r="BQ40" s="1864">
        <f t="shared" si="32"/>
        <v>0</v>
      </c>
      <c r="BR40" s="1864" t="str">
        <f t="shared" si="33"/>
        <v/>
      </c>
      <c r="BS40" s="1864">
        <f t="shared" si="34"/>
        <v>0</v>
      </c>
      <c r="BT40" s="2072" t="str">
        <f t="shared" si="35"/>
        <v/>
      </c>
      <c r="BU40" s="1864">
        <f t="shared" si="36"/>
        <v>0</v>
      </c>
      <c r="BV40" s="1864">
        <f t="shared" si="37"/>
        <v>0</v>
      </c>
      <c r="BW40" s="1864">
        <f t="shared" si="38"/>
        <v>0</v>
      </c>
      <c r="BX40" s="1864">
        <f t="shared" si="39"/>
        <v>0</v>
      </c>
      <c r="BY40" s="1864">
        <f t="shared" si="40"/>
        <v>0</v>
      </c>
      <c r="BZ40" s="1864">
        <f t="shared" si="41"/>
        <v>0</v>
      </c>
      <c r="CA40" s="1864"/>
      <c r="CB40" s="1864">
        <f t="shared" si="42"/>
        <v>0</v>
      </c>
      <c r="CC40" s="2073">
        <f t="shared" si="43"/>
        <v>0</v>
      </c>
    </row>
    <row r="41" spans="1:81" ht="19.5" customHeight="1">
      <c r="A41" s="2074"/>
      <c r="B41" s="2100"/>
      <c r="C41" s="2101"/>
      <c r="D41" s="1388"/>
      <c r="E41" s="1206"/>
      <c r="F41" s="1395"/>
      <c r="G41" s="1345"/>
      <c r="H41" s="2091"/>
      <c r="I41" s="1395"/>
      <c r="J41" s="1392"/>
      <c r="K41" s="1395"/>
      <c r="L41" s="1392"/>
      <c r="M41" s="2076"/>
      <c r="N41" s="1395"/>
      <c r="O41" s="1392"/>
      <c r="P41" s="1395"/>
      <c r="Q41" s="1417"/>
      <c r="R41" s="2092"/>
      <c r="S41" s="2093"/>
      <c r="T41" s="2079"/>
      <c r="U41" s="2080"/>
      <c r="V41" s="2094"/>
      <c r="W41" s="2779"/>
      <c r="X41" s="2779"/>
      <c r="Y41" s="1254"/>
      <c r="AH41" s="1035">
        <f t="shared" si="0"/>
        <v>0</v>
      </c>
      <c r="AI41" s="18">
        <f t="shared" si="1"/>
        <v>0</v>
      </c>
      <c r="AJ41" s="18">
        <f t="shared" si="2"/>
        <v>0</v>
      </c>
      <c r="AK41" s="1013">
        <f t="shared" si="3"/>
        <v>0</v>
      </c>
      <c r="AL41" s="18">
        <f t="shared" si="4"/>
        <v>0</v>
      </c>
      <c r="AM41" s="18">
        <f t="shared" si="5"/>
        <v>0</v>
      </c>
      <c r="AN41" s="18">
        <f t="shared" si="6"/>
        <v>0</v>
      </c>
      <c r="AO41" s="1035">
        <f t="shared" si="7"/>
        <v>0</v>
      </c>
      <c r="AP41" s="1975">
        <f t="shared" si="8"/>
        <v>0</v>
      </c>
      <c r="AQ41" s="1035">
        <f t="shared" si="9"/>
        <v>0</v>
      </c>
      <c r="AS41" s="18">
        <f t="shared" si="44"/>
        <v>0</v>
      </c>
      <c r="AT41" s="1035">
        <f t="shared" si="11"/>
        <v>0</v>
      </c>
      <c r="AU41" s="18">
        <f t="shared" si="12"/>
        <v>0</v>
      </c>
      <c r="AV41" s="18">
        <f t="shared" si="13"/>
        <v>0</v>
      </c>
      <c r="AW41" s="18">
        <f t="shared" si="14"/>
        <v>0</v>
      </c>
      <c r="AX41" s="18">
        <f t="shared" si="15"/>
        <v>0</v>
      </c>
      <c r="AY41" s="18">
        <f t="shared" si="16"/>
        <v>0</v>
      </c>
      <c r="AZ41" s="18">
        <f t="shared" si="17"/>
        <v>0</v>
      </c>
      <c r="BA41" s="18">
        <f t="shared" si="18"/>
        <v>0</v>
      </c>
      <c r="BB41" s="18">
        <f t="shared" si="19"/>
        <v>0</v>
      </c>
      <c r="BC41" s="1013">
        <f t="shared" si="20"/>
        <v>0</v>
      </c>
      <c r="BD41" s="18">
        <f t="shared" si="21"/>
        <v>0</v>
      </c>
      <c r="BE41" s="575">
        <f t="shared" si="22"/>
        <v>0</v>
      </c>
      <c r="BF41" s="18">
        <f t="shared" si="23"/>
        <v>0</v>
      </c>
      <c r="BG41" s="18">
        <f t="shared" si="24"/>
        <v>0</v>
      </c>
      <c r="BH41" s="18">
        <f t="shared" si="25"/>
        <v>0</v>
      </c>
      <c r="BI41" s="481"/>
      <c r="BJ41" s="2070">
        <f>(AT41*Pricing!F$3+AU41*Pricing!G$3+AV41*Pricing!H$3+AW41*Pricing!I$3+AX41*Pricing!J$3+AY41*Pricing!K$3+AZ41*Pricing!L$3+BA41*Pricing!M$3+BB41*Pricing!M$3+BC41*Pricing!O$3)*IF(T$64="N",(1+V$64),1)</f>
        <v>0</v>
      </c>
      <c r="BK41" s="1864">
        <f t="shared" si="26"/>
        <v>0</v>
      </c>
      <c r="BL41" s="1864">
        <f t="shared" si="27"/>
        <v>0</v>
      </c>
      <c r="BM41" s="1864">
        <f t="shared" si="28"/>
        <v>0</v>
      </c>
      <c r="BN41" s="2071">
        <f t="shared" si="29"/>
        <v>0</v>
      </c>
      <c r="BO41" s="1864">
        <f t="shared" si="30"/>
        <v>0</v>
      </c>
      <c r="BP41" s="1864">
        <f t="shared" si="31"/>
        <v>0</v>
      </c>
      <c r="BQ41" s="1864">
        <f t="shared" si="32"/>
        <v>0</v>
      </c>
      <c r="BR41" s="1864" t="str">
        <f t="shared" si="33"/>
        <v/>
      </c>
      <c r="BS41" s="1864">
        <f t="shared" si="34"/>
        <v>0</v>
      </c>
      <c r="BT41" s="2072" t="str">
        <f t="shared" si="35"/>
        <v/>
      </c>
      <c r="BU41" s="1864">
        <f t="shared" si="36"/>
        <v>0</v>
      </c>
      <c r="BV41" s="1864">
        <f t="shared" si="37"/>
        <v>0</v>
      </c>
      <c r="BW41" s="1864">
        <f t="shared" si="38"/>
        <v>0</v>
      </c>
      <c r="BX41" s="1864">
        <f t="shared" si="39"/>
        <v>0</v>
      </c>
      <c r="BY41" s="1864">
        <f t="shared" si="40"/>
        <v>0</v>
      </c>
      <c r="BZ41" s="1864">
        <f t="shared" si="41"/>
        <v>0</v>
      </c>
      <c r="CA41" s="1864"/>
      <c r="CB41" s="1864">
        <f t="shared" si="42"/>
        <v>0</v>
      </c>
      <c r="CC41" s="2073">
        <f t="shared" si="43"/>
        <v>0</v>
      </c>
    </row>
    <row r="42" spans="1:81" ht="19.5" customHeight="1">
      <c r="A42" s="2097"/>
      <c r="B42" s="2098"/>
      <c r="C42" s="2102"/>
      <c r="D42" s="1344"/>
      <c r="E42" s="1207"/>
      <c r="F42" s="1347"/>
      <c r="G42" s="1389"/>
      <c r="H42" s="2084"/>
      <c r="I42" s="1347"/>
      <c r="J42" s="1348"/>
      <c r="K42" s="1347"/>
      <c r="L42" s="1348"/>
      <c r="M42" s="2085"/>
      <c r="N42" s="1347"/>
      <c r="O42" s="1348"/>
      <c r="P42" s="1347"/>
      <c r="Q42" s="2086"/>
      <c r="R42" s="2087"/>
      <c r="S42" s="2088"/>
      <c r="T42" s="1351">
        <f>SUM(AO42:AP43)</f>
        <v>0</v>
      </c>
      <c r="U42" s="1352">
        <f>((((C42*E42/324)+(C43*E43/324))*(1+J$73))+AK42+AK43)</f>
        <v>0</v>
      </c>
      <c r="V42" s="2081">
        <f>IF(C42=0,0,W42/(C42+C43))</f>
        <v>0</v>
      </c>
      <c r="W42" s="2779">
        <f>(IF(SUM(BJ42:CC43)=0,0,SUM(BJ42:CC43)-BZ42-BZ43))*(1+L$65)</f>
        <v>0</v>
      </c>
      <c r="X42" s="2779"/>
      <c r="Y42" s="1254"/>
      <c r="AH42" s="1035">
        <f t="shared" si="0"/>
        <v>0</v>
      </c>
      <c r="AI42" s="18">
        <f t="shared" si="1"/>
        <v>0</v>
      </c>
      <c r="AJ42" s="18">
        <f t="shared" si="2"/>
        <v>0</v>
      </c>
      <c r="AK42" s="1013">
        <f t="shared" si="3"/>
        <v>0</v>
      </c>
      <c r="AL42" s="18">
        <f t="shared" si="4"/>
        <v>0</v>
      </c>
      <c r="AM42" s="18">
        <f t="shared" si="5"/>
        <v>0</v>
      </c>
      <c r="AN42" s="18">
        <f t="shared" si="6"/>
        <v>0</v>
      </c>
      <c r="AO42" s="1035">
        <f t="shared" si="7"/>
        <v>0</v>
      </c>
      <c r="AP42" s="1975">
        <f t="shared" si="8"/>
        <v>0</v>
      </c>
      <c r="AQ42" s="1035">
        <f t="shared" si="9"/>
        <v>0</v>
      </c>
      <c r="AS42" s="18">
        <f t="shared" si="44"/>
        <v>0</v>
      </c>
      <c r="AT42" s="1035">
        <f t="shared" si="11"/>
        <v>0</v>
      </c>
      <c r="AU42" s="18">
        <f t="shared" si="12"/>
        <v>0</v>
      </c>
      <c r="AV42" s="18">
        <f t="shared" si="13"/>
        <v>0</v>
      </c>
      <c r="AW42" s="18">
        <f t="shared" si="14"/>
        <v>0</v>
      </c>
      <c r="AX42" s="18">
        <f t="shared" si="15"/>
        <v>0</v>
      </c>
      <c r="AY42" s="18">
        <f t="shared" si="16"/>
        <v>0</v>
      </c>
      <c r="AZ42" s="18">
        <f t="shared" si="17"/>
        <v>0</v>
      </c>
      <c r="BA42" s="18">
        <f t="shared" si="18"/>
        <v>0</v>
      </c>
      <c r="BB42" s="18">
        <f t="shared" si="19"/>
        <v>0</v>
      </c>
      <c r="BC42" s="1013">
        <f t="shared" si="20"/>
        <v>0</v>
      </c>
      <c r="BD42" s="18">
        <f t="shared" si="21"/>
        <v>0</v>
      </c>
      <c r="BE42" s="575">
        <f t="shared" si="22"/>
        <v>0</v>
      </c>
      <c r="BF42" s="18">
        <f t="shared" si="23"/>
        <v>0</v>
      </c>
      <c r="BG42" s="18">
        <f t="shared" si="24"/>
        <v>0</v>
      </c>
      <c r="BH42" s="18">
        <f t="shared" si="25"/>
        <v>0</v>
      </c>
      <c r="BI42" s="481">
        <f>SUM(BJ42:CC43)</f>
        <v>0</v>
      </c>
      <c r="BJ42" s="2070">
        <f>(AT42*Pricing!F$3+AU42*Pricing!G$3+AV42*Pricing!H$3+AW42*Pricing!I$3+AX42*Pricing!J$3+AY42*Pricing!K$3+AZ42*Pricing!L$3+BA42*Pricing!M$3+BB42*Pricing!M$3+BC42*Pricing!O$3)*IF(T$64="N",(1+V$64),1)</f>
        <v>0</v>
      </c>
      <c r="BK42" s="1864">
        <f t="shared" si="26"/>
        <v>0</v>
      </c>
      <c r="BL42" s="1864">
        <f t="shared" si="27"/>
        <v>0</v>
      </c>
      <c r="BM42" s="1864">
        <f t="shared" si="28"/>
        <v>0</v>
      </c>
      <c r="BN42" s="2071">
        <f t="shared" si="29"/>
        <v>0</v>
      </c>
      <c r="BO42" s="1864">
        <f t="shared" si="30"/>
        <v>0</v>
      </c>
      <c r="BP42" s="1864">
        <f t="shared" si="31"/>
        <v>0</v>
      </c>
      <c r="BQ42" s="1864">
        <f t="shared" si="32"/>
        <v>0</v>
      </c>
      <c r="BR42" s="1864" t="str">
        <f t="shared" si="33"/>
        <v/>
      </c>
      <c r="BS42" s="1864">
        <f t="shared" si="34"/>
        <v>0</v>
      </c>
      <c r="BT42" s="2072" t="str">
        <f t="shared" si="35"/>
        <v/>
      </c>
      <c r="BU42" s="1864">
        <f t="shared" si="36"/>
        <v>0</v>
      </c>
      <c r="BV42" s="1864">
        <f t="shared" si="37"/>
        <v>0</v>
      </c>
      <c r="BW42" s="1864">
        <f t="shared" si="38"/>
        <v>0</v>
      </c>
      <c r="BX42" s="1864">
        <f t="shared" si="39"/>
        <v>0</v>
      </c>
      <c r="BY42" s="1864">
        <f t="shared" si="40"/>
        <v>0</v>
      </c>
      <c r="BZ42" s="1864">
        <f t="shared" si="41"/>
        <v>0</v>
      </c>
      <c r="CA42" s="1864"/>
      <c r="CB42" s="1864">
        <f t="shared" si="42"/>
        <v>0</v>
      </c>
      <c r="CC42" s="2073">
        <f t="shared" si="43"/>
        <v>0</v>
      </c>
    </row>
    <row r="43" spans="1:81" ht="19.5" customHeight="1">
      <c r="A43" s="2074"/>
      <c r="B43" s="2100"/>
      <c r="C43" s="2101"/>
      <c r="D43" s="1388"/>
      <c r="E43" s="1206"/>
      <c r="F43" s="1395"/>
      <c r="G43" s="1345"/>
      <c r="H43" s="2091"/>
      <c r="I43" s="1395"/>
      <c r="J43" s="1392"/>
      <c r="K43" s="1395"/>
      <c r="L43" s="1392"/>
      <c r="M43" s="2076"/>
      <c r="N43" s="1395"/>
      <c r="O43" s="1392"/>
      <c r="P43" s="1395"/>
      <c r="Q43" s="1417"/>
      <c r="R43" s="2092"/>
      <c r="S43" s="2093"/>
      <c r="T43" s="2079"/>
      <c r="U43" s="2080"/>
      <c r="V43" s="2094"/>
      <c r="W43" s="2779"/>
      <c r="X43" s="2779"/>
      <c r="Y43" s="1254"/>
      <c r="AH43" s="1035">
        <f t="shared" si="0"/>
        <v>0</v>
      </c>
      <c r="AI43" s="18">
        <f t="shared" si="1"/>
        <v>0</v>
      </c>
      <c r="AJ43" s="18">
        <f t="shared" si="2"/>
        <v>0</v>
      </c>
      <c r="AK43" s="1013">
        <f t="shared" si="3"/>
        <v>0</v>
      </c>
      <c r="AL43" s="18">
        <f t="shared" si="4"/>
        <v>0</v>
      </c>
      <c r="AM43" s="18">
        <f t="shared" si="5"/>
        <v>0</v>
      </c>
      <c r="AN43" s="18">
        <f t="shared" si="6"/>
        <v>0</v>
      </c>
      <c r="AO43" s="1035">
        <f t="shared" si="7"/>
        <v>0</v>
      </c>
      <c r="AP43" s="1975">
        <f t="shared" si="8"/>
        <v>0</v>
      </c>
      <c r="AQ43" s="1035">
        <f t="shared" si="9"/>
        <v>0</v>
      </c>
      <c r="AS43" s="18">
        <f t="shared" si="44"/>
        <v>0</v>
      </c>
      <c r="AT43" s="1035">
        <f t="shared" si="11"/>
        <v>0</v>
      </c>
      <c r="AU43" s="18">
        <f t="shared" si="12"/>
        <v>0</v>
      </c>
      <c r="AV43" s="18">
        <f t="shared" si="13"/>
        <v>0</v>
      </c>
      <c r="AW43" s="18">
        <f t="shared" si="14"/>
        <v>0</v>
      </c>
      <c r="AX43" s="18">
        <f t="shared" si="15"/>
        <v>0</v>
      </c>
      <c r="AY43" s="18">
        <f t="shared" si="16"/>
        <v>0</v>
      </c>
      <c r="AZ43" s="18">
        <f t="shared" si="17"/>
        <v>0</v>
      </c>
      <c r="BA43" s="18">
        <f t="shared" si="18"/>
        <v>0</v>
      </c>
      <c r="BB43" s="18">
        <f t="shared" si="19"/>
        <v>0</v>
      </c>
      <c r="BC43" s="1013">
        <f t="shared" si="20"/>
        <v>0</v>
      </c>
      <c r="BD43" s="18">
        <f t="shared" si="21"/>
        <v>0</v>
      </c>
      <c r="BE43" s="575">
        <f t="shared" si="22"/>
        <v>0</v>
      </c>
      <c r="BF43" s="18">
        <f t="shared" si="23"/>
        <v>0</v>
      </c>
      <c r="BG43" s="18">
        <f t="shared" si="24"/>
        <v>0</v>
      </c>
      <c r="BH43" s="18">
        <f t="shared" si="25"/>
        <v>0</v>
      </c>
      <c r="BI43" s="481"/>
      <c r="BJ43" s="2070">
        <f>(AT43*Pricing!F$3+AU43*Pricing!G$3+AV43*Pricing!H$3+AW43*Pricing!I$3+AX43*Pricing!J$3+AY43*Pricing!K$3+AZ43*Pricing!L$3+BA43*Pricing!M$3+BB43*Pricing!M$3+BC43*Pricing!O$3)*IF(T$64="N",(1+V$64),1)</f>
        <v>0</v>
      </c>
      <c r="BK43" s="1864">
        <f t="shared" si="26"/>
        <v>0</v>
      </c>
      <c r="BL43" s="1864">
        <f t="shared" si="27"/>
        <v>0</v>
      </c>
      <c r="BM43" s="1864">
        <f t="shared" si="28"/>
        <v>0</v>
      </c>
      <c r="BN43" s="2071">
        <f t="shared" si="29"/>
        <v>0</v>
      </c>
      <c r="BO43" s="1864">
        <f t="shared" si="30"/>
        <v>0</v>
      </c>
      <c r="BP43" s="1864">
        <f t="shared" si="31"/>
        <v>0</v>
      </c>
      <c r="BQ43" s="1864">
        <f t="shared" si="32"/>
        <v>0</v>
      </c>
      <c r="BR43" s="1864" t="str">
        <f t="shared" si="33"/>
        <v/>
      </c>
      <c r="BS43" s="1864">
        <f t="shared" si="34"/>
        <v>0</v>
      </c>
      <c r="BT43" s="2072" t="str">
        <f t="shared" si="35"/>
        <v/>
      </c>
      <c r="BU43" s="1864">
        <f t="shared" si="36"/>
        <v>0</v>
      </c>
      <c r="BV43" s="1864">
        <f t="shared" si="37"/>
        <v>0</v>
      </c>
      <c r="BW43" s="1864">
        <f t="shared" si="38"/>
        <v>0</v>
      </c>
      <c r="BX43" s="1864">
        <f t="shared" si="39"/>
        <v>0</v>
      </c>
      <c r="BY43" s="1864">
        <f t="shared" si="40"/>
        <v>0</v>
      </c>
      <c r="BZ43" s="1864">
        <f t="shared" si="41"/>
        <v>0</v>
      </c>
      <c r="CA43" s="1864"/>
      <c r="CB43" s="1864">
        <f t="shared" si="42"/>
        <v>0</v>
      </c>
      <c r="CC43" s="2073">
        <f t="shared" si="43"/>
        <v>0</v>
      </c>
    </row>
    <row r="44" spans="1:81" ht="19.5" customHeight="1">
      <c r="A44" s="2097"/>
      <c r="B44" s="2098"/>
      <c r="C44" s="2102"/>
      <c r="D44" s="1344"/>
      <c r="E44" s="1207"/>
      <c r="F44" s="1347"/>
      <c r="G44" s="1389"/>
      <c r="H44" s="2084"/>
      <c r="I44" s="1347"/>
      <c r="J44" s="1348"/>
      <c r="K44" s="1347"/>
      <c r="L44" s="1348"/>
      <c r="M44" s="2085"/>
      <c r="N44" s="1347"/>
      <c r="O44" s="1348"/>
      <c r="P44" s="1347"/>
      <c r="Q44" s="2086"/>
      <c r="R44" s="1976"/>
      <c r="S44" s="2088"/>
      <c r="T44" s="1351">
        <f>SUM(AO44:AP45)</f>
        <v>0</v>
      </c>
      <c r="U44" s="1352">
        <f>((((C44*E44/324)+(C45*E45/324))*(1+J$73))+AK44+AK45)</f>
        <v>0</v>
      </c>
      <c r="V44" s="2081">
        <f>IF(C44=0,0,W44/(C44+C45))</f>
        <v>0</v>
      </c>
      <c r="W44" s="2779">
        <f>(IF(SUM(BJ44:CC45)=0,0,SUM(BJ44:CC45)-BZ44-BZ45))*(1+L$65)</f>
        <v>0</v>
      </c>
      <c r="X44" s="2779"/>
      <c r="Y44" s="1254"/>
      <c r="AH44" s="1035">
        <f t="shared" si="0"/>
        <v>0</v>
      </c>
      <c r="AI44" s="18">
        <f t="shared" si="1"/>
        <v>0</v>
      </c>
      <c r="AJ44" s="18">
        <f t="shared" si="2"/>
        <v>0</v>
      </c>
      <c r="AK44" s="1013">
        <f t="shared" si="3"/>
        <v>0</v>
      </c>
      <c r="AL44" s="18">
        <f t="shared" si="4"/>
        <v>0</v>
      </c>
      <c r="AM44" s="18">
        <f t="shared" si="5"/>
        <v>0</v>
      </c>
      <c r="AN44" s="18">
        <f t="shared" si="6"/>
        <v>0</v>
      </c>
      <c r="AO44" s="1035">
        <f t="shared" si="7"/>
        <v>0</v>
      </c>
      <c r="AP44" s="1975">
        <f t="shared" si="8"/>
        <v>0</v>
      </c>
      <c r="AQ44" s="1035">
        <f t="shared" si="9"/>
        <v>0</v>
      </c>
      <c r="AS44" s="18">
        <f t="shared" si="44"/>
        <v>0</v>
      </c>
      <c r="AT44" s="1035">
        <f t="shared" si="11"/>
        <v>0</v>
      </c>
      <c r="AU44" s="18">
        <f t="shared" si="12"/>
        <v>0</v>
      </c>
      <c r="AV44" s="18">
        <f t="shared" si="13"/>
        <v>0</v>
      </c>
      <c r="AW44" s="18">
        <f t="shared" si="14"/>
        <v>0</v>
      </c>
      <c r="AX44" s="18">
        <f t="shared" si="15"/>
        <v>0</v>
      </c>
      <c r="AY44" s="18">
        <f t="shared" si="16"/>
        <v>0</v>
      </c>
      <c r="AZ44" s="18">
        <f t="shared" si="17"/>
        <v>0</v>
      </c>
      <c r="BA44" s="18">
        <f t="shared" si="18"/>
        <v>0</v>
      </c>
      <c r="BB44" s="18">
        <f t="shared" si="19"/>
        <v>0</v>
      </c>
      <c r="BC44" s="1013">
        <f t="shared" si="20"/>
        <v>0</v>
      </c>
      <c r="BD44" s="18">
        <f t="shared" si="21"/>
        <v>0</v>
      </c>
      <c r="BE44" s="575">
        <f t="shared" si="22"/>
        <v>0</v>
      </c>
      <c r="BF44" s="18">
        <f t="shared" si="23"/>
        <v>0</v>
      </c>
      <c r="BG44" s="18">
        <f t="shared" si="24"/>
        <v>0</v>
      </c>
      <c r="BH44" s="18">
        <f t="shared" si="25"/>
        <v>0</v>
      </c>
      <c r="BI44" s="481">
        <f>SUM(BJ44:CC45)</f>
        <v>0</v>
      </c>
      <c r="BJ44" s="2070">
        <f>(AT44*Pricing!F$3+AU44*Pricing!G$3+AV44*Pricing!H$3+AW44*Pricing!I$3+AX44*Pricing!J$3+AY44*Pricing!K$3+AZ44*Pricing!L$3+BA44*Pricing!M$3+BB44*Pricing!M$3+BC44*Pricing!O$3)*IF(T$64="N",(1+V$64),1)</f>
        <v>0</v>
      </c>
      <c r="BK44" s="1864">
        <f t="shared" si="26"/>
        <v>0</v>
      </c>
      <c r="BL44" s="1864">
        <f t="shared" si="27"/>
        <v>0</v>
      </c>
      <c r="BM44" s="1864">
        <f t="shared" si="28"/>
        <v>0</v>
      </c>
      <c r="BN44" s="2071">
        <f t="shared" si="29"/>
        <v>0</v>
      </c>
      <c r="BO44" s="1864">
        <f t="shared" si="30"/>
        <v>0</v>
      </c>
      <c r="BP44" s="1864">
        <f t="shared" si="31"/>
        <v>0</v>
      </c>
      <c r="BQ44" s="1864">
        <f t="shared" si="32"/>
        <v>0</v>
      </c>
      <c r="BR44" s="1864" t="str">
        <f t="shared" si="33"/>
        <v/>
      </c>
      <c r="BS44" s="1864">
        <f t="shared" si="34"/>
        <v>0</v>
      </c>
      <c r="BT44" s="2072" t="str">
        <f t="shared" si="35"/>
        <v/>
      </c>
      <c r="BU44" s="1864">
        <f t="shared" si="36"/>
        <v>0</v>
      </c>
      <c r="BV44" s="1864">
        <f t="shared" si="37"/>
        <v>0</v>
      </c>
      <c r="BW44" s="1864">
        <f t="shared" si="38"/>
        <v>0</v>
      </c>
      <c r="BX44" s="1864">
        <f t="shared" si="39"/>
        <v>0</v>
      </c>
      <c r="BY44" s="1864">
        <f t="shared" si="40"/>
        <v>0</v>
      </c>
      <c r="BZ44" s="1864">
        <f t="shared" si="41"/>
        <v>0</v>
      </c>
      <c r="CA44" s="1864"/>
      <c r="CB44" s="1864">
        <f t="shared" si="42"/>
        <v>0</v>
      </c>
      <c r="CC44" s="2073">
        <f t="shared" si="43"/>
        <v>0</v>
      </c>
    </row>
    <row r="45" spans="1:81" ht="19.5" customHeight="1">
      <c r="A45" s="2074"/>
      <c r="B45" s="2100"/>
      <c r="C45" s="2101"/>
      <c r="D45" s="1388"/>
      <c r="E45" s="1206"/>
      <c r="F45" s="1395"/>
      <c r="G45" s="1345"/>
      <c r="H45" s="2091"/>
      <c r="I45" s="1395"/>
      <c r="J45" s="1392"/>
      <c r="K45" s="1395"/>
      <c r="L45" s="1392"/>
      <c r="M45" s="2076"/>
      <c r="N45" s="1395"/>
      <c r="O45" s="1392"/>
      <c r="P45" s="1395"/>
      <c r="Q45" s="1417"/>
      <c r="R45" s="1976"/>
      <c r="S45" s="2093"/>
      <c r="T45" s="2079"/>
      <c r="U45" s="2080"/>
      <c r="V45" s="2094"/>
      <c r="W45" s="2779"/>
      <c r="X45" s="2779"/>
      <c r="Y45" s="1254"/>
      <c r="AH45" s="1035">
        <f t="shared" si="0"/>
        <v>0</v>
      </c>
      <c r="AI45" s="18">
        <f t="shared" si="1"/>
        <v>0</v>
      </c>
      <c r="AJ45" s="18">
        <f t="shared" si="2"/>
        <v>0</v>
      </c>
      <c r="AK45" s="1013">
        <f t="shared" si="3"/>
        <v>0</v>
      </c>
      <c r="AL45" s="18">
        <f t="shared" si="4"/>
        <v>0</v>
      </c>
      <c r="AM45" s="18">
        <f t="shared" si="5"/>
        <v>0</v>
      </c>
      <c r="AN45" s="18">
        <f t="shared" si="6"/>
        <v>0</v>
      </c>
      <c r="AO45" s="1035">
        <f t="shared" si="7"/>
        <v>0</v>
      </c>
      <c r="AP45" s="1975">
        <f t="shared" si="8"/>
        <v>0</v>
      </c>
      <c r="AQ45" s="1035">
        <f t="shared" si="9"/>
        <v>0</v>
      </c>
      <c r="AS45" s="18">
        <f t="shared" si="44"/>
        <v>0</v>
      </c>
      <c r="AT45" s="1035">
        <f t="shared" si="11"/>
        <v>0</v>
      </c>
      <c r="AU45" s="18">
        <f t="shared" si="12"/>
        <v>0</v>
      </c>
      <c r="AV45" s="18">
        <f t="shared" si="13"/>
        <v>0</v>
      </c>
      <c r="AW45" s="18">
        <f t="shared" si="14"/>
        <v>0</v>
      </c>
      <c r="AX45" s="18">
        <f t="shared" si="15"/>
        <v>0</v>
      </c>
      <c r="AY45" s="18">
        <f t="shared" si="16"/>
        <v>0</v>
      </c>
      <c r="AZ45" s="18">
        <f t="shared" si="17"/>
        <v>0</v>
      </c>
      <c r="BA45" s="18">
        <f t="shared" si="18"/>
        <v>0</v>
      </c>
      <c r="BB45" s="18">
        <f t="shared" si="19"/>
        <v>0</v>
      </c>
      <c r="BC45" s="1013">
        <f t="shared" si="20"/>
        <v>0</v>
      </c>
      <c r="BD45" s="18">
        <f t="shared" si="21"/>
        <v>0</v>
      </c>
      <c r="BE45" s="575">
        <f t="shared" si="22"/>
        <v>0</v>
      </c>
      <c r="BF45" s="18">
        <f t="shared" si="23"/>
        <v>0</v>
      </c>
      <c r="BG45" s="18">
        <f t="shared" si="24"/>
        <v>0</v>
      </c>
      <c r="BH45" s="18">
        <f t="shared" si="25"/>
        <v>0</v>
      </c>
      <c r="BI45" s="481"/>
      <c r="BJ45" s="2070">
        <f>(AT45*Pricing!F$3+AU45*Pricing!G$3+AV45*Pricing!H$3+AW45*Pricing!I$3+AX45*Pricing!J$3+AY45*Pricing!K$3+AZ45*Pricing!L$3+BA45*Pricing!M$3+BB45*Pricing!M$3+BC45*Pricing!O$3)*IF(T$64="N",(1+V$64),1)</f>
        <v>0</v>
      </c>
      <c r="BK45" s="1864">
        <f t="shared" si="26"/>
        <v>0</v>
      </c>
      <c r="BL45" s="1864">
        <f t="shared" si="27"/>
        <v>0</v>
      </c>
      <c r="BM45" s="1864">
        <f t="shared" si="28"/>
        <v>0</v>
      </c>
      <c r="BN45" s="2071">
        <f t="shared" si="29"/>
        <v>0</v>
      </c>
      <c r="BO45" s="1864">
        <f t="shared" si="30"/>
        <v>0</v>
      </c>
      <c r="BP45" s="1864">
        <f t="shared" si="31"/>
        <v>0</v>
      </c>
      <c r="BQ45" s="1864">
        <f t="shared" si="32"/>
        <v>0</v>
      </c>
      <c r="BR45" s="1864" t="str">
        <f t="shared" si="33"/>
        <v/>
      </c>
      <c r="BS45" s="1864">
        <f t="shared" si="34"/>
        <v>0</v>
      </c>
      <c r="BT45" s="2072" t="str">
        <f t="shared" si="35"/>
        <v/>
      </c>
      <c r="BU45" s="1864">
        <f t="shared" si="36"/>
        <v>0</v>
      </c>
      <c r="BV45" s="1864">
        <f t="shared" si="37"/>
        <v>0</v>
      </c>
      <c r="BW45" s="1864">
        <f t="shared" si="38"/>
        <v>0</v>
      </c>
      <c r="BX45" s="1864">
        <f t="shared" si="39"/>
        <v>0</v>
      </c>
      <c r="BY45" s="1864">
        <f t="shared" si="40"/>
        <v>0</v>
      </c>
      <c r="BZ45" s="1864">
        <f t="shared" si="41"/>
        <v>0</v>
      </c>
      <c r="CA45" s="1864"/>
      <c r="CB45" s="1864">
        <f t="shared" si="42"/>
        <v>0</v>
      </c>
      <c r="CC45" s="2073">
        <f t="shared" si="43"/>
        <v>0</v>
      </c>
    </row>
    <row r="46" spans="1:81" ht="19.5" customHeight="1">
      <c r="A46" s="2097"/>
      <c r="B46" s="2098"/>
      <c r="C46" s="2102"/>
      <c r="D46" s="1344"/>
      <c r="E46" s="1207"/>
      <c r="F46" s="1347"/>
      <c r="G46" s="1389"/>
      <c r="H46" s="2084"/>
      <c r="I46" s="1347"/>
      <c r="J46" s="1348"/>
      <c r="K46" s="1347"/>
      <c r="L46" s="1348"/>
      <c r="M46" s="2085"/>
      <c r="N46" s="1347"/>
      <c r="O46" s="1348"/>
      <c r="P46" s="1347"/>
      <c r="Q46" s="2086"/>
      <c r="R46" s="2087"/>
      <c r="S46" s="2088"/>
      <c r="T46" s="1351">
        <f>SUM(AO46:AP47)</f>
        <v>0</v>
      </c>
      <c r="U46" s="1352">
        <f>((((C46*E46/324)+(C47*E47/324))*(1+J$73))+AK46+AK47)</f>
        <v>0</v>
      </c>
      <c r="V46" s="2081">
        <f>IF(C46=0,0,W46/(C46+C47))</f>
        <v>0</v>
      </c>
      <c r="W46" s="2779">
        <f>(IF(SUM(BJ46:CC47)=0,0,SUM(BJ46:CC47)-BZ46-BZ47))*(1+L$65)</f>
        <v>0</v>
      </c>
      <c r="X46" s="2779"/>
      <c r="Y46" s="1254"/>
      <c r="AH46" s="1035">
        <f t="shared" si="0"/>
        <v>0</v>
      </c>
      <c r="AI46" s="18">
        <f t="shared" si="1"/>
        <v>0</v>
      </c>
      <c r="AJ46" s="18">
        <f t="shared" si="2"/>
        <v>0</v>
      </c>
      <c r="AK46" s="1013">
        <f t="shared" si="3"/>
        <v>0</v>
      </c>
      <c r="AL46" s="18">
        <f t="shared" si="4"/>
        <v>0</v>
      </c>
      <c r="AM46" s="18">
        <f t="shared" si="5"/>
        <v>0</v>
      </c>
      <c r="AN46" s="18">
        <f t="shared" si="6"/>
        <v>0</v>
      </c>
      <c r="AO46" s="1035">
        <f t="shared" si="7"/>
        <v>0</v>
      </c>
      <c r="AP46" s="1975">
        <f t="shared" si="8"/>
        <v>0</v>
      </c>
      <c r="AQ46" s="1035">
        <f t="shared" si="9"/>
        <v>0</v>
      </c>
      <c r="AS46" s="18">
        <f t="shared" si="44"/>
        <v>0</v>
      </c>
      <c r="AT46" s="1035">
        <f t="shared" si="11"/>
        <v>0</v>
      </c>
      <c r="AU46" s="18">
        <f t="shared" si="12"/>
        <v>0</v>
      </c>
      <c r="AV46" s="18">
        <f t="shared" si="13"/>
        <v>0</v>
      </c>
      <c r="AW46" s="18">
        <f t="shared" si="14"/>
        <v>0</v>
      </c>
      <c r="AX46" s="18">
        <f t="shared" si="15"/>
        <v>0</v>
      </c>
      <c r="AY46" s="18">
        <f t="shared" si="16"/>
        <v>0</v>
      </c>
      <c r="AZ46" s="18">
        <f t="shared" si="17"/>
        <v>0</v>
      </c>
      <c r="BA46" s="18">
        <f t="shared" si="18"/>
        <v>0</v>
      </c>
      <c r="BB46" s="18">
        <f t="shared" si="19"/>
        <v>0</v>
      </c>
      <c r="BC46" s="1013">
        <f t="shared" si="20"/>
        <v>0</v>
      </c>
      <c r="BD46" s="18">
        <f t="shared" si="21"/>
        <v>0</v>
      </c>
      <c r="BE46" s="575">
        <f t="shared" si="22"/>
        <v>0</v>
      </c>
      <c r="BF46" s="18">
        <f t="shared" si="23"/>
        <v>0</v>
      </c>
      <c r="BG46" s="18">
        <f t="shared" si="24"/>
        <v>0</v>
      </c>
      <c r="BH46" s="18">
        <f t="shared" si="25"/>
        <v>0</v>
      </c>
      <c r="BI46" s="481">
        <f>SUM(BJ46:CC47)</f>
        <v>0</v>
      </c>
      <c r="BJ46" s="2070">
        <f>(AT46*Pricing!F$3+AU46*Pricing!G$3+AV46*Pricing!H$3+AW46*Pricing!I$3+AX46*Pricing!J$3+AY46*Pricing!K$3+AZ46*Pricing!L$3+BA46*Pricing!M$3+BB46*Pricing!M$3+BC46*Pricing!O$3)*IF(T$64="N",(1+V$64),1)</f>
        <v>0</v>
      </c>
      <c r="BK46" s="1864">
        <f t="shared" si="26"/>
        <v>0</v>
      </c>
      <c r="BL46" s="1864">
        <f t="shared" si="27"/>
        <v>0</v>
      </c>
      <c r="BM46" s="1864">
        <f t="shared" si="28"/>
        <v>0</v>
      </c>
      <c r="BN46" s="2071">
        <f t="shared" si="29"/>
        <v>0</v>
      </c>
      <c r="BO46" s="1864">
        <f t="shared" si="30"/>
        <v>0</v>
      </c>
      <c r="BP46" s="1864">
        <f t="shared" si="31"/>
        <v>0</v>
      </c>
      <c r="BQ46" s="1864">
        <f t="shared" si="32"/>
        <v>0</v>
      </c>
      <c r="BR46" s="1864" t="str">
        <f t="shared" si="33"/>
        <v/>
      </c>
      <c r="BS46" s="1864">
        <f t="shared" si="34"/>
        <v>0</v>
      </c>
      <c r="BT46" s="2072" t="str">
        <f t="shared" si="35"/>
        <v/>
      </c>
      <c r="BU46" s="1864">
        <f t="shared" si="36"/>
        <v>0</v>
      </c>
      <c r="BV46" s="1864">
        <f t="shared" si="37"/>
        <v>0</v>
      </c>
      <c r="BW46" s="1864">
        <f t="shared" si="38"/>
        <v>0</v>
      </c>
      <c r="BX46" s="1864">
        <f t="shared" si="39"/>
        <v>0</v>
      </c>
      <c r="BY46" s="1864">
        <f t="shared" si="40"/>
        <v>0</v>
      </c>
      <c r="BZ46" s="1864">
        <f t="shared" si="41"/>
        <v>0</v>
      </c>
      <c r="CA46" s="1864"/>
      <c r="CB46" s="1864">
        <f t="shared" si="42"/>
        <v>0</v>
      </c>
      <c r="CC46" s="2073">
        <f t="shared" si="43"/>
        <v>0</v>
      </c>
    </row>
    <row r="47" spans="1:81" ht="19.5" customHeight="1">
      <c r="A47" s="2074"/>
      <c r="B47" s="2100"/>
      <c r="C47" s="2101"/>
      <c r="D47" s="1388"/>
      <c r="E47" s="1206"/>
      <c r="F47" s="1395"/>
      <c r="G47" s="1345"/>
      <c r="H47" s="2091"/>
      <c r="I47" s="1395"/>
      <c r="J47" s="1392"/>
      <c r="K47" s="1395"/>
      <c r="L47" s="1392"/>
      <c r="M47" s="2076"/>
      <c r="N47" s="1395"/>
      <c r="O47" s="1392"/>
      <c r="P47" s="1395"/>
      <c r="Q47" s="1417"/>
      <c r="R47" s="2092"/>
      <c r="S47" s="2105"/>
      <c r="T47" s="2079"/>
      <c r="U47" s="2080"/>
      <c r="V47" s="2094"/>
      <c r="W47" s="2779"/>
      <c r="X47" s="2779"/>
      <c r="Y47" s="1254"/>
      <c r="AH47" s="1035">
        <f t="shared" si="0"/>
        <v>0</v>
      </c>
      <c r="AI47" s="18">
        <f t="shared" si="1"/>
        <v>0</v>
      </c>
      <c r="AJ47" s="18">
        <f t="shared" si="2"/>
        <v>0</v>
      </c>
      <c r="AK47" s="1013">
        <f t="shared" si="3"/>
        <v>0</v>
      </c>
      <c r="AL47" s="18">
        <f t="shared" si="4"/>
        <v>0</v>
      </c>
      <c r="AM47" s="18">
        <f t="shared" si="5"/>
        <v>0</v>
      </c>
      <c r="AN47" s="18">
        <f t="shared" si="6"/>
        <v>0</v>
      </c>
      <c r="AO47" s="1035">
        <f t="shared" si="7"/>
        <v>0</v>
      </c>
      <c r="AP47" s="1975">
        <f t="shared" si="8"/>
        <v>0</v>
      </c>
      <c r="AQ47" s="1035">
        <f t="shared" si="9"/>
        <v>0</v>
      </c>
      <c r="AS47" s="18">
        <f t="shared" si="44"/>
        <v>0</v>
      </c>
      <c r="AT47" s="1035">
        <f t="shared" si="11"/>
        <v>0</v>
      </c>
      <c r="AU47" s="18">
        <f t="shared" si="12"/>
        <v>0</v>
      </c>
      <c r="AV47" s="18">
        <f t="shared" si="13"/>
        <v>0</v>
      </c>
      <c r="AW47" s="18">
        <f t="shared" si="14"/>
        <v>0</v>
      </c>
      <c r="AX47" s="18">
        <f t="shared" si="15"/>
        <v>0</v>
      </c>
      <c r="AY47" s="18">
        <f t="shared" si="16"/>
        <v>0</v>
      </c>
      <c r="AZ47" s="18">
        <f t="shared" si="17"/>
        <v>0</v>
      </c>
      <c r="BA47" s="18">
        <f t="shared" si="18"/>
        <v>0</v>
      </c>
      <c r="BB47" s="18">
        <f t="shared" si="19"/>
        <v>0</v>
      </c>
      <c r="BC47" s="1013">
        <f t="shared" si="20"/>
        <v>0</v>
      </c>
      <c r="BD47" s="18">
        <f t="shared" si="21"/>
        <v>0</v>
      </c>
      <c r="BE47" s="575">
        <f t="shared" si="22"/>
        <v>0</v>
      </c>
      <c r="BF47" s="18">
        <f t="shared" si="23"/>
        <v>0</v>
      </c>
      <c r="BG47" s="18">
        <f t="shared" si="24"/>
        <v>0</v>
      </c>
      <c r="BH47" s="18">
        <f t="shared" si="25"/>
        <v>0</v>
      </c>
      <c r="BI47" s="481"/>
      <c r="BJ47" s="2070">
        <f>(AT47*Pricing!F$3+AU47*Pricing!G$3+AV47*Pricing!H$3+AW47*Pricing!I$3+AX47*Pricing!J$3+AY47*Pricing!K$3+AZ47*Pricing!L$3+BA47*Pricing!M$3+BB47*Pricing!M$3+BC47*Pricing!O$3)*IF(T$64="N",(1+V$64),1)</f>
        <v>0</v>
      </c>
      <c r="BK47" s="1864">
        <f t="shared" si="26"/>
        <v>0</v>
      </c>
      <c r="BL47" s="1864">
        <f t="shared" si="27"/>
        <v>0</v>
      </c>
      <c r="BM47" s="1864">
        <f t="shared" si="28"/>
        <v>0</v>
      </c>
      <c r="BN47" s="2071">
        <f t="shared" si="29"/>
        <v>0</v>
      </c>
      <c r="BO47" s="1864">
        <f t="shared" si="30"/>
        <v>0</v>
      </c>
      <c r="BP47" s="1864">
        <f t="shared" si="31"/>
        <v>0</v>
      </c>
      <c r="BQ47" s="1864">
        <f t="shared" si="32"/>
        <v>0</v>
      </c>
      <c r="BR47" s="1864" t="str">
        <f t="shared" si="33"/>
        <v/>
      </c>
      <c r="BS47" s="1864">
        <f t="shared" si="34"/>
        <v>0</v>
      </c>
      <c r="BT47" s="2072" t="str">
        <f t="shared" si="35"/>
        <v/>
      </c>
      <c r="BU47" s="1864">
        <f t="shared" si="36"/>
        <v>0</v>
      </c>
      <c r="BV47" s="1864">
        <f t="shared" si="37"/>
        <v>0</v>
      </c>
      <c r="BW47" s="1864">
        <f t="shared" si="38"/>
        <v>0</v>
      </c>
      <c r="BX47" s="1864">
        <f t="shared" si="39"/>
        <v>0</v>
      </c>
      <c r="BY47" s="1864">
        <f t="shared" si="40"/>
        <v>0</v>
      </c>
      <c r="BZ47" s="1864">
        <f t="shared" si="41"/>
        <v>0</v>
      </c>
      <c r="CA47" s="1864"/>
      <c r="CB47" s="1864">
        <f t="shared" si="42"/>
        <v>0</v>
      </c>
      <c r="CC47" s="2073">
        <f t="shared" si="43"/>
        <v>0</v>
      </c>
    </row>
    <row r="48" spans="1:81" ht="19.5" customHeight="1">
      <c r="A48" s="482"/>
      <c r="B48" s="1598"/>
      <c r="C48" s="2106"/>
      <c r="D48" s="1423"/>
      <c r="E48" s="2083"/>
      <c r="F48" s="503"/>
      <c r="G48" s="1389"/>
      <c r="H48" s="1109"/>
      <c r="I48" s="503"/>
      <c r="J48" s="834"/>
      <c r="K48" s="503"/>
      <c r="L48" s="834"/>
      <c r="M48" s="2085"/>
      <c r="N48" s="503"/>
      <c r="O48" s="834"/>
      <c r="P48" s="503"/>
      <c r="Q48" s="1418"/>
      <c r="R48" s="2077"/>
      <c r="S48" s="2078"/>
      <c r="T48" s="1351">
        <f>SUM(AO48:AP49)</f>
        <v>0</v>
      </c>
      <c r="U48" s="1352">
        <f>((((C48*E48/324)+(C49*E49/324))*(1+J$73))+AK48+AK49)</f>
        <v>0</v>
      </c>
      <c r="V48" s="2081">
        <f>IF(C48=0,0,W48/(C48+C49))</f>
        <v>0</v>
      </c>
      <c r="W48" s="2779">
        <f>(IF(SUM(BJ48:CC49)=0,0,SUM(BJ48:CC49)-BZ48-BZ49))*(1+L$65)</f>
        <v>0</v>
      </c>
      <c r="X48" s="2779"/>
      <c r="Y48" s="1254"/>
      <c r="AH48" s="1035">
        <f t="shared" si="0"/>
        <v>0</v>
      </c>
      <c r="AI48" s="18">
        <f t="shared" si="1"/>
        <v>0</v>
      </c>
      <c r="AJ48" s="18">
        <f t="shared" si="2"/>
        <v>0</v>
      </c>
      <c r="AK48" s="1013">
        <f t="shared" si="3"/>
        <v>0</v>
      </c>
      <c r="AL48" s="18">
        <f t="shared" si="4"/>
        <v>0</v>
      </c>
      <c r="AM48" s="18">
        <f t="shared" si="5"/>
        <v>0</v>
      </c>
      <c r="AN48" s="18">
        <f t="shared" si="6"/>
        <v>0</v>
      </c>
      <c r="AO48" s="1035">
        <f t="shared" si="7"/>
        <v>0</v>
      </c>
      <c r="AP48" s="1975">
        <f t="shared" si="8"/>
        <v>0</v>
      </c>
      <c r="AQ48" s="1035">
        <f t="shared" si="9"/>
        <v>0</v>
      </c>
      <c r="AS48" s="18">
        <f t="shared" si="44"/>
        <v>0</v>
      </c>
      <c r="AT48" s="1035">
        <f t="shared" si="11"/>
        <v>0</v>
      </c>
      <c r="AU48" s="18">
        <f t="shared" si="12"/>
        <v>0</v>
      </c>
      <c r="AV48" s="18">
        <f t="shared" si="13"/>
        <v>0</v>
      </c>
      <c r="AW48" s="18">
        <f t="shared" si="14"/>
        <v>0</v>
      </c>
      <c r="AX48" s="18">
        <f t="shared" si="15"/>
        <v>0</v>
      </c>
      <c r="AY48" s="18">
        <f t="shared" si="16"/>
        <v>0</v>
      </c>
      <c r="AZ48" s="18">
        <f t="shared" si="17"/>
        <v>0</v>
      </c>
      <c r="BA48" s="18">
        <f t="shared" si="18"/>
        <v>0</v>
      </c>
      <c r="BB48" s="18">
        <f t="shared" si="19"/>
        <v>0</v>
      </c>
      <c r="BC48" s="1013">
        <f t="shared" si="20"/>
        <v>0</v>
      </c>
      <c r="BD48" s="18">
        <f t="shared" si="21"/>
        <v>0</v>
      </c>
      <c r="BE48" s="575">
        <f t="shared" si="22"/>
        <v>0</v>
      </c>
      <c r="BF48" s="18">
        <f t="shared" si="23"/>
        <v>0</v>
      </c>
      <c r="BG48" s="18">
        <f t="shared" si="24"/>
        <v>0</v>
      </c>
      <c r="BH48" s="18">
        <f t="shared" si="25"/>
        <v>0</v>
      </c>
      <c r="BI48" s="481">
        <f>SUM(BJ48:CC49)</f>
        <v>0</v>
      </c>
      <c r="BJ48" s="2070">
        <f>(AT48*Pricing!F$3+AU48*Pricing!G$3+AV48*Pricing!H$3+AW48*Pricing!I$3+AX48*Pricing!J$3+AY48*Pricing!K$3+AZ48*Pricing!L$3+BA48*Pricing!M$3+BB48*Pricing!M$3+BC48*Pricing!O$3)*IF(T$64="N",(1+V$64),1)</f>
        <v>0</v>
      </c>
      <c r="BK48" s="1864">
        <f t="shared" si="26"/>
        <v>0</v>
      </c>
      <c r="BL48" s="1864">
        <f t="shared" si="27"/>
        <v>0</v>
      </c>
      <c r="BM48" s="1864">
        <f t="shared" si="28"/>
        <v>0</v>
      </c>
      <c r="BN48" s="2071">
        <f t="shared" si="29"/>
        <v>0</v>
      </c>
      <c r="BO48" s="1864">
        <f t="shared" si="30"/>
        <v>0</v>
      </c>
      <c r="BP48" s="1864">
        <f t="shared" si="31"/>
        <v>0</v>
      </c>
      <c r="BQ48" s="1864">
        <f t="shared" si="32"/>
        <v>0</v>
      </c>
      <c r="BR48" s="1864" t="str">
        <f t="shared" si="33"/>
        <v/>
      </c>
      <c r="BS48" s="1864">
        <f t="shared" si="34"/>
        <v>0</v>
      </c>
      <c r="BT48" s="2072" t="str">
        <f t="shared" si="35"/>
        <v/>
      </c>
      <c r="BU48" s="1864">
        <f t="shared" si="36"/>
        <v>0</v>
      </c>
      <c r="BV48" s="1864">
        <f t="shared" si="37"/>
        <v>0</v>
      </c>
      <c r="BW48" s="1864">
        <f t="shared" si="38"/>
        <v>0</v>
      </c>
      <c r="BX48" s="1864">
        <f t="shared" si="39"/>
        <v>0</v>
      </c>
      <c r="BY48" s="1864">
        <f t="shared" si="40"/>
        <v>0</v>
      </c>
      <c r="BZ48" s="1864">
        <f t="shared" si="41"/>
        <v>0</v>
      </c>
      <c r="CA48" s="1864"/>
      <c r="CB48" s="1864">
        <f t="shared" si="42"/>
        <v>0</v>
      </c>
      <c r="CC48" s="2073">
        <f t="shared" si="43"/>
        <v>0</v>
      </c>
    </row>
    <row r="49" spans="1:81" ht="19.5" customHeight="1">
      <c r="A49" s="1595"/>
      <c r="B49" s="1600"/>
      <c r="C49" s="2106"/>
      <c r="D49" s="1423"/>
      <c r="E49" s="1439"/>
      <c r="F49" s="1441"/>
      <c r="G49" s="1442"/>
      <c r="H49" s="2107"/>
      <c r="I49" s="1441"/>
      <c r="J49" s="1445"/>
      <c r="K49" s="1441"/>
      <c r="L49" s="1445"/>
      <c r="M49" s="2108"/>
      <c r="N49" s="1441"/>
      <c r="O49" s="1445"/>
      <c r="P49" s="1441"/>
      <c r="Q49" s="2109"/>
      <c r="R49" s="2110"/>
      <c r="S49" s="2111"/>
      <c r="T49" s="1449"/>
      <c r="U49" s="1449"/>
      <c r="V49" s="2112"/>
      <c r="W49" s="3129"/>
      <c r="X49" s="3129"/>
      <c r="Y49" s="1254"/>
      <c r="AH49" s="1035">
        <f t="shared" si="0"/>
        <v>0</v>
      </c>
      <c r="AI49" s="18">
        <f t="shared" si="1"/>
        <v>0</v>
      </c>
      <c r="AJ49" s="18">
        <f t="shared" si="2"/>
        <v>0</v>
      </c>
      <c r="AK49" s="2113">
        <f t="shared" si="3"/>
        <v>0</v>
      </c>
      <c r="AL49" s="18">
        <f t="shared" si="4"/>
        <v>0</v>
      </c>
      <c r="AM49" s="18">
        <f t="shared" si="5"/>
        <v>0</v>
      </c>
      <c r="AN49" s="18">
        <f t="shared" si="6"/>
        <v>0</v>
      </c>
      <c r="AO49" s="1035">
        <f t="shared" si="7"/>
        <v>0</v>
      </c>
      <c r="AP49" s="2114">
        <f t="shared" si="8"/>
        <v>0</v>
      </c>
      <c r="AQ49" s="746">
        <f t="shared" si="9"/>
        <v>0</v>
      </c>
      <c r="AR49" s="747"/>
      <c r="AS49" s="747">
        <f t="shared" si="44"/>
        <v>0</v>
      </c>
      <c r="AT49" s="746">
        <f t="shared" si="11"/>
        <v>0</v>
      </c>
      <c r="AU49" s="747">
        <f t="shared" si="12"/>
        <v>0</v>
      </c>
      <c r="AV49" s="747">
        <f t="shared" si="13"/>
        <v>0</v>
      </c>
      <c r="AW49" s="747">
        <f t="shared" si="14"/>
        <v>0</v>
      </c>
      <c r="AX49" s="747">
        <f t="shared" si="15"/>
        <v>0</v>
      </c>
      <c r="AY49" s="747">
        <f t="shared" si="16"/>
        <v>0</v>
      </c>
      <c r="AZ49" s="747">
        <f t="shared" si="17"/>
        <v>0</v>
      </c>
      <c r="BA49" s="747">
        <f t="shared" si="18"/>
        <v>0</v>
      </c>
      <c r="BB49" s="747">
        <f t="shared" si="19"/>
        <v>0</v>
      </c>
      <c r="BC49" s="2113">
        <f t="shared" si="20"/>
        <v>0</v>
      </c>
      <c r="BD49" s="747">
        <f t="shared" si="21"/>
        <v>0</v>
      </c>
      <c r="BE49" s="2115">
        <f t="shared" si="22"/>
        <v>0</v>
      </c>
      <c r="BF49" s="747">
        <f t="shared" si="23"/>
        <v>0</v>
      </c>
      <c r="BG49" s="747">
        <f t="shared" si="24"/>
        <v>0</v>
      </c>
      <c r="BH49" s="747">
        <f t="shared" si="25"/>
        <v>0</v>
      </c>
      <c r="BI49" s="2116"/>
      <c r="BJ49" s="2070">
        <f>(AT49*Pricing!F$3+AU49*Pricing!G$3+AV49*Pricing!H$3+AW49*Pricing!I$3+AX49*Pricing!J$3+AY49*Pricing!K$3+AZ49*Pricing!L$3+BA49*Pricing!M$3+BB49*Pricing!M$3+BC49*Pricing!O$3)*IF(T$64="N",(1+V$64),1)</f>
        <v>0</v>
      </c>
      <c r="BK49" s="2117">
        <f t="shared" si="26"/>
        <v>0</v>
      </c>
      <c r="BL49" s="2117">
        <f t="shared" si="27"/>
        <v>0</v>
      </c>
      <c r="BM49" s="1864">
        <f t="shared" si="28"/>
        <v>0</v>
      </c>
      <c r="BN49" s="2118">
        <f t="shared" si="29"/>
        <v>0</v>
      </c>
      <c r="BO49" s="2117">
        <f t="shared" si="30"/>
        <v>0</v>
      </c>
      <c r="BP49" s="2117">
        <f t="shared" si="31"/>
        <v>0</v>
      </c>
      <c r="BQ49" s="2117">
        <f t="shared" si="32"/>
        <v>0</v>
      </c>
      <c r="BR49" s="2117" t="str">
        <f t="shared" si="33"/>
        <v/>
      </c>
      <c r="BS49" s="1864">
        <f t="shared" si="34"/>
        <v>0</v>
      </c>
      <c r="BT49" s="2119" t="str">
        <f t="shared" si="35"/>
        <v/>
      </c>
      <c r="BU49" s="1864">
        <f t="shared" si="36"/>
        <v>0</v>
      </c>
      <c r="BV49" s="2117">
        <f t="shared" si="37"/>
        <v>0</v>
      </c>
      <c r="BW49" s="2117">
        <f t="shared" si="38"/>
        <v>0</v>
      </c>
      <c r="BX49" s="2117">
        <f t="shared" si="39"/>
        <v>0</v>
      </c>
      <c r="BY49" s="2117">
        <f t="shared" si="40"/>
        <v>0</v>
      </c>
      <c r="BZ49" s="1864">
        <f t="shared" si="41"/>
        <v>0</v>
      </c>
      <c r="CA49" s="2117"/>
      <c r="CB49" s="2117">
        <f t="shared" si="42"/>
        <v>0</v>
      </c>
      <c r="CC49" s="2120">
        <f t="shared" si="43"/>
        <v>0</v>
      </c>
    </row>
    <row r="50" spans="1:81" ht="25.5" customHeight="1">
      <c r="C50" s="3176">
        <f>SUM(C10:D49)</f>
        <v>32100</v>
      </c>
      <c r="D50" s="3176"/>
      <c r="E50" s="18" t="s">
        <v>1533</v>
      </c>
      <c r="G50" s="626"/>
      <c r="H50" s="626"/>
      <c r="I50" s="626"/>
      <c r="J50" s="626"/>
      <c r="K50" s="626"/>
      <c r="L50" s="626"/>
      <c r="M50" s="626"/>
      <c r="N50" s="626"/>
      <c r="O50" s="626"/>
      <c r="P50" s="626"/>
      <c r="Q50" s="2121"/>
      <c r="R50" s="626"/>
      <c r="S50" s="1254"/>
      <c r="T50" s="575">
        <f>SUM(T10:T49)</f>
        <v>61715.459714350007</v>
      </c>
      <c r="U50" s="575">
        <f>SUM(U10:U49)</f>
        <v>1459.8518518518517</v>
      </c>
      <c r="V50" s="575"/>
      <c r="W50" s="3133">
        <f>SUM(W10:X49)</f>
        <v>1123421.385327864</v>
      </c>
      <c r="X50" s="3133"/>
      <c r="Y50" s="1254"/>
      <c r="AK50" s="18">
        <f>SUM(AK10:AK49)</f>
        <v>17.333333333333332</v>
      </c>
      <c r="AL50" s="18">
        <f>SUM(AL10:AL49)</f>
        <v>4557</v>
      </c>
      <c r="AM50" s="18">
        <f>SUM(AM10:AM49)</f>
        <v>7</v>
      </c>
      <c r="AN50" s="18">
        <f>SUM(AN10:AN49)</f>
        <v>0</v>
      </c>
      <c r="AO50" s="746">
        <f>SUM(AO10:AO49)</f>
        <v>5111.68</v>
      </c>
      <c r="AP50" s="2113"/>
      <c r="AQ50" s="18">
        <f>SUM(AQ10:AQ49)</f>
        <v>0</v>
      </c>
      <c r="AT50" s="18">
        <f t="shared" ref="AT50:BH50" si="45">SUM(AT10:AT49)</f>
        <v>0</v>
      </c>
      <c r="AU50" s="18">
        <f t="shared" si="45"/>
        <v>0</v>
      </c>
      <c r="AV50" s="18">
        <f t="shared" si="45"/>
        <v>0</v>
      </c>
      <c r="AW50" s="18">
        <f t="shared" si="45"/>
        <v>0</v>
      </c>
      <c r="AX50" s="18">
        <f t="shared" si="45"/>
        <v>0</v>
      </c>
      <c r="AY50" s="18">
        <f t="shared" si="45"/>
        <v>0</v>
      </c>
      <c r="AZ50" s="18">
        <f t="shared" si="45"/>
        <v>0</v>
      </c>
      <c r="BA50" s="18">
        <f t="shared" si="45"/>
        <v>1459.8518518518517</v>
      </c>
      <c r="BB50" s="18">
        <f t="shared" si="45"/>
        <v>0</v>
      </c>
      <c r="BC50" s="18">
        <f t="shared" si="45"/>
        <v>0</v>
      </c>
      <c r="BD50" s="18">
        <f t="shared" si="45"/>
        <v>0</v>
      </c>
      <c r="BE50" s="18">
        <f t="shared" si="45"/>
        <v>32100</v>
      </c>
      <c r="BF50" s="18">
        <f t="shared" si="45"/>
        <v>150</v>
      </c>
      <c r="BG50" s="18">
        <f t="shared" si="45"/>
        <v>90</v>
      </c>
      <c r="BH50" s="18">
        <f t="shared" si="45"/>
        <v>0</v>
      </c>
      <c r="BI50" s="2122">
        <f>SUM(BJ50:CC50)</f>
        <v>952052.02146429161</v>
      </c>
      <c r="BJ50" s="2123">
        <f t="shared" ref="BJ50:CC50" si="46">SUM(BJ10:BJ49)</f>
        <v>276550.68518518523</v>
      </c>
      <c r="BK50" s="2124">
        <f t="shared" si="46"/>
        <v>43424.540341509528</v>
      </c>
      <c r="BL50" s="2124">
        <f t="shared" si="46"/>
        <v>50384.962500000001</v>
      </c>
      <c r="BM50" s="2125">
        <f t="shared" si="46"/>
        <v>0</v>
      </c>
      <c r="BN50" s="2126">
        <f t="shared" si="46"/>
        <v>194205</v>
      </c>
      <c r="BO50" s="481">
        <f t="shared" si="46"/>
        <v>10104</v>
      </c>
      <c r="BP50" s="481">
        <f t="shared" si="46"/>
        <v>1440</v>
      </c>
      <c r="BQ50" s="481">
        <f t="shared" si="46"/>
        <v>8025</v>
      </c>
      <c r="BR50" s="481">
        <f t="shared" si="46"/>
        <v>23994.75</v>
      </c>
      <c r="BS50" s="481">
        <f t="shared" si="46"/>
        <v>13885.97843572875</v>
      </c>
      <c r="BT50" s="2127">
        <f t="shared" si="46"/>
        <v>0</v>
      </c>
      <c r="BU50" s="481">
        <f t="shared" si="46"/>
        <v>58500</v>
      </c>
      <c r="BV50" s="481">
        <f t="shared" si="46"/>
        <v>82419.639789062508</v>
      </c>
      <c r="BW50" s="481">
        <f t="shared" si="46"/>
        <v>172068.63750000001</v>
      </c>
      <c r="BX50" s="481">
        <f t="shared" si="46"/>
        <v>14598.518518518518</v>
      </c>
      <c r="BY50" s="481">
        <f t="shared" si="46"/>
        <v>2450.3091942870001</v>
      </c>
      <c r="BZ50" s="481">
        <f t="shared" si="46"/>
        <v>0</v>
      </c>
      <c r="CA50" s="481">
        <f t="shared" si="46"/>
        <v>0</v>
      </c>
      <c r="CB50" s="481">
        <f t="shared" si="46"/>
        <v>0</v>
      </c>
      <c r="CC50" s="2128">
        <f t="shared" si="46"/>
        <v>0</v>
      </c>
    </row>
    <row r="51" spans="1:81" ht="29.25" customHeight="1">
      <c r="A51" s="1497"/>
      <c r="B51" s="983" t="s">
        <v>1356</v>
      </c>
      <c r="C51" s="983"/>
      <c r="D51" s="3177" t="s">
        <v>1357</v>
      </c>
      <c r="E51" s="3177"/>
      <c r="F51" s="3177" t="s">
        <v>1590</v>
      </c>
      <c r="G51" s="3177"/>
      <c r="H51" s="3177" t="s">
        <v>1359</v>
      </c>
      <c r="I51" s="3177"/>
      <c r="J51" s="3177" t="s">
        <v>1360</v>
      </c>
      <c r="K51" s="3177"/>
      <c r="L51" s="3178" t="s">
        <v>1361</v>
      </c>
      <c r="M51" s="3178"/>
      <c r="N51" s="3178"/>
      <c r="O51" s="3179" t="s">
        <v>1825</v>
      </c>
      <c r="P51" s="3179"/>
      <c r="Q51" s="3000" t="s">
        <v>1826</v>
      </c>
      <c r="R51" s="3000"/>
      <c r="S51" s="143" t="s">
        <v>1827</v>
      </c>
      <c r="T51" s="2129">
        <f>H87/SUM(K73:L77)</f>
        <v>21.988532575603816</v>
      </c>
      <c r="U51" s="626"/>
      <c r="V51" s="626"/>
      <c r="W51" s="3180">
        <f>W50-D65</f>
        <v>0</v>
      </c>
      <c r="X51" s="3180"/>
      <c r="Y51" s="1254"/>
      <c r="BI51" s="2130">
        <f>T65</f>
        <v>952052.02146429149</v>
      </c>
      <c r="BJ51" s="2131">
        <f>SUM(N73:O77)</f>
        <v>276550.68518518517</v>
      </c>
      <c r="BK51" s="2132">
        <f>SUM(N78)</f>
        <v>43424.540341509528</v>
      </c>
      <c r="BL51" s="2132">
        <f>N80</f>
        <v>50384.962500000001</v>
      </c>
      <c r="BM51" s="2133">
        <f>N79</f>
        <v>0</v>
      </c>
      <c r="BN51" s="2131">
        <f>SUM(N87:O90)</f>
        <v>194205</v>
      </c>
      <c r="BO51" s="2132">
        <f>N91</f>
        <v>10104</v>
      </c>
      <c r="BP51" s="2132">
        <f>N92</f>
        <v>1440</v>
      </c>
      <c r="BQ51" s="2132">
        <f>N93</f>
        <v>8025</v>
      </c>
      <c r="BR51" s="2132">
        <f>N95+N94</f>
        <v>23994.75</v>
      </c>
      <c r="BS51" s="2132">
        <f>N96</f>
        <v>13885.978435728752</v>
      </c>
      <c r="BT51" s="2133">
        <f>N97</f>
        <v>0</v>
      </c>
      <c r="BU51" s="1021">
        <f>SUM(L101)+N103</f>
        <v>58500</v>
      </c>
      <c r="BV51" s="1021">
        <f>SUM(N82:O84)+SUM(W73:W106)</f>
        <v>82419.639789062494</v>
      </c>
      <c r="BW51" s="1021">
        <f>L107</f>
        <v>172068.63750000001</v>
      </c>
      <c r="BX51" s="1021">
        <f>SUM(N112:O118)</f>
        <v>14598.518518518518</v>
      </c>
      <c r="BY51" s="1021">
        <f>SUM(W107:W118)</f>
        <v>2450.3091942870001</v>
      </c>
      <c r="BZ51" s="1021">
        <f>N119</f>
        <v>0</v>
      </c>
      <c r="CA51" s="976"/>
      <c r="CB51" s="976"/>
      <c r="CC51" s="1760"/>
    </row>
    <row r="52" spans="1:81" s="626" customFormat="1" ht="36.75" customHeight="1">
      <c r="A52" s="1506" t="s">
        <v>1828</v>
      </c>
      <c r="B52" s="1100" t="s">
        <v>1367</v>
      </c>
      <c r="C52" s="1099" t="s">
        <v>1596</v>
      </c>
      <c r="D52" s="1100" t="s">
        <v>1369</v>
      </c>
      <c r="E52" s="1099" t="s">
        <v>1215</v>
      </c>
      <c r="F52" s="1100" t="s">
        <v>1369</v>
      </c>
      <c r="G52" s="1099" t="s">
        <v>1215</v>
      </c>
      <c r="H52" s="1100" t="s">
        <v>1369</v>
      </c>
      <c r="I52" s="1099" t="s">
        <v>1215</v>
      </c>
      <c r="J52" s="1100" t="s">
        <v>1215</v>
      </c>
      <c r="K52" s="1507" t="s">
        <v>1216</v>
      </c>
      <c r="L52" s="1100" t="s">
        <v>1215</v>
      </c>
      <c r="M52" s="1101" t="s">
        <v>1216</v>
      </c>
      <c r="N52" s="1508" t="s">
        <v>1598</v>
      </c>
      <c r="O52" s="3179"/>
      <c r="P52" s="3179"/>
      <c r="Q52" s="3000"/>
      <c r="R52" s="3000"/>
      <c r="S52" s="143" t="s">
        <v>1829</v>
      </c>
      <c r="T52" s="2134">
        <f>K78/H87</f>
        <v>1.9225999911012464</v>
      </c>
      <c r="U52" s="627" t="s">
        <v>1830</v>
      </c>
      <c r="W52" s="628"/>
      <c r="X52" s="1254"/>
      <c r="Y52" s="1254"/>
      <c r="BI52" s="628">
        <f t="shared" ref="BI52:BS52" si="47">BI50-BI51</f>
        <v>0</v>
      </c>
      <c r="BJ52" s="628">
        <f t="shared" si="47"/>
        <v>0</v>
      </c>
      <c r="BK52" s="628">
        <f t="shared" si="47"/>
        <v>0</v>
      </c>
      <c r="BL52" s="628">
        <f t="shared" si="47"/>
        <v>0</v>
      </c>
      <c r="BM52" s="628">
        <f t="shared" si="47"/>
        <v>0</v>
      </c>
      <c r="BN52" s="628">
        <f t="shared" si="47"/>
        <v>0</v>
      </c>
      <c r="BO52" s="628">
        <f t="shared" si="47"/>
        <v>0</v>
      </c>
      <c r="BP52" s="628">
        <f t="shared" si="47"/>
        <v>0</v>
      </c>
      <c r="BQ52" s="628">
        <f t="shared" si="47"/>
        <v>0</v>
      </c>
      <c r="BR52" s="628">
        <f t="shared" si="47"/>
        <v>0</v>
      </c>
      <c r="BS52" s="628">
        <f t="shared" si="47"/>
        <v>0</v>
      </c>
      <c r="BT52" s="628"/>
      <c r="BU52" s="628">
        <f t="shared" ref="BU52:CC52" si="48">BU50-BU51</f>
        <v>0</v>
      </c>
      <c r="BV52" s="628">
        <f t="shared" si="48"/>
        <v>0</v>
      </c>
      <c r="BW52" s="628">
        <f t="shared" si="48"/>
        <v>0</v>
      </c>
      <c r="BX52" s="628">
        <f t="shared" si="48"/>
        <v>0</v>
      </c>
      <c r="BY52" s="628">
        <f t="shared" si="48"/>
        <v>0</v>
      </c>
      <c r="BZ52" s="628">
        <f t="shared" si="48"/>
        <v>0</v>
      </c>
      <c r="CA52" s="628">
        <f t="shared" si="48"/>
        <v>0</v>
      </c>
      <c r="CB52" s="628">
        <f t="shared" si="48"/>
        <v>0</v>
      </c>
      <c r="CC52" s="628">
        <f t="shared" si="48"/>
        <v>0</v>
      </c>
    </row>
    <row r="53" spans="1:81" s="626" customFormat="1" ht="19.5" customHeight="1">
      <c r="A53" s="1512">
        <v>1</v>
      </c>
      <c r="B53" s="2135">
        <v>18</v>
      </c>
      <c r="C53" s="2136">
        <v>24</v>
      </c>
      <c r="D53" s="1108">
        <v>4</v>
      </c>
      <c r="E53" s="1109">
        <v>8</v>
      </c>
      <c r="F53" s="1110">
        <v>4</v>
      </c>
      <c r="G53" s="2136">
        <v>8</v>
      </c>
      <c r="H53" s="1108">
        <v>4</v>
      </c>
      <c r="I53" s="2136">
        <v>8</v>
      </c>
      <c r="J53" s="1108">
        <v>4</v>
      </c>
      <c r="K53" s="2136">
        <v>10</v>
      </c>
      <c r="L53" s="1110">
        <v>4</v>
      </c>
      <c r="M53" s="1111">
        <v>10</v>
      </c>
      <c r="N53" s="1714">
        <v>4</v>
      </c>
      <c r="O53" s="3181">
        <f t="shared" ref="O53:O62" si="49">IF(B53=0,0,(D53*E53/16*E53/16*10.680159)+((F53*G53/16*G53/16*10.680159)+(H53*2*I53/16*I53/16*10.680159)+IF(K53=0,0,((J53/16*J53/16)*3.145*0.2836*((((B53*2))+(C53*2))*12/K53))))+(L53/16*L53/16*10.680159*(12/IF(M53=0,1,M53))*N53))*(1+J$78)</f>
        <v>56.698171530000003</v>
      </c>
      <c r="P53" s="3181"/>
      <c r="Q53" s="3182">
        <f t="shared" ref="Q53:Q62" si="50">(B53/12*C53/324)*(1+J$73)</f>
        <v>0.11555555555555555</v>
      </c>
      <c r="R53" s="3182"/>
      <c r="T53" s="1975">
        <f>300*Q53</f>
        <v>34.666666666666664</v>
      </c>
      <c r="U53" s="1459">
        <f>C53/12</f>
        <v>2</v>
      </c>
      <c r="X53" s="1254"/>
      <c r="Y53" s="1254"/>
    </row>
    <row r="54" spans="1:81" s="626" customFormat="1" ht="19.5" customHeight="1">
      <c r="A54" s="1512">
        <v>2</v>
      </c>
      <c r="B54" s="1110">
        <v>24</v>
      </c>
      <c r="C54" s="1109">
        <v>24</v>
      </c>
      <c r="D54" s="1108">
        <v>5</v>
      </c>
      <c r="E54" s="1109">
        <v>8</v>
      </c>
      <c r="F54" s="1110">
        <v>5</v>
      </c>
      <c r="G54" s="1109">
        <v>8</v>
      </c>
      <c r="H54" s="1108">
        <v>4</v>
      </c>
      <c r="I54" s="1109">
        <v>8</v>
      </c>
      <c r="J54" s="1108">
        <v>4</v>
      </c>
      <c r="K54" s="1109">
        <v>10</v>
      </c>
      <c r="L54" s="1110">
        <v>4</v>
      </c>
      <c r="M54" s="1111">
        <v>10</v>
      </c>
      <c r="N54" s="1714">
        <v>4</v>
      </c>
      <c r="O54" s="3181">
        <f t="shared" si="49"/>
        <v>63.455261759999999</v>
      </c>
      <c r="P54" s="3181"/>
      <c r="Q54" s="3183">
        <f t="shared" si="50"/>
        <v>0.15407407407407406</v>
      </c>
      <c r="R54" s="3183"/>
      <c r="T54" s="1975">
        <f>300*Q54</f>
        <v>46.222222222222214</v>
      </c>
      <c r="U54" s="1459">
        <f>C54/12</f>
        <v>2</v>
      </c>
      <c r="X54" s="1254"/>
      <c r="Y54" s="1254"/>
    </row>
    <row r="55" spans="1:81" s="626" customFormat="1" ht="19.5" customHeight="1">
      <c r="A55" s="1512">
        <v>3</v>
      </c>
      <c r="B55" s="840"/>
      <c r="C55" s="839"/>
      <c r="D55" s="1108"/>
      <c r="E55" s="1109"/>
      <c r="F55" s="77"/>
      <c r="G55" s="839"/>
      <c r="H55" s="77"/>
      <c r="I55" s="839"/>
      <c r="J55" s="77"/>
      <c r="K55" s="839"/>
      <c r="L55" s="840"/>
      <c r="M55" s="77"/>
      <c r="N55" s="837"/>
      <c r="O55" s="3181">
        <f t="shared" si="49"/>
        <v>0</v>
      </c>
      <c r="P55" s="3181"/>
      <c r="Q55" s="3183">
        <f t="shared" si="50"/>
        <v>0</v>
      </c>
      <c r="R55" s="3183"/>
      <c r="T55" s="1975">
        <f>300*Q55</f>
        <v>0</v>
      </c>
      <c r="U55" s="1459">
        <f>C55/12</f>
        <v>0</v>
      </c>
      <c r="X55" s="1254"/>
      <c r="Y55" s="1254"/>
      <c r="BI55" s="628">
        <f>BI51*(1+L65)</f>
        <v>1123421.385327864</v>
      </c>
    </row>
    <row r="56" spans="1:81" s="626" customFormat="1" ht="19.5" customHeight="1">
      <c r="A56" s="1512">
        <v>4</v>
      </c>
      <c r="B56" s="840"/>
      <c r="C56" s="839"/>
      <c r="D56" s="1108"/>
      <c r="E56" s="1109"/>
      <c r="F56" s="77"/>
      <c r="G56" s="839"/>
      <c r="H56" s="77"/>
      <c r="I56" s="839"/>
      <c r="J56" s="77"/>
      <c r="K56" s="839"/>
      <c r="L56" s="840"/>
      <c r="M56" s="77"/>
      <c r="N56" s="837"/>
      <c r="O56" s="3181">
        <f t="shared" si="49"/>
        <v>0</v>
      </c>
      <c r="P56" s="3181"/>
      <c r="Q56" s="3183">
        <f t="shared" si="50"/>
        <v>0</v>
      </c>
      <c r="R56" s="3183"/>
      <c r="T56" s="1975"/>
      <c r="U56" s="1459"/>
      <c r="X56" s="1254"/>
      <c r="Y56" s="1254"/>
      <c r="BI56" s="628"/>
    </row>
    <row r="57" spans="1:81" s="626" customFormat="1" ht="19.5" customHeight="1">
      <c r="A57" s="1512">
        <v>5</v>
      </c>
      <c r="B57" s="840"/>
      <c r="C57" s="839"/>
      <c r="D57" s="1108"/>
      <c r="E57" s="1109"/>
      <c r="F57" s="77"/>
      <c r="G57" s="839"/>
      <c r="H57" s="77"/>
      <c r="I57" s="839"/>
      <c r="J57" s="77"/>
      <c r="K57" s="839"/>
      <c r="L57" s="840"/>
      <c r="M57" s="77"/>
      <c r="N57" s="837"/>
      <c r="O57" s="3181">
        <f t="shared" si="49"/>
        <v>0</v>
      </c>
      <c r="P57" s="3181"/>
      <c r="Q57" s="3183">
        <f t="shared" si="50"/>
        <v>0</v>
      </c>
      <c r="R57" s="3183"/>
      <c r="T57" s="1975"/>
      <c r="U57" s="1459"/>
      <c r="X57" s="1254"/>
      <c r="Y57" s="1254"/>
      <c r="BI57" s="628"/>
    </row>
    <row r="58" spans="1:81" s="626" customFormat="1" ht="19.5" customHeight="1">
      <c r="A58" s="1512">
        <v>6</v>
      </c>
      <c r="B58" s="840"/>
      <c r="C58" s="839"/>
      <c r="D58" s="1108"/>
      <c r="E58" s="1109"/>
      <c r="F58" s="77"/>
      <c r="G58" s="839"/>
      <c r="H58" s="77"/>
      <c r="I58" s="839"/>
      <c r="J58" s="77"/>
      <c r="K58" s="839"/>
      <c r="L58" s="840"/>
      <c r="M58" s="77"/>
      <c r="N58" s="837"/>
      <c r="O58" s="3181">
        <f t="shared" si="49"/>
        <v>0</v>
      </c>
      <c r="P58" s="3181"/>
      <c r="Q58" s="3183">
        <f t="shared" si="50"/>
        <v>0</v>
      </c>
      <c r="R58" s="3183"/>
      <c r="T58" s="1975"/>
      <c r="U58" s="1459"/>
      <c r="X58" s="1254"/>
      <c r="Y58" s="1254"/>
      <c r="BI58" s="628"/>
    </row>
    <row r="59" spans="1:81" s="626" customFormat="1" ht="19.5" customHeight="1">
      <c r="A59" s="1512">
        <v>7</v>
      </c>
      <c r="B59" s="840"/>
      <c r="C59" s="839"/>
      <c r="D59" s="1108"/>
      <c r="E59" s="1109"/>
      <c r="F59" s="77"/>
      <c r="G59" s="839"/>
      <c r="H59" s="77"/>
      <c r="I59" s="839"/>
      <c r="J59" s="77"/>
      <c r="K59" s="839"/>
      <c r="L59" s="840"/>
      <c r="M59" s="77"/>
      <c r="N59" s="837"/>
      <c r="O59" s="3181">
        <f t="shared" si="49"/>
        <v>0</v>
      </c>
      <c r="P59" s="3181"/>
      <c r="Q59" s="3183">
        <f t="shared" si="50"/>
        <v>0</v>
      </c>
      <c r="R59" s="3183"/>
      <c r="T59" s="1975"/>
      <c r="U59" s="1459"/>
      <c r="X59" s="1254"/>
      <c r="Y59" s="1254"/>
      <c r="BI59" s="628"/>
    </row>
    <row r="60" spans="1:81" s="626" customFormat="1" ht="19.5" customHeight="1">
      <c r="A60" s="1512">
        <v>8</v>
      </c>
      <c r="B60" s="840"/>
      <c r="C60" s="839"/>
      <c r="D60" s="1108"/>
      <c r="E60" s="1109"/>
      <c r="F60" s="77"/>
      <c r="G60" s="839"/>
      <c r="H60" s="77"/>
      <c r="I60" s="839"/>
      <c r="J60" s="77"/>
      <c r="K60" s="839"/>
      <c r="L60" s="840"/>
      <c r="M60" s="77"/>
      <c r="N60" s="837"/>
      <c r="O60" s="3181">
        <f t="shared" si="49"/>
        <v>0</v>
      </c>
      <c r="P60" s="3181"/>
      <c r="Q60" s="3183">
        <f t="shared" si="50"/>
        <v>0</v>
      </c>
      <c r="R60" s="3183"/>
      <c r="T60" s="1975">
        <f>300*Q60</f>
        <v>0</v>
      </c>
      <c r="U60" s="1459">
        <f>C60/12</f>
        <v>0</v>
      </c>
      <c r="V60" s="628"/>
      <c r="X60" s="1254"/>
      <c r="Y60" s="1254"/>
    </row>
    <row r="61" spans="1:81" s="626" customFormat="1" ht="19.5" customHeight="1">
      <c r="A61" s="1512">
        <v>9</v>
      </c>
      <c r="B61" s="840"/>
      <c r="C61" s="839"/>
      <c r="D61" s="1108"/>
      <c r="E61" s="1109"/>
      <c r="F61" s="77"/>
      <c r="G61" s="839"/>
      <c r="H61" s="77"/>
      <c r="I61" s="839"/>
      <c r="J61" s="77"/>
      <c r="K61" s="839"/>
      <c r="L61" s="840"/>
      <c r="M61" s="77"/>
      <c r="N61" s="837"/>
      <c r="O61" s="3181">
        <f t="shared" si="49"/>
        <v>0</v>
      </c>
      <c r="P61" s="3181"/>
      <c r="Q61" s="3183">
        <f t="shared" si="50"/>
        <v>0</v>
      </c>
      <c r="R61" s="3183"/>
      <c r="T61" s="1975">
        <f>300*Q61</f>
        <v>0</v>
      </c>
      <c r="U61" s="1459">
        <f>C61/12</f>
        <v>0</v>
      </c>
      <c r="W61" s="1373"/>
      <c r="X61" s="1254"/>
      <c r="Y61" s="1254"/>
    </row>
    <row r="62" spans="1:81" s="626" customFormat="1" ht="19.5" customHeight="1">
      <c r="A62" s="1512">
        <v>10</v>
      </c>
      <c r="B62" s="840"/>
      <c r="C62" s="839"/>
      <c r="D62" s="77"/>
      <c r="E62" s="839"/>
      <c r="F62" s="77"/>
      <c r="G62" s="839"/>
      <c r="H62" s="77"/>
      <c r="I62" s="839"/>
      <c r="J62" s="77"/>
      <c r="K62" s="839"/>
      <c r="L62" s="2137"/>
      <c r="M62" s="1621"/>
      <c r="N62" s="2138"/>
      <c r="O62" s="3181">
        <f t="shared" si="49"/>
        <v>0</v>
      </c>
      <c r="P62" s="3181"/>
      <c r="Q62" s="3184">
        <f t="shared" si="50"/>
        <v>0</v>
      </c>
      <c r="R62" s="3184"/>
      <c r="T62" s="1975">
        <f>300*Q62</f>
        <v>0</v>
      </c>
      <c r="U62" s="626">
        <f>C62/12</f>
        <v>0</v>
      </c>
      <c r="W62" s="351">
        <f>T65-U62</f>
        <v>952052.02146429149</v>
      </c>
      <c r="X62" s="1254"/>
      <c r="Y62" s="1254"/>
    </row>
    <row r="63" spans="1:81" s="626" customFormat="1" ht="19.5" customHeight="1">
      <c r="A63" s="888"/>
      <c r="B63" s="889"/>
      <c r="C63" s="890" t="s">
        <v>1261</v>
      </c>
      <c r="D63" s="3036"/>
      <c r="E63" s="3036"/>
      <c r="F63" s="889"/>
      <c r="G63" s="889"/>
      <c r="H63" s="889"/>
      <c r="I63" s="889"/>
      <c r="J63" s="889"/>
      <c r="K63" s="891"/>
      <c r="L63" s="889"/>
      <c r="M63" s="889"/>
      <c r="N63" s="889"/>
      <c r="O63" s="889"/>
      <c r="P63" s="889"/>
      <c r="Q63" s="889"/>
      <c r="R63" s="889"/>
      <c r="S63" s="889"/>
      <c r="T63" s="889"/>
      <c r="U63" s="889"/>
      <c r="V63" s="889"/>
      <c r="W63" s="1475"/>
      <c r="X63" s="1254"/>
      <c r="Y63" s="1254"/>
    </row>
    <row r="64" spans="1:81" s="626" customFormat="1" ht="18" customHeight="1">
      <c r="A64" s="2786" t="s">
        <v>1262</v>
      </c>
      <c r="B64" s="2786"/>
      <c r="C64" s="2786"/>
      <c r="D64" s="2786" t="s">
        <v>982</v>
      </c>
      <c r="E64" s="2786"/>
      <c r="F64" s="2786" t="s">
        <v>1263</v>
      </c>
      <c r="G64" s="2786"/>
      <c r="H64" s="2786"/>
      <c r="I64" s="2788" t="s">
        <v>1264</v>
      </c>
      <c r="J64" s="2788"/>
      <c r="K64" s="2788"/>
      <c r="L64" s="2789" t="s">
        <v>1265</v>
      </c>
      <c r="M64" s="2789"/>
      <c r="N64" s="1058"/>
      <c r="O64" s="1059"/>
      <c r="P64" s="895"/>
      <c r="Q64" s="574" t="s">
        <v>1266</v>
      </c>
      <c r="R64" s="18"/>
      <c r="S64" s="18" t="s">
        <v>1267</v>
      </c>
      <c r="T64" s="896" t="str">
        <f>Summary!P62</f>
        <v>N</v>
      </c>
      <c r="U64" s="793" t="s">
        <v>1268</v>
      </c>
      <c r="V64" s="1136">
        <f>Summary!R62</f>
        <v>8.2500000000000004E-2</v>
      </c>
      <c r="W64" s="898"/>
      <c r="X64" s="1254"/>
      <c r="Y64" s="1254"/>
    </row>
    <row r="65" spans="1:73" s="626" customFormat="1" ht="18" customHeight="1">
      <c r="A65" s="899" t="s">
        <v>1269</v>
      </c>
      <c r="B65" s="2865">
        <f>IF(C50=0,0,D65/C50)</f>
        <v>34.997550944793268</v>
      </c>
      <c r="C65" s="2865"/>
      <c r="D65" s="2866">
        <f>(T65-N119)*(1+L65)</f>
        <v>1123421.385327864</v>
      </c>
      <c r="E65" s="2866"/>
      <c r="F65" s="901">
        <f>IF(G65=0,0,G65/D65)</f>
        <v>0.15254237288135594</v>
      </c>
      <c r="G65" s="2867">
        <f>(D65-T65)</f>
        <v>171369.36386357248</v>
      </c>
      <c r="H65" s="2867"/>
      <c r="I65" s="2868">
        <f>IF(C50=0,0,T65/C50)</f>
        <v>29.658941478638365</v>
      </c>
      <c r="J65" s="2868"/>
      <c r="K65" s="2868"/>
      <c r="L65" s="3031">
        <f>Summary!P59</f>
        <v>0.18</v>
      </c>
      <c r="M65" s="3031"/>
      <c r="N65" s="3031"/>
      <c r="O65" s="3031"/>
      <c r="P65" s="895"/>
      <c r="Q65" s="902" t="s">
        <v>980</v>
      </c>
      <c r="R65" s="18"/>
      <c r="S65" s="18"/>
      <c r="T65" s="2942">
        <f>SUM(N73:O84)+SUM(N87:O97)+SUM(N100:O102)+SUM(N105:O110)+SUM(N112:O118)+W119+SUM(K87:L97)+N119+N103</f>
        <v>952052.02146429149</v>
      </c>
      <c r="U65" s="2942"/>
      <c r="V65" s="18"/>
      <c r="W65" s="898"/>
      <c r="Y65" s="1254"/>
    </row>
    <row r="66" spans="1:73" s="626" customFormat="1" ht="18" customHeight="1">
      <c r="A66" s="909"/>
      <c r="B66" s="2139"/>
      <c r="C66" s="2140" t="str">
        <f>IF(ROUND(D66,0)=0,"BINGO!!",IF(ROUND(D66,0)&lt;0,"To Low","T0 High"))</f>
        <v>T0 High</v>
      </c>
      <c r="D66" s="3185">
        <f>D65-D63</f>
        <v>1123421.385327864</v>
      </c>
      <c r="E66" s="3185"/>
      <c r="F66" s="2139"/>
      <c r="G66" s="2139"/>
      <c r="H66" s="907" t="s">
        <v>1270</v>
      </c>
      <c r="I66" s="908"/>
      <c r="J66" s="2944"/>
      <c r="K66" s="2944"/>
      <c r="L66" s="909"/>
      <c r="M66" s="3109"/>
      <c r="N66" s="3109"/>
      <c r="O66" s="2139"/>
      <c r="P66" s="2141"/>
      <c r="Q66" s="2142"/>
      <c r="R66" s="892"/>
      <c r="S66" s="2139"/>
      <c r="T66" s="3186">
        <f>SUM(BJ50:CC50)</f>
        <v>952052.02146429161</v>
      </c>
      <c r="U66" s="3186"/>
      <c r="V66" s="2139"/>
      <c r="W66" s="2143"/>
      <c r="X66" s="1254"/>
      <c r="Y66" s="1254"/>
    </row>
    <row r="67" spans="1:73" s="626" customFormat="1" ht="18.75" customHeight="1">
      <c r="B67" s="2144"/>
      <c r="G67" s="2144"/>
      <c r="H67" s="2144"/>
      <c r="I67" s="2145"/>
      <c r="J67" s="2144"/>
      <c r="K67" s="2144"/>
      <c r="L67" s="2144"/>
      <c r="M67" s="1860"/>
      <c r="N67" s="2144"/>
      <c r="O67" s="928" t="s">
        <v>1831</v>
      </c>
      <c r="P67" s="927">
        <f>J68+'07-COLUMNS'!J61+'03-Walls &amp; Footings'!J45</f>
        <v>262099.03125</v>
      </c>
      <c r="Q67" s="2146" t="s">
        <v>1832</v>
      </c>
      <c r="R67" s="2147"/>
      <c r="S67" s="3187"/>
      <c r="T67" s="3187"/>
      <c r="U67" s="628">
        <f>T65-T66</f>
        <v>0</v>
      </c>
      <c r="X67" s="1254"/>
      <c r="Y67" s="1254"/>
      <c r="BL67" s="1270"/>
      <c r="BM67" s="1372"/>
      <c r="BP67" s="626" t="s">
        <v>1833</v>
      </c>
      <c r="BQ67" s="1270">
        <f>SUM(BT73:BT87)</f>
        <v>0</v>
      </c>
      <c r="BR67" s="626" t="s">
        <v>878</v>
      </c>
    </row>
    <row r="68" spans="1:73" s="626" customFormat="1" ht="21.75" customHeight="1">
      <c r="A68" s="626" t="s">
        <v>1697</v>
      </c>
      <c r="B68" s="2003" t="s">
        <v>1834</v>
      </c>
      <c r="C68" s="1865"/>
      <c r="D68" s="1865"/>
      <c r="E68" s="919"/>
      <c r="F68" s="919"/>
      <c r="G68" s="2003"/>
      <c r="H68" s="2003"/>
      <c r="I68" s="2148" t="s">
        <v>1835</v>
      </c>
      <c r="J68" s="1864">
        <f>N87+N89+N90+N91+N82+N83+N84</f>
        <v>262099.03125</v>
      </c>
      <c r="K68" s="2003"/>
      <c r="L68" s="2003"/>
      <c r="M68" s="2004"/>
      <c r="N68" s="2803" t="s">
        <v>721</v>
      </c>
      <c r="O68" s="2803"/>
      <c r="P68" s="2149" t="s">
        <v>1272</v>
      </c>
      <c r="Q68" s="2150" t="s">
        <v>1836</v>
      </c>
      <c r="R68" s="2151">
        <f>P67-R67</f>
        <v>262099.03125</v>
      </c>
      <c r="X68" s="1254"/>
      <c r="Y68" s="1254"/>
      <c r="BL68" s="1270"/>
      <c r="BM68" s="1372"/>
      <c r="BP68" s="2152" t="s">
        <v>1837</v>
      </c>
      <c r="BQ68" s="2153">
        <f>IF(BQ69=0,0,BQ70/BQ69)</f>
        <v>0</v>
      </c>
      <c r="BR68" s="2154" t="s">
        <v>612</v>
      </c>
    </row>
    <row r="69" spans="1:73" s="626" customFormat="1" ht="18.75" customHeight="1">
      <c r="B69" s="2155" t="s">
        <v>1838</v>
      </c>
      <c r="C69" s="1865"/>
      <c r="D69" s="3188"/>
      <c r="E69" s="3188"/>
      <c r="F69" s="919"/>
      <c r="G69" s="2003"/>
      <c r="H69" s="2003"/>
      <c r="I69" s="2148"/>
      <c r="J69" s="2003"/>
      <c r="K69" s="2003"/>
      <c r="L69" s="2003"/>
      <c r="M69" s="2004"/>
      <c r="N69" s="924" t="s">
        <v>1839</v>
      </c>
      <c r="O69" s="925"/>
      <c r="P69" s="926"/>
      <c r="Q69" s="626" t="s">
        <v>1840</v>
      </c>
      <c r="R69" s="1380">
        <f>N87+N90</f>
        <v>163710</v>
      </c>
      <c r="S69" s="2156">
        <v>20.5</v>
      </c>
      <c r="T69" s="2157">
        <f>S69*1.3</f>
        <v>26.650000000000002</v>
      </c>
      <c r="U69" s="2158">
        <f>R69/T69</f>
        <v>6142.9643527204498</v>
      </c>
      <c r="V69" s="2159">
        <f>H87/U69</f>
        <v>5.2254901960784315</v>
      </c>
      <c r="X69" s="1254"/>
      <c r="Y69" s="1254"/>
      <c r="BP69" s="626" t="s">
        <v>1841</v>
      </c>
      <c r="BQ69" s="626">
        <f>SUM(BS73:BS87)</f>
        <v>0</v>
      </c>
      <c r="BR69" s="626" t="s">
        <v>878</v>
      </c>
    </row>
    <row r="70" spans="1:73" s="626" customFormat="1" ht="21.75" customHeight="1">
      <c r="B70" s="3189"/>
      <c r="C70" s="3189"/>
      <c r="D70" s="3190"/>
      <c r="E70" s="3190"/>
      <c r="F70" s="919"/>
      <c r="G70" s="2003"/>
      <c r="H70" s="2003"/>
      <c r="I70" s="2160"/>
      <c r="J70" s="2003"/>
      <c r="K70" s="2003"/>
      <c r="L70" s="2003"/>
      <c r="M70" s="2004"/>
      <c r="N70" s="932" t="s">
        <v>1276</v>
      </c>
      <c r="O70" s="933">
        <f>K78</f>
        <v>61715.459714350007</v>
      </c>
      <c r="P70" s="934">
        <f>N78</f>
        <v>43424.540341509528</v>
      </c>
      <c r="Q70" s="626" t="s">
        <v>1842</v>
      </c>
      <c r="R70" s="2161">
        <f>N92</f>
        <v>1440</v>
      </c>
      <c r="S70" s="2162">
        <v>20.5</v>
      </c>
      <c r="T70" s="2163">
        <f>S70*1.3</f>
        <v>26.650000000000002</v>
      </c>
      <c r="U70" s="2164">
        <f>R70/T70</f>
        <v>54.033771106941835</v>
      </c>
      <c r="V70" s="2165">
        <f>H92*2/U70</f>
        <v>8.8833333333333346</v>
      </c>
      <c r="X70" s="1254"/>
      <c r="Y70" s="1254"/>
      <c r="BP70" s="626" t="s">
        <v>1843</v>
      </c>
      <c r="BQ70" s="2166">
        <f>SUM(BU73:BU88)</f>
        <v>0</v>
      </c>
      <c r="BR70" s="626" t="s">
        <v>612</v>
      </c>
    </row>
    <row r="71" spans="1:73" ht="21.75" customHeight="1">
      <c r="A71" s="626"/>
      <c r="B71" s="919"/>
      <c r="C71" s="919"/>
      <c r="D71" s="3191"/>
      <c r="E71" s="3191"/>
      <c r="F71" s="919"/>
      <c r="G71" s="2003"/>
      <c r="H71" s="919"/>
      <c r="I71" s="2160"/>
      <c r="J71" s="2003"/>
      <c r="K71" s="2003"/>
      <c r="L71" s="2003"/>
      <c r="M71" s="2004"/>
      <c r="N71" s="2003"/>
      <c r="O71" s="919"/>
      <c r="P71" s="626"/>
      <c r="Q71" s="626"/>
      <c r="R71" s="626"/>
      <c r="S71" s="626"/>
      <c r="T71" s="626"/>
      <c r="U71" s="626"/>
      <c r="V71" s="626"/>
      <c r="W71" s="626"/>
      <c r="X71" s="1254"/>
      <c r="Y71" s="1254"/>
      <c r="Z71" s="626"/>
      <c r="AA71" s="626"/>
      <c r="AB71" s="626"/>
      <c r="AC71" s="626"/>
      <c r="AD71" s="626"/>
      <c r="AE71" s="626"/>
    </row>
    <row r="72" spans="1:73" ht="50.25" customHeight="1">
      <c r="A72" s="941" t="s">
        <v>1280</v>
      </c>
      <c r="B72" s="1163" t="s">
        <v>1413</v>
      </c>
      <c r="C72" s="2167"/>
      <c r="D72" s="2167"/>
      <c r="E72" s="2167"/>
      <c r="F72" s="2168">
        <f>Summary!D55</f>
        <v>4972623.5045738192</v>
      </c>
      <c r="G72" s="2167"/>
      <c r="H72" s="2167"/>
      <c r="I72" s="2167"/>
      <c r="J72" s="943" t="s">
        <v>1282</v>
      </c>
      <c r="K72" s="2805" t="str">
        <f>IF(SUM(K73:L77)=U50,"Good","Missing Concrete!!!")</f>
        <v>Good</v>
      </c>
      <c r="L72" s="2805"/>
      <c r="M72" s="2167"/>
      <c r="N72" s="2167"/>
      <c r="O72" s="2169"/>
      <c r="P72" s="2170" t="s">
        <v>1284</v>
      </c>
      <c r="Q72" s="946" t="s">
        <v>1283</v>
      </c>
      <c r="R72" s="1098"/>
      <c r="S72" s="818" t="s">
        <v>835</v>
      </c>
      <c r="T72" s="947"/>
      <c r="U72" s="948" t="s">
        <v>518</v>
      </c>
      <c r="V72" s="947"/>
      <c r="W72" s="949"/>
      <c r="X72" s="1254"/>
      <c r="Y72" s="1254"/>
      <c r="Z72" s="626"/>
      <c r="AA72" s="626"/>
      <c r="AB72" s="626"/>
      <c r="AC72" s="626"/>
      <c r="AD72" s="626"/>
      <c r="AE72" s="626"/>
      <c r="BJ72" s="2171" t="s">
        <v>1844</v>
      </c>
      <c r="BK72" s="2172" t="s">
        <v>1845</v>
      </c>
      <c r="BL72" s="2172" t="s">
        <v>1846</v>
      </c>
      <c r="BM72" s="2172" t="s">
        <v>1847</v>
      </c>
      <c r="BN72" s="2172" t="s">
        <v>1848</v>
      </c>
      <c r="BO72" s="2172" t="s">
        <v>1849</v>
      </c>
      <c r="BP72" s="2172" t="s">
        <v>1850</v>
      </c>
      <c r="BQ72" s="2173" t="s">
        <v>1851</v>
      </c>
      <c r="BR72" s="2174" t="s">
        <v>1852</v>
      </c>
      <c r="BS72" s="2175" t="s">
        <v>1853</v>
      </c>
      <c r="BT72" s="2176" t="s">
        <v>1854</v>
      </c>
      <c r="BU72" s="2177" t="s">
        <v>1855</v>
      </c>
    </row>
    <row r="73" spans="1:73" ht="21.75" customHeight="1">
      <c r="A73" s="2178">
        <v>1</v>
      </c>
      <c r="B73" s="2179" t="str">
        <f>IF(A73=1,Pricing!F$2,IF(A73=2,Pricing!G$2,IF(A73=3,Pricing!H$2,IF(A73=4,Pricing!I$2,IF(A73=5,Pricing!J$2,IF(A73=6,Pricing!K$2,IF(A73=7,Pricing!L$2,IF(A73=8,Pricing!M$2,IF(A73=9,Pricing!N$2,IF(A73=10,Pricing!O$2,0))))))))))</f>
        <v>3,000 PSI 5sk /Ash and Air</v>
      </c>
      <c r="C73" s="2180"/>
      <c r="D73" s="2180"/>
      <c r="E73" s="2180"/>
      <c r="F73" s="2181">
        <f>IF(A73=1,Pricing!F$3,IF(A73=2,Pricing!G$3,IF(A73=3,Pricing!H$3,IF(A73=4,Pricing!I$3,IF(A73=5,Pricing!J$3,IF(A73=6,Pricing!K$3,IF(A73=7,Pricing!L$3,IF(A73=8,Pricing!M$3,IF(A73=9,Pricing!N$3,IF(A73=10,Pricing!O$3,0))))))))))</f>
        <v>134</v>
      </c>
      <c r="G73" s="2180" t="s">
        <v>1285</v>
      </c>
      <c r="H73" s="3192"/>
      <c r="I73" s="3192"/>
      <c r="J73" s="3193">
        <v>0.04</v>
      </c>
      <c r="K73" s="3194">
        <f>IF(A73=1,AT$50,IF(A73=2,AU$50,IF(A73=3,AV$50,IF(A73=4,AW$50,IF(A73=5,AX$50,IF(A73=6,AY$50,IF(A73=7,AZ$50,IF(A73=8,BA$50,IF(A73=9,BC$50,IF(A73=10,BD$50))))))))))</f>
        <v>0</v>
      </c>
      <c r="L73" s="3194"/>
      <c r="M73" s="2182" t="s">
        <v>1286</v>
      </c>
      <c r="N73" s="3195">
        <f>K73*F73*(IF(T$64="N",1+V$64,1))</f>
        <v>0</v>
      </c>
      <c r="O73" s="3195"/>
      <c r="P73" s="1172" t="s">
        <v>1069</v>
      </c>
      <c r="Q73" s="859" t="s">
        <v>526</v>
      </c>
      <c r="R73" s="77"/>
      <c r="S73" s="1176">
        <f>(H92+H91)</f>
        <v>1924</v>
      </c>
      <c r="T73" s="77" t="s">
        <v>1259</v>
      </c>
      <c r="U73" s="1174">
        <f>Pricing!Q4</f>
        <v>0.859375</v>
      </c>
      <c r="V73" s="77" t="s">
        <v>527</v>
      </c>
      <c r="W73" s="2183">
        <f t="shared" ref="W73:W78" si="51">IF(T$64="Y",S73*U73,S73*U73*(1+V$64))</f>
        <v>1789.8460937500001</v>
      </c>
      <c r="X73" s="1254"/>
      <c r="Y73" s="1254"/>
      <c r="Z73" s="626"/>
      <c r="AA73" s="626"/>
      <c r="AB73" s="626"/>
      <c r="AC73" s="626"/>
      <c r="AD73" s="626"/>
      <c r="AE73" s="626"/>
      <c r="AH73" s="18">
        <f>5151/136</f>
        <v>37.875</v>
      </c>
      <c r="BJ73" s="1003" t="s">
        <v>1856</v>
      </c>
      <c r="BK73" s="1003">
        <v>6</v>
      </c>
      <c r="BL73" s="1003">
        <v>23</v>
      </c>
      <c r="BM73" s="1003">
        <v>2.75</v>
      </c>
      <c r="BN73" s="1003">
        <v>3.375</v>
      </c>
      <c r="BO73" s="1003">
        <v>0.5</v>
      </c>
      <c r="BP73" s="1003">
        <v>0.5</v>
      </c>
      <c r="BQ73" s="746">
        <v>15</v>
      </c>
      <c r="BR73" s="2184">
        <f>(BK73*(BL73*BM73+BN73)*2*BO73*0.2836)+(BP73*0.5*BP73*0.5*3.145*BQ73*0.2836*BL73*BK73)</f>
        <v>228.76150875000002</v>
      </c>
      <c r="BT73" s="2185">
        <f>BS73*BK73</f>
        <v>0</v>
      </c>
      <c r="BU73" s="2185">
        <f>BR73*BS73</f>
        <v>0</v>
      </c>
    </row>
    <row r="74" spans="1:73" ht="21.75" customHeight="1">
      <c r="A74" s="2186">
        <v>2</v>
      </c>
      <c r="B74" s="2179" t="str">
        <f>IF(A74=1,Pricing!F$2,IF(A74=2,Pricing!G$2,IF(A74=3,Pricing!H$2,IF(A74=4,Pricing!I$2,IF(A74=5,Pricing!J$2,IF(A74=6,Pricing!K$2,IF(A74=7,Pricing!L$2,IF(A74=8,Pricing!M$2,IF(A74=9,Pricing!N$2,IF(A74=10,Pricing!O$2,0))))))))))</f>
        <v>3,000 PSI / Ash no Air</v>
      </c>
      <c r="C74" s="16"/>
      <c r="D74" s="16"/>
      <c r="E74" s="16"/>
      <c r="F74" s="2181">
        <f>IF(A74=1,Pricing!F$3,IF(A74=2,Pricing!G$3,IF(A74=3,Pricing!H$3,IF(A74=4,Pricing!I$3,IF(A74=5,Pricing!J$3,IF(A74=6,Pricing!K$3,IF(A74=7,Pricing!L$3,IF(A74=8,Pricing!M$3,IF(A74=9,Pricing!N$3,IF(A74=10,Pricing!O$3,0))))))))))</f>
        <v>145</v>
      </c>
      <c r="G74" s="16" t="s">
        <v>1285</v>
      </c>
      <c r="H74" s="3192"/>
      <c r="I74" s="3192"/>
      <c r="J74" s="3193"/>
      <c r="K74" s="3196">
        <f>IF(A74=1,AT$50,IF(A74=2,AU$50,IF(A74=3,AV$50,IF(A74=4,AW$50,IF(A74=5,AX$50,IF(A74=6,AY$50,IF(A74=7,AZ$50,IF(A74=8,BA$50,IF(A74=9,BC$50,IF(A74=10,BD$50))))))))))</f>
        <v>0</v>
      </c>
      <c r="L74" s="3196"/>
      <c r="M74" s="46" t="s">
        <v>1286</v>
      </c>
      <c r="N74" s="3197">
        <f>K74*F74*(IF(T$64="N",1+V$64,1))</f>
        <v>0</v>
      </c>
      <c r="O74" s="3197"/>
      <c r="P74" s="1172" t="s">
        <v>1069</v>
      </c>
      <c r="Q74" s="859" t="s">
        <v>534</v>
      </c>
      <c r="R74" s="77"/>
      <c r="S74" s="1176">
        <f>S73</f>
        <v>1924</v>
      </c>
      <c r="T74" s="77" t="s">
        <v>1259</v>
      </c>
      <c r="U74" s="1174">
        <f>Pricing!Q5</f>
        <v>1.4453125</v>
      </c>
      <c r="V74" s="77" t="s">
        <v>527</v>
      </c>
      <c r="W74" s="2187">
        <f t="shared" si="51"/>
        <v>3010.1957031249999</v>
      </c>
      <c r="X74" s="1254"/>
      <c r="Y74" s="1254"/>
      <c r="BJ74" s="2188" t="s">
        <v>1857</v>
      </c>
      <c r="BK74" s="2188">
        <v>7</v>
      </c>
      <c r="BL74" s="2188">
        <v>30</v>
      </c>
      <c r="BM74" s="2188">
        <v>2.375</v>
      </c>
      <c r="BN74" s="2188">
        <v>3.375</v>
      </c>
      <c r="BO74" s="2188">
        <v>0.5</v>
      </c>
      <c r="BP74" s="2188">
        <v>0.5</v>
      </c>
      <c r="BQ74" s="751">
        <v>15</v>
      </c>
      <c r="BR74" s="2189">
        <f>(BK74*(BL74*BM74+BN74)*2*BO74*0.2836)+(BP74*0.5*BP74*0.5*3.145*BQ74*0.2836*BL74*BK74)</f>
        <v>323.74269375000006</v>
      </c>
      <c r="BT74" s="2190">
        <f>BS74*BK74</f>
        <v>0</v>
      </c>
      <c r="BU74" s="2190">
        <f>BR74*BS74</f>
        <v>0</v>
      </c>
    </row>
    <row r="75" spans="1:73" ht="21.75" customHeight="1">
      <c r="A75" s="2191">
        <v>3</v>
      </c>
      <c r="B75" s="2179" t="str">
        <f>IF(A75=1,Pricing!F$2,IF(A75=2,Pricing!G$2,IF(A75=3,Pricing!H$2,IF(A75=4,Pricing!I$2,IF(A75=5,Pricing!J$2,IF(A75=6,Pricing!K$2,IF(A75=7,Pricing!L$2,IF(A75=8,Pricing!M$2,IF(A75=9,Pricing!N$2,IF(A75=10,Pricing!O$2,0))))))))))</f>
        <v>3,500 PSI 5.5sk /Ash and Air</v>
      </c>
      <c r="C75" s="16"/>
      <c r="D75" s="16"/>
      <c r="E75" s="16"/>
      <c r="F75" s="2181">
        <f>IF(A75=1,Pricing!F$3,IF(A75=2,Pricing!G$3,IF(A75=3,Pricing!H$3,IF(A75=4,Pricing!I$3,IF(A75=5,Pricing!J$3,IF(A75=6,Pricing!K$3,IF(A75=7,Pricing!L$3,IF(A75=8,Pricing!M$3,IF(A75=9,Pricing!N$3,IF(A75=10,Pricing!O$3,0))))))))))</f>
        <v>150</v>
      </c>
      <c r="G75" s="16" t="s">
        <v>1285</v>
      </c>
      <c r="H75" s="3192"/>
      <c r="I75" s="3192"/>
      <c r="J75" s="3193"/>
      <c r="K75" s="3196">
        <f>IF(A75=1,AT$50,IF(A75=2,AU$50,IF(A75=3,AV$50,IF(A75=4,AW$50,IF(A75=5,AX$50,IF(A75=6,AY$50,IF(A75=7,AZ$50,IF(A75=8,BA$50,IF(A75=9,BC$50,IF(A75=10,BD$50))))))))))</f>
        <v>0</v>
      </c>
      <c r="L75" s="3196"/>
      <c r="M75" s="46" t="s">
        <v>1286</v>
      </c>
      <c r="N75" s="3197">
        <f>K75*F75*(IF(T$64="N",1+V$64,1))</f>
        <v>0</v>
      </c>
      <c r="O75" s="3197"/>
      <c r="P75" s="1172"/>
      <c r="Q75" s="859"/>
      <c r="R75" s="77"/>
      <c r="S75" s="1176"/>
      <c r="T75" s="77"/>
      <c r="U75" s="1174"/>
      <c r="V75" s="77"/>
      <c r="W75" s="2187">
        <f t="shared" si="51"/>
        <v>0</v>
      </c>
      <c r="X75" s="1254"/>
      <c r="Y75" s="1254"/>
      <c r="BJ75" s="2188"/>
      <c r="BK75" s="2188"/>
      <c r="BL75" s="2188"/>
      <c r="BM75" s="2188"/>
      <c r="BN75" s="2188"/>
      <c r="BO75" s="2188"/>
      <c r="BP75" s="2188"/>
      <c r="BQ75" s="751"/>
      <c r="BR75" s="2189"/>
      <c r="BT75" s="2190"/>
      <c r="BU75" s="2190"/>
    </row>
    <row r="76" spans="1:73" ht="21.75" customHeight="1">
      <c r="A76" s="2191">
        <v>8</v>
      </c>
      <c r="B76" s="2179" t="str">
        <f>IF(A76=1,Pricing!F$2,IF(A76=2,Pricing!G$2,IF(A76=3,Pricing!H$2,IF(A76=4,Pricing!I$2,IF(A76=5,Pricing!J$2,IF(A76=6,Pricing!K$2,IF(A76=7,Pricing!L$2,IF(A76=8,Pricing!M$2,IF(A76=9,Pricing!N$2,IF(A76=10,Pricing!O$2,0))))))))))</f>
        <v>5,000 PSI / Ash no Air</v>
      </c>
      <c r="C76" s="16"/>
      <c r="D76" s="16"/>
      <c r="E76" s="16"/>
      <c r="F76" s="2181">
        <f>IF(A76=1,Pricing!F$3,IF(A76=2,Pricing!G$3,IF(A76=3,Pricing!H$3,IF(A76=4,Pricing!I$3,IF(A76=5,Pricing!J$3,IF(A76=6,Pricing!K$3,IF(A76=7,Pricing!L$3,IF(A76=8,Pricing!M$3,IF(A76=9,Pricing!N$3,IF(A76=10,Pricing!O$3,0))))))))))</f>
        <v>175</v>
      </c>
      <c r="G76" s="16" t="s">
        <v>1285</v>
      </c>
      <c r="H76" s="3192"/>
      <c r="I76" s="3192"/>
      <c r="J76" s="3193"/>
      <c r="K76" s="3196">
        <f>IF(A76=1,AT$50,IF(A76=2,AU$50,IF(A76=3,AV$50,IF(A76=4,AW$50,IF(A76=5,AX$50,IF(A76=6,AY$50,IF(A76=7,AZ$50,IF(A76=8,BA$50,IF(A76=9,BC$50,IF(A76=10,BD$50))))))))))</f>
        <v>1459.8518518518517</v>
      </c>
      <c r="L76" s="3196"/>
      <c r="M76" s="46" t="s">
        <v>1286</v>
      </c>
      <c r="N76" s="3197">
        <f>K76*F76*(IF(T$64="N",1+V$64,1))</f>
        <v>276550.68518518517</v>
      </c>
      <c r="O76" s="3197"/>
      <c r="P76" s="1172"/>
      <c r="Q76" s="859"/>
      <c r="R76" s="77"/>
      <c r="S76" s="1176"/>
      <c r="T76" s="77"/>
      <c r="U76" s="1174"/>
      <c r="V76" s="77"/>
      <c r="W76" s="2187">
        <f t="shared" si="51"/>
        <v>0</v>
      </c>
      <c r="X76" s="1254"/>
      <c r="Y76" s="1254"/>
      <c r="BJ76" s="2188"/>
      <c r="BK76" s="2188"/>
      <c r="BL76" s="2188"/>
      <c r="BM76" s="2188"/>
      <c r="BN76" s="2188"/>
      <c r="BO76" s="2188"/>
      <c r="BP76" s="2188"/>
      <c r="BQ76" s="751"/>
      <c r="BR76" s="2189"/>
      <c r="BT76" s="2190"/>
      <c r="BU76" s="2190"/>
    </row>
    <row r="77" spans="1:73" ht="21.75" customHeight="1">
      <c r="A77" s="2192">
        <v>5</v>
      </c>
      <c r="B77" s="2193" t="str">
        <f>IF(A77=1,Pricing!F$2,IF(A77=2,Pricing!G$2,IF(A77=3,Pricing!H$2,IF(A77=4,Pricing!I$2,IF(A77=5,Pricing!J$2,IF(A77=6,Pricing!K$2,IF(A77=7,Pricing!L$2,IF(A77=8,Pricing!M$2,IF(A77=9,Pricing!N$2,IF(A77=10,Pricing!O$2,0))))))))))</f>
        <v>4,000 PSI /Ash and Air</v>
      </c>
      <c r="C77" s="2194"/>
      <c r="D77" s="2194"/>
      <c r="E77" s="2194"/>
      <c r="F77" s="2195">
        <f>IF(A77=1,Pricing!F$3,IF(A77=2,Pricing!G$3,IF(A77=3,Pricing!H$3,IF(A77=4,Pricing!I$3,IF(A77=5,Pricing!J$3,IF(A77=6,Pricing!K$3,IF(A77=7,Pricing!L$3,IF(A77=8,Pricing!M$3,IF(A77=9,Pricing!N$3,IF(A77=10,Pricing!O$3,0))))))))))</f>
        <v>155</v>
      </c>
      <c r="G77" s="2194" t="s">
        <v>1285</v>
      </c>
      <c r="H77" s="3192"/>
      <c r="I77" s="3192"/>
      <c r="J77" s="3193"/>
      <c r="K77" s="3198">
        <f>IF(A77=1,AT$50,IF(A77=2,AU$50,IF(A77=3,AV$50,IF(A77=4,AW$50,IF(A77=5,AX$50,IF(A77=6,AY$50,IF(A77=7,AZ$50,IF(A77=8,BA$50,IF(A77=9,BC$50,IF(A77=10,BD$50))))))))))</f>
        <v>0</v>
      </c>
      <c r="L77" s="3198"/>
      <c r="M77" s="2196" t="s">
        <v>1286</v>
      </c>
      <c r="N77" s="3199">
        <f>K77*F77*(IF(T$64="N",1+V$64,1))</f>
        <v>0</v>
      </c>
      <c r="O77" s="3199"/>
      <c r="P77" s="1172" t="s">
        <v>1069</v>
      </c>
      <c r="Q77" s="859" t="s">
        <v>536</v>
      </c>
      <c r="R77" s="77"/>
      <c r="S77" s="1176">
        <v>0</v>
      </c>
      <c r="T77" s="77" t="s">
        <v>1259</v>
      </c>
      <c r="U77" s="1174">
        <f>Pricing!Q6</f>
        <v>1.171875</v>
      </c>
      <c r="V77" s="77" t="s">
        <v>527</v>
      </c>
      <c r="W77" s="2187">
        <f t="shared" si="51"/>
        <v>0</v>
      </c>
      <c r="X77" s="1254"/>
      <c r="Y77" s="1254"/>
      <c r="Z77" s="626"/>
      <c r="AA77" s="626"/>
      <c r="AB77" s="626"/>
      <c r="AC77" s="626"/>
      <c r="AD77" s="626"/>
      <c r="AE77" s="626"/>
      <c r="BJ77" s="2188" t="s">
        <v>1858</v>
      </c>
      <c r="BK77" s="2188">
        <v>10</v>
      </c>
      <c r="BL77" s="2188">
        <v>18</v>
      </c>
      <c r="BM77" s="2188">
        <v>2.75</v>
      </c>
      <c r="BN77" s="2188">
        <v>3.375</v>
      </c>
      <c r="BO77" s="2188">
        <v>0.5</v>
      </c>
      <c r="BP77" s="2188">
        <v>0.5</v>
      </c>
      <c r="BQ77" s="751">
        <v>15</v>
      </c>
      <c r="BR77" s="2189">
        <f t="shared" ref="BR77:BR87" si="52">(BK77*(BL77*BM77+BN77)*2*BO77*0.2836)+(BP77*0.5*BP77*0.5*3.145*BQ77*0.2836*BL77*BK77)</f>
        <v>300.46533750000003</v>
      </c>
      <c r="BT77" s="2190">
        <f t="shared" ref="BT77:BT87" si="53">BS77*BK77</f>
        <v>0</v>
      </c>
      <c r="BU77" s="2190">
        <f t="shared" ref="BU77:BU87" si="54">BR77*BS77</f>
        <v>0</v>
      </c>
    </row>
    <row r="78" spans="1:73" ht="21.75" customHeight="1">
      <c r="A78" s="2197" t="str">
        <f>Summary!V60</f>
        <v>Import</v>
      </c>
      <c r="B78" s="2198" t="s">
        <v>1287</v>
      </c>
      <c r="C78" s="2199"/>
      <c r="D78" s="2199"/>
      <c r="E78" s="2200"/>
      <c r="F78" s="2201">
        <f>Pricing!D23</f>
        <v>0.65</v>
      </c>
      <c r="G78" s="16" t="s">
        <v>555</v>
      </c>
      <c r="H78" s="3200"/>
      <c r="I78" s="3200"/>
      <c r="J78" s="2202">
        <v>0.1</v>
      </c>
      <c r="K78" s="3196">
        <f>SUM(T10:T49)</f>
        <v>61715.459714350007</v>
      </c>
      <c r="L78" s="3196"/>
      <c r="M78" s="16" t="s">
        <v>1288</v>
      </c>
      <c r="N78" s="3197">
        <f>F78*K78*(IF(T64="N",1+V64,1))</f>
        <v>43424.540341509528</v>
      </c>
      <c r="O78" s="3197"/>
      <c r="P78" s="1172" t="s">
        <v>1069</v>
      </c>
      <c r="Q78" s="859" t="s">
        <v>538</v>
      </c>
      <c r="R78" s="77"/>
      <c r="S78" s="1176">
        <f>(H91+H92)*0.2</f>
        <v>384.8</v>
      </c>
      <c r="T78" s="77" t="s">
        <v>1259</v>
      </c>
      <c r="U78" s="1174">
        <f>Pricing!Q7</f>
        <v>1.09375</v>
      </c>
      <c r="V78" s="77" t="s">
        <v>527</v>
      </c>
      <c r="W78" s="2187">
        <f t="shared" si="51"/>
        <v>455.59718750000002</v>
      </c>
      <c r="X78" s="1254"/>
      <c r="Y78" s="1254"/>
      <c r="Z78" s="626"/>
      <c r="AA78" s="626"/>
      <c r="AB78" s="626"/>
      <c r="AC78" s="626"/>
      <c r="AD78" s="626"/>
      <c r="AE78" s="626"/>
      <c r="BJ78" s="2188" t="s">
        <v>1859</v>
      </c>
      <c r="BK78" s="2188">
        <v>7</v>
      </c>
      <c r="BL78" s="2188">
        <v>23</v>
      </c>
      <c r="BM78" s="2188">
        <v>2.375</v>
      </c>
      <c r="BN78" s="2188">
        <v>3.375</v>
      </c>
      <c r="BO78" s="2188">
        <v>0.5</v>
      </c>
      <c r="BP78" s="2188">
        <v>0.5</v>
      </c>
      <c r="BQ78" s="751">
        <v>15</v>
      </c>
      <c r="BR78" s="2189">
        <f t="shared" si="52"/>
        <v>249.76607687500001</v>
      </c>
      <c r="BT78" s="2190">
        <f t="shared" si="53"/>
        <v>0</v>
      </c>
      <c r="BU78" s="2190">
        <f t="shared" si="54"/>
        <v>0</v>
      </c>
    </row>
    <row r="79" spans="1:73" ht="21.75" customHeight="1">
      <c r="A79" s="2203" t="s">
        <v>1860</v>
      </c>
      <c r="B79" s="2204"/>
      <c r="C79" s="2205">
        <f>BQ69</f>
        <v>0</v>
      </c>
      <c r="D79" s="2204" t="s">
        <v>797</v>
      </c>
      <c r="E79" s="2206"/>
      <c r="F79" s="2207">
        <v>1.65</v>
      </c>
      <c r="G79" s="16" t="s">
        <v>555</v>
      </c>
      <c r="H79" s="2208">
        <f>BQ68</f>
        <v>0</v>
      </c>
      <c r="I79" s="2209" t="s">
        <v>612</v>
      </c>
      <c r="J79" s="2210">
        <v>0.1</v>
      </c>
      <c r="K79" s="3196">
        <f>H79*C79</f>
        <v>0</v>
      </c>
      <c r="L79" s="3196"/>
      <c r="M79" s="16" t="s">
        <v>1861</v>
      </c>
      <c r="N79" s="3197">
        <f>F79*K79*(IF(T64="N",1+V64,1))</f>
        <v>0</v>
      </c>
      <c r="O79" s="3197"/>
      <c r="P79" s="1172" t="s">
        <v>1069</v>
      </c>
      <c r="Q79" s="859" t="s">
        <v>1292</v>
      </c>
      <c r="R79" s="77"/>
      <c r="S79" s="1176">
        <f>ROUNDUP(SUM(H10:H49)*0.03/16,0)</f>
        <v>4</v>
      </c>
      <c r="T79" s="77" t="s">
        <v>1293</v>
      </c>
      <c r="U79" s="1174">
        <f>Pricing!Q9</f>
        <v>20</v>
      </c>
      <c r="V79" s="77" t="s">
        <v>541</v>
      </c>
      <c r="W79" s="2187">
        <f>U99*S99</f>
        <v>0</v>
      </c>
      <c r="X79" s="1254"/>
      <c r="Y79" s="1254"/>
      <c r="Z79" s="626"/>
      <c r="AA79" s="626"/>
      <c r="AB79" s="626"/>
      <c r="AC79" s="626"/>
      <c r="AD79" s="626"/>
      <c r="AE79" s="626"/>
      <c r="BJ79" s="2188" t="s">
        <v>1862</v>
      </c>
      <c r="BK79" s="2188">
        <v>8</v>
      </c>
      <c r="BL79" s="2188">
        <v>28</v>
      </c>
      <c r="BM79" s="2188">
        <v>2.5</v>
      </c>
      <c r="BN79" s="2188">
        <v>4.875</v>
      </c>
      <c r="BO79" s="2188">
        <v>0.5</v>
      </c>
      <c r="BP79" s="2188">
        <v>0.5</v>
      </c>
      <c r="BQ79" s="751">
        <v>15</v>
      </c>
      <c r="BR79" s="2189">
        <f t="shared" si="52"/>
        <v>357.18002000000001</v>
      </c>
      <c r="BT79" s="2190">
        <f t="shared" si="53"/>
        <v>0</v>
      </c>
      <c r="BU79" s="2190">
        <f t="shared" si="54"/>
        <v>0</v>
      </c>
    </row>
    <row r="80" spans="1:73" ht="21.75" customHeight="1">
      <c r="A80" s="2211" t="s">
        <v>1863</v>
      </c>
      <c r="B80" s="2212"/>
      <c r="C80" s="3201" t="s">
        <v>1607</v>
      </c>
      <c r="D80" s="3201"/>
      <c r="E80" s="2213" t="s">
        <v>1608</v>
      </c>
      <c r="F80" s="2207">
        <v>1.45</v>
      </c>
      <c r="G80" s="2214" t="s">
        <v>600</v>
      </c>
      <c r="H80" s="2214" t="s">
        <v>1291</v>
      </c>
      <c r="I80" s="3202"/>
      <c r="J80" s="3202"/>
      <c r="K80" s="3203">
        <f>BE50</f>
        <v>32100</v>
      </c>
      <c r="L80" s="3203"/>
      <c r="M80" s="2214" t="s">
        <v>1418</v>
      </c>
      <c r="N80" s="3204">
        <f>IF(I80=0,K80*F80,I80)*(IF(T64="N",1+V64,1))</f>
        <v>50384.962500000001</v>
      </c>
      <c r="O80" s="3204"/>
      <c r="P80" s="1172" t="s">
        <v>1069</v>
      </c>
      <c r="Q80" s="859" t="s">
        <v>540</v>
      </c>
      <c r="R80" s="77"/>
      <c r="S80" s="1176">
        <f>(H92+H91)/64</f>
        <v>30.0625</v>
      </c>
      <c r="T80" s="77" t="s">
        <v>1293</v>
      </c>
      <c r="U80" s="1174">
        <f>Pricing!Q8</f>
        <v>74.75</v>
      </c>
      <c r="V80" s="77" t="s">
        <v>541</v>
      </c>
      <c r="W80" s="2187">
        <f t="shared" ref="W80:W88" si="55">IF(T$64="Y",S80*U80,S80*U80*(1+V$64))</f>
        <v>2432.5635546875001</v>
      </c>
      <c r="X80" s="1254"/>
      <c r="Y80" s="1254"/>
      <c r="Z80" s="626"/>
      <c r="AA80" s="626"/>
      <c r="AB80" s="626"/>
      <c r="AC80" s="626"/>
      <c r="AD80" s="626"/>
      <c r="AE80" s="626"/>
      <c r="BJ80" s="2188" t="s">
        <v>1864</v>
      </c>
      <c r="BK80" s="2188">
        <v>8</v>
      </c>
      <c r="BL80" s="2188">
        <v>30</v>
      </c>
      <c r="BM80" s="2188">
        <v>2.75</v>
      </c>
      <c r="BN80" s="2188">
        <v>3.75</v>
      </c>
      <c r="BO80" s="2188">
        <v>0.5</v>
      </c>
      <c r="BP80" s="2188">
        <v>0.5</v>
      </c>
      <c r="BQ80" s="751">
        <v>15</v>
      </c>
      <c r="BR80" s="2189">
        <f t="shared" si="52"/>
        <v>396.36645000000004</v>
      </c>
      <c r="BT80" s="2190">
        <f t="shared" si="53"/>
        <v>0</v>
      </c>
      <c r="BU80" s="2190">
        <f t="shared" si="54"/>
        <v>0</v>
      </c>
    </row>
    <row r="81" spans="1:73" ht="21.75" customHeight="1">
      <c r="A81" s="3205" t="s">
        <v>1334</v>
      </c>
      <c r="B81" s="3205"/>
      <c r="C81" s="3205"/>
      <c r="D81" s="3205"/>
      <c r="E81" s="3205"/>
      <c r="F81" s="2215">
        <v>0.85</v>
      </c>
      <c r="G81" s="16" t="s">
        <v>600</v>
      </c>
      <c r="H81" s="3200"/>
      <c r="I81" s="3200"/>
      <c r="J81" s="2216">
        <v>0.1</v>
      </c>
      <c r="K81" s="3206"/>
      <c r="L81" s="3206"/>
      <c r="M81" s="16"/>
      <c r="N81" s="3197">
        <f>K81*F81*(IF(T64="N",1+V64,1))</f>
        <v>0</v>
      </c>
      <c r="O81" s="3197"/>
      <c r="P81" s="1172" t="s">
        <v>1069</v>
      </c>
      <c r="Q81" s="859" t="s">
        <v>1422</v>
      </c>
      <c r="R81" s="77"/>
      <c r="S81" s="1176">
        <f>ROUND(S78/25,0)*0.5</f>
        <v>7.5</v>
      </c>
      <c r="T81" s="77" t="s">
        <v>1705</v>
      </c>
      <c r="U81" s="1174">
        <f>Pricing!Q15</f>
        <v>24</v>
      </c>
      <c r="V81" s="77" t="s">
        <v>1300</v>
      </c>
      <c r="W81" s="2187">
        <f t="shared" si="55"/>
        <v>194.85</v>
      </c>
      <c r="X81" s="1254"/>
      <c r="Y81" s="1254"/>
      <c r="Z81" s="626"/>
      <c r="AA81" s="626"/>
      <c r="AB81" s="626"/>
      <c r="AC81" s="626"/>
      <c r="AD81" s="626"/>
      <c r="AE81" s="626"/>
      <c r="BJ81" s="2188" t="s">
        <v>1865</v>
      </c>
      <c r="BK81" s="2188">
        <v>7</v>
      </c>
      <c r="BL81" s="2188">
        <v>20</v>
      </c>
      <c r="BM81" s="2188">
        <v>2.75</v>
      </c>
      <c r="BN81" s="2188">
        <v>3.75</v>
      </c>
      <c r="BO81" s="2188">
        <v>0.5</v>
      </c>
      <c r="BP81" s="2188">
        <v>0.5</v>
      </c>
      <c r="BQ81" s="751">
        <v>15</v>
      </c>
      <c r="BR81" s="2189">
        <f t="shared" si="52"/>
        <v>233.69526250000001</v>
      </c>
      <c r="BT81" s="2190">
        <f t="shared" si="53"/>
        <v>0</v>
      </c>
      <c r="BU81" s="2190">
        <f t="shared" si="54"/>
        <v>0</v>
      </c>
    </row>
    <row r="82" spans="1:73" ht="21.75" customHeight="1">
      <c r="A82" s="3207" t="s">
        <v>1866</v>
      </c>
      <c r="B82" s="3207"/>
      <c r="C82" s="3207"/>
      <c r="D82" s="3207"/>
      <c r="E82" s="3207"/>
      <c r="F82" s="2202">
        <v>0.5</v>
      </c>
      <c r="G82" s="16" t="s">
        <v>1867</v>
      </c>
      <c r="H82" s="16"/>
      <c r="I82" s="16"/>
      <c r="J82" s="2217">
        <v>1.5</v>
      </c>
      <c r="K82" s="3208">
        <f>C50*F82</f>
        <v>16050</v>
      </c>
      <c r="L82" s="3208"/>
      <c r="M82" s="16" t="s">
        <v>1418</v>
      </c>
      <c r="N82" s="3197">
        <f>K82*J82*(IF(T$64="N",(1+V$64),1))</f>
        <v>26061.1875</v>
      </c>
      <c r="O82" s="3197"/>
      <c r="P82" s="1172" t="s">
        <v>1069</v>
      </c>
      <c r="Q82" s="859" t="s">
        <v>561</v>
      </c>
      <c r="R82" s="77"/>
      <c r="S82" s="1176">
        <f>ROUNDUP(SUM(H10:H49)*1.25/1500,0)</f>
        <v>2</v>
      </c>
      <c r="T82" s="77" t="s">
        <v>1303</v>
      </c>
      <c r="U82" s="1174">
        <f>Pricing!Q16</f>
        <v>68.2</v>
      </c>
      <c r="V82" s="77" t="s">
        <v>562</v>
      </c>
      <c r="W82" s="2187">
        <f t="shared" si="55"/>
        <v>147.65300000000002</v>
      </c>
      <c r="X82" s="1254"/>
      <c r="Y82" s="1254"/>
      <c r="Z82" s="626"/>
      <c r="AA82" s="626"/>
      <c r="AB82" s="626"/>
      <c r="AC82" s="626"/>
      <c r="AD82" s="626"/>
      <c r="AE82" s="626"/>
      <c r="BJ82" s="2188" t="s">
        <v>1868</v>
      </c>
      <c r="BK82" s="2188">
        <v>10</v>
      </c>
      <c r="BL82" s="2188">
        <v>23</v>
      </c>
      <c r="BM82" s="2188">
        <v>2.25</v>
      </c>
      <c r="BN82" s="2188">
        <v>3.75</v>
      </c>
      <c r="BO82" s="2188">
        <v>0.5</v>
      </c>
      <c r="BP82" s="2188">
        <v>0.5</v>
      </c>
      <c r="BQ82" s="751">
        <v>15</v>
      </c>
      <c r="BR82" s="2189">
        <f t="shared" si="52"/>
        <v>349.71868125000003</v>
      </c>
      <c r="BT82" s="2190">
        <f t="shared" si="53"/>
        <v>0</v>
      </c>
      <c r="BU82" s="2190">
        <f t="shared" si="54"/>
        <v>0</v>
      </c>
    </row>
    <row r="83" spans="1:73" ht="21.75" customHeight="1">
      <c r="A83" s="3207" t="s">
        <v>1869</v>
      </c>
      <c r="B83" s="3207"/>
      <c r="C83" s="3207"/>
      <c r="D83" s="3207"/>
      <c r="E83" s="3207"/>
      <c r="F83" s="2218"/>
      <c r="G83" s="16" t="s">
        <v>600</v>
      </c>
      <c r="H83" s="16"/>
      <c r="I83" s="16"/>
      <c r="J83" s="3209">
        <v>1.1000000000000001</v>
      </c>
      <c r="K83" s="3208">
        <f>C10+C12+C14+C16+C22+C24+C28</f>
        <v>32100</v>
      </c>
      <c r="L83" s="3208"/>
      <c r="M83" s="16" t="s">
        <v>1418</v>
      </c>
      <c r="N83" s="3197">
        <f>K83*F83*J$83*(IF(T$64="N",(1+V$64),1))</f>
        <v>0</v>
      </c>
      <c r="O83" s="3197"/>
      <c r="P83" s="1172" t="s">
        <v>1069</v>
      </c>
      <c r="Q83" s="859" t="s">
        <v>563</v>
      </c>
      <c r="R83" s="77"/>
      <c r="S83" s="1176">
        <f>ROUNDUP(SUM(H10:H49)*1.25/3000,0)</f>
        <v>1</v>
      </c>
      <c r="T83" s="77" t="s">
        <v>1303</v>
      </c>
      <c r="U83" s="1174">
        <f>Pricing!Q17</f>
        <v>68.2</v>
      </c>
      <c r="V83" s="77" t="s">
        <v>562</v>
      </c>
      <c r="W83" s="2187">
        <f t="shared" si="55"/>
        <v>73.82650000000001</v>
      </c>
      <c r="X83" s="1254"/>
      <c r="Y83" s="1254"/>
      <c r="BJ83" s="2188" t="s">
        <v>1870</v>
      </c>
      <c r="BK83" s="2188">
        <v>8</v>
      </c>
      <c r="BL83" s="2188">
        <v>27</v>
      </c>
      <c r="BM83" s="2188">
        <v>2.25</v>
      </c>
      <c r="BN83" s="2188">
        <v>3.75</v>
      </c>
      <c r="BO83" s="2188">
        <v>0.5</v>
      </c>
      <c r="BP83" s="2188">
        <v>0.5</v>
      </c>
      <c r="BQ83" s="751">
        <v>15</v>
      </c>
      <c r="BR83" s="2189">
        <f t="shared" si="52"/>
        <v>326.95180500000004</v>
      </c>
      <c r="BT83" s="2190">
        <f t="shared" si="53"/>
        <v>0</v>
      </c>
      <c r="BU83" s="2190">
        <f t="shared" si="54"/>
        <v>0</v>
      </c>
    </row>
    <row r="84" spans="1:73" ht="21.75" customHeight="1">
      <c r="A84" s="3210" t="s">
        <v>1871</v>
      </c>
      <c r="B84" s="3210"/>
      <c r="C84" s="3210"/>
      <c r="D84" s="3210"/>
      <c r="E84" s="3210"/>
      <c r="F84" s="2219">
        <v>1.25</v>
      </c>
      <c r="G84" s="2220" t="s">
        <v>1418</v>
      </c>
      <c r="H84" s="3211" t="s">
        <v>1708</v>
      </c>
      <c r="I84" s="3211"/>
      <c r="J84" s="3209"/>
      <c r="K84" s="3212">
        <f>H87</f>
        <v>32100</v>
      </c>
      <c r="L84" s="3212"/>
      <c r="M84" s="2220" t="s">
        <v>1418</v>
      </c>
      <c r="N84" s="3213">
        <f>K84*F84*J$83*(IF(T$64="N",(1+V$64),1))</f>
        <v>47778.84375</v>
      </c>
      <c r="O84" s="3213"/>
      <c r="P84" s="1172" t="s">
        <v>1069</v>
      </c>
      <c r="Q84" s="859" t="s">
        <v>564</v>
      </c>
      <c r="R84" s="77"/>
      <c r="S84" s="1176">
        <f>S83</f>
        <v>1</v>
      </c>
      <c r="T84" s="77" t="s">
        <v>1303</v>
      </c>
      <c r="U84" s="1174">
        <f>Pricing!Q16</f>
        <v>68.2</v>
      </c>
      <c r="V84" s="77" t="s">
        <v>562</v>
      </c>
      <c r="W84" s="2187">
        <f t="shared" si="55"/>
        <v>73.82650000000001</v>
      </c>
      <c r="X84" s="1254"/>
      <c r="Y84" s="1254"/>
      <c r="AK84" s="18">
        <f>SUM(AK85:AK104)</f>
        <v>717.87999999999988</v>
      </c>
      <c r="AL84" s="18" t="s">
        <v>998</v>
      </c>
      <c r="AQ84" s="18">
        <f>SUM(AQ85:AQ104)</f>
        <v>5151</v>
      </c>
      <c r="BJ84" s="2188" t="s">
        <v>1872</v>
      </c>
      <c r="BK84" s="2188">
        <v>7</v>
      </c>
      <c r="BL84" s="2188">
        <v>26</v>
      </c>
      <c r="BM84" s="2188">
        <v>2.375</v>
      </c>
      <c r="BN84" s="2188">
        <v>3.375</v>
      </c>
      <c r="BO84" s="2188">
        <v>0.5</v>
      </c>
      <c r="BP84" s="2188">
        <v>0.5</v>
      </c>
      <c r="BQ84" s="751">
        <v>15</v>
      </c>
      <c r="BR84" s="2189">
        <f t="shared" si="52"/>
        <v>281.47034125000005</v>
      </c>
      <c r="BT84" s="2190">
        <f t="shared" si="53"/>
        <v>0</v>
      </c>
      <c r="BU84" s="2190">
        <f t="shared" si="54"/>
        <v>0</v>
      </c>
    </row>
    <row r="85" spans="1:73" ht="21.75" customHeight="1">
      <c r="A85" s="2221"/>
      <c r="B85" s="2222"/>
      <c r="C85" s="2222"/>
      <c r="D85" s="2222"/>
      <c r="E85" s="2222"/>
      <c r="F85" s="2222"/>
      <c r="G85" s="2222"/>
      <c r="H85" s="2223"/>
      <c r="I85" s="2223"/>
      <c r="J85" s="2224"/>
      <c r="K85" s="2225"/>
      <c r="L85" s="2225"/>
      <c r="M85" s="2222"/>
      <c r="N85" s="2226"/>
      <c r="O85" s="2227"/>
      <c r="P85" s="1172" t="s">
        <v>1069</v>
      </c>
      <c r="Q85" s="859" t="s">
        <v>1310</v>
      </c>
      <c r="R85" s="77"/>
      <c r="S85" s="1176">
        <v>0</v>
      </c>
      <c r="T85" s="77" t="s">
        <v>1303</v>
      </c>
      <c r="U85" s="1174">
        <f>Pricing!Q34</f>
        <v>45.239999999999995</v>
      </c>
      <c r="V85" s="77" t="s">
        <v>562</v>
      </c>
      <c r="W85" s="2187">
        <f t="shared" si="55"/>
        <v>0</v>
      </c>
      <c r="X85" s="1254"/>
      <c r="Y85" s="1254"/>
      <c r="AE85" s="500"/>
      <c r="AK85" s="18">
        <v>16.829999999999998</v>
      </c>
      <c r="AL85" s="18" t="s">
        <v>1873</v>
      </c>
      <c r="AM85" s="18">
        <v>36</v>
      </c>
      <c r="AN85" s="18" t="s">
        <v>1874</v>
      </c>
      <c r="AO85" s="18">
        <v>28</v>
      </c>
      <c r="AP85" s="18" t="s">
        <v>1875</v>
      </c>
      <c r="AQ85" s="18">
        <v>152</v>
      </c>
      <c r="AR85" s="18" t="s">
        <v>849</v>
      </c>
      <c r="BJ85" s="2188" t="s">
        <v>1876</v>
      </c>
      <c r="BK85" s="2188">
        <v>8</v>
      </c>
      <c r="BL85" s="2188">
        <v>23</v>
      </c>
      <c r="BM85" s="2188">
        <v>2.375</v>
      </c>
      <c r="BN85" s="2188">
        <v>3.375</v>
      </c>
      <c r="BO85" s="2188">
        <v>0.5</v>
      </c>
      <c r="BP85" s="2188">
        <v>0.5</v>
      </c>
      <c r="BQ85" s="751">
        <v>15</v>
      </c>
      <c r="BR85" s="2189">
        <f t="shared" si="52"/>
        <v>285.44694500000003</v>
      </c>
      <c r="BT85" s="2190">
        <f t="shared" si="53"/>
        <v>0</v>
      </c>
      <c r="BU85" s="2190">
        <f t="shared" si="54"/>
        <v>0</v>
      </c>
    </row>
    <row r="86" spans="1:73" ht="21.75" customHeight="1">
      <c r="A86" s="2228" t="s">
        <v>1434</v>
      </c>
      <c r="B86" s="2229"/>
      <c r="C86" s="2229" t="s">
        <v>1296</v>
      </c>
      <c r="D86" s="2229"/>
      <c r="E86" s="2229"/>
      <c r="F86" s="2229"/>
      <c r="G86" s="2230"/>
      <c r="H86" s="2229"/>
      <c r="I86" s="2229"/>
      <c r="J86" s="2229"/>
      <c r="K86" s="3214" t="s">
        <v>973</v>
      </c>
      <c r="L86" s="3214"/>
      <c r="M86" s="3215" t="s">
        <v>1297</v>
      </c>
      <c r="N86" s="3215"/>
      <c r="O86" s="3215"/>
      <c r="P86" s="1172" t="s">
        <v>1069</v>
      </c>
      <c r="Q86" s="859" t="s">
        <v>571</v>
      </c>
      <c r="R86" s="77"/>
      <c r="S86" s="1176">
        <f>CF68+AL68</f>
        <v>0</v>
      </c>
      <c r="T86" s="77" t="s">
        <v>1259</v>
      </c>
      <c r="U86" s="1174">
        <v>3.25</v>
      </c>
      <c r="V86" s="77" t="s">
        <v>527</v>
      </c>
      <c r="W86" s="2187">
        <f t="shared" si="55"/>
        <v>0</v>
      </c>
      <c r="X86" s="1254"/>
      <c r="Y86" s="1254"/>
      <c r="AK86" s="18">
        <v>16.739999999999998</v>
      </c>
      <c r="AL86" s="18" t="s">
        <v>1873</v>
      </c>
      <c r="AM86" s="18">
        <v>36</v>
      </c>
      <c r="AN86" s="18" t="s">
        <v>1874</v>
      </c>
      <c r="AO86" s="18">
        <v>52</v>
      </c>
      <c r="AP86" s="18" t="s">
        <v>1875</v>
      </c>
      <c r="AQ86" s="18">
        <v>151</v>
      </c>
      <c r="AR86" s="18" t="s">
        <v>849</v>
      </c>
      <c r="BJ86" s="2188" t="s">
        <v>1877</v>
      </c>
      <c r="BK86" s="2188">
        <v>5</v>
      </c>
      <c r="BL86" s="2188">
        <v>18</v>
      </c>
      <c r="BM86" s="2188">
        <v>3</v>
      </c>
      <c r="BN86" s="2188">
        <v>4.75</v>
      </c>
      <c r="BO86" s="2188">
        <v>0.5</v>
      </c>
      <c r="BP86" s="2188">
        <v>0.5</v>
      </c>
      <c r="BQ86" s="751">
        <v>15</v>
      </c>
      <c r="BR86" s="2189">
        <f t="shared" si="52"/>
        <v>158.56341875000001</v>
      </c>
      <c r="BT86" s="2190">
        <f t="shared" si="53"/>
        <v>0</v>
      </c>
      <c r="BU86" s="2190">
        <f t="shared" si="54"/>
        <v>0</v>
      </c>
    </row>
    <row r="87" spans="1:73" ht="22.5" customHeight="1">
      <c r="A87" s="2231" t="s">
        <v>1437</v>
      </c>
      <c r="B87" s="42"/>
      <c r="C87" s="2232" t="s">
        <v>1306</v>
      </c>
      <c r="D87" s="3216">
        <v>4.75</v>
      </c>
      <c r="E87" s="3216"/>
      <c r="F87" s="2198" t="s">
        <v>1618</v>
      </c>
      <c r="G87" s="3217">
        <f>IF(SUM(N87:O90)=0,0,SUM(N87:O90)/H87)</f>
        <v>6.05</v>
      </c>
      <c r="H87" s="3218">
        <f>C50</f>
        <v>32100</v>
      </c>
      <c r="I87" s="3218"/>
      <c r="J87" s="16" t="s">
        <v>1418</v>
      </c>
      <c r="K87" s="3219">
        <f>IF(C87="N",D87*H$87,0)</f>
        <v>0</v>
      </c>
      <c r="L87" s="3219"/>
      <c r="M87" s="2233"/>
      <c r="N87" s="3220">
        <f>IF(C87="y",H$87*D87,0)</f>
        <v>152475</v>
      </c>
      <c r="O87" s="3220"/>
      <c r="P87" s="1172" t="s">
        <v>1069</v>
      </c>
      <c r="Q87" s="859" t="s">
        <v>576</v>
      </c>
      <c r="R87" s="77"/>
      <c r="S87" s="1176">
        <v>0</v>
      </c>
      <c r="T87" s="77" t="s">
        <v>1259</v>
      </c>
      <c r="U87" s="1174">
        <f>Pricing!Q20</f>
        <v>0.25</v>
      </c>
      <c r="V87" s="77" t="s">
        <v>527</v>
      </c>
      <c r="W87" s="2187">
        <f t="shared" si="55"/>
        <v>0</v>
      </c>
      <c r="X87" s="1254"/>
      <c r="Y87" s="1254"/>
      <c r="AK87" s="18">
        <v>16.82</v>
      </c>
      <c r="AL87" s="18" t="s">
        <v>1873</v>
      </c>
      <c r="AM87" s="18">
        <v>36</v>
      </c>
      <c r="AN87" s="18" t="s">
        <v>1874</v>
      </c>
      <c r="AO87" s="18">
        <v>52</v>
      </c>
      <c r="AP87" s="18" t="s">
        <v>1875</v>
      </c>
      <c r="AQ87" s="18">
        <v>151</v>
      </c>
      <c r="AR87" s="18" t="s">
        <v>849</v>
      </c>
      <c r="BJ87" s="2188" t="s">
        <v>1878</v>
      </c>
      <c r="BK87" s="2188">
        <v>5</v>
      </c>
      <c r="BL87" s="2188">
        <v>16</v>
      </c>
      <c r="BM87" s="2188">
        <v>3</v>
      </c>
      <c r="BN87" s="2188">
        <v>4</v>
      </c>
      <c r="BO87" s="2188">
        <v>0.5</v>
      </c>
      <c r="BP87" s="2188">
        <v>0.5</v>
      </c>
      <c r="BQ87" s="751">
        <v>15</v>
      </c>
      <c r="BR87" s="2234">
        <f t="shared" si="52"/>
        <v>140.63015000000001</v>
      </c>
      <c r="BT87" s="2235">
        <f t="shared" si="53"/>
        <v>0</v>
      </c>
      <c r="BU87" s="2235">
        <f t="shared" si="54"/>
        <v>0</v>
      </c>
    </row>
    <row r="88" spans="1:73" ht="22.5" customHeight="1">
      <c r="A88" s="2203" t="s">
        <v>1442</v>
      </c>
      <c r="B88" s="42"/>
      <c r="C88" s="2213" t="s">
        <v>1306</v>
      </c>
      <c r="D88" s="3216">
        <v>0.5</v>
      </c>
      <c r="E88" s="3216"/>
      <c r="F88" s="2198" t="s">
        <v>1618</v>
      </c>
      <c r="G88" s="3217"/>
      <c r="H88" s="3218"/>
      <c r="I88" s="3218"/>
      <c r="J88" s="16" t="s">
        <v>1418</v>
      </c>
      <c r="K88" s="3219">
        <f>IF(C88="N",D88*H$87,0)</f>
        <v>0</v>
      </c>
      <c r="L88" s="3219"/>
      <c r="M88" s="2233"/>
      <c r="N88" s="3220">
        <f>IF(C88="y",H$87*D88,0)</f>
        <v>16050</v>
      </c>
      <c r="O88" s="3220"/>
      <c r="P88" s="1172" t="s">
        <v>1069</v>
      </c>
      <c r="Q88" s="859" t="s">
        <v>551</v>
      </c>
      <c r="R88" s="77"/>
      <c r="S88" s="1176">
        <v>0</v>
      </c>
      <c r="T88" s="77" t="s">
        <v>1259</v>
      </c>
      <c r="U88" s="1174">
        <f>Pricing!Q12</f>
        <v>1.0631249999999999</v>
      </c>
      <c r="V88" s="77" t="s">
        <v>527</v>
      </c>
      <c r="W88" s="2187">
        <f t="shared" si="55"/>
        <v>0</v>
      </c>
      <c r="X88" s="1254"/>
      <c r="Y88" s="1254"/>
      <c r="AK88" s="18">
        <v>325.63</v>
      </c>
      <c r="AL88" s="18" t="s">
        <v>1873</v>
      </c>
      <c r="AM88" s="18">
        <v>48</v>
      </c>
      <c r="AN88" s="18" t="s">
        <v>1874</v>
      </c>
      <c r="AO88" s="18">
        <v>46</v>
      </c>
      <c r="AP88" s="18" t="s">
        <v>1875</v>
      </c>
      <c r="AQ88" s="18">
        <v>2198</v>
      </c>
      <c r="AR88" s="18" t="s">
        <v>849</v>
      </c>
    </row>
    <row r="89" spans="1:73" ht="22.5" customHeight="1">
      <c r="A89" s="2203" t="s">
        <v>1879</v>
      </c>
      <c r="B89" s="1948"/>
      <c r="C89" s="2236" t="s">
        <v>1306</v>
      </c>
      <c r="D89" s="3216">
        <v>0.45</v>
      </c>
      <c r="E89" s="3216"/>
      <c r="F89" s="2198" t="s">
        <v>1618</v>
      </c>
      <c r="G89" s="3217"/>
      <c r="H89" s="3218"/>
      <c r="I89" s="3218"/>
      <c r="J89" s="16" t="s">
        <v>1418</v>
      </c>
      <c r="K89" s="3219">
        <f>IF(C89="N",D89*H$87,0)</f>
        <v>0</v>
      </c>
      <c r="L89" s="3219"/>
      <c r="M89" s="2233"/>
      <c r="N89" s="3220">
        <f>IF(C89="y",H$87*D89,0)</f>
        <v>14445</v>
      </c>
      <c r="O89" s="3220"/>
      <c r="P89" s="1172" t="s">
        <v>1069</v>
      </c>
      <c r="Q89" s="859" t="s">
        <v>552</v>
      </c>
      <c r="R89" s="77"/>
      <c r="S89" s="1176">
        <v>0</v>
      </c>
      <c r="T89" s="77" t="s">
        <v>1259</v>
      </c>
      <c r="U89" s="1174">
        <f>Pricing!Q13</f>
        <v>1.494375</v>
      </c>
      <c r="V89" s="77" t="s">
        <v>527</v>
      </c>
      <c r="W89" s="2187">
        <f>U89*S89</f>
        <v>0</v>
      </c>
      <c r="X89" s="1254"/>
      <c r="Y89" s="1254"/>
      <c r="AK89" s="18">
        <v>3.31</v>
      </c>
      <c r="AL89" s="18" t="s">
        <v>1873</v>
      </c>
      <c r="AM89" s="18">
        <v>45</v>
      </c>
      <c r="AN89" s="18" t="s">
        <v>1874</v>
      </c>
      <c r="AO89" s="18">
        <v>16</v>
      </c>
      <c r="AP89" s="18" t="s">
        <v>1875</v>
      </c>
      <c r="AQ89" s="18">
        <v>24</v>
      </c>
      <c r="AR89" s="18" t="s">
        <v>849</v>
      </c>
    </row>
    <row r="90" spans="1:73" ht="22.5" customHeight="1">
      <c r="A90" s="2204" t="s">
        <v>1869</v>
      </c>
      <c r="B90" s="42"/>
      <c r="C90" s="2236" t="s">
        <v>1306</v>
      </c>
      <c r="D90" s="3216">
        <v>0.35</v>
      </c>
      <c r="E90" s="3216"/>
      <c r="F90" s="2198" t="s">
        <v>600</v>
      </c>
      <c r="G90" s="3217"/>
      <c r="H90" s="3218"/>
      <c r="I90" s="3218"/>
      <c r="J90" s="16"/>
      <c r="K90" s="3219">
        <f>IF(C90="N",D90*H$87,0)</f>
        <v>0</v>
      </c>
      <c r="L90" s="3219"/>
      <c r="M90" s="2233"/>
      <c r="N90" s="3220">
        <f>IF(C90="y",H$87*D90,0)</f>
        <v>11235</v>
      </c>
      <c r="O90" s="3220"/>
      <c r="P90" s="1172" t="s">
        <v>1069</v>
      </c>
      <c r="Q90" s="1208" t="s">
        <v>1319</v>
      </c>
      <c r="R90" s="1209"/>
      <c r="S90" s="1210">
        <v>0</v>
      </c>
      <c r="T90" s="1209" t="s">
        <v>1259</v>
      </c>
      <c r="U90" s="1211">
        <f>Pricing!Q10</f>
        <v>0.70874999999999999</v>
      </c>
      <c r="V90" s="1209" t="s">
        <v>527</v>
      </c>
      <c r="W90" s="2237">
        <f>U90*S90</f>
        <v>0</v>
      </c>
      <c r="X90" s="1254"/>
      <c r="Y90" s="1254"/>
      <c r="AK90" s="18">
        <v>6.34</v>
      </c>
      <c r="AL90" s="18" t="s">
        <v>1873</v>
      </c>
      <c r="AM90" s="18">
        <v>36</v>
      </c>
      <c r="AN90" s="18" t="s">
        <v>1874</v>
      </c>
      <c r="AO90" s="18">
        <v>16</v>
      </c>
      <c r="AP90" s="18" t="s">
        <v>1875</v>
      </c>
      <c r="AQ90" s="18">
        <v>57</v>
      </c>
      <c r="AR90" s="18" t="s">
        <v>849</v>
      </c>
      <c r="BI90" s="1874">
        <f>SUM(BL92:BL101)*(1+J78)</f>
        <v>0</v>
      </c>
      <c r="BJ90" s="402" t="s">
        <v>612</v>
      </c>
      <c r="BK90" s="1254"/>
      <c r="BL90" s="1254"/>
    </row>
    <row r="91" spans="1:73" ht="22.5" customHeight="1">
      <c r="A91" s="2238" t="s">
        <v>1880</v>
      </c>
      <c r="B91" s="2239"/>
      <c r="C91" s="2213" t="s">
        <v>1306</v>
      </c>
      <c r="D91" s="3221">
        <v>6</v>
      </c>
      <c r="E91" s="3221"/>
      <c r="F91" s="2212" t="s">
        <v>1259</v>
      </c>
      <c r="G91" s="2240"/>
      <c r="H91" s="3222">
        <f>SUM(H10:H49)</f>
        <v>1684</v>
      </c>
      <c r="I91" s="3222"/>
      <c r="J91" s="2241" t="s">
        <v>1259</v>
      </c>
      <c r="K91" s="3223">
        <f>IF(C91="N",D91*H91,0)</f>
        <v>0</v>
      </c>
      <c r="L91" s="3223"/>
      <c r="M91" s="2242"/>
      <c r="N91" s="3204">
        <f>IF(C91="y",H91*D91,0)</f>
        <v>10104</v>
      </c>
      <c r="O91" s="3204"/>
      <c r="P91" s="1172" t="s">
        <v>1077</v>
      </c>
      <c r="Q91" s="1208" t="s">
        <v>1881</v>
      </c>
      <c r="R91" s="1209"/>
      <c r="S91" s="1210">
        <v>0</v>
      </c>
      <c r="T91" s="1209" t="s">
        <v>1711</v>
      </c>
      <c r="U91" s="1211">
        <f>Pricing!Q43</f>
        <v>105</v>
      </c>
      <c r="V91" s="1209" t="s">
        <v>1882</v>
      </c>
      <c r="W91" s="2237">
        <f>S91*U91</f>
        <v>0</v>
      </c>
      <c r="X91" s="1254"/>
      <c r="Y91" s="1254"/>
      <c r="AK91" s="18">
        <v>11.4</v>
      </c>
      <c r="AL91" s="18" t="s">
        <v>1873</v>
      </c>
      <c r="AM91" s="18">
        <v>36</v>
      </c>
      <c r="AN91" s="18" t="s">
        <v>1874</v>
      </c>
      <c r="AO91" s="18">
        <v>46</v>
      </c>
      <c r="AP91" s="18" t="s">
        <v>1875</v>
      </c>
      <c r="AQ91" s="18">
        <v>103</v>
      </c>
      <c r="AR91" s="18" t="s">
        <v>849</v>
      </c>
      <c r="BI91" s="1168" t="s">
        <v>1259</v>
      </c>
      <c r="BJ91" s="1169" t="s">
        <v>1215</v>
      </c>
      <c r="BK91" s="1170" t="s">
        <v>1369</v>
      </c>
      <c r="BL91" s="1171" t="s">
        <v>1414</v>
      </c>
    </row>
    <row r="92" spans="1:73" ht="22.5" customHeight="1">
      <c r="A92" s="2243" t="s">
        <v>1883</v>
      </c>
      <c r="B92" s="2244"/>
      <c r="C92" s="2213" t="s">
        <v>1306</v>
      </c>
      <c r="D92" s="3224">
        <v>6</v>
      </c>
      <c r="E92" s="3224"/>
      <c r="F92" s="2245" t="s">
        <v>1884</v>
      </c>
      <c r="G92" s="2246"/>
      <c r="H92" s="3225">
        <f>SUM(BF50:BH50)</f>
        <v>240</v>
      </c>
      <c r="I92" s="3225"/>
      <c r="J92" s="16" t="s">
        <v>849</v>
      </c>
      <c r="K92" s="3219">
        <f>IF(C92="N",D92*H92,0)</f>
        <v>0</v>
      </c>
      <c r="L92" s="3219"/>
      <c r="M92" s="2233"/>
      <c r="N92" s="3220">
        <f>IF(C92="y",H$92*D92,0)</f>
        <v>1440</v>
      </c>
      <c r="O92" s="3220"/>
      <c r="P92" s="1172" t="s">
        <v>1069</v>
      </c>
      <c r="Q92" s="859" t="s">
        <v>1885</v>
      </c>
      <c r="R92" s="77"/>
      <c r="S92" s="1176"/>
      <c r="T92" s="77" t="s">
        <v>1259</v>
      </c>
      <c r="U92" s="1174">
        <v>0.35</v>
      </c>
      <c r="V92" s="77" t="s">
        <v>1341</v>
      </c>
      <c r="W92" s="2187">
        <f>S92*U92</f>
        <v>0</v>
      </c>
      <c r="X92" s="1254"/>
      <c r="Y92" s="1254"/>
      <c r="AK92" s="18">
        <v>14.93</v>
      </c>
      <c r="AL92" s="18" t="s">
        <v>1873</v>
      </c>
      <c r="AM92" s="18">
        <v>42</v>
      </c>
      <c r="AN92" s="18" t="s">
        <v>1874</v>
      </c>
      <c r="AO92" s="18">
        <v>52</v>
      </c>
      <c r="AP92" s="18" t="s">
        <v>1875</v>
      </c>
      <c r="AQ92" s="18">
        <v>115</v>
      </c>
      <c r="AR92" s="18" t="s">
        <v>849</v>
      </c>
      <c r="BI92" s="142"/>
      <c r="BJ92" s="143"/>
      <c r="BK92" s="144"/>
      <c r="BL92" s="145">
        <f t="shared" ref="BL92:BL101" si="56">BI92*(BJ92*BJ92*0.04180884375)*BK92</f>
        <v>0</v>
      </c>
    </row>
    <row r="93" spans="1:73" ht="22.5" customHeight="1">
      <c r="A93" s="2203" t="s">
        <v>1886</v>
      </c>
      <c r="B93" s="42"/>
      <c r="C93" s="2232" t="s">
        <v>1306</v>
      </c>
      <c r="D93" s="3216">
        <v>0.25</v>
      </c>
      <c r="E93" s="3216"/>
      <c r="F93" s="2198" t="s">
        <v>600</v>
      </c>
      <c r="G93" s="2247"/>
      <c r="H93" s="3226">
        <f>H87</f>
        <v>32100</v>
      </c>
      <c r="I93" s="3226"/>
      <c r="J93" s="2248" t="s">
        <v>1418</v>
      </c>
      <c r="K93" s="3227">
        <f>IF(C93="N",D93*H93,0)</f>
        <v>0</v>
      </c>
      <c r="L93" s="3227"/>
      <c r="M93" s="2249"/>
      <c r="N93" s="3228">
        <f>IF(C93="y",H93*D93,0)</f>
        <v>8025</v>
      </c>
      <c r="O93" s="3228"/>
      <c r="P93" s="1172" t="s">
        <v>1069</v>
      </c>
      <c r="Q93" s="859" t="s">
        <v>1887</v>
      </c>
      <c r="R93" s="77"/>
      <c r="S93" s="1176"/>
      <c r="T93" s="77" t="s">
        <v>1000</v>
      </c>
      <c r="U93" s="1174">
        <v>2</v>
      </c>
      <c r="V93" s="77" t="s">
        <v>1624</v>
      </c>
      <c r="W93" s="2187">
        <f>S93*U93</f>
        <v>0</v>
      </c>
      <c r="X93" s="1254"/>
      <c r="Y93" s="1254"/>
      <c r="AK93" s="18">
        <v>5.23</v>
      </c>
      <c r="AL93" s="18" t="s">
        <v>1873</v>
      </c>
      <c r="AM93" s="18">
        <v>36</v>
      </c>
      <c r="AN93" s="18" t="s">
        <v>1874</v>
      </c>
      <c r="AO93" s="18">
        <v>28</v>
      </c>
      <c r="AP93" s="18" t="s">
        <v>1875</v>
      </c>
      <c r="AQ93" s="18">
        <v>47</v>
      </c>
      <c r="AR93" s="18" t="s">
        <v>849</v>
      </c>
      <c r="BI93" s="142"/>
      <c r="BJ93" s="143"/>
      <c r="BK93" s="144"/>
      <c r="BL93" s="145">
        <f t="shared" si="56"/>
        <v>0</v>
      </c>
    </row>
    <row r="94" spans="1:73" ht="22.5" customHeight="1">
      <c r="A94" s="2203" t="s">
        <v>1860</v>
      </c>
      <c r="B94" s="42"/>
      <c r="C94" s="2232" t="s">
        <v>1306</v>
      </c>
      <c r="D94" s="3216">
        <v>500</v>
      </c>
      <c r="E94" s="3216"/>
      <c r="F94" s="2198" t="s">
        <v>1888</v>
      </c>
      <c r="G94" s="2247"/>
      <c r="H94" s="3229">
        <f>K79/2000</f>
        <v>0</v>
      </c>
      <c r="I94" s="3229"/>
      <c r="J94" s="16" t="s">
        <v>1888</v>
      </c>
      <c r="K94" s="3219">
        <f>IF(C94="N",D94*H94,0)</f>
        <v>0</v>
      </c>
      <c r="L94" s="3219"/>
      <c r="M94" s="2233"/>
      <c r="N94" s="3220">
        <f>IF(C94="y",H94*D94,0)</f>
        <v>0</v>
      </c>
      <c r="O94" s="3220"/>
      <c r="P94" s="1172" t="s">
        <v>1069</v>
      </c>
      <c r="Q94" s="859" t="s">
        <v>1889</v>
      </c>
      <c r="R94" s="77"/>
      <c r="S94" s="1176"/>
      <c r="T94" s="77" t="s">
        <v>1890</v>
      </c>
      <c r="U94" s="1174">
        <v>36</v>
      </c>
      <c r="V94" s="77" t="s">
        <v>541</v>
      </c>
      <c r="W94" s="2187">
        <f>S94*U94</f>
        <v>0</v>
      </c>
      <c r="X94" s="1254"/>
      <c r="Y94" s="1254"/>
      <c r="AK94" s="18">
        <v>36.85</v>
      </c>
      <c r="AL94" s="18" t="s">
        <v>1873</v>
      </c>
      <c r="AM94" s="18">
        <v>42</v>
      </c>
      <c r="AN94" s="18" t="s">
        <v>1874</v>
      </c>
      <c r="AO94" s="18">
        <v>52</v>
      </c>
      <c r="AP94" s="18" t="s">
        <v>1875</v>
      </c>
      <c r="AQ94" s="18">
        <v>284</v>
      </c>
      <c r="AR94" s="18" t="s">
        <v>849</v>
      </c>
      <c r="BI94" s="142"/>
      <c r="BJ94" s="143"/>
      <c r="BK94" s="144"/>
      <c r="BL94" s="145">
        <f t="shared" si="56"/>
        <v>0</v>
      </c>
    </row>
    <row r="95" spans="1:73" ht="22.5" customHeight="1">
      <c r="A95" s="2203" t="s">
        <v>1891</v>
      </c>
      <c r="B95" s="2250"/>
      <c r="C95" s="2213" t="s">
        <v>1306</v>
      </c>
      <c r="D95" s="3216">
        <v>0.65</v>
      </c>
      <c r="E95" s="3216"/>
      <c r="F95" s="2198" t="s">
        <v>1892</v>
      </c>
      <c r="G95" s="2233"/>
      <c r="H95" s="3230">
        <f>H87*1.15</f>
        <v>36915</v>
      </c>
      <c r="I95" s="3230"/>
      <c r="J95" s="2250" t="s">
        <v>1861</v>
      </c>
      <c r="K95" s="3219">
        <f>IF(C100="N",D100*H$87,0)</f>
        <v>0</v>
      </c>
      <c r="L95" s="3219"/>
      <c r="M95" s="2233"/>
      <c r="N95" s="3220">
        <f>IF(C95="y",H$95*D95,0)</f>
        <v>23994.75</v>
      </c>
      <c r="O95" s="3220"/>
      <c r="P95" s="1172" t="s">
        <v>1069</v>
      </c>
      <c r="Q95" s="859" t="s">
        <v>1893</v>
      </c>
      <c r="R95" s="77"/>
      <c r="S95" s="1176"/>
      <c r="T95" s="77"/>
      <c r="U95" s="1174">
        <v>650</v>
      </c>
      <c r="V95" s="77"/>
      <c r="W95" s="2187">
        <f>S100*U100</f>
        <v>0</v>
      </c>
      <c r="X95" s="1254"/>
      <c r="Y95" s="1254"/>
      <c r="AK95" s="18">
        <v>20.74</v>
      </c>
      <c r="AL95" s="18" t="s">
        <v>1873</v>
      </c>
      <c r="AM95" s="18">
        <v>45</v>
      </c>
      <c r="AN95" s="18" t="s">
        <v>1874</v>
      </c>
      <c r="AO95" s="18">
        <v>52</v>
      </c>
      <c r="AP95" s="18" t="s">
        <v>1875</v>
      </c>
      <c r="AQ95" s="18">
        <v>149</v>
      </c>
      <c r="AR95" s="18" t="s">
        <v>849</v>
      </c>
      <c r="BI95" s="142"/>
      <c r="BJ95" s="143"/>
      <c r="BK95" s="144"/>
      <c r="BL95" s="145">
        <f t="shared" si="56"/>
        <v>0</v>
      </c>
    </row>
    <row r="96" spans="1:73" ht="21.75" customHeight="1">
      <c r="A96" s="2203" t="s">
        <v>1307</v>
      </c>
      <c r="B96" s="42"/>
      <c r="C96" s="2213" t="s">
        <v>1306</v>
      </c>
      <c r="D96" s="3216">
        <v>450</v>
      </c>
      <c r="E96" s="3216"/>
      <c r="F96" s="2198" t="s">
        <v>1308</v>
      </c>
      <c r="G96" s="16"/>
      <c r="H96" s="3231">
        <f>SUM(T10:T49)/2000</f>
        <v>30.857729857175002</v>
      </c>
      <c r="I96" s="3231"/>
      <c r="J96" s="16" t="s">
        <v>1309</v>
      </c>
      <c r="K96" s="3219">
        <f>IF(C96="N",D96*H96,0)</f>
        <v>0</v>
      </c>
      <c r="L96" s="3219"/>
      <c r="M96" s="2233"/>
      <c r="N96" s="3220">
        <f>IF(C96="y",H96*D96,0)</f>
        <v>13885.978435728752</v>
      </c>
      <c r="O96" s="3220"/>
      <c r="P96" s="1172" t="s">
        <v>1069</v>
      </c>
      <c r="Q96" s="1208"/>
      <c r="R96" s="1209"/>
      <c r="S96" s="1210"/>
      <c r="T96" s="1209"/>
      <c r="U96" s="1211"/>
      <c r="V96" s="1209"/>
      <c r="W96" s="2237">
        <f>S101*U101</f>
        <v>0</v>
      </c>
      <c r="X96" s="1254"/>
      <c r="Y96" s="1254"/>
      <c r="AK96" s="18">
        <v>8.0399999999999991</v>
      </c>
      <c r="AL96" s="18" t="s">
        <v>1873</v>
      </c>
      <c r="AM96" s="18">
        <v>36</v>
      </c>
      <c r="AN96" s="18" t="s">
        <v>1874</v>
      </c>
      <c r="AO96" s="18">
        <v>52</v>
      </c>
      <c r="AP96" s="18" t="s">
        <v>1875</v>
      </c>
      <c r="AQ96" s="18">
        <v>72</v>
      </c>
      <c r="AR96" s="18" t="s">
        <v>849</v>
      </c>
      <c r="BI96" s="1185"/>
      <c r="BJ96" s="1186"/>
      <c r="BK96" s="1187"/>
      <c r="BL96" s="1188">
        <f t="shared" si="56"/>
        <v>0</v>
      </c>
    </row>
    <row r="97" spans="1:64" ht="21.75" customHeight="1">
      <c r="A97" s="2251" t="s">
        <v>1313</v>
      </c>
      <c r="B97" s="2252"/>
      <c r="C97" s="2253" t="s">
        <v>1306</v>
      </c>
      <c r="D97" s="3232"/>
      <c r="E97" s="3232"/>
      <c r="F97" s="2254"/>
      <c r="G97" s="2194"/>
      <c r="H97" s="2255"/>
      <c r="I97" s="2255"/>
      <c r="J97" s="2194"/>
      <c r="K97" s="3233">
        <f>IF(C97="N",D97,0)</f>
        <v>0</v>
      </c>
      <c r="L97" s="3233"/>
      <c r="M97" s="2256"/>
      <c r="N97" s="3234">
        <f>IF(C97="y",D97,0)</f>
        <v>0</v>
      </c>
      <c r="O97" s="3234"/>
      <c r="P97" s="1172"/>
      <c r="Q97" s="859"/>
      <c r="R97" s="77"/>
      <c r="S97" s="1176"/>
      <c r="T97" s="77"/>
      <c r="U97" s="1174"/>
      <c r="V97" s="77"/>
      <c r="W97" s="2187">
        <f t="shared" ref="W97:W107" si="57">S97*U97</f>
        <v>0</v>
      </c>
      <c r="X97" s="1254"/>
      <c r="Y97" s="1254"/>
      <c r="BI97" s="142"/>
      <c r="BJ97" s="143"/>
      <c r="BK97" s="144"/>
      <c r="BL97" s="145">
        <f t="shared" si="56"/>
        <v>0</v>
      </c>
    </row>
    <row r="98" spans="1:64" ht="22.5" customHeight="1">
      <c r="A98" s="2257" t="s">
        <v>1447</v>
      </c>
      <c r="B98" s="2258"/>
      <c r="C98" s="2259"/>
      <c r="D98" s="3235">
        <f>IF(H87=0,0,(N98-N97+K98)/H87)</f>
        <v>7.83971116622208</v>
      </c>
      <c r="E98" s="3235"/>
      <c r="F98" s="1967"/>
      <c r="G98" s="2220"/>
      <c r="H98" s="3236" t="s">
        <v>980</v>
      </c>
      <c r="I98" s="3236"/>
      <c r="J98" s="3236"/>
      <c r="K98" s="3237">
        <f>SUM(K87:L97)</f>
        <v>0</v>
      </c>
      <c r="L98" s="3237"/>
      <c r="M98" s="2260"/>
      <c r="N98" s="3238">
        <f>SUM(N87:O97)</f>
        <v>251654.72843572876</v>
      </c>
      <c r="O98" s="3238"/>
      <c r="P98" s="1172"/>
      <c r="Q98" s="859"/>
      <c r="R98" s="77"/>
      <c r="S98" s="1176"/>
      <c r="T98" s="77" t="s">
        <v>1452</v>
      </c>
      <c r="U98" s="1174">
        <v>7</v>
      </c>
      <c r="V98" s="77"/>
      <c r="W98" s="2187">
        <f t="shared" si="57"/>
        <v>0</v>
      </c>
      <c r="X98" s="1254"/>
      <c r="Y98" s="1254"/>
      <c r="AK98" s="18">
        <v>74.48</v>
      </c>
      <c r="AL98" s="18" t="s">
        <v>1873</v>
      </c>
      <c r="AM98" s="18">
        <v>48</v>
      </c>
      <c r="AN98" s="18" t="s">
        <v>1874</v>
      </c>
      <c r="AO98" s="18">
        <v>52</v>
      </c>
      <c r="AP98" s="18" t="s">
        <v>1875</v>
      </c>
      <c r="AQ98" s="18">
        <v>503</v>
      </c>
      <c r="AR98" s="18" t="s">
        <v>849</v>
      </c>
      <c r="BI98" s="142"/>
      <c r="BJ98" s="143"/>
      <c r="BK98" s="144"/>
      <c r="BL98" s="145">
        <f t="shared" si="56"/>
        <v>0</v>
      </c>
    </row>
    <row r="99" spans="1:64" ht="22.5" customHeight="1">
      <c r="A99" s="2261" t="s">
        <v>1315</v>
      </c>
      <c r="B99" s="2261"/>
      <c r="C99" s="2261"/>
      <c r="D99" s="2261"/>
      <c r="E99" s="2261"/>
      <c r="F99" s="2261"/>
      <c r="G99" s="2261"/>
      <c r="H99" s="2261"/>
      <c r="I99" s="2261"/>
      <c r="J99" s="2261"/>
      <c r="K99" s="2261"/>
      <c r="L99" s="2261"/>
      <c r="M99" s="2261"/>
      <c r="N99" s="2261"/>
      <c r="O99" s="2261"/>
      <c r="P99" s="1172"/>
      <c r="Q99" s="859"/>
      <c r="R99" s="77"/>
      <c r="S99" s="1176"/>
      <c r="T99" s="77" t="s">
        <v>1452</v>
      </c>
      <c r="U99" s="1174">
        <v>8</v>
      </c>
      <c r="V99" s="77"/>
      <c r="W99" s="2187">
        <f t="shared" si="57"/>
        <v>0</v>
      </c>
      <c r="X99" s="1254"/>
      <c r="Y99" s="1254"/>
      <c r="AK99" s="18">
        <v>25.54</v>
      </c>
      <c r="AL99" s="18" t="s">
        <v>1873</v>
      </c>
      <c r="AM99" s="18">
        <v>48</v>
      </c>
      <c r="AN99" s="18" t="s">
        <v>1874</v>
      </c>
      <c r="AO99" s="18">
        <v>52</v>
      </c>
      <c r="AP99" s="18" t="s">
        <v>1875</v>
      </c>
      <c r="AQ99" s="18">
        <v>172</v>
      </c>
      <c r="AR99" s="18" t="s">
        <v>849</v>
      </c>
      <c r="BI99" s="142"/>
      <c r="BJ99" s="143"/>
      <c r="BK99" s="144"/>
      <c r="BL99" s="145">
        <f t="shared" si="56"/>
        <v>0</v>
      </c>
    </row>
    <row r="100" spans="1:64" ht="22.5" customHeight="1">
      <c r="A100" s="2262" t="s">
        <v>1316</v>
      </c>
      <c r="B100" s="2263"/>
      <c r="C100" s="2264"/>
      <c r="D100" s="2265">
        <v>60</v>
      </c>
      <c r="E100" s="2263" t="s">
        <v>1317</v>
      </c>
      <c r="F100" s="2266">
        <v>425</v>
      </c>
      <c r="G100" s="2267" t="s">
        <v>620</v>
      </c>
      <c r="H100" s="2263"/>
      <c r="I100" s="2263"/>
      <c r="J100" s="2263"/>
      <c r="K100" s="2263"/>
      <c r="L100" s="3239">
        <f>IF(D65=0,0,(SUM(N100:O102))/D65)</f>
        <v>4.1391414305709737E-2</v>
      </c>
      <c r="M100" s="3239"/>
      <c r="N100" s="3240">
        <f>D100*F100</f>
        <v>25500</v>
      </c>
      <c r="O100" s="3240"/>
      <c r="P100" s="1172"/>
      <c r="Q100" s="859"/>
      <c r="R100" s="77"/>
      <c r="S100" s="1176"/>
      <c r="T100" s="77" t="s">
        <v>1452</v>
      </c>
      <c r="U100" s="1174">
        <v>9</v>
      </c>
      <c r="V100" s="77"/>
      <c r="W100" s="2187">
        <f t="shared" si="57"/>
        <v>0</v>
      </c>
      <c r="X100" s="1254"/>
      <c r="Y100" s="1254"/>
      <c r="AE100" s="500"/>
      <c r="AK100" s="18">
        <v>21.17</v>
      </c>
      <c r="AL100" s="18" t="s">
        <v>1873</v>
      </c>
      <c r="AM100" s="18">
        <v>48</v>
      </c>
      <c r="AN100" s="18" t="s">
        <v>1874</v>
      </c>
      <c r="AO100" s="18">
        <v>49</v>
      </c>
      <c r="AP100" s="18" t="s">
        <v>1875</v>
      </c>
      <c r="AQ100" s="18">
        <v>143</v>
      </c>
      <c r="AR100" s="18" t="s">
        <v>849</v>
      </c>
      <c r="BI100" s="1195"/>
      <c r="BJ100" s="143"/>
      <c r="BK100" s="144"/>
      <c r="BL100" s="145">
        <f t="shared" si="56"/>
        <v>0</v>
      </c>
    </row>
    <row r="101" spans="1:64" ht="22.5" customHeight="1">
      <c r="A101" s="2268" t="s">
        <v>1318</v>
      </c>
      <c r="B101" s="16"/>
      <c r="C101" s="16"/>
      <c r="D101" s="2269">
        <f>D100</f>
        <v>60</v>
      </c>
      <c r="E101" s="16" t="s">
        <v>1317</v>
      </c>
      <c r="F101" s="2270">
        <v>250</v>
      </c>
      <c r="G101" s="16" t="s">
        <v>620</v>
      </c>
      <c r="H101" s="16"/>
      <c r="I101" s="16"/>
      <c r="J101" s="16"/>
      <c r="K101" s="16"/>
      <c r="L101" s="3241">
        <f>SUM(N100:O102)</f>
        <v>46500</v>
      </c>
      <c r="M101" s="3241"/>
      <c r="N101" s="3220">
        <f>D101*F101</f>
        <v>15000</v>
      </c>
      <c r="O101" s="3220"/>
      <c r="P101" s="1172"/>
      <c r="Q101" s="859"/>
      <c r="R101" s="77"/>
      <c r="S101" s="1176"/>
      <c r="T101" s="77" t="s">
        <v>1452</v>
      </c>
      <c r="U101" s="1174">
        <v>10</v>
      </c>
      <c r="V101" s="77"/>
      <c r="W101" s="2187">
        <f t="shared" si="57"/>
        <v>0</v>
      </c>
      <c r="X101" s="1254"/>
      <c r="Y101" s="1254"/>
      <c r="AK101" s="18">
        <v>19.559999999999999</v>
      </c>
      <c r="AL101" s="18" t="s">
        <v>1873</v>
      </c>
      <c r="AM101" s="18">
        <v>48</v>
      </c>
      <c r="AN101" s="18" t="s">
        <v>1874</v>
      </c>
      <c r="AO101" s="18">
        <v>32</v>
      </c>
      <c r="AP101" s="18" t="s">
        <v>1875</v>
      </c>
      <c r="AQ101" s="18">
        <v>132</v>
      </c>
      <c r="AR101" s="18" t="s">
        <v>849</v>
      </c>
      <c r="BI101" s="1185"/>
      <c r="BJ101" s="1186"/>
      <c r="BK101" s="1187"/>
      <c r="BL101" s="1188">
        <f t="shared" si="56"/>
        <v>0</v>
      </c>
    </row>
    <row r="102" spans="1:64" ht="22.5" customHeight="1">
      <c r="A102" s="46" t="s">
        <v>1320</v>
      </c>
      <c r="B102" s="16"/>
      <c r="C102" s="16"/>
      <c r="D102" s="2269">
        <f>D101</f>
        <v>60</v>
      </c>
      <c r="E102" s="16" t="s">
        <v>1317</v>
      </c>
      <c r="F102" s="2270">
        <v>100</v>
      </c>
      <c r="G102" s="16" t="s">
        <v>620</v>
      </c>
      <c r="H102" s="16"/>
      <c r="I102" s="16"/>
      <c r="J102" s="16"/>
      <c r="K102" s="16"/>
      <c r="L102" s="16"/>
      <c r="M102" s="16"/>
      <c r="N102" s="3220">
        <f>D102*F102</f>
        <v>6000</v>
      </c>
      <c r="O102" s="3220"/>
      <c r="P102" s="1172"/>
      <c r="Q102" s="859"/>
      <c r="R102" s="77"/>
      <c r="S102" s="1176"/>
      <c r="T102" s="77" t="s">
        <v>1452</v>
      </c>
      <c r="U102" s="1174"/>
      <c r="V102" s="77"/>
      <c r="W102" s="2187">
        <f t="shared" si="57"/>
        <v>0</v>
      </c>
      <c r="X102" s="1254"/>
      <c r="Y102" s="1254"/>
      <c r="AK102" s="18">
        <v>66.849999999999994</v>
      </c>
      <c r="AL102" s="18" t="s">
        <v>1873</v>
      </c>
      <c r="AM102" s="18">
        <v>48</v>
      </c>
      <c r="AN102" s="18" t="s">
        <v>1874</v>
      </c>
      <c r="AO102" s="18">
        <v>56</v>
      </c>
      <c r="AP102" s="18" t="s">
        <v>1875</v>
      </c>
      <c r="AQ102" s="18">
        <v>451</v>
      </c>
      <c r="AR102" s="18" t="s">
        <v>849</v>
      </c>
      <c r="BJ102" s="1254"/>
    </row>
    <row r="103" spans="1:64" ht="22.5" customHeight="1">
      <c r="A103" s="2271"/>
      <c r="B103" s="2220"/>
      <c r="C103" s="2220"/>
      <c r="D103" s="2272">
        <f>D100</f>
        <v>60</v>
      </c>
      <c r="E103" s="2220"/>
      <c r="F103" s="2273">
        <v>200</v>
      </c>
      <c r="G103" s="2220"/>
      <c r="H103" s="2220"/>
      <c r="I103" s="2220"/>
      <c r="J103" s="2220"/>
      <c r="K103" s="2220"/>
      <c r="L103" s="2843">
        <f>IF(D65=0,0,N103/D65)</f>
        <v>1.0681655304699287E-2</v>
      </c>
      <c r="M103" s="2843"/>
      <c r="N103" s="3220">
        <f>D103*F103</f>
        <v>12000</v>
      </c>
      <c r="O103" s="3220"/>
      <c r="P103" s="1172"/>
      <c r="Q103" s="859"/>
      <c r="R103" s="77"/>
      <c r="S103" s="1176"/>
      <c r="T103" s="77" t="s">
        <v>1452</v>
      </c>
      <c r="U103" s="1174"/>
      <c r="V103" s="77"/>
      <c r="W103" s="2187">
        <f t="shared" si="57"/>
        <v>0</v>
      </c>
      <c r="X103" s="1254"/>
      <c r="Y103" s="1254"/>
      <c r="BJ103" s="1254"/>
    </row>
    <row r="104" spans="1:64" ht="22.5" customHeight="1">
      <c r="A104" s="2261" t="s">
        <v>1325</v>
      </c>
      <c r="B104" s="2261"/>
      <c r="C104" s="2261"/>
      <c r="D104" s="2274"/>
      <c r="E104" s="2274"/>
      <c r="F104" s="2274"/>
      <c r="G104" s="2261"/>
      <c r="H104" s="2261"/>
      <c r="I104" s="2261"/>
      <c r="J104" s="2261"/>
      <c r="K104" s="2261"/>
      <c r="L104" s="2261"/>
      <c r="M104" s="2261"/>
      <c r="N104" s="2261"/>
      <c r="O104" s="2261"/>
      <c r="P104" s="1172" t="s">
        <v>1077</v>
      </c>
      <c r="Q104" s="859" t="s">
        <v>1894</v>
      </c>
      <c r="R104" s="77"/>
      <c r="S104" s="1176">
        <f>C50/1200</f>
        <v>26.75</v>
      </c>
      <c r="T104" s="77" t="s">
        <v>1452</v>
      </c>
      <c r="U104" s="1174">
        <v>15</v>
      </c>
      <c r="V104" s="77" t="s">
        <v>607</v>
      </c>
      <c r="W104" s="2187">
        <f t="shared" si="57"/>
        <v>401.25</v>
      </c>
      <c r="X104" s="1254"/>
      <c r="Y104" s="1254"/>
      <c r="AK104" s="18">
        <v>27.42</v>
      </c>
      <c r="AL104" s="18" t="s">
        <v>1873</v>
      </c>
      <c r="AM104" s="18">
        <v>36</v>
      </c>
      <c r="AN104" s="18" t="s">
        <v>1874</v>
      </c>
      <c r="AO104" s="18">
        <v>46</v>
      </c>
      <c r="AP104" s="18" t="s">
        <v>1875</v>
      </c>
      <c r="AQ104" s="18">
        <v>247</v>
      </c>
      <c r="AR104" s="18" t="s">
        <v>849</v>
      </c>
    </row>
    <row r="105" spans="1:64" ht="22.5" customHeight="1">
      <c r="A105" s="3242" t="s">
        <v>1895</v>
      </c>
      <c r="B105" s="3242"/>
      <c r="C105" s="3242"/>
      <c r="D105" s="2265"/>
      <c r="E105" s="2275" t="s">
        <v>1327</v>
      </c>
      <c r="F105" s="2266">
        <v>850</v>
      </c>
      <c r="G105" s="2275" t="s">
        <v>620</v>
      </c>
      <c r="H105" s="2263"/>
      <c r="I105" s="2263"/>
      <c r="J105" s="2263"/>
      <c r="K105" s="2263"/>
      <c r="L105" s="2263"/>
      <c r="M105" s="2263"/>
      <c r="N105" s="3240">
        <f>((IF(AND(D105&gt;0,D105&lt;4),D105*F105,0)+IF(AND(D105&gt;3,D105&lt;8),F105*3,0)+IF(AND(D105&gt;7,D105&lt;21),D105/7*F105*3,0)+IF(AND(D105&gt;20,D105&lt;30),F105*9,0)+IF(D105&gt;29,D105/30*F105*9,0)))*(1+$V$64+I$107)</f>
        <v>0</v>
      </c>
      <c r="O105" s="3240"/>
      <c r="P105" s="1172"/>
      <c r="Q105" s="859"/>
      <c r="R105" s="77"/>
      <c r="S105" s="1176"/>
      <c r="T105" s="77"/>
      <c r="U105" s="1174"/>
      <c r="V105" s="77"/>
      <c r="W105" s="2187">
        <f t="shared" si="57"/>
        <v>0</v>
      </c>
      <c r="X105" s="1254"/>
      <c r="Y105" s="1254"/>
    </row>
    <row r="106" spans="1:64" ht="22.5" customHeight="1">
      <c r="A106" s="3207" t="s">
        <v>1896</v>
      </c>
      <c r="B106" s="3207"/>
      <c r="C106" s="3207"/>
      <c r="D106" s="2269">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90</v>
      </c>
      <c r="E106" s="2198" t="s">
        <v>1327</v>
      </c>
      <c r="F106" s="2270">
        <v>3200</v>
      </c>
      <c r="G106" s="2198" t="s">
        <v>620</v>
      </c>
      <c r="H106" s="16"/>
      <c r="I106" s="3243" t="s">
        <v>1329</v>
      </c>
      <c r="J106" s="3243"/>
      <c r="K106" s="16"/>
      <c r="L106" s="3239">
        <f>IF(D65=0,0,(SUM(N105:O110))/D65)</f>
        <v>0.15316482287702116</v>
      </c>
      <c r="M106" s="3239"/>
      <c r="N106" s="3220">
        <f>((IF(AND(D106&gt;0,D106&lt;4),D106*F106,0)+IF(AND(D106&gt;3,D106&lt;8),F106*3,0)+IF(AND(D106&gt;7,D106&lt;21),D106/7*F106*3,0)+IF(AND(D106&gt;20,D106&lt;30),F106*9,0)+IF(D106&gt;29,D106/30*F106*9,0)))*(1+$V$64+I$107)</f>
        <v>136728</v>
      </c>
      <c r="O106" s="3220"/>
      <c r="P106" s="1172"/>
      <c r="Q106" s="1208" t="s">
        <v>1643</v>
      </c>
      <c r="R106" s="1209"/>
      <c r="S106" s="1210"/>
      <c r="T106" s="1209" t="s">
        <v>1323</v>
      </c>
      <c r="U106" s="1211">
        <v>500</v>
      </c>
      <c r="V106" s="1209" t="s">
        <v>1324</v>
      </c>
      <c r="W106" s="2276">
        <f t="shared" si="57"/>
        <v>0</v>
      </c>
      <c r="X106" s="1254"/>
      <c r="Y106" s="1254"/>
    </row>
    <row r="107" spans="1:64" ht="22.5" customHeight="1">
      <c r="A107" s="3207" t="s">
        <v>626</v>
      </c>
      <c r="B107" s="3207"/>
      <c r="C107" s="3207"/>
      <c r="D107" s="2269">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90</v>
      </c>
      <c r="E107" s="2198" t="s">
        <v>1327</v>
      </c>
      <c r="F107" s="2270">
        <f>Pricing!D35</f>
        <v>325</v>
      </c>
      <c r="G107" s="2198" t="s">
        <v>620</v>
      </c>
      <c r="H107" s="16"/>
      <c r="I107" s="3244">
        <v>0.5</v>
      </c>
      <c r="J107" s="3244"/>
      <c r="K107" s="16"/>
      <c r="L107" s="3241">
        <f>SUM(N105:O110)</f>
        <v>172068.63750000001</v>
      </c>
      <c r="M107" s="3241"/>
      <c r="N107" s="3245">
        <f>((IF(AND(D107&gt;0,D107&lt;4),D107*F107,0)+IF(AND(D107&gt;3,D107&lt;8),F107*3,0)+IF(AND(D107&gt;7,D107&lt;21),D107/7*F107*3,0)+IF(AND(D107&gt;20,D107&lt;30),F107*9,0)+IF(D107&gt;29,D107/30*F107*9,0)))*(1+$V$64+I$107)</f>
        <v>13886.4375</v>
      </c>
      <c r="O107" s="3245"/>
      <c r="P107" s="1172" t="s">
        <v>1073</v>
      </c>
      <c r="Q107" s="859" t="s">
        <v>618</v>
      </c>
      <c r="R107" s="77"/>
      <c r="S107" s="1176">
        <f>ROUNDUP(C50/15000,0)</f>
        <v>3</v>
      </c>
      <c r="T107" s="77" t="s">
        <v>1452</v>
      </c>
      <c r="U107" s="1174">
        <f>Pricing!Q31</f>
        <v>27</v>
      </c>
      <c r="V107" s="77" t="s">
        <v>607</v>
      </c>
      <c r="W107" s="2187">
        <f t="shared" si="57"/>
        <v>81</v>
      </c>
      <c r="X107" s="1254"/>
      <c r="Y107" s="1254"/>
    </row>
    <row r="108" spans="1:64" ht="22.5" customHeight="1">
      <c r="A108" s="3207" t="s">
        <v>1332</v>
      </c>
      <c r="B108" s="3207"/>
      <c r="C108" s="3207"/>
      <c r="D108" s="2269">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90</v>
      </c>
      <c r="E108" s="2198" t="s">
        <v>1327</v>
      </c>
      <c r="F108" s="2270">
        <f>Pricing!D39</f>
        <v>100</v>
      </c>
      <c r="G108" s="2198" t="s">
        <v>620</v>
      </c>
      <c r="H108" s="16"/>
      <c r="I108" s="3244"/>
      <c r="J108" s="3244"/>
      <c r="K108" s="16"/>
      <c r="L108" s="16"/>
      <c r="M108" s="16"/>
      <c r="N108" s="3220">
        <f>((IF(AND(D108&gt;0,D108&lt;4),D108*F108,0)+IF(AND(D108&gt;3,D108&lt;8),F108*3,0)+IF(AND(D108&gt;7,D108&lt;21),D108/7*F108*3,0)+IF(AND(D108&gt;20,D108&lt;30),F108*9,0)+IF(D108&gt;29,D108/30*F108*9,0)))*(1+$V$64+I$107)</f>
        <v>4272.75</v>
      </c>
      <c r="O108" s="3220"/>
      <c r="P108" s="1172" t="s">
        <v>1073</v>
      </c>
      <c r="Q108" s="859" t="s">
        <v>629</v>
      </c>
      <c r="R108" s="77"/>
      <c r="S108" s="1176">
        <v>0</v>
      </c>
      <c r="T108" s="77" t="s">
        <v>1644</v>
      </c>
      <c r="U108" s="1174">
        <f>0+Pricing!Q36</f>
        <v>37.799999999999997</v>
      </c>
      <c r="V108" s="77" t="s">
        <v>630</v>
      </c>
      <c r="W108" s="2187">
        <f>U108*S108</f>
        <v>0</v>
      </c>
      <c r="X108" s="1254"/>
      <c r="Y108" s="1254"/>
    </row>
    <row r="109" spans="1:64" ht="22.5" customHeight="1">
      <c r="A109" s="3207" t="s">
        <v>639</v>
      </c>
      <c r="B109" s="3207"/>
      <c r="C109" s="3207"/>
      <c r="D109" s="2269">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90</v>
      </c>
      <c r="E109" s="2198" t="s">
        <v>1327</v>
      </c>
      <c r="F109" s="2270">
        <f>Pricing!D41</f>
        <v>380</v>
      </c>
      <c r="G109" s="2198" t="s">
        <v>620</v>
      </c>
      <c r="H109" s="16"/>
      <c r="I109" s="16"/>
      <c r="J109" s="16"/>
      <c r="K109" s="16"/>
      <c r="L109" s="16"/>
      <c r="M109" s="16"/>
      <c r="N109" s="3220">
        <f>((IF(AND(D109&gt;0,D109&lt;4),D109*F109,0)+IF(AND(D109&gt;3,D109&lt;8),F109*3,0)+IF(AND(D109&gt;7,D109&lt;21),D109/7*F109*3,0)+IF(AND(D109&gt;20,D109&lt;30),F109*9,0)+IF(D109&gt;29,D109/30*F109*9,0)))*(1+$V$64+I$107)</f>
        <v>16236.45</v>
      </c>
      <c r="O109" s="3220"/>
      <c r="P109" s="1172" t="s">
        <v>1073</v>
      </c>
      <c r="Q109" s="859" t="s">
        <v>554</v>
      </c>
      <c r="R109" s="77"/>
      <c r="S109" s="1176">
        <f>K78+(K79*0.75)</f>
        <v>61715.459714350007</v>
      </c>
      <c r="T109" s="77" t="s">
        <v>1288</v>
      </c>
      <c r="U109" s="1174">
        <v>0.02</v>
      </c>
      <c r="V109" s="77" t="s">
        <v>555</v>
      </c>
      <c r="W109" s="2187">
        <f>U109*S109</f>
        <v>1234.3091942870001</v>
      </c>
      <c r="X109" s="1254"/>
      <c r="Y109" s="1254"/>
    </row>
    <row r="110" spans="1:64" ht="22.5" customHeight="1">
      <c r="A110" s="3210" t="s">
        <v>1067</v>
      </c>
      <c r="B110" s="3210"/>
      <c r="C110" s="3210"/>
      <c r="D110" s="2277">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90</v>
      </c>
      <c r="E110" s="2278" t="s">
        <v>1645</v>
      </c>
      <c r="F110" s="2273">
        <v>35</v>
      </c>
      <c r="G110" s="2278" t="s">
        <v>620</v>
      </c>
      <c r="H110" s="2220"/>
      <c r="I110" s="2220"/>
      <c r="J110" s="2220"/>
      <c r="K110" s="2220"/>
      <c r="L110" s="2279"/>
      <c r="M110" s="2220"/>
      <c r="N110" s="3238">
        <f>((IF(AND(D110&gt;0,D110&lt;4),D110*F110,0)+IF(AND(D110&gt;3,D110&lt;8),F110*3,0)+IF(AND(D110&gt;7,D110&lt;21),D110/7*F110*3,0)+IF(AND(D110&gt;20,D110&lt;30),F110*9,0)+IF(D110&gt;29,D110/30*F110*9,0)))</f>
        <v>945</v>
      </c>
      <c r="O110" s="3238"/>
      <c r="P110" s="1172" t="s">
        <v>1073</v>
      </c>
      <c r="Q110" s="1208" t="s">
        <v>1897</v>
      </c>
      <c r="R110" s="1209"/>
      <c r="S110" s="1210">
        <v>0</v>
      </c>
      <c r="T110" s="1209" t="s">
        <v>1354</v>
      </c>
      <c r="U110" s="1211">
        <v>0.21</v>
      </c>
      <c r="V110" s="1209" t="s">
        <v>1898</v>
      </c>
      <c r="W110" s="2237">
        <f>U110*S110</f>
        <v>0</v>
      </c>
      <c r="X110" s="1254"/>
      <c r="Y110" s="1254"/>
    </row>
    <row r="111" spans="1:64" ht="22.5" customHeight="1">
      <c r="A111" s="2261" t="s">
        <v>1336</v>
      </c>
      <c r="B111" s="2261"/>
      <c r="C111" s="2261"/>
      <c r="D111" s="2261"/>
      <c r="E111" s="2261"/>
      <c r="F111" s="2261"/>
      <c r="G111" s="2261"/>
      <c r="H111" s="2261"/>
      <c r="I111" s="2261"/>
      <c r="J111" s="2261"/>
      <c r="K111" s="2261"/>
      <c r="L111" s="2261"/>
      <c r="M111" s="2261"/>
      <c r="N111" s="2261"/>
      <c r="O111" s="2261"/>
      <c r="P111" s="1172" t="s">
        <v>1078</v>
      </c>
      <c r="Q111" s="859" t="s">
        <v>1105</v>
      </c>
      <c r="R111" s="77"/>
      <c r="S111" s="1176"/>
      <c r="T111" s="77"/>
      <c r="U111" s="1174"/>
      <c r="V111" s="77"/>
      <c r="W111" s="2187">
        <v>0</v>
      </c>
      <c r="X111" s="1254"/>
      <c r="Y111" s="1254"/>
    </row>
    <row r="112" spans="1:64" ht="22.5" customHeight="1">
      <c r="A112" s="3242" t="s">
        <v>1646</v>
      </c>
      <c r="B112" s="3242"/>
      <c r="C112" s="3242"/>
      <c r="D112" s="2280"/>
      <c r="E112" s="2281" t="s">
        <v>1418</v>
      </c>
      <c r="F112" s="3246">
        <v>1.05</v>
      </c>
      <c r="G112" s="3246"/>
      <c r="H112" s="2263" t="s">
        <v>600</v>
      </c>
      <c r="I112" s="2263"/>
      <c r="J112" s="2263"/>
      <c r="K112" s="2263"/>
      <c r="L112" s="2263"/>
      <c r="M112" s="2282"/>
      <c r="N112" s="3240">
        <f>D112*F112</f>
        <v>0</v>
      </c>
      <c r="O112" s="3240"/>
      <c r="P112" s="1172" t="s">
        <v>1328</v>
      </c>
      <c r="Q112" s="859" t="s">
        <v>1105</v>
      </c>
      <c r="R112" s="77"/>
      <c r="S112" s="1176"/>
      <c r="T112" s="77"/>
      <c r="U112" s="1174"/>
      <c r="V112" s="77"/>
      <c r="W112" s="2187">
        <v>0</v>
      </c>
      <c r="X112" s="1254"/>
      <c r="Y112" s="1254"/>
    </row>
    <row r="113" spans="1:24" ht="22.5" customHeight="1">
      <c r="A113" s="3207" t="s">
        <v>1462</v>
      </c>
      <c r="B113" s="3207"/>
      <c r="C113" s="3207"/>
      <c r="D113" s="2283"/>
      <c r="E113" s="2198" t="s">
        <v>1341</v>
      </c>
      <c r="F113" s="3247">
        <v>2.5</v>
      </c>
      <c r="G113" s="3247"/>
      <c r="H113" s="16" t="s">
        <v>1341</v>
      </c>
      <c r="I113" s="3248" t="s">
        <v>1648</v>
      </c>
      <c r="J113" s="3248"/>
      <c r="K113" s="3249">
        <v>25</v>
      </c>
      <c r="L113" s="16"/>
      <c r="M113" s="2233"/>
      <c r="N113" s="3220">
        <f>D113*F113</f>
        <v>0</v>
      </c>
      <c r="O113" s="3220"/>
      <c r="P113" s="1172" t="s">
        <v>1330</v>
      </c>
      <c r="Q113" s="1208" t="s">
        <v>1108</v>
      </c>
      <c r="R113" s="1209"/>
      <c r="S113" s="1210"/>
      <c r="T113" s="1209"/>
      <c r="U113" s="1211"/>
      <c r="V113" s="1209"/>
      <c r="W113" s="2237">
        <v>0</v>
      </c>
      <c r="X113" s="1254"/>
    </row>
    <row r="114" spans="1:24" ht="22.5" customHeight="1">
      <c r="A114" s="3207" t="s">
        <v>1343</v>
      </c>
      <c r="B114" s="3207"/>
      <c r="C114" s="3207"/>
      <c r="D114" s="2284">
        <f>SUM(K73:L77)</f>
        <v>1459.8518518518517</v>
      </c>
      <c r="E114" s="2285" t="s">
        <v>998</v>
      </c>
      <c r="F114" s="3247">
        <v>10</v>
      </c>
      <c r="G114" s="3247"/>
      <c r="H114" s="16" t="s">
        <v>1285</v>
      </c>
      <c r="I114" s="3248"/>
      <c r="J114" s="3248"/>
      <c r="K114" s="3249"/>
      <c r="L114" s="16"/>
      <c r="M114" s="2233"/>
      <c r="N114" s="3220">
        <f>D114*F114</f>
        <v>14598.518518518518</v>
      </c>
      <c r="O114" s="3220"/>
      <c r="P114" s="1172" t="s">
        <v>1342</v>
      </c>
      <c r="Q114" s="859" t="s">
        <v>646</v>
      </c>
      <c r="R114" s="77"/>
      <c r="S114" s="1176">
        <f>ROUNDUP(H87/300/55,0)</f>
        <v>2</v>
      </c>
      <c r="T114" s="77" t="s">
        <v>1344</v>
      </c>
      <c r="U114" s="1174">
        <f>Pricing!Q44</f>
        <v>567.5</v>
      </c>
      <c r="V114" s="77" t="s">
        <v>647</v>
      </c>
      <c r="W114" s="2187">
        <f>U114*S114</f>
        <v>1135</v>
      </c>
      <c r="X114" s="1254"/>
    </row>
    <row r="115" spans="1:24" ht="22.5" customHeight="1">
      <c r="A115" s="3207" t="s">
        <v>1899</v>
      </c>
      <c r="B115" s="3207"/>
      <c r="C115" s="3207"/>
      <c r="D115" s="2283"/>
      <c r="E115" s="2286" t="s">
        <v>1718</v>
      </c>
      <c r="F115" s="3250">
        <v>1100</v>
      </c>
      <c r="G115" s="3250"/>
      <c r="H115" s="16" t="s">
        <v>1719</v>
      </c>
      <c r="I115" s="16"/>
      <c r="J115" s="16"/>
      <c r="K115" s="16"/>
      <c r="L115" s="16"/>
      <c r="M115" s="2233"/>
      <c r="N115" s="3220">
        <f>D115*F115</f>
        <v>0</v>
      </c>
      <c r="O115" s="3220"/>
      <c r="P115" s="1172" t="s">
        <v>1342</v>
      </c>
      <c r="Q115" s="1208" t="s">
        <v>649</v>
      </c>
      <c r="R115" s="1209"/>
      <c r="S115" s="1210">
        <v>0</v>
      </c>
      <c r="T115" s="1209" t="s">
        <v>1344</v>
      </c>
      <c r="U115" s="1211">
        <f>Pricing!Q45</f>
        <v>542</v>
      </c>
      <c r="V115" s="1209" t="s">
        <v>647</v>
      </c>
      <c r="W115" s="2237">
        <f>U115*S115</f>
        <v>0</v>
      </c>
      <c r="X115" s="1254"/>
    </row>
    <row r="116" spans="1:24" ht="22.5" customHeight="1">
      <c r="A116" s="3207" t="s">
        <v>1900</v>
      </c>
      <c r="B116" s="3207"/>
      <c r="C116" s="3207"/>
      <c r="D116" s="2287"/>
      <c r="E116" s="2198" t="s">
        <v>1418</v>
      </c>
      <c r="F116" s="3247">
        <v>2.25</v>
      </c>
      <c r="G116" s="3247"/>
      <c r="H116" s="16" t="s">
        <v>600</v>
      </c>
      <c r="I116" s="16"/>
      <c r="J116" s="16"/>
      <c r="K116" s="16"/>
      <c r="L116" s="16"/>
      <c r="M116" s="2233"/>
      <c r="N116" s="3220">
        <f>IF(D116=0,0,D116*F116)</f>
        <v>0</v>
      </c>
      <c r="O116" s="3220"/>
      <c r="P116" s="1172"/>
      <c r="Q116" s="859"/>
      <c r="R116" s="77"/>
      <c r="S116" s="77"/>
      <c r="U116" s="77"/>
      <c r="W116" s="2288"/>
      <c r="X116" s="1254"/>
    </row>
    <row r="117" spans="1:24" ht="22.5" customHeight="1">
      <c r="A117" s="2203" t="s">
        <v>1346</v>
      </c>
      <c r="B117" s="2204"/>
      <c r="C117" s="2206"/>
      <c r="D117" s="2289"/>
      <c r="E117" s="2286" t="s">
        <v>1347</v>
      </c>
      <c r="F117" s="3250">
        <v>225</v>
      </c>
      <c r="G117" s="3250"/>
      <c r="H117" s="16" t="s">
        <v>620</v>
      </c>
      <c r="I117" s="16"/>
      <c r="J117" s="16"/>
      <c r="K117" s="16"/>
      <c r="L117" s="16"/>
      <c r="M117" s="16"/>
      <c r="N117" s="3220">
        <f>D117*F117</f>
        <v>0</v>
      </c>
      <c r="O117" s="3220"/>
      <c r="P117" s="1172"/>
      <c r="Q117" s="1617" t="s">
        <v>1349</v>
      </c>
      <c r="R117" s="1618"/>
      <c r="S117" s="1143">
        <v>18</v>
      </c>
      <c r="T117" s="18" t="s">
        <v>1350</v>
      </c>
      <c r="U117" s="77"/>
      <c r="W117" s="2290"/>
      <c r="X117" s="1254"/>
    </row>
    <row r="118" spans="1:24" ht="22.5" customHeight="1">
      <c r="A118" s="2291" t="s">
        <v>1901</v>
      </c>
      <c r="B118" s="2238"/>
      <c r="C118" s="2292"/>
      <c r="D118" s="2289"/>
      <c r="E118" s="2293" t="s">
        <v>836</v>
      </c>
      <c r="F118" s="3251">
        <v>1.45</v>
      </c>
      <c r="G118" s="3251"/>
      <c r="H118" s="2214" t="s">
        <v>1902</v>
      </c>
      <c r="I118" s="2214"/>
      <c r="J118" s="2214"/>
      <c r="K118" s="2214"/>
      <c r="L118" s="2214"/>
      <c r="M118" s="2214"/>
      <c r="N118" s="3204">
        <f>D118*F118</f>
        <v>0</v>
      </c>
      <c r="O118" s="3204"/>
      <c r="P118" s="2294" t="s">
        <v>1072</v>
      </c>
      <c r="Q118" s="1435" t="s">
        <v>1353</v>
      </c>
      <c r="R118" s="1621"/>
      <c r="S118" s="1621">
        <f>ROUNDUP((S86+S88+S89)*12/S117,0)</f>
        <v>0</v>
      </c>
      <c r="T118" s="976" t="s">
        <v>1354</v>
      </c>
      <c r="U118" s="1622">
        <f>Pricing!D30</f>
        <v>1</v>
      </c>
      <c r="V118" s="1622"/>
      <c r="W118" s="2227">
        <f>U118*S118</f>
        <v>0</v>
      </c>
      <c r="X118" s="1254"/>
    </row>
    <row r="119" spans="1:24" ht="22.5" customHeight="1">
      <c r="A119" s="3252" t="s">
        <v>1903</v>
      </c>
      <c r="B119" s="3252"/>
      <c r="C119" s="3252"/>
      <c r="D119" s="2295">
        <f>Summary!P60</f>
        <v>0</v>
      </c>
      <c r="E119" s="2296" t="s">
        <v>1352</v>
      </c>
      <c r="F119" s="3253">
        <f>(SUM(N73:O84)+SUM(N87:O97)+SUM(K87:L97)+SUM(N100:O102)+SUM(N105:O110)+SUM(N112:O118)+W119)*D119</f>
        <v>0</v>
      </c>
      <c r="G119" s="3253"/>
      <c r="H119" s="2297" t="s">
        <v>1039</v>
      </c>
      <c r="I119" s="2297"/>
      <c r="J119" s="2297"/>
      <c r="K119" s="2297"/>
      <c r="L119" s="2297"/>
      <c r="M119" s="2298"/>
      <c r="N119" s="3254">
        <f>F119</f>
        <v>0</v>
      </c>
      <c r="O119" s="3254"/>
      <c r="P119" s="976"/>
      <c r="Q119" s="1435"/>
      <c r="R119" s="1621"/>
      <c r="S119" s="1621"/>
      <c r="T119" s="976"/>
      <c r="U119" s="1622"/>
      <c r="V119" s="1622"/>
      <c r="W119" s="2299">
        <f>SUM(W73:W118)</f>
        <v>11029.917733349501</v>
      </c>
      <c r="X119" s="1254"/>
    </row>
    <row r="120" spans="1:24" ht="22.5" customHeight="1">
      <c r="A120" s="626"/>
      <c r="B120" s="626"/>
      <c r="C120" s="626"/>
      <c r="D120" s="626"/>
      <c r="E120" s="626"/>
      <c r="F120" s="626"/>
      <c r="G120" s="626"/>
      <c r="H120" s="626"/>
      <c r="I120" s="626"/>
      <c r="J120" s="626"/>
      <c r="K120" s="626"/>
      <c r="L120" s="626"/>
      <c r="M120" s="626"/>
      <c r="N120" s="626"/>
      <c r="O120" s="626"/>
      <c r="Q120" s="77"/>
      <c r="R120" s="77"/>
      <c r="S120" s="77"/>
      <c r="U120" s="2300"/>
      <c r="V120" s="2300"/>
      <c r="W120" s="481"/>
      <c r="X120" s="1254"/>
    </row>
    <row r="121" spans="1:24">
      <c r="A121" s="888"/>
      <c r="B121" s="889"/>
      <c r="C121" s="889"/>
      <c r="D121" s="889"/>
      <c r="E121" s="889"/>
      <c r="F121" s="889"/>
      <c r="G121" s="889"/>
      <c r="H121" s="889"/>
      <c r="I121" s="889"/>
      <c r="J121" s="889"/>
      <c r="K121" s="891"/>
      <c r="L121" s="889"/>
      <c r="M121" s="889"/>
      <c r="N121" s="889"/>
      <c r="O121" s="889"/>
      <c r="P121" s="889"/>
      <c r="Q121" s="889"/>
      <c r="R121" s="889"/>
      <c r="S121" s="889"/>
      <c r="T121" s="889"/>
      <c r="U121" s="889"/>
      <c r="V121" s="889"/>
      <c r="W121" s="894"/>
      <c r="X121" s="1254"/>
    </row>
    <row r="122" spans="1:24" ht="28.5" customHeight="1">
      <c r="A122" s="2786" t="s">
        <v>1262</v>
      </c>
      <c r="B122" s="2786"/>
      <c r="C122" s="2786"/>
      <c r="D122" s="2786" t="s">
        <v>982</v>
      </c>
      <c r="E122" s="2786"/>
      <c r="F122" s="2786" t="s">
        <v>1263</v>
      </c>
      <c r="G122" s="2786"/>
      <c r="H122" s="2786"/>
      <c r="I122" s="1054" t="s">
        <v>1264</v>
      </c>
      <c r="J122" s="1055"/>
      <c r="K122" s="1056"/>
      <c r="L122" s="2789" t="s">
        <v>1265</v>
      </c>
      <c r="M122" s="2789"/>
      <c r="N122" s="1058"/>
      <c r="O122" s="1059"/>
      <c r="P122" s="895"/>
      <c r="Q122" s="574" t="s">
        <v>1266</v>
      </c>
      <c r="S122" s="18" t="s">
        <v>1267</v>
      </c>
      <c r="T122" s="1060" t="str">
        <f>T64</f>
        <v>N</v>
      </c>
      <c r="U122" s="793" t="s">
        <v>1268</v>
      </c>
      <c r="V122" s="1242">
        <f>V64</f>
        <v>8.2500000000000004E-2</v>
      </c>
      <c r="W122" s="898"/>
      <c r="X122" s="1254"/>
    </row>
    <row r="123" spans="1:24" customFormat="1" ht="19.5" customHeight="1">
      <c r="A123" s="899" t="s">
        <v>1269</v>
      </c>
      <c r="B123" s="2865">
        <f>B65</f>
        <v>34.997550944793268</v>
      </c>
      <c r="C123" s="2865"/>
      <c r="D123" s="2866">
        <f>D65</f>
        <v>1123421.385327864</v>
      </c>
      <c r="E123" s="2866"/>
      <c r="F123" s="901">
        <f>F65</f>
        <v>0.15254237288135594</v>
      </c>
      <c r="G123" s="2867">
        <f>G65</f>
        <v>171369.36386357248</v>
      </c>
      <c r="H123" s="2867"/>
      <c r="I123" s="2868">
        <f>I65</f>
        <v>29.658941478638365</v>
      </c>
      <c r="J123" s="2868"/>
      <c r="K123" s="2868"/>
      <c r="L123" s="1623">
        <f>L65</f>
        <v>0.18</v>
      </c>
      <c r="M123" s="1489"/>
      <c r="N123" s="1489"/>
      <c r="O123" s="1490"/>
      <c r="P123" s="1137"/>
      <c r="Q123" s="902" t="s">
        <v>980</v>
      </c>
      <c r="R123" s="18"/>
      <c r="S123" s="18"/>
      <c r="T123" s="2942">
        <f>T65</f>
        <v>952052.02146429149</v>
      </c>
      <c r="U123" s="2942"/>
      <c r="V123" s="18"/>
      <c r="W123" s="898"/>
    </row>
    <row r="124" spans="1:24" customFormat="1" ht="19.5" customHeight="1">
      <c r="A124" s="904"/>
      <c r="B124" s="905"/>
      <c r="C124" s="905"/>
      <c r="D124" s="905"/>
      <c r="E124" s="905"/>
      <c r="F124" s="905"/>
      <c r="G124" s="905"/>
      <c r="H124" s="905"/>
      <c r="I124" s="905"/>
      <c r="J124" s="905"/>
      <c r="K124" s="905"/>
      <c r="L124" s="905"/>
      <c r="M124" s="905"/>
      <c r="N124" s="905"/>
      <c r="O124" s="905"/>
      <c r="P124" s="905"/>
      <c r="Q124" s="905"/>
      <c r="R124" s="905"/>
      <c r="S124" s="905"/>
      <c r="T124" s="905"/>
      <c r="U124" s="905"/>
      <c r="V124" s="905"/>
      <c r="W124" s="913"/>
    </row>
    <row r="151" spans="1:4" ht="15" customHeight="1">
      <c r="A151" s="680" t="s">
        <v>1055</v>
      </c>
      <c r="B151" s="692" t="s">
        <v>1904</v>
      </c>
      <c r="C151" s="387"/>
      <c r="D151" s="690">
        <f>T123-D152</f>
        <v>0</v>
      </c>
    </row>
    <row r="152" spans="1:4" ht="15" customHeight="1">
      <c r="A152" s="700" t="s">
        <v>1075</v>
      </c>
      <c r="B152" s="662"/>
      <c r="C152" s="654"/>
      <c r="D152" s="1895">
        <f>SUM(D153:D209)-D185-D195</f>
        <v>952052.02146429149</v>
      </c>
    </row>
    <row r="153" spans="1:4" ht="15" customHeight="1">
      <c r="A153" s="1244">
        <f>Summary!AZ74</f>
        <v>80001</v>
      </c>
      <c r="B153" s="707" t="str">
        <f>Summary!BA74</f>
        <v>General Requirements</v>
      </c>
      <c r="C153" s="296"/>
      <c r="D153" s="1071"/>
    </row>
    <row r="154" spans="1:4" ht="15" customHeight="1">
      <c r="A154" s="1244">
        <f>Summary!AZ75</f>
        <v>80002</v>
      </c>
      <c r="B154" s="707" t="str">
        <f>Summary!BA75</f>
        <v>Lumber</v>
      </c>
      <c r="C154" s="296"/>
      <c r="D154" s="1072">
        <f>SUM(W73:W90)+SUM(W92:W106)+N81+N82</f>
        <v>34640.796039062501</v>
      </c>
    </row>
    <row r="155" spans="1:4" ht="15" customHeight="1">
      <c r="A155" s="1244">
        <f>Summary!AZ76</f>
        <v>80003</v>
      </c>
      <c r="B155" s="707" t="str">
        <f>Summary!BA76</f>
        <v>Sand Material</v>
      </c>
      <c r="C155" s="296"/>
      <c r="D155" s="1072"/>
    </row>
    <row r="156" spans="1:4">
      <c r="A156" s="1244">
        <f>Summary!AZ77</f>
        <v>80004</v>
      </c>
      <c r="B156" s="707" t="str">
        <f>Summary!BA77</f>
        <v>Rock Material</v>
      </c>
      <c r="C156" s="296"/>
      <c r="D156" s="1072"/>
    </row>
    <row r="157" spans="1:4">
      <c r="A157" s="1244">
        <f>Summary!AZ78</f>
        <v>80005</v>
      </c>
      <c r="B157" s="707" t="str">
        <f>Summary!BA78</f>
        <v>Reinforcement Material</v>
      </c>
      <c r="C157" s="296"/>
      <c r="D157" s="1072">
        <f>SUM(N78:O79)</f>
        <v>43424.540341509528</v>
      </c>
    </row>
    <row r="158" spans="1:4">
      <c r="A158" s="1244">
        <f>Summary!AZ79</f>
        <v>80006</v>
      </c>
      <c r="B158" s="707" t="str">
        <f>Summary!BA79</f>
        <v>Reinforcement Accessories</v>
      </c>
      <c r="C158" s="296"/>
      <c r="D158" s="1072">
        <f>SUM(W107:W110)+W118</f>
        <v>1315.3091942870001</v>
      </c>
    </row>
    <row r="159" spans="1:4">
      <c r="A159" s="1244">
        <f>Summary!AZ80</f>
        <v>80007</v>
      </c>
      <c r="B159" s="707" t="str">
        <f>Summary!BA80</f>
        <v>PT Cables</v>
      </c>
      <c r="C159" s="296"/>
      <c r="D159" s="1072">
        <f>SUM(N80)</f>
        <v>50384.962500000001</v>
      </c>
    </row>
    <row r="160" spans="1:4">
      <c r="A160" s="1244">
        <f>Summary!AZ81</f>
        <v>80008</v>
      </c>
      <c r="B160" s="707" t="str">
        <f>Summary!BA81</f>
        <v>Concrete Material</v>
      </c>
      <c r="C160" s="296"/>
      <c r="D160" s="1072">
        <f>SUM(N73:O77)</f>
        <v>276550.68518518517</v>
      </c>
    </row>
    <row r="161" spans="1:4">
      <c r="A161" s="1244">
        <f>Summary!AZ82</f>
        <v>80009</v>
      </c>
      <c r="B161" s="707" t="str">
        <f>Summary!BA82</f>
        <v>Carton Forms</v>
      </c>
      <c r="C161" s="296"/>
      <c r="D161" s="1072">
        <f>SUM(N81)</f>
        <v>0</v>
      </c>
    </row>
    <row r="162" spans="1:4">
      <c r="A162" s="1244">
        <f>Summary!AZ83</f>
        <v>80010</v>
      </c>
      <c r="B162" s="707" t="str">
        <f>Summary!BA83</f>
        <v>Cure/Sealers</v>
      </c>
      <c r="C162" s="296"/>
      <c r="D162" s="1072">
        <f>SUM(W113:W115)</f>
        <v>1135</v>
      </c>
    </row>
    <row r="163" spans="1:4">
      <c r="A163" s="1244">
        <f>Summary!AZ84</f>
        <v>80011</v>
      </c>
      <c r="B163" s="707" t="str">
        <f>Summary!BA84</f>
        <v>Patch/Grout</v>
      </c>
      <c r="C163" s="296"/>
      <c r="D163" s="1072"/>
    </row>
    <row r="164" spans="1:4">
      <c r="A164" s="1244">
        <f>Summary!AZ85</f>
        <v>80012</v>
      </c>
      <c r="B164" s="707" t="str">
        <f>Summary!BA85</f>
        <v>Poly/Vapor Barrier</v>
      </c>
      <c r="C164" s="296"/>
      <c r="D164" s="1072">
        <f>SUM(W91)</f>
        <v>0</v>
      </c>
    </row>
    <row r="165" spans="1:4">
      <c r="A165" s="1244">
        <f>Summary!AZ86</f>
        <v>80013</v>
      </c>
      <c r="B165" s="707" t="str">
        <f>Summary!BA86</f>
        <v>Special Material</v>
      </c>
      <c r="C165" s="296"/>
      <c r="D165" s="1072">
        <f>W111</f>
        <v>0</v>
      </c>
    </row>
    <row r="166" spans="1:4">
      <c r="A166" s="1244">
        <f>Summary!AZ87</f>
        <v>80014</v>
      </c>
      <c r="B166" s="707" t="str">
        <f>Summary!BA87</f>
        <v>Special Material</v>
      </c>
      <c r="C166" s="296"/>
      <c r="D166" s="1072">
        <f>W112</f>
        <v>0</v>
      </c>
    </row>
    <row r="167" spans="1:4">
      <c r="A167" s="1244">
        <f>Summary!AZ88</f>
        <v>80015</v>
      </c>
      <c r="B167" s="707" t="str">
        <f>Summary!BA88</f>
        <v>PPE/Safety</v>
      </c>
      <c r="C167" s="296"/>
      <c r="D167" s="1072">
        <f>W113</f>
        <v>0</v>
      </c>
    </row>
    <row r="168" spans="1:4">
      <c r="A168" s="1244">
        <f>Summary!AZ89</f>
        <v>80020</v>
      </c>
      <c r="B168" s="707" t="str">
        <f>Summary!BA89</f>
        <v>Supervision</v>
      </c>
      <c r="C168" s="296"/>
      <c r="D168" s="1072">
        <f>SUM(N100:O101)</f>
        <v>40500</v>
      </c>
    </row>
    <row r="169" spans="1:4">
      <c r="A169" s="1244">
        <f>Summary!AZ90</f>
        <v>80021</v>
      </c>
      <c r="B169" s="707" t="str">
        <f>Summary!BA90</f>
        <v>Supervision Expense</v>
      </c>
      <c r="C169" s="296"/>
      <c r="D169" s="1072">
        <f>SUM(N102)</f>
        <v>6000</v>
      </c>
    </row>
    <row r="170" spans="1:4">
      <c r="A170" s="1244">
        <f>Summary!AZ91</f>
        <v>80022</v>
      </c>
      <c r="B170" s="707" t="str">
        <f>Summary!BA91</f>
        <v>Project Management</v>
      </c>
      <c r="C170" s="296"/>
      <c r="D170" s="1072">
        <f>N103</f>
        <v>12000</v>
      </c>
    </row>
    <row r="171" spans="1:4">
      <c r="A171" s="1244">
        <f>Summary!AZ92</f>
        <v>80023</v>
      </c>
      <c r="B171" s="707" t="str">
        <f>Summary!BA92</f>
        <v>Labor Grade, Poly, Reinf.</v>
      </c>
      <c r="C171" s="296"/>
      <c r="D171" s="1072"/>
    </row>
    <row r="172" spans="1:4">
      <c r="A172" s="1244">
        <f>Summary!AZ93</f>
        <v>80024</v>
      </c>
      <c r="B172" s="707" t="str">
        <f>Summary!BA93</f>
        <v>Labor Place &amp; Finish</v>
      </c>
      <c r="C172" s="296"/>
      <c r="D172" s="1072">
        <f>K88</f>
        <v>0</v>
      </c>
    </row>
    <row r="173" spans="1:4">
      <c r="A173" s="1244">
        <f>Summary!AZ94</f>
        <v>80025</v>
      </c>
      <c r="B173" s="707" t="str">
        <f>Summary!BA94</f>
        <v>Labor Drops</v>
      </c>
      <c r="C173" s="296"/>
      <c r="D173" s="1072">
        <f>K92</f>
        <v>0</v>
      </c>
    </row>
    <row r="174" spans="1:4">
      <c r="A174" s="1244">
        <f>Summary!AZ95</f>
        <v>80026</v>
      </c>
      <c r="B174" s="707" t="str">
        <f>Summary!BA95</f>
        <v>Labor Strip Forms</v>
      </c>
      <c r="C174" s="296"/>
      <c r="D174" s="1072">
        <f>K89+K93</f>
        <v>0</v>
      </c>
    </row>
    <row r="175" spans="1:4">
      <c r="A175" s="1244">
        <f>Summary!AZ96</f>
        <v>80027</v>
      </c>
      <c r="B175" s="707" t="str">
        <f>Summary!BA96</f>
        <v>Labor Burden</v>
      </c>
      <c r="C175" s="296"/>
      <c r="D175" s="1072"/>
    </row>
    <row r="176" spans="1:4">
      <c r="A176" s="1244">
        <v>80030</v>
      </c>
      <c r="B176" s="707" t="s">
        <v>1130</v>
      </c>
      <c r="C176" s="296"/>
      <c r="D176" s="1072">
        <f>N114</f>
        <v>14598.518518518518</v>
      </c>
    </row>
    <row r="177" spans="1:4">
      <c r="A177" s="1244">
        <f>Summary!AZ99</f>
        <v>80031</v>
      </c>
      <c r="B177" s="707" t="str">
        <f>Summary!BA99</f>
        <v>Earth Work/Excavation</v>
      </c>
      <c r="C177" s="296"/>
      <c r="D177" s="1072"/>
    </row>
    <row r="178" spans="1:4">
      <c r="A178" s="1244">
        <f>Summary!AZ100</f>
        <v>80032</v>
      </c>
      <c r="B178" s="707" t="str">
        <f>Summary!BA100</f>
        <v>Drilling</v>
      </c>
      <c r="C178" s="296"/>
      <c r="D178" s="1072"/>
    </row>
    <row r="179" spans="1:4">
      <c r="A179" s="1244">
        <f>Summary!AZ101</f>
        <v>80033</v>
      </c>
      <c r="B179" s="707" t="str">
        <f>Summary!BA101</f>
        <v>Haul off</v>
      </c>
      <c r="C179" s="296"/>
      <c r="D179" s="1072"/>
    </row>
    <row r="180" spans="1:4">
      <c r="A180" s="1244">
        <f>Summary!AZ102</f>
        <v>80034</v>
      </c>
      <c r="B180" s="707" t="str">
        <f>Summary!BA102</f>
        <v>Saw Cutting/Sealing</v>
      </c>
      <c r="C180" s="296"/>
      <c r="D180" s="1072">
        <f>N113</f>
        <v>0</v>
      </c>
    </row>
    <row r="181" spans="1:4">
      <c r="A181" s="1244">
        <f>Summary!AZ103</f>
        <v>80035</v>
      </c>
      <c r="B181" s="707" t="str">
        <f>Summary!BA103</f>
        <v>Demolition</v>
      </c>
      <c r="C181" s="296"/>
      <c r="D181" s="1072"/>
    </row>
    <row r="182" spans="1:4">
      <c r="A182" s="1244">
        <f>Summary!AZ104</f>
        <v>80037</v>
      </c>
      <c r="B182" s="707" t="str">
        <f>Summary!BA104</f>
        <v>Waterproofing</v>
      </c>
      <c r="C182" s="296"/>
      <c r="D182" s="1072">
        <f>SUM(N116)</f>
        <v>0</v>
      </c>
    </row>
    <row r="183" spans="1:4">
      <c r="A183" s="1244">
        <f>Summary!AZ105</f>
        <v>80038</v>
      </c>
      <c r="B183" s="707" t="str">
        <f>Summary!BA105</f>
        <v>Crain/Hoisting</v>
      </c>
      <c r="C183" s="296"/>
      <c r="D183" s="1072">
        <f>N105+N106</f>
        <v>136728</v>
      </c>
    </row>
    <row r="184" spans="1:4">
      <c r="A184" s="1246">
        <f>Summary!AZ106</f>
        <v>80039</v>
      </c>
      <c r="B184" s="753" t="str">
        <f>Summary!BA106</f>
        <v>Forming Systems</v>
      </c>
      <c r="C184" s="765"/>
      <c r="D184" s="1076">
        <f>SUM(N83:O84)</f>
        <v>47778.84375</v>
      </c>
    </row>
    <row r="185" spans="1:4">
      <c r="A185" s="1833">
        <f>Summary!AZ107</f>
        <v>80040</v>
      </c>
      <c r="B185" s="1834" t="str">
        <f>Summary!BA107</f>
        <v>Total Sub Labor</v>
      </c>
      <c r="C185" s="1835"/>
      <c r="D185" s="1897">
        <f>SUM(D186:D193)</f>
        <v>251654.72843572876</v>
      </c>
    </row>
    <row r="186" spans="1:4">
      <c r="A186" s="1244">
        <f>Summary!AZ108</f>
        <v>80041</v>
      </c>
      <c r="B186" s="707" t="str">
        <f>Summary!BA108</f>
        <v>Labor Forming</v>
      </c>
      <c r="C186" s="296"/>
      <c r="D186" s="1071">
        <f>N87</f>
        <v>152475</v>
      </c>
    </row>
    <row r="187" spans="1:4">
      <c r="A187" s="1244">
        <f>Summary!AZ109</f>
        <v>80042</v>
      </c>
      <c r="B187" s="707" t="str">
        <f>Summary!BA109</f>
        <v>Labor Grade, Poly, Reinf.</v>
      </c>
      <c r="C187" s="296"/>
      <c r="D187" s="1072"/>
    </row>
    <row r="188" spans="1:4">
      <c r="A188" s="1244">
        <f>Summary!AZ110</f>
        <v>80043</v>
      </c>
      <c r="B188" s="707" t="str">
        <f>Summary!BA110</f>
        <v>Labor Place &amp; Finish</v>
      </c>
      <c r="C188" s="296"/>
      <c r="D188" s="1072">
        <f>N88</f>
        <v>16050</v>
      </c>
    </row>
    <row r="189" spans="1:4">
      <c r="A189" s="1244">
        <f>Summary!AZ111</f>
        <v>80044</v>
      </c>
      <c r="B189" s="707" t="str">
        <f>Summary!BA111</f>
        <v>Labor Drops</v>
      </c>
      <c r="C189" s="296"/>
      <c r="D189" s="1072">
        <f>N90+N92+N91</f>
        <v>22779</v>
      </c>
    </row>
    <row r="190" spans="1:4">
      <c r="A190" s="1244">
        <f>Summary!AZ112</f>
        <v>80045</v>
      </c>
      <c r="B190" s="707" t="str">
        <f>Summary!BA112</f>
        <v>Labor Strip Forms</v>
      </c>
      <c r="C190" s="296"/>
      <c r="D190" s="1072">
        <f>N89</f>
        <v>14445</v>
      </c>
    </row>
    <row r="191" spans="1:4">
      <c r="A191" s="1244">
        <f>Summary!AZ113</f>
        <v>80046</v>
      </c>
      <c r="B191" s="707" t="str">
        <f>Summary!BA113</f>
        <v>Labor Burden</v>
      </c>
      <c r="C191" s="296"/>
      <c r="D191" s="1072">
        <f>N93</f>
        <v>8025</v>
      </c>
    </row>
    <row r="192" spans="1:4">
      <c r="A192" s="1244">
        <f>Summary!AZ114</f>
        <v>80047</v>
      </c>
      <c r="B192" s="707" t="str">
        <f>Summary!BA114</f>
        <v>Rebar</v>
      </c>
      <c r="C192" s="296"/>
      <c r="D192" s="1072">
        <f>N96+N94</f>
        <v>13885.978435728752</v>
      </c>
    </row>
    <row r="193" spans="1:4">
      <c r="A193" s="1246">
        <f>Summary!AZ115</f>
        <v>80048</v>
      </c>
      <c r="B193" s="753" t="str">
        <f>Summary!BA115</f>
        <v>PT Installation</v>
      </c>
      <c r="C193" s="765"/>
      <c r="D193" s="1076">
        <f>N95</f>
        <v>23994.75</v>
      </c>
    </row>
    <row r="194" spans="1:4">
      <c r="A194" s="1246">
        <f>Summary!AZ116</f>
        <v>80049</v>
      </c>
      <c r="B194" s="753" t="str">
        <f>Summary!BA116</f>
        <v>Extra Hours</v>
      </c>
      <c r="C194" s="765"/>
      <c r="D194" s="1076">
        <f>N97</f>
        <v>0</v>
      </c>
    </row>
    <row r="195" spans="1:4">
      <c r="A195" s="1833">
        <f>Summary!AZ117</f>
        <v>80060</v>
      </c>
      <c r="B195" s="1834" t="str">
        <f>Summary!BA117</f>
        <v>Total Equipment Rental</v>
      </c>
      <c r="C195" s="1835"/>
      <c r="D195" s="1897">
        <f>SUM(D196:D203)</f>
        <v>35340.637500000004</v>
      </c>
    </row>
    <row r="196" spans="1:4">
      <c r="A196" s="1244">
        <f>Summary!AZ118</f>
        <v>80061</v>
      </c>
      <c r="B196" s="707" t="str">
        <f>Summary!BA118</f>
        <v>SkyTrack</v>
      </c>
      <c r="C196" s="296"/>
      <c r="D196" s="1071">
        <f>N109/(1+V$64+I$107)</f>
        <v>10260</v>
      </c>
    </row>
    <row r="197" spans="1:4">
      <c r="A197" s="1244">
        <f>Summary!AZ119</f>
        <v>80062</v>
      </c>
      <c r="B197" s="707" t="str">
        <f>Summary!BA119</f>
        <v>Mini Excavator</v>
      </c>
      <c r="C197" s="296"/>
      <c r="D197" s="1072"/>
    </row>
    <row r="198" spans="1:4">
      <c r="A198" s="1244">
        <f>Summary!AZ120</f>
        <v>80063</v>
      </c>
      <c r="B198" s="707" t="str">
        <f>Summary!BA120</f>
        <v>Trencher</v>
      </c>
      <c r="C198" s="296"/>
      <c r="D198" s="1072"/>
    </row>
    <row r="199" spans="1:4">
      <c r="A199" s="1244">
        <f>Summary!AZ121</f>
        <v>80064</v>
      </c>
      <c r="B199" s="707" t="str">
        <f>Summary!BA121</f>
        <v>Skid Steer</v>
      </c>
      <c r="C199" s="296"/>
      <c r="D199" s="1072">
        <f>N107/(1+V$64+I$107)</f>
        <v>8775</v>
      </c>
    </row>
    <row r="200" spans="1:4">
      <c r="A200" s="1244">
        <f>Summary!AZ122</f>
        <v>80065</v>
      </c>
      <c r="B200" s="707" t="str">
        <f>Summary!BA122</f>
        <v>General Equipment Rental</v>
      </c>
      <c r="C200" s="296"/>
      <c r="D200" s="1072">
        <f>(N108+N110)/(1+V$64+I$107)</f>
        <v>3297.1563981042655</v>
      </c>
    </row>
    <row r="201" spans="1:4">
      <c r="A201" s="1244">
        <f>Summary!AZ123</f>
        <v>80066</v>
      </c>
      <c r="B201" s="707" t="str">
        <f>Summary!BA123</f>
        <v>Fuel</v>
      </c>
      <c r="C201" s="296"/>
      <c r="D201" s="1072">
        <f>L107-D196-D199-D200-D202-D203-D183</f>
        <v>13008.481101895741</v>
      </c>
    </row>
    <row r="202" spans="1:4">
      <c r="A202" s="1244">
        <f>Summary!AZ124</f>
        <v>80067</v>
      </c>
      <c r="B202" s="707" t="str">
        <f>Summary!BA124</f>
        <v>Purchased Tools</v>
      </c>
      <c r="C202" s="296"/>
      <c r="D202" s="1072"/>
    </row>
    <row r="203" spans="1:4">
      <c r="A203" s="1244">
        <f>Summary!AZ125</f>
        <v>80068</v>
      </c>
      <c r="B203" s="707" t="str">
        <f>Summary!BA125</f>
        <v>Stolen/Damaged</v>
      </c>
      <c r="C203" s="296"/>
      <c r="D203" s="1072"/>
    </row>
    <row r="204" spans="1:4">
      <c r="A204" s="1244">
        <f>Summary!AZ126</f>
        <v>80070</v>
      </c>
      <c r="B204" s="707" t="str">
        <f>Summary!BA126</f>
        <v>Out of Town Expense</v>
      </c>
      <c r="C204" s="296"/>
      <c r="D204" s="1072">
        <f>N117</f>
        <v>0</v>
      </c>
    </row>
    <row r="205" spans="1:4">
      <c r="A205" s="1244">
        <f>Summary!AZ127</f>
        <v>80071</v>
      </c>
      <c r="B205" s="707" t="str">
        <f>Summary!BA127</f>
        <v>Miscellaneous</v>
      </c>
      <c r="C205" s="296"/>
      <c r="D205" s="1072">
        <f>N115+N118</f>
        <v>0</v>
      </c>
    </row>
    <row r="206" spans="1:4">
      <c r="A206" s="1244">
        <f>Summary!AZ128</f>
        <v>80072</v>
      </c>
      <c r="B206" s="707" t="str">
        <f>Summary!BA128</f>
        <v>Repairs</v>
      </c>
      <c r="C206" s="296"/>
      <c r="D206" s="1072"/>
    </row>
    <row r="207" spans="1:4">
      <c r="A207" s="1244">
        <f>Summary!AZ129</f>
        <v>80073</v>
      </c>
      <c r="B207" s="707" t="str">
        <f>Summary!BA129</f>
        <v>Engineering</v>
      </c>
      <c r="C207" s="296"/>
      <c r="D207" s="1072">
        <f>N112</f>
        <v>0</v>
      </c>
    </row>
    <row r="208" spans="1:4">
      <c r="A208" s="1244">
        <f>Summary!AZ130</f>
        <v>80090</v>
      </c>
      <c r="B208" s="707" t="str">
        <f>Summary!BA130</f>
        <v>Not Used</v>
      </c>
      <c r="C208" s="296"/>
      <c r="D208" s="1072"/>
    </row>
    <row r="209" spans="1:4">
      <c r="A209" s="1244">
        <f>Summary!AZ131</f>
        <v>80091</v>
      </c>
      <c r="B209" s="707" t="str">
        <f>Summary!BA131</f>
        <v>Margin Contingency</v>
      </c>
      <c r="C209" s="296"/>
      <c r="D209" s="1072">
        <f>N119</f>
        <v>0</v>
      </c>
    </row>
  </sheetData>
  <mergeCells count="274">
    <mergeCell ref="T123:U123"/>
    <mergeCell ref="A119:C119"/>
    <mergeCell ref="F119:G119"/>
    <mergeCell ref="N119:O119"/>
    <mergeCell ref="A122:C122"/>
    <mergeCell ref="D122:E122"/>
    <mergeCell ref="F122:H122"/>
    <mergeCell ref="L122:M122"/>
    <mergeCell ref="B123:C123"/>
    <mergeCell ref="D123:E123"/>
    <mergeCell ref="G123:H123"/>
    <mergeCell ref="I123:K123"/>
    <mergeCell ref="A115:C115"/>
    <mergeCell ref="F115:G115"/>
    <mergeCell ref="N115:O115"/>
    <mergeCell ref="A116:C116"/>
    <mergeCell ref="F116:G116"/>
    <mergeCell ref="N116:O116"/>
    <mergeCell ref="F117:G117"/>
    <mergeCell ref="N117:O117"/>
    <mergeCell ref="F118:G118"/>
    <mergeCell ref="N118:O118"/>
    <mergeCell ref="A112:C112"/>
    <mergeCell ref="F112:G112"/>
    <mergeCell ref="N112:O112"/>
    <mergeCell ref="A113:C113"/>
    <mergeCell ref="F113:G113"/>
    <mergeCell ref="I113:J114"/>
    <mergeCell ref="K113:K114"/>
    <mergeCell ref="N113:O113"/>
    <mergeCell ref="A114:C114"/>
    <mergeCell ref="F114:G114"/>
    <mergeCell ref="N114:O114"/>
    <mergeCell ref="A107:C107"/>
    <mergeCell ref="I107:J108"/>
    <mergeCell ref="L107:M107"/>
    <mergeCell ref="N107:O107"/>
    <mergeCell ref="A108:C108"/>
    <mergeCell ref="N108:O108"/>
    <mergeCell ref="A109:C109"/>
    <mergeCell ref="N109:O109"/>
    <mergeCell ref="A110:C110"/>
    <mergeCell ref="N110:O110"/>
    <mergeCell ref="L101:M101"/>
    <mergeCell ref="N101:O101"/>
    <mergeCell ref="N102:O102"/>
    <mergeCell ref="L103:M103"/>
    <mergeCell ref="N103:O103"/>
    <mergeCell ref="A105:C105"/>
    <mergeCell ref="N105:O105"/>
    <mergeCell ref="A106:C106"/>
    <mergeCell ref="I106:J106"/>
    <mergeCell ref="L106:M106"/>
    <mergeCell ref="N106:O106"/>
    <mergeCell ref="D97:E97"/>
    <mergeCell ref="K97:L97"/>
    <mergeCell ref="N97:O97"/>
    <mergeCell ref="D98:E98"/>
    <mergeCell ref="H98:J98"/>
    <mergeCell ref="K98:L98"/>
    <mergeCell ref="N98:O98"/>
    <mergeCell ref="L100:M100"/>
    <mergeCell ref="N100:O100"/>
    <mergeCell ref="D94:E94"/>
    <mergeCell ref="H94:I94"/>
    <mergeCell ref="K94:L94"/>
    <mergeCell ref="N94:O94"/>
    <mergeCell ref="D95:E95"/>
    <mergeCell ref="H95:I95"/>
    <mergeCell ref="K95:L95"/>
    <mergeCell ref="N95:O95"/>
    <mergeCell ref="D96:E96"/>
    <mergeCell ref="H96:I96"/>
    <mergeCell ref="K96:L96"/>
    <mergeCell ref="N96:O96"/>
    <mergeCell ref="D91:E91"/>
    <mergeCell ref="H91:I91"/>
    <mergeCell ref="K91:L91"/>
    <mergeCell ref="N91:O91"/>
    <mergeCell ref="D92:E92"/>
    <mergeCell ref="H92:I92"/>
    <mergeCell ref="K92:L92"/>
    <mergeCell ref="N92:O92"/>
    <mergeCell ref="D93:E93"/>
    <mergeCell ref="H93:I93"/>
    <mergeCell ref="K93:L93"/>
    <mergeCell ref="N93:O93"/>
    <mergeCell ref="K86:L86"/>
    <mergeCell ref="M86:O86"/>
    <mergeCell ref="D87:E87"/>
    <mergeCell ref="G87:G90"/>
    <mergeCell ref="H87:I90"/>
    <mergeCell ref="K87:L87"/>
    <mergeCell ref="N87:O87"/>
    <mergeCell ref="D88:E88"/>
    <mergeCell ref="K88:L88"/>
    <mergeCell ref="N88:O88"/>
    <mergeCell ref="D89:E89"/>
    <mergeCell ref="K89:L89"/>
    <mergeCell ref="N89:O89"/>
    <mergeCell ref="D90:E90"/>
    <mergeCell ref="K90:L90"/>
    <mergeCell ref="N90:O90"/>
    <mergeCell ref="A81:E81"/>
    <mergeCell ref="H81:I81"/>
    <mergeCell ref="K81:L81"/>
    <mergeCell ref="N81:O81"/>
    <mergeCell ref="A82:E82"/>
    <mergeCell ref="K82:L82"/>
    <mergeCell ref="N82:O82"/>
    <mergeCell ref="A83:E83"/>
    <mergeCell ref="J83:J84"/>
    <mergeCell ref="K83:L83"/>
    <mergeCell ref="N83:O83"/>
    <mergeCell ref="A84:E84"/>
    <mergeCell ref="H84:I84"/>
    <mergeCell ref="K84:L84"/>
    <mergeCell ref="N84:O84"/>
    <mergeCell ref="H78:I78"/>
    <mergeCell ref="K78:L78"/>
    <mergeCell ref="N78:O78"/>
    <mergeCell ref="K79:L79"/>
    <mergeCell ref="N79:O79"/>
    <mergeCell ref="C80:D80"/>
    <mergeCell ref="I80:J80"/>
    <mergeCell ref="K80:L80"/>
    <mergeCell ref="N80:O80"/>
    <mergeCell ref="D71:E71"/>
    <mergeCell ref="K72:L72"/>
    <mergeCell ref="H73:I77"/>
    <mergeCell ref="J73:J77"/>
    <mergeCell ref="K73:L73"/>
    <mergeCell ref="N73:O73"/>
    <mergeCell ref="K74:L74"/>
    <mergeCell ref="N74:O74"/>
    <mergeCell ref="K75:L75"/>
    <mergeCell ref="N75:O75"/>
    <mergeCell ref="K76:L76"/>
    <mergeCell ref="N76:O76"/>
    <mergeCell ref="K77:L77"/>
    <mergeCell ref="N77:O77"/>
    <mergeCell ref="T65:U65"/>
    <mergeCell ref="D66:E66"/>
    <mergeCell ref="J66:K66"/>
    <mergeCell ref="M66:N66"/>
    <mergeCell ref="T66:U66"/>
    <mergeCell ref="S67:T67"/>
    <mergeCell ref="N68:O68"/>
    <mergeCell ref="D69:E69"/>
    <mergeCell ref="B70:C70"/>
    <mergeCell ref="D70:E70"/>
    <mergeCell ref="D63:E63"/>
    <mergeCell ref="A64:C64"/>
    <mergeCell ref="D64:E64"/>
    <mergeCell ref="F64:H64"/>
    <mergeCell ref="I64:K64"/>
    <mergeCell ref="L64:M64"/>
    <mergeCell ref="B65:C65"/>
    <mergeCell ref="D65:E65"/>
    <mergeCell ref="G65:H65"/>
    <mergeCell ref="I65:K65"/>
    <mergeCell ref="L65:O65"/>
    <mergeCell ref="O58:P58"/>
    <mergeCell ref="Q58:R58"/>
    <mergeCell ref="O59:P59"/>
    <mergeCell ref="Q59:R59"/>
    <mergeCell ref="O60:P60"/>
    <mergeCell ref="Q60:R60"/>
    <mergeCell ref="O61:P61"/>
    <mergeCell ref="Q61:R61"/>
    <mergeCell ref="O62:P62"/>
    <mergeCell ref="Q62:R62"/>
    <mergeCell ref="O53:P53"/>
    <mergeCell ref="Q53:R53"/>
    <mergeCell ref="O54:P54"/>
    <mergeCell ref="Q54:R54"/>
    <mergeCell ref="O55:P55"/>
    <mergeCell ref="Q55:R55"/>
    <mergeCell ref="O56:P56"/>
    <mergeCell ref="Q56:R56"/>
    <mergeCell ref="O57:P57"/>
    <mergeCell ref="Q57:R57"/>
    <mergeCell ref="W49:X49"/>
    <mergeCell ref="C50:D50"/>
    <mergeCell ref="W50:X50"/>
    <mergeCell ref="D51:E51"/>
    <mergeCell ref="F51:G51"/>
    <mergeCell ref="H51:I51"/>
    <mergeCell ref="J51:K51"/>
    <mergeCell ref="L51:N51"/>
    <mergeCell ref="O51:P52"/>
    <mergeCell ref="Q51:R52"/>
    <mergeCell ref="W51:X51"/>
    <mergeCell ref="W40:X40"/>
    <mergeCell ref="W41:X41"/>
    <mergeCell ref="W42:X42"/>
    <mergeCell ref="W43:X43"/>
    <mergeCell ref="W44:X44"/>
    <mergeCell ref="W45:X45"/>
    <mergeCell ref="W46:X46"/>
    <mergeCell ref="W47:X47"/>
    <mergeCell ref="W48:X48"/>
    <mergeCell ref="W31:X31"/>
    <mergeCell ref="W32:X32"/>
    <mergeCell ref="W33:X33"/>
    <mergeCell ref="W34:X34"/>
    <mergeCell ref="W35:X35"/>
    <mergeCell ref="W36:X36"/>
    <mergeCell ref="W37:X37"/>
    <mergeCell ref="W38:X38"/>
    <mergeCell ref="W39:X39"/>
    <mergeCell ref="W22:X22"/>
    <mergeCell ref="W23:X23"/>
    <mergeCell ref="W24:X24"/>
    <mergeCell ref="W25:X25"/>
    <mergeCell ref="W26:X26"/>
    <mergeCell ref="W27:X27"/>
    <mergeCell ref="W28:X28"/>
    <mergeCell ref="W29:X29"/>
    <mergeCell ref="W30:X30"/>
    <mergeCell ref="W13:X13"/>
    <mergeCell ref="W14:X14"/>
    <mergeCell ref="W15:X15"/>
    <mergeCell ref="W16:X16"/>
    <mergeCell ref="W17:X17"/>
    <mergeCell ref="W18:X18"/>
    <mergeCell ref="W19:X19"/>
    <mergeCell ref="W20:X20"/>
    <mergeCell ref="W21:X21"/>
    <mergeCell ref="T8:T9"/>
    <mergeCell ref="U8:U9"/>
    <mergeCell ref="V8:V9"/>
    <mergeCell ref="W8:X9"/>
    <mergeCell ref="AO8:AO9"/>
    <mergeCell ref="CP8:CT8"/>
    <mergeCell ref="W10:X10"/>
    <mergeCell ref="W11:X11"/>
    <mergeCell ref="W12:X12"/>
    <mergeCell ref="C6:D6"/>
    <mergeCell ref="I6:M6"/>
    <mergeCell ref="N6:O6"/>
    <mergeCell ref="P6:Q6"/>
    <mergeCell ref="C7:D7"/>
    <mergeCell ref="F7:H7"/>
    <mergeCell ref="I7:M7"/>
    <mergeCell ref="A8:B9"/>
    <mergeCell ref="C8:D9"/>
    <mergeCell ref="E8:E9"/>
    <mergeCell ref="F8:F9"/>
    <mergeCell ref="G8:G9"/>
    <mergeCell ref="H8:H9"/>
    <mergeCell ref="I8:J8"/>
    <mergeCell ref="K8:L8"/>
    <mergeCell ref="M8:M9"/>
    <mergeCell ref="N8:S8"/>
    <mergeCell ref="A4:D4"/>
    <mergeCell ref="G4:H4"/>
    <mergeCell ref="I4:M4"/>
    <mergeCell ref="N4:O4"/>
    <mergeCell ref="P4:Q4"/>
    <mergeCell ref="C5:D5"/>
    <mergeCell ref="I5:M5"/>
    <mergeCell ref="N5:O5"/>
    <mergeCell ref="P5:Q5"/>
    <mergeCell ref="T1:U1"/>
    <mergeCell ref="V1:W1"/>
    <mergeCell ref="A2:D2"/>
    <mergeCell ref="N2:O2"/>
    <mergeCell ref="P2:Q2"/>
    <mergeCell ref="A3:D3"/>
    <mergeCell ref="G3:H3"/>
    <mergeCell ref="I3:M3"/>
    <mergeCell ref="N3:O3"/>
    <mergeCell ref="P3:Q3"/>
  </mergeCells>
  <conditionalFormatting sqref="K72:L72">
    <cfRule type="containsText" dxfId="1" priority="2" operator="containsText" text="Missing">
      <formula>NOT(ISERROR(SEARCH("Missing",K72)))</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66" max="16383" man="1"/>
  </row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B9CDE5"/>
    <pageSetUpPr fitToPage="1"/>
  </sheetPr>
  <dimension ref="A1:IP175"/>
  <sheetViews>
    <sheetView topLeftCell="A8" zoomScale="65" zoomScaleNormal="65" zoomScalePageLayoutView="70" workbookViewId="0">
      <selection activeCell="B50" sqref="B50"/>
    </sheetView>
  </sheetViews>
  <sheetFormatPr defaultColWidth="9.15234375" defaultRowHeight="15"/>
  <cols>
    <col min="1" max="1" width="5.15234375" style="18" customWidth="1"/>
    <col min="2" max="2" width="24.84375" style="18" customWidth="1"/>
    <col min="3" max="3" width="10.84375" style="18" customWidth="1"/>
    <col min="4" max="4" width="12.15234375" style="18" customWidth="1"/>
    <col min="5" max="5" width="13" style="18" customWidth="1"/>
    <col min="6" max="6" width="11.53515625" style="18" customWidth="1"/>
    <col min="7" max="7" width="13.53515625" style="18" customWidth="1"/>
    <col min="8" max="12" width="10.84375" style="18" customWidth="1"/>
    <col min="13" max="13" width="10.4609375" style="18" customWidth="1"/>
    <col min="14" max="14" width="15.84375" style="18" customWidth="1"/>
    <col min="15" max="15" width="12.84375" style="18" customWidth="1"/>
    <col min="16" max="17" width="17.84375" style="18" customWidth="1"/>
    <col min="18" max="18" width="15.53515625" style="18" customWidth="1"/>
    <col min="19" max="19" width="20.84375" style="18" customWidth="1"/>
    <col min="20" max="20" width="13.53515625" style="18" customWidth="1"/>
    <col min="21" max="24" width="12.84375" style="18" customWidth="1"/>
    <col min="25" max="25" width="12.84375" customWidth="1"/>
    <col min="26" max="26" width="14.53515625" customWidth="1"/>
    <col min="27" max="27" width="12.84375" customWidth="1"/>
    <col min="28" max="42" width="12.84375" style="18" customWidth="1"/>
    <col min="43" max="58" width="25.84375" style="18" hidden="1" customWidth="1"/>
    <col min="59" max="59" width="25.84375" style="1251" hidden="1" customWidth="1"/>
    <col min="60" max="119" width="25.84375" style="18" hidden="1" customWidth="1"/>
    <col min="120" max="130" width="20.84375" style="18" hidden="1" customWidth="1"/>
    <col min="131" max="194" width="20.84375" style="18" customWidth="1"/>
    <col min="195" max="214" width="20.84375" customWidth="1"/>
    <col min="251" max="16384" width="9.15234375" style="18"/>
  </cols>
  <sheetData>
    <row r="1" spans="1:119" ht="15.45">
      <c r="A1" s="2301"/>
      <c r="B1" s="791" t="s">
        <v>1355</v>
      </c>
      <c r="D1" s="626"/>
      <c r="E1" s="626"/>
      <c r="F1" s="626"/>
      <c r="G1" s="626"/>
      <c r="H1" s="626"/>
      <c r="I1" s="626"/>
      <c r="J1" s="626"/>
      <c r="K1" s="626"/>
      <c r="L1" s="626"/>
      <c r="M1" s="626"/>
      <c r="N1" s="626"/>
      <c r="O1" s="626"/>
      <c r="P1" s="626"/>
      <c r="Q1" s="626"/>
      <c r="R1" s="626"/>
      <c r="S1" s="626"/>
      <c r="T1" s="626"/>
      <c r="U1" s="1252" t="s">
        <v>1193</v>
      </c>
      <c r="V1" s="1252"/>
      <c r="W1" s="1253">
        <v>37456</v>
      </c>
      <c r="X1" s="1253"/>
      <c r="Y1" s="1254"/>
      <c r="Z1" s="1254"/>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1251"/>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626"/>
      <c r="CI1" s="626"/>
      <c r="CJ1" s="626"/>
      <c r="CK1" s="626"/>
      <c r="CL1" s="626"/>
      <c r="CM1" s="626"/>
      <c r="CN1" s="626"/>
      <c r="CO1" s="626"/>
      <c r="CP1" s="626"/>
      <c r="CQ1" s="626"/>
      <c r="CR1" s="626"/>
      <c r="CS1" s="626"/>
      <c r="CT1" s="626"/>
      <c r="CU1" s="626"/>
      <c r="CV1" s="626"/>
      <c r="CW1" s="626"/>
      <c r="CX1" s="626"/>
      <c r="CY1" s="626"/>
      <c r="CZ1" s="626"/>
      <c r="DA1" s="626"/>
      <c r="DB1" s="626"/>
      <c r="DC1" s="626"/>
      <c r="DD1" s="626"/>
      <c r="DE1" s="626"/>
      <c r="DF1" s="626"/>
      <c r="DG1" s="626"/>
      <c r="DH1" s="626"/>
      <c r="DI1" s="626"/>
      <c r="DJ1" s="626"/>
      <c r="DK1" s="626"/>
      <c r="DL1" s="626"/>
      <c r="DM1" s="626"/>
      <c r="DN1" s="626"/>
      <c r="DO1" s="626"/>
    </row>
    <row r="2" spans="1:119" ht="15.45">
      <c r="A2" s="2301"/>
      <c r="B2" s="1255" t="str">
        <f>Summary!C1</f>
        <v>Trammell Crow – LBJ</v>
      </c>
      <c r="C2" s="1256"/>
      <c r="D2" s="1256"/>
      <c r="E2" s="1257"/>
      <c r="F2" s="1258" t="s">
        <v>1466</v>
      </c>
      <c r="G2" s="626"/>
      <c r="H2" s="795"/>
      <c r="I2" s="1259" t="s">
        <v>56</v>
      </c>
      <c r="J2" s="983"/>
      <c r="K2" s="1085" t="s">
        <v>57</v>
      </c>
      <c r="L2" s="983"/>
      <c r="M2" s="983"/>
      <c r="N2" s="983"/>
      <c r="O2" s="1085" t="s">
        <v>1</v>
      </c>
      <c r="P2" s="1085"/>
      <c r="Q2" s="1085" t="s">
        <v>1194</v>
      </c>
      <c r="R2" s="808"/>
      <c r="S2" s="626"/>
      <c r="T2" s="626"/>
      <c r="U2" s="795" t="s">
        <v>957</v>
      </c>
      <c r="V2" s="663"/>
      <c r="W2" s="796">
        <f>Information!C7</f>
        <v>0</v>
      </c>
      <c r="X2" s="797"/>
      <c r="Y2" s="1254"/>
      <c r="Z2" s="1254"/>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1251"/>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626"/>
      <c r="CI2" s="626"/>
      <c r="CJ2" s="626"/>
      <c r="CK2" s="626"/>
      <c r="CL2" s="626"/>
      <c r="CM2" s="626"/>
      <c r="CN2" s="626"/>
      <c r="CO2" s="626"/>
      <c r="CP2" s="626"/>
      <c r="CQ2" s="626"/>
      <c r="CR2" s="626"/>
      <c r="CS2" s="626"/>
      <c r="CT2" s="626"/>
      <c r="CU2" s="626"/>
      <c r="CV2" s="626"/>
      <c r="CW2" s="626"/>
      <c r="CX2" s="626"/>
      <c r="CY2" s="626"/>
      <c r="CZ2" s="626"/>
      <c r="DA2" s="626"/>
      <c r="DB2" s="626"/>
      <c r="DC2" s="626"/>
      <c r="DD2" s="626"/>
      <c r="DE2" s="626"/>
      <c r="DF2" s="626"/>
      <c r="DG2" s="626"/>
      <c r="DH2" s="626"/>
      <c r="DI2" s="626"/>
      <c r="DJ2" s="626"/>
      <c r="DK2" s="626"/>
      <c r="DL2" s="626"/>
      <c r="DM2" s="626"/>
      <c r="DN2" s="626"/>
      <c r="DO2" s="626"/>
    </row>
    <row r="3" spans="1:119" ht="19.5" customHeight="1">
      <c r="A3" s="2301"/>
      <c r="B3" s="1260">
        <f>Summary!C2</f>
        <v>0</v>
      </c>
      <c r="C3" s="1261"/>
      <c r="D3" s="1261"/>
      <c r="E3" s="1262"/>
      <c r="F3" s="1258" t="s">
        <v>1467</v>
      </c>
      <c r="G3" s="626"/>
      <c r="H3" s="574"/>
      <c r="I3" s="793" t="s">
        <v>955</v>
      </c>
      <c r="J3" s="1255">
        <f>Summary!K2</f>
        <v>0</v>
      </c>
      <c r="K3" s="1256"/>
      <c r="L3" s="1256"/>
      <c r="M3" s="1256"/>
      <c r="N3" s="1256"/>
      <c r="O3" s="1263">
        <f>Summary!O2</f>
        <v>0</v>
      </c>
      <c r="P3" s="1263"/>
      <c r="Q3" s="1263">
        <f>Summary!P2</f>
        <v>0</v>
      </c>
      <c r="R3" s="1264"/>
      <c r="S3" s="626"/>
      <c r="T3" s="626"/>
      <c r="U3" s="574"/>
      <c r="X3" s="798"/>
      <c r="Y3" s="1254"/>
      <c r="Z3" s="1254"/>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626"/>
      <c r="BH3" s="1251"/>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6"/>
      <c r="CS3" s="626"/>
      <c r="CT3" s="626"/>
      <c r="CU3" s="626"/>
      <c r="CV3" s="626"/>
      <c r="CW3" s="626"/>
      <c r="CX3" s="626"/>
      <c r="CY3" s="626"/>
      <c r="CZ3" s="626"/>
      <c r="DA3" s="626"/>
      <c r="DB3" s="626"/>
      <c r="DC3" s="626"/>
      <c r="DD3" s="626"/>
      <c r="DE3" s="626"/>
      <c r="DF3" s="626"/>
      <c r="DG3" s="626"/>
      <c r="DH3" s="626"/>
      <c r="DI3" s="626"/>
      <c r="DJ3" s="626"/>
      <c r="DK3" s="626"/>
      <c r="DL3" s="626"/>
      <c r="DM3" s="626"/>
      <c r="DN3" s="626"/>
      <c r="DO3" s="626"/>
    </row>
    <row r="4" spans="1:119" ht="19.5" customHeight="1">
      <c r="A4" s="2301"/>
      <c r="B4" s="1265" t="str">
        <f>Summary!C3</f>
        <v>Dallas, TX</v>
      </c>
      <c r="C4" s="1266"/>
      <c r="D4" s="1266"/>
      <c r="E4" s="1267"/>
      <c r="F4" s="1258" t="s">
        <v>1468</v>
      </c>
      <c r="G4" s="626"/>
      <c r="H4" s="396"/>
      <c r="I4" s="928" t="s">
        <v>71</v>
      </c>
      <c r="J4" s="1260">
        <f>Summary!K3</f>
        <v>0</v>
      </c>
      <c r="K4" s="1261"/>
      <c r="L4" s="1261"/>
      <c r="M4" s="1261"/>
      <c r="N4" s="1261"/>
      <c r="O4" s="1268">
        <f>Summary!O3</f>
        <v>0</v>
      </c>
      <c r="P4" s="1268"/>
      <c r="Q4" s="1268">
        <f>Summary!P3</f>
        <v>0</v>
      </c>
      <c r="R4" s="1269"/>
      <c r="S4" s="626"/>
      <c r="T4" s="626"/>
      <c r="U4" s="574" t="s">
        <v>958</v>
      </c>
      <c r="W4" s="799"/>
      <c r="X4" s="800"/>
      <c r="Y4" s="1254"/>
      <c r="Z4" s="1254"/>
      <c r="AI4" s="626"/>
      <c r="AJ4" s="626"/>
      <c r="AK4" s="626"/>
      <c r="AL4" s="626"/>
      <c r="AM4" s="626"/>
      <c r="AN4" s="626"/>
      <c r="AO4" s="626"/>
      <c r="AP4" s="626"/>
      <c r="AQ4" s="626"/>
      <c r="AR4" s="626"/>
      <c r="AS4" s="626"/>
      <c r="AT4" s="626"/>
      <c r="AU4" s="626"/>
      <c r="AV4" s="626"/>
      <c r="AW4" s="626"/>
      <c r="AX4" s="626"/>
      <c r="AY4" s="626"/>
      <c r="AZ4" s="626"/>
      <c r="BA4" s="626"/>
      <c r="BB4" s="626"/>
      <c r="BC4" s="626"/>
      <c r="BD4" s="626"/>
      <c r="BE4" s="626"/>
      <c r="BF4" s="626"/>
      <c r="BG4" s="626"/>
      <c r="BH4" s="1251"/>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626"/>
      <c r="CI4" s="626"/>
      <c r="CJ4" s="626"/>
      <c r="CK4" s="626"/>
      <c r="CL4" s="626"/>
      <c r="CM4" s="626"/>
      <c r="CN4" s="626"/>
      <c r="CO4" s="626"/>
      <c r="CP4" s="626"/>
      <c r="CQ4" s="626"/>
      <c r="CR4" s="626"/>
      <c r="CS4" s="626"/>
      <c r="CT4" s="626"/>
      <c r="CU4" s="626"/>
      <c r="CV4" s="626"/>
      <c r="CW4" s="626"/>
      <c r="CX4" s="626"/>
      <c r="CY4" s="626"/>
      <c r="CZ4" s="626"/>
      <c r="DA4" s="626"/>
      <c r="DB4" s="626"/>
      <c r="DC4" s="626"/>
      <c r="DD4" s="626"/>
      <c r="DE4" s="626"/>
      <c r="DF4" s="626"/>
      <c r="DG4" s="626"/>
      <c r="DH4" s="626"/>
      <c r="DI4" s="626"/>
      <c r="DJ4" s="626"/>
      <c r="DK4" s="626"/>
      <c r="DL4" s="626"/>
      <c r="DM4" s="626"/>
      <c r="DN4" s="626"/>
      <c r="DO4" s="626"/>
    </row>
    <row r="5" spans="1:119" ht="19.5" customHeight="1">
      <c r="A5" s="2301"/>
      <c r="B5" s="380" t="s">
        <v>0</v>
      </c>
      <c r="D5" s="796" t="s">
        <v>1</v>
      </c>
      <c r="E5" s="796"/>
      <c r="F5" s="626"/>
      <c r="G5" s="626"/>
      <c r="H5" s="396"/>
      <c r="I5" s="928" t="s">
        <v>79</v>
      </c>
      <c r="J5" s="1260">
        <f>Summary!K4</f>
        <v>0</v>
      </c>
      <c r="K5" s="1261"/>
      <c r="L5" s="1261"/>
      <c r="M5" s="1261"/>
      <c r="N5" s="1261"/>
      <c r="O5" s="1268">
        <f>Summary!O4</f>
        <v>0</v>
      </c>
      <c r="P5" s="1268"/>
      <c r="Q5" s="1268">
        <f>Summary!P4</f>
        <v>0</v>
      </c>
      <c r="R5" s="1269"/>
      <c r="S5" s="1270"/>
      <c r="T5" s="626"/>
      <c r="U5" s="574"/>
      <c r="X5" s="798"/>
      <c r="Y5" s="1254"/>
      <c r="Z5" s="1254"/>
      <c r="AI5" s="626"/>
      <c r="AJ5" s="626"/>
      <c r="AK5" s="626"/>
      <c r="AL5" s="626"/>
      <c r="AM5" s="626"/>
      <c r="AN5" s="626"/>
      <c r="AO5" s="626"/>
      <c r="AP5" s="626"/>
      <c r="AQ5" s="626"/>
      <c r="AR5" s="626"/>
      <c r="AS5" s="626"/>
      <c r="AT5" s="626"/>
      <c r="AU5" s="626"/>
      <c r="AV5" s="626"/>
      <c r="AW5" s="626"/>
      <c r="AX5" s="626"/>
      <c r="AY5" s="626"/>
      <c r="AZ5" s="626"/>
      <c r="BA5" s="626"/>
      <c r="BB5" s="626"/>
      <c r="BC5" s="626"/>
      <c r="BD5" s="626"/>
      <c r="BE5" s="626"/>
      <c r="BF5" s="626"/>
      <c r="BG5" s="626"/>
      <c r="BH5" s="1251"/>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626"/>
      <c r="CI5" s="626"/>
      <c r="CJ5" s="626"/>
      <c r="CK5" s="626"/>
      <c r="CL5" s="626"/>
      <c r="CM5" s="626"/>
      <c r="CN5" s="626"/>
      <c r="CO5" s="626"/>
      <c r="CP5" s="626"/>
      <c r="CQ5" s="626"/>
      <c r="CR5" s="626"/>
      <c r="CS5" s="626"/>
      <c r="CT5" s="626"/>
      <c r="CU5" s="626"/>
      <c r="CV5" s="626"/>
      <c r="CW5" s="626"/>
      <c r="CX5" s="626"/>
      <c r="CY5" s="626"/>
      <c r="CZ5" s="626"/>
      <c r="DA5" s="626"/>
      <c r="DB5" s="626"/>
      <c r="DC5" s="626"/>
      <c r="DD5" s="626"/>
      <c r="DE5" s="626"/>
      <c r="DF5" s="626"/>
      <c r="DG5" s="626"/>
      <c r="DH5" s="626"/>
      <c r="DI5" s="626"/>
      <c r="DJ5" s="626"/>
      <c r="DK5" s="626"/>
      <c r="DL5" s="626"/>
      <c r="DM5" s="626"/>
      <c r="DN5" s="626"/>
      <c r="DO5" s="626"/>
    </row>
    <row r="6" spans="1:119" ht="19.5" customHeight="1">
      <c r="A6" s="2301"/>
      <c r="B6" s="804">
        <v>0</v>
      </c>
      <c r="D6" s="1272">
        <v>0</v>
      </c>
      <c r="E6" s="1272"/>
      <c r="F6" s="626"/>
      <c r="G6" s="626"/>
      <c r="H6" s="653"/>
      <c r="I6" s="1090" t="s">
        <v>87</v>
      </c>
      <c r="J6" s="1265">
        <f>Summary!K5</f>
        <v>0</v>
      </c>
      <c r="K6" s="1266"/>
      <c r="L6" s="1266"/>
      <c r="M6" s="1266"/>
      <c r="N6" s="1266"/>
      <c r="O6" s="1273">
        <f>Summary!O5</f>
        <v>0</v>
      </c>
      <c r="P6" s="1273"/>
      <c r="Q6" s="1273">
        <f>Summary!P5</f>
        <v>0</v>
      </c>
      <c r="R6" s="1274"/>
      <c r="S6" s="626"/>
      <c r="T6" s="626"/>
      <c r="U6" s="577" t="s">
        <v>958</v>
      </c>
      <c r="V6" s="802"/>
      <c r="W6" s="802"/>
      <c r="X6" s="803"/>
      <c r="Y6" s="1254"/>
      <c r="Z6" s="1254"/>
      <c r="AI6" s="626"/>
      <c r="AJ6" s="1275"/>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1251"/>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c r="CZ6" s="626"/>
      <c r="DA6" s="626"/>
      <c r="DB6" s="626"/>
      <c r="DC6" s="626"/>
      <c r="DD6" s="626"/>
      <c r="DE6" s="626"/>
      <c r="DF6" s="626"/>
      <c r="DG6" s="626"/>
      <c r="DH6" s="626"/>
      <c r="DI6" s="626"/>
      <c r="DJ6" s="626"/>
      <c r="DK6" s="626"/>
      <c r="DL6" s="626"/>
      <c r="DM6" s="626"/>
      <c r="DN6" s="626"/>
      <c r="DO6" s="626"/>
    </row>
    <row r="7" spans="1:119" ht="19.5" customHeight="1">
      <c r="A7" s="2301"/>
      <c r="B7" s="1276">
        <v>0</v>
      </c>
      <c r="C7" s="1019"/>
      <c r="D7" s="1277">
        <v>0</v>
      </c>
      <c r="E7" s="1278"/>
      <c r="F7" s="693"/>
      <c r="G7" s="1090" t="s">
        <v>1196</v>
      </c>
      <c r="H7" s="928"/>
      <c r="I7" s="928"/>
      <c r="J7" s="17" t="str">
        <f>Pricing!A3</f>
        <v>SRM</v>
      </c>
      <c r="K7" s="17"/>
      <c r="L7" s="17"/>
      <c r="M7" s="17"/>
      <c r="N7" s="17"/>
      <c r="O7" s="626"/>
      <c r="P7" s="626"/>
      <c r="Q7" s="626"/>
      <c r="R7" s="626"/>
      <c r="S7" s="628">
        <f>S12+S13</f>
        <v>0</v>
      </c>
      <c r="T7" s="626"/>
      <c r="U7" s="626"/>
      <c r="V7" s="626"/>
      <c r="W7" s="626"/>
      <c r="X7" s="626"/>
      <c r="Y7" s="1254"/>
      <c r="Z7" s="1254"/>
      <c r="AI7" s="626"/>
      <c r="AJ7" s="626"/>
      <c r="AK7" s="626"/>
      <c r="AL7" s="381"/>
      <c r="AM7" s="589"/>
      <c r="AN7" s="589"/>
      <c r="AO7" s="589"/>
      <c r="AP7" s="589"/>
      <c r="AQ7" s="589"/>
      <c r="AR7" s="3032" t="s">
        <v>1469</v>
      </c>
      <c r="AS7" s="3032"/>
      <c r="AT7" s="3032"/>
      <c r="AU7" s="3032"/>
      <c r="AV7" s="3032"/>
      <c r="AW7" s="3032"/>
      <c r="AX7" s="3032"/>
      <c r="AY7" s="3032"/>
      <c r="AZ7" s="3032"/>
      <c r="BA7" s="3032"/>
      <c r="BB7" s="3032"/>
      <c r="BC7" s="3032" t="s">
        <v>721</v>
      </c>
      <c r="BD7" s="3032"/>
      <c r="BE7" s="3032"/>
      <c r="BF7" s="3032"/>
      <c r="BG7" s="3032"/>
      <c r="BH7" s="3032"/>
      <c r="BI7" s="3032"/>
      <c r="BJ7" s="3032"/>
      <c r="BK7" s="3032"/>
      <c r="BL7" s="3032"/>
      <c r="BM7" s="3032"/>
      <c r="BN7" s="626"/>
      <c r="BO7" s="626"/>
      <c r="BP7" s="626"/>
      <c r="BQ7" s="626"/>
      <c r="BR7" s="626"/>
      <c r="BS7" s="626"/>
      <c r="BT7" s="626"/>
      <c r="BU7" s="626"/>
      <c r="BV7" s="626"/>
      <c r="BW7" s="626"/>
      <c r="BX7" s="626"/>
      <c r="BY7" s="626"/>
      <c r="BZ7" s="626"/>
      <c r="CA7" s="626"/>
      <c r="CB7" s="626"/>
      <c r="CC7" s="626"/>
      <c r="CD7" s="626"/>
      <c r="CE7" s="628">
        <f>CM10-62808</f>
        <v>-62808</v>
      </c>
      <c r="CF7" s="626"/>
      <c r="CG7" s="626"/>
      <c r="CH7" s="626"/>
      <c r="CI7" s="626"/>
      <c r="CJ7" s="1373"/>
      <c r="CK7" s="626"/>
      <c r="CL7" s="626"/>
      <c r="CM7" s="626"/>
      <c r="CN7" s="626"/>
      <c r="CO7" s="626"/>
      <c r="CP7" s="626"/>
      <c r="CQ7" s="626"/>
      <c r="CR7" s="626"/>
      <c r="CS7" s="626"/>
      <c r="CT7" s="626"/>
      <c r="CU7" s="626"/>
      <c r="CV7" s="626"/>
      <c r="CW7" s="626"/>
      <c r="CX7" s="626"/>
      <c r="CY7" s="626"/>
      <c r="CZ7" s="626"/>
      <c r="DA7" s="626"/>
      <c r="DB7" s="626"/>
      <c r="DC7" s="626"/>
      <c r="DD7" s="626"/>
      <c r="DE7" s="626"/>
      <c r="DF7" s="626"/>
      <c r="DG7" s="626"/>
      <c r="DH7" s="626"/>
      <c r="DI7" s="626"/>
      <c r="DJ7" s="626"/>
      <c r="DK7" s="626"/>
      <c r="DL7" s="626"/>
      <c r="DM7" s="626"/>
      <c r="DN7" s="626"/>
      <c r="DO7" s="626"/>
    </row>
    <row r="8" spans="1:119" ht="39" customHeight="1">
      <c r="A8" s="2301"/>
      <c r="B8" s="2302" t="s">
        <v>1905</v>
      </c>
      <c r="C8" s="1280" t="s">
        <v>1473</v>
      </c>
      <c r="D8" s="1281" t="s">
        <v>1474</v>
      </c>
      <c r="E8" s="1282"/>
      <c r="F8" s="1283" t="s">
        <v>1475</v>
      </c>
      <c r="G8" s="1283" t="s">
        <v>1476</v>
      </c>
      <c r="H8" s="1286" t="s">
        <v>1477</v>
      </c>
      <c r="I8" s="1286" t="s">
        <v>1209</v>
      </c>
      <c r="J8" s="1283" t="s">
        <v>1478</v>
      </c>
      <c r="K8" s="1283" t="s">
        <v>1479</v>
      </c>
      <c r="L8" s="1287" t="s">
        <v>1480</v>
      </c>
      <c r="M8" s="1288" t="s">
        <v>1481</v>
      </c>
      <c r="N8" s="1289" t="s">
        <v>1482</v>
      </c>
      <c r="O8" s="1289" t="s">
        <v>598</v>
      </c>
      <c r="P8" s="1290" t="s">
        <v>1483</v>
      </c>
      <c r="Q8" s="1291" t="s">
        <v>1219</v>
      </c>
      <c r="R8" s="1292" t="s">
        <v>1484</v>
      </c>
      <c r="S8" s="1293" t="s">
        <v>1485</v>
      </c>
      <c r="T8" s="1294" t="s">
        <v>1486</v>
      </c>
      <c r="U8" s="1295" t="s">
        <v>1487</v>
      </c>
      <c r="V8" s="1293" t="s">
        <v>1250</v>
      </c>
      <c r="W8" s="1296" t="s">
        <v>1488</v>
      </c>
      <c r="X8" s="807"/>
      <c r="Y8" s="1297" t="s">
        <v>1489</v>
      </c>
      <c r="Z8" s="1298"/>
      <c r="AA8" s="1297" t="s">
        <v>1490</v>
      </c>
      <c r="AB8" s="1298"/>
      <c r="AC8" s="1297" t="s">
        <v>1491</v>
      </c>
      <c r="AD8" s="1299"/>
      <c r="AE8" s="1297" t="s">
        <v>1492</v>
      </c>
      <c r="AF8" s="1299"/>
      <c r="AG8" s="1297" t="s">
        <v>1493</v>
      </c>
      <c r="AH8" s="1299"/>
      <c r="AI8" s="1297" t="s">
        <v>1494</v>
      </c>
      <c r="AJ8" s="1299"/>
      <c r="AK8" s="1297" t="s">
        <v>1495</v>
      </c>
      <c r="AL8" s="1299"/>
      <c r="AM8" s="1297" t="s">
        <v>1496</v>
      </c>
      <c r="AN8" s="1299"/>
      <c r="AO8" s="1297" t="s">
        <v>1497</v>
      </c>
      <c r="AP8" s="1299"/>
      <c r="AQ8" s="626"/>
      <c r="AR8" s="1300" t="s">
        <v>1498</v>
      </c>
      <c r="AS8" s="1301" t="s">
        <v>1499</v>
      </c>
      <c r="AT8" s="1301" t="s">
        <v>1499</v>
      </c>
      <c r="AU8" s="1301" t="s">
        <v>1491</v>
      </c>
      <c r="AV8" s="1301" t="s">
        <v>1492</v>
      </c>
      <c r="AW8" s="1301" t="s">
        <v>1500</v>
      </c>
      <c r="AX8" s="1301" t="s">
        <v>1501</v>
      </c>
      <c r="AY8" s="1301" t="s">
        <v>1502</v>
      </c>
      <c r="AZ8" s="1301" t="s">
        <v>1503</v>
      </c>
      <c r="BA8" s="1301" t="s">
        <v>1504</v>
      </c>
      <c r="BB8" s="1302" t="s">
        <v>1505</v>
      </c>
      <c r="BC8" s="1303" t="s">
        <v>1498</v>
      </c>
      <c r="BD8" s="627" t="str">
        <f>Y8</f>
        <v>Vertical Stems</v>
      </c>
      <c r="BE8" s="627" t="str">
        <f>AA8</f>
        <v>Extended Beams</v>
      </c>
      <c r="BF8" s="627" t="s">
        <v>1491</v>
      </c>
      <c r="BG8" s="627" t="s">
        <v>1492</v>
      </c>
      <c r="BH8" s="627" t="s">
        <v>1500</v>
      </c>
      <c r="BI8" s="627" t="s">
        <v>1501</v>
      </c>
      <c r="BJ8" s="627" t="s">
        <v>1502</v>
      </c>
      <c r="BK8" s="627" t="s">
        <v>1503</v>
      </c>
      <c r="BL8" s="627" t="s">
        <v>1504</v>
      </c>
      <c r="BM8" s="1093" t="s">
        <v>1506</v>
      </c>
      <c r="BN8" s="626"/>
      <c r="BO8" s="626"/>
      <c r="BP8" s="626"/>
      <c r="BQ8" s="626"/>
      <c r="BR8" s="1251"/>
      <c r="BS8" s="626"/>
      <c r="BT8" s="626"/>
      <c r="BU8" s="626"/>
      <c r="BV8" s="626"/>
      <c r="BW8" s="626"/>
      <c r="BX8" s="626"/>
      <c r="BY8" s="626"/>
      <c r="BZ8" s="626"/>
      <c r="CA8" s="626"/>
      <c r="CB8" s="1372"/>
      <c r="CC8" s="626"/>
      <c r="CD8" s="626"/>
      <c r="CE8" s="626"/>
      <c r="CF8" s="626"/>
      <c r="CG8" s="626"/>
      <c r="CH8" s="626"/>
      <c r="CI8" s="626"/>
      <c r="CJ8" s="626"/>
      <c r="CK8" s="626"/>
      <c r="CL8" s="626"/>
      <c r="CM8" s="3033" t="s">
        <v>1507</v>
      </c>
      <c r="CN8" s="3033"/>
      <c r="CO8" s="3033"/>
      <c r="CP8" s="3033"/>
      <c r="CQ8" s="3033"/>
      <c r="CR8" s="3033"/>
      <c r="CS8" s="3033"/>
      <c r="CT8" s="3033"/>
      <c r="CU8" s="3033"/>
      <c r="CV8" s="3033"/>
      <c r="CW8" s="3033"/>
      <c r="CX8" s="3033"/>
      <c r="CY8" s="3033"/>
      <c r="CZ8" s="3033"/>
      <c r="DA8" s="3033"/>
      <c r="DB8" s="3033"/>
      <c r="DC8" s="3033"/>
      <c r="DD8" s="3033"/>
      <c r="DE8" s="1306"/>
      <c r="DF8" s="1306"/>
      <c r="DG8" s="1306"/>
      <c r="DH8" s="1306" t="s">
        <v>1508</v>
      </c>
      <c r="DI8" s="1306"/>
      <c r="DJ8" s="1306"/>
      <c r="DK8" s="1306"/>
      <c r="DL8" s="1306"/>
      <c r="DM8" s="1306"/>
      <c r="DN8" s="1306"/>
      <c r="DO8" s="1307"/>
    </row>
    <row r="9" spans="1:119" ht="19.5" customHeight="1">
      <c r="A9" s="2301"/>
      <c r="B9" s="1308"/>
      <c r="C9" s="1309" t="s">
        <v>1510</v>
      </c>
      <c r="D9" s="1310" t="s">
        <v>1511</v>
      </c>
      <c r="E9" s="1311"/>
      <c r="F9" s="1099"/>
      <c r="G9" s="1099" t="s">
        <v>1512</v>
      </c>
      <c r="H9" s="1314"/>
      <c r="I9" s="1314"/>
      <c r="J9" s="1099" t="s">
        <v>1513</v>
      </c>
      <c r="K9" s="1099"/>
      <c r="L9" s="1103" t="s">
        <v>1215</v>
      </c>
      <c r="M9" s="1315" t="s">
        <v>1514</v>
      </c>
      <c r="N9" s="1312" t="s">
        <v>1515</v>
      </c>
      <c r="O9" s="1312" t="s">
        <v>868</v>
      </c>
      <c r="P9" s="1316"/>
      <c r="Q9" s="1317"/>
      <c r="R9" s="1318"/>
      <c r="S9" s="1319"/>
      <c r="T9" s="3034" t="s">
        <v>1516</v>
      </c>
      <c r="U9" s="3034"/>
      <c r="V9" s="3034"/>
      <c r="W9" s="1104" t="s">
        <v>1517</v>
      </c>
      <c r="X9" s="1315" t="s">
        <v>1259</v>
      </c>
      <c r="Y9" s="1320" t="s">
        <v>1208</v>
      </c>
      <c r="Z9" s="1321" t="s">
        <v>1259</v>
      </c>
      <c r="AA9" s="1320" t="s">
        <v>1208</v>
      </c>
      <c r="AB9" s="1321" t="s">
        <v>1259</v>
      </c>
      <c r="AC9" s="1320" t="s">
        <v>1517</v>
      </c>
      <c r="AD9" s="1322" t="s">
        <v>1259</v>
      </c>
      <c r="AE9" s="1323" t="s">
        <v>1517</v>
      </c>
      <c r="AF9" s="1322" t="s">
        <v>1259</v>
      </c>
      <c r="AG9" s="1320" t="s">
        <v>1208</v>
      </c>
      <c r="AH9" s="1322" t="s">
        <v>1259</v>
      </c>
      <c r="AI9" s="1320" t="s">
        <v>1517</v>
      </c>
      <c r="AJ9" s="1322" t="s">
        <v>1259</v>
      </c>
      <c r="AK9" s="1323" t="s">
        <v>1517</v>
      </c>
      <c r="AL9" s="1322" t="s">
        <v>1259</v>
      </c>
      <c r="AM9" s="1320" t="s">
        <v>1208</v>
      </c>
      <c r="AN9" s="1322" t="s">
        <v>1259</v>
      </c>
      <c r="AO9" s="1320" t="s">
        <v>1208</v>
      </c>
      <c r="AP9" s="1322" t="s">
        <v>1259</v>
      </c>
      <c r="AQ9" s="626"/>
      <c r="AR9" s="1324"/>
      <c r="AS9" s="1325"/>
      <c r="AT9" s="1325"/>
      <c r="AU9" s="1325"/>
      <c r="AV9" s="1325"/>
      <c r="AW9" s="1325"/>
      <c r="AX9" s="1325"/>
      <c r="AY9" s="373"/>
      <c r="AZ9" s="1325"/>
      <c r="BA9" s="1325"/>
      <c r="BB9" s="1326"/>
      <c r="BC9" s="1324"/>
      <c r="BD9" s="1325"/>
      <c r="BE9" s="1325"/>
      <c r="BF9" s="1325"/>
      <c r="BG9" s="1325"/>
      <c r="BH9" s="1325"/>
      <c r="BI9" s="1325"/>
      <c r="BJ9" s="373"/>
      <c r="BK9" s="1325"/>
      <c r="BL9" s="1325"/>
      <c r="BM9" s="1326"/>
      <c r="BN9" s="626" t="s">
        <v>1385</v>
      </c>
      <c r="BO9" s="626" t="s">
        <v>1518</v>
      </c>
      <c r="BP9" s="626" t="s">
        <v>1519</v>
      </c>
      <c r="BQ9" s="626" t="s">
        <v>1520</v>
      </c>
      <c r="BR9" s="1251" t="s">
        <v>1521</v>
      </c>
      <c r="BS9" s="1330" t="s">
        <v>1374</v>
      </c>
      <c r="BT9" s="1331" t="s">
        <v>1375</v>
      </c>
      <c r="BU9" s="1331" t="s">
        <v>1376</v>
      </c>
      <c r="BV9" s="1331" t="s">
        <v>1377</v>
      </c>
      <c r="BW9" s="1331" t="s">
        <v>1378</v>
      </c>
      <c r="BX9" s="1331" t="s">
        <v>1522</v>
      </c>
      <c r="BY9" s="1331" t="s">
        <v>1523</v>
      </c>
      <c r="BZ9" s="1331" t="s">
        <v>1524</v>
      </c>
      <c r="CA9" s="1331" t="s">
        <v>1525</v>
      </c>
      <c r="CB9" s="1332" t="s">
        <v>1526</v>
      </c>
      <c r="CC9" s="1332" t="s">
        <v>1527</v>
      </c>
      <c r="CD9" s="1333" t="s">
        <v>1528</v>
      </c>
      <c r="CE9" s="1333" t="s">
        <v>1529</v>
      </c>
      <c r="CF9" s="1333" t="s">
        <v>1530</v>
      </c>
      <c r="CG9" s="1333" t="s">
        <v>1531</v>
      </c>
      <c r="CH9" s="1333" t="s">
        <v>1532</v>
      </c>
      <c r="CI9" s="1333" t="s">
        <v>1533</v>
      </c>
      <c r="CJ9" s="1333" t="s">
        <v>1513</v>
      </c>
      <c r="CK9" s="1333" t="s">
        <v>1534</v>
      </c>
      <c r="CL9" s="1333"/>
      <c r="CM9" s="1334" t="s">
        <v>1535</v>
      </c>
      <c r="CN9" s="1328" t="s">
        <v>1384</v>
      </c>
      <c r="CO9" s="1328" t="s">
        <v>1385</v>
      </c>
      <c r="CP9" s="1328" t="s">
        <v>1536</v>
      </c>
      <c r="CQ9" s="1338" t="s">
        <v>1537</v>
      </c>
      <c r="CR9" s="1338" t="s">
        <v>1538</v>
      </c>
      <c r="CS9" s="1338" t="s">
        <v>1539</v>
      </c>
      <c r="CT9" s="1338" t="s">
        <v>1307</v>
      </c>
      <c r="CU9" s="1338" t="s">
        <v>1540</v>
      </c>
      <c r="CV9" s="1328" t="s">
        <v>1541</v>
      </c>
      <c r="CW9" s="1328" t="s">
        <v>976</v>
      </c>
      <c r="CX9" s="1328" t="s">
        <v>1542</v>
      </c>
      <c r="CY9" s="1328" t="s">
        <v>1543</v>
      </c>
      <c r="CZ9" s="1328" t="s">
        <v>1544</v>
      </c>
      <c r="DA9" s="1328" t="s">
        <v>1545</v>
      </c>
      <c r="DB9" s="1328" t="s">
        <v>598</v>
      </c>
      <c r="DC9" s="1328" t="s">
        <v>1513</v>
      </c>
      <c r="DD9" s="1329"/>
      <c r="DE9" s="749" t="s">
        <v>1486</v>
      </c>
      <c r="DF9" s="1339" t="str">
        <f>Y8</f>
        <v>Vertical Stems</v>
      </c>
      <c r="DG9" s="1339" t="str">
        <f>AA8</f>
        <v>Extended Beams</v>
      </c>
      <c r="DH9" s="1339" t="s">
        <v>1546</v>
      </c>
      <c r="DI9" s="1339" t="s">
        <v>1547</v>
      </c>
      <c r="DJ9" s="1339" t="s">
        <v>1548</v>
      </c>
      <c r="DK9" s="1339" t="s">
        <v>1549</v>
      </c>
      <c r="DL9" s="1339" t="s">
        <v>1550</v>
      </c>
      <c r="DM9" s="1339" t="s">
        <v>1551</v>
      </c>
      <c r="DN9" s="1339" t="s">
        <v>1552</v>
      </c>
      <c r="DO9" s="1340" t="s">
        <v>1418</v>
      </c>
    </row>
    <row r="10" spans="1:119" ht="19.5" customHeight="1">
      <c r="A10" s="2301" t="s">
        <v>1068</v>
      </c>
      <c r="B10" s="1341"/>
      <c r="C10" s="1342"/>
      <c r="D10" s="1650"/>
      <c r="E10" s="1651"/>
      <c r="F10" s="1206"/>
      <c r="G10" s="1345"/>
      <c r="H10" s="1206"/>
      <c r="I10" s="1345"/>
      <c r="J10" s="1206"/>
      <c r="K10" s="1346"/>
      <c r="L10" s="1347"/>
      <c r="M10" s="1348"/>
      <c r="N10" s="1349"/>
      <c r="O10" s="1350"/>
      <c r="P10" s="1351">
        <f t="shared" ref="P10:P41" si="0">IF(BQ10=0,0,BN10/BQ10)</f>
        <v>0</v>
      </c>
      <c r="Q10" s="1352">
        <f t="shared" ref="Q10:Q41" si="1">(D10*F10/324)*(1+K$65)+BB10</f>
        <v>0</v>
      </c>
      <c r="R10" s="1353">
        <f t="shared" ref="R10:R41" si="2">IF(D10=0,0,S10/D10)</f>
        <v>0</v>
      </c>
      <c r="S10" s="1354">
        <f t="shared" ref="S10:S41" si="3">SUM(CM10)*(1+M$45)</f>
        <v>0</v>
      </c>
      <c r="T10" s="1355">
        <f t="shared" ref="T10:T41" si="4">ROUND((CF10+CG10+CH10),0)</f>
        <v>0</v>
      </c>
      <c r="U10" s="1356">
        <f t="shared" ref="U10:U41" si="5">IF(P10-(D10*0.45)&lt;0,0,P10-(D10*0.45))</f>
        <v>0</v>
      </c>
      <c r="V10" s="1357">
        <f t="shared" ref="V10:V41" si="6">IF(D10="",0,IF(D10/-30+Q10&lt;1,0,D10/-30+Q10))</f>
        <v>0</v>
      </c>
      <c r="W10" s="1347"/>
      <c r="X10" s="2303"/>
      <c r="Y10" s="1359"/>
      <c r="Z10" s="1360"/>
      <c r="AA10" s="1359"/>
      <c r="AB10" s="1360"/>
      <c r="AC10" s="1421"/>
      <c r="AD10" s="1652"/>
      <c r="AE10" s="503"/>
      <c r="AF10" s="1428"/>
      <c r="AG10" s="503"/>
      <c r="AH10" s="1428"/>
      <c r="AI10" s="2"/>
      <c r="AJ10" s="1652"/>
      <c r="AK10" s="503"/>
      <c r="AL10" s="1428"/>
      <c r="AM10" s="1359"/>
      <c r="AN10" s="1360"/>
      <c r="AO10" s="1359"/>
      <c r="AP10" s="1360"/>
      <c r="AQ10" s="626"/>
      <c r="AR10" s="1369" t="str">
        <f t="shared" ref="AR10:AR41" si="7">IF(W10="","",LOOKUP(W10,$B$49:$B$59,$R$49:$R$59)*X10)</f>
        <v/>
      </c>
      <c r="AS10" s="1270" t="str">
        <f t="shared" ref="AS10:AS41" si="8">IF(Y10="","",LOOKUP(Y10,$B$49:$B$59,$R$49:$R$59)*Z10)</f>
        <v/>
      </c>
      <c r="AT10" s="1370" t="str">
        <f t="shared" ref="AT10:AT41" si="9">IF(AB10="","",LOOKUP(AA10,$B$49:$B$59,$R$49:$R$59)*AB10)</f>
        <v/>
      </c>
      <c r="AU10" s="1270" t="str">
        <f t="shared" ref="AU10:AU41" si="10">IF(AC10="","",LOOKUP(AC10,$B$49:$B$59,$R$49:$R$59)*AD10)</f>
        <v/>
      </c>
      <c r="AV10" s="1270" t="str">
        <f t="shared" ref="AV10:AV41" si="11">IF(AE10="","",LOOKUP(AE10,$B$49:$B$59,$R$49:$R$59)*AF10)</f>
        <v/>
      </c>
      <c r="AW10" s="1270" t="str">
        <f t="shared" ref="AW10:AW41" si="12">IF(AG10="","",LOOKUP(AG10,$B$49:$B$59,$R$49:$R$59)*AH10)</f>
        <v/>
      </c>
      <c r="AX10" s="1270" t="str">
        <f t="shared" ref="AX10:AX41" si="13">IF(AI10="","",LOOKUP(AI10,$B$49:$B$59,$R$49:$R$59)*AJ10)</f>
        <v/>
      </c>
      <c r="AY10" s="1270" t="str">
        <f t="shared" ref="AY10:AY41" si="14">IF(AK10="","",LOOKUP(AK10,$B$49:$B$59,$R$49:$R$59)*AL10)</f>
        <v/>
      </c>
      <c r="AZ10" s="1270" t="str">
        <f t="shared" ref="AZ10:AZ41" si="15">IF(AM10="","",LOOKUP(AM10,$B$49:$B$59,$R$49:$R$59)*AN10)</f>
        <v/>
      </c>
      <c r="BA10" s="1270" t="str">
        <f t="shared" ref="BA10:BA41" si="16">IF(AO10="","",LOOKUP(AO10,$B$49:$B$59,$R$49:$R$59)*AP10)</f>
        <v/>
      </c>
      <c r="BB10" s="1371">
        <f t="shared" ref="BB10:BB41" si="17">SUM(AR10:BA10)</f>
        <v>0</v>
      </c>
      <c r="BC10" s="1369" t="str">
        <f t="shared" ref="BC10:BC41" si="18">IF(W10="","",LOOKUP(W10,$B$49:$B$59,$P$49:$P$59)*X10)</f>
        <v/>
      </c>
      <c r="BD10" s="1270" t="str">
        <f t="shared" ref="BD10:BD41" si="19">IF(Y10="","",LOOKUP(Y10,$B$49:$B$59,$P$49:$P$59)*Z10)</f>
        <v/>
      </c>
      <c r="BE10" s="1270" t="str">
        <f t="shared" ref="BE10:BE41" si="20">IF(AA10="","",LOOKUP(AA10,$B$49:$B$59,$P$49:$P$59)*AB10)</f>
        <v/>
      </c>
      <c r="BF10" s="1270" t="str">
        <f t="shared" ref="BF10:BF41" si="21">IF(AC10="","",LOOKUP(AC10,$B$49:$B$59,$P$49:$P$59)*AD10)</f>
        <v/>
      </c>
      <c r="BG10" s="1270" t="str">
        <f t="shared" ref="BG10:BG41" si="22">IF(AE10="","",LOOKUP(AE10,$B$49:$B$59,$P$49:$P$59)*AF10)</f>
        <v/>
      </c>
      <c r="BH10" s="1270" t="str">
        <f t="shared" ref="BH10:BH41" si="23">IF(AG10="","",LOOKUP(AG10,$B$49:$B$59,$P$49:$P$59)*AH10)</f>
        <v/>
      </c>
      <c r="BI10" s="1270" t="str">
        <f t="shared" ref="BI10:BI41" si="24">IF(AI10="","",LOOKUP(AI10,$B$49:$B$59,$P$49:$P$59)*AJ10)</f>
        <v/>
      </c>
      <c r="BJ10" s="1270" t="str">
        <f t="shared" ref="BJ10:BJ41" si="25">IF(AK10="","",LOOKUP(AK10,$B$49:$B$59,$P$49:$P$59)*AL10)</f>
        <v/>
      </c>
      <c r="BK10" s="1270" t="str">
        <f t="shared" ref="BK10:BK41" si="26">IF(AM10="","",LOOKUP(AM10,$B$49:$B$59,$P$49:$P$59)*AN10)</f>
        <v/>
      </c>
      <c r="BL10" s="1270" t="str">
        <f t="shared" ref="BL10:BL41" si="27">IF(AO10="","",LOOKUP(AO10,$B$49:$B$59,$P$49:$P$59)*AP10)</f>
        <v/>
      </c>
      <c r="BM10" s="1371">
        <f t="shared" ref="BM10:BM41" si="28">SUM(BC10:BL10)*BQ10</f>
        <v>0</v>
      </c>
      <c r="BN10" s="1372">
        <f t="shared" ref="BN10:BN41" si="29">BM10+BO10</f>
        <v>0</v>
      </c>
      <c r="BO10" s="1373">
        <f t="shared" ref="BO10:BO41" si="30">IF(M10=0,0,(M10/12+M10/12)/(M10/12*M10/12)*D10*((L10/16*L10/16)*10.6870159))*(1+K$70)*BQ10</f>
        <v>0</v>
      </c>
      <c r="BP10" s="1372">
        <f t="shared" ref="BP10:BP41" si="31">IF(O10="Y",D10*(1+K$71)*BQ10,0)</f>
        <v>0</v>
      </c>
      <c r="BQ10" s="1374">
        <f t="shared" ref="BQ10:BQ41" si="32">G10</f>
        <v>0</v>
      </c>
      <c r="BR10" s="1251">
        <f t="shared" ref="BR10:BR28" si="33">IF(O10="y",D10,0)</f>
        <v>0</v>
      </c>
      <c r="BS10" s="1403">
        <f t="shared" ref="BS10:BS41" si="34">IF($I10=1,$Q10,0)*BQ10</f>
        <v>0</v>
      </c>
      <c r="BT10" s="1372">
        <f t="shared" ref="BT10:BT41" si="35">IF($I10=2,$Q10,0)*BQ10</f>
        <v>0</v>
      </c>
      <c r="BU10" s="1372">
        <f t="shared" ref="BU10:BU41" si="36">IF($I10=3,$Q10,0)*BQ10</f>
        <v>0</v>
      </c>
      <c r="BV10" s="1372">
        <f t="shared" ref="BV10:BV41" si="37">IF($I10=4,$Q10,0)*BQ10</f>
        <v>0</v>
      </c>
      <c r="BW10" s="1372">
        <f t="shared" ref="BW10:BW41" si="38">IF($I10=5,$Q10,0)*BQ10</f>
        <v>0</v>
      </c>
      <c r="BX10" s="1373">
        <f t="shared" ref="BX10:BX41" si="39">IF($I10=6,$Q10,0)*BQ10</f>
        <v>0</v>
      </c>
      <c r="BY10" s="1373">
        <f t="shared" ref="BY10:BY41" si="40">IF($I10=7,$Q10,0)*BQ10</f>
        <v>0</v>
      </c>
      <c r="BZ10" s="1373">
        <f t="shared" ref="BZ10:BZ41" si="41">IF($I10=8,$Q10,0)*BQ10</f>
        <v>0</v>
      </c>
      <c r="CA10" s="1373">
        <f t="shared" ref="CA10:CA41" si="42">IF($I10=9,$Q10,0)*BQ10</f>
        <v>0</v>
      </c>
      <c r="CB10" s="1405">
        <f t="shared" ref="CB10:CB41" si="43">IF($I10=10,$Q10,0)*BQ10</f>
        <v>0</v>
      </c>
      <c r="CC10" s="1374">
        <f>SUM(BS10:BW10)</f>
        <v>0</v>
      </c>
      <c r="CD10" s="1374">
        <f t="shared" ref="CD10:CD41" si="44">IF(H10="N",0,D10)*BQ10</f>
        <v>0</v>
      </c>
      <c r="CE10" s="1374">
        <f t="shared" ref="CE10:CE41" si="45">K10*BQ10</f>
        <v>0</v>
      </c>
      <c r="CF10" s="1378">
        <f t="shared" ref="CF10:CF41" si="46">IF(W10="",0,LOOKUP(W10,B$49:B$59,D$49:D$59)*X10/12)</f>
        <v>0</v>
      </c>
      <c r="CG10" s="1378">
        <f t="shared" ref="CG10:CG41" si="47">IF(Y10="",0,LOOKUP(Y10,B$49:B$59,D$49:D$59)*Z10/12)</f>
        <v>0</v>
      </c>
      <c r="CH10" s="1378">
        <f t="shared" ref="CH10:CH41" si="48">IF(AA10="",0,LOOKUP(AA10,B$49:B$59,D$49:D$59)*AB10/12)</f>
        <v>0</v>
      </c>
      <c r="CI10" s="1374">
        <f t="shared" ref="CI10:CI41" si="49">D10*BQ10</f>
        <v>0</v>
      </c>
      <c r="CJ10" s="1374">
        <f t="shared" ref="CJ10:CJ41" si="50">D10*J10/324*(1+K$73)*G10</f>
        <v>0</v>
      </c>
      <c r="CK10" s="1374" t="str">
        <f t="shared" ref="CK10:CK41" si="51">IF(N10="","",N10)</f>
        <v/>
      </c>
      <c r="CL10" s="1374">
        <f t="shared" ref="CL10:CL41" si="52">P10*BQ10</f>
        <v>0</v>
      </c>
      <c r="CM10" s="1379">
        <f t="shared" ref="CM10:CM41" si="53">IF(BQ10=0,0,SUM(CN10:DC10)/BQ10)</f>
        <v>0</v>
      </c>
      <c r="CN10" s="628">
        <f>(BS10*Pricing!F$3+BT10*Pricing!G$3+BU10*Pricing!H$3+BV10*Pricing!I$3+BW10*Pricing!J$3+BX10*Pricing!K$3+BY10*Pricing!L$3+BZ10*Pricing!M$3+CA10*Pricing!N$3+CB10*Pricing!O$3)*IF(W$44="N",(1+Y$44),1)</f>
        <v>0</v>
      </c>
      <c r="CO10" s="628">
        <f t="shared" ref="CO10:CO41" si="54">BN10*G$70*IF(W$44="n",1+Y$44,1)</f>
        <v>0</v>
      </c>
      <c r="CP10" s="628">
        <f t="shared" ref="CP10:CP41" si="55">C10*D10</f>
        <v>0</v>
      </c>
      <c r="CQ10" s="628">
        <f t="shared" ref="CQ10:CQ41" si="56">IF(I$79=0,0,D10*(SUM(O$79:P$82)+O$85)/I$79*BQ10)</f>
        <v>0</v>
      </c>
      <c r="CR10" s="628">
        <f t="shared" ref="CR10:CR41" si="57">IF(CF10="",0,CF10*E$83)+IF(CG10="",0,CG10*E$83)+IF(CH10="",0,CH10*E$83)</f>
        <v>0</v>
      </c>
      <c r="CS10" s="628"/>
      <c r="CT10" s="628">
        <f t="shared" ref="CT10:CT41" si="58">IF(I$87=0,0,(P10-(D10*0.35))/2000*E$87)</f>
        <v>0</v>
      </c>
      <c r="CU10" s="628">
        <f t="shared" ref="CU10:CU41" si="59">IF(D$42=0,0,SUM(O$91:P$93)/D$42*D10)*BQ10</f>
        <v>0</v>
      </c>
      <c r="CV10" s="628">
        <f t="shared" ref="CV10:CV41" si="60">IF(D$42=0,0,SUM(Z$66:Z$97)/D$42*D10*BQ10)</f>
        <v>0</v>
      </c>
      <c r="CW10" s="628">
        <f t="shared" ref="CW10:CW41" si="61">IF(D$42=0,0,SUM(O$96:P$101)/D$42*D10)*BQ10</f>
        <v>0</v>
      </c>
      <c r="CX10" s="628">
        <f t="shared" ref="CX10:CX41" si="62">IF(D$42=0,0,SUM(O$103:O$110)/D$42)*D10*BQ10</f>
        <v>0</v>
      </c>
      <c r="CY10" s="628">
        <f t="shared" ref="CY10:CY41" si="63">IF(I$79=0,0,IF(I$79=0,0,SUM(Z$98:Z$109)/I$79*D10))</f>
        <v>0</v>
      </c>
      <c r="CZ10" s="628">
        <f t="shared" ref="CZ10:CZ41" si="64">IF(J$72&gt;0,J$72/D$42*D10*G10,CD10*(G$72*IF(W$44="n",(1+Y$44),1)))</f>
        <v>0</v>
      </c>
      <c r="DA10" s="628" t="str">
        <f t="shared" ref="DA10:DA41" si="65">IF(CK10="","",CK10*E$86)</f>
        <v/>
      </c>
      <c r="DB10" s="628">
        <f t="shared" ref="DB10:DB41" si="66">BP10*G$71*IF(W$44="Y",1,1+Y$44)</f>
        <v>0</v>
      </c>
      <c r="DC10" s="628">
        <f t="shared" ref="DC10:DC41" si="67">CJ10*G$73*IF(W$44="Y",1,1+Y$44)</f>
        <v>0</v>
      </c>
      <c r="DD10" s="1382"/>
      <c r="DE10" s="1383">
        <f t="shared" ref="DE10:DE41" si="68">IF(W10=1,X10*$AS$49,0)+IF(W10=2,X10*$AS$50,0)+IF(W10=3,X10*$AS$51,0)+IF(W10=4,X10*$AS$52,0)+IF(W10=5,X10*$AS$53,0)+IF(W10=6,X10*$AS$54)+IF(W10=7,X10*$AS$55)+IF(W10=8,X10*$AS$56)+IF(W10=9,X10*$AS$57)+IF(W10=10,X10*$AS$58)+IF(W10=11,X10*$AS$59,0)</f>
        <v>0</v>
      </c>
      <c r="DF10" s="1383">
        <f t="shared" ref="DF10:DF41" si="69">IF(Y10=1,Z10*$AS$49,0)+IF(Y10=2,Z10*$AS$50,0)+IF(Y10=3,Z10*$AS$51,0)+IF(Y10=4,Z10*$AS$52,0)+IF(Y10=5,Z10*$AS$53,0)+IF(Y10=6,Z10*$AS$54)+IF(Y10=7,Z10*$AS$55)+IF(Y10=8,Z10*$AS$56)+IF(Y10=9,Z10*$AS$57)+IF(Y10=10,Z10*$AS$58)+IF(Y10=11,Z10*$AS$59,0)</f>
        <v>0</v>
      </c>
      <c r="DG10" s="1383">
        <f t="shared" ref="DG10:DG41" si="70">IF(AA10=1,AB10*$AS$49,0)+IF(AA10=2,AB10*$AS$50,0)+IF(AA10=3,AB10*$AS$51,0)+IF(AA10=4,AB10*$AS$52,0)+IF(AA10=5,AB10*$AS$53,0)+IF(AA10=6,AB10*$AS$54)+IF(AA10=7,AB10*$AS$55)+IF(AA10=8,AB10*$AS$56)+IF(AA10=9,AB10*$AS$57)+IF(AA10=10,AB10*$AS$58)+IF(AA10=11,AB10*$AS$59,0)</f>
        <v>0</v>
      </c>
      <c r="DH10" s="1383">
        <f t="shared" ref="DH10:DH41" si="71">IF(AC10=1,AD10*$AS$49,0)+IF(AC10=2,AD10*$AS$50,0)+IF(AC10=3,AD10*$AS$51,0)+IF(AC10=4,AD10*$AS$52,0)+IF(AC10=5,AD10*$AS$53,0)+IF(AC10=6,AD10*$AS$54)+IF(AC10=7,AD10*$AS$55)+IF(AC10=8,AD10*$AS$56)+IF(AC10=9,AD10*$AS$57)+IF(AC10=10,AD10*$AS$58)+IF(AC10=11,AD10*$AS$59,0)</f>
        <v>0</v>
      </c>
      <c r="DI10" s="1383">
        <f t="shared" ref="DI10:DI41" si="72">IF(AE10=1,AF10*$AS$49,0)+IF(AE10=2,AF10*$AS$50,0)+IF(AE10=3,AF10*$AS$51,0)+IF(AE10=4,AF10*$AS$52,0)+IF(AE10=5,AF10*$AS$53,0)+IF(AE10=6,AF10*$AS$54)+IF(AE10=7,AF10*$AS$55)+IF(AE10=8,AF10*$AS$56)+IF(AE10=9,AF10*$AS$57)+IF(AE10=10,AF10*$AS$58)+IF(AE10=11,AF10*$AS$59,0)</f>
        <v>0</v>
      </c>
      <c r="DJ10" s="1383">
        <f t="shared" ref="DJ10:DJ41" si="73">IF(AG10=1,AH10*$AS$49,0)+IF(AG10=2,AH10*$AS$50,0)+IF(AG10=3,AH10*$AS$51,0)+IF(AG10=4,AH10*$AS$52,0)+IF(AG10=5,AH10*$AS$53,0)+IF(AG10=6,AH10*$AS$54)+IF(AG10=7,AH10*$AS$55)+IF(AG10=8,AH10*$AS$56)+IF(AG10=9,AH10*$AS$57)+IF(AG10=10,AH10*$AS$58)+IF(AG10=11,AH10*$AS$59,0)</f>
        <v>0</v>
      </c>
      <c r="DK10" s="1383">
        <f t="shared" ref="DK10:DK41" si="74">IF(AI10=1,AJ10*$AS$49,0)+IF(AI10=2,AJ10*$AS$50,0)+IF(AI10=3,AJ10*$AS$51,0)+IF(AI10=4,AJ10*$AS$52,0)+IF(AI10=5,AJ10*$AS$53,0)+IF(AI10=6,AJ10*$AS$54)+IF(AI10=7,AJ10*$AS$55)+IF(AI10=8,AJ10*$AS$56)+IF(AI10=9,AJ10*$AS$57)+IF(AI10=10,AJ10*$AS$58)+IF(AI10=11,AJ10*$AS$59,0)</f>
        <v>0</v>
      </c>
      <c r="DL10" s="1383">
        <f t="shared" ref="DL10:DL41" si="75">IF(AK10=1,AL10*$AS$49,0)+IF(AK10=2,AL10*$AS$50,0)+IF(AK10=3,AL10*$AS$51,0)+IF(AK10=4,AL10*$AS$52,0)+IF(AK10=5,AL10*$AS$53,0)+IF(AK10=6,AL10*$AS$54)+IF(AK10=7,AL10*$AS$55)+IF(AK10=8,AL10*$AS$56)+IF(AK10=9,AL10*$AS$57)+IF(AK10=10,AL10*$AS$58)+IF(AK10=11,AL10*$AS$59,0)</f>
        <v>0</v>
      </c>
      <c r="DM10" s="1383">
        <f t="shared" ref="DM10:DM41" si="76">IF(AM10=1,AN10*$AS$49,0)+IF(AM10=2,AN10*$AS$50,0)+IF(AM10=3,AN10*$AS$51,0)+IF(AM10=4,AN10*$AS$52,0)+IF(AM10=5,AN10*$AS$53,0)+IF(AM10=6,AN10*$AS$54)+IF(AM10=7,AN10*$AS$55)+IF(AM10=8,AN10*$AS$56)+IF(AM10=9,AN10*$AS$57)+IF(AM10=10,AN10*$AS$58)+IF(AM10=11,AN10*$AS$59,0)</f>
        <v>0</v>
      </c>
      <c r="DN10" s="1383">
        <f t="shared" ref="DN10:DN41" si="77">IF(AO10=1,AP10*$AS$49,0)+IF(AO10=2,AP10*$AS$50,0)+IF(AO10=3,AP10*$AS$51,0)+IF(AO10=4,AP10*$AS$52,0)+IF(AO10=5,AP10*$AS$53,0)+IF(AO10=6,AP10*$AS$54)+IF(AO10=7,AP10*$AS$55)+IF(AO10=8,AP10*$AS$56)+IF(AO10=9,AP10*$AS$57)+IF(AO10=10,AP10*$AS$58)+IF(AO10=11,AP10*$AS$59,0)</f>
        <v>0</v>
      </c>
      <c r="DO10" s="1384">
        <f t="shared" ref="DO10:DO41" si="78">D10</f>
        <v>0</v>
      </c>
    </row>
    <row r="11" spans="1:119" ht="19.5" customHeight="1">
      <c r="A11" s="2301" t="s">
        <v>1069</v>
      </c>
      <c r="B11" s="1385"/>
      <c r="C11" s="1386"/>
      <c r="D11" s="1654"/>
      <c r="E11" s="1655"/>
      <c r="F11" s="984"/>
      <c r="G11" s="1389"/>
      <c r="H11" s="984"/>
      <c r="I11" s="1389"/>
      <c r="J11" s="984"/>
      <c r="K11" s="1390"/>
      <c r="L11" s="1391"/>
      <c r="M11" s="1392"/>
      <c r="N11" s="1393"/>
      <c r="O11" s="1394"/>
      <c r="P11" s="1351">
        <f t="shared" si="0"/>
        <v>0</v>
      </c>
      <c r="Q11" s="1352">
        <f t="shared" si="1"/>
        <v>0</v>
      </c>
      <c r="R11" s="1353">
        <f t="shared" si="2"/>
        <v>0</v>
      </c>
      <c r="S11" s="1354">
        <f t="shared" si="3"/>
        <v>0</v>
      </c>
      <c r="T11" s="1355">
        <f t="shared" si="4"/>
        <v>0</v>
      </c>
      <c r="U11" s="1356">
        <f t="shared" si="5"/>
        <v>0</v>
      </c>
      <c r="V11" s="1357">
        <f t="shared" si="6"/>
        <v>0</v>
      </c>
      <c r="W11" s="1395"/>
      <c r="X11" s="1656"/>
      <c r="Y11" s="1395"/>
      <c r="Z11" s="1397"/>
      <c r="AA11" s="1395"/>
      <c r="AB11" s="1397"/>
      <c r="AC11" s="1398"/>
      <c r="AD11" s="1656"/>
      <c r="AE11" s="1395"/>
      <c r="AF11" s="2304"/>
      <c r="AG11" s="1431"/>
      <c r="AH11" s="2304"/>
      <c r="AI11" s="1395"/>
      <c r="AJ11" s="1656"/>
      <c r="AK11" s="1395"/>
      <c r="AL11" s="2304"/>
      <c r="AM11" s="1395"/>
      <c r="AN11" s="1397"/>
      <c r="AO11" s="1395"/>
      <c r="AP11" s="1397"/>
      <c r="AQ11" s="626"/>
      <c r="AR11" s="1369" t="str">
        <f t="shared" si="7"/>
        <v/>
      </c>
      <c r="AS11" s="1270" t="str">
        <f t="shared" si="8"/>
        <v/>
      </c>
      <c r="AT11" s="1270" t="str">
        <f t="shared" si="9"/>
        <v/>
      </c>
      <c r="AU11" s="1270" t="str">
        <f t="shared" si="10"/>
        <v/>
      </c>
      <c r="AV11" s="1270" t="str">
        <f t="shared" si="11"/>
        <v/>
      </c>
      <c r="AW11" s="1270" t="str">
        <f t="shared" si="12"/>
        <v/>
      </c>
      <c r="AX11" s="1270" t="str">
        <f t="shared" si="13"/>
        <v/>
      </c>
      <c r="AY11" s="1270" t="str">
        <f t="shared" si="14"/>
        <v/>
      </c>
      <c r="AZ11" s="1270" t="str">
        <f t="shared" si="15"/>
        <v/>
      </c>
      <c r="BA11" s="1270" t="str">
        <f t="shared" si="16"/>
        <v/>
      </c>
      <c r="BB11" s="1371">
        <f t="shared" si="17"/>
        <v>0</v>
      </c>
      <c r="BC11" s="1369" t="str">
        <f t="shared" si="18"/>
        <v/>
      </c>
      <c r="BD11" s="1270" t="str">
        <f t="shared" si="19"/>
        <v/>
      </c>
      <c r="BE11" s="1270" t="str">
        <f t="shared" si="20"/>
        <v/>
      </c>
      <c r="BF11" s="1270" t="str">
        <f t="shared" si="21"/>
        <v/>
      </c>
      <c r="BG11" s="1270" t="str">
        <f t="shared" si="22"/>
        <v/>
      </c>
      <c r="BH11" s="1270" t="str">
        <f t="shared" si="23"/>
        <v/>
      </c>
      <c r="BI11" s="1270" t="str">
        <f t="shared" si="24"/>
        <v/>
      </c>
      <c r="BJ11" s="1270" t="str">
        <f t="shared" si="25"/>
        <v/>
      </c>
      <c r="BK11" s="1270" t="str">
        <f t="shared" si="26"/>
        <v/>
      </c>
      <c r="BL11" s="1270" t="str">
        <f t="shared" si="27"/>
        <v/>
      </c>
      <c r="BM11" s="1371">
        <f t="shared" si="28"/>
        <v>0</v>
      </c>
      <c r="BN11" s="1372">
        <f t="shared" si="29"/>
        <v>0</v>
      </c>
      <c r="BO11" s="1372">
        <f t="shared" si="30"/>
        <v>0</v>
      </c>
      <c r="BP11" s="1372">
        <f t="shared" si="31"/>
        <v>0</v>
      </c>
      <c r="BQ11" s="1374">
        <f t="shared" si="32"/>
        <v>0</v>
      </c>
      <c r="BR11" s="1251">
        <f t="shared" si="33"/>
        <v>0</v>
      </c>
      <c r="BS11" s="1403">
        <f t="shared" si="34"/>
        <v>0</v>
      </c>
      <c r="BT11" s="1372">
        <f t="shared" si="35"/>
        <v>0</v>
      </c>
      <c r="BU11" s="1372">
        <f t="shared" si="36"/>
        <v>0</v>
      </c>
      <c r="BV11" s="1372">
        <f t="shared" si="37"/>
        <v>0</v>
      </c>
      <c r="BW11" s="1372">
        <f t="shared" si="38"/>
        <v>0</v>
      </c>
      <c r="BX11" s="1373">
        <f t="shared" si="39"/>
        <v>0</v>
      </c>
      <c r="BY11" s="1373">
        <f t="shared" si="40"/>
        <v>0</v>
      </c>
      <c r="BZ11" s="1373">
        <f t="shared" si="41"/>
        <v>0</v>
      </c>
      <c r="CA11" s="1373">
        <f t="shared" si="42"/>
        <v>0</v>
      </c>
      <c r="CB11" s="1405">
        <f t="shared" si="43"/>
        <v>0</v>
      </c>
      <c r="CC11" s="1374">
        <f t="shared" ref="CC11:CC41" si="79">SUM(BS11:BX11)</f>
        <v>0</v>
      </c>
      <c r="CD11" s="1374">
        <f t="shared" si="44"/>
        <v>0</v>
      </c>
      <c r="CE11" s="1374">
        <f t="shared" si="45"/>
        <v>0</v>
      </c>
      <c r="CF11" s="1378">
        <f t="shared" si="46"/>
        <v>0</v>
      </c>
      <c r="CG11" s="1378">
        <f t="shared" si="47"/>
        <v>0</v>
      </c>
      <c r="CH11" s="1378">
        <f t="shared" si="48"/>
        <v>0</v>
      </c>
      <c r="CI11" s="1374">
        <f t="shared" si="49"/>
        <v>0</v>
      </c>
      <c r="CJ11" s="1374">
        <f t="shared" si="50"/>
        <v>0</v>
      </c>
      <c r="CK11" s="1374" t="str">
        <f t="shared" si="51"/>
        <v/>
      </c>
      <c r="CL11" s="1374">
        <f t="shared" si="52"/>
        <v>0</v>
      </c>
      <c r="CM11" s="1379">
        <f t="shared" si="53"/>
        <v>0</v>
      </c>
      <c r="CN11" s="628">
        <f>(BS11*Pricing!F$3+BT11*Pricing!G$3+BU11*Pricing!H$3+BV11*Pricing!I$3+BW11*Pricing!J$3+BX11*Pricing!K$3)*IF(W$44="N",(1+Y$44),1)</f>
        <v>0</v>
      </c>
      <c r="CO11" s="628">
        <f t="shared" si="54"/>
        <v>0</v>
      </c>
      <c r="CP11" s="628">
        <f t="shared" si="55"/>
        <v>0</v>
      </c>
      <c r="CQ11" s="628">
        <f t="shared" si="56"/>
        <v>0</v>
      </c>
      <c r="CR11" s="628">
        <f t="shared" si="57"/>
        <v>0</v>
      </c>
      <c r="CS11" s="628"/>
      <c r="CT11" s="628">
        <f t="shared" si="58"/>
        <v>0</v>
      </c>
      <c r="CU11" s="628">
        <f t="shared" si="59"/>
        <v>0</v>
      </c>
      <c r="CV11" s="628">
        <f t="shared" si="60"/>
        <v>0</v>
      </c>
      <c r="CW11" s="628">
        <f t="shared" si="61"/>
        <v>0</v>
      </c>
      <c r="CX11" s="628">
        <f t="shared" si="62"/>
        <v>0</v>
      </c>
      <c r="CY11" s="628">
        <f t="shared" si="63"/>
        <v>0</v>
      </c>
      <c r="CZ11" s="628">
        <f t="shared" si="64"/>
        <v>0</v>
      </c>
      <c r="DA11" s="628" t="str">
        <f t="shared" si="65"/>
        <v/>
      </c>
      <c r="DB11" s="628">
        <f t="shared" si="66"/>
        <v>0</v>
      </c>
      <c r="DC11" s="628">
        <f t="shared" si="67"/>
        <v>0</v>
      </c>
      <c r="DD11" s="1382"/>
      <c r="DE11" s="626">
        <f t="shared" si="68"/>
        <v>0</v>
      </c>
      <c r="DF11" s="626">
        <f t="shared" si="69"/>
        <v>0</v>
      </c>
      <c r="DG11" s="626">
        <f t="shared" si="70"/>
        <v>0</v>
      </c>
      <c r="DH11" s="626">
        <f t="shared" si="71"/>
        <v>0</v>
      </c>
      <c r="DI11" s="626">
        <f t="shared" si="72"/>
        <v>0</v>
      </c>
      <c r="DJ11" s="626">
        <f t="shared" si="73"/>
        <v>0</v>
      </c>
      <c r="DK11" s="626">
        <f t="shared" si="74"/>
        <v>0</v>
      </c>
      <c r="DL11" s="626">
        <f t="shared" si="75"/>
        <v>0</v>
      </c>
      <c r="DM11" s="626">
        <f t="shared" si="76"/>
        <v>0</v>
      </c>
      <c r="DN11" s="626">
        <f t="shared" si="77"/>
        <v>0</v>
      </c>
      <c r="DO11" s="1405">
        <f t="shared" si="78"/>
        <v>0</v>
      </c>
    </row>
    <row r="12" spans="1:119" ht="19.5" customHeight="1">
      <c r="A12" s="2301" t="s">
        <v>1070</v>
      </c>
      <c r="B12" s="1341"/>
      <c r="C12" s="1386"/>
      <c r="D12" s="1657"/>
      <c r="E12" s="1658"/>
      <c r="F12" s="984"/>
      <c r="G12" s="1389"/>
      <c r="H12" s="984"/>
      <c r="I12" s="1389"/>
      <c r="J12" s="984"/>
      <c r="K12" s="1390"/>
      <c r="L12" s="1359"/>
      <c r="M12" s="1348"/>
      <c r="N12" s="1406"/>
      <c r="O12" s="1407"/>
      <c r="P12" s="1351">
        <f t="shared" si="0"/>
        <v>0</v>
      </c>
      <c r="Q12" s="1352">
        <f t="shared" si="1"/>
        <v>0</v>
      </c>
      <c r="R12" s="1353">
        <f t="shared" si="2"/>
        <v>0</v>
      </c>
      <c r="S12" s="1354">
        <f t="shared" si="3"/>
        <v>0</v>
      </c>
      <c r="T12" s="1355">
        <f t="shared" si="4"/>
        <v>0</v>
      </c>
      <c r="U12" s="1356">
        <f t="shared" si="5"/>
        <v>0</v>
      </c>
      <c r="V12" s="1357">
        <f t="shared" si="6"/>
        <v>0</v>
      </c>
      <c r="W12" s="1347"/>
      <c r="X12" s="1652"/>
      <c r="Y12" s="1347"/>
      <c r="Z12" s="1360"/>
      <c r="AA12" s="1347"/>
      <c r="AB12" s="1360"/>
      <c r="AC12" s="1361"/>
      <c r="AD12" s="1652"/>
      <c r="AE12" s="1347"/>
      <c r="AF12" s="2099"/>
      <c r="AG12" s="1429"/>
      <c r="AH12" s="1428"/>
      <c r="AI12" s="2"/>
      <c r="AJ12" s="1652"/>
      <c r="AK12" s="1347"/>
      <c r="AL12" s="2099"/>
      <c r="AM12" s="1347"/>
      <c r="AN12" s="1360"/>
      <c r="AO12" s="1347"/>
      <c r="AP12" s="1360"/>
      <c r="AQ12" s="626"/>
      <c r="AR12" s="1369" t="str">
        <f t="shared" si="7"/>
        <v/>
      </c>
      <c r="AS12" s="1270" t="str">
        <f t="shared" si="8"/>
        <v/>
      </c>
      <c r="AT12" s="1270" t="str">
        <f t="shared" si="9"/>
        <v/>
      </c>
      <c r="AU12" s="1270" t="str">
        <f t="shared" si="10"/>
        <v/>
      </c>
      <c r="AV12" s="1270" t="str">
        <f t="shared" si="11"/>
        <v/>
      </c>
      <c r="AW12" s="1270" t="str">
        <f t="shared" si="12"/>
        <v/>
      </c>
      <c r="AX12" s="1270" t="str">
        <f t="shared" si="13"/>
        <v/>
      </c>
      <c r="AY12" s="1270" t="str">
        <f t="shared" si="14"/>
        <v/>
      </c>
      <c r="AZ12" s="1270" t="str">
        <f t="shared" si="15"/>
        <v/>
      </c>
      <c r="BA12" s="1270" t="str">
        <f t="shared" si="16"/>
        <v/>
      </c>
      <c r="BB12" s="1371">
        <f t="shared" si="17"/>
        <v>0</v>
      </c>
      <c r="BC12" s="1369" t="str">
        <f t="shared" si="18"/>
        <v/>
      </c>
      <c r="BD12" s="1270" t="str">
        <f t="shared" si="19"/>
        <v/>
      </c>
      <c r="BE12" s="1270" t="str">
        <f t="shared" si="20"/>
        <v/>
      </c>
      <c r="BF12" s="1270" t="str">
        <f t="shared" si="21"/>
        <v/>
      </c>
      <c r="BG12" s="1270" t="str">
        <f t="shared" si="22"/>
        <v/>
      </c>
      <c r="BH12" s="1270" t="str">
        <f t="shared" si="23"/>
        <v/>
      </c>
      <c r="BI12" s="1270" t="str">
        <f t="shared" si="24"/>
        <v/>
      </c>
      <c r="BJ12" s="1270" t="str">
        <f t="shared" si="25"/>
        <v/>
      </c>
      <c r="BK12" s="1270" t="str">
        <f t="shared" si="26"/>
        <v/>
      </c>
      <c r="BL12" s="1270" t="str">
        <f t="shared" si="27"/>
        <v/>
      </c>
      <c r="BM12" s="1371">
        <f t="shared" si="28"/>
        <v>0</v>
      </c>
      <c r="BN12" s="1372">
        <f t="shared" si="29"/>
        <v>0</v>
      </c>
      <c r="BO12" s="1372">
        <f t="shared" si="30"/>
        <v>0</v>
      </c>
      <c r="BP12" s="1372">
        <f t="shared" si="31"/>
        <v>0</v>
      </c>
      <c r="BQ12" s="1374">
        <f t="shared" si="32"/>
        <v>0</v>
      </c>
      <c r="BR12" s="1251">
        <f t="shared" si="33"/>
        <v>0</v>
      </c>
      <c r="BS12" s="1403">
        <f t="shared" si="34"/>
        <v>0</v>
      </c>
      <c r="BT12" s="1372">
        <f t="shared" si="35"/>
        <v>0</v>
      </c>
      <c r="BU12" s="1372">
        <f t="shared" si="36"/>
        <v>0</v>
      </c>
      <c r="BV12" s="1372">
        <f t="shared" si="37"/>
        <v>0</v>
      </c>
      <c r="BW12" s="1372">
        <f t="shared" si="38"/>
        <v>0</v>
      </c>
      <c r="BX12" s="1373">
        <f t="shared" si="39"/>
        <v>0</v>
      </c>
      <c r="BY12" s="1373">
        <f t="shared" si="40"/>
        <v>0</v>
      </c>
      <c r="BZ12" s="1373">
        <f t="shared" si="41"/>
        <v>0</v>
      </c>
      <c r="CA12" s="1373">
        <f t="shared" si="42"/>
        <v>0</v>
      </c>
      <c r="CB12" s="1405">
        <f t="shared" si="43"/>
        <v>0</v>
      </c>
      <c r="CC12" s="1374">
        <f t="shared" si="79"/>
        <v>0</v>
      </c>
      <c r="CD12" s="1374">
        <f t="shared" si="44"/>
        <v>0</v>
      </c>
      <c r="CE12" s="1374">
        <f t="shared" si="45"/>
        <v>0</v>
      </c>
      <c r="CF12" s="1378">
        <f t="shared" si="46"/>
        <v>0</v>
      </c>
      <c r="CG12" s="1378">
        <f t="shared" si="47"/>
        <v>0</v>
      </c>
      <c r="CH12" s="1378">
        <f t="shared" si="48"/>
        <v>0</v>
      </c>
      <c r="CI12" s="1374">
        <f t="shared" si="49"/>
        <v>0</v>
      </c>
      <c r="CJ12" s="1374">
        <f t="shared" si="50"/>
        <v>0</v>
      </c>
      <c r="CK12" s="1374" t="str">
        <f t="shared" si="51"/>
        <v/>
      </c>
      <c r="CL12" s="1374">
        <f t="shared" si="52"/>
        <v>0</v>
      </c>
      <c r="CM12" s="1379">
        <f t="shared" si="53"/>
        <v>0</v>
      </c>
      <c r="CN12" s="628">
        <f>(BS12*Pricing!F$3+BT12*Pricing!G$3+BU12*Pricing!H$3+BV12*Pricing!I$3+BW12*Pricing!J$3+BX12*Pricing!K$3)*IF(W$44="N",(1+Y$44),1)</f>
        <v>0</v>
      </c>
      <c r="CO12" s="628">
        <f t="shared" si="54"/>
        <v>0</v>
      </c>
      <c r="CP12" s="628">
        <f t="shared" si="55"/>
        <v>0</v>
      </c>
      <c r="CQ12" s="628">
        <f t="shared" si="56"/>
        <v>0</v>
      </c>
      <c r="CR12" s="628">
        <f t="shared" si="57"/>
        <v>0</v>
      </c>
      <c r="CS12" s="628"/>
      <c r="CT12" s="628">
        <f t="shared" si="58"/>
        <v>0</v>
      </c>
      <c r="CU12" s="628">
        <f t="shared" si="59"/>
        <v>0</v>
      </c>
      <c r="CV12" s="628">
        <f t="shared" si="60"/>
        <v>0</v>
      </c>
      <c r="CW12" s="628">
        <f t="shared" si="61"/>
        <v>0</v>
      </c>
      <c r="CX12" s="628">
        <f t="shared" si="62"/>
        <v>0</v>
      </c>
      <c r="CY12" s="628">
        <f t="shared" si="63"/>
        <v>0</v>
      </c>
      <c r="CZ12" s="628">
        <f t="shared" si="64"/>
        <v>0</v>
      </c>
      <c r="DA12" s="628" t="str">
        <f t="shared" si="65"/>
        <v/>
      </c>
      <c r="DB12" s="628">
        <f t="shared" si="66"/>
        <v>0</v>
      </c>
      <c r="DC12" s="628">
        <f t="shared" si="67"/>
        <v>0</v>
      </c>
      <c r="DD12" s="1382"/>
      <c r="DE12" s="626">
        <f t="shared" si="68"/>
        <v>0</v>
      </c>
      <c r="DF12" s="626">
        <f t="shared" si="69"/>
        <v>0</v>
      </c>
      <c r="DG12" s="626">
        <f t="shared" si="70"/>
        <v>0</v>
      </c>
      <c r="DH12" s="626">
        <f t="shared" si="71"/>
        <v>0</v>
      </c>
      <c r="DI12" s="626">
        <f t="shared" si="72"/>
        <v>0</v>
      </c>
      <c r="DJ12" s="626">
        <f t="shared" si="73"/>
        <v>0</v>
      </c>
      <c r="DK12" s="626">
        <f t="shared" si="74"/>
        <v>0</v>
      </c>
      <c r="DL12" s="626">
        <f t="shared" si="75"/>
        <v>0</v>
      </c>
      <c r="DM12" s="626">
        <f t="shared" si="76"/>
        <v>0</v>
      </c>
      <c r="DN12" s="626">
        <f t="shared" si="77"/>
        <v>0</v>
      </c>
      <c r="DO12" s="1405">
        <f t="shared" si="78"/>
        <v>0</v>
      </c>
    </row>
    <row r="13" spans="1:119" ht="19.5" customHeight="1">
      <c r="A13" s="2301" t="s">
        <v>1071</v>
      </c>
      <c r="B13" s="1385"/>
      <c r="C13" s="1386"/>
      <c r="D13" s="1654"/>
      <c r="E13" s="1655"/>
      <c r="F13" s="984"/>
      <c r="G13" s="1389"/>
      <c r="H13" s="984"/>
      <c r="I13" s="1389"/>
      <c r="J13" s="984"/>
      <c r="K13" s="1390"/>
      <c r="L13" s="1391"/>
      <c r="M13" s="1392"/>
      <c r="N13" s="1393"/>
      <c r="O13" s="1394"/>
      <c r="P13" s="1351">
        <f t="shared" si="0"/>
        <v>0</v>
      </c>
      <c r="Q13" s="1352">
        <f t="shared" si="1"/>
        <v>0</v>
      </c>
      <c r="R13" s="1353">
        <f t="shared" si="2"/>
        <v>0</v>
      </c>
      <c r="S13" s="1354">
        <f t="shared" si="3"/>
        <v>0</v>
      </c>
      <c r="T13" s="1355">
        <f t="shared" si="4"/>
        <v>0</v>
      </c>
      <c r="U13" s="1356">
        <f t="shared" si="5"/>
        <v>0</v>
      </c>
      <c r="V13" s="1357">
        <f t="shared" si="6"/>
        <v>0</v>
      </c>
      <c r="W13" s="1395"/>
      <c r="X13" s="1656"/>
      <c r="Y13" s="1395"/>
      <c r="Z13" s="1397"/>
      <c r="AA13" s="1395"/>
      <c r="AB13" s="1397"/>
      <c r="AC13" s="1398"/>
      <c r="AD13" s="1656"/>
      <c r="AE13" s="1395"/>
      <c r="AF13" s="2304"/>
      <c r="AG13" s="1431"/>
      <c r="AH13" s="2304"/>
      <c r="AI13" s="1395"/>
      <c r="AJ13" s="1656"/>
      <c r="AK13" s="1395"/>
      <c r="AL13" s="2304"/>
      <c r="AM13" s="1395"/>
      <c r="AN13" s="1397"/>
      <c r="AO13" s="1395"/>
      <c r="AP13" s="1397"/>
      <c r="AQ13" s="626"/>
      <c r="AR13" s="1369" t="str">
        <f t="shared" si="7"/>
        <v/>
      </c>
      <c r="AS13" s="1270" t="str">
        <f t="shared" si="8"/>
        <v/>
      </c>
      <c r="AT13" s="1270" t="str">
        <f t="shared" si="9"/>
        <v/>
      </c>
      <c r="AU13" s="1270" t="str">
        <f t="shared" si="10"/>
        <v/>
      </c>
      <c r="AV13" s="1270" t="str">
        <f t="shared" si="11"/>
        <v/>
      </c>
      <c r="AW13" s="1270" t="str">
        <f t="shared" si="12"/>
        <v/>
      </c>
      <c r="AX13" s="1270" t="str">
        <f t="shared" si="13"/>
        <v/>
      </c>
      <c r="AY13" s="1270" t="str">
        <f t="shared" si="14"/>
        <v/>
      </c>
      <c r="AZ13" s="1270" t="str">
        <f t="shared" si="15"/>
        <v/>
      </c>
      <c r="BA13" s="1270" t="str">
        <f t="shared" si="16"/>
        <v/>
      </c>
      <c r="BB13" s="1371">
        <f t="shared" si="17"/>
        <v>0</v>
      </c>
      <c r="BC13" s="1369" t="str">
        <f t="shared" si="18"/>
        <v/>
      </c>
      <c r="BD13" s="1270" t="str">
        <f t="shared" si="19"/>
        <v/>
      </c>
      <c r="BE13" s="1270" t="str">
        <f t="shared" si="20"/>
        <v/>
      </c>
      <c r="BF13" s="1270" t="str">
        <f t="shared" si="21"/>
        <v/>
      </c>
      <c r="BG13" s="1270" t="str">
        <f t="shared" si="22"/>
        <v/>
      </c>
      <c r="BH13" s="1270" t="str">
        <f t="shared" si="23"/>
        <v/>
      </c>
      <c r="BI13" s="1270" t="str">
        <f t="shared" si="24"/>
        <v/>
      </c>
      <c r="BJ13" s="1270" t="str">
        <f t="shared" si="25"/>
        <v/>
      </c>
      <c r="BK13" s="1270" t="str">
        <f t="shared" si="26"/>
        <v/>
      </c>
      <c r="BL13" s="1270" t="str">
        <f t="shared" si="27"/>
        <v/>
      </c>
      <c r="BM13" s="1371">
        <f t="shared" si="28"/>
        <v>0</v>
      </c>
      <c r="BN13" s="1372">
        <f t="shared" si="29"/>
        <v>0</v>
      </c>
      <c r="BO13" s="1372">
        <f t="shared" si="30"/>
        <v>0</v>
      </c>
      <c r="BP13" s="1372">
        <f t="shared" si="31"/>
        <v>0</v>
      </c>
      <c r="BQ13" s="1374">
        <f t="shared" si="32"/>
        <v>0</v>
      </c>
      <c r="BR13" s="1251">
        <f t="shared" si="33"/>
        <v>0</v>
      </c>
      <c r="BS13" s="1403">
        <f t="shared" si="34"/>
        <v>0</v>
      </c>
      <c r="BT13" s="1372">
        <f t="shared" si="35"/>
        <v>0</v>
      </c>
      <c r="BU13" s="1372">
        <f t="shared" si="36"/>
        <v>0</v>
      </c>
      <c r="BV13" s="1372">
        <f t="shared" si="37"/>
        <v>0</v>
      </c>
      <c r="BW13" s="1372">
        <f t="shared" si="38"/>
        <v>0</v>
      </c>
      <c r="BX13" s="1373">
        <f t="shared" si="39"/>
        <v>0</v>
      </c>
      <c r="BY13" s="1373">
        <f t="shared" si="40"/>
        <v>0</v>
      </c>
      <c r="BZ13" s="1373">
        <f t="shared" si="41"/>
        <v>0</v>
      </c>
      <c r="CA13" s="1373">
        <f t="shared" si="42"/>
        <v>0</v>
      </c>
      <c r="CB13" s="1405">
        <f t="shared" si="43"/>
        <v>0</v>
      </c>
      <c r="CC13" s="1374">
        <f t="shared" si="79"/>
        <v>0</v>
      </c>
      <c r="CD13" s="1374">
        <f t="shared" si="44"/>
        <v>0</v>
      </c>
      <c r="CE13" s="1374">
        <f t="shared" si="45"/>
        <v>0</v>
      </c>
      <c r="CF13" s="1378">
        <f t="shared" si="46"/>
        <v>0</v>
      </c>
      <c r="CG13" s="1378">
        <f t="shared" si="47"/>
        <v>0</v>
      </c>
      <c r="CH13" s="1378">
        <f t="shared" si="48"/>
        <v>0</v>
      </c>
      <c r="CI13" s="1374">
        <f t="shared" si="49"/>
        <v>0</v>
      </c>
      <c r="CJ13" s="1374">
        <f t="shared" si="50"/>
        <v>0</v>
      </c>
      <c r="CK13" s="1374" t="str">
        <f t="shared" si="51"/>
        <v/>
      </c>
      <c r="CL13" s="1374">
        <f t="shared" si="52"/>
        <v>0</v>
      </c>
      <c r="CM13" s="1379">
        <f t="shared" si="53"/>
        <v>0</v>
      </c>
      <c r="CN13" s="628">
        <f>(BS13*Pricing!F$3+BT13*Pricing!G$3+BU13*Pricing!H$3+BV13*Pricing!I$3+BW13*Pricing!J$3+BX13*Pricing!K$3)*IF(W$44="N",(1+Y$44),1)</f>
        <v>0</v>
      </c>
      <c r="CO13" s="628">
        <f t="shared" si="54"/>
        <v>0</v>
      </c>
      <c r="CP13" s="628">
        <f t="shared" si="55"/>
        <v>0</v>
      </c>
      <c r="CQ13" s="628">
        <f t="shared" si="56"/>
        <v>0</v>
      </c>
      <c r="CR13" s="628">
        <f t="shared" si="57"/>
        <v>0</v>
      </c>
      <c r="CS13" s="628"/>
      <c r="CT13" s="628">
        <f t="shared" si="58"/>
        <v>0</v>
      </c>
      <c r="CU13" s="628">
        <f t="shared" si="59"/>
        <v>0</v>
      </c>
      <c r="CV13" s="628">
        <f t="shared" si="60"/>
        <v>0</v>
      </c>
      <c r="CW13" s="628">
        <f t="shared" si="61"/>
        <v>0</v>
      </c>
      <c r="CX13" s="628">
        <f t="shared" si="62"/>
        <v>0</v>
      </c>
      <c r="CY13" s="628">
        <f t="shared" si="63"/>
        <v>0</v>
      </c>
      <c r="CZ13" s="628">
        <f t="shared" si="64"/>
        <v>0</v>
      </c>
      <c r="DA13" s="628" t="str">
        <f t="shared" si="65"/>
        <v/>
      </c>
      <c r="DB13" s="628">
        <f t="shared" si="66"/>
        <v>0</v>
      </c>
      <c r="DC13" s="628">
        <f t="shared" si="67"/>
        <v>0</v>
      </c>
      <c r="DD13" s="1382"/>
      <c r="DE13" s="626">
        <f t="shared" si="68"/>
        <v>0</v>
      </c>
      <c r="DF13" s="626">
        <f t="shared" si="69"/>
        <v>0</v>
      </c>
      <c r="DG13" s="626">
        <f t="shared" si="70"/>
        <v>0</v>
      </c>
      <c r="DH13" s="626">
        <f t="shared" si="71"/>
        <v>0</v>
      </c>
      <c r="DI13" s="626">
        <f t="shared" si="72"/>
        <v>0</v>
      </c>
      <c r="DJ13" s="626">
        <f t="shared" si="73"/>
        <v>0</v>
      </c>
      <c r="DK13" s="626">
        <f t="shared" si="74"/>
        <v>0</v>
      </c>
      <c r="DL13" s="626">
        <f t="shared" si="75"/>
        <v>0</v>
      </c>
      <c r="DM13" s="626">
        <f t="shared" si="76"/>
        <v>0</v>
      </c>
      <c r="DN13" s="626">
        <f t="shared" si="77"/>
        <v>0</v>
      </c>
      <c r="DO13" s="1405">
        <f t="shared" si="78"/>
        <v>0</v>
      </c>
    </row>
    <row r="14" spans="1:119" ht="19.5" customHeight="1">
      <c r="A14" s="2301" t="s">
        <v>1072</v>
      </c>
      <c r="B14" s="1341"/>
      <c r="C14" s="1386"/>
      <c r="D14" s="1657"/>
      <c r="E14" s="1658"/>
      <c r="F14" s="984"/>
      <c r="G14" s="1389"/>
      <c r="H14" s="984"/>
      <c r="I14" s="1389"/>
      <c r="J14" s="984"/>
      <c r="K14" s="1390"/>
      <c r="L14" s="1359"/>
      <c r="M14" s="1348"/>
      <c r="N14" s="1406"/>
      <c r="O14" s="1407"/>
      <c r="P14" s="1351">
        <f t="shared" si="0"/>
        <v>0</v>
      </c>
      <c r="Q14" s="1352">
        <f t="shared" si="1"/>
        <v>0</v>
      </c>
      <c r="R14" s="1353">
        <f t="shared" si="2"/>
        <v>0</v>
      </c>
      <c r="S14" s="1354">
        <f t="shared" si="3"/>
        <v>0</v>
      </c>
      <c r="T14" s="1355">
        <f t="shared" si="4"/>
        <v>0</v>
      </c>
      <c r="U14" s="1356">
        <f t="shared" si="5"/>
        <v>0</v>
      </c>
      <c r="V14" s="1357">
        <f t="shared" si="6"/>
        <v>0</v>
      </c>
      <c r="W14" s="503"/>
      <c r="X14" s="2305"/>
      <c r="Y14" s="503"/>
      <c r="Z14" s="1410"/>
      <c r="AA14" s="503"/>
      <c r="AB14" s="1410"/>
      <c r="AC14" s="1421"/>
      <c r="AD14" s="2305"/>
      <c r="AE14" s="503"/>
      <c r="AF14" s="1428"/>
      <c r="AG14" s="503"/>
      <c r="AH14" s="1428"/>
      <c r="AI14" s="2"/>
      <c r="AJ14" s="1652"/>
      <c r="AK14" s="503"/>
      <c r="AL14" s="1428"/>
      <c r="AM14" s="503"/>
      <c r="AN14" s="1410"/>
      <c r="AO14" s="503"/>
      <c r="AP14" s="1410"/>
      <c r="AQ14" s="626"/>
      <c r="AR14" s="1369" t="str">
        <f t="shared" si="7"/>
        <v/>
      </c>
      <c r="AS14" s="1270" t="str">
        <f t="shared" si="8"/>
        <v/>
      </c>
      <c r="AT14" s="1270" t="str">
        <f t="shared" si="9"/>
        <v/>
      </c>
      <c r="AU14" s="1270" t="str">
        <f t="shared" si="10"/>
        <v/>
      </c>
      <c r="AV14" s="1270" t="str">
        <f t="shared" si="11"/>
        <v/>
      </c>
      <c r="AW14" s="1270" t="str">
        <f t="shared" si="12"/>
        <v/>
      </c>
      <c r="AX14" s="1270" t="str">
        <f t="shared" si="13"/>
        <v/>
      </c>
      <c r="AY14" s="1270" t="str">
        <f t="shared" si="14"/>
        <v/>
      </c>
      <c r="AZ14" s="1270" t="str">
        <f t="shared" si="15"/>
        <v/>
      </c>
      <c r="BA14" s="1270" t="str">
        <f t="shared" si="16"/>
        <v/>
      </c>
      <c r="BB14" s="1371">
        <f t="shared" si="17"/>
        <v>0</v>
      </c>
      <c r="BC14" s="1369" t="str">
        <f t="shared" si="18"/>
        <v/>
      </c>
      <c r="BD14" s="1270" t="str">
        <f t="shared" si="19"/>
        <v/>
      </c>
      <c r="BE14" s="1270" t="str">
        <f t="shared" si="20"/>
        <v/>
      </c>
      <c r="BF14" s="1270" t="str">
        <f t="shared" si="21"/>
        <v/>
      </c>
      <c r="BG14" s="1270" t="str">
        <f t="shared" si="22"/>
        <v/>
      </c>
      <c r="BH14" s="1270" t="str">
        <f t="shared" si="23"/>
        <v/>
      </c>
      <c r="BI14" s="1270" t="str">
        <f t="shared" si="24"/>
        <v/>
      </c>
      <c r="BJ14" s="1270" t="str">
        <f t="shared" si="25"/>
        <v/>
      </c>
      <c r="BK14" s="1270" t="str">
        <f t="shared" si="26"/>
        <v/>
      </c>
      <c r="BL14" s="1270" t="str">
        <f t="shared" si="27"/>
        <v/>
      </c>
      <c r="BM14" s="1371">
        <f t="shared" si="28"/>
        <v>0</v>
      </c>
      <c r="BN14" s="1372">
        <f t="shared" si="29"/>
        <v>0</v>
      </c>
      <c r="BO14" s="1372">
        <f t="shared" si="30"/>
        <v>0</v>
      </c>
      <c r="BP14" s="1372">
        <f t="shared" si="31"/>
        <v>0</v>
      </c>
      <c r="BQ14" s="1374">
        <f t="shared" si="32"/>
        <v>0</v>
      </c>
      <c r="BR14" s="1251">
        <f t="shared" si="33"/>
        <v>0</v>
      </c>
      <c r="BS14" s="1403">
        <f t="shared" si="34"/>
        <v>0</v>
      </c>
      <c r="BT14" s="1372">
        <f t="shared" si="35"/>
        <v>0</v>
      </c>
      <c r="BU14" s="1372">
        <f t="shared" si="36"/>
        <v>0</v>
      </c>
      <c r="BV14" s="1372">
        <f t="shared" si="37"/>
        <v>0</v>
      </c>
      <c r="BW14" s="1372">
        <f t="shared" si="38"/>
        <v>0</v>
      </c>
      <c r="BX14" s="1373">
        <f t="shared" si="39"/>
        <v>0</v>
      </c>
      <c r="BY14" s="1373">
        <f t="shared" si="40"/>
        <v>0</v>
      </c>
      <c r="BZ14" s="1373">
        <f t="shared" si="41"/>
        <v>0</v>
      </c>
      <c r="CA14" s="1373">
        <f t="shared" si="42"/>
        <v>0</v>
      </c>
      <c r="CB14" s="1405">
        <f t="shared" si="43"/>
        <v>0</v>
      </c>
      <c r="CC14" s="1374">
        <f t="shared" si="79"/>
        <v>0</v>
      </c>
      <c r="CD14" s="1374">
        <f t="shared" si="44"/>
        <v>0</v>
      </c>
      <c r="CE14" s="1374">
        <f t="shared" si="45"/>
        <v>0</v>
      </c>
      <c r="CF14" s="1378">
        <f t="shared" si="46"/>
        <v>0</v>
      </c>
      <c r="CG14" s="1378">
        <f t="shared" si="47"/>
        <v>0</v>
      </c>
      <c r="CH14" s="1378">
        <f t="shared" si="48"/>
        <v>0</v>
      </c>
      <c r="CI14" s="1374">
        <f t="shared" si="49"/>
        <v>0</v>
      </c>
      <c r="CJ14" s="1374">
        <f t="shared" si="50"/>
        <v>0</v>
      </c>
      <c r="CK14" s="1374" t="str">
        <f t="shared" si="51"/>
        <v/>
      </c>
      <c r="CL14" s="1374">
        <f t="shared" si="52"/>
        <v>0</v>
      </c>
      <c r="CM14" s="1379">
        <f t="shared" si="53"/>
        <v>0</v>
      </c>
      <c r="CN14" s="628">
        <f>(BS14*Pricing!F$3+BT14*Pricing!G$3+BU14*Pricing!H$3+BV14*Pricing!I$3+BW14*Pricing!J$3+BX14*Pricing!K$3)*IF(W$44="N",(1+Y$44),1)</f>
        <v>0</v>
      </c>
      <c r="CO14" s="628">
        <f t="shared" si="54"/>
        <v>0</v>
      </c>
      <c r="CP14" s="628">
        <f t="shared" si="55"/>
        <v>0</v>
      </c>
      <c r="CQ14" s="628">
        <f t="shared" si="56"/>
        <v>0</v>
      </c>
      <c r="CR14" s="628">
        <f t="shared" si="57"/>
        <v>0</v>
      </c>
      <c r="CS14" s="628"/>
      <c r="CT14" s="628">
        <f t="shared" si="58"/>
        <v>0</v>
      </c>
      <c r="CU14" s="628">
        <f t="shared" si="59"/>
        <v>0</v>
      </c>
      <c r="CV14" s="628">
        <f t="shared" si="60"/>
        <v>0</v>
      </c>
      <c r="CW14" s="628">
        <f t="shared" si="61"/>
        <v>0</v>
      </c>
      <c r="CX14" s="628">
        <f t="shared" si="62"/>
        <v>0</v>
      </c>
      <c r="CY14" s="628">
        <f t="shared" si="63"/>
        <v>0</v>
      </c>
      <c r="CZ14" s="628">
        <f t="shared" si="64"/>
        <v>0</v>
      </c>
      <c r="DA14" s="628" t="str">
        <f t="shared" si="65"/>
        <v/>
      </c>
      <c r="DB14" s="628">
        <f t="shared" si="66"/>
        <v>0</v>
      </c>
      <c r="DC14" s="628">
        <f t="shared" si="67"/>
        <v>0</v>
      </c>
      <c r="DD14" s="1382"/>
      <c r="DE14" s="626">
        <f t="shared" si="68"/>
        <v>0</v>
      </c>
      <c r="DF14" s="626">
        <f t="shared" si="69"/>
        <v>0</v>
      </c>
      <c r="DG14" s="626">
        <f t="shared" si="70"/>
        <v>0</v>
      </c>
      <c r="DH14" s="626">
        <f t="shared" si="71"/>
        <v>0</v>
      </c>
      <c r="DI14" s="626">
        <f t="shared" si="72"/>
        <v>0</v>
      </c>
      <c r="DJ14" s="626">
        <f t="shared" si="73"/>
        <v>0</v>
      </c>
      <c r="DK14" s="626">
        <f t="shared" si="74"/>
        <v>0</v>
      </c>
      <c r="DL14" s="626">
        <f t="shared" si="75"/>
        <v>0</v>
      </c>
      <c r="DM14" s="626">
        <f t="shared" si="76"/>
        <v>0</v>
      </c>
      <c r="DN14" s="626">
        <f t="shared" si="77"/>
        <v>0</v>
      </c>
      <c r="DO14" s="1405">
        <f t="shared" si="78"/>
        <v>0</v>
      </c>
    </row>
    <row r="15" spans="1:119" ht="19.5" customHeight="1">
      <c r="A15" s="2301" t="s">
        <v>1073</v>
      </c>
      <c r="B15" s="1385"/>
      <c r="C15" s="1386"/>
      <c r="D15" s="1654"/>
      <c r="E15" s="1655"/>
      <c r="F15" s="984"/>
      <c r="G15" s="1389"/>
      <c r="H15" s="984"/>
      <c r="I15" s="1389"/>
      <c r="J15" s="984"/>
      <c r="K15" s="1390"/>
      <c r="L15" s="1391"/>
      <c r="M15" s="1392"/>
      <c r="N15" s="1393"/>
      <c r="O15" s="1394"/>
      <c r="P15" s="1351">
        <f t="shared" si="0"/>
        <v>0</v>
      </c>
      <c r="Q15" s="1352">
        <f t="shared" si="1"/>
        <v>0</v>
      </c>
      <c r="R15" s="1353">
        <f t="shared" si="2"/>
        <v>0</v>
      </c>
      <c r="S15" s="1354">
        <f t="shared" si="3"/>
        <v>0</v>
      </c>
      <c r="T15" s="1355">
        <f t="shared" si="4"/>
        <v>0</v>
      </c>
      <c r="U15" s="1356">
        <f t="shared" si="5"/>
        <v>0</v>
      </c>
      <c r="V15" s="1357">
        <f t="shared" si="6"/>
        <v>0</v>
      </c>
      <c r="W15" s="1395"/>
      <c r="X15" s="1656"/>
      <c r="Y15" s="503"/>
      <c r="Z15" s="1410"/>
      <c r="AA15" s="503"/>
      <c r="AB15" s="1410"/>
      <c r="AC15" s="1398"/>
      <c r="AD15" s="1656"/>
      <c r="AE15" s="1395"/>
      <c r="AF15" s="2304"/>
      <c r="AG15" s="1431"/>
      <c r="AH15" s="2304"/>
      <c r="AI15" s="1395"/>
      <c r="AJ15" s="1656"/>
      <c r="AK15" s="1391"/>
      <c r="AL15" s="2304"/>
      <c r="AM15" s="503"/>
      <c r="AN15" s="1410"/>
      <c r="AO15" s="503"/>
      <c r="AP15" s="1410"/>
      <c r="AQ15" s="626"/>
      <c r="AR15" s="1369" t="str">
        <f t="shared" si="7"/>
        <v/>
      </c>
      <c r="AS15" s="1270" t="str">
        <f t="shared" si="8"/>
        <v/>
      </c>
      <c r="AT15" s="1270" t="str">
        <f t="shared" si="9"/>
        <v/>
      </c>
      <c r="AU15" s="1270" t="str">
        <f t="shared" si="10"/>
        <v/>
      </c>
      <c r="AV15" s="1270" t="str">
        <f t="shared" si="11"/>
        <v/>
      </c>
      <c r="AW15" s="1270" t="str">
        <f t="shared" si="12"/>
        <v/>
      </c>
      <c r="AX15" s="1270" t="str">
        <f t="shared" si="13"/>
        <v/>
      </c>
      <c r="AY15" s="1270" t="str">
        <f t="shared" si="14"/>
        <v/>
      </c>
      <c r="AZ15" s="1270" t="str">
        <f t="shared" si="15"/>
        <v/>
      </c>
      <c r="BA15" s="1270" t="str">
        <f t="shared" si="16"/>
        <v/>
      </c>
      <c r="BB15" s="1371">
        <f t="shared" si="17"/>
        <v>0</v>
      </c>
      <c r="BC15" s="1369" t="str">
        <f t="shared" si="18"/>
        <v/>
      </c>
      <c r="BD15" s="1270" t="str">
        <f t="shared" si="19"/>
        <v/>
      </c>
      <c r="BE15" s="1270" t="str">
        <f t="shared" si="20"/>
        <v/>
      </c>
      <c r="BF15" s="1270" t="str">
        <f t="shared" si="21"/>
        <v/>
      </c>
      <c r="BG15" s="1270" t="str">
        <f t="shared" si="22"/>
        <v/>
      </c>
      <c r="BH15" s="1270" t="str">
        <f t="shared" si="23"/>
        <v/>
      </c>
      <c r="BI15" s="1270" t="str">
        <f t="shared" si="24"/>
        <v/>
      </c>
      <c r="BJ15" s="1270" t="str">
        <f t="shared" si="25"/>
        <v/>
      </c>
      <c r="BK15" s="1270" t="str">
        <f t="shared" si="26"/>
        <v/>
      </c>
      <c r="BL15" s="1270" t="str">
        <f t="shared" si="27"/>
        <v/>
      </c>
      <c r="BM15" s="1371">
        <f t="shared" si="28"/>
        <v>0</v>
      </c>
      <c r="BN15" s="1372">
        <f t="shared" si="29"/>
        <v>0</v>
      </c>
      <c r="BO15" s="1372">
        <f t="shared" si="30"/>
        <v>0</v>
      </c>
      <c r="BP15" s="1372">
        <f t="shared" si="31"/>
        <v>0</v>
      </c>
      <c r="BQ15" s="1374">
        <f t="shared" si="32"/>
        <v>0</v>
      </c>
      <c r="BR15" s="1251">
        <f t="shared" si="33"/>
        <v>0</v>
      </c>
      <c r="BS15" s="1403">
        <f t="shared" si="34"/>
        <v>0</v>
      </c>
      <c r="BT15" s="1372">
        <f t="shared" si="35"/>
        <v>0</v>
      </c>
      <c r="BU15" s="1372">
        <f t="shared" si="36"/>
        <v>0</v>
      </c>
      <c r="BV15" s="1372">
        <f t="shared" si="37"/>
        <v>0</v>
      </c>
      <c r="BW15" s="1372">
        <f t="shared" si="38"/>
        <v>0</v>
      </c>
      <c r="BX15" s="1373">
        <f t="shared" si="39"/>
        <v>0</v>
      </c>
      <c r="BY15" s="1373">
        <f t="shared" si="40"/>
        <v>0</v>
      </c>
      <c r="BZ15" s="1373">
        <f t="shared" si="41"/>
        <v>0</v>
      </c>
      <c r="CA15" s="1373">
        <f t="shared" si="42"/>
        <v>0</v>
      </c>
      <c r="CB15" s="1405">
        <f t="shared" si="43"/>
        <v>0</v>
      </c>
      <c r="CC15" s="1374">
        <f t="shared" si="79"/>
        <v>0</v>
      </c>
      <c r="CD15" s="1374">
        <f t="shared" si="44"/>
        <v>0</v>
      </c>
      <c r="CE15" s="1374">
        <f t="shared" si="45"/>
        <v>0</v>
      </c>
      <c r="CF15" s="1378">
        <f t="shared" si="46"/>
        <v>0</v>
      </c>
      <c r="CG15" s="1378">
        <f t="shared" si="47"/>
        <v>0</v>
      </c>
      <c r="CH15" s="1378">
        <f t="shared" si="48"/>
        <v>0</v>
      </c>
      <c r="CI15" s="1374">
        <f t="shared" si="49"/>
        <v>0</v>
      </c>
      <c r="CJ15" s="1374">
        <f t="shared" si="50"/>
        <v>0</v>
      </c>
      <c r="CK15" s="1374" t="str">
        <f t="shared" si="51"/>
        <v/>
      </c>
      <c r="CL15" s="1374">
        <f t="shared" si="52"/>
        <v>0</v>
      </c>
      <c r="CM15" s="1379">
        <f t="shared" si="53"/>
        <v>0</v>
      </c>
      <c r="CN15" s="628">
        <f>(BS15*Pricing!F$3+BT15*Pricing!G$3+BU15*Pricing!H$3+BV15*Pricing!I$3+BW15*Pricing!J$3+BX15*Pricing!K$3)*IF(W$44="N",(1+Y$44),1)</f>
        <v>0</v>
      </c>
      <c r="CO15" s="628">
        <f t="shared" si="54"/>
        <v>0</v>
      </c>
      <c r="CP15" s="628">
        <f t="shared" si="55"/>
        <v>0</v>
      </c>
      <c r="CQ15" s="628">
        <f t="shared" si="56"/>
        <v>0</v>
      </c>
      <c r="CR15" s="628">
        <f t="shared" si="57"/>
        <v>0</v>
      </c>
      <c r="CS15" s="628"/>
      <c r="CT15" s="628">
        <f t="shared" si="58"/>
        <v>0</v>
      </c>
      <c r="CU15" s="628">
        <f t="shared" si="59"/>
        <v>0</v>
      </c>
      <c r="CV15" s="628">
        <f t="shared" si="60"/>
        <v>0</v>
      </c>
      <c r="CW15" s="628">
        <f t="shared" si="61"/>
        <v>0</v>
      </c>
      <c r="CX15" s="628">
        <f t="shared" si="62"/>
        <v>0</v>
      </c>
      <c r="CY15" s="628">
        <f t="shared" si="63"/>
        <v>0</v>
      </c>
      <c r="CZ15" s="628">
        <f t="shared" si="64"/>
        <v>0</v>
      </c>
      <c r="DA15" s="628" t="str">
        <f t="shared" si="65"/>
        <v/>
      </c>
      <c r="DB15" s="628">
        <f t="shared" si="66"/>
        <v>0</v>
      </c>
      <c r="DC15" s="628">
        <f t="shared" si="67"/>
        <v>0</v>
      </c>
      <c r="DD15" s="1382"/>
      <c r="DE15" s="626">
        <f t="shared" si="68"/>
        <v>0</v>
      </c>
      <c r="DF15" s="626">
        <f t="shared" si="69"/>
        <v>0</v>
      </c>
      <c r="DG15" s="626">
        <f t="shared" si="70"/>
        <v>0</v>
      </c>
      <c r="DH15" s="626">
        <f t="shared" si="71"/>
        <v>0</v>
      </c>
      <c r="DI15" s="626">
        <f t="shared" si="72"/>
        <v>0</v>
      </c>
      <c r="DJ15" s="626">
        <f t="shared" si="73"/>
        <v>0</v>
      </c>
      <c r="DK15" s="626">
        <f t="shared" si="74"/>
        <v>0</v>
      </c>
      <c r="DL15" s="626">
        <f t="shared" si="75"/>
        <v>0</v>
      </c>
      <c r="DM15" s="626">
        <f t="shared" si="76"/>
        <v>0</v>
      </c>
      <c r="DN15" s="626">
        <f t="shared" si="77"/>
        <v>0</v>
      </c>
      <c r="DO15" s="1405">
        <f t="shared" si="78"/>
        <v>0</v>
      </c>
    </row>
    <row r="16" spans="1:119" ht="18" customHeight="1">
      <c r="A16" s="2301" t="s">
        <v>1074</v>
      </c>
      <c r="B16" s="859"/>
      <c r="C16" s="1342"/>
      <c r="D16" s="1657"/>
      <c r="E16" s="1658"/>
      <c r="F16" s="984"/>
      <c r="G16" s="1389"/>
      <c r="H16" s="984"/>
      <c r="I16" s="1389"/>
      <c r="J16" s="984"/>
      <c r="K16" s="1390"/>
      <c r="L16" s="503"/>
      <c r="M16" s="834"/>
      <c r="N16" s="1349"/>
      <c r="O16" s="1350"/>
      <c r="P16" s="1351">
        <f t="shared" si="0"/>
        <v>0</v>
      </c>
      <c r="Q16" s="1352">
        <f t="shared" si="1"/>
        <v>0</v>
      </c>
      <c r="R16" s="1353">
        <f t="shared" si="2"/>
        <v>0</v>
      </c>
      <c r="S16" s="1354">
        <f t="shared" si="3"/>
        <v>0</v>
      </c>
      <c r="T16" s="1355">
        <f t="shared" si="4"/>
        <v>0</v>
      </c>
      <c r="U16" s="1356">
        <f t="shared" si="5"/>
        <v>0</v>
      </c>
      <c r="V16" s="1357">
        <f t="shared" si="6"/>
        <v>0</v>
      </c>
      <c r="W16" s="503"/>
      <c r="X16" s="2305"/>
      <c r="Y16" s="1347"/>
      <c r="Z16" s="1360"/>
      <c r="AA16" s="1347"/>
      <c r="AB16" s="1360"/>
      <c r="AC16" s="1421"/>
      <c r="AD16" s="2305"/>
      <c r="AE16" s="503"/>
      <c r="AF16" s="1428"/>
      <c r="AG16" s="503"/>
      <c r="AH16" s="1428"/>
      <c r="AI16" s="2"/>
      <c r="AJ16" s="1652"/>
      <c r="AK16" s="503"/>
      <c r="AL16" s="1428"/>
      <c r="AM16" s="1347"/>
      <c r="AN16" s="1360"/>
      <c r="AO16" s="1347"/>
      <c r="AP16" s="1360"/>
      <c r="AQ16" s="626"/>
      <c r="AR16" s="1369" t="str">
        <f t="shared" si="7"/>
        <v/>
      </c>
      <c r="AS16" s="1270" t="str">
        <f t="shared" si="8"/>
        <v/>
      </c>
      <c r="AT16" s="1270" t="str">
        <f t="shared" si="9"/>
        <v/>
      </c>
      <c r="AU16" s="1270" t="str">
        <f t="shared" si="10"/>
        <v/>
      </c>
      <c r="AV16" s="1270" t="str">
        <f t="shared" si="11"/>
        <v/>
      </c>
      <c r="AW16" s="1270" t="str">
        <f t="shared" si="12"/>
        <v/>
      </c>
      <c r="AX16" s="1270" t="str">
        <f t="shared" si="13"/>
        <v/>
      </c>
      <c r="AY16" s="1270" t="str">
        <f t="shared" si="14"/>
        <v/>
      </c>
      <c r="AZ16" s="1270" t="str">
        <f t="shared" si="15"/>
        <v/>
      </c>
      <c r="BA16" s="1270" t="str">
        <f t="shared" si="16"/>
        <v/>
      </c>
      <c r="BB16" s="1371">
        <f t="shared" si="17"/>
        <v>0</v>
      </c>
      <c r="BC16" s="1369" t="str">
        <f t="shared" si="18"/>
        <v/>
      </c>
      <c r="BD16" s="1270" t="str">
        <f t="shared" si="19"/>
        <v/>
      </c>
      <c r="BE16" s="1270" t="str">
        <f t="shared" si="20"/>
        <v/>
      </c>
      <c r="BF16" s="1270" t="str">
        <f t="shared" si="21"/>
        <v/>
      </c>
      <c r="BG16" s="1270" t="str">
        <f t="shared" si="22"/>
        <v/>
      </c>
      <c r="BH16" s="1270" t="str">
        <f t="shared" si="23"/>
        <v/>
      </c>
      <c r="BI16" s="1270" t="str">
        <f t="shared" si="24"/>
        <v/>
      </c>
      <c r="BJ16" s="1270" t="str">
        <f t="shared" si="25"/>
        <v/>
      </c>
      <c r="BK16" s="1270" t="str">
        <f t="shared" si="26"/>
        <v/>
      </c>
      <c r="BL16" s="1270" t="str">
        <f t="shared" si="27"/>
        <v/>
      </c>
      <c r="BM16" s="1371">
        <f t="shared" si="28"/>
        <v>0</v>
      </c>
      <c r="BN16" s="1372">
        <f t="shared" si="29"/>
        <v>0</v>
      </c>
      <c r="BO16" s="1372">
        <f t="shared" si="30"/>
        <v>0</v>
      </c>
      <c r="BP16" s="1372">
        <f t="shared" si="31"/>
        <v>0</v>
      </c>
      <c r="BQ16" s="1374">
        <f t="shared" si="32"/>
        <v>0</v>
      </c>
      <c r="BR16" s="1251">
        <f t="shared" si="33"/>
        <v>0</v>
      </c>
      <c r="BS16" s="1403">
        <f t="shared" si="34"/>
        <v>0</v>
      </c>
      <c r="BT16" s="1372">
        <f t="shared" si="35"/>
        <v>0</v>
      </c>
      <c r="BU16" s="1372">
        <f t="shared" si="36"/>
        <v>0</v>
      </c>
      <c r="BV16" s="1372">
        <f t="shared" si="37"/>
        <v>0</v>
      </c>
      <c r="BW16" s="1372">
        <f t="shared" si="38"/>
        <v>0</v>
      </c>
      <c r="BX16" s="1373">
        <f t="shared" si="39"/>
        <v>0</v>
      </c>
      <c r="BY16" s="1373">
        <f t="shared" si="40"/>
        <v>0</v>
      </c>
      <c r="BZ16" s="1373">
        <f t="shared" si="41"/>
        <v>0</v>
      </c>
      <c r="CA16" s="1373">
        <f t="shared" si="42"/>
        <v>0</v>
      </c>
      <c r="CB16" s="1405">
        <f t="shared" si="43"/>
        <v>0</v>
      </c>
      <c r="CC16" s="1374">
        <f t="shared" si="79"/>
        <v>0</v>
      </c>
      <c r="CD16" s="1374">
        <f t="shared" si="44"/>
        <v>0</v>
      </c>
      <c r="CE16" s="1374">
        <f t="shared" si="45"/>
        <v>0</v>
      </c>
      <c r="CF16" s="1378">
        <f t="shared" si="46"/>
        <v>0</v>
      </c>
      <c r="CG16" s="1378">
        <f t="shared" si="47"/>
        <v>0</v>
      </c>
      <c r="CH16" s="1378">
        <f t="shared" si="48"/>
        <v>0</v>
      </c>
      <c r="CI16" s="1374">
        <f t="shared" si="49"/>
        <v>0</v>
      </c>
      <c r="CJ16" s="1374">
        <f t="shared" si="50"/>
        <v>0</v>
      </c>
      <c r="CK16" s="1374" t="str">
        <f t="shared" si="51"/>
        <v/>
      </c>
      <c r="CL16" s="1374">
        <f t="shared" si="52"/>
        <v>0</v>
      </c>
      <c r="CM16" s="1379">
        <f t="shared" si="53"/>
        <v>0</v>
      </c>
      <c r="CN16" s="628">
        <f>(BS16*Pricing!F$3+BT16*Pricing!G$3+BU16*Pricing!H$3+BV16*Pricing!I$3+BW16*Pricing!J$3+BX16*Pricing!K$3)*IF(W$44="N",(1+Y$44),1)</f>
        <v>0</v>
      </c>
      <c r="CO16" s="628">
        <f t="shared" si="54"/>
        <v>0</v>
      </c>
      <c r="CP16" s="628">
        <f t="shared" si="55"/>
        <v>0</v>
      </c>
      <c r="CQ16" s="628">
        <f t="shared" si="56"/>
        <v>0</v>
      </c>
      <c r="CR16" s="628">
        <f t="shared" si="57"/>
        <v>0</v>
      </c>
      <c r="CS16" s="628"/>
      <c r="CT16" s="628">
        <f t="shared" si="58"/>
        <v>0</v>
      </c>
      <c r="CU16" s="628">
        <f t="shared" si="59"/>
        <v>0</v>
      </c>
      <c r="CV16" s="628">
        <f t="shared" si="60"/>
        <v>0</v>
      </c>
      <c r="CW16" s="628">
        <f t="shared" si="61"/>
        <v>0</v>
      </c>
      <c r="CX16" s="628">
        <f t="shared" si="62"/>
        <v>0</v>
      </c>
      <c r="CY16" s="628">
        <f t="shared" si="63"/>
        <v>0</v>
      </c>
      <c r="CZ16" s="628">
        <f t="shared" si="64"/>
        <v>0</v>
      </c>
      <c r="DA16" s="628" t="str">
        <f t="shared" si="65"/>
        <v/>
      </c>
      <c r="DB16" s="628">
        <f t="shared" si="66"/>
        <v>0</v>
      </c>
      <c r="DC16" s="628">
        <f t="shared" si="67"/>
        <v>0</v>
      </c>
      <c r="DD16" s="1382"/>
      <c r="DE16" s="626">
        <f t="shared" si="68"/>
        <v>0</v>
      </c>
      <c r="DF16" s="626">
        <f t="shared" si="69"/>
        <v>0</v>
      </c>
      <c r="DG16" s="626">
        <f t="shared" si="70"/>
        <v>0</v>
      </c>
      <c r="DH16" s="626">
        <f t="shared" si="71"/>
        <v>0</v>
      </c>
      <c r="DI16" s="626">
        <f t="shared" si="72"/>
        <v>0</v>
      </c>
      <c r="DJ16" s="626">
        <f t="shared" si="73"/>
        <v>0</v>
      </c>
      <c r="DK16" s="626">
        <f t="shared" si="74"/>
        <v>0</v>
      </c>
      <c r="DL16" s="626">
        <f t="shared" si="75"/>
        <v>0</v>
      </c>
      <c r="DM16" s="626">
        <f t="shared" si="76"/>
        <v>0</v>
      </c>
      <c r="DN16" s="626">
        <f t="shared" si="77"/>
        <v>0</v>
      </c>
      <c r="DO16" s="1405">
        <f t="shared" si="78"/>
        <v>0</v>
      </c>
    </row>
    <row r="17" spans="1:119" ht="19.5" customHeight="1">
      <c r="A17" s="2301" t="s">
        <v>1075</v>
      </c>
      <c r="B17" s="1385"/>
      <c r="C17" s="1386"/>
      <c r="D17" s="1387"/>
      <c r="E17" s="1388"/>
      <c r="F17" s="984"/>
      <c r="G17" s="1389"/>
      <c r="H17" s="984"/>
      <c r="I17" s="1389"/>
      <c r="J17" s="984"/>
      <c r="K17" s="1390"/>
      <c r="L17" s="1395"/>
      <c r="M17" s="1392"/>
      <c r="N17" s="1393"/>
      <c r="O17" s="1394"/>
      <c r="P17" s="1351">
        <f t="shared" si="0"/>
        <v>0</v>
      </c>
      <c r="Q17" s="1352">
        <f t="shared" si="1"/>
        <v>0</v>
      </c>
      <c r="R17" s="1353">
        <f t="shared" si="2"/>
        <v>0</v>
      </c>
      <c r="S17" s="1354">
        <f t="shared" si="3"/>
        <v>0</v>
      </c>
      <c r="T17" s="1355">
        <f t="shared" si="4"/>
        <v>0</v>
      </c>
      <c r="U17" s="1356">
        <f t="shared" si="5"/>
        <v>0</v>
      </c>
      <c r="V17" s="1357">
        <f t="shared" si="6"/>
        <v>0</v>
      </c>
      <c r="W17" s="1395"/>
      <c r="X17" s="1656"/>
      <c r="Y17" s="1395"/>
      <c r="Z17" s="1397"/>
      <c r="AA17" s="1395"/>
      <c r="AB17" s="1397"/>
      <c r="AC17" s="1659"/>
      <c r="AD17" s="1656"/>
      <c r="AE17" s="1395"/>
      <c r="AF17" s="2304"/>
      <c r="AG17" s="1431"/>
      <c r="AH17" s="2304"/>
      <c r="AI17" s="1395"/>
      <c r="AJ17" s="1656"/>
      <c r="AK17" s="1395"/>
      <c r="AL17" s="2304"/>
      <c r="AM17" s="1395"/>
      <c r="AN17" s="1397"/>
      <c r="AO17" s="1395"/>
      <c r="AP17" s="1397"/>
      <c r="AQ17" s="626"/>
      <c r="AR17" s="1369" t="str">
        <f t="shared" si="7"/>
        <v/>
      </c>
      <c r="AS17" s="1270" t="str">
        <f t="shared" si="8"/>
        <v/>
      </c>
      <c r="AT17" s="1270" t="str">
        <f t="shared" si="9"/>
        <v/>
      </c>
      <c r="AU17" s="1270" t="str">
        <f t="shared" si="10"/>
        <v/>
      </c>
      <c r="AV17" s="1270" t="str">
        <f t="shared" si="11"/>
        <v/>
      </c>
      <c r="AW17" s="1270" t="str">
        <f t="shared" si="12"/>
        <v/>
      </c>
      <c r="AX17" s="1270" t="str">
        <f t="shared" si="13"/>
        <v/>
      </c>
      <c r="AY17" s="1270" t="str">
        <f t="shared" si="14"/>
        <v/>
      </c>
      <c r="AZ17" s="1270" t="str">
        <f t="shared" si="15"/>
        <v/>
      </c>
      <c r="BA17" s="1270" t="str">
        <f t="shared" si="16"/>
        <v/>
      </c>
      <c r="BB17" s="1371">
        <f t="shared" si="17"/>
        <v>0</v>
      </c>
      <c r="BC17" s="1369" t="str">
        <f t="shared" si="18"/>
        <v/>
      </c>
      <c r="BD17" s="1270" t="str">
        <f t="shared" si="19"/>
        <v/>
      </c>
      <c r="BE17" s="1270" t="str">
        <f t="shared" si="20"/>
        <v/>
      </c>
      <c r="BF17" s="1270" t="str">
        <f t="shared" si="21"/>
        <v/>
      </c>
      <c r="BG17" s="1270" t="str">
        <f t="shared" si="22"/>
        <v/>
      </c>
      <c r="BH17" s="1270" t="str">
        <f t="shared" si="23"/>
        <v/>
      </c>
      <c r="BI17" s="1270" t="str">
        <f t="shared" si="24"/>
        <v/>
      </c>
      <c r="BJ17" s="1270" t="str">
        <f t="shared" si="25"/>
        <v/>
      </c>
      <c r="BK17" s="1270" t="str">
        <f t="shared" si="26"/>
        <v/>
      </c>
      <c r="BL17" s="1270" t="str">
        <f t="shared" si="27"/>
        <v/>
      </c>
      <c r="BM17" s="1371">
        <f t="shared" si="28"/>
        <v>0</v>
      </c>
      <c r="BN17" s="1372">
        <f t="shared" si="29"/>
        <v>0</v>
      </c>
      <c r="BO17" s="1372">
        <f t="shared" si="30"/>
        <v>0</v>
      </c>
      <c r="BP17" s="1372">
        <f t="shared" si="31"/>
        <v>0</v>
      </c>
      <c r="BQ17" s="1374">
        <f t="shared" si="32"/>
        <v>0</v>
      </c>
      <c r="BR17" s="1251">
        <f t="shared" si="33"/>
        <v>0</v>
      </c>
      <c r="BS17" s="1403">
        <f t="shared" si="34"/>
        <v>0</v>
      </c>
      <c r="BT17" s="1372">
        <f t="shared" si="35"/>
        <v>0</v>
      </c>
      <c r="BU17" s="1372">
        <f t="shared" si="36"/>
        <v>0</v>
      </c>
      <c r="BV17" s="1372">
        <f t="shared" si="37"/>
        <v>0</v>
      </c>
      <c r="BW17" s="1372">
        <f t="shared" si="38"/>
        <v>0</v>
      </c>
      <c r="BX17" s="1373">
        <f t="shared" si="39"/>
        <v>0</v>
      </c>
      <c r="BY17" s="1373">
        <f t="shared" si="40"/>
        <v>0</v>
      </c>
      <c r="BZ17" s="1373">
        <f t="shared" si="41"/>
        <v>0</v>
      </c>
      <c r="CA17" s="1373">
        <f t="shared" si="42"/>
        <v>0</v>
      </c>
      <c r="CB17" s="1405">
        <f t="shared" si="43"/>
        <v>0</v>
      </c>
      <c r="CC17" s="1374">
        <f t="shared" si="79"/>
        <v>0</v>
      </c>
      <c r="CD17" s="1374">
        <f t="shared" si="44"/>
        <v>0</v>
      </c>
      <c r="CE17" s="1374">
        <f t="shared" si="45"/>
        <v>0</v>
      </c>
      <c r="CF17" s="1378">
        <f t="shared" si="46"/>
        <v>0</v>
      </c>
      <c r="CG17" s="1378">
        <f t="shared" si="47"/>
        <v>0</v>
      </c>
      <c r="CH17" s="1378">
        <f t="shared" si="48"/>
        <v>0</v>
      </c>
      <c r="CI17" s="1374">
        <f t="shared" si="49"/>
        <v>0</v>
      </c>
      <c r="CJ17" s="1374">
        <f t="shared" si="50"/>
        <v>0</v>
      </c>
      <c r="CK17" s="1374" t="str">
        <f t="shared" si="51"/>
        <v/>
      </c>
      <c r="CL17" s="1374">
        <f t="shared" si="52"/>
        <v>0</v>
      </c>
      <c r="CM17" s="1379">
        <f t="shared" si="53"/>
        <v>0</v>
      </c>
      <c r="CN17" s="628">
        <f>(BS17*Pricing!F$3+BT17*Pricing!G$3+BU17*Pricing!H$3+BV17*Pricing!I$3+BW17*Pricing!J$3+BX17*Pricing!K$3)*IF(W$44="N",(1+Y$44),1)</f>
        <v>0</v>
      </c>
      <c r="CO17" s="628">
        <f t="shared" si="54"/>
        <v>0</v>
      </c>
      <c r="CP17" s="628">
        <f t="shared" si="55"/>
        <v>0</v>
      </c>
      <c r="CQ17" s="628">
        <f t="shared" si="56"/>
        <v>0</v>
      </c>
      <c r="CR17" s="628">
        <f t="shared" si="57"/>
        <v>0</v>
      </c>
      <c r="CS17" s="628"/>
      <c r="CT17" s="628">
        <f t="shared" si="58"/>
        <v>0</v>
      </c>
      <c r="CU17" s="628">
        <f t="shared" si="59"/>
        <v>0</v>
      </c>
      <c r="CV17" s="628">
        <f t="shared" si="60"/>
        <v>0</v>
      </c>
      <c r="CW17" s="628">
        <f t="shared" si="61"/>
        <v>0</v>
      </c>
      <c r="CX17" s="628">
        <f t="shared" si="62"/>
        <v>0</v>
      </c>
      <c r="CY17" s="628">
        <f t="shared" si="63"/>
        <v>0</v>
      </c>
      <c r="CZ17" s="628">
        <f t="shared" si="64"/>
        <v>0</v>
      </c>
      <c r="DA17" s="628" t="str">
        <f t="shared" si="65"/>
        <v/>
      </c>
      <c r="DB17" s="628">
        <f t="shared" si="66"/>
        <v>0</v>
      </c>
      <c r="DC17" s="628">
        <f t="shared" si="67"/>
        <v>0</v>
      </c>
      <c r="DD17" s="1382"/>
      <c r="DE17" s="626">
        <f t="shared" si="68"/>
        <v>0</v>
      </c>
      <c r="DF17" s="626">
        <f t="shared" si="69"/>
        <v>0</v>
      </c>
      <c r="DG17" s="626">
        <f t="shared" si="70"/>
        <v>0</v>
      </c>
      <c r="DH17" s="626">
        <f t="shared" si="71"/>
        <v>0</v>
      </c>
      <c r="DI17" s="626">
        <f t="shared" si="72"/>
        <v>0</v>
      </c>
      <c r="DJ17" s="626">
        <f t="shared" si="73"/>
        <v>0</v>
      </c>
      <c r="DK17" s="626">
        <f t="shared" si="74"/>
        <v>0</v>
      </c>
      <c r="DL17" s="626">
        <f t="shared" si="75"/>
        <v>0</v>
      </c>
      <c r="DM17" s="626">
        <f t="shared" si="76"/>
        <v>0</v>
      </c>
      <c r="DN17" s="626">
        <f t="shared" si="77"/>
        <v>0</v>
      </c>
      <c r="DO17" s="1405">
        <f t="shared" si="78"/>
        <v>0</v>
      </c>
    </row>
    <row r="18" spans="1:119" ht="19.5" customHeight="1">
      <c r="A18" s="2301" t="s">
        <v>1076</v>
      </c>
      <c r="B18" s="859"/>
      <c r="C18" s="1342"/>
      <c r="D18" s="1422"/>
      <c r="E18" s="1423"/>
      <c r="F18" s="984"/>
      <c r="G18" s="1345"/>
      <c r="H18" s="984"/>
      <c r="I18" s="1345"/>
      <c r="J18" s="984"/>
      <c r="K18" s="1346"/>
      <c r="L18" s="503"/>
      <c r="M18" s="834"/>
      <c r="N18" s="1349"/>
      <c r="O18" s="1350"/>
      <c r="P18" s="1351">
        <f t="shared" si="0"/>
        <v>0</v>
      </c>
      <c r="Q18" s="1352">
        <f t="shared" si="1"/>
        <v>0</v>
      </c>
      <c r="R18" s="1353">
        <f t="shared" si="2"/>
        <v>0</v>
      </c>
      <c r="S18" s="1354">
        <f t="shared" si="3"/>
        <v>0</v>
      </c>
      <c r="T18" s="1355">
        <f t="shared" si="4"/>
        <v>0</v>
      </c>
      <c r="U18" s="1356">
        <f t="shared" si="5"/>
        <v>0</v>
      </c>
      <c r="V18" s="1357">
        <f t="shared" si="6"/>
        <v>0</v>
      </c>
      <c r="W18" s="503"/>
      <c r="X18" s="2305"/>
      <c r="Y18" s="503"/>
      <c r="Z18" s="1410"/>
      <c r="AA18" s="503"/>
      <c r="AB18" s="1410"/>
      <c r="AC18" s="1421"/>
      <c r="AD18" s="2305"/>
      <c r="AE18" s="503"/>
      <c r="AF18" s="1428"/>
      <c r="AG18" s="503"/>
      <c r="AH18" s="1428"/>
      <c r="AI18" s="2"/>
      <c r="AJ18" s="1652"/>
      <c r="AK18" s="503"/>
      <c r="AL18" s="1428"/>
      <c r="AM18" s="503"/>
      <c r="AN18" s="1410"/>
      <c r="AO18" s="503"/>
      <c r="AP18" s="1410"/>
      <c r="AQ18" s="626"/>
      <c r="AR18" s="1369" t="str">
        <f t="shared" si="7"/>
        <v/>
      </c>
      <c r="AS18" s="1270" t="str">
        <f t="shared" si="8"/>
        <v/>
      </c>
      <c r="AT18" s="1270" t="str">
        <f t="shared" si="9"/>
        <v/>
      </c>
      <c r="AU18" s="1270" t="str">
        <f t="shared" si="10"/>
        <v/>
      </c>
      <c r="AV18" s="1270" t="str">
        <f t="shared" si="11"/>
        <v/>
      </c>
      <c r="AW18" s="1270" t="str">
        <f t="shared" si="12"/>
        <v/>
      </c>
      <c r="AX18" s="1270" t="str">
        <f t="shared" si="13"/>
        <v/>
      </c>
      <c r="AY18" s="1270" t="str">
        <f t="shared" si="14"/>
        <v/>
      </c>
      <c r="AZ18" s="1270" t="str">
        <f t="shared" si="15"/>
        <v/>
      </c>
      <c r="BA18" s="1270" t="str">
        <f t="shared" si="16"/>
        <v/>
      </c>
      <c r="BB18" s="1371">
        <f t="shared" si="17"/>
        <v>0</v>
      </c>
      <c r="BC18" s="1369" t="str">
        <f t="shared" si="18"/>
        <v/>
      </c>
      <c r="BD18" s="1270" t="str">
        <f t="shared" si="19"/>
        <v/>
      </c>
      <c r="BE18" s="1270" t="str">
        <f t="shared" si="20"/>
        <v/>
      </c>
      <c r="BF18" s="1270" t="str">
        <f t="shared" si="21"/>
        <v/>
      </c>
      <c r="BG18" s="1270" t="str">
        <f t="shared" si="22"/>
        <v/>
      </c>
      <c r="BH18" s="1270" t="str">
        <f t="shared" si="23"/>
        <v/>
      </c>
      <c r="BI18" s="1270" t="str">
        <f t="shared" si="24"/>
        <v/>
      </c>
      <c r="BJ18" s="1270" t="str">
        <f t="shared" si="25"/>
        <v/>
      </c>
      <c r="BK18" s="1270" t="str">
        <f t="shared" si="26"/>
        <v/>
      </c>
      <c r="BL18" s="1270" t="str">
        <f t="shared" si="27"/>
        <v/>
      </c>
      <c r="BM18" s="1371">
        <f t="shared" si="28"/>
        <v>0</v>
      </c>
      <c r="BN18" s="1372">
        <f t="shared" si="29"/>
        <v>0</v>
      </c>
      <c r="BO18" s="1372">
        <f t="shared" si="30"/>
        <v>0</v>
      </c>
      <c r="BP18" s="1372">
        <f t="shared" si="31"/>
        <v>0</v>
      </c>
      <c r="BQ18" s="1374">
        <f t="shared" si="32"/>
        <v>0</v>
      </c>
      <c r="BR18" s="1251">
        <f t="shared" si="33"/>
        <v>0</v>
      </c>
      <c r="BS18" s="1403">
        <f t="shared" si="34"/>
        <v>0</v>
      </c>
      <c r="BT18" s="1372">
        <f t="shared" si="35"/>
        <v>0</v>
      </c>
      <c r="BU18" s="1372">
        <f t="shared" si="36"/>
        <v>0</v>
      </c>
      <c r="BV18" s="1372">
        <f t="shared" si="37"/>
        <v>0</v>
      </c>
      <c r="BW18" s="1372">
        <f t="shared" si="38"/>
        <v>0</v>
      </c>
      <c r="BX18" s="1373">
        <f t="shared" si="39"/>
        <v>0</v>
      </c>
      <c r="BY18" s="1373">
        <f t="shared" si="40"/>
        <v>0</v>
      </c>
      <c r="BZ18" s="1373">
        <f t="shared" si="41"/>
        <v>0</v>
      </c>
      <c r="CA18" s="1373">
        <f t="shared" si="42"/>
        <v>0</v>
      </c>
      <c r="CB18" s="1405">
        <f t="shared" si="43"/>
        <v>0</v>
      </c>
      <c r="CC18" s="1374">
        <f t="shared" si="79"/>
        <v>0</v>
      </c>
      <c r="CD18" s="1374">
        <f t="shared" si="44"/>
        <v>0</v>
      </c>
      <c r="CE18" s="1374">
        <f t="shared" si="45"/>
        <v>0</v>
      </c>
      <c r="CF18" s="1378">
        <f t="shared" si="46"/>
        <v>0</v>
      </c>
      <c r="CG18" s="1378">
        <f t="shared" si="47"/>
        <v>0</v>
      </c>
      <c r="CH18" s="1378">
        <f t="shared" si="48"/>
        <v>0</v>
      </c>
      <c r="CI18" s="1374">
        <f t="shared" si="49"/>
        <v>0</v>
      </c>
      <c r="CJ18" s="1374">
        <f t="shared" si="50"/>
        <v>0</v>
      </c>
      <c r="CK18" s="1374" t="str">
        <f t="shared" si="51"/>
        <v/>
      </c>
      <c r="CL18" s="1374">
        <f t="shared" si="52"/>
        <v>0</v>
      </c>
      <c r="CM18" s="1379">
        <f t="shared" si="53"/>
        <v>0</v>
      </c>
      <c r="CN18" s="628">
        <f>(BS18*Pricing!F$3+BT18*Pricing!G$3+BU18*Pricing!H$3+BV18*Pricing!I$3+BW18*Pricing!J$3+BX18*Pricing!K$3)*IF(W$44="N",(1+Y$44),1)</f>
        <v>0</v>
      </c>
      <c r="CO18" s="628">
        <f t="shared" si="54"/>
        <v>0</v>
      </c>
      <c r="CP18" s="628">
        <f t="shared" si="55"/>
        <v>0</v>
      </c>
      <c r="CQ18" s="628">
        <f t="shared" si="56"/>
        <v>0</v>
      </c>
      <c r="CR18" s="628">
        <f t="shared" si="57"/>
        <v>0</v>
      </c>
      <c r="CS18" s="628"/>
      <c r="CT18" s="628">
        <f t="shared" si="58"/>
        <v>0</v>
      </c>
      <c r="CU18" s="628">
        <f t="shared" si="59"/>
        <v>0</v>
      </c>
      <c r="CV18" s="628">
        <f t="shared" si="60"/>
        <v>0</v>
      </c>
      <c r="CW18" s="628">
        <f t="shared" si="61"/>
        <v>0</v>
      </c>
      <c r="CX18" s="628">
        <f t="shared" si="62"/>
        <v>0</v>
      </c>
      <c r="CY18" s="628">
        <f t="shared" si="63"/>
        <v>0</v>
      </c>
      <c r="CZ18" s="628">
        <f t="shared" si="64"/>
        <v>0</v>
      </c>
      <c r="DA18" s="628" t="str">
        <f t="shared" si="65"/>
        <v/>
      </c>
      <c r="DB18" s="628">
        <f t="shared" si="66"/>
        <v>0</v>
      </c>
      <c r="DC18" s="628">
        <f t="shared" si="67"/>
        <v>0</v>
      </c>
      <c r="DD18" s="1382"/>
      <c r="DE18" s="626">
        <f t="shared" si="68"/>
        <v>0</v>
      </c>
      <c r="DF18" s="626">
        <f t="shared" si="69"/>
        <v>0</v>
      </c>
      <c r="DG18" s="626">
        <f t="shared" si="70"/>
        <v>0</v>
      </c>
      <c r="DH18" s="626">
        <f t="shared" si="71"/>
        <v>0</v>
      </c>
      <c r="DI18" s="626">
        <f t="shared" si="72"/>
        <v>0</v>
      </c>
      <c r="DJ18" s="626">
        <f t="shared" si="73"/>
        <v>0</v>
      </c>
      <c r="DK18" s="626">
        <f t="shared" si="74"/>
        <v>0</v>
      </c>
      <c r="DL18" s="626">
        <f t="shared" si="75"/>
        <v>0</v>
      </c>
      <c r="DM18" s="626">
        <f t="shared" si="76"/>
        <v>0</v>
      </c>
      <c r="DN18" s="626">
        <f t="shared" si="77"/>
        <v>0</v>
      </c>
      <c r="DO18" s="1405">
        <f t="shared" si="78"/>
        <v>0</v>
      </c>
    </row>
    <row r="19" spans="1:119" ht="19.5" customHeight="1">
      <c r="A19" s="2301" t="s">
        <v>1342</v>
      </c>
      <c r="B19" s="1385"/>
      <c r="C19" s="1386"/>
      <c r="D19" s="1387"/>
      <c r="E19" s="1388"/>
      <c r="F19" s="984"/>
      <c r="G19" s="1389"/>
      <c r="H19" s="984"/>
      <c r="I19" s="1389"/>
      <c r="J19" s="984"/>
      <c r="K19" s="1390"/>
      <c r="L19" s="1395"/>
      <c r="M19" s="1392"/>
      <c r="N19" s="1393"/>
      <c r="O19" s="1394"/>
      <c r="P19" s="1351">
        <f t="shared" si="0"/>
        <v>0</v>
      </c>
      <c r="Q19" s="1352">
        <f t="shared" si="1"/>
        <v>0</v>
      </c>
      <c r="R19" s="1353">
        <f t="shared" si="2"/>
        <v>0</v>
      </c>
      <c r="S19" s="1354">
        <f t="shared" si="3"/>
        <v>0</v>
      </c>
      <c r="T19" s="1355">
        <f t="shared" si="4"/>
        <v>0</v>
      </c>
      <c r="U19" s="1356">
        <f t="shared" si="5"/>
        <v>0</v>
      </c>
      <c r="V19" s="1357">
        <f t="shared" si="6"/>
        <v>0</v>
      </c>
      <c r="W19" s="1395"/>
      <c r="X19" s="1656"/>
      <c r="Y19" s="1395"/>
      <c r="Z19" s="1413"/>
      <c r="AA19" s="1395"/>
      <c r="AB19" s="1413"/>
      <c r="AC19" s="1398"/>
      <c r="AD19" s="1656"/>
      <c r="AE19" s="1395"/>
      <c r="AF19" s="2304"/>
      <c r="AG19" s="1431"/>
      <c r="AH19" s="2304"/>
      <c r="AI19" s="1395"/>
      <c r="AJ19" s="1656"/>
      <c r="AK19" s="1395"/>
      <c r="AL19" s="2304"/>
      <c r="AM19" s="1395"/>
      <c r="AN19" s="1413"/>
      <c r="AO19" s="1395"/>
      <c r="AP19" s="1413"/>
      <c r="AQ19" s="626"/>
      <c r="AR19" s="1369" t="str">
        <f t="shared" si="7"/>
        <v/>
      </c>
      <c r="AS19" s="1270" t="str">
        <f t="shared" si="8"/>
        <v/>
      </c>
      <c r="AT19" s="1270" t="str">
        <f t="shared" si="9"/>
        <v/>
      </c>
      <c r="AU19" s="1270" t="str">
        <f t="shared" si="10"/>
        <v/>
      </c>
      <c r="AV19" s="1270" t="str">
        <f t="shared" si="11"/>
        <v/>
      </c>
      <c r="AW19" s="1270" t="str">
        <f t="shared" si="12"/>
        <v/>
      </c>
      <c r="AX19" s="1270" t="str">
        <f t="shared" si="13"/>
        <v/>
      </c>
      <c r="AY19" s="1270" t="str">
        <f t="shared" si="14"/>
        <v/>
      </c>
      <c r="AZ19" s="1270" t="str">
        <f t="shared" si="15"/>
        <v/>
      </c>
      <c r="BA19" s="1270" t="str">
        <f t="shared" si="16"/>
        <v/>
      </c>
      <c r="BB19" s="1371">
        <f t="shared" si="17"/>
        <v>0</v>
      </c>
      <c r="BC19" s="1369" t="str">
        <f t="shared" si="18"/>
        <v/>
      </c>
      <c r="BD19" s="1270" t="str">
        <f t="shared" si="19"/>
        <v/>
      </c>
      <c r="BE19" s="1270" t="str">
        <f t="shared" si="20"/>
        <v/>
      </c>
      <c r="BF19" s="1270" t="str">
        <f t="shared" si="21"/>
        <v/>
      </c>
      <c r="BG19" s="1270" t="str">
        <f t="shared" si="22"/>
        <v/>
      </c>
      <c r="BH19" s="1270" t="str">
        <f t="shared" si="23"/>
        <v/>
      </c>
      <c r="BI19" s="1270" t="str">
        <f t="shared" si="24"/>
        <v/>
      </c>
      <c r="BJ19" s="1270" t="str">
        <f t="shared" si="25"/>
        <v/>
      </c>
      <c r="BK19" s="1270" t="str">
        <f t="shared" si="26"/>
        <v/>
      </c>
      <c r="BL19" s="1270" t="str">
        <f t="shared" si="27"/>
        <v/>
      </c>
      <c r="BM19" s="1371">
        <f t="shared" si="28"/>
        <v>0</v>
      </c>
      <c r="BN19" s="1372">
        <f t="shared" si="29"/>
        <v>0</v>
      </c>
      <c r="BO19" s="1372">
        <f t="shared" si="30"/>
        <v>0</v>
      </c>
      <c r="BP19" s="1372">
        <f t="shared" si="31"/>
        <v>0</v>
      </c>
      <c r="BQ19" s="1374">
        <f t="shared" si="32"/>
        <v>0</v>
      </c>
      <c r="BR19" s="1251">
        <f t="shared" si="33"/>
        <v>0</v>
      </c>
      <c r="BS19" s="1403">
        <f t="shared" si="34"/>
        <v>0</v>
      </c>
      <c r="BT19" s="1372">
        <f t="shared" si="35"/>
        <v>0</v>
      </c>
      <c r="BU19" s="1372">
        <f t="shared" si="36"/>
        <v>0</v>
      </c>
      <c r="BV19" s="1372">
        <f t="shared" si="37"/>
        <v>0</v>
      </c>
      <c r="BW19" s="1372">
        <f t="shared" si="38"/>
        <v>0</v>
      </c>
      <c r="BX19" s="1373">
        <f t="shared" si="39"/>
        <v>0</v>
      </c>
      <c r="BY19" s="1373">
        <f t="shared" si="40"/>
        <v>0</v>
      </c>
      <c r="BZ19" s="1373">
        <f t="shared" si="41"/>
        <v>0</v>
      </c>
      <c r="CA19" s="1373">
        <f t="shared" si="42"/>
        <v>0</v>
      </c>
      <c r="CB19" s="1405">
        <f t="shared" si="43"/>
        <v>0</v>
      </c>
      <c r="CC19" s="1374">
        <f t="shared" si="79"/>
        <v>0</v>
      </c>
      <c r="CD19" s="1374">
        <f t="shared" si="44"/>
        <v>0</v>
      </c>
      <c r="CE19" s="1374">
        <f t="shared" si="45"/>
        <v>0</v>
      </c>
      <c r="CF19" s="1378">
        <f t="shared" si="46"/>
        <v>0</v>
      </c>
      <c r="CG19" s="1378">
        <f t="shared" si="47"/>
        <v>0</v>
      </c>
      <c r="CH19" s="1378">
        <f t="shared" si="48"/>
        <v>0</v>
      </c>
      <c r="CI19" s="1374">
        <f t="shared" si="49"/>
        <v>0</v>
      </c>
      <c r="CJ19" s="1374">
        <f t="shared" si="50"/>
        <v>0</v>
      </c>
      <c r="CK19" s="1374" t="str">
        <f t="shared" si="51"/>
        <v/>
      </c>
      <c r="CL19" s="1374">
        <f t="shared" si="52"/>
        <v>0</v>
      </c>
      <c r="CM19" s="1379">
        <f t="shared" si="53"/>
        <v>0</v>
      </c>
      <c r="CN19" s="628">
        <f>(BS19*Pricing!F$3+BT19*Pricing!G$3+BU19*Pricing!H$3+BV19*Pricing!I$3+BW19*Pricing!J$3+BX19*Pricing!K$3)*IF(W$44="N",(1+Y$44),1)</f>
        <v>0</v>
      </c>
      <c r="CO19" s="628">
        <f t="shared" si="54"/>
        <v>0</v>
      </c>
      <c r="CP19" s="628">
        <f t="shared" si="55"/>
        <v>0</v>
      </c>
      <c r="CQ19" s="628">
        <f t="shared" si="56"/>
        <v>0</v>
      </c>
      <c r="CR19" s="628">
        <f t="shared" si="57"/>
        <v>0</v>
      </c>
      <c r="CS19" s="628"/>
      <c r="CT19" s="628">
        <f t="shared" si="58"/>
        <v>0</v>
      </c>
      <c r="CU19" s="628">
        <f t="shared" si="59"/>
        <v>0</v>
      </c>
      <c r="CV19" s="628">
        <f t="shared" si="60"/>
        <v>0</v>
      </c>
      <c r="CW19" s="628">
        <f t="shared" si="61"/>
        <v>0</v>
      </c>
      <c r="CX19" s="628">
        <f t="shared" si="62"/>
        <v>0</v>
      </c>
      <c r="CY19" s="628">
        <f t="shared" si="63"/>
        <v>0</v>
      </c>
      <c r="CZ19" s="628">
        <f t="shared" si="64"/>
        <v>0</v>
      </c>
      <c r="DA19" s="628" t="str">
        <f t="shared" si="65"/>
        <v/>
      </c>
      <c r="DB19" s="628">
        <f t="shared" si="66"/>
        <v>0</v>
      </c>
      <c r="DC19" s="628">
        <f t="shared" si="67"/>
        <v>0</v>
      </c>
      <c r="DD19" s="1382"/>
      <c r="DE19" s="626">
        <f t="shared" si="68"/>
        <v>0</v>
      </c>
      <c r="DF19" s="626">
        <f t="shared" si="69"/>
        <v>0</v>
      </c>
      <c r="DG19" s="626">
        <f t="shared" si="70"/>
        <v>0</v>
      </c>
      <c r="DH19" s="626">
        <f t="shared" si="71"/>
        <v>0</v>
      </c>
      <c r="DI19" s="626">
        <f t="shared" si="72"/>
        <v>0</v>
      </c>
      <c r="DJ19" s="626">
        <f t="shared" si="73"/>
        <v>0</v>
      </c>
      <c r="DK19" s="626">
        <f t="shared" si="74"/>
        <v>0</v>
      </c>
      <c r="DL19" s="626">
        <f t="shared" si="75"/>
        <v>0</v>
      </c>
      <c r="DM19" s="626">
        <f t="shared" si="76"/>
        <v>0</v>
      </c>
      <c r="DN19" s="626">
        <f t="shared" si="77"/>
        <v>0</v>
      </c>
      <c r="DO19" s="1405">
        <f t="shared" si="78"/>
        <v>0</v>
      </c>
    </row>
    <row r="20" spans="1:119" ht="19.5" customHeight="1">
      <c r="A20" s="2301" t="s">
        <v>1451</v>
      </c>
      <c r="B20" s="859"/>
      <c r="C20" s="1342"/>
      <c r="D20" s="1422"/>
      <c r="E20" s="1423"/>
      <c r="F20" s="984"/>
      <c r="G20" s="1345"/>
      <c r="H20" s="984"/>
      <c r="I20" s="1345"/>
      <c r="J20" s="984"/>
      <c r="K20" s="1346"/>
      <c r="L20" s="503"/>
      <c r="M20" s="834"/>
      <c r="N20" s="1349"/>
      <c r="O20" s="1350"/>
      <c r="P20" s="1351">
        <f t="shared" si="0"/>
        <v>0</v>
      </c>
      <c r="Q20" s="1352">
        <f t="shared" si="1"/>
        <v>0</v>
      </c>
      <c r="R20" s="1353">
        <f t="shared" si="2"/>
        <v>0</v>
      </c>
      <c r="S20" s="1354">
        <f t="shared" si="3"/>
        <v>0</v>
      </c>
      <c r="T20" s="1355">
        <f t="shared" si="4"/>
        <v>0</v>
      </c>
      <c r="U20" s="1356">
        <f t="shared" si="5"/>
        <v>0</v>
      </c>
      <c r="V20" s="1357">
        <f t="shared" si="6"/>
        <v>0</v>
      </c>
      <c r="W20" s="503"/>
      <c r="X20" s="2305"/>
      <c r="Y20" s="503"/>
      <c r="Z20" s="1415"/>
      <c r="AA20" s="503"/>
      <c r="AB20" s="1415"/>
      <c r="AC20" s="1361"/>
      <c r="AD20" s="2305"/>
      <c r="AE20" s="1347"/>
      <c r="AF20" s="1428"/>
      <c r="AG20" s="1429"/>
      <c r="AH20" s="1428"/>
      <c r="AI20" s="2"/>
      <c r="AJ20" s="1652"/>
      <c r="AK20" s="503"/>
      <c r="AL20" s="1428"/>
      <c r="AM20" s="503"/>
      <c r="AN20" s="1415"/>
      <c r="AO20" s="503"/>
      <c r="AP20" s="1415"/>
      <c r="AQ20" s="626"/>
      <c r="AR20" s="1369" t="str">
        <f t="shared" si="7"/>
        <v/>
      </c>
      <c r="AS20" s="1270" t="str">
        <f t="shared" si="8"/>
        <v/>
      </c>
      <c r="AT20" s="1270" t="str">
        <f t="shared" si="9"/>
        <v/>
      </c>
      <c r="AU20" s="1270" t="str">
        <f t="shared" si="10"/>
        <v/>
      </c>
      <c r="AV20" s="1270" t="str">
        <f t="shared" si="11"/>
        <v/>
      </c>
      <c r="AW20" s="1270" t="str">
        <f t="shared" si="12"/>
        <v/>
      </c>
      <c r="AX20" s="1270" t="str">
        <f t="shared" si="13"/>
        <v/>
      </c>
      <c r="AY20" s="1270" t="str">
        <f t="shared" si="14"/>
        <v/>
      </c>
      <c r="AZ20" s="1270" t="str">
        <f t="shared" si="15"/>
        <v/>
      </c>
      <c r="BA20" s="1270" t="str">
        <f t="shared" si="16"/>
        <v/>
      </c>
      <c r="BB20" s="1371">
        <f t="shared" si="17"/>
        <v>0</v>
      </c>
      <c r="BC20" s="1369" t="str">
        <f t="shared" si="18"/>
        <v/>
      </c>
      <c r="BD20" s="1270" t="str">
        <f t="shared" si="19"/>
        <v/>
      </c>
      <c r="BE20" s="1270" t="str">
        <f t="shared" si="20"/>
        <v/>
      </c>
      <c r="BF20" s="1270" t="str">
        <f t="shared" si="21"/>
        <v/>
      </c>
      <c r="BG20" s="1270" t="str">
        <f t="shared" si="22"/>
        <v/>
      </c>
      <c r="BH20" s="1270" t="str">
        <f t="shared" si="23"/>
        <v/>
      </c>
      <c r="BI20" s="1270" t="str">
        <f t="shared" si="24"/>
        <v/>
      </c>
      <c r="BJ20" s="1270" t="str">
        <f t="shared" si="25"/>
        <v/>
      </c>
      <c r="BK20" s="1270" t="str">
        <f t="shared" si="26"/>
        <v/>
      </c>
      <c r="BL20" s="1270" t="str">
        <f t="shared" si="27"/>
        <v/>
      </c>
      <c r="BM20" s="1371">
        <f t="shared" si="28"/>
        <v>0</v>
      </c>
      <c r="BN20" s="1372">
        <f t="shared" si="29"/>
        <v>0</v>
      </c>
      <c r="BO20" s="1372">
        <f t="shared" si="30"/>
        <v>0</v>
      </c>
      <c r="BP20" s="1372">
        <f t="shared" si="31"/>
        <v>0</v>
      </c>
      <c r="BQ20" s="1374">
        <f t="shared" si="32"/>
        <v>0</v>
      </c>
      <c r="BR20" s="1251">
        <f t="shared" si="33"/>
        <v>0</v>
      </c>
      <c r="BS20" s="1403">
        <f t="shared" si="34"/>
        <v>0</v>
      </c>
      <c r="BT20" s="1372">
        <f t="shared" si="35"/>
        <v>0</v>
      </c>
      <c r="BU20" s="1372">
        <f t="shared" si="36"/>
        <v>0</v>
      </c>
      <c r="BV20" s="1372">
        <f t="shared" si="37"/>
        <v>0</v>
      </c>
      <c r="BW20" s="1372">
        <f t="shared" si="38"/>
        <v>0</v>
      </c>
      <c r="BX20" s="1373">
        <f t="shared" si="39"/>
        <v>0</v>
      </c>
      <c r="BY20" s="1373">
        <f t="shared" si="40"/>
        <v>0</v>
      </c>
      <c r="BZ20" s="1373">
        <f t="shared" si="41"/>
        <v>0</v>
      </c>
      <c r="CA20" s="1373">
        <f t="shared" si="42"/>
        <v>0</v>
      </c>
      <c r="CB20" s="1405">
        <f t="shared" si="43"/>
        <v>0</v>
      </c>
      <c r="CC20" s="1374">
        <f t="shared" si="79"/>
        <v>0</v>
      </c>
      <c r="CD20" s="1374">
        <f t="shared" si="44"/>
        <v>0</v>
      </c>
      <c r="CE20" s="1374">
        <f t="shared" si="45"/>
        <v>0</v>
      </c>
      <c r="CF20" s="1378">
        <f t="shared" si="46"/>
        <v>0</v>
      </c>
      <c r="CG20" s="1378">
        <f t="shared" si="47"/>
        <v>0</v>
      </c>
      <c r="CH20" s="1378">
        <f t="shared" si="48"/>
        <v>0</v>
      </c>
      <c r="CI20" s="1374">
        <f t="shared" si="49"/>
        <v>0</v>
      </c>
      <c r="CJ20" s="1374">
        <f t="shared" si="50"/>
        <v>0</v>
      </c>
      <c r="CK20" s="1374" t="str">
        <f t="shared" si="51"/>
        <v/>
      </c>
      <c r="CL20" s="1374">
        <f t="shared" si="52"/>
        <v>0</v>
      </c>
      <c r="CM20" s="1379">
        <f t="shared" si="53"/>
        <v>0</v>
      </c>
      <c r="CN20" s="628">
        <f>(BS20*Pricing!F$3+BT20*Pricing!G$3+BU20*Pricing!H$3+BV20*Pricing!I$3+BW20*Pricing!J$3+BX20*Pricing!K$3)*IF(W$44="N",(1+Y$44),1)</f>
        <v>0</v>
      </c>
      <c r="CO20" s="628">
        <f t="shared" si="54"/>
        <v>0</v>
      </c>
      <c r="CP20" s="628">
        <f t="shared" si="55"/>
        <v>0</v>
      </c>
      <c r="CQ20" s="628">
        <f t="shared" si="56"/>
        <v>0</v>
      </c>
      <c r="CR20" s="628">
        <f t="shared" si="57"/>
        <v>0</v>
      </c>
      <c r="CS20" s="628"/>
      <c r="CT20" s="628">
        <f t="shared" si="58"/>
        <v>0</v>
      </c>
      <c r="CU20" s="628">
        <f t="shared" si="59"/>
        <v>0</v>
      </c>
      <c r="CV20" s="628">
        <f t="shared" si="60"/>
        <v>0</v>
      </c>
      <c r="CW20" s="628">
        <f t="shared" si="61"/>
        <v>0</v>
      </c>
      <c r="CX20" s="628">
        <f t="shared" si="62"/>
        <v>0</v>
      </c>
      <c r="CY20" s="628">
        <f t="shared" si="63"/>
        <v>0</v>
      </c>
      <c r="CZ20" s="628">
        <f t="shared" si="64"/>
        <v>0</v>
      </c>
      <c r="DA20" s="628" t="str">
        <f t="shared" si="65"/>
        <v/>
      </c>
      <c r="DB20" s="628">
        <f t="shared" si="66"/>
        <v>0</v>
      </c>
      <c r="DC20" s="628">
        <f t="shared" si="67"/>
        <v>0</v>
      </c>
      <c r="DD20" s="1382"/>
      <c r="DE20" s="626">
        <f t="shared" si="68"/>
        <v>0</v>
      </c>
      <c r="DF20" s="626">
        <f t="shared" si="69"/>
        <v>0</v>
      </c>
      <c r="DG20" s="626">
        <f t="shared" si="70"/>
        <v>0</v>
      </c>
      <c r="DH20" s="626">
        <f t="shared" si="71"/>
        <v>0</v>
      </c>
      <c r="DI20" s="626">
        <f t="shared" si="72"/>
        <v>0</v>
      </c>
      <c r="DJ20" s="626">
        <f t="shared" si="73"/>
        <v>0</v>
      </c>
      <c r="DK20" s="626">
        <f t="shared" si="74"/>
        <v>0</v>
      </c>
      <c r="DL20" s="626">
        <f t="shared" si="75"/>
        <v>0</v>
      </c>
      <c r="DM20" s="626">
        <f t="shared" si="76"/>
        <v>0</v>
      </c>
      <c r="DN20" s="626">
        <f t="shared" si="77"/>
        <v>0</v>
      </c>
      <c r="DO20" s="1405">
        <f t="shared" si="78"/>
        <v>0</v>
      </c>
    </row>
    <row r="21" spans="1:119" ht="19.5" customHeight="1">
      <c r="A21" s="2301" t="s">
        <v>1077</v>
      </c>
      <c r="B21" s="1385"/>
      <c r="C21" s="1386"/>
      <c r="D21" s="1387"/>
      <c r="E21" s="1388"/>
      <c r="F21" s="984"/>
      <c r="G21" s="1389"/>
      <c r="H21" s="984"/>
      <c r="I21" s="1389"/>
      <c r="J21" s="984"/>
      <c r="K21" s="1390"/>
      <c r="L21" s="1391"/>
      <c r="M21" s="1392"/>
      <c r="N21" s="1393"/>
      <c r="O21" s="1394"/>
      <c r="P21" s="1351">
        <f t="shared" si="0"/>
        <v>0</v>
      </c>
      <c r="Q21" s="1352">
        <f t="shared" si="1"/>
        <v>0</v>
      </c>
      <c r="R21" s="1353">
        <f t="shared" si="2"/>
        <v>0</v>
      </c>
      <c r="S21" s="1354">
        <f t="shared" si="3"/>
        <v>0</v>
      </c>
      <c r="T21" s="1355">
        <f t="shared" si="4"/>
        <v>0</v>
      </c>
      <c r="U21" s="1356">
        <f t="shared" si="5"/>
        <v>0</v>
      </c>
      <c r="V21" s="1357">
        <f t="shared" si="6"/>
        <v>0</v>
      </c>
      <c r="W21" s="1395"/>
      <c r="X21" s="1656"/>
      <c r="Y21" s="1395"/>
      <c r="Z21" s="1413"/>
      <c r="AA21" s="1395"/>
      <c r="AB21" s="1413"/>
      <c r="AC21" s="1398"/>
      <c r="AD21" s="1656"/>
      <c r="AE21" s="1395"/>
      <c r="AF21" s="2304"/>
      <c r="AG21" s="1431"/>
      <c r="AH21" s="2304"/>
      <c r="AI21" s="1395"/>
      <c r="AJ21" s="1656"/>
      <c r="AK21" s="1395"/>
      <c r="AL21" s="2304"/>
      <c r="AM21" s="1395"/>
      <c r="AN21" s="1413"/>
      <c r="AO21" s="1395"/>
      <c r="AP21" s="1413"/>
      <c r="AQ21" s="626"/>
      <c r="AR21" s="1369" t="str">
        <f t="shared" si="7"/>
        <v/>
      </c>
      <c r="AS21" s="1270" t="str">
        <f t="shared" si="8"/>
        <v/>
      </c>
      <c r="AT21" s="1270" t="str">
        <f t="shared" si="9"/>
        <v/>
      </c>
      <c r="AU21" s="1270" t="str">
        <f t="shared" si="10"/>
        <v/>
      </c>
      <c r="AV21" s="1270" t="str">
        <f t="shared" si="11"/>
        <v/>
      </c>
      <c r="AW21" s="1270" t="str">
        <f t="shared" si="12"/>
        <v/>
      </c>
      <c r="AX21" s="1270" t="str">
        <f t="shared" si="13"/>
        <v/>
      </c>
      <c r="AY21" s="1270" t="str">
        <f t="shared" si="14"/>
        <v/>
      </c>
      <c r="AZ21" s="1270" t="str">
        <f t="shared" si="15"/>
        <v/>
      </c>
      <c r="BA21" s="1270" t="str">
        <f t="shared" si="16"/>
        <v/>
      </c>
      <c r="BB21" s="1371">
        <f t="shared" si="17"/>
        <v>0</v>
      </c>
      <c r="BC21" s="1369" t="str">
        <f t="shared" si="18"/>
        <v/>
      </c>
      <c r="BD21" s="1270" t="str">
        <f t="shared" si="19"/>
        <v/>
      </c>
      <c r="BE21" s="1270" t="str">
        <f t="shared" si="20"/>
        <v/>
      </c>
      <c r="BF21" s="1270" t="str">
        <f t="shared" si="21"/>
        <v/>
      </c>
      <c r="BG21" s="1270" t="str">
        <f t="shared" si="22"/>
        <v/>
      </c>
      <c r="BH21" s="1270" t="str">
        <f t="shared" si="23"/>
        <v/>
      </c>
      <c r="BI21" s="1270" t="str">
        <f t="shared" si="24"/>
        <v/>
      </c>
      <c r="BJ21" s="1270" t="str">
        <f t="shared" si="25"/>
        <v/>
      </c>
      <c r="BK21" s="1270" t="str">
        <f t="shared" si="26"/>
        <v/>
      </c>
      <c r="BL21" s="1270" t="str">
        <f t="shared" si="27"/>
        <v/>
      </c>
      <c r="BM21" s="1371">
        <f t="shared" si="28"/>
        <v>0</v>
      </c>
      <c r="BN21" s="1372">
        <f t="shared" si="29"/>
        <v>0</v>
      </c>
      <c r="BO21" s="1372">
        <f t="shared" si="30"/>
        <v>0</v>
      </c>
      <c r="BP21" s="1372">
        <f t="shared" si="31"/>
        <v>0</v>
      </c>
      <c r="BQ21" s="1374">
        <f t="shared" si="32"/>
        <v>0</v>
      </c>
      <c r="BR21" s="1251">
        <f t="shared" si="33"/>
        <v>0</v>
      </c>
      <c r="BS21" s="1403">
        <f t="shared" si="34"/>
        <v>0</v>
      </c>
      <c r="BT21" s="1372">
        <f t="shared" si="35"/>
        <v>0</v>
      </c>
      <c r="BU21" s="1372">
        <f t="shared" si="36"/>
        <v>0</v>
      </c>
      <c r="BV21" s="1372">
        <f t="shared" si="37"/>
        <v>0</v>
      </c>
      <c r="BW21" s="1372">
        <f t="shared" si="38"/>
        <v>0</v>
      </c>
      <c r="BX21" s="1373">
        <f t="shared" si="39"/>
        <v>0</v>
      </c>
      <c r="BY21" s="1373">
        <f t="shared" si="40"/>
        <v>0</v>
      </c>
      <c r="BZ21" s="1373">
        <f t="shared" si="41"/>
        <v>0</v>
      </c>
      <c r="CA21" s="1373">
        <f t="shared" si="42"/>
        <v>0</v>
      </c>
      <c r="CB21" s="1405">
        <f t="shared" si="43"/>
        <v>0</v>
      </c>
      <c r="CC21" s="1374">
        <f t="shared" si="79"/>
        <v>0</v>
      </c>
      <c r="CD21" s="1374">
        <f t="shared" si="44"/>
        <v>0</v>
      </c>
      <c r="CE21" s="1374">
        <f t="shared" si="45"/>
        <v>0</v>
      </c>
      <c r="CF21" s="1378">
        <f t="shared" si="46"/>
        <v>0</v>
      </c>
      <c r="CG21" s="1378">
        <f t="shared" si="47"/>
        <v>0</v>
      </c>
      <c r="CH21" s="1378">
        <f t="shared" si="48"/>
        <v>0</v>
      </c>
      <c r="CI21" s="1374">
        <f t="shared" si="49"/>
        <v>0</v>
      </c>
      <c r="CJ21" s="1374">
        <f t="shared" si="50"/>
        <v>0</v>
      </c>
      <c r="CK21" s="1374" t="str">
        <f t="shared" si="51"/>
        <v/>
      </c>
      <c r="CL21" s="1374">
        <f t="shared" si="52"/>
        <v>0</v>
      </c>
      <c r="CM21" s="1379">
        <f t="shared" si="53"/>
        <v>0</v>
      </c>
      <c r="CN21" s="628">
        <f>(BS21*Pricing!F$3+BT21*Pricing!G$3+BU21*Pricing!H$3+BV21*Pricing!I$3+BW21*Pricing!J$3+BX21*Pricing!K$3)*IF(W$44="N",(1+Y$44),1)</f>
        <v>0</v>
      </c>
      <c r="CO21" s="628">
        <f t="shared" si="54"/>
        <v>0</v>
      </c>
      <c r="CP21" s="628">
        <f t="shared" si="55"/>
        <v>0</v>
      </c>
      <c r="CQ21" s="628">
        <f t="shared" si="56"/>
        <v>0</v>
      </c>
      <c r="CR21" s="628">
        <f t="shared" si="57"/>
        <v>0</v>
      </c>
      <c r="CS21" s="628"/>
      <c r="CT21" s="628">
        <f t="shared" si="58"/>
        <v>0</v>
      </c>
      <c r="CU21" s="628">
        <f t="shared" si="59"/>
        <v>0</v>
      </c>
      <c r="CV21" s="628">
        <f t="shared" si="60"/>
        <v>0</v>
      </c>
      <c r="CW21" s="628">
        <f t="shared" si="61"/>
        <v>0</v>
      </c>
      <c r="CX21" s="628">
        <f t="shared" si="62"/>
        <v>0</v>
      </c>
      <c r="CY21" s="628">
        <f t="shared" si="63"/>
        <v>0</v>
      </c>
      <c r="CZ21" s="628">
        <f t="shared" si="64"/>
        <v>0</v>
      </c>
      <c r="DA21" s="628" t="str">
        <f t="shared" si="65"/>
        <v/>
      </c>
      <c r="DB21" s="628">
        <f t="shared" si="66"/>
        <v>0</v>
      </c>
      <c r="DC21" s="628">
        <f t="shared" si="67"/>
        <v>0</v>
      </c>
      <c r="DD21" s="1382"/>
      <c r="DE21" s="626">
        <f t="shared" si="68"/>
        <v>0</v>
      </c>
      <c r="DF21" s="626">
        <f t="shared" si="69"/>
        <v>0</v>
      </c>
      <c r="DG21" s="626">
        <f t="shared" si="70"/>
        <v>0</v>
      </c>
      <c r="DH21" s="626">
        <f t="shared" si="71"/>
        <v>0</v>
      </c>
      <c r="DI21" s="626">
        <f t="shared" si="72"/>
        <v>0</v>
      </c>
      <c r="DJ21" s="626">
        <f t="shared" si="73"/>
        <v>0</v>
      </c>
      <c r="DK21" s="626">
        <f t="shared" si="74"/>
        <v>0</v>
      </c>
      <c r="DL21" s="626">
        <f t="shared" si="75"/>
        <v>0</v>
      </c>
      <c r="DM21" s="626">
        <f t="shared" si="76"/>
        <v>0</v>
      </c>
      <c r="DN21" s="626">
        <f t="shared" si="77"/>
        <v>0</v>
      </c>
      <c r="DO21" s="1405">
        <f t="shared" si="78"/>
        <v>0</v>
      </c>
    </row>
    <row r="22" spans="1:119" ht="19.5" customHeight="1">
      <c r="A22" s="2301" t="s">
        <v>1078</v>
      </c>
      <c r="B22" s="859"/>
      <c r="C22" s="1342"/>
      <c r="D22" s="1343"/>
      <c r="E22" s="1344"/>
      <c r="F22" s="984"/>
      <c r="G22" s="1389"/>
      <c r="H22" s="984"/>
      <c r="I22" s="1389"/>
      <c r="J22" s="984"/>
      <c r="K22" s="1419"/>
      <c r="L22" s="503"/>
      <c r="M22" s="834"/>
      <c r="N22" s="1349"/>
      <c r="O22" s="1350"/>
      <c r="P22" s="1351">
        <f t="shared" si="0"/>
        <v>0</v>
      </c>
      <c r="Q22" s="1352">
        <f t="shared" si="1"/>
        <v>0</v>
      </c>
      <c r="R22" s="1353">
        <f t="shared" si="2"/>
        <v>0</v>
      </c>
      <c r="S22" s="1354">
        <f t="shared" si="3"/>
        <v>0</v>
      </c>
      <c r="T22" s="1355">
        <f t="shared" si="4"/>
        <v>0</v>
      </c>
      <c r="U22" s="1356">
        <f t="shared" si="5"/>
        <v>0</v>
      </c>
      <c r="V22" s="1357">
        <f t="shared" si="6"/>
        <v>0</v>
      </c>
      <c r="W22" s="1347"/>
      <c r="X22" s="2305"/>
      <c r="Y22" s="503"/>
      <c r="Z22" s="1410"/>
      <c r="AA22" s="503"/>
      <c r="AB22" s="1410"/>
      <c r="AC22" s="1421"/>
      <c r="AD22" s="2305"/>
      <c r="AE22" s="503"/>
      <c r="AF22" s="1428"/>
      <c r="AG22" s="503"/>
      <c r="AH22" s="1428"/>
      <c r="AI22" s="2"/>
      <c r="AJ22" s="1652"/>
      <c r="AK22" s="503"/>
      <c r="AL22" s="1428"/>
      <c r="AM22" s="503"/>
      <c r="AN22" s="1410"/>
      <c r="AO22" s="503"/>
      <c r="AP22" s="1410"/>
      <c r="AQ22" s="626"/>
      <c r="AR22" s="1369" t="str">
        <f t="shared" si="7"/>
        <v/>
      </c>
      <c r="AS22" s="1270" t="str">
        <f t="shared" si="8"/>
        <v/>
      </c>
      <c r="AT22" s="1270" t="str">
        <f t="shared" si="9"/>
        <v/>
      </c>
      <c r="AU22" s="1270" t="str">
        <f t="shared" si="10"/>
        <v/>
      </c>
      <c r="AV22" s="1270" t="str">
        <f t="shared" si="11"/>
        <v/>
      </c>
      <c r="AW22" s="1270" t="str">
        <f t="shared" si="12"/>
        <v/>
      </c>
      <c r="AX22" s="1270" t="str">
        <f t="shared" si="13"/>
        <v/>
      </c>
      <c r="AY22" s="1270" t="str">
        <f t="shared" si="14"/>
        <v/>
      </c>
      <c r="AZ22" s="1270" t="str">
        <f t="shared" si="15"/>
        <v/>
      </c>
      <c r="BA22" s="1270" t="str">
        <f t="shared" si="16"/>
        <v/>
      </c>
      <c r="BB22" s="1371">
        <f t="shared" si="17"/>
        <v>0</v>
      </c>
      <c r="BC22" s="1369" t="str">
        <f t="shared" si="18"/>
        <v/>
      </c>
      <c r="BD22" s="1270" t="str">
        <f t="shared" si="19"/>
        <v/>
      </c>
      <c r="BE22" s="1270" t="str">
        <f t="shared" si="20"/>
        <v/>
      </c>
      <c r="BF22" s="1270" t="str">
        <f t="shared" si="21"/>
        <v/>
      </c>
      <c r="BG22" s="1270" t="str">
        <f t="shared" si="22"/>
        <v/>
      </c>
      <c r="BH22" s="1270" t="str">
        <f t="shared" si="23"/>
        <v/>
      </c>
      <c r="BI22" s="1270" t="str">
        <f t="shared" si="24"/>
        <v/>
      </c>
      <c r="BJ22" s="1270" t="str">
        <f t="shared" si="25"/>
        <v/>
      </c>
      <c r="BK22" s="1270" t="str">
        <f t="shared" si="26"/>
        <v/>
      </c>
      <c r="BL22" s="1270" t="str">
        <f t="shared" si="27"/>
        <v/>
      </c>
      <c r="BM22" s="1371">
        <f t="shared" si="28"/>
        <v>0</v>
      </c>
      <c r="BN22" s="1372">
        <f t="shared" si="29"/>
        <v>0</v>
      </c>
      <c r="BO22" s="1372">
        <f t="shared" si="30"/>
        <v>0</v>
      </c>
      <c r="BP22" s="1372">
        <f t="shared" si="31"/>
        <v>0</v>
      </c>
      <c r="BQ22" s="1374">
        <f t="shared" si="32"/>
        <v>0</v>
      </c>
      <c r="BR22" s="1251">
        <f t="shared" si="33"/>
        <v>0</v>
      </c>
      <c r="BS22" s="1403">
        <f t="shared" si="34"/>
        <v>0</v>
      </c>
      <c r="BT22" s="1372">
        <f t="shared" si="35"/>
        <v>0</v>
      </c>
      <c r="BU22" s="1372">
        <f t="shared" si="36"/>
        <v>0</v>
      </c>
      <c r="BV22" s="1372">
        <f t="shared" si="37"/>
        <v>0</v>
      </c>
      <c r="BW22" s="1372">
        <f t="shared" si="38"/>
        <v>0</v>
      </c>
      <c r="BX22" s="1373">
        <f t="shared" si="39"/>
        <v>0</v>
      </c>
      <c r="BY22" s="1373">
        <f t="shared" si="40"/>
        <v>0</v>
      </c>
      <c r="BZ22" s="1373">
        <f t="shared" si="41"/>
        <v>0</v>
      </c>
      <c r="CA22" s="1373">
        <f t="shared" si="42"/>
        <v>0</v>
      </c>
      <c r="CB22" s="1405">
        <f t="shared" si="43"/>
        <v>0</v>
      </c>
      <c r="CC22" s="1374">
        <f t="shared" si="79"/>
        <v>0</v>
      </c>
      <c r="CD22" s="1374">
        <f t="shared" si="44"/>
        <v>0</v>
      </c>
      <c r="CE22" s="1374">
        <f t="shared" si="45"/>
        <v>0</v>
      </c>
      <c r="CF22" s="1378">
        <f t="shared" si="46"/>
        <v>0</v>
      </c>
      <c r="CG22" s="1378">
        <f t="shared" si="47"/>
        <v>0</v>
      </c>
      <c r="CH22" s="1378">
        <f t="shared" si="48"/>
        <v>0</v>
      </c>
      <c r="CI22" s="1374">
        <f t="shared" si="49"/>
        <v>0</v>
      </c>
      <c r="CJ22" s="1374">
        <f t="shared" si="50"/>
        <v>0</v>
      </c>
      <c r="CK22" s="1374" t="str">
        <f t="shared" si="51"/>
        <v/>
      </c>
      <c r="CL22" s="1374">
        <f t="shared" si="52"/>
        <v>0</v>
      </c>
      <c r="CM22" s="1379">
        <f t="shared" si="53"/>
        <v>0</v>
      </c>
      <c r="CN22" s="628">
        <f>(BS22*Pricing!F$3+BT22*Pricing!G$3+BU22*Pricing!H$3+BV22*Pricing!I$3+BW22*Pricing!J$3+BX22*Pricing!K$3)*IF(W$44="N",(1+Y$44),1)</f>
        <v>0</v>
      </c>
      <c r="CO22" s="628">
        <f t="shared" si="54"/>
        <v>0</v>
      </c>
      <c r="CP22" s="628">
        <f t="shared" si="55"/>
        <v>0</v>
      </c>
      <c r="CQ22" s="628">
        <f t="shared" si="56"/>
        <v>0</v>
      </c>
      <c r="CR22" s="628">
        <f t="shared" si="57"/>
        <v>0</v>
      </c>
      <c r="CS22" s="628"/>
      <c r="CT22" s="628">
        <f t="shared" si="58"/>
        <v>0</v>
      </c>
      <c r="CU22" s="628">
        <f t="shared" si="59"/>
        <v>0</v>
      </c>
      <c r="CV22" s="628">
        <f t="shared" si="60"/>
        <v>0</v>
      </c>
      <c r="CW22" s="628">
        <f t="shared" si="61"/>
        <v>0</v>
      </c>
      <c r="CX22" s="628">
        <f t="shared" si="62"/>
        <v>0</v>
      </c>
      <c r="CY22" s="628">
        <f t="shared" si="63"/>
        <v>0</v>
      </c>
      <c r="CZ22" s="628">
        <f t="shared" si="64"/>
        <v>0</v>
      </c>
      <c r="DA22" s="628" t="str">
        <f t="shared" si="65"/>
        <v/>
      </c>
      <c r="DB22" s="628">
        <f t="shared" si="66"/>
        <v>0</v>
      </c>
      <c r="DC22" s="628">
        <f t="shared" si="67"/>
        <v>0</v>
      </c>
      <c r="DD22" s="1382"/>
      <c r="DE22" s="626">
        <f t="shared" si="68"/>
        <v>0</v>
      </c>
      <c r="DF22" s="626">
        <f t="shared" si="69"/>
        <v>0</v>
      </c>
      <c r="DG22" s="626">
        <f t="shared" si="70"/>
        <v>0</v>
      </c>
      <c r="DH22" s="626">
        <f t="shared" si="71"/>
        <v>0</v>
      </c>
      <c r="DI22" s="626">
        <f t="shared" si="72"/>
        <v>0</v>
      </c>
      <c r="DJ22" s="626">
        <f t="shared" si="73"/>
        <v>0</v>
      </c>
      <c r="DK22" s="626">
        <f t="shared" si="74"/>
        <v>0</v>
      </c>
      <c r="DL22" s="626">
        <f t="shared" si="75"/>
        <v>0</v>
      </c>
      <c r="DM22" s="626">
        <f t="shared" si="76"/>
        <v>0</v>
      </c>
      <c r="DN22" s="626">
        <f t="shared" si="77"/>
        <v>0</v>
      </c>
      <c r="DO22" s="1405">
        <f t="shared" si="78"/>
        <v>0</v>
      </c>
    </row>
    <row r="23" spans="1:119" ht="19.5" customHeight="1">
      <c r="A23" s="2301" t="s">
        <v>1328</v>
      </c>
      <c r="B23" s="1385"/>
      <c r="C23" s="1386"/>
      <c r="D23" s="1387"/>
      <c r="E23" s="1388"/>
      <c r="F23" s="984"/>
      <c r="G23" s="1389"/>
      <c r="H23" s="984"/>
      <c r="I23" s="1389"/>
      <c r="J23" s="984"/>
      <c r="K23" s="1419"/>
      <c r="L23" s="1391"/>
      <c r="M23" s="1392"/>
      <c r="N23" s="1393"/>
      <c r="O23" s="1394"/>
      <c r="P23" s="1351">
        <f t="shared" si="0"/>
        <v>0</v>
      </c>
      <c r="Q23" s="1352">
        <f t="shared" si="1"/>
        <v>0</v>
      </c>
      <c r="R23" s="1353">
        <f t="shared" si="2"/>
        <v>0</v>
      </c>
      <c r="S23" s="1354">
        <f t="shared" si="3"/>
        <v>0</v>
      </c>
      <c r="T23" s="1355">
        <f t="shared" si="4"/>
        <v>0</v>
      </c>
      <c r="U23" s="1356">
        <f t="shared" si="5"/>
        <v>0</v>
      </c>
      <c r="V23" s="1357">
        <f t="shared" si="6"/>
        <v>0</v>
      </c>
      <c r="W23" s="1395"/>
      <c r="X23" s="1656"/>
      <c r="Y23" s="1395"/>
      <c r="Z23" s="1397"/>
      <c r="AA23" s="1395"/>
      <c r="AB23" s="1397"/>
      <c r="AC23" s="1398"/>
      <c r="AD23" s="1656"/>
      <c r="AE23" s="1395"/>
      <c r="AF23" s="2304"/>
      <c r="AG23" s="1431"/>
      <c r="AH23" s="2304"/>
      <c r="AI23" s="1395"/>
      <c r="AJ23" s="1656"/>
      <c r="AK23" s="1395"/>
      <c r="AL23" s="1392"/>
      <c r="AM23" s="1395"/>
      <c r="AN23" s="1397"/>
      <c r="AO23" s="1395"/>
      <c r="AP23" s="1397"/>
      <c r="AQ23" s="626"/>
      <c r="AR23" s="1369" t="str">
        <f t="shared" si="7"/>
        <v/>
      </c>
      <c r="AS23" s="1270" t="str">
        <f t="shared" si="8"/>
        <v/>
      </c>
      <c r="AT23" s="1270" t="str">
        <f t="shared" si="9"/>
        <v/>
      </c>
      <c r="AU23" s="1270" t="str">
        <f t="shared" si="10"/>
        <v/>
      </c>
      <c r="AV23" s="1270" t="str">
        <f t="shared" si="11"/>
        <v/>
      </c>
      <c r="AW23" s="1270" t="str">
        <f t="shared" si="12"/>
        <v/>
      </c>
      <c r="AX23" s="1270" t="str">
        <f t="shared" si="13"/>
        <v/>
      </c>
      <c r="AY23" s="1270" t="str">
        <f t="shared" si="14"/>
        <v/>
      </c>
      <c r="AZ23" s="1270" t="str">
        <f t="shared" si="15"/>
        <v/>
      </c>
      <c r="BA23" s="1270" t="str">
        <f t="shared" si="16"/>
        <v/>
      </c>
      <c r="BB23" s="1371">
        <f t="shared" si="17"/>
        <v>0</v>
      </c>
      <c r="BC23" s="1369" t="str">
        <f t="shared" si="18"/>
        <v/>
      </c>
      <c r="BD23" s="1270" t="str">
        <f t="shared" si="19"/>
        <v/>
      </c>
      <c r="BE23" s="1270" t="str">
        <f t="shared" si="20"/>
        <v/>
      </c>
      <c r="BF23" s="1270" t="str">
        <f t="shared" si="21"/>
        <v/>
      </c>
      <c r="BG23" s="1270" t="str">
        <f t="shared" si="22"/>
        <v/>
      </c>
      <c r="BH23" s="1270" t="str">
        <f t="shared" si="23"/>
        <v/>
      </c>
      <c r="BI23" s="1270" t="str">
        <f t="shared" si="24"/>
        <v/>
      </c>
      <c r="BJ23" s="1270" t="str">
        <f t="shared" si="25"/>
        <v/>
      </c>
      <c r="BK23" s="1270" t="str">
        <f t="shared" si="26"/>
        <v/>
      </c>
      <c r="BL23" s="1270" t="str">
        <f t="shared" si="27"/>
        <v/>
      </c>
      <c r="BM23" s="1371">
        <f t="shared" si="28"/>
        <v>0</v>
      </c>
      <c r="BN23" s="1372">
        <f t="shared" si="29"/>
        <v>0</v>
      </c>
      <c r="BO23" s="1372">
        <f t="shared" si="30"/>
        <v>0</v>
      </c>
      <c r="BP23" s="1372">
        <f t="shared" si="31"/>
        <v>0</v>
      </c>
      <c r="BQ23" s="1374">
        <f t="shared" si="32"/>
        <v>0</v>
      </c>
      <c r="BR23" s="1251">
        <f t="shared" si="33"/>
        <v>0</v>
      </c>
      <c r="BS23" s="1403">
        <f t="shared" si="34"/>
        <v>0</v>
      </c>
      <c r="BT23" s="1372">
        <f t="shared" si="35"/>
        <v>0</v>
      </c>
      <c r="BU23" s="1372">
        <f t="shared" si="36"/>
        <v>0</v>
      </c>
      <c r="BV23" s="1372">
        <f t="shared" si="37"/>
        <v>0</v>
      </c>
      <c r="BW23" s="1372">
        <f t="shared" si="38"/>
        <v>0</v>
      </c>
      <c r="BX23" s="1373">
        <f t="shared" si="39"/>
        <v>0</v>
      </c>
      <c r="BY23" s="1373">
        <f t="shared" si="40"/>
        <v>0</v>
      </c>
      <c r="BZ23" s="1373">
        <f t="shared" si="41"/>
        <v>0</v>
      </c>
      <c r="CA23" s="1373">
        <f t="shared" si="42"/>
        <v>0</v>
      </c>
      <c r="CB23" s="1405">
        <f t="shared" si="43"/>
        <v>0</v>
      </c>
      <c r="CC23" s="1374">
        <f t="shared" si="79"/>
        <v>0</v>
      </c>
      <c r="CD23" s="1374">
        <f t="shared" si="44"/>
        <v>0</v>
      </c>
      <c r="CE23" s="1374">
        <f t="shared" si="45"/>
        <v>0</v>
      </c>
      <c r="CF23" s="1378">
        <f t="shared" si="46"/>
        <v>0</v>
      </c>
      <c r="CG23" s="1378">
        <f t="shared" si="47"/>
        <v>0</v>
      </c>
      <c r="CH23" s="1378">
        <f t="shared" si="48"/>
        <v>0</v>
      </c>
      <c r="CI23" s="1374">
        <f t="shared" si="49"/>
        <v>0</v>
      </c>
      <c r="CJ23" s="1374">
        <f t="shared" si="50"/>
        <v>0</v>
      </c>
      <c r="CK23" s="1374" t="str">
        <f t="shared" si="51"/>
        <v/>
      </c>
      <c r="CL23" s="1374">
        <f t="shared" si="52"/>
        <v>0</v>
      </c>
      <c r="CM23" s="1379">
        <f t="shared" si="53"/>
        <v>0</v>
      </c>
      <c r="CN23" s="628">
        <f>(BS23*Pricing!F$3+BT23*Pricing!G$3+BU23*Pricing!H$3+BV23*Pricing!I$3+BW23*Pricing!J$3+BX23*Pricing!K$3)*IF(W$44="N",(1+Y$44),1)</f>
        <v>0</v>
      </c>
      <c r="CO23" s="628">
        <f t="shared" si="54"/>
        <v>0</v>
      </c>
      <c r="CP23" s="628">
        <f t="shared" si="55"/>
        <v>0</v>
      </c>
      <c r="CQ23" s="628">
        <f t="shared" si="56"/>
        <v>0</v>
      </c>
      <c r="CR23" s="628">
        <f t="shared" si="57"/>
        <v>0</v>
      </c>
      <c r="CS23" s="628"/>
      <c r="CT23" s="628">
        <f t="shared" si="58"/>
        <v>0</v>
      </c>
      <c r="CU23" s="628">
        <f t="shared" si="59"/>
        <v>0</v>
      </c>
      <c r="CV23" s="628">
        <f t="shared" si="60"/>
        <v>0</v>
      </c>
      <c r="CW23" s="628">
        <f t="shared" si="61"/>
        <v>0</v>
      </c>
      <c r="CX23" s="628">
        <f t="shared" si="62"/>
        <v>0</v>
      </c>
      <c r="CY23" s="628">
        <f t="shared" si="63"/>
        <v>0</v>
      </c>
      <c r="CZ23" s="628">
        <f t="shared" si="64"/>
        <v>0</v>
      </c>
      <c r="DA23" s="628" t="str">
        <f t="shared" si="65"/>
        <v/>
      </c>
      <c r="DB23" s="628">
        <f t="shared" si="66"/>
        <v>0</v>
      </c>
      <c r="DC23" s="628">
        <f t="shared" si="67"/>
        <v>0</v>
      </c>
      <c r="DD23" s="1382"/>
      <c r="DE23" s="626">
        <f t="shared" si="68"/>
        <v>0</v>
      </c>
      <c r="DF23" s="626">
        <f t="shared" si="69"/>
        <v>0</v>
      </c>
      <c r="DG23" s="626">
        <f t="shared" si="70"/>
        <v>0</v>
      </c>
      <c r="DH23" s="626">
        <f t="shared" si="71"/>
        <v>0</v>
      </c>
      <c r="DI23" s="626">
        <f t="shared" si="72"/>
        <v>0</v>
      </c>
      <c r="DJ23" s="626">
        <f t="shared" si="73"/>
        <v>0</v>
      </c>
      <c r="DK23" s="626">
        <f t="shared" si="74"/>
        <v>0</v>
      </c>
      <c r="DL23" s="626">
        <f t="shared" si="75"/>
        <v>0</v>
      </c>
      <c r="DM23" s="626">
        <f t="shared" si="76"/>
        <v>0</v>
      </c>
      <c r="DN23" s="626">
        <f t="shared" si="77"/>
        <v>0</v>
      </c>
      <c r="DO23" s="1405">
        <f t="shared" si="78"/>
        <v>0</v>
      </c>
    </row>
    <row r="24" spans="1:119" ht="19.5" customHeight="1">
      <c r="A24" s="2301" t="s">
        <v>1330</v>
      </c>
      <c r="B24" s="859"/>
      <c r="C24" s="1342"/>
      <c r="D24" s="1422"/>
      <c r="E24" s="1423"/>
      <c r="F24" s="984"/>
      <c r="G24" s="1389"/>
      <c r="H24" s="984"/>
      <c r="I24" s="1389"/>
      <c r="J24" s="984"/>
      <c r="K24" s="1426"/>
      <c r="L24" s="503"/>
      <c r="M24" s="834"/>
      <c r="N24" s="1349"/>
      <c r="O24" s="1350"/>
      <c r="P24" s="1351">
        <f t="shared" si="0"/>
        <v>0</v>
      </c>
      <c r="Q24" s="1352">
        <f t="shared" si="1"/>
        <v>0</v>
      </c>
      <c r="R24" s="1353">
        <f t="shared" si="2"/>
        <v>0</v>
      </c>
      <c r="S24" s="1354">
        <f t="shared" si="3"/>
        <v>0</v>
      </c>
      <c r="T24" s="1355">
        <f t="shared" si="4"/>
        <v>0</v>
      </c>
      <c r="U24" s="1356">
        <f t="shared" si="5"/>
        <v>0</v>
      </c>
      <c r="V24" s="1357">
        <f t="shared" si="6"/>
        <v>0</v>
      </c>
      <c r="W24" s="1347"/>
      <c r="X24" s="2305"/>
      <c r="Y24" s="503"/>
      <c r="Z24" s="1410"/>
      <c r="AA24" s="503"/>
      <c r="AB24" s="1410"/>
      <c r="AC24" s="1421"/>
      <c r="AD24" s="2305"/>
      <c r="AE24" s="503"/>
      <c r="AF24" s="1428"/>
      <c r="AG24" s="503"/>
      <c r="AH24" s="1428"/>
      <c r="AI24" s="2"/>
      <c r="AJ24" s="1652"/>
      <c r="AK24" s="503"/>
      <c r="AL24" s="834"/>
      <c r="AM24" s="503"/>
      <c r="AN24" s="1410"/>
      <c r="AO24" s="503"/>
      <c r="AP24" s="1410"/>
      <c r="AQ24" s="626"/>
      <c r="AR24" s="1369" t="str">
        <f t="shared" si="7"/>
        <v/>
      </c>
      <c r="AS24" s="1270" t="str">
        <f t="shared" si="8"/>
        <v/>
      </c>
      <c r="AT24" s="1270" t="str">
        <f t="shared" si="9"/>
        <v/>
      </c>
      <c r="AU24" s="1270" t="str">
        <f t="shared" si="10"/>
        <v/>
      </c>
      <c r="AV24" s="1270" t="str">
        <f t="shared" si="11"/>
        <v/>
      </c>
      <c r="AW24" s="1270" t="str">
        <f t="shared" si="12"/>
        <v/>
      </c>
      <c r="AX24" s="1270" t="str">
        <f t="shared" si="13"/>
        <v/>
      </c>
      <c r="AY24" s="1270" t="str">
        <f t="shared" si="14"/>
        <v/>
      </c>
      <c r="AZ24" s="1270" t="str">
        <f t="shared" si="15"/>
        <v/>
      </c>
      <c r="BA24" s="1270" t="str">
        <f t="shared" si="16"/>
        <v/>
      </c>
      <c r="BB24" s="1371">
        <f t="shared" si="17"/>
        <v>0</v>
      </c>
      <c r="BC24" s="1369" t="str">
        <f t="shared" si="18"/>
        <v/>
      </c>
      <c r="BD24" s="1270" t="str">
        <f t="shared" si="19"/>
        <v/>
      </c>
      <c r="BE24" s="1270" t="str">
        <f t="shared" si="20"/>
        <v/>
      </c>
      <c r="BF24" s="1270" t="str">
        <f t="shared" si="21"/>
        <v/>
      </c>
      <c r="BG24" s="1270" t="str">
        <f t="shared" si="22"/>
        <v/>
      </c>
      <c r="BH24" s="1270" t="str">
        <f t="shared" si="23"/>
        <v/>
      </c>
      <c r="BI24" s="1270" t="str">
        <f t="shared" si="24"/>
        <v/>
      </c>
      <c r="BJ24" s="1270" t="str">
        <f t="shared" si="25"/>
        <v/>
      </c>
      <c r="BK24" s="1270" t="str">
        <f t="shared" si="26"/>
        <v/>
      </c>
      <c r="BL24" s="1270" t="str">
        <f t="shared" si="27"/>
        <v/>
      </c>
      <c r="BM24" s="1371">
        <f t="shared" si="28"/>
        <v>0</v>
      </c>
      <c r="BN24" s="1372">
        <f t="shared" si="29"/>
        <v>0</v>
      </c>
      <c r="BO24" s="1372">
        <f t="shared" si="30"/>
        <v>0</v>
      </c>
      <c r="BP24" s="1372">
        <f t="shared" si="31"/>
        <v>0</v>
      </c>
      <c r="BQ24" s="1374">
        <f t="shared" si="32"/>
        <v>0</v>
      </c>
      <c r="BR24" s="1251">
        <f t="shared" si="33"/>
        <v>0</v>
      </c>
      <c r="BS24" s="1403">
        <f t="shared" si="34"/>
        <v>0</v>
      </c>
      <c r="BT24" s="1372">
        <f t="shared" si="35"/>
        <v>0</v>
      </c>
      <c r="BU24" s="1372">
        <f t="shared" si="36"/>
        <v>0</v>
      </c>
      <c r="BV24" s="1372">
        <f t="shared" si="37"/>
        <v>0</v>
      </c>
      <c r="BW24" s="1372">
        <f t="shared" si="38"/>
        <v>0</v>
      </c>
      <c r="BX24" s="1373">
        <f t="shared" si="39"/>
        <v>0</v>
      </c>
      <c r="BY24" s="1373">
        <f t="shared" si="40"/>
        <v>0</v>
      </c>
      <c r="BZ24" s="1373">
        <f t="shared" si="41"/>
        <v>0</v>
      </c>
      <c r="CA24" s="1373">
        <f t="shared" si="42"/>
        <v>0</v>
      </c>
      <c r="CB24" s="1405">
        <f t="shared" si="43"/>
        <v>0</v>
      </c>
      <c r="CC24" s="1374">
        <f t="shared" si="79"/>
        <v>0</v>
      </c>
      <c r="CD24" s="1374">
        <f t="shared" si="44"/>
        <v>0</v>
      </c>
      <c r="CE24" s="1374">
        <f t="shared" si="45"/>
        <v>0</v>
      </c>
      <c r="CF24" s="1378">
        <f t="shared" si="46"/>
        <v>0</v>
      </c>
      <c r="CG24" s="1378">
        <f t="shared" si="47"/>
        <v>0</v>
      </c>
      <c r="CH24" s="1378">
        <f t="shared" si="48"/>
        <v>0</v>
      </c>
      <c r="CI24" s="1374">
        <f t="shared" si="49"/>
        <v>0</v>
      </c>
      <c r="CJ24" s="1374">
        <f t="shared" si="50"/>
        <v>0</v>
      </c>
      <c r="CK24" s="1374" t="str">
        <f t="shared" si="51"/>
        <v/>
      </c>
      <c r="CL24" s="1374">
        <f t="shared" si="52"/>
        <v>0</v>
      </c>
      <c r="CM24" s="1379">
        <f t="shared" si="53"/>
        <v>0</v>
      </c>
      <c r="CN24" s="628">
        <f>(BS24*Pricing!F$3+BT24*Pricing!G$3+BU24*Pricing!H$3+BV24*Pricing!I$3+BW24*Pricing!J$3+BX24*Pricing!K$3)*IF(W$44="N",(1+Y$44),1)</f>
        <v>0</v>
      </c>
      <c r="CO24" s="628">
        <f t="shared" si="54"/>
        <v>0</v>
      </c>
      <c r="CP24" s="628">
        <f t="shared" si="55"/>
        <v>0</v>
      </c>
      <c r="CQ24" s="628">
        <f t="shared" si="56"/>
        <v>0</v>
      </c>
      <c r="CR24" s="628">
        <f t="shared" si="57"/>
        <v>0</v>
      </c>
      <c r="CS24" s="628"/>
      <c r="CT24" s="628">
        <f t="shared" si="58"/>
        <v>0</v>
      </c>
      <c r="CU24" s="628">
        <f t="shared" si="59"/>
        <v>0</v>
      </c>
      <c r="CV24" s="628">
        <f t="shared" si="60"/>
        <v>0</v>
      </c>
      <c r="CW24" s="628">
        <f t="shared" si="61"/>
        <v>0</v>
      </c>
      <c r="CX24" s="628">
        <f t="shared" si="62"/>
        <v>0</v>
      </c>
      <c r="CY24" s="628">
        <f t="shared" si="63"/>
        <v>0</v>
      </c>
      <c r="CZ24" s="628">
        <f t="shared" si="64"/>
        <v>0</v>
      </c>
      <c r="DA24" s="628" t="str">
        <f t="shared" si="65"/>
        <v/>
      </c>
      <c r="DB24" s="628">
        <f t="shared" si="66"/>
        <v>0</v>
      </c>
      <c r="DC24" s="628">
        <f t="shared" si="67"/>
        <v>0</v>
      </c>
      <c r="DD24" s="1382"/>
      <c r="DE24" s="626">
        <f t="shared" si="68"/>
        <v>0</v>
      </c>
      <c r="DF24" s="626">
        <f t="shared" si="69"/>
        <v>0</v>
      </c>
      <c r="DG24" s="626">
        <f t="shared" si="70"/>
        <v>0</v>
      </c>
      <c r="DH24" s="626">
        <f t="shared" si="71"/>
        <v>0</v>
      </c>
      <c r="DI24" s="626">
        <f t="shared" si="72"/>
        <v>0</v>
      </c>
      <c r="DJ24" s="626">
        <f t="shared" si="73"/>
        <v>0</v>
      </c>
      <c r="DK24" s="626">
        <f t="shared" si="74"/>
        <v>0</v>
      </c>
      <c r="DL24" s="626">
        <f t="shared" si="75"/>
        <v>0</v>
      </c>
      <c r="DM24" s="626">
        <f t="shared" si="76"/>
        <v>0</v>
      </c>
      <c r="DN24" s="626">
        <f t="shared" si="77"/>
        <v>0</v>
      </c>
      <c r="DO24" s="1405">
        <f t="shared" si="78"/>
        <v>0</v>
      </c>
    </row>
    <row r="25" spans="1:119" ht="19.5" customHeight="1">
      <c r="A25" s="2301" t="s">
        <v>1568</v>
      </c>
      <c r="B25" s="1385"/>
      <c r="C25" s="1386"/>
      <c r="D25" s="1387"/>
      <c r="E25" s="1388"/>
      <c r="F25" s="984"/>
      <c r="G25" s="1389"/>
      <c r="H25" s="984"/>
      <c r="I25" s="1389"/>
      <c r="J25" s="984"/>
      <c r="K25" s="1419"/>
      <c r="L25" s="1391"/>
      <c r="M25" s="1392"/>
      <c r="N25" s="1393"/>
      <c r="O25" s="1394"/>
      <c r="P25" s="1351">
        <f t="shared" si="0"/>
        <v>0</v>
      </c>
      <c r="Q25" s="1352">
        <f t="shared" si="1"/>
        <v>0</v>
      </c>
      <c r="R25" s="1353">
        <f t="shared" si="2"/>
        <v>0</v>
      </c>
      <c r="S25" s="1354">
        <f t="shared" si="3"/>
        <v>0</v>
      </c>
      <c r="T25" s="1355">
        <f t="shared" si="4"/>
        <v>0</v>
      </c>
      <c r="U25" s="1356">
        <f t="shared" si="5"/>
        <v>0</v>
      </c>
      <c r="V25" s="1357">
        <f t="shared" si="6"/>
        <v>0</v>
      </c>
      <c r="W25" s="1395"/>
      <c r="X25" s="1656"/>
      <c r="Y25" s="1395"/>
      <c r="Z25" s="1397"/>
      <c r="AA25" s="1395"/>
      <c r="AB25" s="1397"/>
      <c r="AC25" s="1398"/>
      <c r="AD25" s="1656"/>
      <c r="AE25" s="1395"/>
      <c r="AF25" s="2304"/>
      <c r="AG25" s="1431"/>
      <c r="AH25" s="2304"/>
      <c r="AI25" s="1395"/>
      <c r="AJ25" s="1656"/>
      <c r="AK25" s="1395"/>
      <c r="AL25" s="1392"/>
      <c r="AM25" s="1395"/>
      <c r="AN25" s="1397"/>
      <c r="AO25" s="1395"/>
      <c r="AP25" s="1397"/>
      <c r="AQ25" s="626"/>
      <c r="AR25" s="1369" t="str">
        <f t="shared" si="7"/>
        <v/>
      </c>
      <c r="AS25" s="1270" t="str">
        <f t="shared" si="8"/>
        <v/>
      </c>
      <c r="AT25" s="1270" t="str">
        <f t="shared" si="9"/>
        <v/>
      </c>
      <c r="AU25" s="1270" t="str">
        <f t="shared" si="10"/>
        <v/>
      </c>
      <c r="AV25" s="1270" t="str">
        <f t="shared" si="11"/>
        <v/>
      </c>
      <c r="AW25" s="1270" t="str">
        <f t="shared" si="12"/>
        <v/>
      </c>
      <c r="AX25" s="1270" t="str">
        <f t="shared" si="13"/>
        <v/>
      </c>
      <c r="AY25" s="1270" t="str">
        <f t="shared" si="14"/>
        <v/>
      </c>
      <c r="AZ25" s="1270" t="str">
        <f t="shared" si="15"/>
        <v/>
      </c>
      <c r="BA25" s="1270" t="str">
        <f t="shared" si="16"/>
        <v/>
      </c>
      <c r="BB25" s="1371">
        <f t="shared" si="17"/>
        <v>0</v>
      </c>
      <c r="BC25" s="1369" t="str">
        <f t="shared" si="18"/>
        <v/>
      </c>
      <c r="BD25" s="1270" t="str">
        <f t="shared" si="19"/>
        <v/>
      </c>
      <c r="BE25" s="1270" t="str">
        <f t="shared" si="20"/>
        <v/>
      </c>
      <c r="BF25" s="1270" t="str">
        <f t="shared" si="21"/>
        <v/>
      </c>
      <c r="BG25" s="1270" t="str">
        <f t="shared" si="22"/>
        <v/>
      </c>
      <c r="BH25" s="1270" t="str">
        <f t="shared" si="23"/>
        <v/>
      </c>
      <c r="BI25" s="1270" t="str">
        <f t="shared" si="24"/>
        <v/>
      </c>
      <c r="BJ25" s="1270" t="str">
        <f t="shared" si="25"/>
        <v/>
      </c>
      <c r="BK25" s="1270" t="str">
        <f t="shared" si="26"/>
        <v/>
      </c>
      <c r="BL25" s="1270" t="str">
        <f t="shared" si="27"/>
        <v/>
      </c>
      <c r="BM25" s="1371">
        <f t="shared" si="28"/>
        <v>0</v>
      </c>
      <c r="BN25" s="1372">
        <f t="shared" si="29"/>
        <v>0</v>
      </c>
      <c r="BO25" s="1372">
        <f t="shared" si="30"/>
        <v>0</v>
      </c>
      <c r="BP25" s="1372">
        <f t="shared" si="31"/>
        <v>0</v>
      </c>
      <c r="BQ25" s="1374">
        <f t="shared" si="32"/>
        <v>0</v>
      </c>
      <c r="BR25" s="1251">
        <f t="shared" si="33"/>
        <v>0</v>
      </c>
      <c r="BS25" s="1403">
        <f t="shared" si="34"/>
        <v>0</v>
      </c>
      <c r="BT25" s="1372">
        <f t="shared" si="35"/>
        <v>0</v>
      </c>
      <c r="BU25" s="1372">
        <f t="shared" si="36"/>
        <v>0</v>
      </c>
      <c r="BV25" s="1372">
        <f t="shared" si="37"/>
        <v>0</v>
      </c>
      <c r="BW25" s="1372">
        <f t="shared" si="38"/>
        <v>0</v>
      </c>
      <c r="BX25" s="1373">
        <f t="shared" si="39"/>
        <v>0</v>
      </c>
      <c r="BY25" s="1373">
        <f t="shared" si="40"/>
        <v>0</v>
      </c>
      <c r="BZ25" s="1373">
        <f t="shared" si="41"/>
        <v>0</v>
      </c>
      <c r="CA25" s="1373">
        <f t="shared" si="42"/>
        <v>0</v>
      </c>
      <c r="CB25" s="1405">
        <f t="shared" si="43"/>
        <v>0</v>
      </c>
      <c r="CC25" s="1374">
        <f t="shared" si="79"/>
        <v>0</v>
      </c>
      <c r="CD25" s="1374">
        <f t="shared" si="44"/>
        <v>0</v>
      </c>
      <c r="CE25" s="1374">
        <f t="shared" si="45"/>
        <v>0</v>
      </c>
      <c r="CF25" s="1378">
        <f t="shared" si="46"/>
        <v>0</v>
      </c>
      <c r="CG25" s="1378">
        <f t="shared" si="47"/>
        <v>0</v>
      </c>
      <c r="CH25" s="1378">
        <f t="shared" si="48"/>
        <v>0</v>
      </c>
      <c r="CI25" s="1374">
        <f t="shared" si="49"/>
        <v>0</v>
      </c>
      <c r="CJ25" s="1374">
        <f t="shared" si="50"/>
        <v>0</v>
      </c>
      <c r="CK25" s="1374" t="str">
        <f t="shared" si="51"/>
        <v/>
      </c>
      <c r="CL25" s="1374">
        <f t="shared" si="52"/>
        <v>0</v>
      </c>
      <c r="CM25" s="1379">
        <f t="shared" si="53"/>
        <v>0</v>
      </c>
      <c r="CN25" s="628">
        <f>(BS25*Pricing!F$3+BT25*Pricing!G$3+BU25*Pricing!H$3+BV25*Pricing!I$3+BW25*Pricing!J$3+BX25*Pricing!K$3)*IF(W$44="N",(1+Y$44),1)</f>
        <v>0</v>
      </c>
      <c r="CO25" s="628">
        <f t="shared" si="54"/>
        <v>0</v>
      </c>
      <c r="CP25" s="628">
        <f t="shared" si="55"/>
        <v>0</v>
      </c>
      <c r="CQ25" s="628">
        <f t="shared" si="56"/>
        <v>0</v>
      </c>
      <c r="CR25" s="628">
        <f t="shared" si="57"/>
        <v>0</v>
      </c>
      <c r="CS25" s="628"/>
      <c r="CT25" s="628">
        <f t="shared" si="58"/>
        <v>0</v>
      </c>
      <c r="CU25" s="628">
        <f t="shared" si="59"/>
        <v>0</v>
      </c>
      <c r="CV25" s="628">
        <f t="shared" si="60"/>
        <v>0</v>
      </c>
      <c r="CW25" s="628">
        <f t="shared" si="61"/>
        <v>0</v>
      </c>
      <c r="CX25" s="628">
        <f t="shared" si="62"/>
        <v>0</v>
      </c>
      <c r="CY25" s="628">
        <f t="shared" si="63"/>
        <v>0</v>
      </c>
      <c r="CZ25" s="628">
        <f t="shared" si="64"/>
        <v>0</v>
      </c>
      <c r="DA25" s="628" t="str">
        <f t="shared" si="65"/>
        <v/>
      </c>
      <c r="DB25" s="628">
        <f t="shared" si="66"/>
        <v>0</v>
      </c>
      <c r="DC25" s="628">
        <f t="shared" si="67"/>
        <v>0</v>
      </c>
      <c r="DD25" s="1382"/>
      <c r="DE25" s="626">
        <f t="shared" si="68"/>
        <v>0</v>
      </c>
      <c r="DF25" s="626">
        <f t="shared" si="69"/>
        <v>0</v>
      </c>
      <c r="DG25" s="626">
        <f t="shared" si="70"/>
        <v>0</v>
      </c>
      <c r="DH25" s="626">
        <f t="shared" si="71"/>
        <v>0</v>
      </c>
      <c r="DI25" s="626">
        <f t="shared" si="72"/>
        <v>0</v>
      </c>
      <c r="DJ25" s="626">
        <f t="shared" si="73"/>
        <v>0</v>
      </c>
      <c r="DK25" s="626">
        <f t="shared" si="74"/>
        <v>0</v>
      </c>
      <c r="DL25" s="626">
        <f t="shared" si="75"/>
        <v>0</v>
      </c>
      <c r="DM25" s="626">
        <f t="shared" si="76"/>
        <v>0</v>
      </c>
      <c r="DN25" s="626">
        <f t="shared" si="77"/>
        <v>0</v>
      </c>
      <c r="DO25" s="1405">
        <f t="shared" si="78"/>
        <v>0</v>
      </c>
    </row>
    <row r="26" spans="1:119" ht="19.5" customHeight="1">
      <c r="A26" s="2301" t="s">
        <v>1570</v>
      </c>
      <c r="B26" s="859"/>
      <c r="C26" s="1342"/>
      <c r="D26" s="1343"/>
      <c r="E26" s="1344"/>
      <c r="F26" s="984"/>
      <c r="G26" s="1389"/>
      <c r="H26" s="984"/>
      <c r="I26" s="1389"/>
      <c r="J26" s="984"/>
      <c r="K26" s="1419"/>
      <c r="L26" s="503"/>
      <c r="M26" s="834"/>
      <c r="N26" s="1349"/>
      <c r="O26" s="1350"/>
      <c r="P26" s="1351">
        <f t="shared" si="0"/>
        <v>0</v>
      </c>
      <c r="Q26" s="1352">
        <f t="shared" si="1"/>
        <v>0</v>
      </c>
      <c r="R26" s="1353">
        <f t="shared" si="2"/>
        <v>0</v>
      </c>
      <c r="S26" s="1354">
        <f t="shared" si="3"/>
        <v>0</v>
      </c>
      <c r="T26" s="1355">
        <f t="shared" si="4"/>
        <v>0</v>
      </c>
      <c r="U26" s="1356">
        <f t="shared" si="5"/>
        <v>0</v>
      </c>
      <c r="V26" s="1357">
        <f t="shared" si="6"/>
        <v>0</v>
      </c>
      <c r="W26" s="1347"/>
      <c r="X26" s="2305"/>
      <c r="Y26" s="503"/>
      <c r="Z26" s="1410"/>
      <c r="AA26" s="503"/>
      <c r="AB26" s="1410"/>
      <c r="AC26" s="1361"/>
      <c r="AD26" s="2305"/>
      <c r="AE26" s="1347"/>
      <c r="AF26" s="1428"/>
      <c r="AG26" s="1429"/>
      <c r="AH26" s="1428"/>
      <c r="AI26" s="2"/>
      <c r="AJ26" s="1652"/>
      <c r="AK26" s="503"/>
      <c r="AL26" s="834"/>
      <c r="AM26" s="503"/>
      <c r="AN26" s="1410"/>
      <c r="AO26" s="503"/>
      <c r="AP26" s="1410"/>
      <c r="AQ26" s="626"/>
      <c r="AR26" s="1369" t="str">
        <f t="shared" si="7"/>
        <v/>
      </c>
      <c r="AS26" s="1270" t="str">
        <f t="shared" si="8"/>
        <v/>
      </c>
      <c r="AT26" s="1270" t="str">
        <f t="shared" si="9"/>
        <v/>
      </c>
      <c r="AU26" s="1270" t="str">
        <f t="shared" si="10"/>
        <v/>
      </c>
      <c r="AV26" s="1270" t="str">
        <f t="shared" si="11"/>
        <v/>
      </c>
      <c r="AW26" s="1270" t="str">
        <f t="shared" si="12"/>
        <v/>
      </c>
      <c r="AX26" s="1270" t="str">
        <f t="shared" si="13"/>
        <v/>
      </c>
      <c r="AY26" s="1270" t="str">
        <f t="shared" si="14"/>
        <v/>
      </c>
      <c r="AZ26" s="1270" t="str">
        <f t="shared" si="15"/>
        <v/>
      </c>
      <c r="BA26" s="1270" t="str">
        <f t="shared" si="16"/>
        <v/>
      </c>
      <c r="BB26" s="1371">
        <f t="shared" si="17"/>
        <v>0</v>
      </c>
      <c r="BC26" s="1369" t="str">
        <f t="shared" si="18"/>
        <v/>
      </c>
      <c r="BD26" s="626" t="str">
        <f t="shared" si="19"/>
        <v/>
      </c>
      <c r="BE26" s="1270" t="str">
        <f t="shared" si="20"/>
        <v/>
      </c>
      <c r="BF26" s="626" t="str">
        <f t="shared" si="21"/>
        <v/>
      </c>
      <c r="BG26" s="626" t="str">
        <f t="shared" si="22"/>
        <v/>
      </c>
      <c r="BH26" s="626" t="str">
        <f t="shared" si="23"/>
        <v/>
      </c>
      <c r="BI26" s="626" t="str">
        <f t="shared" si="24"/>
        <v/>
      </c>
      <c r="BJ26" s="626" t="str">
        <f t="shared" si="25"/>
        <v/>
      </c>
      <c r="BK26" s="626" t="str">
        <f t="shared" si="26"/>
        <v/>
      </c>
      <c r="BL26" s="626" t="str">
        <f t="shared" si="27"/>
        <v/>
      </c>
      <c r="BM26" s="1420">
        <f t="shared" si="28"/>
        <v>0</v>
      </c>
      <c r="BN26" s="1372">
        <f t="shared" si="29"/>
        <v>0</v>
      </c>
      <c r="BO26" s="1372">
        <f t="shared" si="30"/>
        <v>0</v>
      </c>
      <c r="BP26" s="1372">
        <f t="shared" si="31"/>
        <v>0</v>
      </c>
      <c r="BQ26" s="1374">
        <f t="shared" si="32"/>
        <v>0</v>
      </c>
      <c r="BR26" s="1251">
        <f t="shared" si="33"/>
        <v>0</v>
      </c>
      <c r="BS26" s="1403">
        <f t="shared" si="34"/>
        <v>0</v>
      </c>
      <c r="BT26" s="1372">
        <f t="shared" si="35"/>
        <v>0</v>
      </c>
      <c r="BU26" s="1372">
        <f t="shared" si="36"/>
        <v>0</v>
      </c>
      <c r="BV26" s="1372">
        <f t="shared" si="37"/>
        <v>0</v>
      </c>
      <c r="BW26" s="1372">
        <f t="shared" si="38"/>
        <v>0</v>
      </c>
      <c r="BX26" s="1373">
        <f t="shared" si="39"/>
        <v>0</v>
      </c>
      <c r="BY26" s="1373">
        <f t="shared" si="40"/>
        <v>0</v>
      </c>
      <c r="BZ26" s="1373">
        <f t="shared" si="41"/>
        <v>0</v>
      </c>
      <c r="CA26" s="1373">
        <f t="shared" si="42"/>
        <v>0</v>
      </c>
      <c r="CB26" s="1405">
        <f t="shared" si="43"/>
        <v>0</v>
      </c>
      <c r="CC26" s="1374">
        <f t="shared" si="79"/>
        <v>0</v>
      </c>
      <c r="CD26" s="1374">
        <f t="shared" si="44"/>
        <v>0</v>
      </c>
      <c r="CE26" s="1374">
        <f t="shared" si="45"/>
        <v>0</v>
      </c>
      <c r="CF26" s="1378">
        <f t="shared" si="46"/>
        <v>0</v>
      </c>
      <c r="CG26" s="1378">
        <f t="shared" si="47"/>
        <v>0</v>
      </c>
      <c r="CH26" s="1378">
        <f t="shared" si="48"/>
        <v>0</v>
      </c>
      <c r="CI26" s="1374">
        <f t="shared" si="49"/>
        <v>0</v>
      </c>
      <c r="CJ26" s="1374">
        <f t="shared" si="50"/>
        <v>0</v>
      </c>
      <c r="CK26" s="1374" t="str">
        <f t="shared" si="51"/>
        <v/>
      </c>
      <c r="CL26" s="1374">
        <f t="shared" si="52"/>
        <v>0</v>
      </c>
      <c r="CM26" s="1379">
        <f t="shared" si="53"/>
        <v>0</v>
      </c>
      <c r="CN26" s="628">
        <f>(BS26*Pricing!F$3+BT26*Pricing!G$3+BU26*Pricing!H$3+BV26*Pricing!I$3+BW26*Pricing!J$3+BX26*Pricing!K$3)*IF(W$44="N",(1+Y$44),1)</f>
        <v>0</v>
      </c>
      <c r="CO26" s="628">
        <f t="shared" si="54"/>
        <v>0</v>
      </c>
      <c r="CP26" s="628">
        <f t="shared" si="55"/>
        <v>0</v>
      </c>
      <c r="CQ26" s="628">
        <f t="shared" si="56"/>
        <v>0</v>
      </c>
      <c r="CR26" s="628">
        <f t="shared" si="57"/>
        <v>0</v>
      </c>
      <c r="CS26" s="628"/>
      <c r="CT26" s="628">
        <f t="shared" si="58"/>
        <v>0</v>
      </c>
      <c r="CU26" s="628">
        <f t="shared" si="59"/>
        <v>0</v>
      </c>
      <c r="CV26" s="628">
        <f t="shared" si="60"/>
        <v>0</v>
      </c>
      <c r="CW26" s="628">
        <f t="shared" si="61"/>
        <v>0</v>
      </c>
      <c r="CX26" s="628">
        <f t="shared" si="62"/>
        <v>0</v>
      </c>
      <c r="CY26" s="628">
        <f t="shared" si="63"/>
        <v>0</v>
      </c>
      <c r="CZ26" s="628">
        <f t="shared" si="64"/>
        <v>0</v>
      </c>
      <c r="DA26" s="628" t="str">
        <f t="shared" si="65"/>
        <v/>
      </c>
      <c r="DB26" s="628">
        <f t="shared" si="66"/>
        <v>0</v>
      </c>
      <c r="DC26" s="628">
        <f t="shared" si="67"/>
        <v>0</v>
      </c>
      <c r="DD26" s="1382"/>
      <c r="DE26" s="626">
        <f t="shared" si="68"/>
        <v>0</v>
      </c>
      <c r="DF26" s="626">
        <f t="shared" si="69"/>
        <v>0</v>
      </c>
      <c r="DG26" s="626">
        <f t="shared" si="70"/>
        <v>0</v>
      </c>
      <c r="DH26" s="626">
        <f t="shared" si="71"/>
        <v>0</v>
      </c>
      <c r="DI26" s="626">
        <f t="shared" si="72"/>
        <v>0</v>
      </c>
      <c r="DJ26" s="626">
        <f t="shared" si="73"/>
        <v>0</v>
      </c>
      <c r="DK26" s="626">
        <f t="shared" si="74"/>
        <v>0</v>
      </c>
      <c r="DL26" s="626">
        <f t="shared" si="75"/>
        <v>0</v>
      </c>
      <c r="DM26" s="626">
        <f t="shared" si="76"/>
        <v>0</v>
      </c>
      <c r="DN26" s="626">
        <f t="shared" si="77"/>
        <v>0</v>
      </c>
      <c r="DO26" s="1405">
        <f t="shared" si="78"/>
        <v>0</v>
      </c>
    </row>
    <row r="27" spans="1:119" ht="19.5" customHeight="1">
      <c r="A27" s="2301" t="s">
        <v>1571</v>
      </c>
      <c r="B27" s="1385"/>
      <c r="C27" s="1386"/>
      <c r="D27" s="1387"/>
      <c r="E27" s="1388"/>
      <c r="F27" s="984"/>
      <c r="G27" s="1389"/>
      <c r="H27" s="984"/>
      <c r="I27" s="1389"/>
      <c r="J27" s="984"/>
      <c r="K27" s="1419"/>
      <c r="L27" s="1391"/>
      <c r="M27" s="1392"/>
      <c r="N27" s="1393"/>
      <c r="O27" s="1394"/>
      <c r="P27" s="1351">
        <f t="shared" si="0"/>
        <v>0</v>
      </c>
      <c r="Q27" s="1352">
        <f t="shared" si="1"/>
        <v>0</v>
      </c>
      <c r="R27" s="1353">
        <f t="shared" si="2"/>
        <v>0</v>
      </c>
      <c r="S27" s="1354">
        <f t="shared" si="3"/>
        <v>0</v>
      </c>
      <c r="T27" s="1355">
        <f t="shared" si="4"/>
        <v>0</v>
      </c>
      <c r="U27" s="1356">
        <f t="shared" si="5"/>
        <v>0</v>
      </c>
      <c r="V27" s="1357">
        <f t="shared" si="6"/>
        <v>0</v>
      </c>
      <c r="W27" s="1395"/>
      <c r="X27" s="1656"/>
      <c r="Y27" s="1395"/>
      <c r="Z27" s="1397"/>
      <c r="AA27" s="1395"/>
      <c r="AB27" s="1397"/>
      <c r="AC27" s="1398"/>
      <c r="AD27" s="1656"/>
      <c r="AE27" s="1395"/>
      <c r="AF27" s="2304"/>
      <c r="AG27" s="1431"/>
      <c r="AH27" s="2304"/>
      <c r="AI27" s="1395"/>
      <c r="AJ27" s="1656"/>
      <c r="AK27" s="1395"/>
      <c r="AL27" s="1392"/>
      <c r="AM27" s="1395"/>
      <c r="AN27" s="1397"/>
      <c r="AO27" s="1395"/>
      <c r="AP27" s="1397"/>
      <c r="AQ27" s="626"/>
      <c r="AR27" s="1369" t="str">
        <f t="shared" si="7"/>
        <v/>
      </c>
      <c r="AS27" s="1270" t="str">
        <f t="shared" si="8"/>
        <v/>
      </c>
      <c r="AT27" s="1270" t="str">
        <f t="shared" si="9"/>
        <v/>
      </c>
      <c r="AU27" s="1270" t="str">
        <f t="shared" si="10"/>
        <v/>
      </c>
      <c r="AV27" s="1270" t="str">
        <f t="shared" si="11"/>
        <v/>
      </c>
      <c r="AW27" s="1270" t="str">
        <f t="shared" si="12"/>
        <v/>
      </c>
      <c r="AX27" s="1270" t="str">
        <f t="shared" si="13"/>
        <v/>
      </c>
      <c r="AY27" s="1270" t="str">
        <f t="shared" si="14"/>
        <v/>
      </c>
      <c r="AZ27" s="1270" t="str">
        <f t="shared" si="15"/>
        <v/>
      </c>
      <c r="BA27" s="1270" t="str">
        <f t="shared" si="16"/>
        <v/>
      </c>
      <c r="BB27" s="1371">
        <f t="shared" si="17"/>
        <v>0</v>
      </c>
      <c r="BC27" s="1369" t="str">
        <f t="shared" si="18"/>
        <v/>
      </c>
      <c r="BD27" s="626" t="str">
        <f t="shared" si="19"/>
        <v/>
      </c>
      <c r="BE27" s="1270" t="str">
        <f t="shared" si="20"/>
        <v/>
      </c>
      <c r="BF27" s="626" t="str">
        <f t="shared" si="21"/>
        <v/>
      </c>
      <c r="BG27" s="626" t="str">
        <f t="shared" si="22"/>
        <v/>
      </c>
      <c r="BH27" s="626" t="str">
        <f t="shared" si="23"/>
        <v/>
      </c>
      <c r="BI27" s="626" t="str">
        <f t="shared" si="24"/>
        <v/>
      </c>
      <c r="BJ27" s="626" t="str">
        <f t="shared" si="25"/>
        <v/>
      </c>
      <c r="BK27" s="626" t="str">
        <f t="shared" si="26"/>
        <v/>
      </c>
      <c r="BL27" s="626" t="str">
        <f t="shared" si="27"/>
        <v/>
      </c>
      <c r="BM27" s="1420">
        <f t="shared" si="28"/>
        <v>0</v>
      </c>
      <c r="BN27" s="1372">
        <f t="shared" si="29"/>
        <v>0</v>
      </c>
      <c r="BO27" s="1372">
        <f t="shared" si="30"/>
        <v>0</v>
      </c>
      <c r="BP27" s="1372">
        <f t="shared" si="31"/>
        <v>0</v>
      </c>
      <c r="BQ27" s="1374">
        <f t="shared" si="32"/>
        <v>0</v>
      </c>
      <c r="BR27" s="1251">
        <f t="shared" si="33"/>
        <v>0</v>
      </c>
      <c r="BS27" s="1403">
        <f t="shared" si="34"/>
        <v>0</v>
      </c>
      <c r="BT27" s="1372">
        <f t="shared" si="35"/>
        <v>0</v>
      </c>
      <c r="BU27" s="1372">
        <f t="shared" si="36"/>
        <v>0</v>
      </c>
      <c r="BV27" s="1372">
        <f t="shared" si="37"/>
        <v>0</v>
      </c>
      <c r="BW27" s="1372">
        <f t="shared" si="38"/>
        <v>0</v>
      </c>
      <c r="BX27" s="1373">
        <f t="shared" si="39"/>
        <v>0</v>
      </c>
      <c r="BY27" s="1373">
        <f t="shared" si="40"/>
        <v>0</v>
      </c>
      <c r="BZ27" s="1373">
        <f t="shared" si="41"/>
        <v>0</v>
      </c>
      <c r="CA27" s="1373">
        <f t="shared" si="42"/>
        <v>0</v>
      </c>
      <c r="CB27" s="1405">
        <f t="shared" si="43"/>
        <v>0</v>
      </c>
      <c r="CC27" s="1374">
        <f t="shared" si="79"/>
        <v>0</v>
      </c>
      <c r="CD27" s="1374">
        <f t="shared" si="44"/>
        <v>0</v>
      </c>
      <c r="CE27" s="1374">
        <f t="shared" si="45"/>
        <v>0</v>
      </c>
      <c r="CF27" s="1378">
        <f t="shared" si="46"/>
        <v>0</v>
      </c>
      <c r="CG27" s="1378">
        <f t="shared" si="47"/>
        <v>0</v>
      </c>
      <c r="CH27" s="1378">
        <f t="shared" si="48"/>
        <v>0</v>
      </c>
      <c r="CI27" s="1374">
        <f t="shared" si="49"/>
        <v>0</v>
      </c>
      <c r="CJ27" s="1374">
        <f t="shared" si="50"/>
        <v>0</v>
      </c>
      <c r="CK27" s="1374" t="str">
        <f t="shared" si="51"/>
        <v/>
      </c>
      <c r="CL27" s="1374">
        <f t="shared" si="52"/>
        <v>0</v>
      </c>
      <c r="CM27" s="1379">
        <f t="shared" si="53"/>
        <v>0</v>
      </c>
      <c r="CN27" s="628">
        <f>(BS27*Pricing!F$3+BT27*Pricing!G$3+BU27*Pricing!H$3+BV27*Pricing!I$3+BW27*Pricing!J$3+BX27*Pricing!K$3)*IF(W$44="N",(1+Y$44),1)</f>
        <v>0</v>
      </c>
      <c r="CO27" s="628">
        <f t="shared" si="54"/>
        <v>0</v>
      </c>
      <c r="CP27" s="628">
        <f t="shared" si="55"/>
        <v>0</v>
      </c>
      <c r="CQ27" s="628">
        <f t="shared" si="56"/>
        <v>0</v>
      </c>
      <c r="CR27" s="628">
        <f t="shared" si="57"/>
        <v>0</v>
      </c>
      <c r="CS27" s="628"/>
      <c r="CT27" s="628">
        <f t="shared" si="58"/>
        <v>0</v>
      </c>
      <c r="CU27" s="628">
        <f t="shared" si="59"/>
        <v>0</v>
      </c>
      <c r="CV27" s="628">
        <f t="shared" si="60"/>
        <v>0</v>
      </c>
      <c r="CW27" s="628">
        <f t="shared" si="61"/>
        <v>0</v>
      </c>
      <c r="CX27" s="628">
        <f t="shared" si="62"/>
        <v>0</v>
      </c>
      <c r="CY27" s="628">
        <f t="shared" si="63"/>
        <v>0</v>
      </c>
      <c r="CZ27" s="628">
        <f t="shared" si="64"/>
        <v>0</v>
      </c>
      <c r="DA27" s="628" t="str">
        <f t="shared" si="65"/>
        <v/>
      </c>
      <c r="DB27" s="628">
        <f t="shared" si="66"/>
        <v>0</v>
      </c>
      <c r="DC27" s="628">
        <f t="shared" si="67"/>
        <v>0</v>
      </c>
      <c r="DD27" s="1382"/>
      <c r="DE27" s="626">
        <f t="shared" si="68"/>
        <v>0</v>
      </c>
      <c r="DF27" s="626">
        <f t="shared" si="69"/>
        <v>0</v>
      </c>
      <c r="DG27" s="626">
        <f t="shared" si="70"/>
        <v>0</v>
      </c>
      <c r="DH27" s="626">
        <f t="shared" si="71"/>
        <v>0</v>
      </c>
      <c r="DI27" s="626">
        <f t="shared" si="72"/>
        <v>0</v>
      </c>
      <c r="DJ27" s="626">
        <f t="shared" si="73"/>
        <v>0</v>
      </c>
      <c r="DK27" s="626">
        <f t="shared" si="74"/>
        <v>0</v>
      </c>
      <c r="DL27" s="626">
        <f t="shared" si="75"/>
        <v>0</v>
      </c>
      <c r="DM27" s="626">
        <f t="shared" si="76"/>
        <v>0</v>
      </c>
      <c r="DN27" s="626">
        <f t="shared" si="77"/>
        <v>0</v>
      </c>
      <c r="DO27" s="1405">
        <f t="shared" si="78"/>
        <v>0</v>
      </c>
    </row>
    <row r="28" spans="1:119" ht="19.5" customHeight="1">
      <c r="A28" s="2301" t="s">
        <v>1572</v>
      </c>
      <c r="B28" s="859"/>
      <c r="C28" s="1342"/>
      <c r="D28" s="1343"/>
      <c r="E28" s="1344"/>
      <c r="F28" s="984"/>
      <c r="G28" s="1389"/>
      <c r="H28" s="984"/>
      <c r="I28" s="1389"/>
      <c r="J28" s="984"/>
      <c r="K28" s="1419"/>
      <c r="L28" s="503"/>
      <c r="M28" s="834"/>
      <c r="N28" s="1349"/>
      <c r="O28" s="1350"/>
      <c r="P28" s="1351">
        <f t="shared" si="0"/>
        <v>0</v>
      </c>
      <c r="Q28" s="1352">
        <f t="shared" si="1"/>
        <v>0</v>
      </c>
      <c r="R28" s="1353">
        <f t="shared" si="2"/>
        <v>0</v>
      </c>
      <c r="S28" s="1354">
        <f t="shared" si="3"/>
        <v>0</v>
      </c>
      <c r="T28" s="1355">
        <f t="shared" si="4"/>
        <v>0</v>
      </c>
      <c r="U28" s="1356">
        <f t="shared" si="5"/>
        <v>0</v>
      </c>
      <c r="V28" s="1357">
        <f t="shared" si="6"/>
        <v>0</v>
      </c>
      <c r="W28" s="503"/>
      <c r="X28" s="2305"/>
      <c r="Y28" s="503"/>
      <c r="Z28" s="1410"/>
      <c r="AA28" s="503"/>
      <c r="AB28" s="1410"/>
      <c r="AC28" s="1421"/>
      <c r="AD28" s="2305"/>
      <c r="AE28" s="503"/>
      <c r="AF28" s="1428"/>
      <c r="AG28" s="503"/>
      <c r="AH28" s="1428"/>
      <c r="AI28" s="2"/>
      <c r="AJ28" s="1652"/>
      <c r="AK28" s="503"/>
      <c r="AL28" s="834"/>
      <c r="AM28" s="503"/>
      <c r="AN28" s="1410"/>
      <c r="AO28" s="503"/>
      <c r="AP28" s="1410"/>
      <c r="AQ28" s="626"/>
      <c r="AR28" s="1369" t="str">
        <f t="shared" si="7"/>
        <v/>
      </c>
      <c r="AS28" s="1270" t="str">
        <f t="shared" si="8"/>
        <v/>
      </c>
      <c r="AT28" s="1270" t="str">
        <f t="shared" si="9"/>
        <v/>
      </c>
      <c r="AU28" s="1270" t="str">
        <f t="shared" si="10"/>
        <v/>
      </c>
      <c r="AV28" s="1270" t="str">
        <f t="shared" si="11"/>
        <v/>
      </c>
      <c r="AW28" s="1270" t="str">
        <f t="shared" si="12"/>
        <v/>
      </c>
      <c r="AX28" s="1270" t="str">
        <f t="shared" si="13"/>
        <v/>
      </c>
      <c r="AY28" s="1270" t="str">
        <f t="shared" si="14"/>
        <v/>
      </c>
      <c r="AZ28" s="1270" t="str">
        <f t="shared" si="15"/>
        <v/>
      </c>
      <c r="BA28" s="1270" t="str">
        <f t="shared" si="16"/>
        <v/>
      </c>
      <c r="BB28" s="1371">
        <f t="shared" si="17"/>
        <v>0</v>
      </c>
      <c r="BC28" s="1369" t="str">
        <f t="shared" si="18"/>
        <v/>
      </c>
      <c r="BD28" s="626" t="str">
        <f t="shared" si="19"/>
        <v/>
      </c>
      <c r="BE28" s="1270" t="str">
        <f t="shared" si="20"/>
        <v/>
      </c>
      <c r="BF28" s="626" t="str">
        <f t="shared" si="21"/>
        <v/>
      </c>
      <c r="BG28" s="626" t="str">
        <f t="shared" si="22"/>
        <v/>
      </c>
      <c r="BH28" s="626" t="str">
        <f t="shared" si="23"/>
        <v/>
      </c>
      <c r="BI28" s="626" t="str">
        <f t="shared" si="24"/>
        <v/>
      </c>
      <c r="BJ28" s="626" t="str">
        <f t="shared" si="25"/>
        <v/>
      </c>
      <c r="BK28" s="626" t="str">
        <f t="shared" si="26"/>
        <v/>
      </c>
      <c r="BL28" s="626" t="str">
        <f t="shared" si="27"/>
        <v/>
      </c>
      <c r="BM28" s="1420">
        <f t="shared" si="28"/>
        <v>0</v>
      </c>
      <c r="BN28" s="1372">
        <f t="shared" si="29"/>
        <v>0</v>
      </c>
      <c r="BO28" s="1372">
        <f t="shared" si="30"/>
        <v>0</v>
      </c>
      <c r="BP28" s="1372">
        <f t="shared" si="31"/>
        <v>0</v>
      </c>
      <c r="BQ28" s="1374">
        <f t="shared" si="32"/>
        <v>0</v>
      </c>
      <c r="BR28" s="1251">
        <f t="shared" si="33"/>
        <v>0</v>
      </c>
      <c r="BS28" s="1403">
        <f t="shared" si="34"/>
        <v>0</v>
      </c>
      <c r="BT28" s="1372">
        <f t="shared" si="35"/>
        <v>0</v>
      </c>
      <c r="BU28" s="1372">
        <f t="shared" si="36"/>
        <v>0</v>
      </c>
      <c r="BV28" s="1372">
        <f t="shared" si="37"/>
        <v>0</v>
      </c>
      <c r="BW28" s="1372">
        <f t="shared" si="38"/>
        <v>0</v>
      </c>
      <c r="BX28" s="1373">
        <f t="shared" si="39"/>
        <v>0</v>
      </c>
      <c r="BY28" s="1373">
        <f t="shared" si="40"/>
        <v>0</v>
      </c>
      <c r="BZ28" s="1373">
        <f t="shared" si="41"/>
        <v>0</v>
      </c>
      <c r="CA28" s="1373">
        <f t="shared" si="42"/>
        <v>0</v>
      </c>
      <c r="CB28" s="1405">
        <f t="shared" si="43"/>
        <v>0</v>
      </c>
      <c r="CC28" s="1374">
        <f t="shared" si="79"/>
        <v>0</v>
      </c>
      <c r="CD28" s="1374">
        <f t="shared" si="44"/>
        <v>0</v>
      </c>
      <c r="CE28" s="1374">
        <f t="shared" si="45"/>
        <v>0</v>
      </c>
      <c r="CF28" s="1378">
        <f t="shared" si="46"/>
        <v>0</v>
      </c>
      <c r="CG28" s="1378">
        <f t="shared" si="47"/>
        <v>0</v>
      </c>
      <c r="CH28" s="1378">
        <f t="shared" si="48"/>
        <v>0</v>
      </c>
      <c r="CI28" s="1374">
        <f t="shared" si="49"/>
        <v>0</v>
      </c>
      <c r="CJ28" s="1374">
        <f t="shared" si="50"/>
        <v>0</v>
      </c>
      <c r="CK28" s="1374" t="str">
        <f t="shared" si="51"/>
        <v/>
      </c>
      <c r="CL28" s="1374">
        <f t="shared" si="52"/>
        <v>0</v>
      </c>
      <c r="CM28" s="1379">
        <f t="shared" si="53"/>
        <v>0</v>
      </c>
      <c r="CN28" s="628">
        <f>(BS28*Pricing!F$3+BT28*Pricing!G$3+BU28*Pricing!H$3+BV28*Pricing!I$3+BW28*Pricing!J$3+BX28*Pricing!K$3)*IF(W$44="N",(1+Y$44),1)</f>
        <v>0</v>
      </c>
      <c r="CO28" s="628">
        <f t="shared" si="54"/>
        <v>0</v>
      </c>
      <c r="CP28" s="628">
        <f t="shared" si="55"/>
        <v>0</v>
      </c>
      <c r="CQ28" s="628">
        <f t="shared" si="56"/>
        <v>0</v>
      </c>
      <c r="CR28" s="628">
        <f t="shared" si="57"/>
        <v>0</v>
      </c>
      <c r="CS28" s="628"/>
      <c r="CT28" s="628">
        <f t="shared" si="58"/>
        <v>0</v>
      </c>
      <c r="CU28" s="628">
        <f t="shared" si="59"/>
        <v>0</v>
      </c>
      <c r="CV28" s="628">
        <f t="shared" si="60"/>
        <v>0</v>
      </c>
      <c r="CW28" s="628">
        <f t="shared" si="61"/>
        <v>0</v>
      </c>
      <c r="CX28" s="628">
        <f t="shared" si="62"/>
        <v>0</v>
      </c>
      <c r="CY28" s="628">
        <f t="shared" si="63"/>
        <v>0</v>
      </c>
      <c r="CZ28" s="628">
        <f t="shared" si="64"/>
        <v>0</v>
      </c>
      <c r="DA28" s="628" t="str">
        <f t="shared" si="65"/>
        <v/>
      </c>
      <c r="DB28" s="628">
        <f t="shared" si="66"/>
        <v>0</v>
      </c>
      <c r="DC28" s="628">
        <f t="shared" si="67"/>
        <v>0</v>
      </c>
      <c r="DD28" s="1382"/>
      <c r="DE28" s="626">
        <f t="shared" si="68"/>
        <v>0</v>
      </c>
      <c r="DF28" s="626">
        <f t="shared" si="69"/>
        <v>0</v>
      </c>
      <c r="DG28" s="626">
        <f t="shared" si="70"/>
        <v>0</v>
      </c>
      <c r="DH28" s="626">
        <f t="shared" si="71"/>
        <v>0</v>
      </c>
      <c r="DI28" s="626">
        <f t="shared" si="72"/>
        <v>0</v>
      </c>
      <c r="DJ28" s="626">
        <f t="shared" si="73"/>
        <v>0</v>
      </c>
      <c r="DK28" s="626">
        <f t="shared" si="74"/>
        <v>0</v>
      </c>
      <c r="DL28" s="626">
        <f t="shared" si="75"/>
        <v>0</v>
      </c>
      <c r="DM28" s="626">
        <f t="shared" si="76"/>
        <v>0</v>
      </c>
      <c r="DN28" s="626">
        <f t="shared" si="77"/>
        <v>0</v>
      </c>
      <c r="DO28" s="1405">
        <f t="shared" si="78"/>
        <v>0</v>
      </c>
    </row>
    <row r="29" spans="1:119" ht="19.5" customHeight="1">
      <c r="A29" s="2301" t="s">
        <v>1573</v>
      </c>
      <c r="B29" s="1385"/>
      <c r="C29" s="1386"/>
      <c r="D29" s="1387"/>
      <c r="E29" s="1388"/>
      <c r="F29" s="984"/>
      <c r="G29" s="1389"/>
      <c r="H29" s="984"/>
      <c r="I29" s="1389"/>
      <c r="J29" s="984"/>
      <c r="K29" s="1419"/>
      <c r="L29" s="1391"/>
      <c r="M29" s="1392"/>
      <c r="N29" s="1393"/>
      <c r="O29" s="1394"/>
      <c r="P29" s="1351">
        <f t="shared" si="0"/>
        <v>0</v>
      </c>
      <c r="Q29" s="1352">
        <f t="shared" si="1"/>
        <v>0</v>
      </c>
      <c r="R29" s="1353">
        <f t="shared" si="2"/>
        <v>0</v>
      </c>
      <c r="S29" s="1354">
        <f t="shared" si="3"/>
        <v>0</v>
      </c>
      <c r="T29" s="1355">
        <f t="shared" si="4"/>
        <v>0</v>
      </c>
      <c r="U29" s="1356">
        <f t="shared" si="5"/>
        <v>0</v>
      </c>
      <c r="V29" s="1357">
        <f t="shared" si="6"/>
        <v>0</v>
      </c>
      <c r="W29" s="1395"/>
      <c r="X29" s="1656"/>
      <c r="Y29" s="1395"/>
      <c r="Z29" s="1397"/>
      <c r="AA29" s="1395"/>
      <c r="AB29" s="1397"/>
      <c r="AC29" s="1398"/>
      <c r="AD29" s="1656"/>
      <c r="AE29" s="1395"/>
      <c r="AF29" s="2304"/>
      <c r="AG29" s="1431"/>
      <c r="AH29" s="2304"/>
      <c r="AI29" s="1395"/>
      <c r="AJ29" s="1656"/>
      <c r="AK29" s="1395"/>
      <c r="AL29" s="1392"/>
      <c r="AM29" s="1395"/>
      <c r="AN29" s="1397"/>
      <c r="AO29" s="1395"/>
      <c r="AP29" s="1397"/>
      <c r="AQ29" s="626"/>
      <c r="AR29" s="1369" t="str">
        <f t="shared" si="7"/>
        <v/>
      </c>
      <c r="AS29" s="1270" t="str">
        <f t="shared" si="8"/>
        <v/>
      </c>
      <c r="AT29" s="1270" t="str">
        <f t="shared" si="9"/>
        <v/>
      </c>
      <c r="AU29" s="1270" t="str">
        <f t="shared" si="10"/>
        <v/>
      </c>
      <c r="AV29" s="1270" t="str">
        <f t="shared" si="11"/>
        <v/>
      </c>
      <c r="AW29" s="1270" t="str">
        <f t="shared" si="12"/>
        <v/>
      </c>
      <c r="AX29" s="1270" t="str">
        <f t="shared" si="13"/>
        <v/>
      </c>
      <c r="AY29" s="1270" t="str">
        <f t="shared" si="14"/>
        <v/>
      </c>
      <c r="AZ29" s="1270" t="str">
        <f t="shared" si="15"/>
        <v/>
      </c>
      <c r="BA29" s="1270" t="str">
        <f t="shared" si="16"/>
        <v/>
      </c>
      <c r="BB29" s="1371">
        <f t="shared" si="17"/>
        <v>0</v>
      </c>
      <c r="BC29" s="1369" t="str">
        <f t="shared" si="18"/>
        <v/>
      </c>
      <c r="BD29" s="626" t="str">
        <f t="shared" si="19"/>
        <v/>
      </c>
      <c r="BE29" s="1270" t="str">
        <f t="shared" si="20"/>
        <v/>
      </c>
      <c r="BF29" s="626" t="str">
        <f t="shared" si="21"/>
        <v/>
      </c>
      <c r="BG29" s="626" t="str">
        <f t="shared" si="22"/>
        <v/>
      </c>
      <c r="BH29" s="626" t="str">
        <f t="shared" si="23"/>
        <v/>
      </c>
      <c r="BI29" s="626" t="str">
        <f t="shared" si="24"/>
        <v/>
      </c>
      <c r="BJ29" s="626" t="str">
        <f t="shared" si="25"/>
        <v/>
      </c>
      <c r="BK29" s="626" t="str">
        <f t="shared" si="26"/>
        <v/>
      </c>
      <c r="BL29" s="626" t="str">
        <f t="shared" si="27"/>
        <v/>
      </c>
      <c r="BM29" s="1420">
        <f t="shared" si="28"/>
        <v>0</v>
      </c>
      <c r="BN29" s="1372">
        <f t="shared" si="29"/>
        <v>0</v>
      </c>
      <c r="BO29" s="1372">
        <f t="shared" si="30"/>
        <v>0</v>
      </c>
      <c r="BP29" s="1372">
        <f t="shared" si="31"/>
        <v>0</v>
      </c>
      <c r="BQ29" s="1374">
        <f t="shared" si="32"/>
        <v>0</v>
      </c>
      <c r="BR29" s="1251">
        <f>IF(Y2="y",D29,0)</f>
        <v>0</v>
      </c>
      <c r="BS29" s="1403">
        <f t="shared" si="34"/>
        <v>0</v>
      </c>
      <c r="BT29" s="1372">
        <f t="shared" si="35"/>
        <v>0</v>
      </c>
      <c r="BU29" s="1372">
        <f t="shared" si="36"/>
        <v>0</v>
      </c>
      <c r="BV29" s="1372">
        <f t="shared" si="37"/>
        <v>0</v>
      </c>
      <c r="BW29" s="1372">
        <f t="shared" si="38"/>
        <v>0</v>
      </c>
      <c r="BX29" s="1373">
        <f t="shared" si="39"/>
        <v>0</v>
      </c>
      <c r="BY29" s="1373">
        <f t="shared" si="40"/>
        <v>0</v>
      </c>
      <c r="BZ29" s="1373">
        <f t="shared" si="41"/>
        <v>0</v>
      </c>
      <c r="CA29" s="1373">
        <f t="shared" si="42"/>
        <v>0</v>
      </c>
      <c r="CB29" s="1405">
        <f t="shared" si="43"/>
        <v>0</v>
      </c>
      <c r="CC29" s="1374">
        <f t="shared" si="79"/>
        <v>0</v>
      </c>
      <c r="CD29" s="1374">
        <f t="shared" si="44"/>
        <v>0</v>
      </c>
      <c r="CE29" s="1374">
        <f t="shared" si="45"/>
        <v>0</v>
      </c>
      <c r="CF29" s="1378">
        <f t="shared" si="46"/>
        <v>0</v>
      </c>
      <c r="CG29" s="1378">
        <f t="shared" si="47"/>
        <v>0</v>
      </c>
      <c r="CH29" s="1378">
        <f t="shared" si="48"/>
        <v>0</v>
      </c>
      <c r="CI29" s="1374">
        <f t="shared" si="49"/>
        <v>0</v>
      </c>
      <c r="CJ29" s="1374">
        <f t="shared" si="50"/>
        <v>0</v>
      </c>
      <c r="CK29" s="1374" t="str">
        <f t="shared" si="51"/>
        <v/>
      </c>
      <c r="CL29" s="1374">
        <f t="shared" si="52"/>
        <v>0</v>
      </c>
      <c r="CM29" s="1379">
        <f t="shared" si="53"/>
        <v>0</v>
      </c>
      <c r="CN29" s="628">
        <f>(BS29*Pricing!F$3+BT29*Pricing!G$3+BU29*Pricing!H$3+BV29*Pricing!I$3+BW29*Pricing!J$3+BX29*Pricing!K$3)*IF(W$44="N",(1+Y$44),1)</f>
        <v>0</v>
      </c>
      <c r="CO29" s="628">
        <f t="shared" si="54"/>
        <v>0</v>
      </c>
      <c r="CP29" s="628">
        <f t="shared" si="55"/>
        <v>0</v>
      </c>
      <c r="CQ29" s="628">
        <f t="shared" si="56"/>
        <v>0</v>
      </c>
      <c r="CR29" s="628">
        <f t="shared" si="57"/>
        <v>0</v>
      </c>
      <c r="CS29" s="628"/>
      <c r="CT29" s="628">
        <f t="shared" si="58"/>
        <v>0</v>
      </c>
      <c r="CU29" s="628">
        <f t="shared" si="59"/>
        <v>0</v>
      </c>
      <c r="CV29" s="628">
        <f t="shared" si="60"/>
        <v>0</v>
      </c>
      <c r="CW29" s="628">
        <f t="shared" si="61"/>
        <v>0</v>
      </c>
      <c r="CX29" s="628">
        <f t="shared" si="62"/>
        <v>0</v>
      </c>
      <c r="CY29" s="628">
        <f t="shared" si="63"/>
        <v>0</v>
      </c>
      <c r="CZ29" s="628">
        <f t="shared" si="64"/>
        <v>0</v>
      </c>
      <c r="DA29" s="628" t="str">
        <f t="shared" si="65"/>
        <v/>
      </c>
      <c r="DB29" s="628">
        <f t="shared" si="66"/>
        <v>0</v>
      </c>
      <c r="DC29" s="628">
        <f t="shared" si="67"/>
        <v>0</v>
      </c>
      <c r="DD29" s="1382"/>
      <c r="DE29" s="626">
        <f t="shared" si="68"/>
        <v>0</v>
      </c>
      <c r="DF29" s="626">
        <f t="shared" si="69"/>
        <v>0</v>
      </c>
      <c r="DG29" s="626">
        <f t="shared" si="70"/>
        <v>0</v>
      </c>
      <c r="DH29" s="626">
        <f t="shared" si="71"/>
        <v>0</v>
      </c>
      <c r="DI29" s="626">
        <f t="shared" si="72"/>
        <v>0</v>
      </c>
      <c r="DJ29" s="626">
        <f t="shared" si="73"/>
        <v>0</v>
      </c>
      <c r="DK29" s="626">
        <f t="shared" si="74"/>
        <v>0</v>
      </c>
      <c r="DL29" s="626">
        <f t="shared" si="75"/>
        <v>0</v>
      </c>
      <c r="DM29" s="626">
        <f t="shared" si="76"/>
        <v>0</v>
      </c>
      <c r="DN29" s="626">
        <f t="shared" si="77"/>
        <v>0</v>
      </c>
      <c r="DO29" s="1405">
        <f t="shared" si="78"/>
        <v>0</v>
      </c>
    </row>
    <row r="30" spans="1:119" ht="19.5" customHeight="1">
      <c r="A30" s="2301" t="s">
        <v>1574</v>
      </c>
      <c r="B30" s="859"/>
      <c r="C30" s="1342"/>
      <c r="D30" s="1343"/>
      <c r="E30" s="1344"/>
      <c r="F30" s="984"/>
      <c r="G30" s="1389"/>
      <c r="H30" s="984"/>
      <c r="I30" s="1389"/>
      <c r="J30" s="984"/>
      <c r="K30" s="1419"/>
      <c r="L30" s="503"/>
      <c r="M30" s="834"/>
      <c r="N30" s="1349"/>
      <c r="O30" s="1350"/>
      <c r="P30" s="1351">
        <f t="shared" si="0"/>
        <v>0</v>
      </c>
      <c r="Q30" s="1352">
        <f t="shared" si="1"/>
        <v>0</v>
      </c>
      <c r="R30" s="1353">
        <f t="shared" si="2"/>
        <v>0</v>
      </c>
      <c r="S30" s="1354">
        <f t="shared" si="3"/>
        <v>0</v>
      </c>
      <c r="T30" s="1355">
        <f t="shared" si="4"/>
        <v>0</v>
      </c>
      <c r="U30" s="1356">
        <f t="shared" si="5"/>
        <v>0</v>
      </c>
      <c r="V30" s="1357">
        <f t="shared" si="6"/>
        <v>0</v>
      </c>
      <c r="W30" s="503"/>
      <c r="X30" s="2305"/>
      <c r="Y30" s="1347"/>
      <c r="Z30" s="1360"/>
      <c r="AA30" s="1347"/>
      <c r="AB30" s="1360"/>
      <c r="AC30" s="1361"/>
      <c r="AD30" s="2305"/>
      <c r="AE30" s="1347"/>
      <c r="AF30" s="1428"/>
      <c r="AG30" s="1429"/>
      <c r="AH30" s="1428"/>
      <c r="AI30" s="2"/>
      <c r="AJ30" s="2305"/>
      <c r="AK30" s="1347"/>
      <c r="AL30" s="2099"/>
      <c r="AM30" s="1347"/>
      <c r="AN30" s="1360"/>
      <c r="AO30" s="1347"/>
      <c r="AP30" s="1360"/>
      <c r="AQ30" s="626"/>
      <c r="AR30" s="1369" t="str">
        <f t="shared" si="7"/>
        <v/>
      </c>
      <c r="AS30" s="1270" t="str">
        <f t="shared" si="8"/>
        <v/>
      </c>
      <c r="AT30" s="1270" t="str">
        <f t="shared" si="9"/>
        <v/>
      </c>
      <c r="AU30" s="1270" t="str">
        <f t="shared" si="10"/>
        <v/>
      </c>
      <c r="AV30" s="1270" t="str">
        <f t="shared" si="11"/>
        <v/>
      </c>
      <c r="AW30" s="1270" t="str">
        <f t="shared" si="12"/>
        <v/>
      </c>
      <c r="AX30" s="1270" t="str">
        <f t="shared" si="13"/>
        <v/>
      </c>
      <c r="AY30" s="1270" t="str">
        <f t="shared" si="14"/>
        <v/>
      </c>
      <c r="AZ30" s="1270" t="str">
        <f t="shared" si="15"/>
        <v/>
      </c>
      <c r="BA30" s="1270" t="str">
        <f t="shared" si="16"/>
        <v/>
      </c>
      <c r="BB30" s="1371">
        <f t="shared" si="17"/>
        <v>0</v>
      </c>
      <c r="BC30" s="1369" t="str">
        <f t="shared" si="18"/>
        <v/>
      </c>
      <c r="BD30" s="626" t="str">
        <f t="shared" si="19"/>
        <v/>
      </c>
      <c r="BE30" s="1270" t="str">
        <f t="shared" si="20"/>
        <v/>
      </c>
      <c r="BF30" s="626" t="str">
        <f t="shared" si="21"/>
        <v/>
      </c>
      <c r="BG30" s="626" t="str">
        <f t="shared" si="22"/>
        <v/>
      </c>
      <c r="BH30" s="626" t="str">
        <f t="shared" si="23"/>
        <v/>
      </c>
      <c r="BI30" s="626" t="str">
        <f t="shared" si="24"/>
        <v/>
      </c>
      <c r="BJ30" s="626" t="str">
        <f t="shared" si="25"/>
        <v/>
      </c>
      <c r="BK30" s="626" t="str">
        <f t="shared" si="26"/>
        <v/>
      </c>
      <c r="BL30" s="626" t="str">
        <f t="shared" si="27"/>
        <v/>
      </c>
      <c r="BM30" s="1420">
        <f t="shared" si="28"/>
        <v>0</v>
      </c>
      <c r="BN30" s="1372">
        <f t="shared" si="29"/>
        <v>0</v>
      </c>
      <c r="BO30" s="1372">
        <f t="shared" si="30"/>
        <v>0</v>
      </c>
      <c r="BP30" s="1372">
        <f t="shared" si="31"/>
        <v>0</v>
      </c>
      <c r="BQ30" s="1374">
        <f t="shared" si="32"/>
        <v>0</v>
      </c>
      <c r="BR30" s="1251">
        <f>IF(O30="y",D30,0)</f>
        <v>0</v>
      </c>
      <c r="BS30" s="1403">
        <f t="shared" si="34"/>
        <v>0</v>
      </c>
      <c r="BT30" s="1372">
        <f t="shared" si="35"/>
        <v>0</v>
      </c>
      <c r="BU30" s="1372">
        <f t="shared" si="36"/>
        <v>0</v>
      </c>
      <c r="BV30" s="1372">
        <f t="shared" si="37"/>
        <v>0</v>
      </c>
      <c r="BW30" s="1372">
        <f t="shared" si="38"/>
        <v>0</v>
      </c>
      <c r="BX30" s="1373">
        <f t="shared" si="39"/>
        <v>0</v>
      </c>
      <c r="BY30" s="1373">
        <f t="shared" si="40"/>
        <v>0</v>
      </c>
      <c r="BZ30" s="1373">
        <f t="shared" si="41"/>
        <v>0</v>
      </c>
      <c r="CA30" s="1373">
        <f t="shared" si="42"/>
        <v>0</v>
      </c>
      <c r="CB30" s="1405">
        <f t="shared" si="43"/>
        <v>0</v>
      </c>
      <c r="CC30" s="1374">
        <f t="shared" si="79"/>
        <v>0</v>
      </c>
      <c r="CD30" s="1374">
        <f t="shared" si="44"/>
        <v>0</v>
      </c>
      <c r="CE30" s="1374">
        <f t="shared" si="45"/>
        <v>0</v>
      </c>
      <c r="CF30" s="1378">
        <f t="shared" si="46"/>
        <v>0</v>
      </c>
      <c r="CG30" s="1378">
        <f t="shared" si="47"/>
        <v>0</v>
      </c>
      <c r="CH30" s="1378">
        <f t="shared" si="48"/>
        <v>0</v>
      </c>
      <c r="CI30" s="1374">
        <f t="shared" si="49"/>
        <v>0</v>
      </c>
      <c r="CJ30" s="1374">
        <f t="shared" si="50"/>
        <v>0</v>
      </c>
      <c r="CK30" s="1374" t="str">
        <f t="shared" si="51"/>
        <v/>
      </c>
      <c r="CL30" s="1374">
        <f t="shared" si="52"/>
        <v>0</v>
      </c>
      <c r="CM30" s="1379">
        <f t="shared" si="53"/>
        <v>0</v>
      </c>
      <c r="CN30" s="628">
        <f>(BS30*Pricing!F$3+BT30*Pricing!G$3+BU30*Pricing!H$3+BV30*Pricing!I$3+BW30*Pricing!J$3+BX30*Pricing!K$3)*IF(W$44="N",(1+Y$44),1)</f>
        <v>0</v>
      </c>
      <c r="CO30" s="628">
        <f t="shared" si="54"/>
        <v>0</v>
      </c>
      <c r="CP30" s="628">
        <f t="shared" si="55"/>
        <v>0</v>
      </c>
      <c r="CQ30" s="628">
        <f t="shared" si="56"/>
        <v>0</v>
      </c>
      <c r="CR30" s="628">
        <f t="shared" si="57"/>
        <v>0</v>
      </c>
      <c r="CS30" s="628"/>
      <c r="CT30" s="628">
        <f t="shared" si="58"/>
        <v>0</v>
      </c>
      <c r="CU30" s="628">
        <f t="shared" si="59"/>
        <v>0</v>
      </c>
      <c r="CV30" s="628">
        <f t="shared" si="60"/>
        <v>0</v>
      </c>
      <c r="CW30" s="628">
        <f t="shared" si="61"/>
        <v>0</v>
      </c>
      <c r="CX30" s="628">
        <f t="shared" si="62"/>
        <v>0</v>
      </c>
      <c r="CY30" s="628">
        <f t="shared" si="63"/>
        <v>0</v>
      </c>
      <c r="CZ30" s="628">
        <f t="shared" si="64"/>
        <v>0</v>
      </c>
      <c r="DA30" s="628" t="str">
        <f t="shared" si="65"/>
        <v/>
      </c>
      <c r="DB30" s="628">
        <f t="shared" si="66"/>
        <v>0</v>
      </c>
      <c r="DC30" s="628">
        <f t="shared" si="67"/>
        <v>0</v>
      </c>
      <c r="DD30" s="1382"/>
      <c r="DE30" s="626">
        <f t="shared" si="68"/>
        <v>0</v>
      </c>
      <c r="DF30" s="626">
        <f t="shared" si="69"/>
        <v>0</v>
      </c>
      <c r="DG30" s="626">
        <f t="shared" si="70"/>
        <v>0</v>
      </c>
      <c r="DH30" s="626">
        <f t="shared" si="71"/>
        <v>0</v>
      </c>
      <c r="DI30" s="626">
        <f t="shared" si="72"/>
        <v>0</v>
      </c>
      <c r="DJ30" s="626">
        <f t="shared" si="73"/>
        <v>0</v>
      </c>
      <c r="DK30" s="626">
        <f t="shared" si="74"/>
        <v>0</v>
      </c>
      <c r="DL30" s="626">
        <f t="shared" si="75"/>
        <v>0</v>
      </c>
      <c r="DM30" s="626">
        <f t="shared" si="76"/>
        <v>0</v>
      </c>
      <c r="DN30" s="626">
        <f t="shared" si="77"/>
        <v>0</v>
      </c>
      <c r="DO30" s="1405">
        <f t="shared" si="78"/>
        <v>0</v>
      </c>
    </row>
    <row r="31" spans="1:119" ht="19.5" customHeight="1">
      <c r="A31" s="2301" t="s">
        <v>1575</v>
      </c>
      <c r="B31" s="1385"/>
      <c r="C31" s="1386"/>
      <c r="D31" s="1387"/>
      <c r="E31" s="1388"/>
      <c r="F31" s="984"/>
      <c r="G31" s="1389"/>
      <c r="H31" s="984"/>
      <c r="I31" s="1389"/>
      <c r="J31" s="984"/>
      <c r="K31" s="1419"/>
      <c r="L31" s="1395"/>
      <c r="M31" s="1392"/>
      <c r="N31" s="1393"/>
      <c r="O31" s="1394"/>
      <c r="P31" s="1351">
        <f t="shared" si="0"/>
        <v>0</v>
      </c>
      <c r="Q31" s="1352">
        <f t="shared" si="1"/>
        <v>0</v>
      </c>
      <c r="R31" s="1353">
        <f t="shared" si="2"/>
        <v>0</v>
      </c>
      <c r="S31" s="1354">
        <f t="shared" si="3"/>
        <v>0</v>
      </c>
      <c r="T31" s="1355">
        <f t="shared" si="4"/>
        <v>0</v>
      </c>
      <c r="U31" s="1356">
        <f t="shared" si="5"/>
        <v>0</v>
      </c>
      <c r="V31" s="1357">
        <f t="shared" si="6"/>
        <v>0</v>
      </c>
      <c r="W31" s="1395"/>
      <c r="X31" s="1656"/>
      <c r="Y31" s="1395"/>
      <c r="Z31" s="1397"/>
      <c r="AA31" s="1395"/>
      <c r="AB31" s="1397"/>
      <c r="AC31" s="1398"/>
      <c r="AD31" s="1656"/>
      <c r="AE31" s="1395"/>
      <c r="AF31" s="2304"/>
      <c r="AG31" s="1431"/>
      <c r="AH31" s="2304"/>
      <c r="AI31" s="1395"/>
      <c r="AJ31" s="1656"/>
      <c r="AK31" s="1395"/>
      <c r="AL31" s="1392"/>
      <c r="AM31" s="1395"/>
      <c r="AN31" s="1397"/>
      <c r="AO31" s="1395"/>
      <c r="AP31" s="1397"/>
      <c r="AQ31" s="626"/>
      <c r="AR31" s="1369" t="str">
        <f t="shared" si="7"/>
        <v/>
      </c>
      <c r="AS31" s="1270" t="str">
        <f t="shared" si="8"/>
        <v/>
      </c>
      <c r="AT31" s="1270" t="str">
        <f t="shared" si="9"/>
        <v/>
      </c>
      <c r="AU31" s="1270" t="str">
        <f t="shared" si="10"/>
        <v/>
      </c>
      <c r="AV31" s="1270" t="str">
        <f t="shared" si="11"/>
        <v/>
      </c>
      <c r="AW31" s="1270" t="str">
        <f t="shared" si="12"/>
        <v/>
      </c>
      <c r="AX31" s="1270" t="str">
        <f t="shared" si="13"/>
        <v/>
      </c>
      <c r="AY31" s="1270" t="str">
        <f t="shared" si="14"/>
        <v/>
      </c>
      <c r="AZ31" s="1270" t="str">
        <f t="shared" si="15"/>
        <v/>
      </c>
      <c r="BA31" s="1270" t="str">
        <f t="shared" si="16"/>
        <v/>
      </c>
      <c r="BB31" s="1371">
        <f t="shared" si="17"/>
        <v>0</v>
      </c>
      <c r="BC31" s="1369" t="str">
        <f t="shared" si="18"/>
        <v/>
      </c>
      <c r="BD31" s="626" t="str">
        <f t="shared" si="19"/>
        <v/>
      </c>
      <c r="BE31" s="1270" t="str">
        <f t="shared" si="20"/>
        <v/>
      </c>
      <c r="BF31" s="626" t="str">
        <f t="shared" si="21"/>
        <v/>
      </c>
      <c r="BG31" s="626" t="str">
        <f t="shared" si="22"/>
        <v/>
      </c>
      <c r="BH31" s="626" t="str">
        <f t="shared" si="23"/>
        <v/>
      </c>
      <c r="BI31" s="626" t="str">
        <f t="shared" si="24"/>
        <v/>
      </c>
      <c r="BJ31" s="626" t="str">
        <f t="shared" si="25"/>
        <v/>
      </c>
      <c r="BK31" s="626" t="str">
        <f t="shared" si="26"/>
        <v/>
      </c>
      <c r="BL31" s="626" t="str">
        <f t="shared" si="27"/>
        <v/>
      </c>
      <c r="BM31" s="1420">
        <f t="shared" si="28"/>
        <v>0</v>
      </c>
      <c r="BN31" s="1372">
        <f t="shared" si="29"/>
        <v>0</v>
      </c>
      <c r="BO31" s="1372">
        <f t="shared" si="30"/>
        <v>0</v>
      </c>
      <c r="BP31" s="1372">
        <f t="shared" si="31"/>
        <v>0</v>
      </c>
      <c r="BQ31" s="1374">
        <f t="shared" si="32"/>
        <v>0</v>
      </c>
      <c r="BR31" s="1251">
        <f>IF(Y4="y",D31,0)</f>
        <v>0</v>
      </c>
      <c r="BS31" s="1403">
        <f t="shared" si="34"/>
        <v>0</v>
      </c>
      <c r="BT31" s="1372">
        <f t="shared" si="35"/>
        <v>0</v>
      </c>
      <c r="BU31" s="1372">
        <f t="shared" si="36"/>
        <v>0</v>
      </c>
      <c r="BV31" s="1372">
        <f t="shared" si="37"/>
        <v>0</v>
      </c>
      <c r="BW31" s="1372">
        <f t="shared" si="38"/>
        <v>0</v>
      </c>
      <c r="BX31" s="1373">
        <f t="shared" si="39"/>
        <v>0</v>
      </c>
      <c r="BY31" s="1373">
        <f t="shared" si="40"/>
        <v>0</v>
      </c>
      <c r="BZ31" s="1373">
        <f t="shared" si="41"/>
        <v>0</v>
      </c>
      <c r="CA31" s="1373">
        <f t="shared" si="42"/>
        <v>0</v>
      </c>
      <c r="CB31" s="1405">
        <f t="shared" si="43"/>
        <v>0</v>
      </c>
      <c r="CC31" s="1374">
        <f t="shared" si="79"/>
        <v>0</v>
      </c>
      <c r="CD31" s="1374">
        <f t="shared" si="44"/>
        <v>0</v>
      </c>
      <c r="CE31" s="1374">
        <f t="shared" si="45"/>
        <v>0</v>
      </c>
      <c r="CF31" s="1378">
        <f t="shared" si="46"/>
        <v>0</v>
      </c>
      <c r="CG31" s="1378">
        <f t="shared" si="47"/>
        <v>0</v>
      </c>
      <c r="CH31" s="1378">
        <f t="shared" si="48"/>
        <v>0</v>
      </c>
      <c r="CI31" s="1374">
        <f t="shared" si="49"/>
        <v>0</v>
      </c>
      <c r="CJ31" s="1374">
        <f t="shared" si="50"/>
        <v>0</v>
      </c>
      <c r="CK31" s="1374" t="str">
        <f t="shared" si="51"/>
        <v/>
      </c>
      <c r="CL31" s="1374">
        <f t="shared" si="52"/>
        <v>0</v>
      </c>
      <c r="CM31" s="1379">
        <f t="shared" si="53"/>
        <v>0</v>
      </c>
      <c r="CN31" s="628">
        <f>(BS31*Pricing!F$3+BT31*Pricing!G$3+BU31*Pricing!H$3+BV31*Pricing!I$3+BW31*Pricing!J$3+BX31*Pricing!K$3)*IF(W$44="N",(1+Y$44),1)</f>
        <v>0</v>
      </c>
      <c r="CO31" s="628">
        <f t="shared" si="54"/>
        <v>0</v>
      </c>
      <c r="CP31" s="628">
        <f t="shared" si="55"/>
        <v>0</v>
      </c>
      <c r="CQ31" s="628">
        <f t="shared" si="56"/>
        <v>0</v>
      </c>
      <c r="CR31" s="628">
        <f t="shared" si="57"/>
        <v>0</v>
      </c>
      <c r="CS31" s="628"/>
      <c r="CT31" s="628">
        <f t="shared" si="58"/>
        <v>0</v>
      </c>
      <c r="CU31" s="628">
        <f t="shared" si="59"/>
        <v>0</v>
      </c>
      <c r="CV31" s="628">
        <f t="shared" si="60"/>
        <v>0</v>
      </c>
      <c r="CW31" s="628">
        <f t="shared" si="61"/>
        <v>0</v>
      </c>
      <c r="CX31" s="628">
        <f t="shared" si="62"/>
        <v>0</v>
      </c>
      <c r="CY31" s="628">
        <f t="shared" si="63"/>
        <v>0</v>
      </c>
      <c r="CZ31" s="628">
        <f t="shared" si="64"/>
        <v>0</v>
      </c>
      <c r="DA31" s="628" t="str">
        <f t="shared" si="65"/>
        <v/>
      </c>
      <c r="DB31" s="628">
        <f t="shared" si="66"/>
        <v>0</v>
      </c>
      <c r="DC31" s="628">
        <f t="shared" si="67"/>
        <v>0</v>
      </c>
      <c r="DD31" s="1382"/>
      <c r="DE31" s="626">
        <f t="shared" si="68"/>
        <v>0</v>
      </c>
      <c r="DF31" s="626">
        <f t="shared" si="69"/>
        <v>0</v>
      </c>
      <c r="DG31" s="626">
        <f t="shared" si="70"/>
        <v>0</v>
      </c>
      <c r="DH31" s="626">
        <f t="shared" si="71"/>
        <v>0</v>
      </c>
      <c r="DI31" s="626">
        <f t="shared" si="72"/>
        <v>0</v>
      </c>
      <c r="DJ31" s="626">
        <f t="shared" si="73"/>
        <v>0</v>
      </c>
      <c r="DK31" s="626">
        <f t="shared" si="74"/>
        <v>0</v>
      </c>
      <c r="DL31" s="626">
        <f t="shared" si="75"/>
        <v>0</v>
      </c>
      <c r="DM31" s="626">
        <f t="shared" si="76"/>
        <v>0</v>
      </c>
      <c r="DN31" s="626">
        <f t="shared" si="77"/>
        <v>0</v>
      </c>
      <c r="DO31" s="1405">
        <f t="shared" si="78"/>
        <v>0</v>
      </c>
    </row>
    <row r="32" spans="1:119" ht="19.5" customHeight="1">
      <c r="A32" s="2301" t="s">
        <v>1576</v>
      </c>
      <c r="B32" s="859"/>
      <c r="C32" s="1342"/>
      <c r="D32" s="1422"/>
      <c r="E32" s="1423"/>
      <c r="F32" s="984"/>
      <c r="G32" s="1345"/>
      <c r="H32" s="984"/>
      <c r="I32" s="1345"/>
      <c r="J32" s="984"/>
      <c r="K32" s="1424"/>
      <c r="L32" s="503"/>
      <c r="M32" s="834"/>
      <c r="N32" s="1349"/>
      <c r="O32" s="1350"/>
      <c r="P32" s="1351">
        <f t="shared" si="0"/>
        <v>0</v>
      </c>
      <c r="Q32" s="1352">
        <f t="shared" si="1"/>
        <v>0</v>
      </c>
      <c r="R32" s="1353">
        <f t="shared" si="2"/>
        <v>0</v>
      </c>
      <c r="S32" s="1354">
        <f t="shared" si="3"/>
        <v>0</v>
      </c>
      <c r="T32" s="1355">
        <f t="shared" si="4"/>
        <v>0</v>
      </c>
      <c r="U32" s="1356">
        <f t="shared" si="5"/>
        <v>0</v>
      </c>
      <c r="V32" s="1357">
        <f t="shared" si="6"/>
        <v>0</v>
      </c>
      <c r="W32" s="503"/>
      <c r="X32" s="2305"/>
      <c r="Y32" s="1347"/>
      <c r="Z32" s="1360"/>
      <c r="AA32" s="1347"/>
      <c r="AB32" s="1360"/>
      <c r="AC32" s="1421"/>
      <c r="AD32" s="2305"/>
      <c r="AE32" s="503"/>
      <c r="AF32" s="1428"/>
      <c r="AG32" s="503"/>
      <c r="AH32" s="1428"/>
      <c r="AI32" s="503"/>
      <c r="AJ32" s="1427"/>
      <c r="AK32" s="503"/>
      <c r="AL32" s="1428"/>
      <c r="AM32" s="1347"/>
      <c r="AN32" s="1360"/>
      <c r="AO32" s="1347"/>
      <c r="AP32" s="1360"/>
      <c r="AQ32" s="626"/>
      <c r="AR32" s="1369" t="str">
        <f t="shared" si="7"/>
        <v/>
      </c>
      <c r="AS32" s="1270" t="str">
        <f t="shared" si="8"/>
        <v/>
      </c>
      <c r="AT32" s="1270" t="str">
        <f t="shared" si="9"/>
        <v/>
      </c>
      <c r="AU32" s="1270" t="str">
        <f t="shared" si="10"/>
        <v/>
      </c>
      <c r="AV32" s="1270" t="str">
        <f t="shared" si="11"/>
        <v/>
      </c>
      <c r="AW32" s="1270" t="str">
        <f t="shared" si="12"/>
        <v/>
      </c>
      <c r="AX32" s="1270" t="str">
        <f t="shared" si="13"/>
        <v/>
      </c>
      <c r="AY32" s="1270" t="str">
        <f t="shared" si="14"/>
        <v/>
      </c>
      <c r="AZ32" s="1270" t="str">
        <f t="shared" si="15"/>
        <v/>
      </c>
      <c r="BA32" s="1270" t="str">
        <f t="shared" si="16"/>
        <v/>
      </c>
      <c r="BB32" s="1371">
        <f t="shared" si="17"/>
        <v>0</v>
      </c>
      <c r="BC32" s="1369" t="str">
        <f t="shared" si="18"/>
        <v/>
      </c>
      <c r="BD32" s="626" t="str">
        <f t="shared" si="19"/>
        <v/>
      </c>
      <c r="BE32" s="1270" t="str">
        <f t="shared" si="20"/>
        <v/>
      </c>
      <c r="BF32" s="626" t="str">
        <f t="shared" si="21"/>
        <v/>
      </c>
      <c r="BG32" s="626" t="str">
        <f t="shared" si="22"/>
        <v/>
      </c>
      <c r="BH32" s="626" t="str">
        <f t="shared" si="23"/>
        <v/>
      </c>
      <c r="BI32" s="626" t="str">
        <f t="shared" si="24"/>
        <v/>
      </c>
      <c r="BJ32" s="626" t="str">
        <f t="shared" si="25"/>
        <v/>
      </c>
      <c r="BK32" s="626" t="str">
        <f t="shared" si="26"/>
        <v/>
      </c>
      <c r="BL32" s="626" t="str">
        <f t="shared" si="27"/>
        <v/>
      </c>
      <c r="BM32" s="1420">
        <f t="shared" si="28"/>
        <v>0</v>
      </c>
      <c r="BN32" s="1372">
        <f t="shared" si="29"/>
        <v>0</v>
      </c>
      <c r="BO32" s="1372">
        <f t="shared" si="30"/>
        <v>0</v>
      </c>
      <c r="BP32" s="1372">
        <f t="shared" si="31"/>
        <v>0</v>
      </c>
      <c r="BQ32" s="1374">
        <f t="shared" si="32"/>
        <v>0</v>
      </c>
      <c r="BR32" s="1251">
        <f>IF(O32="y",D32,0)</f>
        <v>0</v>
      </c>
      <c r="BS32" s="1403">
        <f t="shared" si="34"/>
        <v>0</v>
      </c>
      <c r="BT32" s="1372">
        <f t="shared" si="35"/>
        <v>0</v>
      </c>
      <c r="BU32" s="1372">
        <f t="shared" si="36"/>
        <v>0</v>
      </c>
      <c r="BV32" s="1372">
        <f t="shared" si="37"/>
        <v>0</v>
      </c>
      <c r="BW32" s="1372">
        <f t="shared" si="38"/>
        <v>0</v>
      </c>
      <c r="BX32" s="1373">
        <f t="shared" si="39"/>
        <v>0</v>
      </c>
      <c r="BY32" s="1373">
        <f t="shared" si="40"/>
        <v>0</v>
      </c>
      <c r="BZ32" s="1373">
        <f t="shared" si="41"/>
        <v>0</v>
      </c>
      <c r="CA32" s="1373">
        <f t="shared" si="42"/>
        <v>0</v>
      </c>
      <c r="CB32" s="1405">
        <f t="shared" si="43"/>
        <v>0</v>
      </c>
      <c r="CC32" s="1374">
        <f t="shared" si="79"/>
        <v>0</v>
      </c>
      <c r="CD32" s="1374">
        <f t="shared" si="44"/>
        <v>0</v>
      </c>
      <c r="CE32" s="1374">
        <f t="shared" si="45"/>
        <v>0</v>
      </c>
      <c r="CF32" s="1378">
        <f t="shared" si="46"/>
        <v>0</v>
      </c>
      <c r="CG32" s="1378">
        <f t="shared" si="47"/>
        <v>0</v>
      </c>
      <c r="CH32" s="1378">
        <f t="shared" si="48"/>
        <v>0</v>
      </c>
      <c r="CI32" s="1374">
        <f t="shared" si="49"/>
        <v>0</v>
      </c>
      <c r="CJ32" s="1374">
        <f t="shared" si="50"/>
        <v>0</v>
      </c>
      <c r="CK32" s="1374" t="str">
        <f t="shared" si="51"/>
        <v/>
      </c>
      <c r="CL32" s="1374">
        <f t="shared" si="52"/>
        <v>0</v>
      </c>
      <c r="CM32" s="1379">
        <f t="shared" si="53"/>
        <v>0</v>
      </c>
      <c r="CN32" s="628">
        <f>(BS32*Pricing!F$3+BT32*Pricing!G$3+BU32*Pricing!H$3+BV32*Pricing!I$3+BW32*Pricing!J$3+BX32*Pricing!K$3)*IF(W$44="N",(1+Y$44),1)</f>
        <v>0</v>
      </c>
      <c r="CO32" s="628">
        <f t="shared" si="54"/>
        <v>0</v>
      </c>
      <c r="CP32" s="628">
        <f t="shared" si="55"/>
        <v>0</v>
      </c>
      <c r="CQ32" s="628">
        <f t="shared" si="56"/>
        <v>0</v>
      </c>
      <c r="CR32" s="628">
        <f t="shared" si="57"/>
        <v>0</v>
      </c>
      <c r="CS32" s="628"/>
      <c r="CT32" s="628">
        <f t="shared" si="58"/>
        <v>0</v>
      </c>
      <c r="CU32" s="628">
        <f t="shared" si="59"/>
        <v>0</v>
      </c>
      <c r="CV32" s="628">
        <f t="shared" si="60"/>
        <v>0</v>
      </c>
      <c r="CW32" s="628">
        <f t="shared" si="61"/>
        <v>0</v>
      </c>
      <c r="CX32" s="628">
        <f t="shared" si="62"/>
        <v>0</v>
      </c>
      <c r="CY32" s="628">
        <f t="shared" si="63"/>
        <v>0</v>
      </c>
      <c r="CZ32" s="628">
        <f t="shared" si="64"/>
        <v>0</v>
      </c>
      <c r="DA32" s="628" t="str">
        <f t="shared" si="65"/>
        <v/>
      </c>
      <c r="DB32" s="628">
        <f t="shared" si="66"/>
        <v>0</v>
      </c>
      <c r="DC32" s="628">
        <f t="shared" si="67"/>
        <v>0</v>
      </c>
      <c r="DD32" s="1382"/>
      <c r="DE32" s="626">
        <f t="shared" si="68"/>
        <v>0</v>
      </c>
      <c r="DF32" s="626">
        <f t="shared" si="69"/>
        <v>0</v>
      </c>
      <c r="DG32" s="626">
        <f t="shared" si="70"/>
        <v>0</v>
      </c>
      <c r="DH32" s="626">
        <f t="shared" si="71"/>
        <v>0</v>
      </c>
      <c r="DI32" s="626">
        <f t="shared" si="72"/>
        <v>0</v>
      </c>
      <c r="DJ32" s="626">
        <f t="shared" si="73"/>
        <v>0</v>
      </c>
      <c r="DK32" s="626">
        <f t="shared" si="74"/>
        <v>0</v>
      </c>
      <c r="DL32" s="626">
        <f t="shared" si="75"/>
        <v>0</v>
      </c>
      <c r="DM32" s="626">
        <f t="shared" si="76"/>
        <v>0</v>
      </c>
      <c r="DN32" s="626">
        <f t="shared" si="77"/>
        <v>0</v>
      </c>
      <c r="DO32" s="1405">
        <f t="shared" si="78"/>
        <v>0</v>
      </c>
    </row>
    <row r="33" spans="1:119" ht="19.5" customHeight="1">
      <c r="A33" s="2301" t="s">
        <v>1577</v>
      </c>
      <c r="B33" s="1385"/>
      <c r="C33" s="1386"/>
      <c r="D33" s="1387"/>
      <c r="E33" s="1388"/>
      <c r="F33" s="984"/>
      <c r="G33" s="1389"/>
      <c r="H33" s="984"/>
      <c r="I33" s="1389"/>
      <c r="J33" s="984"/>
      <c r="K33" s="1419"/>
      <c r="L33" s="1395"/>
      <c r="M33" s="1392"/>
      <c r="N33" s="1393"/>
      <c r="O33" s="1394"/>
      <c r="P33" s="1351">
        <f t="shared" si="0"/>
        <v>0</v>
      </c>
      <c r="Q33" s="1352">
        <f t="shared" si="1"/>
        <v>0</v>
      </c>
      <c r="R33" s="1353">
        <f t="shared" si="2"/>
        <v>0</v>
      </c>
      <c r="S33" s="1354">
        <f t="shared" si="3"/>
        <v>0</v>
      </c>
      <c r="T33" s="1355">
        <f t="shared" si="4"/>
        <v>0</v>
      </c>
      <c r="U33" s="1356">
        <f t="shared" si="5"/>
        <v>0</v>
      </c>
      <c r="V33" s="1357">
        <f t="shared" si="6"/>
        <v>0</v>
      </c>
      <c r="W33" s="1395"/>
      <c r="X33" s="1656"/>
      <c r="Y33" s="1395"/>
      <c r="Z33" s="1397"/>
      <c r="AA33" s="1395"/>
      <c r="AB33" s="1397"/>
      <c r="AC33" s="1398"/>
      <c r="AD33" s="1656"/>
      <c r="AE33" s="1395"/>
      <c r="AF33" s="2304"/>
      <c r="AG33" s="1431"/>
      <c r="AH33" s="2304"/>
      <c r="AI33" s="1395"/>
      <c r="AJ33" s="1392"/>
      <c r="AK33" s="1395"/>
      <c r="AL33" s="1392"/>
      <c r="AM33" s="1395"/>
      <c r="AN33" s="1397"/>
      <c r="AO33" s="1395"/>
      <c r="AP33" s="1397"/>
      <c r="AQ33" s="626"/>
      <c r="AR33" s="1369" t="str">
        <f t="shared" si="7"/>
        <v/>
      </c>
      <c r="AS33" s="1270" t="str">
        <f t="shared" si="8"/>
        <v/>
      </c>
      <c r="AT33" s="1270" t="str">
        <f t="shared" si="9"/>
        <v/>
      </c>
      <c r="AU33" s="1270" t="str">
        <f t="shared" si="10"/>
        <v/>
      </c>
      <c r="AV33" s="1270" t="str">
        <f t="shared" si="11"/>
        <v/>
      </c>
      <c r="AW33" s="1270" t="str">
        <f t="shared" si="12"/>
        <v/>
      </c>
      <c r="AX33" s="1270" t="str">
        <f t="shared" si="13"/>
        <v/>
      </c>
      <c r="AY33" s="1270" t="str">
        <f t="shared" si="14"/>
        <v/>
      </c>
      <c r="AZ33" s="1270" t="str">
        <f t="shared" si="15"/>
        <v/>
      </c>
      <c r="BA33" s="1270" t="str">
        <f t="shared" si="16"/>
        <v/>
      </c>
      <c r="BB33" s="1371">
        <f t="shared" si="17"/>
        <v>0</v>
      </c>
      <c r="BC33" s="1369" t="str">
        <f t="shared" si="18"/>
        <v/>
      </c>
      <c r="BD33" s="626" t="str">
        <f t="shared" si="19"/>
        <v/>
      </c>
      <c r="BE33" s="1270" t="str">
        <f t="shared" si="20"/>
        <v/>
      </c>
      <c r="BF33" s="626" t="str">
        <f t="shared" si="21"/>
        <v/>
      </c>
      <c r="BG33" s="626" t="str">
        <f t="shared" si="22"/>
        <v/>
      </c>
      <c r="BH33" s="626" t="str">
        <f t="shared" si="23"/>
        <v/>
      </c>
      <c r="BI33" s="626" t="str">
        <f t="shared" si="24"/>
        <v/>
      </c>
      <c r="BJ33" s="626" t="str">
        <f t="shared" si="25"/>
        <v/>
      </c>
      <c r="BK33" s="626" t="str">
        <f t="shared" si="26"/>
        <v/>
      </c>
      <c r="BL33" s="626" t="str">
        <f t="shared" si="27"/>
        <v/>
      </c>
      <c r="BM33" s="1420">
        <f t="shared" si="28"/>
        <v>0</v>
      </c>
      <c r="BN33" s="1372">
        <f t="shared" si="29"/>
        <v>0</v>
      </c>
      <c r="BO33" s="1372">
        <f t="shared" si="30"/>
        <v>0</v>
      </c>
      <c r="BP33" s="1372">
        <f t="shared" si="31"/>
        <v>0</v>
      </c>
      <c r="BQ33" s="1374">
        <f t="shared" si="32"/>
        <v>0</v>
      </c>
      <c r="BR33" s="1251">
        <f>IF(Y6="y",D33,0)</f>
        <v>0</v>
      </c>
      <c r="BS33" s="1403">
        <f t="shared" si="34"/>
        <v>0</v>
      </c>
      <c r="BT33" s="1372">
        <f t="shared" si="35"/>
        <v>0</v>
      </c>
      <c r="BU33" s="1372">
        <f t="shared" si="36"/>
        <v>0</v>
      </c>
      <c r="BV33" s="1372">
        <f t="shared" si="37"/>
        <v>0</v>
      </c>
      <c r="BW33" s="1372">
        <f t="shared" si="38"/>
        <v>0</v>
      </c>
      <c r="BX33" s="1373">
        <f t="shared" si="39"/>
        <v>0</v>
      </c>
      <c r="BY33" s="1373">
        <f t="shared" si="40"/>
        <v>0</v>
      </c>
      <c r="BZ33" s="1373">
        <f t="shared" si="41"/>
        <v>0</v>
      </c>
      <c r="CA33" s="1373">
        <f t="shared" si="42"/>
        <v>0</v>
      </c>
      <c r="CB33" s="1405">
        <f t="shared" si="43"/>
        <v>0</v>
      </c>
      <c r="CC33" s="1374">
        <f t="shared" si="79"/>
        <v>0</v>
      </c>
      <c r="CD33" s="1374">
        <f t="shared" si="44"/>
        <v>0</v>
      </c>
      <c r="CE33" s="1374">
        <f t="shared" si="45"/>
        <v>0</v>
      </c>
      <c r="CF33" s="1378">
        <f t="shared" si="46"/>
        <v>0</v>
      </c>
      <c r="CG33" s="1378">
        <f t="shared" si="47"/>
        <v>0</v>
      </c>
      <c r="CH33" s="1378">
        <f t="shared" si="48"/>
        <v>0</v>
      </c>
      <c r="CI33" s="1374">
        <f t="shared" si="49"/>
        <v>0</v>
      </c>
      <c r="CJ33" s="1374">
        <f t="shared" si="50"/>
        <v>0</v>
      </c>
      <c r="CK33" s="1374" t="str">
        <f t="shared" si="51"/>
        <v/>
      </c>
      <c r="CL33" s="1374">
        <f t="shared" si="52"/>
        <v>0</v>
      </c>
      <c r="CM33" s="1379">
        <f t="shared" si="53"/>
        <v>0</v>
      </c>
      <c r="CN33" s="628">
        <f>(BS33*Pricing!F$3+BT33*Pricing!G$3+BU33*Pricing!H$3+BV33*Pricing!I$3+BW33*Pricing!J$3+BX33*Pricing!K$3)*IF(W$44="N",(1+Y$44),1)</f>
        <v>0</v>
      </c>
      <c r="CO33" s="628">
        <f t="shared" si="54"/>
        <v>0</v>
      </c>
      <c r="CP33" s="628">
        <f t="shared" si="55"/>
        <v>0</v>
      </c>
      <c r="CQ33" s="628">
        <f t="shared" si="56"/>
        <v>0</v>
      </c>
      <c r="CR33" s="628">
        <f t="shared" si="57"/>
        <v>0</v>
      </c>
      <c r="CS33" s="628"/>
      <c r="CT33" s="628">
        <f t="shared" si="58"/>
        <v>0</v>
      </c>
      <c r="CU33" s="628">
        <f t="shared" si="59"/>
        <v>0</v>
      </c>
      <c r="CV33" s="628">
        <f t="shared" si="60"/>
        <v>0</v>
      </c>
      <c r="CW33" s="628">
        <f t="shared" si="61"/>
        <v>0</v>
      </c>
      <c r="CX33" s="628">
        <f t="shared" si="62"/>
        <v>0</v>
      </c>
      <c r="CY33" s="628">
        <f t="shared" si="63"/>
        <v>0</v>
      </c>
      <c r="CZ33" s="628">
        <f t="shared" si="64"/>
        <v>0</v>
      </c>
      <c r="DA33" s="628" t="str">
        <f t="shared" si="65"/>
        <v/>
      </c>
      <c r="DB33" s="628">
        <f t="shared" si="66"/>
        <v>0</v>
      </c>
      <c r="DC33" s="628">
        <f t="shared" si="67"/>
        <v>0</v>
      </c>
      <c r="DD33" s="1382"/>
      <c r="DE33" s="626">
        <f t="shared" si="68"/>
        <v>0</v>
      </c>
      <c r="DF33" s="626">
        <f t="shared" si="69"/>
        <v>0</v>
      </c>
      <c r="DG33" s="626">
        <f t="shared" si="70"/>
        <v>0</v>
      </c>
      <c r="DH33" s="626">
        <f t="shared" si="71"/>
        <v>0</v>
      </c>
      <c r="DI33" s="626">
        <f t="shared" si="72"/>
        <v>0</v>
      </c>
      <c r="DJ33" s="626">
        <f t="shared" si="73"/>
        <v>0</v>
      </c>
      <c r="DK33" s="626">
        <f t="shared" si="74"/>
        <v>0</v>
      </c>
      <c r="DL33" s="626">
        <f t="shared" si="75"/>
        <v>0</v>
      </c>
      <c r="DM33" s="626">
        <f t="shared" si="76"/>
        <v>0</v>
      </c>
      <c r="DN33" s="626">
        <f t="shared" si="77"/>
        <v>0</v>
      </c>
      <c r="DO33" s="1405">
        <f t="shared" si="78"/>
        <v>0</v>
      </c>
    </row>
    <row r="34" spans="1:119" ht="19.5" customHeight="1">
      <c r="A34" s="2301" t="s">
        <v>1578</v>
      </c>
      <c r="B34" s="859"/>
      <c r="C34" s="1342"/>
      <c r="D34" s="1422"/>
      <c r="E34" s="1423"/>
      <c r="F34" s="984"/>
      <c r="G34" s="1389"/>
      <c r="H34" s="984"/>
      <c r="I34" s="1389"/>
      <c r="J34" s="984"/>
      <c r="K34" s="1426"/>
      <c r="L34" s="503"/>
      <c r="M34" s="834"/>
      <c r="N34" s="1349"/>
      <c r="O34" s="1350"/>
      <c r="P34" s="1351">
        <f t="shared" si="0"/>
        <v>0</v>
      </c>
      <c r="Q34" s="1352">
        <f t="shared" si="1"/>
        <v>0</v>
      </c>
      <c r="R34" s="1353">
        <f t="shared" si="2"/>
        <v>0</v>
      </c>
      <c r="S34" s="1354">
        <f t="shared" si="3"/>
        <v>0</v>
      </c>
      <c r="T34" s="1355">
        <f t="shared" si="4"/>
        <v>0</v>
      </c>
      <c r="U34" s="1356">
        <f t="shared" si="5"/>
        <v>0</v>
      </c>
      <c r="V34" s="1357">
        <f t="shared" si="6"/>
        <v>0</v>
      </c>
      <c r="W34" s="503"/>
      <c r="X34" s="1427"/>
      <c r="Y34" s="1347"/>
      <c r="Z34" s="1360"/>
      <c r="AA34" s="1347"/>
      <c r="AB34" s="1360"/>
      <c r="AC34" s="1361"/>
      <c r="AD34" s="1427"/>
      <c r="AE34" s="1347"/>
      <c r="AF34" s="1428"/>
      <c r="AG34" s="1429"/>
      <c r="AH34" s="1348"/>
      <c r="AI34" s="503"/>
      <c r="AJ34" s="1427"/>
      <c r="AK34" s="503"/>
      <c r="AL34" s="1428"/>
      <c r="AM34" s="1347"/>
      <c r="AN34" s="1360"/>
      <c r="AO34" s="1347"/>
      <c r="AP34" s="1360"/>
      <c r="AQ34" s="626"/>
      <c r="AR34" s="1369" t="str">
        <f t="shared" si="7"/>
        <v/>
      </c>
      <c r="AS34" s="1270" t="str">
        <f t="shared" si="8"/>
        <v/>
      </c>
      <c r="AT34" s="1270" t="str">
        <f t="shared" si="9"/>
        <v/>
      </c>
      <c r="AU34" s="1270" t="str">
        <f t="shared" si="10"/>
        <v/>
      </c>
      <c r="AV34" s="1270" t="str">
        <f t="shared" si="11"/>
        <v/>
      </c>
      <c r="AW34" s="1270" t="str">
        <f t="shared" si="12"/>
        <v/>
      </c>
      <c r="AX34" s="1270" t="str">
        <f t="shared" si="13"/>
        <v/>
      </c>
      <c r="AY34" s="1270" t="str">
        <f t="shared" si="14"/>
        <v/>
      </c>
      <c r="AZ34" s="1270" t="str">
        <f t="shared" si="15"/>
        <v/>
      </c>
      <c r="BA34" s="1270" t="str">
        <f t="shared" si="16"/>
        <v/>
      </c>
      <c r="BB34" s="1371">
        <f t="shared" si="17"/>
        <v>0</v>
      </c>
      <c r="BC34" s="1369" t="str">
        <f t="shared" si="18"/>
        <v/>
      </c>
      <c r="BD34" s="626" t="str">
        <f t="shared" si="19"/>
        <v/>
      </c>
      <c r="BE34" s="1270" t="str">
        <f t="shared" si="20"/>
        <v/>
      </c>
      <c r="BF34" s="626" t="str">
        <f t="shared" si="21"/>
        <v/>
      </c>
      <c r="BG34" s="626" t="str">
        <f t="shared" si="22"/>
        <v/>
      </c>
      <c r="BH34" s="626" t="str">
        <f t="shared" si="23"/>
        <v/>
      </c>
      <c r="BI34" s="626" t="str">
        <f t="shared" si="24"/>
        <v/>
      </c>
      <c r="BJ34" s="626" t="str">
        <f t="shared" si="25"/>
        <v/>
      </c>
      <c r="BK34" s="626" t="str">
        <f t="shared" si="26"/>
        <v/>
      </c>
      <c r="BL34" s="626" t="str">
        <f t="shared" si="27"/>
        <v/>
      </c>
      <c r="BM34" s="1420">
        <f t="shared" si="28"/>
        <v>0</v>
      </c>
      <c r="BN34" s="1372">
        <f t="shared" si="29"/>
        <v>0</v>
      </c>
      <c r="BO34" s="1372">
        <f t="shared" si="30"/>
        <v>0</v>
      </c>
      <c r="BP34" s="1372">
        <f t="shared" si="31"/>
        <v>0</v>
      </c>
      <c r="BQ34" s="1374">
        <f t="shared" si="32"/>
        <v>0</v>
      </c>
      <c r="BR34" s="1251">
        <f>IF(O34="y",D34,0)</f>
        <v>0</v>
      </c>
      <c r="BS34" s="1403">
        <f t="shared" si="34"/>
        <v>0</v>
      </c>
      <c r="BT34" s="1372">
        <f t="shared" si="35"/>
        <v>0</v>
      </c>
      <c r="BU34" s="1372">
        <f t="shared" si="36"/>
        <v>0</v>
      </c>
      <c r="BV34" s="1372">
        <f t="shared" si="37"/>
        <v>0</v>
      </c>
      <c r="BW34" s="1372">
        <f t="shared" si="38"/>
        <v>0</v>
      </c>
      <c r="BX34" s="1373">
        <f t="shared" si="39"/>
        <v>0</v>
      </c>
      <c r="BY34" s="1373">
        <f t="shared" si="40"/>
        <v>0</v>
      </c>
      <c r="BZ34" s="1373">
        <f t="shared" si="41"/>
        <v>0</v>
      </c>
      <c r="CA34" s="1373">
        <f t="shared" si="42"/>
        <v>0</v>
      </c>
      <c r="CB34" s="1405">
        <f t="shared" si="43"/>
        <v>0</v>
      </c>
      <c r="CC34" s="1374">
        <f t="shared" si="79"/>
        <v>0</v>
      </c>
      <c r="CD34" s="1374">
        <f t="shared" si="44"/>
        <v>0</v>
      </c>
      <c r="CE34" s="1374">
        <f t="shared" si="45"/>
        <v>0</v>
      </c>
      <c r="CF34" s="1378">
        <f t="shared" si="46"/>
        <v>0</v>
      </c>
      <c r="CG34" s="1378">
        <f t="shared" si="47"/>
        <v>0</v>
      </c>
      <c r="CH34" s="1378">
        <f t="shared" si="48"/>
        <v>0</v>
      </c>
      <c r="CI34" s="1374">
        <f t="shared" si="49"/>
        <v>0</v>
      </c>
      <c r="CJ34" s="1374">
        <f t="shared" si="50"/>
        <v>0</v>
      </c>
      <c r="CK34" s="1374" t="str">
        <f t="shared" si="51"/>
        <v/>
      </c>
      <c r="CL34" s="1374">
        <f t="shared" si="52"/>
        <v>0</v>
      </c>
      <c r="CM34" s="1379">
        <f t="shared" si="53"/>
        <v>0</v>
      </c>
      <c r="CN34" s="628">
        <f>(BS34*Pricing!F$3+BT34*Pricing!G$3+BU34*Pricing!H$3+BV34*Pricing!I$3+BW34*Pricing!J$3+BX34*Pricing!K$3)*IF(W$44="N",(1+Y$44),1)</f>
        <v>0</v>
      </c>
      <c r="CO34" s="628">
        <f t="shared" si="54"/>
        <v>0</v>
      </c>
      <c r="CP34" s="628">
        <f t="shared" si="55"/>
        <v>0</v>
      </c>
      <c r="CQ34" s="628">
        <f t="shared" si="56"/>
        <v>0</v>
      </c>
      <c r="CR34" s="628">
        <f t="shared" si="57"/>
        <v>0</v>
      </c>
      <c r="CS34" s="628"/>
      <c r="CT34" s="628">
        <f t="shared" si="58"/>
        <v>0</v>
      </c>
      <c r="CU34" s="628">
        <f t="shared" si="59"/>
        <v>0</v>
      </c>
      <c r="CV34" s="628">
        <f t="shared" si="60"/>
        <v>0</v>
      </c>
      <c r="CW34" s="628">
        <f t="shared" si="61"/>
        <v>0</v>
      </c>
      <c r="CX34" s="628">
        <f t="shared" si="62"/>
        <v>0</v>
      </c>
      <c r="CY34" s="628">
        <f t="shared" si="63"/>
        <v>0</v>
      </c>
      <c r="CZ34" s="628">
        <f t="shared" si="64"/>
        <v>0</v>
      </c>
      <c r="DA34" s="628" t="str">
        <f t="shared" si="65"/>
        <v/>
      </c>
      <c r="DB34" s="628">
        <f t="shared" si="66"/>
        <v>0</v>
      </c>
      <c r="DC34" s="628">
        <f t="shared" si="67"/>
        <v>0</v>
      </c>
      <c r="DD34" s="1382"/>
      <c r="DE34" s="626">
        <f t="shared" si="68"/>
        <v>0</v>
      </c>
      <c r="DF34" s="626">
        <f t="shared" si="69"/>
        <v>0</v>
      </c>
      <c r="DG34" s="626">
        <f t="shared" si="70"/>
        <v>0</v>
      </c>
      <c r="DH34" s="626">
        <f t="shared" si="71"/>
        <v>0</v>
      </c>
      <c r="DI34" s="626">
        <f t="shared" si="72"/>
        <v>0</v>
      </c>
      <c r="DJ34" s="626">
        <f t="shared" si="73"/>
        <v>0</v>
      </c>
      <c r="DK34" s="626">
        <f t="shared" si="74"/>
        <v>0</v>
      </c>
      <c r="DL34" s="626">
        <f t="shared" si="75"/>
        <v>0</v>
      </c>
      <c r="DM34" s="626">
        <f t="shared" si="76"/>
        <v>0</v>
      </c>
      <c r="DN34" s="626">
        <f t="shared" si="77"/>
        <v>0</v>
      </c>
      <c r="DO34" s="1405">
        <f t="shared" si="78"/>
        <v>0</v>
      </c>
    </row>
    <row r="35" spans="1:119" ht="19.5" customHeight="1">
      <c r="A35" s="2301" t="s">
        <v>1580</v>
      </c>
      <c r="B35" s="1385"/>
      <c r="C35" s="1386"/>
      <c r="D35" s="1387"/>
      <c r="E35" s="1388"/>
      <c r="F35" s="984"/>
      <c r="G35" s="1389"/>
      <c r="H35" s="984"/>
      <c r="I35" s="1389"/>
      <c r="J35" s="984"/>
      <c r="K35" s="1419"/>
      <c r="L35" s="1395"/>
      <c r="M35" s="1392"/>
      <c r="N35" s="1393"/>
      <c r="O35" s="1394"/>
      <c r="P35" s="1351">
        <f t="shared" si="0"/>
        <v>0</v>
      </c>
      <c r="Q35" s="1352">
        <f t="shared" si="1"/>
        <v>0</v>
      </c>
      <c r="R35" s="1353">
        <f t="shared" si="2"/>
        <v>0</v>
      </c>
      <c r="S35" s="1354">
        <f t="shared" si="3"/>
        <v>0</v>
      </c>
      <c r="T35" s="1355">
        <f t="shared" si="4"/>
        <v>0</v>
      </c>
      <c r="U35" s="1356">
        <f t="shared" si="5"/>
        <v>0</v>
      </c>
      <c r="V35" s="1357">
        <f t="shared" si="6"/>
        <v>0</v>
      </c>
      <c r="W35" s="1395"/>
      <c r="X35" s="1430"/>
      <c r="Y35" s="1395"/>
      <c r="Z35" s="1397"/>
      <c r="AA35" s="1395"/>
      <c r="AB35" s="1397"/>
      <c r="AC35" s="1398"/>
      <c r="AD35" s="1430"/>
      <c r="AE35" s="1395"/>
      <c r="AF35" s="1392"/>
      <c r="AG35" s="1431"/>
      <c r="AH35" s="1392"/>
      <c r="AI35" s="1395"/>
      <c r="AJ35" s="1392"/>
      <c r="AK35" s="1395"/>
      <c r="AL35" s="1392"/>
      <c r="AM35" s="1395"/>
      <c r="AN35" s="1397"/>
      <c r="AO35" s="1395"/>
      <c r="AP35" s="1397"/>
      <c r="AQ35" s="626"/>
      <c r="AR35" s="1369" t="str">
        <f t="shared" si="7"/>
        <v/>
      </c>
      <c r="AS35" s="1270" t="str">
        <f t="shared" si="8"/>
        <v/>
      </c>
      <c r="AT35" s="1270" t="str">
        <f t="shared" si="9"/>
        <v/>
      </c>
      <c r="AU35" s="1270" t="str">
        <f t="shared" si="10"/>
        <v/>
      </c>
      <c r="AV35" s="1270" t="str">
        <f t="shared" si="11"/>
        <v/>
      </c>
      <c r="AW35" s="1270" t="str">
        <f t="shared" si="12"/>
        <v/>
      </c>
      <c r="AX35" s="1270" t="str">
        <f t="shared" si="13"/>
        <v/>
      </c>
      <c r="AY35" s="1270" t="str">
        <f t="shared" si="14"/>
        <v/>
      </c>
      <c r="AZ35" s="1270" t="str">
        <f t="shared" si="15"/>
        <v/>
      </c>
      <c r="BA35" s="1270" t="str">
        <f t="shared" si="16"/>
        <v/>
      </c>
      <c r="BB35" s="1371">
        <f t="shared" si="17"/>
        <v>0</v>
      </c>
      <c r="BC35" s="1369" t="str">
        <f t="shared" si="18"/>
        <v/>
      </c>
      <c r="BD35" s="626" t="str">
        <f t="shared" si="19"/>
        <v/>
      </c>
      <c r="BE35" s="1270" t="str">
        <f t="shared" si="20"/>
        <v/>
      </c>
      <c r="BF35" s="626" t="str">
        <f t="shared" si="21"/>
        <v/>
      </c>
      <c r="BG35" s="626" t="str">
        <f t="shared" si="22"/>
        <v/>
      </c>
      <c r="BH35" s="626" t="str">
        <f t="shared" si="23"/>
        <v/>
      </c>
      <c r="BI35" s="626" t="str">
        <f t="shared" si="24"/>
        <v/>
      </c>
      <c r="BJ35" s="626" t="str">
        <f t="shared" si="25"/>
        <v/>
      </c>
      <c r="BK35" s="626" t="str">
        <f t="shared" si="26"/>
        <v/>
      </c>
      <c r="BL35" s="626" t="str">
        <f t="shared" si="27"/>
        <v/>
      </c>
      <c r="BM35" s="1420">
        <f t="shared" si="28"/>
        <v>0</v>
      </c>
      <c r="BN35" s="1372">
        <f t="shared" si="29"/>
        <v>0</v>
      </c>
      <c r="BO35" s="1372">
        <f t="shared" si="30"/>
        <v>0</v>
      </c>
      <c r="BP35" s="1372">
        <f t="shared" si="31"/>
        <v>0</v>
      </c>
      <c r="BQ35" s="1374">
        <f t="shared" si="32"/>
        <v>0</v>
      </c>
      <c r="BR35" s="1251">
        <f>IF(AI8="y",D35,0)</f>
        <v>0</v>
      </c>
      <c r="BS35" s="1403">
        <f t="shared" si="34"/>
        <v>0</v>
      </c>
      <c r="BT35" s="1372">
        <f t="shared" si="35"/>
        <v>0</v>
      </c>
      <c r="BU35" s="1372">
        <f t="shared" si="36"/>
        <v>0</v>
      </c>
      <c r="BV35" s="1372">
        <f t="shared" si="37"/>
        <v>0</v>
      </c>
      <c r="BW35" s="1372">
        <f t="shared" si="38"/>
        <v>0</v>
      </c>
      <c r="BX35" s="1373">
        <f t="shared" si="39"/>
        <v>0</v>
      </c>
      <c r="BY35" s="1373">
        <f t="shared" si="40"/>
        <v>0</v>
      </c>
      <c r="BZ35" s="1373">
        <f t="shared" si="41"/>
        <v>0</v>
      </c>
      <c r="CA35" s="1373">
        <f t="shared" si="42"/>
        <v>0</v>
      </c>
      <c r="CB35" s="1405">
        <f t="shared" si="43"/>
        <v>0</v>
      </c>
      <c r="CC35" s="1374">
        <f t="shared" si="79"/>
        <v>0</v>
      </c>
      <c r="CD35" s="1374">
        <f t="shared" si="44"/>
        <v>0</v>
      </c>
      <c r="CE35" s="1374">
        <f t="shared" si="45"/>
        <v>0</v>
      </c>
      <c r="CF35" s="1378">
        <f t="shared" si="46"/>
        <v>0</v>
      </c>
      <c r="CG35" s="1378">
        <f t="shared" si="47"/>
        <v>0</v>
      </c>
      <c r="CH35" s="1378">
        <f t="shared" si="48"/>
        <v>0</v>
      </c>
      <c r="CI35" s="1374">
        <f t="shared" si="49"/>
        <v>0</v>
      </c>
      <c r="CJ35" s="1374">
        <f t="shared" si="50"/>
        <v>0</v>
      </c>
      <c r="CK35" s="1374" t="str">
        <f t="shared" si="51"/>
        <v/>
      </c>
      <c r="CL35" s="1374">
        <f t="shared" si="52"/>
        <v>0</v>
      </c>
      <c r="CM35" s="1379">
        <f t="shared" si="53"/>
        <v>0</v>
      </c>
      <c r="CN35" s="628">
        <f>(BS35*Pricing!F$3+BT35*Pricing!G$3+BU35*Pricing!H$3+BV35*Pricing!I$3+BW35*Pricing!J$3+BX35*Pricing!K$3)*IF(W$44="N",(1+Y$44),1)</f>
        <v>0</v>
      </c>
      <c r="CO35" s="628">
        <f t="shared" si="54"/>
        <v>0</v>
      </c>
      <c r="CP35" s="628">
        <f t="shared" si="55"/>
        <v>0</v>
      </c>
      <c r="CQ35" s="628">
        <f t="shared" si="56"/>
        <v>0</v>
      </c>
      <c r="CR35" s="628">
        <f t="shared" si="57"/>
        <v>0</v>
      </c>
      <c r="CS35" s="628"/>
      <c r="CT35" s="628">
        <f t="shared" si="58"/>
        <v>0</v>
      </c>
      <c r="CU35" s="628">
        <f t="shared" si="59"/>
        <v>0</v>
      </c>
      <c r="CV35" s="628">
        <f t="shared" si="60"/>
        <v>0</v>
      </c>
      <c r="CW35" s="628">
        <f t="shared" si="61"/>
        <v>0</v>
      </c>
      <c r="CX35" s="628">
        <f t="shared" si="62"/>
        <v>0</v>
      </c>
      <c r="CY35" s="628">
        <f t="shared" si="63"/>
        <v>0</v>
      </c>
      <c r="CZ35" s="628">
        <f t="shared" si="64"/>
        <v>0</v>
      </c>
      <c r="DA35" s="628" t="str">
        <f t="shared" si="65"/>
        <v/>
      </c>
      <c r="DB35" s="628">
        <f t="shared" si="66"/>
        <v>0</v>
      </c>
      <c r="DC35" s="628">
        <f t="shared" si="67"/>
        <v>0</v>
      </c>
      <c r="DD35" s="1382"/>
      <c r="DE35" s="626">
        <f t="shared" si="68"/>
        <v>0</v>
      </c>
      <c r="DF35" s="626">
        <f t="shared" si="69"/>
        <v>0</v>
      </c>
      <c r="DG35" s="626">
        <f t="shared" si="70"/>
        <v>0</v>
      </c>
      <c r="DH35" s="626">
        <f t="shared" si="71"/>
        <v>0</v>
      </c>
      <c r="DI35" s="626">
        <f t="shared" si="72"/>
        <v>0</v>
      </c>
      <c r="DJ35" s="626">
        <f t="shared" si="73"/>
        <v>0</v>
      </c>
      <c r="DK35" s="626">
        <f t="shared" si="74"/>
        <v>0</v>
      </c>
      <c r="DL35" s="626">
        <f t="shared" si="75"/>
        <v>0</v>
      </c>
      <c r="DM35" s="626">
        <f t="shared" si="76"/>
        <v>0</v>
      </c>
      <c r="DN35" s="626">
        <f t="shared" si="77"/>
        <v>0</v>
      </c>
      <c r="DO35" s="1405">
        <f t="shared" si="78"/>
        <v>0</v>
      </c>
    </row>
    <row r="36" spans="1:119" ht="19.5" customHeight="1">
      <c r="A36" s="2301" t="s">
        <v>1581</v>
      </c>
      <c r="B36" s="859"/>
      <c r="C36" s="1342"/>
      <c r="D36" s="1343"/>
      <c r="E36" s="1344"/>
      <c r="F36" s="984"/>
      <c r="G36" s="1389"/>
      <c r="H36" s="984"/>
      <c r="I36" s="1389"/>
      <c r="J36" s="984"/>
      <c r="K36" s="1390"/>
      <c r="L36" s="503"/>
      <c r="M36" s="834"/>
      <c r="N36" s="1349"/>
      <c r="O36" s="1350"/>
      <c r="P36" s="1351">
        <f t="shared" si="0"/>
        <v>0</v>
      </c>
      <c r="Q36" s="1352">
        <f t="shared" si="1"/>
        <v>0</v>
      </c>
      <c r="R36" s="1353">
        <f t="shared" si="2"/>
        <v>0</v>
      </c>
      <c r="S36" s="1354">
        <f t="shared" si="3"/>
        <v>0</v>
      </c>
      <c r="T36" s="1355">
        <f t="shared" si="4"/>
        <v>0</v>
      </c>
      <c r="U36" s="1356">
        <f t="shared" si="5"/>
        <v>0</v>
      </c>
      <c r="V36" s="1357">
        <f t="shared" si="6"/>
        <v>0</v>
      </c>
      <c r="W36" s="1347"/>
      <c r="X36" s="1427"/>
      <c r="Y36" s="1347"/>
      <c r="Z36" s="1360"/>
      <c r="AA36" s="1347"/>
      <c r="AB36" s="1360"/>
      <c r="AC36" s="1421"/>
      <c r="AD36" s="1427"/>
      <c r="AE36" s="503"/>
      <c r="AF36" s="1428"/>
      <c r="AG36" s="503"/>
      <c r="AH36" s="1348"/>
      <c r="AI36" s="1347"/>
      <c r="AJ36" s="1348"/>
      <c r="AK36" s="1347"/>
      <c r="AL36" s="1348"/>
      <c r="AM36" s="1347"/>
      <c r="AN36" s="1360"/>
      <c r="AO36" s="1347"/>
      <c r="AP36" s="1360"/>
      <c r="AQ36" s="626"/>
      <c r="AR36" s="1369" t="str">
        <f t="shared" si="7"/>
        <v/>
      </c>
      <c r="AS36" s="1270" t="str">
        <f t="shared" si="8"/>
        <v/>
      </c>
      <c r="AT36" s="1270" t="str">
        <f t="shared" si="9"/>
        <v/>
      </c>
      <c r="AU36" s="1270" t="str">
        <f t="shared" si="10"/>
        <v/>
      </c>
      <c r="AV36" s="1270" t="str">
        <f t="shared" si="11"/>
        <v/>
      </c>
      <c r="AW36" s="1270" t="str">
        <f t="shared" si="12"/>
        <v/>
      </c>
      <c r="AX36" s="1270" t="str">
        <f t="shared" si="13"/>
        <v/>
      </c>
      <c r="AY36" s="1270" t="str">
        <f t="shared" si="14"/>
        <v/>
      </c>
      <c r="AZ36" s="1270" t="str">
        <f t="shared" si="15"/>
        <v/>
      </c>
      <c r="BA36" s="1270" t="str">
        <f t="shared" si="16"/>
        <v/>
      </c>
      <c r="BB36" s="1371">
        <f t="shared" si="17"/>
        <v>0</v>
      </c>
      <c r="BC36" s="1369" t="str">
        <f t="shared" si="18"/>
        <v/>
      </c>
      <c r="BD36" s="626" t="str">
        <f t="shared" si="19"/>
        <v/>
      </c>
      <c r="BE36" s="1270" t="str">
        <f t="shared" si="20"/>
        <v/>
      </c>
      <c r="BF36" s="626" t="str">
        <f t="shared" si="21"/>
        <v/>
      </c>
      <c r="BG36" s="626" t="str">
        <f t="shared" si="22"/>
        <v/>
      </c>
      <c r="BH36" s="626" t="str">
        <f t="shared" si="23"/>
        <v/>
      </c>
      <c r="BI36" s="626" t="str">
        <f t="shared" si="24"/>
        <v/>
      </c>
      <c r="BJ36" s="626" t="str">
        <f t="shared" si="25"/>
        <v/>
      </c>
      <c r="BK36" s="626" t="str">
        <f t="shared" si="26"/>
        <v/>
      </c>
      <c r="BL36" s="626" t="str">
        <f t="shared" si="27"/>
        <v/>
      </c>
      <c r="BM36" s="1420">
        <f t="shared" si="28"/>
        <v>0</v>
      </c>
      <c r="BN36" s="1372">
        <f t="shared" si="29"/>
        <v>0</v>
      </c>
      <c r="BO36" s="1372">
        <f t="shared" si="30"/>
        <v>0</v>
      </c>
      <c r="BP36" s="1372">
        <f t="shared" si="31"/>
        <v>0</v>
      </c>
      <c r="BQ36" s="1374">
        <f t="shared" si="32"/>
        <v>0</v>
      </c>
      <c r="BR36" s="1251">
        <f t="shared" ref="BR36:BR41" si="80">IF(O36="y",D36,0)</f>
        <v>0</v>
      </c>
      <c r="BS36" s="1403">
        <f t="shared" si="34"/>
        <v>0</v>
      </c>
      <c r="BT36" s="1372">
        <f t="shared" si="35"/>
        <v>0</v>
      </c>
      <c r="BU36" s="1372">
        <f t="shared" si="36"/>
        <v>0</v>
      </c>
      <c r="BV36" s="1372">
        <f t="shared" si="37"/>
        <v>0</v>
      </c>
      <c r="BW36" s="1372">
        <f t="shared" si="38"/>
        <v>0</v>
      </c>
      <c r="BX36" s="1373">
        <f t="shared" si="39"/>
        <v>0</v>
      </c>
      <c r="BY36" s="1373">
        <f t="shared" si="40"/>
        <v>0</v>
      </c>
      <c r="BZ36" s="1373">
        <f t="shared" si="41"/>
        <v>0</v>
      </c>
      <c r="CA36" s="1373">
        <f t="shared" si="42"/>
        <v>0</v>
      </c>
      <c r="CB36" s="1405">
        <f t="shared" si="43"/>
        <v>0</v>
      </c>
      <c r="CC36" s="1374">
        <f t="shared" si="79"/>
        <v>0</v>
      </c>
      <c r="CD36" s="1374">
        <f t="shared" si="44"/>
        <v>0</v>
      </c>
      <c r="CE36" s="1374">
        <f t="shared" si="45"/>
        <v>0</v>
      </c>
      <c r="CF36" s="1378">
        <f t="shared" si="46"/>
        <v>0</v>
      </c>
      <c r="CG36" s="1378">
        <f t="shared" si="47"/>
        <v>0</v>
      </c>
      <c r="CH36" s="1378">
        <f t="shared" si="48"/>
        <v>0</v>
      </c>
      <c r="CI36" s="1374">
        <f t="shared" si="49"/>
        <v>0</v>
      </c>
      <c r="CJ36" s="1374">
        <f t="shared" si="50"/>
        <v>0</v>
      </c>
      <c r="CK36" s="1374" t="str">
        <f t="shared" si="51"/>
        <v/>
      </c>
      <c r="CL36" s="1374">
        <f t="shared" si="52"/>
        <v>0</v>
      </c>
      <c r="CM36" s="1379">
        <f t="shared" si="53"/>
        <v>0</v>
      </c>
      <c r="CN36" s="628">
        <f>(BS36*Pricing!F$3+BT36*Pricing!G$3+BU36*Pricing!H$3+BV36*Pricing!I$3+BW36*Pricing!J$3+BX36*Pricing!K$3)*IF(W$44="N",(1+Y$44),1)</f>
        <v>0</v>
      </c>
      <c r="CO36" s="628">
        <f t="shared" si="54"/>
        <v>0</v>
      </c>
      <c r="CP36" s="628">
        <f t="shared" si="55"/>
        <v>0</v>
      </c>
      <c r="CQ36" s="628">
        <f t="shared" si="56"/>
        <v>0</v>
      </c>
      <c r="CR36" s="628">
        <f t="shared" si="57"/>
        <v>0</v>
      </c>
      <c r="CS36" s="628"/>
      <c r="CT36" s="628">
        <f t="shared" si="58"/>
        <v>0</v>
      </c>
      <c r="CU36" s="628">
        <f t="shared" si="59"/>
        <v>0</v>
      </c>
      <c r="CV36" s="628">
        <f t="shared" si="60"/>
        <v>0</v>
      </c>
      <c r="CW36" s="628">
        <f t="shared" si="61"/>
        <v>0</v>
      </c>
      <c r="CX36" s="628">
        <f t="shared" si="62"/>
        <v>0</v>
      </c>
      <c r="CY36" s="628">
        <f t="shared" si="63"/>
        <v>0</v>
      </c>
      <c r="CZ36" s="628">
        <f t="shared" si="64"/>
        <v>0</v>
      </c>
      <c r="DA36" s="628" t="str">
        <f t="shared" si="65"/>
        <v/>
      </c>
      <c r="DB36" s="628">
        <f t="shared" si="66"/>
        <v>0</v>
      </c>
      <c r="DC36" s="628">
        <f t="shared" si="67"/>
        <v>0</v>
      </c>
      <c r="DD36" s="1382"/>
      <c r="DE36" s="626">
        <f t="shared" si="68"/>
        <v>0</v>
      </c>
      <c r="DF36" s="626">
        <f t="shared" si="69"/>
        <v>0</v>
      </c>
      <c r="DG36" s="626">
        <f t="shared" si="70"/>
        <v>0</v>
      </c>
      <c r="DH36" s="626">
        <f t="shared" si="71"/>
        <v>0</v>
      </c>
      <c r="DI36" s="626">
        <f t="shared" si="72"/>
        <v>0</v>
      </c>
      <c r="DJ36" s="626">
        <f t="shared" si="73"/>
        <v>0</v>
      </c>
      <c r="DK36" s="626">
        <f t="shared" si="74"/>
        <v>0</v>
      </c>
      <c r="DL36" s="626">
        <f t="shared" si="75"/>
        <v>0</v>
      </c>
      <c r="DM36" s="626">
        <f t="shared" si="76"/>
        <v>0</v>
      </c>
      <c r="DN36" s="626">
        <f t="shared" si="77"/>
        <v>0</v>
      </c>
      <c r="DO36" s="1405">
        <f t="shared" si="78"/>
        <v>0</v>
      </c>
    </row>
    <row r="37" spans="1:119" ht="19.5" customHeight="1">
      <c r="A37" s="2301" t="s">
        <v>1582</v>
      </c>
      <c r="B37" s="1385"/>
      <c r="C37" s="1386"/>
      <c r="D37" s="1387"/>
      <c r="E37" s="1388"/>
      <c r="F37" s="984"/>
      <c r="G37" s="1389"/>
      <c r="H37" s="984"/>
      <c r="I37" s="1389"/>
      <c r="J37" s="984"/>
      <c r="K37" s="1419"/>
      <c r="L37" s="1395"/>
      <c r="M37" s="1392"/>
      <c r="N37" s="1393"/>
      <c r="O37" s="1394"/>
      <c r="P37" s="1351">
        <f t="shared" si="0"/>
        <v>0</v>
      </c>
      <c r="Q37" s="1352">
        <f t="shared" si="1"/>
        <v>0</v>
      </c>
      <c r="R37" s="1353">
        <f t="shared" si="2"/>
        <v>0</v>
      </c>
      <c r="S37" s="1354">
        <f t="shared" si="3"/>
        <v>0</v>
      </c>
      <c r="T37" s="1355">
        <f t="shared" si="4"/>
        <v>0</v>
      </c>
      <c r="U37" s="1356">
        <f t="shared" si="5"/>
        <v>0</v>
      </c>
      <c r="V37" s="1357">
        <f t="shared" si="6"/>
        <v>0</v>
      </c>
      <c r="W37" s="1395"/>
      <c r="X37" s="1430"/>
      <c r="Y37" s="1395"/>
      <c r="Z37" s="1397"/>
      <c r="AA37" s="1395"/>
      <c r="AB37" s="1397"/>
      <c r="AC37" s="1398"/>
      <c r="AD37" s="1430"/>
      <c r="AE37" s="1395"/>
      <c r="AF37" s="1392"/>
      <c r="AG37" s="1431"/>
      <c r="AH37" s="1392"/>
      <c r="AI37" s="1395"/>
      <c r="AJ37" s="1392"/>
      <c r="AK37" s="1395"/>
      <c r="AL37" s="1392"/>
      <c r="AM37" s="1395"/>
      <c r="AN37" s="1397"/>
      <c r="AO37" s="1395"/>
      <c r="AP37" s="1397"/>
      <c r="AQ37" s="626"/>
      <c r="AR37" s="1369" t="str">
        <f t="shared" si="7"/>
        <v/>
      </c>
      <c r="AS37" s="1270" t="str">
        <f t="shared" si="8"/>
        <v/>
      </c>
      <c r="AT37" s="1270" t="str">
        <f t="shared" si="9"/>
        <v/>
      </c>
      <c r="AU37" s="1270" t="str">
        <f t="shared" si="10"/>
        <v/>
      </c>
      <c r="AV37" s="1270" t="str">
        <f t="shared" si="11"/>
        <v/>
      </c>
      <c r="AW37" s="1270" t="str">
        <f t="shared" si="12"/>
        <v/>
      </c>
      <c r="AX37" s="1270" t="str">
        <f t="shared" si="13"/>
        <v/>
      </c>
      <c r="AY37" s="1270" t="str">
        <f t="shared" si="14"/>
        <v/>
      </c>
      <c r="AZ37" s="1270" t="str">
        <f t="shared" si="15"/>
        <v/>
      </c>
      <c r="BA37" s="1270" t="str">
        <f t="shared" si="16"/>
        <v/>
      </c>
      <c r="BB37" s="1371">
        <f t="shared" si="17"/>
        <v>0</v>
      </c>
      <c r="BC37" s="1369" t="str">
        <f t="shared" si="18"/>
        <v/>
      </c>
      <c r="BD37" s="626" t="str">
        <f t="shared" si="19"/>
        <v/>
      </c>
      <c r="BE37" s="1270" t="str">
        <f t="shared" si="20"/>
        <v/>
      </c>
      <c r="BF37" s="626" t="str">
        <f t="shared" si="21"/>
        <v/>
      </c>
      <c r="BG37" s="626" t="str">
        <f t="shared" si="22"/>
        <v/>
      </c>
      <c r="BH37" s="626" t="str">
        <f t="shared" si="23"/>
        <v/>
      </c>
      <c r="BI37" s="626" t="str">
        <f t="shared" si="24"/>
        <v/>
      </c>
      <c r="BJ37" s="626" t="str">
        <f t="shared" si="25"/>
        <v/>
      </c>
      <c r="BK37" s="626" t="str">
        <f t="shared" si="26"/>
        <v/>
      </c>
      <c r="BL37" s="626" t="str">
        <f t="shared" si="27"/>
        <v/>
      </c>
      <c r="BM37" s="1420">
        <f t="shared" si="28"/>
        <v>0</v>
      </c>
      <c r="BN37" s="1372">
        <f t="shared" si="29"/>
        <v>0</v>
      </c>
      <c r="BO37" s="1372">
        <f t="shared" si="30"/>
        <v>0</v>
      </c>
      <c r="BP37" s="1372">
        <f t="shared" si="31"/>
        <v>0</v>
      </c>
      <c r="BQ37" s="1374">
        <f t="shared" si="32"/>
        <v>0</v>
      </c>
      <c r="BR37" s="1251">
        <f t="shared" si="80"/>
        <v>0</v>
      </c>
      <c r="BS37" s="1403">
        <f t="shared" si="34"/>
        <v>0</v>
      </c>
      <c r="BT37" s="1372">
        <f t="shared" si="35"/>
        <v>0</v>
      </c>
      <c r="BU37" s="1372">
        <f t="shared" si="36"/>
        <v>0</v>
      </c>
      <c r="BV37" s="1372">
        <f t="shared" si="37"/>
        <v>0</v>
      </c>
      <c r="BW37" s="1372">
        <f t="shared" si="38"/>
        <v>0</v>
      </c>
      <c r="BX37" s="1373">
        <f t="shared" si="39"/>
        <v>0</v>
      </c>
      <c r="BY37" s="1373">
        <f t="shared" si="40"/>
        <v>0</v>
      </c>
      <c r="BZ37" s="1373">
        <f t="shared" si="41"/>
        <v>0</v>
      </c>
      <c r="CA37" s="1373">
        <f t="shared" si="42"/>
        <v>0</v>
      </c>
      <c r="CB37" s="1405">
        <f t="shared" si="43"/>
        <v>0</v>
      </c>
      <c r="CC37" s="1374">
        <f t="shared" si="79"/>
        <v>0</v>
      </c>
      <c r="CD37" s="1374">
        <f t="shared" si="44"/>
        <v>0</v>
      </c>
      <c r="CE37" s="1374">
        <f t="shared" si="45"/>
        <v>0</v>
      </c>
      <c r="CF37" s="1378">
        <f t="shared" si="46"/>
        <v>0</v>
      </c>
      <c r="CG37" s="1378">
        <f t="shared" si="47"/>
        <v>0</v>
      </c>
      <c r="CH37" s="1378">
        <f t="shared" si="48"/>
        <v>0</v>
      </c>
      <c r="CI37" s="1374">
        <f t="shared" si="49"/>
        <v>0</v>
      </c>
      <c r="CJ37" s="1374">
        <f t="shared" si="50"/>
        <v>0</v>
      </c>
      <c r="CK37" s="1374" t="str">
        <f t="shared" si="51"/>
        <v/>
      </c>
      <c r="CL37" s="1374">
        <f t="shared" si="52"/>
        <v>0</v>
      </c>
      <c r="CM37" s="1379">
        <f t="shared" si="53"/>
        <v>0</v>
      </c>
      <c r="CN37" s="628">
        <f>(BS37*Pricing!F$3+BT37*Pricing!G$3+BU37*Pricing!H$3+BV37*Pricing!I$3+BW37*Pricing!J$3+BX37*Pricing!K$3)*IF(W$44="N",(1+Y$44),1)</f>
        <v>0</v>
      </c>
      <c r="CO37" s="628">
        <f t="shared" si="54"/>
        <v>0</v>
      </c>
      <c r="CP37" s="628">
        <f t="shared" si="55"/>
        <v>0</v>
      </c>
      <c r="CQ37" s="628">
        <f t="shared" si="56"/>
        <v>0</v>
      </c>
      <c r="CR37" s="628">
        <f t="shared" si="57"/>
        <v>0</v>
      </c>
      <c r="CS37" s="628"/>
      <c r="CT37" s="628">
        <f t="shared" si="58"/>
        <v>0</v>
      </c>
      <c r="CU37" s="628">
        <f t="shared" si="59"/>
        <v>0</v>
      </c>
      <c r="CV37" s="628">
        <f t="shared" si="60"/>
        <v>0</v>
      </c>
      <c r="CW37" s="628">
        <f t="shared" si="61"/>
        <v>0</v>
      </c>
      <c r="CX37" s="628">
        <f t="shared" si="62"/>
        <v>0</v>
      </c>
      <c r="CY37" s="628">
        <f t="shared" si="63"/>
        <v>0</v>
      </c>
      <c r="CZ37" s="628">
        <f t="shared" si="64"/>
        <v>0</v>
      </c>
      <c r="DA37" s="628" t="str">
        <f t="shared" si="65"/>
        <v/>
      </c>
      <c r="DB37" s="628">
        <f t="shared" si="66"/>
        <v>0</v>
      </c>
      <c r="DC37" s="628">
        <f t="shared" si="67"/>
        <v>0</v>
      </c>
      <c r="DD37" s="1382"/>
      <c r="DE37" s="626">
        <f t="shared" si="68"/>
        <v>0</v>
      </c>
      <c r="DF37" s="626">
        <f t="shared" si="69"/>
        <v>0</v>
      </c>
      <c r="DG37" s="626">
        <f t="shared" si="70"/>
        <v>0</v>
      </c>
      <c r="DH37" s="626">
        <f t="shared" si="71"/>
        <v>0</v>
      </c>
      <c r="DI37" s="626">
        <f t="shared" si="72"/>
        <v>0</v>
      </c>
      <c r="DJ37" s="626">
        <f t="shared" si="73"/>
        <v>0</v>
      </c>
      <c r="DK37" s="626">
        <f t="shared" si="74"/>
        <v>0</v>
      </c>
      <c r="DL37" s="626">
        <f t="shared" si="75"/>
        <v>0</v>
      </c>
      <c r="DM37" s="626">
        <f t="shared" si="76"/>
        <v>0</v>
      </c>
      <c r="DN37" s="626">
        <f t="shared" si="77"/>
        <v>0</v>
      </c>
      <c r="DO37" s="1405">
        <f t="shared" si="78"/>
        <v>0</v>
      </c>
    </row>
    <row r="38" spans="1:119" ht="19.5" customHeight="1">
      <c r="A38" s="2301" t="s">
        <v>1583</v>
      </c>
      <c r="B38" s="859"/>
      <c r="C38" s="1386"/>
      <c r="D38" s="1343"/>
      <c r="E38" s="1344"/>
      <c r="F38" s="984"/>
      <c r="G38" s="1389"/>
      <c r="H38" s="984"/>
      <c r="I38" s="1389"/>
      <c r="J38" s="984"/>
      <c r="K38" s="1419"/>
      <c r="L38" s="1347"/>
      <c r="M38" s="1348"/>
      <c r="N38" s="1349"/>
      <c r="O38" s="1350"/>
      <c r="P38" s="1351">
        <f t="shared" si="0"/>
        <v>0</v>
      </c>
      <c r="Q38" s="1352">
        <f t="shared" si="1"/>
        <v>0</v>
      </c>
      <c r="R38" s="1353">
        <f t="shared" si="2"/>
        <v>0</v>
      </c>
      <c r="S38" s="1354">
        <f t="shared" si="3"/>
        <v>0</v>
      </c>
      <c r="T38" s="1355">
        <f t="shared" si="4"/>
        <v>0</v>
      </c>
      <c r="U38" s="1356">
        <f t="shared" si="5"/>
        <v>0</v>
      </c>
      <c r="V38" s="1357">
        <f t="shared" si="6"/>
        <v>0</v>
      </c>
      <c r="W38" s="1347"/>
      <c r="X38" s="1432"/>
      <c r="Y38" s="1347"/>
      <c r="Z38" s="1360"/>
      <c r="AA38" s="1347"/>
      <c r="AB38" s="1360"/>
      <c r="AC38" s="1361"/>
      <c r="AD38" s="1432"/>
      <c r="AE38" s="1347"/>
      <c r="AF38" s="1348"/>
      <c r="AG38" s="1429"/>
      <c r="AH38" s="1348"/>
      <c r="AI38" s="1347"/>
      <c r="AJ38" s="1348"/>
      <c r="AK38" s="1347"/>
      <c r="AL38" s="1348"/>
      <c r="AM38" s="1347"/>
      <c r="AN38" s="1360"/>
      <c r="AO38" s="1347"/>
      <c r="AP38" s="1360"/>
      <c r="AQ38" s="626"/>
      <c r="AR38" s="1369" t="str">
        <f t="shared" si="7"/>
        <v/>
      </c>
      <c r="AS38" s="1270" t="str">
        <f t="shared" si="8"/>
        <v/>
      </c>
      <c r="AT38" s="1270" t="str">
        <f t="shared" si="9"/>
        <v/>
      </c>
      <c r="AU38" s="1270" t="str">
        <f t="shared" si="10"/>
        <v/>
      </c>
      <c r="AV38" s="1270" t="str">
        <f t="shared" si="11"/>
        <v/>
      </c>
      <c r="AW38" s="1270" t="str">
        <f t="shared" si="12"/>
        <v/>
      </c>
      <c r="AX38" s="1270" t="str">
        <f t="shared" si="13"/>
        <v/>
      </c>
      <c r="AY38" s="1270" t="str">
        <f t="shared" si="14"/>
        <v/>
      </c>
      <c r="AZ38" s="1270" t="str">
        <f t="shared" si="15"/>
        <v/>
      </c>
      <c r="BA38" s="1270" t="str">
        <f t="shared" si="16"/>
        <v/>
      </c>
      <c r="BB38" s="1371">
        <f t="shared" si="17"/>
        <v>0</v>
      </c>
      <c r="BC38" s="1369" t="str">
        <f t="shared" si="18"/>
        <v/>
      </c>
      <c r="BD38" s="626" t="str">
        <f t="shared" si="19"/>
        <v/>
      </c>
      <c r="BE38" s="1270" t="str">
        <f t="shared" si="20"/>
        <v/>
      </c>
      <c r="BF38" s="626" t="str">
        <f t="shared" si="21"/>
        <v/>
      </c>
      <c r="BG38" s="626" t="str">
        <f t="shared" si="22"/>
        <v/>
      </c>
      <c r="BH38" s="626" t="str">
        <f t="shared" si="23"/>
        <v/>
      </c>
      <c r="BI38" s="626" t="str">
        <f t="shared" si="24"/>
        <v/>
      </c>
      <c r="BJ38" s="626" t="str">
        <f t="shared" si="25"/>
        <v/>
      </c>
      <c r="BK38" s="626" t="str">
        <f t="shared" si="26"/>
        <v/>
      </c>
      <c r="BL38" s="626" t="str">
        <f t="shared" si="27"/>
        <v/>
      </c>
      <c r="BM38" s="1420">
        <f t="shared" si="28"/>
        <v>0</v>
      </c>
      <c r="BN38" s="1372">
        <f t="shared" si="29"/>
        <v>0</v>
      </c>
      <c r="BO38" s="1372">
        <f t="shared" si="30"/>
        <v>0</v>
      </c>
      <c r="BP38" s="1372">
        <f t="shared" si="31"/>
        <v>0</v>
      </c>
      <c r="BQ38" s="1374">
        <f t="shared" si="32"/>
        <v>0</v>
      </c>
      <c r="BR38" s="1251">
        <f t="shared" si="80"/>
        <v>0</v>
      </c>
      <c r="BS38" s="1403">
        <f t="shared" si="34"/>
        <v>0</v>
      </c>
      <c r="BT38" s="1372">
        <f t="shared" si="35"/>
        <v>0</v>
      </c>
      <c r="BU38" s="1372">
        <f t="shared" si="36"/>
        <v>0</v>
      </c>
      <c r="BV38" s="1372">
        <f t="shared" si="37"/>
        <v>0</v>
      </c>
      <c r="BW38" s="1372">
        <f t="shared" si="38"/>
        <v>0</v>
      </c>
      <c r="BX38" s="1373">
        <f t="shared" si="39"/>
        <v>0</v>
      </c>
      <c r="BY38" s="1373">
        <f t="shared" si="40"/>
        <v>0</v>
      </c>
      <c r="BZ38" s="1373">
        <f t="shared" si="41"/>
        <v>0</v>
      </c>
      <c r="CA38" s="1373">
        <f t="shared" si="42"/>
        <v>0</v>
      </c>
      <c r="CB38" s="1405">
        <f t="shared" si="43"/>
        <v>0</v>
      </c>
      <c r="CC38" s="1374">
        <f t="shared" si="79"/>
        <v>0</v>
      </c>
      <c r="CD38" s="1374">
        <f t="shared" si="44"/>
        <v>0</v>
      </c>
      <c r="CE38" s="1374">
        <f t="shared" si="45"/>
        <v>0</v>
      </c>
      <c r="CF38" s="1378">
        <f t="shared" si="46"/>
        <v>0</v>
      </c>
      <c r="CG38" s="1378">
        <f t="shared" si="47"/>
        <v>0</v>
      </c>
      <c r="CH38" s="1378">
        <f t="shared" si="48"/>
        <v>0</v>
      </c>
      <c r="CI38" s="1374">
        <f t="shared" si="49"/>
        <v>0</v>
      </c>
      <c r="CJ38" s="1374">
        <f t="shared" si="50"/>
        <v>0</v>
      </c>
      <c r="CK38" s="1374" t="str">
        <f t="shared" si="51"/>
        <v/>
      </c>
      <c r="CL38" s="1374">
        <f t="shared" si="52"/>
        <v>0</v>
      </c>
      <c r="CM38" s="1379">
        <f t="shared" si="53"/>
        <v>0</v>
      </c>
      <c r="CN38" s="628">
        <f>(BS38*Pricing!F$3+BT38*Pricing!G$3+BU38*Pricing!H$3+BV38*Pricing!I$3+BW38*Pricing!J$3+BX38*Pricing!K$3)*IF(W$44="N",(1+Y$44),1)</f>
        <v>0</v>
      </c>
      <c r="CO38" s="628">
        <f t="shared" si="54"/>
        <v>0</v>
      </c>
      <c r="CP38" s="628">
        <f t="shared" si="55"/>
        <v>0</v>
      </c>
      <c r="CQ38" s="628">
        <f t="shared" si="56"/>
        <v>0</v>
      </c>
      <c r="CR38" s="628">
        <f t="shared" si="57"/>
        <v>0</v>
      </c>
      <c r="CS38" s="628"/>
      <c r="CT38" s="628">
        <f t="shared" si="58"/>
        <v>0</v>
      </c>
      <c r="CU38" s="628">
        <f t="shared" si="59"/>
        <v>0</v>
      </c>
      <c r="CV38" s="628">
        <f t="shared" si="60"/>
        <v>0</v>
      </c>
      <c r="CW38" s="628">
        <f t="shared" si="61"/>
        <v>0</v>
      </c>
      <c r="CX38" s="628">
        <f t="shared" si="62"/>
        <v>0</v>
      </c>
      <c r="CY38" s="628">
        <f t="shared" si="63"/>
        <v>0</v>
      </c>
      <c r="CZ38" s="628">
        <f t="shared" si="64"/>
        <v>0</v>
      </c>
      <c r="DA38" s="628" t="str">
        <f t="shared" si="65"/>
        <v/>
      </c>
      <c r="DB38" s="628">
        <f t="shared" si="66"/>
        <v>0</v>
      </c>
      <c r="DC38" s="628">
        <f t="shared" si="67"/>
        <v>0</v>
      </c>
      <c r="DD38" s="1382"/>
      <c r="DE38" s="626">
        <f t="shared" si="68"/>
        <v>0</v>
      </c>
      <c r="DF38" s="626">
        <f t="shared" si="69"/>
        <v>0</v>
      </c>
      <c r="DG38" s="626">
        <f t="shared" si="70"/>
        <v>0</v>
      </c>
      <c r="DH38" s="626">
        <f t="shared" si="71"/>
        <v>0</v>
      </c>
      <c r="DI38" s="626">
        <f t="shared" si="72"/>
        <v>0</v>
      </c>
      <c r="DJ38" s="626">
        <f t="shared" si="73"/>
        <v>0</v>
      </c>
      <c r="DK38" s="626">
        <f t="shared" si="74"/>
        <v>0</v>
      </c>
      <c r="DL38" s="626">
        <f t="shared" si="75"/>
        <v>0</v>
      </c>
      <c r="DM38" s="626">
        <f t="shared" si="76"/>
        <v>0</v>
      </c>
      <c r="DN38" s="626">
        <f t="shared" si="77"/>
        <v>0</v>
      </c>
      <c r="DO38" s="1405">
        <f t="shared" si="78"/>
        <v>0</v>
      </c>
    </row>
    <row r="39" spans="1:119" ht="19.5" customHeight="1">
      <c r="A39" s="2301" t="s">
        <v>1584</v>
      </c>
      <c r="B39" s="1385"/>
      <c r="C39" s="1386"/>
      <c r="D39" s="1387"/>
      <c r="E39" s="1388"/>
      <c r="F39" s="984"/>
      <c r="G39" s="1389"/>
      <c r="H39" s="984"/>
      <c r="I39" s="1389"/>
      <c r="J39" s="1433"/>
      <c r="K39" s="1419"/>
      <c r="L39" s="1395"/>
      <c r="M39" s="1392"/>
      <c r="N39" s="1393"/>
      <c r="O39" s="1394"/>
      <c r="P39" s="1351">
        <f t="shared" si="0"/>
        <v>0</v>
      </c>
      <c r="Q39" s="1352">
        <f t="shared" si="1"/>
        <v>0</v>
      </c>
      <c r="R39" s="1353">
        <f t="shared" si="2"/>
        <v>0</v>
      </c>
      <c r="S39" s="1354">
        <f t="shared" si="3"/>
        <v>0</v>
      </c>
      <c r="T39" s="1355">
        <f t="shared" si="4"/>
        <v>0</v>
      </c>
      <c r="U39" s="1356">
        <f t="shared" si="5"/>
        <v>0</v>
      </c>
      <c r="V39" s="1357">
        <f t="shared" si="6"/>
        <v>0</v>
      </c>
      <c r="W39" s="1395"/>
      <c r="X39" s="1430"/>
      <c r="Y39" s="1395"/>
      <c r="Z39" s="1397"/>
      <c r="AA39" s="1395"/>
      <c r="AB39" s="1397"/>
      <c r="AC39" s="1431"/>
      <c r="AD39" s="1430"/>
      <c r="AE39" s="1395"/>
      <c r="AF39" s="1392"/>
      <c r="AG39" s="1431"/>
      <c r="AH39" s="1392"/>
      <c r="AI39" s="1395"/>
      <c r="AJ39" s="1392"/>
      <c r="AK39" s="1395"/>
      <c r="AL39" s="1392"/>
      <c r="AM39" s="1395"/>
      <c r="AN39" s="1397"/>
      <c r="AO39" s="1395"/>
      <c r="AP39" s="1397"/>
      <c r="AQ39" s="626"/>
      <c r="AR39" s="1369" t="str">
        <f t="shared" si="7"/>
        <v/>
      </c>
      <c r="AS39" s="1270" t="str">
        <f t="shared" si="8"/>
        <v/>
      </c>
      <c r="AT39" s="1270" t="str">
        <f t="shared" si="9"/>
        <v/>
      </c>
      <c r="AU39" s="1270" t="str">
        <f t="shared" si="10"/>
        <v/>
      </c>
      <c r="AV39" s="1270" t="str">
        <f t="shared" si="11"/>
        <v/>
      </c>
      <c r="AW39" s="1270" t="str">
        <f t="shared" si="12"/>
        <v/>
      </c>
      <c r="AX39" s="1270" t="str">
        <f t="shared" si="13"/>
        <v/>
      </c>
      <c r="AY39" s="1270" t="str">
        <f t="shared" si="14"/>
        <v/>
      </c>
      <c r="AZ39" s="1270" t="str">
        <f t="shared" si="15"/>
        <v/>
      </c>
      <c r="BA39" s="1270" t="str">
        <f t="shared" si="16"/>
        <v/>
      </c>
      <c r="BB39" s="1371">
        <f t="shared" si="17"/>
        <v>0</v>
      </c>
      <c r="BC39" s="1369" t="str">
        <f t="shared" si="18"/>
        <v/>
      </c>
      <c r="BD39" s="626" t="str">
        <f t="shared" si="19"/>
        <v/>
      </c>
      <c r="BE39" s="1270" t="str">
        <f t="shared" si="20"/>
        <v/>
      </c>
      <c r="BF39" s="626" t="str">
        <f t="shared" si="21"/>
        <v/>
      </c>
      <c r="BG39" s="626" t="str">
        <f t="shared" si="22"/>
        <v/>
      </c>
      <c r="BH39" s="626" t="str">
        <f t="shared" si="23"/>
        <v/>
      </c>
      <c r="BI39" s="626" t="str">
        <f t="shared" si="24"/>
        <v/>
      </c>
      <c r="BJ39" s="626" t="str">
        <f t="shared" si="25"/>
        <v/>
      </c>
      <c r="BK39" s="626" t="str">
        <f t="shared" si="26"/>
        <v/>
      </c>
      <c r="BL39" s="626" t="str">
        <f t="shared" si="27"/>
        <v/>
      </c>
      <c r="BM39" s="1420">
        <f t="shared" si="28"/>
        <v>0</v>
      </c>
      <c r="BN39" s="1372">
        <f t="shared" si="29"/>
        <v>0</v>
      </c>
      <c r="BO39" s="1372">
        <f t="shared" si="30"/>
        <v>0</v>
      </c>
      <c r="BP39" s="1372">
        <f t="shared" si="31"/>
        <v>0</v>
      </c>
      <c r="BQ39" s="1374">
        <f t="shared" si="32"/>
        <v>0</v>
      </c>
      <c r="BR39" s="1251">
        <f t="shared" si="80"/>
        <v>0</v>
      </c>
      <c r="BS39" s="1403">
        <f t="shared" si="34"/>
        <v>0</v>
      </c>
      <c r="BT39" s="1372">
        <f t="shared" si="35"/>
        <v>0</v>
      </c>
      <c r="BU39" s="1372">
        <f t="shared" si="36"/>
        <v>0</v>
      </c>
      <c r="BV39" s="1372">
        <f t="shared" si="37"/>
        <v>0</v>
      </c>
      <c r="BW39" s="1372">
        <f t="shared" si="38"/>
        <v>0</v>
      </c>
      <c r="BX39" s="1373">
        <f t="shared" si="39"/>
        <v>0</v>
      </c>
      <c r="BY39" s="1373">
        <f t="shared" si="40"/>
        <v>0</v>
      </c>
      <c r="BZ39" s="1373">
        <f t="shared" si="41"/>
        <v>0</v>
      </c>
      <c r="CA39" s="1373">
        <f t="shared" si="42"/>
        <v>0</v>
      </c>
      <c r="CB39" s="1405">
        <f t="shared" si="43"/>
        <v>0</v>
      </c>
      <c r="CC39" s="1374">
        <f t="shared" si="79"/>
        <v>0</v>
      </c>
      <c r="CD39" s="1374">
        <f t="shared" si="44"/>
        <v>0</v>
      </c>
      <c r="CE39" s="1374">
        <f t="shared" si="45"/>
        <v>0</v>
      </c>
      <c r="CF39" s="1378">
        <f t="shared" si="46"/>
        <v>0</v>
      </c>
      <c r="CG39" s="1378">
        <f t="shared" si="47"/>
        <v>0</v>
      </c>
      <c r="CH39" s="1378">
        <f t="shared" si="48"/>
        <v>0</v>
      </c>
      <c r="CI39" s="1374">
        <f t="shared" si="49"/>
        <v>0</v>
      </c>
      <c r="CJ39" s="1374">
        <f t="shared" si="50"/>
        <v>0</v>
      </c>
      <c r="CK39" s="1374" t="str">
        <f t="shared" si="51"/>
        <v/>
      </c>
      <c r="CL39" s="1374">
        <f t="shared" si="52"/>
        <v>0</v>
      </c>
      <c r="CM39" s="1379">
        <f t="shared" si="53"/>
        <v>0</v>
      </c>
      <c r="CN39" s="628">
        <f>(BS39*Pricing!F$3+BT39*Pricing!G$3+BU39*Pricing!H$3+BV39*Pricing!I$3+BW39*Pricing!J$3+BX39*Pricing!K$3)*IF(W$44="N",(1+Y$44),1)</f>
        <v>0</v>
      </c>
      <c r="CO39" s="628">
        <f t="shared" si="54"/>
        <v>0</v>
      </c>
      <c r="CP39" s="628">
        <f t="shared" si="55"/>
        <v>0</v>
      </c>
      <c r="CQ39" s="628">
        <f t="shared" si="56"/>
        <v>0</v>
      </c>
      <c r="CR39" s="628">
        <f t="shared" si="57"/>
        <v>0</v>
      </c>
      <c r="CS39" s="628"/>
      <c r="CT39" s="628">
        <f t="shared" si="58"/>
        <v>0</v>
      </c>
      <c r="CU39" s="628">
        <f t="shared" si="59"/>
        <v>0</v>
      </c>
      <c r="CV39" s="628">
        <f t="shared" si="60"/>
        <v>0</v>
      </c>
      <c r="CW39" s="628">
        <f t="shared" si="61"/>
        <v>0</v>
      </c>
      <c r="CX39" s="628">
        <f t="shared" si="62"/>
        <v>0</v>
      </c>
      <c r="CY39" s="628">
        <f t="shared" si="63"/>
        <v>0</v>
      </c>
      <c r="CZ39" s="628">
        <f t="shared" si="64"/>
        <v>0</v>
      </c>
      <c r="DA39" s="628" t="str">
        <f t="shared" si="65"/>
        <v/>
      </c>
      <c r="DB39" s="628">
        <f t="shared" si="66"/>
        <v>0</v>
      </c>
      <c r="DC39" s="628">
        <f t="shared" si="67"/>
        <v>0</v>
      </c>
      <c r="DD39" s="1382"/>
      <c r="DE39" s="626">
        <f t="shared" si="68"/>
        <v>0</v>
      </c>
      <c r="DF39" s="626">
        <f t="shared" si="69"/>
        <v>0</v>
      </c>
      <c r="DG39" s="626">
        <f t="shared" si="70"/>
        <v>0</v>
      </c>
      <c r="DH39" s="626">
        <f t="shared" si="71"/>
        <v>0</v>
      </c>
      <c r="DI39" s="626">
        <f t="shared" si="72"/>
        <v>0</v>
      </c>
      <c r="DJ39" s="626">
        <f t="shared" si="73"/>
        <v>0</v>
      </c>
      <c r="DK39" s="626">
        <f t="shared" si="74"/>
        <v>0</v>
      </c>
      <c r="DL39" s="626">
        <f t="shared" si="75"/>
        <v>0</v>
      </c>
      <c r="DM39" s="626">
        <f t="shared" si="76"/>
        <v>0</v>
      </c>
      <c r="DN39" s="626">
        <f t="shared" si="77"/>
        <v>0</v>
      </c>
      <c r="DO39" s="1405">
        <f t="shared" si="78"/>
        <v>0</v>
      </c>
    </row>
    <row r="40" spans="1:119" ht="19.5" customHeight="1">
      <c r="A40" s="2301" t="s">
        <v>1585</v>
      </c>
      <c r="B40" s="859"/>
      <c r="C40" s="1386"/>
      <c r="D40" s="1422"/>
      <c r="E40" s="1423"/>
      <c r="F40" s="984"/>
      <c r="G40" s="1389"/>
      <c r="H40" s="984"/>
      <c r="I40" s="1389"/>
      <c r="J40" s="1433"/>
      <c r="K40" s="1419"/>
      <c r="L40" s="503"/>
      <c r="M40" s="834"/>
      <c r="N40" s="1349"/>
      <c r="O40" s="1350"/>
      <c r="P40" s="1351">
        <f t="shared" si="0"/>
        <v>0</v>
      </c>
      <c r="Q40" s="1352">
        <f t="shared" si="1"/>
        <v>0</v>
      </c>
      <c r="R40" s="1353">
        <f t="shared" si="2"/>
        <v>0</v>
      </c>
      <c r="S40" s="1354">
        <f t="shared" si="3"/>
        <v>0</v>
      </c>
      <c r="T40" s="1355">
        <f t="shared" si="4"/>
        <v>0</v>
      </c>
      <c r="U40" s="1356">
        <f t="shared" si="5"/>
        <v>0</v>
      </c>
      <c r="V40" s="1357">
        <f t="shared" si="6"/>
        <v>0</v>
      </c>
      <c r="W40" s="503"/>
      <c r="X40" s="834"/>
      <c r="Y40" s="503"/>
      <c r="Z40" s="1410"/>
      <c r="AA40" s="503"/>
      <c r="AB40" s="1410"/>
      <c r="AC40" s="1429"/>
      <c r="AD40" s="1427"/>
      <c r="AE40" s="503"/>
      <c r="AF40" s="834"/>
      <c r="AG40" s="1429"/>
      <c r="AH40" s="834"/>
      <c r="AI40" s="503"/>
      <c r="AJ40" s="834"/>
      <c r="AK40" s="503"/>
      <c r="AL40" s="834"/>
      <c r="AM40" s="503"/>
      <c r="AN40" s="1410"/>
      <c r="AO40" s="503"/>
      <c r="AP40" s="1410"/>
      <c r="AQ40" s="626"/>
      <c r="AR40" s="1369" t="str">
        <f t="shared" si="7"/>
        <v/>
      </c>
      <c r="AS40" s="1270" t="str">
        <f t="shared" si="8"/>
        <v/>
      </c>
      <c r="AT40" s="1270" t="str">
        <f t="shared" si="9"/>
        <v/>
      </c>
      <c r="AU40" s="1270" t="str">
        <f t="shared" si="10"/>
        <v/>
      </c>
      <c r="AV40" s="1270" t="str">
        <f t="shared" si="11"/>
        <v/>
      </c>
      <c r="AW40" s="1270" t="str">
        <f t="shared" si="12"/>
        <v/>
      </c>
      <c r="AX40" s="1270" t="str">
        <f t="shared" si="13"/>
        <v/>
      </c>
      <c r="AY40" s="1270" t="str">
        <f t="shared" si="14"/>
        <v/>
      </c>
      <c r="AZ40" s="1270" t="str">
        <f t="shared" si="15"/>
        <v/>
      </c>
      <c r="BA40" s="1270" t="str">
        <f t="shared" si="16"/>
        <v/>
      </c>
      <c r="BB40" s="1371">
        <f t="shared" si="17"/>
        <v>0</v>
      </c>
      <c r="BC40" s="1369" t="str">
        <f t="shared" si="18"/>
        <v/>
      </c>
      <c r="BD40" s="626" t="str">
        <f t="shared" si="19"/>
        <v/>
      </c>
      <c r="BE40" s="1270" t="str">
        <f t="shared" si="20"/>
        <v/>
      </c>
      <c r="BF40" s="626" t="str">
        <f t="shared" si="21"/>
        <v/>
      </c>
      <c r="BG40" s="626" t="str">
        <f t="shared" si="22"/>
        <v/>
      </c>
      <c r="BH40" s="626" t="str">
        <f t="shared" si="23"/>
        <v/>
      </c>
      <c r="BI40" s="626" t="str">
        <f t="shared" si="24"/>
        <v/>
      </c>
      <c r="BJ40" s="626" t="str">
        <f t="shared" si="25"/>
        <v/>
      </c>
      <c r="BK40" s="626" t="str">
        <f t="shared" si="26"/>
        <v/>
      </c>
      <c r="BL40" s="626" t="str">
        <f t="shared" si="27"/>
        <v/>
      </c>
      <c r="BM40" s="1420">
        <f t="shared" si="28"/>
        <v>0</v>
      </c>
      <c r="BN40" s="1372">
        <f t="shared" si="29"/>
        <v>0</v>
      </c>
      <c r="BO40" s="1372">
        <f t="shared" si="30"/>
        <v>0</v>
      </c>
      <c r="BP40" s="1372">
        <f t="shared" si="31"/>
        <v>0</v>
      </c>
      <c r="BQ40" s="1374">
        <f t="shared" si="32"/>
        <v>0</v>
      </c>
      <c r="BR40" s="1251">
        <f t="shared" si="80"/>
        <v>0</v>
      </c>
      <c r="BS40" s="1403">
        <f t="shared" si="34"/>
        <v>0</v>
      </c>
      <c r="BT40" s="1372">
        <f t="shared" si="35"/>
        <v>0</v>
      </c>
      <c r="BU40" s="1372">
        <f t="shared" si="36"/>
        <v>0</v>
      </c>
      <c r="BV40" s="1372">
        <f t="shared" si="37"/>
        <v>0</v>
      </c>
      <c r="BW40" s="1372">
        <f t="shared" si="38"/>
        <v>0</v>
      </c>
      <c r="BX40" s="1373">
        <f t="shared" si="39"/>
        <v>0</v>
      </c>
      <c r="BY40" s="1373">
        <f t="shared" si="40"/>
        <v>0</v>
      </c>
      <c r="BZ40" s="1373">
        <f t="shared" si="41"/>
        <v>0</v>
      </c>
      <c r="CA40" s="1373">
        <f t="shared" si="42"/>
        <v>0</v>
      </c>
      <c r="CB40" s="1405">
        <f t="shared" si="43"/>
        <v>0</v>
      </c>
      <c r="CC40" s="1374">
        <f t="shared" si="79"/>
        <v>0</v>
      </c>
      <c r="CD40" s="1374">
        <f t="shared" si="44"/>
        <v>0</v>
      </c>
      <c r="CE40" s="1374">
        <f t="shared" si="45"/>
        <v>0</v>
      </c>
      <c r="CF40" s="1378">
        <f t="shared" si="46"/>
        <v>0</v>
      </c>
      <c r="CG40" s="1378">
        <f t="shared" si="47"/>
        <v>0</v>
      </c>
      <c r="CH40" s="1378">
        <f t="shared" si="48"/>
        <v>0</v>
      </c>
      <c r="CI40" s="1374">
        <f t="shared" si="49"/>
        <v>0</v>
      </c>
      <c r="CJ40" s="1374">
        <f t="shared" si="50"/>
        <v>0</v>
      </c>
      <c r="CK40" s="1374" t="str">
        <f t="shared" si="51"/>
        <v/>
      </c>
      <c r="CL40" s="1374">
        <f t="shared" si="52"/>
        <v>0</v>
      </c>
      <c r="CM40" s="1379">
        <f t="shared" si="53"/>
        <v>0</v>
      </c>
      <c r="CN40" s="628">
        <f>(BS40*Pricing!F$3+BT40*Pricing!G$3+BU40*Pricing!H$3+BV40*Pricing!I$3+BW40*Pricing!J$3+BX40*Pricing!K$3)*IF(W$44="N",(1+Y$44),1)</f>
        <v>0</v>
      </c>
      <c r="CO40" s="628">
        <f t="shared" si="54"/>
        <v>0</v>
      </c>
      <c r="CP40" s="628">
        <f t="shared" si="55"/>
        <v>0</v>
      </c>
      <c r="CQ40" s="628">
        <f t="shared" si="56"/>
        <v>0</v>
      </c>
      <c r="CR40" s="628">
        <f t="shared" si="57"/>
        <v>0</v>
      </c>
      <c r="CS40" s="628"/>
      <c r="CT40" s="628">
        <f t="shared" si="58"/>
        <v>0</v>
      </c>
      <c r="CU40" s="628">
        <f t="shared" si="59"/>
        <v>0</v>
      </c>
      <c r="CV40" s="628">
        <f t="shared" si="60"/>
        <v>0</v>
      </c>
      <c r="CW40" s="628">
        <f t="shared" si="61"/>
        <v>0</v>
      </c>
      <c r="CX40" s="628">
        <f t="shared" si="62"/>
        <v>0</v>
      </c>
      <c r="CY40" s="628">
        <f t="shared" si="63"/>
        <v>0</v>
      </c>
      <c r="CZ40" s="628">
        <f t="shared" si="64"/>
        <v>0</v>
      </c>
      <c r="DA40" s="628" t="str">
        <f t="shared" si="65"/>
        <v/>
      </c>
      <c r="DB40" s="628">
        <f t="shared" si="66"/>
        <v>0</v>
      </c>
      <c r="DC40" s="628">
        <f t="shared" si="67"/>
        <v>0</v>
      </c>
      <c r="DD40" s="1382"/>
      <c r="DE40" s="626">
        <f t="shared" si="68"/>
        <v>0</v>
      </c>
      <c r="DF40" s="626">
        <f t="shared" si="69"/>
        <v>0</v>
      </c>
      <c r="DG40" s="626">
        <f t="shared" si="70"/>
        <v>0</v>
      </c>
      <c r="DH40" s="626">
        <f t="shared" si="71"/>
        <v>0</v>
      </c>
      <c r="DI40" s="626">
        <f t="shared" si="72"/>
        <v>0</v>
      </c>
      <c r="DJ40" s="626">
        <f t="shared" si="73"/>
        <v>0</v>
      </c>
      <c r="DK40" s="626">
        <f t="shared" si="74"/>
        <v>0</v>
      </c>
      <c r="DL40" s="626">
        <f t="shared" si="75"/>
        <v>0</v>
      </c>
      <c r="DM40" s="626">
        <f t="shared" si="76"/>
        <v>0</v>
      </c>
      <c r="DN40" s="626">
        <f t="shared" si="77"/>
        <v>0</v>
      </c>
      <c r="DO40" s="1405">
        <f t="shared" si="78"/>
        <v>0</v>
      </c>
    </row>
    <row r="41" spans="1:119" ht="19.5" customHeight="1">
      <c r="A41" s="2301" t="s">
        <v>1586</v>
      </c>
      <c r="B41" s="1435"/>
      <c r="C41" s="1436"/>
      <c r="D41" s="1437"/>
      <c r="E41" s="1438"/>
      <c r="F41" s="1439"/>
      <c r="G41" s="1440"/>
      <c r="H41" s="1441"/>
      <c r="I41" s="1442"/>
      <c r="J41" s="1443"/>
      <c r="K41" s="1444"/>
      <c r="L41" s="1441"/>
      <c r="M41" s="1445"/>
      <c r="N41" s="1446"/>
      <c r="O41" s="1447"/>
      <c r="P41" s="1448">
        <f t="shared" si="0"/>
        <v>0</v>
      </c>
      <c r="Q41" s="1449">
        <f t="shared" si="1"/>
        <v>0</v>
      </c>
      <c r="R41" s="1450">
        <f t="shared" si="2"/>
        <v>0</v>
      </c>
      <c r="S41" s="1354">
        <f t="shared" si="3"/>
        <v>0</v>
      </c>
      <c r="T41" s="1355">
        <f t="shared" si="4"/>
        <v>0</v>
      </c>
      <c r="U41" s="1356">
        <f t="shared" si="5"/>
        <v>0</v>
      </c>
      <c r="V41" s="1357">
        <f t="shared" si="6"/>
        <v>0</v>
      </c>
      <c r="W41" s="1441"/>
      <c r="X41" s="1445"/>
      <c r="Y41" s="1441"/>
      <c r="Z41" s="1451"/>
      <c r="AA41" s="1441"/>
      <c r="AB41" s="1451"/>
      <c r="AC41" s="1441"/>
      <c r="AD41" s="1445"/>
      <c r="AE41" s="1441"/>
      <c r="AF41" s="1445"/>
      <c r="AG41" s="1441"/>
      <c r="AH41" s="1445"/>
      <c r="AI41" s="1441"/>
      <c r="AJ41" s="1445"/>
      <c r="AK41" s="1441"/>
      <c r="AL41" s="1445"/>
      <c r="AM41" s="1441"/>
      <c r="AN41" s="1451"/>
      <c r="AO41" s="1441"/>
      <c r="AP41" s="1451"/>
      <c r="AQ41" s="626"/>
      <c r="AR41" s="1369" t="str">
        <f t="shared" si="7"/>
        <v/>
      </c>
      <c r="AS41" s="1452" t="str">
        <f t="shared" si="8"/>
        <v/>
      </c>
      <c r="AT41" s="1452" t="str">
        <f t="shared" si="9"/>
        <v/>
      </c>
      <c r="AU41" s="1452" t="str">
        <f t="shared" si="10"/>
        <v/>
      </c>
      <c r="AV41" s="1452" t="str">
        <f t="shared" si="11"/>
        <v/>
      </c>
      <c r="AW41" s="1452" t="str">
        <f t="shared" si="12"/>
        <v/>
      </c>
      <c r="AX41" s="1452" t="str">
        <f t="shared" si="13"/>
        <v/>
      </c>
      <c r="AY41" s="1452" t="str">
        <f t="shared" si="14"/>
        <v/>
      </c>
      <c r="AZ41" s="1452" t="str">
        <f t="shared" si="15"/>
        <v/>
      </c>
      <c r="BA41" s="1452" t="str">
        <f t="shared" si="16"/>
        <v/>
      </c>
      <c r="BB41" s="1453">
        <f t="shared" si="17"/>
        <v>0</v>
      </c>
      <c r="BC41" s="1454" t="str">
        <f t="shared" si="18"/>
        <v/>
      </c>
      <c r="BD41" s="693" t="str">
        <f t="shared" si="19"/>
        <v/>
      </c>
      <c r="BE41" s="1452" t="str">
        <f t="shared" si="20"/>
        <v/>
      </c>
      <c r="BF41" s="693" t="str">
        <f t="shared" si="21"/>
        <v/>
      </c>
      <c r="BG41" s="693" t="str">
        <f t="shared" si="22"/>
        <v/>
      </c>
      <c r="BH41" s="693" t="str">
        <f t="shared" si="23"/>
        <v/>
      </c>
      <c r="BI41" s="693" t="str">
        <f t="shared" si="24"/>
        <v/>
      </c>
      <c r="BJ41" s="693" t="str">
        <f t="shared" si="25"/>
        <v/>
      </c>
      <c r="BK41" s="693" t="str">
        <f t="shared" si="26"/>
        <v/>
      </c>
      <c r="BL41" s="693" t="str">
        <f t="shared" si="27"/>
        <v/>
      </c>
      <c r="BM41" s="1455">
        <f t="shared" si="28"/>
        <v>0</v>
      </c>
      <c r="BN41" s="1372">
        <f t="shared" si="29"/>
        <v>0</v>
      </c>
      <c r="BO41" s="1372">
        <f t="shared" si="30"/>
        <v>0</v>
      </c>
      <c r="BP41" s="1372">
        <f t="shared" si="31"/>
        <v>0</v>
      </c>
      <c r="BQ41" s="1374">
        <f t="shared" si="32"/>
        <v>0</v>
      </c>
      <c r="BR41" s="1251">
        <f t="shared" si="80"/>
        <v>0</v>
      </c>
      <c r="BS41" s="1456">
        <f t="shared" si="34"/>
        <v>0</v>
      </c>
      <c r="BT41" s="1457">
        <f t="shared" si="35"/>
        <v>0</v>
      </c>
      <c r="BU41" s="1457">
        <f t="shared" si="36"/>
        <v>0</v>
      </c>
      <c r="BV41" s="1457">
        <f t="shared" si="37"/>
        <v>0</v>
      </c>
      <c r="BW41" s="1457">
        <f t="shared" si="38"/>
        <v>0</v>
      </c>
      <c r="BX41" s="1457">
        <f t="shared" si="39"/>
        <v>0</v>
      </c>
      <c r="BY41" s="1457">
        <f t="shared" si="40"/>
        <v>0</v>
      </c>
      <c r="BZ41" s="1457">
        <f t="shared" si="41"/>
        <v>0</v>
      </c>
      <c r="CA41" s="1457">
        <f t="shared" si="42"/>
        <v>0</v>
      </c>
      <c r="CB41" s="1457">
        <f t="shared" si="43"/>
        <v>0</v>
      </c>
      <c r="CC41" s="1374">
        <f t="shared" si="79"/>
        <v>0</v>
      </c>
      <c r="CD41" s="1374">
        <f t="shared" si="44"/>
        <v>0</v>
      </c>
      <c r="CE41" s="1374">
        <f t="shared" si="45"/>
        <v>0</v>
      </c>
      <c r="CF41" s="1378">
        <f t="shared" si="46"/>
        <v>0</v>
      </c>
      <c r="CG41" s="1378">
        <f t="shared" si="47"/>
        <v>0</v>
      </c>
      <c r="CH41" s="1378">
        <f t="shared" si="48"/>
        <v>0</v>
      </c>
      <c r="CI41" s="1374">
        <f t="shared" si="49"/>
        <v>0</v>
      </c>
      <c r="CJ41" s="1374">
        <f t="shared" si="50"/>
        <v>0</v>
      </c>
      <c r="CK41" s="1374" t="str">
        <f t="shared" si="51"/>
        <v/>
      </c>
      <c r="CL41" s="1374">
        <f t="shared" si="52"/>
        <v>0</v>
      </c>
      <c r="CM41" s="1379">
        <f t="shared" si="53"/>
        <v>0</v>
      </c>
      <c r="CN41" s="628">
        <f>(BS41*Pricing!F$3+BT41*Pricing!G$3+BU41*Pricing!H$3+BV41*Pricing!I$3+BW41*Pricing!J$3+BX41*Pricing!K$3)*IF(W$44="N",(1+Y$44),1)</f>
        <v>0</v>
      </c>
      <c r="CO41" s="628">
        <f t="shared" si="54"/>
        <v>0</v>
      </c>
      <c r="CP41" s="628">
        <f t="shared" si="55"/>
        <v>0</v>
      </c>
      <c r="CQ41" s="628">
        <f t="shared" si="56"/>
        <v>0</v>
      </c>
      <c r="CR41" s="628">
        <f t="shared" si="57"/>
        <v>0</v>
      </c>
      <c r="CS41" s="628"/>
      <c r="CT41" s="628">
        <f t="shared" si="58"/>
        <v>0</v>
      </c>
      <c r="CU41" s="628">
        <f t="shared" si="59"/>
        <v>0</v>
      </c>
      <c r="CV41" s="628">
        <f t="shared" si="60"/>
        <v>0</v>
      </c>
      <c r="CW41" s="628">
        <f t="shared" si="61"/>
        <v>0</v>
      </c>
      <c r="CX41" s="628">
        <f t="shared" si="62"/>
        <v>0</v>
      </c>
      <c r="CY41" s="628">
        <f t="shared" si="63"/>
        <v>0</v>
      </c>
      <c r="CZ41" s="628">
        <f t="shared" si="64"/>
        <v>0</v>
      </c>
      <c r="DA41" s="628" t="str">
        <f t="shared" si="65"/>
        <v/>
      </c>
      <c r="DB41" s="628">
        <f t="shared" si="66"/>
        <v>0</v>
      </c>
      <c r="DC41" s="628">
        <f t="shared" si="67"/>
        <v>0</v>
      </c>
      <c r="DD41" s="1382"/>
      <c r="DE41" s="626">
        <f t="shared" si="68"/>
        <v>0</v>
      </c>
      <c r="DF41" s="626">
        <f t="shared" si="69"/>
        <v>0</v>
      </c>
      <c r="DG41" s="626">
        <f t="shared" si="70"/>
        <v>0</v>
      </c>
      <c r="DH41" s="626">
        <f t="shared" si="71"/>
        <v>0</v>
      </c>
      <c r="DI41" s="626">
        <f t="shared" si="72"/>
        <v>0</v>
      </c>
      <c r="DJ41" s="626">
        <f t="shared" si="73"/>
        <v>0</v>
      </c>
      <c r="DK41" s="626">
        <f t="shared" si="74"/>
        <v>0</v>
      </c>
      <c r="DL41" s="626">
        <f t="shared" si="75"/>
        <v>0</v>
      </c>
      <c r="DM41" s="626">
        <f t="shared" si="76"/>
        <v>0</v>
      </c>
      <c r="DN41" s="626">
        <f t="shared" si="77"/>
        <v>0</v>
      </c>
      <c r="DO41" s="1405">
        <f t="shared" si="78"/>
        <v>0</v>
      </c>
    </row>
    <row r="42" spans="1:119" ht="34.5" customHeight="1">
      <c r="A42" s="2301"/>
      <c r="B42" s="567"/>
      <c r="C42" s="7" t="s">
        <v>1587</v>
      </c>
      <c r="D42" s="3035">
        <f>SUM(CI42)</f>
        <v>0</v>
      </c>
      <c r="E42" s="3035"/>
      <c r="G42" s="380">
        <f>SUM(G10:G41)</f>
        <v>0</v>
      </c>
      <c r="H42" s="626"/>
      <c r="I42" s="626"/>
      <c r="J42" s="626"/>
      <c r="K42" s="1459">
        <f>SUM(K10:K41)</f>
        <v>0</v>
      </c>
      <c r="L42" s="626"/>
      <c r="M42" s="626"/>
      <c r="N42" s="626"/>
      <c r="O42" s="626"/>
      <c r="P42" s="626"/>
      <c r="Q42" s="1460">
        <f>ROUND(SUM(Q10:Q41),0)</f>
        <v>0</v>
      </c>
      <c r="R42" s="1461">
        <f>S42-E45</f>
        <v>0</v>
      </c>
      <c r="S42" s="628">
        <f>SUM(S10:S41)</f>
        <v>0</v>
      </c>
      <c r="T42" s="628"/>
      <c r="U42" s="628"/>
      <c r="V42" s="628"/>
      <c r="W42" s="1254"/>
      <c r="X42" s="1463" t="s">
        <v>1588</v>
      </c>
      <c r="Y42" s="1464"/>
      <c r="Z42" s="1373"/>
      <c r="AA42" s="1254"/>
      <c r="AB42" s="1254"/>
      <c r="AC42" s="627"/>
      <c r="AD42" s="1465"/>
      <c r="AE42" s="229"/>
      <c r="AF42" s="229"/>
      <c r="AG42" s="976"/>
      <c r="AH42" s="976"/>
      <c r="AI42" s="976"/>
      <c r="AJ42" s="976"/>
      <c r="AK42" s="976"/>
      <c r="AL42" s="693"/>
      <c r="AM42" s="1132"/>
      <c r="AN42" s="626"/>
      <c r="AO42" s="626"/>
      <c r="AP42" s="626"/>
      <c r="AQ42" s="626"/>
      <c r="AR42" s="626"/>
      <c r="AS42" s="626"/>
      <c r="AT42" s="626"/>
      <c r="AU42" s="626"/>
      <c r="AV42" s="626"/>
      <c r="AW42" s="626"/>
      <c r="AX42" s="626"/>
      <c r="AY42" s="626"/>
      <c r="AZ42" s="626"/>
      <c r="BA42" s="626"/>
      <c r="BB42" s="1372">
        <f>SUM(BB10:BB41)</f>
        <v>0</v>
      </c>
      <c r="BC42" s="626"/>
      <c r="BD42" s="626"/>
      <c r="BE42" s="626"/>
      <c r="BF42" s="626"/>
      <c r="BG42" s="626"/>
      <c r="BH42" s="626"/>
      <c r="BI42" s="626"/>
      <c r="BJ42" s="626"/>
      <c r="BK42" s="626"/>
      <c r="BL42" s="626"/>
      <c r="BM42" s="1372">
        <f>SUM(BM10:BM41)</f>
        <v>0</v>
      </c>
      <c r="BN42" s="1373">
        <f>SUM(BN10:BN41)</f>
        <v>0</v>
      </c>
      <c r="BO42" s="1372">
        <f>SUM(BO10:BO41)</f>
        <v>0</v>
      </c>
      <c r="BP42" s="626">
        <f>SUM(BP10:BP41)</f>
        <v>0</v>
      </c>
      <c r="BQ42" s="1374">
        <f>SUM(BQ10:BQ41)/2</f>
        <v>0</v>
      </c>
      <c r="BR42" s="1374">
        <f t="shared" ref="BR42:DB42" si="81">SUM(BR10:BR41)</f>
        <v>0</v>
      </c>
      <c r="BS42" s="1270">
        <f t="shared" si="81"/>
        <v>0</v>
      </c>
      <c r="BT42" s="1270">
        <f t="shared" si="81"/>
        <v>0</v>
      </c>
      <c r="BU42" s="1270">
        <f t="shared" si="81"/>
        <v>0</v>
      </c>
      <c r="BV42" s="1270">
        <f t="shared" si="81"/>
        <v>0</v>
      </c>
      <c r="BW42" s="1270">
        <f t="shared" si="81"/>
        <v>0</v>
      </c>
      <c r="BX42" s="1270">
        <f t="shared" si="81"/>
        <v>0</v>
      </c>
      <c r="BY42" s="1270">
        <f t="shared" si="81"/>
        <v>0</v>
      </c>
      <c r="BZ42" s="1270">
        <f t="shared" si="81"/>
        <v>0</v>
      </c>
      <c r="CA42" s="1270">
        <f t="shared" si="81"/>
        <v>0</v>
      </c>
      <c r="CB42" s="1270">
        <f t="shared" si="81"/>
        <v>0</v>
      </c>
      <c r="CC42" s="1270">
        <f t="shared" si="81"/>
        <v>0</v>
      </c>
      <c r="CD42" s="1270">
        <f t="shared" si="81"/>
        <v>0</v>
      </c>
      <c r="CE42" s="1270">
        <f t="shared" si="81"/>
        <v>0</v>
      </c>
      <c r="CF42" s="1270">
        <f t="shared" si="81"/>
        <v>0</v>
      </c>
      <c r="CG42" s="1270">
        <f t="shared" si="81"/>
        <v>0</v>
      </c>
      <c r="CH42" s="1373">
        <f t="shared" si="81"/>
        <v>0</v>
      </c>
      <c r="CI42" s="1373">
        <f t="shared" si="81"/>
        <v>0</v>
      </c>
      <c r="CJ42" s="1373">
        <f t="shared" si="81"/>
        <v>0</v>
      </c>
      <c r="CK42" s="1373">
        <f t="shared" si="81"/>
        <v>0</v>
      </c>
      <c r="CL42" s="1373">
        <f t="shared" si="81"/>
        <v>0</v>
      </c>
      <c r="CM42" s="1466">
        <f t="shared" si="81"/>
        <v>0</v>
      </c>
      <c r="CN42" s="1467">
        <f t="shared" si="81"/>
        <v>0</v>
      </c>
      <c r="CO42" s="1467">
        <f t="shared" si="81"/>
        <v>0</v>
      </c>
      <c r="CP42" s="1467">
        <f t="shared" si="81"/>
        <v>0</v>
      </c>
      <c r="CQ42" s="1467">
        <f t="shared" si="81"/>
        <v>0</v>
      </c>
      <c r="CR42" s="1467">
        <f t="shared" si="81"/>
        <v>0</v>
      </c>
      <c r="CS42" s="1467">
        <f t="shared" si="81"/>
        <v>0</v>
      </c>
      <c r="CT42" s="1467">
        <f t="shared" si="81"/>
        <v>0</v>
      </c>
      <c r="CU42" s="1467">
        <f t="shared" si="81"/>
        <v>0</v>
      </c>
      <c r="CV42" s="1467">
        <f t="shared" si="81"/>
        <v>0</v>
      </c>
      <c r="CW42" s="1467">
        <f t="shared" si="81"/>
        <v>0</v>
      </c>
      <c r="CX42" s="1467">
        <f t="shared" si="81"/>
        <v>0</v>
      </c>
      <c r="CY42" s="1467">
        <f t="shared" si="81"/>
        <v>0</v>
      </c>
      <c r="CZ42" s="1467">
        <f t="shared" si="81"/>
        <v>0</v>
      </c>
      <c r="DA42" s="1467">
        <f t="shared" si="81"/>
        <v>0</v>
      </c>
      <c r="DB42" s="1467">
        <f t="shared" si="81"/>
        <v>0</v>
      </c>
      <c r="DC42" s="1467">
        <f>SUM(DB10:DC41)</f>
        <v>0</v>
      </c>
      <c r="DD42" s="1471">
        <f>SUM(DD10:DD41)</f>
        <v>0</v>
      </c>
      <c r="DE42" s="1472">
        <f>SUM(DE10:DE41)</f>
        <v>0</v>
      </c>
      <c r="DF42" s="1472">
        <f>SUM(DF10:DF41)</f>
        <v>0</v>
      </c>
      <c r="DG42" s="1472"/>
      <c r="DH42" s="1472">
        <f t="shared" ref="DH42:DO42" si="82">SUM(DH10:DH41)</f>
        <v>0</v>
      </c>
      <c r="DI42" s="1472">
        <f t="shared" si="82"/>
        <v>0</v>
      </c>
      <c r="DJ42" s="1472">
        <f t="shared" si="82"/>
        <v>0</v>
      </c>
      <c r="DK42" s="1472">
        <f t="shared" si="82"/>
        <v>0</v>
      </c>
      <c r="DL42" s="1472">
        <f t="shared" si="82"/>
        <v>0</v>
      </c>
      <c r="DM42" s="1472">
        <f t="shared" si="82"/>
        <v>0</v>
      </c>
      <c r="DN42" s="1472">
        <f t="shared" si="82"/>
        <v>0</v>
      </c>
      <c r="DO42" s="1473">
        <f t="shared" si="82"/>
        <v>0</v>
      </c>
    </row>
    <row r="43" spans="1:119" ht="19.5" customHeight="1">
      <c r="A43" s="2301"/>
      <c r="B43" s="888"/>
      <c r="C43" s="889"/>
      <c r="D43" s="890" t="s">
        <v>1261</v>
      </c>
      <c r="E43" s="3036"/>
      <c r="F43" s="3036"/>
      <c r="G43" s="889"/>
      <c r="H43" s="889"/>
      <c r="I43" s="889"/>
      <c r="J43" s="889"/>
      <c r="K43" s="889"/>
      <c r="L43" s="891"/>
      <c r="M43" s="889"/>
      <c r="N43" s="889"/>
      <c r="O43" s="889"/>
      <c r="P43" s="889"/>
      <c r="Q43" s="1474"/>
      <c r="R43" s="1474"/>
      <c r="S43" s="889"/>
      <c r="T43" s="889"/>
      <c r="U43" s="889"/>
      <c r="V43" s="889"/>
      <c r="W43" s="889"/>
      <c r="X43" s="889"/>
      <c r="Y43" s="889"/>
      <c r="Z43" s="1475"/>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H43" s="626"/>
      <c r="BI43" s="626"/>
      <c r="BJ43" s="626"/>
      <c r="BK43" s="626"/>
      <c r="BL43" s="626"/>
      <c r="BM43" s="626"/>
      <c r="BN43" s="626"/>
      <c r="BO43" s="626"/>
      <c r="BP43" s="626"/>
      <c r="BQ43" s="626"/>
      <c r="BR43" s="626"/>
      <c r="BS43" s="626"/>
      <c r="BT43" s="626"/>
      <c r="BU43" s="626"/>
      <c r="BV43" s="626"/>
      <c r="BW43" s="626"/>
      <c r="BX43" s="626"/>
      <c r="BY43" s="626"/>
      <c r="BZ43" s="626"/>
      <c r="CA43" s="626"/>
      <c r="CB43" s="626"/>
      <c r="CC43" s="626"/>
      <c r="CD43" s="626"/>
      <c r="CE43" s="626"/>
      <c r="CF43" s="626"/>
      <c r="CG43" s="626"/>
      <c r="CH43" s="626"/>
      <c r="CI43" s="626"/>
      <c r="CJ43" s="626"/>
      <c r="CK43" s="626"/>
      <c r="CL43" s="626"/>
      <c r="CM43" s="927">
        <f>SUM(CN43:DD43)</f>
        <v>0</v>
      </c>
      <c r="CN43" s="927">
        <f>SUM(O65:P69)</f>
        <v>0</v>
      </c>
      <c r="CO43" s="927">
        <f>O70</f>
        <v>0</v>
      </c>
      <c r="CP43" s="927">
        <f>O84</f>
        <v>0</v>
      </c>
      <c r="CQ43" s="927">
        <f>SUM(O79:P85)-O83-O84</f>
        <v>0</v>
      </c>
      <c r="CR43" s="927">
        <f>O83</f>
        <v>0</v>
      </c>
      <c r="CS43" s="927"/>
      <c r="CT43" s="927">
        <f>O87</f>
        <v>0</v>
      </c>
      <c r="CU43" s="927">
        <f>M92</f>
        <v>0</v>
      </c>
      <c r="CV43" s="927">
        <f>SUM(Z66:Z97)</f>
        <v>0</v>
      </c>
      <c r="CW43" s="927">
        <f>SUM(O96:P101)</f>
        <v>0</v>
      </c>
      <c r="CX43" s="927">
        <f>SUM(O103:P110)</f>
        <v>0</v>
      </c>
      <c r="CY43" s="927">
        <f>Z98+Z99+Z100+Z105</f>
        <v>0</v>
      </c>
      <c r="CZ43" s="927">
        <f>O72</f>
        <v>0</v>
      </c>
      <c r="DA43" s="927">
        <f>O86</f>
        <v>0</v>
      </c>
      <c r="DB43" s="927">
        <f>O71</f>
        <v>0</v>
      </c>
      <c r="DC43" s="927">
        <f>O73</f>
        <v>0</v>
      </c>
      <c r="DD43" s="927"/>
      <c r="DE43" s="626">
        <f>AB69</f>
        <v>0</v>
      </c>
      <c r="DF43" s="626"/>
      <c r="DG43" s="626"/>
      <c r="DH43" s="626"/>
      <c r="DI43" s="626"/>
      <c r="DJ43" s="626"/>
      <c r="DK43" s="626"/>
      <c r="DL43" s="626"/>
      <c r="DM43" s="626"/>
      <c r="DN43" s="626"/>
    </row>
    <row r="44" spans="1:119" ht="18" customHeight="1">
      <c r="A44" s="2301"/>
      <c r="B44" s="2786" t="s">
        <v>1262</v>
      </c>
      <c r="C44" s="2786"/>
      <c r="D44" s="2786"/>
      <c r="E44" s="1476" t="s">
        <v>982</v>
      </c>
      <c r="F44" s="1478"/>
      <c r="G44" s="1477" t="s">
        <v>1263</v>
      </c>
      <c r="H44" s="1477"/>
      <c r="I44" s="1478"/>
      <c r="J44" s="1054" t="s">
        <v>1264</v>
      </c>
      <c r="K44" s="1055"/>
      <c r="L44" s="1056"/>
      <c r="M44" s="1057" t="s">
        <v>1265</v>
      </c>
      <c r="N44" s="1058"/>
      <c r="O44" s="1058"/>
      <c r="P44" s="1059"/>
      <c r="Q44" s="1479"/>
      <c r="R44" s="1479"/>
      <c r="S44" s="895"/>
      <c r="T44" s="574" t="s">
        <v>1266</v>
      </c>
      <c r="V44" s="18" t="s">
        <v>1267</v>
      </c>
      <c r="W44" s="896" t="str">
        <f>Summary!P62</f>
        <v>N</v>
      </c>
      <c r="X44" s="793" t="s">
        <v>1268</v>
      </c>
      <c r="Y44" s="897">
        <f>Summary!R62</f>
        <v>8.2500000000000004E-2</v>
      </c>
      <c r="Z44" s="898"/>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H44" s="626"/>
      <c r="BI44" s="626"/>
      <c r="BJ44" s="626"/>
      <c r="BK44" s="626"/>
      <c r="BL44" s="626"/>
      <c r="BM44" s="626"/>
      <c r="BN44" s="626"/>
      <c r="BO44" s="626"/>
      <c r="BP44" s="626"/>
      <c r="BQ44" s="626"/>
      <c r="BR44" s="626"/>
      <c r="BS44" s="626"/>
      <c r="BT44" s="626"/>
      <c r="BU44" s="626"/>
      <c r="BV44" s="626"/>
      <c r="BW44" s="626"/>
      <c r="BX44" s="626"/>
      <c r="BY44" s="626"/>
      <c r="BZ44" s="626"/>
      <c r="CA44" s="626"/>
      <c r="CB44" s="626"/>
      <c r="CC44" s="626"/>
      <c r="CD44" s="626"/>
      <c r="CE44" s="626"/>
      <c r="CF44" s="626"/>
      <c r="CG44" s="626"/>
      <c r="CH44" s="626"/>
      <c r="CI44" s="626"/>
      <c r="CJ44" s="626"/>
      <c r="CK44" s="626"/>
      <c r="CL44" s="626"/>
      <c r="CM44" s="1482">
        <f t="shared" ref="CM44:DD44" si="83">CM42-CM43</f>
        <v>0</v>
      </c>
      <c r="CN44" s="1482">
        <f t="shared" si="83"/>
        <v>0</v>
      </c>
      <c r="CO44" s="1482">
        <f t="shared" si="83"/>
        <v>0</v>
      </c>
      <c r="CP44" s="1482">
        <f t="shared" si="83"/>
        <v>0</v>
      </c>
      <c r="CQ44" s="1482">
        <f t="shared" si="83"/>
        <v>0</v>
      </c>
      <c r="CR44" s="1482">
        <f t="shared" si="83"/>
        <v>0</v>
      </c>
      <c r="CS44" s="1482">
        <f t="shared" si="83"/>
        <v>0</v>
      </c>
      <c r="CT44" s="1482">
        <f t="shared" si="83"/>
        <v>0</v>
      </c>
      <c r="CU44" s="1482">
        <f t="shared" si="83"/>
        <v>0</v>
      </c>
      <c r="CV44" s="1482">
        <f t="shared" si="83"/>
        <v>0</v>
      </c>
      <c r="CW44" s="1482">
        <f t="shared" si="83"/>
        <v>0</v>
      </c>
      <c r="CX44" s="1482">
        <f t="shared" si="83"/>
        <v>0</v>
      </c>
      <c r="CY44" s="1482">
        <f t="shared" si="83"/>
        <v>0</v>
      </c>
      <c r="CZ44" s="1482">
        <f t="shared" si="83"/>
        <v>0</v>
      </c>
      <c r="DA44" s="1482">
        <f t="shared" si="83"/>
        <v>0</v>
      </c>
      <c r="DB44" s="1482">
        <f t="shared" si="83"/>
        <v>0</v>
      </c>
      <c r="DC44" s="1482">
        <f t="shared" si="83"/>
        <v>0</v>
      </c>
      <c r="DD44" s="1482">
        <f t="shared" si="83"/>
        <v>0</v>
      </c>
      <c r="DE44" s="626"/>
      <c r="DF44" s="626"/>
      <c r="DG44" s="626"/>
      <c r="DH44" s="626"/>
      <c r="DI44" s="626"/>
      <c r="DJ44" s="626"/>
      <c r="DK44" s="626"/>
      <c r="DL44" s="626"/>
      <c r="DM44" s="626"/>
      <c r="DN44" s="626"/>
    </row>
    <row r="45" spans="1:119" ht="18" customHeight="1">
      <c r="A45" s="2301"/>
      <c r="B45" s="899" t="s">
        <v>1269</v>
      </c>
      <c r="C45" s="3037">
        <f>IF(I79=0,0,E45/I79)</f>
        <v>0</v>
      </c>
      <c r="D45" s="3037"/>
      <c r="E45" s="2866">
        <f>(V45-O110)*(1+M45)</f>
        <v>0</v>
      </c>
      <c r="F45" s="2866"/>
      <c r="G45" s="1484">
        <f>IF(H45=0,0,H45/E45)</f>
        <v>0</v>
      </c>
      <c r="H45" s="2867">
        <f>(E45-V45)</f>
        <v>0</v>
      </c>
      <c r="I45" s="2867"/>
      <c r="J45" s="1485">
        <f>IF(D42=0,0,V45/D42)</f>
        <v>0</v>
      </c>
      <c r="K45" s="1486"/>
      <c r="L45" s="1487"/>
      <c r="M45" s="1488">
        <f>Summary!P59</f>
        <v>0.18</v>
      </c>
      <c r="N45" s="1489"/>
      <c r="O45" s="1489"/>
      <c r="P45" s="1490"/>
      <c r="Q45" s="1479"/>
      <c r="R45" s="1480"/>
      <c r="S45" s="895"/>
      <c r="T45" s="902" t="s">
        <v>980</v>
      </c>
      <c r="V45" s="2942">
        <f>SUM(O65:P77)+SUM(O79:P88)+SUM(L79:M88)+SUM(O91:P93)+SUM(O96:P101)+SUM(O103:P110)+Z110+O94</f>
        <v>0</v>
      </c>
      <c r="W45" s="2942"/>
      <c r="X45" s="903"/>
      <c r="Y45" s="18"/>
      <c r="Z45" s="898"/>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H45" s="626"/>
      <c r="BI45" s="626"/>
      <c r="BJ45" s="626"/>
      <c r="BK45" s="626"/>
      <c r="BL45" s="626"/>
      <c r="BM45" s="626"/>
      <c r="BN45" s="626"/>
      <c r="BO45" s="626"/>
      <c r="BP45" s="626"/>
      <c r="BQ45" s="626"/>
      <c r="BR45" s="626"/>
      <c r="BS45" s="626"/>
      <c r="BT45" s="626"/>
      <c r="BU45" s="626"/>
      <c r="BV45" s="626"/>
      <c r="BW45" s="626"/>
      <c r="BX45" s="626"/>
      <c r="BY45" s="626"/>
      <c r="BZ45" s="626"/>
      <c r="CA45" s="626"/>
      <c r="CB45" s="626"/>
      <c r="CC45" s="626"/>
      <c r="CD45" s="626"/>
      <c r="CE45" s="626"/>
      <c r="CF45" s="626"/>
      <c r="CG45" s="626"/>
      <c r="CH45" s="626"/>
      <c r="CI45" s="626"/>
      <c r="CJ45" s="626"/>
      <c r="CK45" s="626"/>
      <c r="CL45" s="626"/>
      <c r="CM45" s="626"/>
      <c r="CN45" s="626"/>
      <c r="CO45" s="626"/>
      <c r="CP45" s="626"/>
      <c r="CQ45" s="626"/>
      <c r="CR45" s="626"/>
      <c r="CS45" s="626"/>
      <c r="CT45" s="626"/>
      <c r="CU45" s="626"/>
      <c r="CV45" s="626"/>
      <c r="CW45" s="626"/>
      <c r="CX45" s="626"/>
      <c r="CY45" s="626"/>
      <c r="CZ45" s="626"/>
      <c r="DA45" s="626"/>
      <c r="DB45" s="626"/>
      <c r="DC45" s="626"/>
      <c r="DD45" s="626"/>
      <c r="DE45" s="626"/>
      <c r="DF45" s="626"/>
      <c r="DG45" s="626"/>
      <c r="DH45" s="626"/>
      <c r="DI45" s="626"/>
      <c r="DJ45" s="626"/>
      <c r="DK45" s="626"/>
      <c r="DL45" s="626"/>
      <c r="DM45" s="626"/>
      <c r="DN45" s="626"/>
    </row>
    <row r="46" spans="1:119" ht="18" customHeight="1">
      <c r="A46" s="2301"/>
      <c r="B46" s="1492"/>
      <c r="C46" s="892"/>
      <c r="D46" s="1493" t="str">
        <f>IF(ROUND(E46,0)=0,"BINGO!!",IF(ROUND(E46,0)&lt;0,"To Low","T0 High"))</f>
        <v>BINGO!!</v>
      </c>
      <c r="E46" s="3039">
        <f>E45-E43</f>
        <v>0</v>
      </c>
      <c r="F46" s="3039"/>
      <c r="G46" s="3040"/>
      <c r="H46" s="3040"/>
      <c r="I46" s="907" t="s">
        <v>1270</v>
      </c>
      <c r="J46" s="908"/>
      <c r="K46" s="3041"/>
      <c r="L46" s="3041"/>
      <c r="M46" s="909"/>
      <c r="N46" s="910">
        <f>IF(K46&gt;0,(K46-E45)/(1+M45),0)</f>
        <v>0</v>
      </c>
      <c r="O46" s="1494"/>
      <c r="P46" s="895"/>
      <c r="Q46" s="1479"/>
      <c r="R46" s="1479"/>
      <c r="S46" s="1137"/>
      <c r="T46" s="1495"/>
      <c r="U46" s="895"/>
      <c r="V46" s="3042">
        <f>D118</f>
        <v>0</v>
      </c>
      <c r="W46" s="3042"/>
      <c r="X46" s="1496">
        <f>V45-V46</f>
        <v>0</v>
      </c>
      <c r="Y46" s="895"/>
      <c r="Z46" s="898"/>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H46" s="626"/>
      <c r="BI46" s="626"/>
      <c r="BJ46" s="626"/>
      <c r="BK46" s="626"/>
      <c r="BL46" s="626"/>
      <c r="BM46" s="626"/>
      <c r="BN46" s="626"/>
      <c r="BO46" s="626"/>
      <c r="BP46" s="626"/>
      <c r="BQ46" s="626"/>
      <c r="BR46" s="626"/>
      <c r="BS46" s="626"/>
      <c r="BT46" s="626"/>
      <c r="BU46" s="626"/>
      <c r="BV46" s="626"/>
      <c r="BW46" s="626"/>
      <c r="BX46" s="626"/>
      <c r="BY46" s="626"/>
      <c r="BZ46" s="626"/>
      <c r="CA46" s="626"/>
      <c r="CB46" s="626"/>
      <c r="CC46" s="626"/>
      <c r="CD46" s="626"/>
      <c r="CE46" s="626"/>
      <c r="CF46" s="626"/>
      <c r="CG46" s="626"/>
      <c r="CH46" s="626"/>
      <c r="CI46" s="626"/>
      <c r="CJ46" s="626"/>
      <c r="CK46" s="626"/>
      <c r="CL46" s="626"/>
      <c r="CM46" s="626"/>
      <c r="CN46" s="626"/>
      <c r="CO46" s="626"/>
      <c r="CP46" s="626"/>
      <c r="CQ46" s="626"/>
      <c r="CR46" s="626"/>
      <c r="CS46" s="626"/>
      <c r="CT46" s="626"/>
      <c r="CU46" s="626"/>
      <c r="CV46" s="626"/>
      <c r="CW46" s="626"/>
      <c r="CX46" s="626"/>
      <c r="CY46" s="626"/>
      <c r="CZ46" s="626"/>
      <c r="DA46" s="626"/>
      <c r="DB46" s="626"/>
      <c r="DC46" s="626"/>
      <c r="DD46" s="626"/>
      <c r="DE46" s="626"/>
      <c r="DF46" s="626"/>
      <c r="DG46" s="626"/>
      <c r="DH46" s="626"/>
      <c r="DI46" s="626"/>
      <c r="DJ46" s="626"/>
      <c r="DK46" s="626"/>
      <c r="DL46" s="626"/>
      <c r="DM46" s="626"/>
      <c r="DN46" s="626"/>
    </row>
    <row r="47" spans="1:119" ht="29.25" customHeight="1">
      <c r="B47" s="1497"/>
      <c r="C47" s="983" t="s">
        <v>1356</v>
      </c>
      <c r="D47" s="983"/>
      <c r="E47" s="1498" t="s">
        <v>1357</v>
      </c>
      <c r="F47" s="1499"/>
      <c r="G47" s="1498" t="s">
        <v>1590</v>
      </c>
      <c r="H47" s="1499"/>
      <c r="I47" s="1498" t="s">
        <v>1359</v>
      </c>
      <c r="J47" s="1499"/>
      <c r="K47" s="1498" t="s">
        <v>1360</v>
      </c>
      <c r="L47" s="1499"/>
      <c r="M47" s="1498" t="s">
        <v>1361</v>
      </c>
      <c r="N47" s="1085"/>
      <c r="O47" s="808"/>
      <c r="P47" s="1291" t="s">
        <v>1591</v>
      </c>
      <c r="Q47" s="1500"/>
      <c r="R47" s="1291" t="s">
        <v>1592</v>
      </c>
      <c r="S47" s="1501"/>
      <c r="U47" s="1502">
        <f>IF(I79=0,0,I79/SUM(L65:L69))</f>
        <v>0</v>
      </c>
      <c r="V47" s="1503" t="s">
        <v>1906</v>
      </c>
      <c r="W47" s="626"/>
      <c r="X47" s="626"/>
      <c r="Y47" s="1254"/>
      <c r="Z47" s="1254"/>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H47" s="626"/>
      <c r="BI47" s="626"/>
      <c r="BJ47" s="626"/>
      <c r="BK47" s="626"/>
      <c r="BL47" s="626"/>
      <c r="BM47" s="626"/>
      <c r="BN47" s="626"/>
      <c r="BO47" s="626"/>
      <c r="BP47" s="626"/>
      <c r="BQ47" s="626"/>
      <c r="BR47" s="626"/>
      <c r="BS47" s="626"/>
      <c r="BT47" s="626"/>
      <c r="BU47" s="626"/>
      <c r="BV47" s="626"/>
      <c r="BW47" s="628"/>
      <c r="BX47" s="628"/>
      <c r="BY47" s="628"/>
      <c r="BZ47" s="628"/>
      <c r="CA47" s="628"/>
      <c r="CB47" s="628"/>
      <c r="CC47" s="628"/>
      <c r="CD47" s="628"/>
      <c r="CE47" s="626"/>
      <c r="CF47" s="626"/>
      <c r="CG47" s="626"/>
      <c r="CH47" s="626"/>
      <c r="CI47" s="628"/>
      <c r="CJ47" s="628"/>
      <c r="CK47" s="628"/>
      <c r="CL47" s="628"/>
      <c r="CM47" s="628"/>
      <c r="CN47" s="628"/>
      <c r="CO47" s="626"/>
      <c r="CP47" s="626"/>
      <c r="CQ47" s="626"/>
      <c r="CR47" s="628"/>
      <c r="CS47" s="626"/>
      <c r="CT47" s="1270"/>
      <c r="CU47" s="1270"/>
      <c r="CV47" s="1270"/>
      <c r="CW47" s="1270"/>
      <c r="CX47" s="1504"/>
      <c r="CY47" s="1306"/>
      <c r="CZ47" s="1306"/>
      <c r="DA47" s="1306" t="s">
        <v>1594</v>
      </c>
      <c r="DB47" s="1505">
        <f>SUM(DE42:DO42)</f>
        <v>0</v>
      </c>
      <c r="DC47" s="1306" t="s">
        <v>1418</v>
      </c>
      <c r="DD47" s="1306"/>
      <c r="DE47" s="1306"/>
      <c r="DF47" s="1306"/>
      <c r="DG47" s="1307"/>
      <c r="DH47" s="626"/>
      <c r="DI47" s="626"/>
      <c r="DJ47" s="626"/>
      <c r="DK47" s="626"/>
      <c r="DL47" s="626"/>
      <c r="DM47" s="626"/>
      <c r="DN47" s="626"/>
    </row>
    <row r="48" spans="1:119" ht="42.75" customHeight="1">
      <c r="B48" s="1506" t="s">
        <v>1595</v>
      </c>
      <c r="C48" s="1100" t="s">
        <v>1367</v>
      </c>
      <c r="D48" s="1099" t="s">
        <v>1596</v>
      </c>
      <c r="E48" s="1100" t="s">
        <v>1369</v>
      </c>
      <c r="F48" s="1099" t="s">
        <v>1215</v>
      </c>
      <c r="G48" s="1100" t="s">
        <v>1369</v>
      </c>
      <c r="H48" s="1099" t="s">
        <v>1215</v>
      </c>
      <c r="I48" s="1100" t="s">
        <v>1369</v>
      </c>
      <c r="J48" s="1099" t="s">
        <v>1215</v>
      </c>
      <c r="K48" s="1100" t="s">
        <v>1215</v>
      </c>
      <c r="L48" s="1507" t="s">
        <v>1216</v>
      </c>
      <c r="M48" s="1100" t="s">
        <v>1215</v>
      </c>
      <c r="N48" s="1101" t="s">
        <v>1597</v>
      </c>
      <c r="O48" s="1508" t="s">
        <v>1598</v>
      </c>
      <c r="P48" s="1317" t="s">
        <v>1599</v>
      </c>
      <c r="Q48" s="1509"/>
      <c r="R48" s="1317" t="s">
        <v>998</v>
      </c>
      <c r="S48" s="1510"/>
      <c r="U48" s="3043" t="s">
        <v>1602</v>
      </c>
      <c r="V48" s="3043"/>
      <c r="W48" s="1168" t="s">
        <v>1259</v>
      </c>
      <c r="X48" s="1169" t="s">
        <v>1215</v>
      </c>
      <c r="Y48" s="1170" t="s">
        <v>1369</v>
      </c>
      <c r="Z48" s="1171" t="s">
        <v>1414</v>
      </c>
      <c r="AS48" s="18" t="s">
        <v>1603</v>
      </c>
      <c r="AT48" s="626"/>
      <c r="AU48" s="626"/>
      <c r="AV48" s="626"/>
      <c r="AW48" s="626"/>
      <c r="AX48" s="626"/>
      <c r="AY48" s="626"/>
      <c r="AZ48" s="626"/>
      <c r="BA48" s="626"/>
      <c r="BB48" s="626"/>
      <c r="BC48" s="626"/>
      <c r="BD48" s="626"/>
      <c r="BE48" s="626"/>
      <c r="BF48" s="626"/>
      <c r="BG48" s="626"/>
      <c r="BH48" s="626"/>
      <c r="BI48" s="626"/>
      <c r="BJ48" s="626"/>
      <c r="BK48" s="626"/>
      <c r="BL48" s="626"/>
      <c r="BM48" s="626"/>
      <c r="BN48" s="626"/>
      <c r="BO48" s="626"/>
      <c r="BP48" s="626"/>
      <c r="BQ48" s="626"/>
      <c r="BR48" s="626"/>
      <c r="BS48" s="1251"/>
      <c r="BT48" s="626"/>
      <c r="BU48" s="626"/>
      <c r="BV48" s="626"/>
      <c r="BW48" s="626"/>
      <c r="BX48" s="626"/>
      <c r="BY48" s="626"/>
      <c r="BZ48" s="626"/>
      <c r="CA48" s="626"/>
      <c r="CB48" s="626"/>
      <c r="CC48" s="626"/>
      <c r="CD48" s="626"/>
      <c r="CE48" s="626"/>
      <c r="CF48" s="626"/>
      <c r="CG48" s="626"/>
      <c r="CH48" s="626"/>
      <c r="CI48" s="626"/>
      <c r="CJ48" s="626"/>
      <c r="CK48" s="626"/>
      <c r="CL48" s="626"/>
      <c r="CM48" s="626"/>
      <c r="CN48" s="626"/>
      <c r="CO48" s="626"/>
      <c r="CP48" s="626"/>
      <c r="CQ48" s="1372">
        <f>CO42-CC47</f>
        <v>0</v>
      </c>
      <c r="CR48" s="626"/>
      <c r="CS48" s="626"/>
      <c r="CT48" s="626"/>
      <c r="CU48" s="626"/>
      <c r="CV48" s="626"/>
      <c r="CW48" s="626"/>
      <c r="CX48" s="626"/>
      <c r="CY48" s="626"/>
      <c r="CZ48" s="626"/>
      <c r="DA48" s="626"/>
      <c r="DB48" s="626"/>
      <c r="DC48" s="626"/>
      <c r="DD48" s="626"/>
      <c r="DE48" s="626"/>
      <c r="DF48" s="626"/>
      <c r="DG48" s="626"/>
      <c r="DH48" s="626"/>
      <c r="DI48" s="626"/>
      <c r="DJ48" s="626"/>
      <c r="DK48" s="626"/>
      <c r="DL48" s="626"/>
      <c r="DM48" s="626"/>
      <c r="DN48" s="626"/>
      <c r="DO48" s="626"/>
    </row>
    <row r="49" spans="2:45" ht="19.5" customHeight="1">
      <c r="B49" s="1512">
        <v>1</v>
      </c>
      <c r="C49" s="1660"/>
      <c r="D49" s="1661"/>
      <c r="E49" s="503"/>
      <c r="F49" s="1418"/>
      <c r="G49" s="1513"/>
      <c r="H49" s="1661"/>
      <c r="I49" s="503"/>
      <c r="J49" s="1661"/>
      <c r="K49" s="503"/>
      <c r="L49" s="1661"/>
      <c r="M49" s="1513"/>
      <c r="N49" s="503"/>
      <c r="O49" s="1411"/>
      <c r="P49" s="1514">
        <f t="shared" ref="P49:P59" si="84">IF(C49=0,0,(E49*F49/16*F49/16*10.680159)+((G49*H49/16*H49/16*10.680159)+(I49*2*J49/16*J49/16*10.680159)+IF(L49=0,0,((K49/16*K49/16)*3.145*0.2836*((((C49*2))+(D49*2))*12/L49))))+(M49/16*M49/16*10.680159*(12/IF(N49=0,1,N49))*O49))*(1+K$70)</f>
        <v>0</v>
      </c>
      <c r="Q49" s="1515"/>
      <c r="R49" s="1516">
        <f t="shared" ref="R49:R59" si="85">(C49/12*D49/324)*(1+K$65)</f>
        <v>0</v>
      </c>
      <c r="S49" s="1517"/>
      <c r="U49" s="3044">
        <f>IF(I79=0,0,L70/I79)</f>
        <v>0</v>
      </c>
      <c r="V49" s="3044"/>
      <c r="W49" s="142">
        <v>22</v>
      </c>
      <c r="X49" s="143">
        <v>7</v>
      </c>
      <c r="Y49" s="144">
        <v>20</v>
      </c>
      <c r="Z49" s="145">
        <f t="shared" ref="Z49:Z58" si="86">W49*(X49*X49*0.04180884375)*Y49</f>
        <v>901.39867125000001</v>
      </c>
      <c r="AS49" s="18">
        <f t="shared" ref="AS49:AS59" si="87">D49*2/12</f>
        <v>0</v>
      </c>
    </row>
    <row r="50" spans="2:45" ht="19.5" customHeight="1">
      <c r="B50" s="1518">
        <v>2</v>
      </c>
      <c r="C50" s="1513"/>
      <c r="D50" s="834"/>
      <c r="E50" s="503"/>
      <c r="F50" s="1418"/>
      <c r="G50" s="503"/>
      <c r="H50" s="834"/>
      <c r="I50" s="503"/>
      <c r="J50" s="834"/>
      <c r="K50" s="503"/>
      <c r="L50" s="834"/>
      <c r="M50" s="1513"/>
      <c r="N50" s="503"/>
      <c r="O50" s="1410"/>
      <c r="P50" s="1514">
        <f t="shared" si="84"/>
        <v>0</v>
      </c>
      <c r="Q50" s="1515"/>
      <c r="R50" s="1519">
        <f t="shared" si="85"/>
        <v>0</v>
      </c>
      <c r="S50" s="1517"/>
      <c r="U50" s="3044"/>
      <c r="V50" s="3044"/>
      <c r="W50" s="142">
        <v>18</v>
      </c>
      <c r="X50" s="143">
        <v>7</v>
      </c>
      <c r="Y50" s="144">
        <v>24</v>
      </c>
      <c r="Z50" s="145">
        <f t="shared" si="86"/>
        <v>885.0096044999998</v>
      </c>
      <c r="AS50" s="18">
        <f t="shared" si="87"/>
        <v>0</v>
      </c>
    </row>
    <row r="51" spans="2:45" ht="19.5" customHeight="1">
      <c r="B51" s="1512">
        <v>3</v>
      </c>
      <c r="C51" s="1513"/>
      <c r="D51" s="834"/>
      <c r="E51" s="503"/>
      <c r="F51" s="834"/>
      <c r="G51" s="503"/>
      <c r="H51" s="834"/>
      <c r="I51" s="503"/>
      <c r="J51" s="834"/>
      <c r="K51" s="503"/>
      <c r="L51" s="834"/>
      <c r="M51" s="1513"/>
      <c r="N51" s="503"/>
      <c r="O51" s="1410"/>
      <c r="P51" s="1514">
        <f t="shared" si="84"/>
        <v>0</v>
      </c>
      <c r="Q51" s="1515"/>
      <c r="R51" s="1519">
        <f t="shared" si="85"/>
        <v>0</v>
      </c>
      <c r="S51" s="1517"/>
      <c r="U51" s="3045" t="s">
        <v>1604</v>
      </c>
      <c r="V51" s="3045"/>
      <c r="W51" s="142">
        <v>22</v>
      </c>
      <c r="X51" s="143">
        <v>5</v>
      </c>
      <c r="Y51" s="144">
        <v>20</v>
      </c>
      <c r="Z51" s="145">
        <f t="shared" si="86"/>
        <v>459.89728124999999</v>
      </c>
      <c r="AS51" s="18">
        <f t="shared" si="87"/>
        <v>0</v>
      </c>
    </row>
    <row r="52" spans="2:45" ht="19.5" customHeight="1">
      <c r="B52" s="1512">
        <v>4</v>
      </c>
      <c r="C52" s="1513"/>
      <c r="D52" s="834"/>
      <c r="E52" s="503"/>
      <c r="F52" s="834"/>
      <c r="G52" s="503"/>
      <c r="H52" s="834"/>
      <c r="I52" s="503"/>
      <c r="J52" s="834"/>
      <c r="K52" s="503"/>
      <c r="L52" s="834"/>
      <c r="M52" s="1513"/>
      <c r="N52" s="503"/>
      <c r="O52" s="1410"/>
      <c r="P52" s="1514">
        <f t="shared" si="84"/>
        <v>0</v>
      </c>
      <c r="Q52" s="1515"/>
      <c r="R52" s="1519">
        <f t="shared" si="85"/>
        <v>0</v>
      </c>
      <c r="S52" s="1517"/>
      <c r="U52" s="3046">
        <f>Summary!L16</f>
        <v>2.7860308296890953E-2</v>
      </c>
      <c r="V52" s="3046"/>
      <c r="W52" s="142">
        <v>18</v>
      </c>
      <c r="X52" s="143">
        <v>5</v>
      </c>
      <c r="Y52" s="144">
        <v>24</v>
      </c>
      <c r="Z52" s="145">
        <f t="shared" si="86"/>
        <v>451.53551249999998</v>
      </c>
      <c r="AS52" s="18">
        <f t="shared" si="87"/>
        <v>0</v>
      </c>
    </row>
    <row r="53" spans="2:45" ht="19.5" customHeight="1">
      <c r="B53" s="1512">
        <v>5</v>
      </c>
      <c r="C53" s="1513"/>
      <c r="D53" s="834"/>
      <c r="E53" s="503"/>
      <c r="F53" s="834"/>
      <c r="G53" s="503"/>
      <c r="H53" s="834"/>
      <c r="I53" s="503"/>
      <c r="J53" s="834"/>
      <c r="K53" s="503"/>
      <c r="L53" s="834"/>
      <c r="M53" s="1513"/>
      <c r="N53" s="503"/>
      <c r="O53" s="1410"/>
      <c r="P53" s="1514">
        <f t="shared" si="84"/>
        <v>0</v>
      </c>
      <c r="Q53" s="1515"/>
      <c r="R53" s="1519">
        <f t="shared" si="85"/>
        <v>0</v>
      </c>
      <c r="S53" s="1517"/>
      <c r="U53" s="3046"/>
      <c r="V53" s="3046"/>
      <c r="W53" s="1185"/>
      <c r="X53" s="1186"/>
      <c r="Y53" s="1187"/>
      <c r="Z53" s="1188">
        <f t="shared" si="86"/>
        <v>0</v>
      </c>
      <c r="AS53" s="18">
        <f t="shared" si="87"/>
        <v>0</v>
      </c>
    </row>
    <row r="54" spans="2:45" ht="19.5" customHeight="1">
      <c r="B54" s="1512">
        <v>6</v>
      </c>
      <c r="C54" s="1513"/>
      <c r="D54" s="834"/>
      <c r="E54" s="503"/>
      <c r="F54" s="1418"/>
      <c r="G54" s="1513"/>
      <c r="H54" s="834"/>
      <c r="I54" s="503"/>
      <c r="J54" s="834"/>
      <c r="K54" s="503"/>
      <c r="L54" s="834"/>
      <c r="M54" s="1513"/>
      <c r="N54" s="1520"/>
      <c r="O54" s="1410"/>
      <c r="P54" s="1514">
        <f t="shared" si="84"/>
        <v>0</v>
      </c>
      <c r="Q54" s="1515"/>
      <c r="R54" s="1519">
        <f t="shared" si="85"/>
        <v>0</v>
      </c>
      <c r="S54" s="1517"/>
      <c r="W54" s="142"/>
      <c r="X54" s="143"/>
      <c r="Y54" s="144"/>
      <c r="Z54" s="145">
        <f t="shared" si="86"/>
        <v>0</v>
      </c>
      <c r="AS54" s="18">
        <f t="shared" si="87"/>
        <v>0</v>
      </c>
    </row>
    <row r="55" spans="2:45" ht="19.5" customHeight="1">
      <c r="B55" s="1512">
        <v>7</v>
      </c>
      <c r="C55" s="1513"/>
      <c r="D55" s="834"/>
      <c r="E55" s="503"/>
      <c r="F55" s="1418"/>
      <c r="G55" s="503"/>
      <c r="H55" s="834"/>
      <c r="I55" s="503"/>
      <c r="J55" s="834"/>
      <c r="K55" s="503"/>
      <c r="L55" s="834"/>
      <c r="M55" s="1513"/>
      <c r="N55" s="1520"/>
      <c r="O55" s="1410"/>
      <c r="P55" s="1514">
        <f t="shared" si="84"/>
        <v>0</v>
      </c>
      <c r="Q55" s="1515"/>
      <c r="R55" s="1519">
        <f t="shared" si="85"/>
        <v>0</v>
      </c>
      <c r="S55" s="1517"/>
      <c r="W55" s="142"/>
      <c r="X55" s="143"/>
      <c r="Y55" s="144"/>
      <c r="Z55" s="145">
        <f t="shared" si="86"/>
        <v>0</v>
      </c>
      <c r="AS55" s="18">
        <f t="shared" si="87"/>
        <v>0</v>
      </c>
    </row>
    <row r="56" spans="2:45" ht="19.5" customHeight="1">
      <c r="B56" s="1512">
        <v>8</v>
      </c>
      <c r="C56" s="1513"/>
      <c r="D56" s="834"/>
      <c r="E56" s="503"/>
      <c r="F56" s="834"/>
      <c r="G56" s="503"/>
      <c r="H56" s="834"/>
      <c r="I56" s="503"/>
      <c r="J56" s="834"/>
      <c r="K56" s="503"/>
      <c r="L56" s="834"/>
      <c r="M56" s="1513"/>
      <c r="N56" s="503"/>
      <c r="O56" s="1410"/>
      <c r="P56" s="1514">
        <f t="shared" si="84"/>
        <v>0</v>
      </c>
      <c r="Q56" s="1515"/>
      <c r="R56" s="1519">
        <f t="shared" si="85"/>
        <v>0</v>
      </c>
      <c r="S56" s="1517"/>
      <c r="W56" s="142"/>
      <c r="X56" s="143"/>
      <c r="Y56" s="144"/>
      <c r="Z56" s="145">
        <f t="shared" si="86"/>
        <v>0</v>
      </c>
      <c r="AS56" s="18">
        <f t="shared" si="87"/>
        <v>0</v>
      </c>
    </row>
    <row r="57" spans="2:45" ht="19.5" customHeight="1">
      <c r="B57" s="1512">
        <v>9</v>
      </c>
      <c r="C57" s="1513"/>
      <c r="D57" s="834"/>
      <c r="E57" s="503"/>
      <c r="F57" s="834"/>
      <c r="G57" s="503"/>
      <c r="H57" s="834"/>
      <c r="I57" s="503"/>
      <c r="J57" s="834"/>
      <c r="K57" s="503"/>
      <c r="L57" s="834"/>
      <c r="M57" s="1513"/>
      <c r="N57" s="503"/>
      <c r="O57" s="1410"/>
      <c r="P57" s="1514">
        <f t="shared" si="84"/>
        <v>0</v>
      </c>
      <c r="Q57" s="1515"/>
      <c r="R57" s="1519">
        <f t="shared" si="85"/>
        <v>0</v>
      </c>
      <c r="S57" s="1517"/>
      <c r="W57" s="1195"/>
      <c r="X57" s="143"/>
      <c r="Y57" s="144"/>
      <c r="Z57" s="145">
        <f t="shared" si="86"/>
        <v>0</v>
      </c>
      <c r="AS57" s="18">
        <f t="shared" si="87"/>
        <v>0</v>
      </c>
    </row>
    <row r="58" spans="2:45" ht="19.5" customHeight="1">
      <c r="B58" s="1512">
        <v>10</v>
      </c>
      <c r="C58" s="1513"/>
      <c r="D58" s="834"/>
      <c r="E58" s="503"/>
      <c r="F58" s="834"/>
      <c r="G58" s="503"/>
      <c r="H58" s="834"/>
      <c r="I58" s="503"/>
      <c r="J58" s="834"/>
      <c r="K58" s="503"/>
      <c r="L58" s="834"/>
      <c r="M58" s="1513"/>
      <c r="N58" s="503"/>
      <c r="O58" s="1410"/>
      <c r="P58" s="1514">
        <f t="shared" si="84"/>
        <v>0</v>
      </c>
      <c r="Q58" s="1515"/>
      <c r="R58" s="1519">
        <f t="shared" si="85"/>
        <v>0</v>
      </c>
      <c r="S58" s="1517"/>
      <c r="W58" s="1185"/>
      <c r="X58" s="1186"/>
      <c r="Y58" s="1187"/>
      <c r="Z58" s="1188">
        <f t="shared" si="86"/>
        <v>0</v>
      </c>
      <c r="AS58" s="18">
        <f t="shared" si="87"/>
        <v>0</v>
      </c>
    </row>
    <row r="59" spans="2:45" ht="19.5" customHeight="1">
      <c r="B59" s="1521">
        <v>11</v>
      </c>
      <c r="C59" s="1391"/>
      <c r="D59" s="1392"/>
      <c r="E59" s="1395"/>
      <c r="F59" s="1392"/>
      <c r="G59" s="1395"/>
      <c r="H59" s="1392"/>
      <c r="I59" s="1395"/>
      <c r="J59" s="1392"/>
      <c r="K59" s="1395"/>
      <c r="L59" s="1392"/>
      <c r="M59" s="1391"/>
      <c r="N59" s="1395"/>
      <c r="O59" s="1397"/>
      <c r="P59" s="1522">
        <f t="shared" si="84"/>
        <v>0</v>
      </c>
      <c r="Q59" s="1523"/>
      <c r="R59" s="1524">
        <f t="shared" si="85"/>
        <v>0</v>
      </c>
      <c r="S59" s="1662"/>
      <c r="U59" s="3047">
        <f>SUM(CN42:DC42)</f>
        <v>0</v>
      </c>
      <c r="V59" s="3047"/>
      <c r="W59" s="1527"/>
      <c r="X59" s="1528">
        <f>V45-U59</f>
        <v>0</v>
      </c>
      <c r="Y59" s="1529"/>
      <c r="Z59" s="1529"/>
      <c r="AS59" s="18">
        <f t="shared" si="87"/>
        <v>0</v>
      </c>
    </row>
    <row r="60" spans="2:45" ht="21.75" customHeight="1">
      <c r="B60" s="2306" t="s">
        <v>1271</v>
      </c>
      <c r="C60" s="2307"/>
      <c r="D60" s="1143"/>
      <c r="E60" s="2308"/>
      <c r="F60" s="2309"/>
      <c r="G60" s="1540"/>
      <c r="H60" s="1143"/>
      <c r="I60" s="1143"/>
      <c r="J60" s="1143"/>
      <c r="K60" s="1143"/>
      <c r="L60" s="1143"/>
      <c r="M60" s="1143"/>
      <c r="N60" s="1143"/>
      <c r="O60" s="2803" t="s">
        <v>721</v>
      </c>
      <c r="P60" s="2803"/>
      <c r="Q60" s="849"/>
      <c r="R60" s="351"/>
      <c r="AA60" s="18"/>
    </row>
    <row r="61" spans="2:45" ht="21.75" customHeight="1">
      <c r="B61" s="396"/>
      <c r="C61" s="2310"/>
      <c r="D61" s="1143"/>
      <c r="E61" s="2311"/>
      <c r="F61" s="2309"/>
      <c r="G61" s="1152"/>
      <c r="H61" s="1143"/>
      <c r="I61" s="1143"/>
      <c r="J61" s="1143"/>
      <c r="K61" s="1143"/>
      <c r="L61" s="1143"/>
      <c r="M61" s="1143"/>
      <c r="N61" s="1143"/>
      <c r="O61" s="924" t="s">
        <v>1274</v>
      </c>
      <c r="P61" s="2000"/>
      <c r="AA61" s="18"/>
    </row>
    <row r="62" spans="2:45" ht="21.75" customHeight="1">
      <c r="B62" s="396"/>
      <c r="C62" s="2310"/>
      <c r="D62" s="1143"/>
      <c r="E62" s="2312"/>
      <c r="F62" s="2313"/>
      <c r="G62" s="1143"/>
      <c r="H62" s="1143"/>
      <c r="I62" s="1143"/>
      <c r="J62" s="1143"/>
      <c r="K62" s="1143"/>
      <c r="L62" s="1143"/>
      <c r="M62" s="1143"/>
      <c r="N62" s="1143"/>
      <c r="O62" s="932" t="s">
        <v>1276</v>
      </c>
      <c r="P62" s="2002">
        <f>L70</f>
        <v>0</v>
      </c>
      <c r="AA62" s="18"/>
    </row>
    <row r="63" spans="2:45" ht="21.75" customHeight="1">
      <c r="B63" s="396"/>
      <c r="C63" s="2314"/>
      <c r="D63" s="1143"/>
      <c r="E63" s="1143"/>
      <c r="F63" s="1143"/>
      <c r="G63" s="1143"/>
      <c r="H63" s="1143"/>
      <c r="I63" s="1143"/>
      <c r="J63" s="1143"/>
      <c r="K63" s="1143"/>
      <c r="L63" s="1143"/>
      <c r="M63" s="1143"/>
      <c r="N63" s="1787"/>
      <c r="O63" s="1143"/>
      <c r="P63" s="1546"/>
      <c r="AA63" s="18"/>
    </row>
    <row r="64" spans="2:45" ht="36" customHeight="1">
      <c r="B64" s="1547" t="s">
        <v>1280</v>
      </c>
      <c r="C64" s="1163" t="s">
        <v>1413</v>
      </c>
      <c r="D64" s="943"/>
      <c r="E64" s="943"/>
      <c r="F64" s="943"/>
      <c r="G64" s="943"/>
      <c r="H64" s="943"/>
      <c r="I64" s="943"/>
      <c r="J64" s="943"/>
      <c r="K64" s="943" t="s">
        <v>1907</v>
      </c>
      <c r="L64" s="2805" t="str">
        <f>IF(ROUND(SUM(L65:L69),0)=Q42,"Good","Missing Concrete!!!")</f>
        <v>Good</v>
      </c>
      <c r="M64" s="2805"/>
      <c r="N64" s="943"/>
      <c r="O64" s="943"/>
      <c r="P64" s="945"/>
      <c r="R64" s="961" t="s">
        <v>1284</v>
      </c>
      <c r="S64" s="946" t="s">
        <v>1283</v>
      </c>
      <c r="T64" s="1098"/>
      <c r="U64" s="818" t="s">
        <v>835</v>
      </c>
      <c r="V64" s="947"/>
      <c r="W64" s="948" t="s">
        <v>518</v>
      </c>
      <c r="X64" s="947"/>
      <c r="Y64" s="949"/>
      <c r="Z64" s="1166"/>
    </row>
    <row r="65" spans="2:47" ht="21.75" customHeight="1">
      <c r="B65" s="1548">
        <v>1</v>
      </c>
      <c r="C65" s="18" t="str">
        <f>IF(B65=1,Pricing!F$2,IF(B65=2,Pricing!G$2,IF(B65=3,Pricing!H$2,IF(B65=4,Pricing!I$2,IF(B65=5,Pricing!J$2,IF(B65=6,Pricing!K$2,IF(B65=7,Pricing!L$2,IF(B65=8,Pricing!M$2,IF(B65=9,Pricing!N$2,IF(B65=10,Pricing!O$2,0))))))))))</f>
        <v>3,000 PSI 5sk /Ash and Air</v>
      </c>
      <c r="D65" s="1549"/>
      <c r="E65" s="1549"/>
      <c r="F65" s="1549"/>
      <c r="G65" s="2315">
        <f>IF(B65=1,Pricing!F$3,IF(B65=2,Pricing!G$3,IF(B65=3,Pricing!H$3,IF(B65=4,Pricing!I$3,IF(B65=5,Pricing!J$3,IF(B65=6,Pricing!K$3,IF(B65=7,Pricing!L$3,IF(B65=8,Pricing!M$3,IF(B65=9,Pricing!N$3,IF(B65=10,Pricing!O$3,0))))))))))</f>
        <v>134</v>
      </c>
      <c r="H65" s="1549" t="s">
        <v>1285</v>
      </c>
      <c r="I65" s="1551"/>
      <c r="J65" s="1552"/>
      <c r="K65" s="3013">
        <v>0.06</v>
      </c>
      <c r="L65" s="3010">
        <f>IF(B65=1,BS$42,IF(B65=2,BT$42,IF(B65=3,BU$42,IF(B65=4,BV$42,IF(B65=5,BW$42,IF(B65=6,BX$42,IF(B65=7,BY$42,IF(B65=8,BZ$42,IF(B65=9,CA$42,IF(B65=10,CB$42))))))))))</f>
        <v>0</v>
      </c>
      <c r="M65" s="3010"/>
      <c r="N65" s="958" t="s">
        <v>1286</v>
      </c>
      <c r="O65" s="2958">
        <f>L65*G65*(IF(W$44="N",1+Y$44,1))</f>
        <v>0</v>
      </c>
      <c r="P65" s="2958"/>
      <c r="R65" s="1038"/>
      <c r="S65" s="859"/>
      <c r="T65" s="1176"/>
      <c r="U65" s="77" t="s">
        <v>1415</v>
      </c>
      <c r="W65" s="1553">
        <v>0.5</v>
      </c>
      <c r="X65" s="1174" t="s">
        <v>1605</v>
      </c>
      <c r="Y65" s="1554">
        <f>IF(I79=0,0,Z110/I79)</f>
        <v>0</v>
      </c>
      <c r="Z65" s="1555"/>
      <c r="AT65" s="626"/>
      <c r="AU65" s="626"/>
    </row>
    <row r="66" spans="2:47" ht="21.75" customHeight="1">
      <c r="B66" s="1556">
        <v>2</v>
      </c>
      <c r="C66" s="18" t="str">
        <f>IF(B66=1,Pricing!F$2,IF(B66=2,Pricing!G$2,IF(B66=3,Pricing!H$2,IF(B66=4,Pricing!I$2,IF(B66=5,Pricing!J$2,IF(B66=6,Pricing!K$2,IF(B66=7,Pricing!L$2,IF(B66=8,Pricing!M$2,IF(B66=9,Pricing!N$2,IF(B66=10,Pricing!O$2,0))))))))))</f>
        <v>3,000 PSI / Ash no Air</v>
      </c>
      <c r="G66" s="2315">
        <f>IF(B66=1,Pricing!F$3,IF(B66=2,Pricing!G$3,IF(B66=3,Pricing!H$3,IF(B66=4,Pricing!I$3,IF(B66=5,Pricing!J$3,IF(B66=6,Pricing!K$3,IF(B66=7,Pricing!L$3,IF(B66=8,Pricing!M$3,IF(B66=9,Pricing!N$3,IF(B66=10,Pricing!O$3,0))))))))))</f>
        <v>145</v>
      </c>
      <c r="H66" s="18" t="s">
        <v>1285</v>
      </c>
      <c r="I66" s="1557"/>
      <c r="J66" s="1558"/>
      <c r="K66" s="3013"/>
      <c r="L66" s="3010">
        <f>IF(B66=1,BS$42,IF(B66=2,BT$42,IF(B66=3,BU$42,IF(B66=4,BV$42,IF(B66=5,BW$42,IF(B66=6,BX$42,IF(B66=7,BY$42,IF(B66=8,BZ$42,IF(B66=9,CA$42,IF(B66=10,CB$42))))))))))</f>
        <v>0</v>
      </c>
      <c r="M66" s="3010"/>
      <c r="N66" s="17" t="s">
        <v>1286</v>
      </c>
      <c r="O66" s="2953">
        <f>L66*G66*(IF(W$44="N",1+Y$44,1))</f>
        <v>0</v>
      </c>
      <c r="P66" s="2953"/>
      <c r="R66" s="961" t="s">
        <v>1069</v>
      </c>
      <c r="S66" s="859" t="s">
        <v>526</v>
      </c>
      <c r="T66" s="77"/>
      <c r="V66" s="1176">
        <f>V69*2.5+I83*W65</f>
        <v>0</v>
      </c>
      <c r="W66" s="77" t="s">
        <v>1259</v>
      </c>
      <c r="X66" s="1174">
        <f>Pricing!Q4+0.0578</f>
        <v>0.91717499999999996</v>
      </c>
      <c r="Y66" s="77" t="s">
        <v>527</v>
      </c>
      <c r="Z66" s="1559">
        <f>IF(W$44="Y",V66*X66,V66*X66*(1+Y$44))</f>
        <v>0</v>
      </c>
      <c r="AA66" s="351"/>
      <c r="AT66" s="626"/>
      <c r="AU66" s="626"/>
    </row>
    <row r="67" spans="2:47" ht="21.75" customHeight="1">
      <c r="B67" s="1560">
        <v>3</v>
      </c>
      <c r="C67" s="18" t="str">
        <f>IF(B67=1,Pricing!F$2,IF(B67=2,Pricing!G$2,IF(B67=3,Pricing!H$2,IF(B67=4,Pricing!I$2,IF(B67=5,Pricing!J$2,IF(B67=6,Pricing!K$2,IF(B67=7,Pricing!L$2,IF(B67=8,Pricing!M$2,IF(B67=9,Pricing!N$2,IF(B67=10,Pricing!O$2,0))))))))))</f>
        <v>3,500 PSI 5.5sk /Ash and Air</v>
      </c>
      <c r="G67" s="2315">
        <f>IF(B67=1,Pricing!F$3,IF(B67=2,Pricing!G$3,IF(B67=3,Pricing!H$3,IF(B67=4,Pricing!I$3,IF(B67=5,Pricing!J$3,IF(B67=6,Pricing!K$3,IF(B67=7,Pricing!L$3,IF(B67=8,Pricing!M$3,IF(B67=9,Pricing!N$3,IF(B67=10,Pricing!O$3,0))))))))))</f>
        <v>150</v>
      </c>
      <c r="H67" s="18" t="s">
        <v>1285</v>
      </c>
      <c r="I67" s="1557"/>
      <c r="J67" s="1558"/>
      <c r="K67" s="3013"/>
      <c r="L67" s="3010">
        <f>IF(B67=1,BS$42,IF(B67=2,BT$42,IF(B67=3,BU$42,IF(B67=4,BV$42,IF(B67=5,BW$42,IF(B67=6,BX$42,IF(B67=7,BY$42,IF(B67=8,BZ$42,IF(B67=9,CA$42,IF(B67=10,CB$42))))))))))</f>
        <v>0</v>
      </c>
      <c r="M67" s="3010"/>
      <c r="N67" s="17" t="s">
        <v>1286</v>
      </c>
      <c r="O67" s="2953">
        <f>L67*G67*(IF(W$44="N",1+Y$44,1))</f>
        <v>0</v>
      </c>
      <c r="P67" s="2953"/>
      <c r="R67" s="961"/>
      <c r="S67" s="859"/>
      <c r="T67" s="77"/>
      <c r="V67" s="1176"/>
      <c r="W67" s="77"/>
      <c r="X67" s="1174"/>
      <c r="Y67" s="77"/>
      <c r="Z67" s="1559"/>
      <c r="AA67" s="351"/>
      <c r="AT67" s="626"/>
      <c r="AU67" s="626"/>
    </row>
    <row r="68" spans="2:47" ht="21.75" customHeight="1">
      <c r="B68" s="1560">
        <v>4</v>
      </c>
      <c r="C68" s="18" t="str">
        <f>IF(B68=1,Pricing!F$2,IF(B68=2,Pricing!G$2,IF(B68=3,Pricing!H$2,IF(B68=4,Pricing!I$2,IF(B68=5,Pricing!J$2,IF(B68=6,Pricing!K$2,IF(B68=7,Pricing!L$2,IF(B68=8,Pricing!M$2,IF(B68=9,Pricing!N$2,IF(B68=10,Pricing!O$2,0))))))))))</f>
        <v>3,500 PSI /Ash No Air</v>
      </c>
      <c r="G68" s="2315">
        <f>IF(B68=1,Pricing!F$3,IF(B68=2,Pricing!G$3,IF(B68=3,Pricing!H$3,IF(B68=4,Pricing!I$3,IF(B68=5,Pricing!J$3,IF(B68=6,Pricing!K$3,IF(B68=7,Pricing!L$3,IF(B68=8,Pricing!M$3,IF(B68=9,Pricing!N$3,IF(B68=10,Pricing!O$3,0))))))))))</f>
        <v>150</v>
      </c>
      <c r="H68" s="18" t="s">
        <v>1285</v>
      </c>
      <c r="I68" s="1557"/>
      <c r="J68" s="1558"/>
      <c r="K68" s="3013"/>
      <c r="L68" s="3010">
        <f>IF(B68=1,BS$42,IF(B68=2,BT$42,IF(B68=3,BU$42,IF(B68=4,BV$42,IF(B68=5,BW$42,IF(B68=6,BX$42,IF(B68=7,BY$42,IF(B68=8,BZ$42,IF(B68=9,CA$42,IF(B68=10,CB$42))))))))))</f>
        <v>0</v>
      </c>
      <c r="M68" s="3010"/>
      <c r="N68" s="17" t="s">
        <v>1286</v>
      </c>
      <c r="O68" s="2953">
        <f>L68*G68*(IF(W$44="N",1+Y$44,1))</f>
        <v>0</v>
      </c>
      <c r="P68" s="2953"/>
      <c r="R68" s="961"/>
      <c r="S68" s="859"/>
      <c r="T68" s="77"/>
      <c r="V68" s="1176"/>
      <c r="W68" s="77"/>
      <c r="X68" s="1174"/>
      <c r="Y68" s="77"/>
      <c r="Z68" s="1559"/>
      <c r="AA68" s="351"/>
      <c r="AT68" s="626"/>
      <c r="AU68" s="626"/>
    </row>
    <row r="69" spans="2:47" ht="21.75" customHeight="1">
      <c r="B69" s="1561">
        <v>5</v>
      </c>
      <c r="C69" s="966" t="str">
        <f>IF(B69=1,Pricing!F$2,IF(B69=2,Pricing!G$2,IF(B69=3,Pricing!H$2,IF(B69=4,Pricing!I$2,IF(B69=5,Pricing!J$2,IF(B69=6,Pricing!K$2,IF(B69=7,Pricing!L$2,IF(B69=8,Pricing!M$2,IF(B69=9,Pricing!N$2,IF(B69=10,Pricing!O$2,0))))))))))</f>
        <v>4,000 PSI /Ash and Air</v>
      </c>
      <c r="D69" s="373"/>
      <c r="E69" s="373"/>
      <c r="F69" s="373"/>
      <c r="G69" s="2316">
        <f>IF(B69=1,Pricing!F$3,IF(B69=2,Pricing!G$3,IF(B69=3,Pricing!H$3,IF(B69=4,Pricing!I$3,IF(B69=5,Pricing!J$3,IF(B69=6,Pricing!K$3,IF(B69=7,Pricing!L$3,IF(B69=8,Pricing!M$3,IF(B69=9,Pricing!N$3,IF(B69=10,Pricing!O$3,0))))))))))</f>
        <v>155</v>
      </c>
      <c r="H69" s="373" t="s">
        <v>1285</v>
      </c>
      <c r="I69" s="1562"/>
      <c r="J69" s="954"/>
      <c r="K69" s="3013"/>
      <c r="L69" s="3011">
        <f>IF(B69=1,BS$42,IF(B69=2,BT$42,IF(B69=3,BU$42,IF(B69=4,BV$42,IF(B69=5,BW$42,IF(B69=6,BX$42,IF(B69=7,BY$42,IF(B69=8,BZ$42,IF(B69=9,CA$42,IF(B69=10,CB$42))))))))))</f>
        <v>0</v>
      </c>
      <c r="M69" s="3011"/>
      <c r="N69" s="967" t="s">
        <v>1286</v>
      </c>
      <c r="O69" s="3048">
        <f>L69*G69*(IF(W$44="N",1+Y$44,1))</f>
        <v>0</v>
      </c>
      <c r="P69" s="3048"/>
      <c r="R69" s="1038" t="s">
        <v>1069</v>
      </c>
      <c r="S69" s="859" t="s">
        <v>534</v>
      </c>
      <c r="T69" s="77"/>
      <c r="V69" s="1176">
        <f>V71*0.7</f>
        <v>0</v>
      </c>
      <c r="W69" s="77" t="s">
        <v>1259</v>
      </c>
      <c r="X69" s="1174">
        <f>Pricing!Q5</f>
        <v>1.4453125</v>
      </c>
      <c r="Y69" s="77" t="s">
        <v>527</v>
      </c>
      <c r="Z69" s="1555">
        <f t="shared" ref="Z69:Z93" si="88">IF(W$44="Y",V69*X69,V69*X69*(1+Y$44))</f>
        <v>0</v>
      </c>
      <c r="AT69" s="626"/>
      <c r="AU69" s="626"/>
    </row>
    <row r="70" spans="2:47" ht="21.75" customHeight="1">
      <c r="B70" s="1563" t="str">
        <f>Summary!V60</f>
        <v>Import</v>
      </c>
      <c r="C70" s="1177" t="s">
        <v>1287</v>
      </c>
      <c r="D70" s="1177"/>
      <c r="E70" s="1177"/>
      <c r="F70" s="1177"/>
      <c r="G70" s="969">
        <f>Pricing!D22</f>
        <v>0.6</v>
      </c>
      <c r="H70" s="18" t="s">
        <v>555</v>
      </c>
      <c r="I70" s="793"/>
      <c r="J70" s="1564"/>
      <c r="K70" s="1565">
        <v>0.1</v>
      </c>
      <c r="L70" s="3010">
        <f>SUM(BM10:BM41)+SUM(BO10:BO41)</f>
        <v>0</v>
      </c>
      <c r="M70" s="3010"/>
      <c r="N70" s="18" t="s">
        <v>1288</v>
      </c>
      <c r="O70" s="2958">
        <f>G70*L70*(IF(W44="N",1+Y44,1))</f>
        <v>0</v>
      </c>
      <c r="P70" s="2958"/>
      <c r="R70" s="1038" t="s">
        <v>1069</v>
      </c>
      <c r="S70" s="859" t="s">
        <v>1606</v>
      </c>
      <c r="T70" s="77"/>
      <c r="V70" s="1176">
        <f>SUM(W10:X41)*3</f>
        <v>0</v>
      </c>
      <c r="W70" s="77" t="s">
        <v>1259</v>
      </c>
      <c r="X70" s="1174">
        <f>X66*0.65</f>
        <v>0.59616374999999999</v>
      </c>
      <c r="Y70" s="77" t="s">
        <v>527</v>
      </c>
      <c r="Z70" s="1555">
        <f t="shared" si="88"/>
        <v>0</v>
      </c>
      <c r="AP70" s="626"/>
      <c r="AQ70" s="626"/>
      <c r="AR70" s="626"/>
      <c r="AS70" s="626"/>
      <c r="AT70" s="626"/>
      <c r="AU70" s="626"/>
    </row>
    <row r="71" spans="2:47" ht="21.75" customHeight="1">
      <c r="B71" s="482" t="s">
        <v>598</v>
      </c>
      <c r="C71" s="1177"/>
      <c r="D71" s="1177"/>
      <c r="E71" s="1177"/>
      <c r="F71" s="1177"/>
      <c r="G71" s="1182">
        <f>Pricing!D28</f>
        <v>0.86250000000000004</v>
      </c>
      <c r="H71" s="18" t="s">
        <v>600</v>
      </c>
      <c r="I71" s="793"/>
      <c r="J71" s="1564"/>
      <c r="K71" s="1184">
        <v>0.1</v>
      </c>
      <c r="L71" s="3049">
        <f>BP42</f>
        <v>0</v>
      </c>
      <c r="M71" s="3049"/>
      <c r="N71" s="18" t="s">
        <v>1418</v>
      </c>
      <c r="O71" s="2953">
        <f>G71*L71*(IF(W$44="N",1+Y$44,1))</f>
        <v>0</v>
      </c>
      <c r="P71" s="2953"/>
      <c r="R71" s="1038" t="s">
        <v>1069</v>
      </c>
      <c r="S71" s="859" t="s">
        <v>538</v>
      </c>
      <c r="T71" s="77"/>
      <c r="V71" s="1176">
        <f>CE42*W65</f>
        <v>0</v>
      </c>
      <c r="W71" s="77" t="s">
        <v>1259</v>
      </c>
      <c r="X71" s="1174">
        <f>Pricing!Q7</f>
        <v>1.09375</v>
      </c>
      <c r="Y71" s="77" t="s">
        <v>527</v>
      </c>
      <c r="Z71" s="1555">
        <f t="shared" si="88"/>
        <v>0</v>
      </c>
      <c r="AP71" s="626"/>
      <c r="AQ71" s="626"/>
      <c r="AR71" s="626"/>
      <c r="AS71" s="626"/>
      <c r="AT71" s="626"/>
      <c r="AU71" s="626"/>
    </row>
    <row r="72" spans="2:47" ht="21.75" customHeight="1">
      <c r="B72" s="482" t="s">
        <v>1419</v>
      </c>
      <c r="C72" s="1177"/>
      <c r="D72" s="1177"/>
      <c r="E72" s="1177" t="s">
        <v>1908</v>
      </c>
      <c r="F72" s="1598"/>
      <c r="G72" s="1182">
        <v>0.5</v>
      </c>
      <c r="H72" s="1035" t="s">
        <v>600</v>
      </c>
      <c r="I72" s="747" t="s">
        <v>1291</v>
      </c>
      <c r="J72" s="3051"/>
      <c r="K72" s="3051"/>
      <c r="L72" s="3052">
        <f>CD42*0.4</f>
        <v>0</v>
      </c>
      <c r="M72" s="3052"/>
      <c r="N72" s="18" t="s">
        <v>1288</v>
      </c>
      <c r="O72" s="2792">
        <f>IF(J72=0,CD42*G72*IF(W44="n",(1+Y44),1),J72)</f>
        <v>0</v>
      </c>
      <c r="P72" s="2792"/>
      <c r="R72" s="1038" t="s">
        <v>1069</v>
      </c>
      <c r="S72" s="859" t="s">
        <v>1292</v>
      </c>
      <c r="T72" s="77"/>
      <c r="V72" s="1176">
        <f>ROUNDUP(SUM(K10:K41)*0.03/16,0)</f>
        <v>0</v>
      </c>
      <c r="W72" s="77" t="s">
        <v>1609</v>
      </c>
      <c r="X72" s="1174">
        <f>Pricing!Q9</f>
        <v>20</v>
      </c>
      <c r="Y72" s="77" t="s">
        <v>1610</v>
      </c>
      <c r="Z72" s="1555">
        <f t="shared" si="88"/>
        <v>0</v>
      </c>
      <c r="AP72" s="626"/>
      <c r="AQ72" s="626"/>
      <c r="AR72" s="626"/>
      <c r="AS72" s="626"/>
      <c r="AT72" s="626"/>
      <c r="AU72" s="626"/>
    </row>
    <row r="73" spans="2:47" ht="21.75" customHeight="1">
      <c r="B73" s="1566" t="s">
        <v>1513</v>
      </c>
      <c r="C73" s="1567"/>
      <c r="D73" s="1567"/>
      <c r="E73" s="1567"/>
      <c r="F73" s="1567"/>
      <c r="G73" s="1180">
        <v>14</v>
      </c>
      <c r="H73" s="373" t="s">
        <v>1285</v>
      </c>
      <c r="I73" s="1568"/>
      <c r="J73" s="1569"/>
      <c r="K73" s="1570"/>
      <c r="L73" s="3053">
        <f>CJ42</f>
        <v>0</v>
      </c>
      <c r="M73" s="3053"/>
      <c r="N73" s="373" t="s">
        <v>1286</v>
      </c>
      <c r="O73" s="3048">
        <f>G73*L73*(IF(W$44="N",1+Y$44,1))</f>
        <v>0</v>
      </c>
      <c r="P73" s="3048"/>
      <c r="R73" s="1038" t="s">
        <v>1069</v>
      </c>
      <c r="S73" s="859" t="s">
        <v>540</v>
      </c>
      <c r="T73" s="77"/>
      <c r="V73" s="1176">
        <f>I83/32*W65</f>
        <v>0</v>
      </c>
      <c r="W73" s="77" t="s">
        <v>1420</v>
      </c>
      <c r="X73" s="1174">
        <f>Pricing!Q8</f>
        <v>74.75</v>
      </c>
      <c r="Y73" s="77" t="s">
        <v>541</v>
      </c>
      <c r="Z73" s="1555">
        <f t="shared" si="88"/>
        <v>0</v>
      </c>
      <c r="AP73" s="626"/>
      <c r="AQ73" s="626"/>
      <c r="AR73" s="626"/>
      <c r="AS73" s="626"/>
      <c r="AT73" s="626"/>
      <c r="AU73" s="626"/>
    </row>
    <row r="74" spans="2:47" ht="21.75" customHeight="1">
      <c r="B74" s="574" t="s">
        <v>1612</v>
      </c>
      <c r="E74" s="3054" t="s">
        <v>1613</v>
      </c>
      <c r="F74" s="1571"/>
      <c r="G74" s="1572">
        <v>1</v>
      </c>
      <c r="H74" s="18" t="s">
        <v>1259</v>
      </c>
      <c r="I74" s="793"/>
      <c r="J74" s="1564"/>
      <c r="K74" s="1573">
        <v>0.1</v>
      </c>
      <c r="L74" s="3055"/>
      <c r="M74" s="3055"/>
      <c r="N74" s="18" t="s">
        <v>1259</v>
      </c>
      <c r="O74" s="2958">
        <f>L74*G74*(IF(W$44="N",1+Y$44,1))</f>
        <v>0</v>
      </c>
      <c r="P74" s="2958"/>
      <c r="R74" s="1038" t="s">
        <v>1069</v>
      </c>
      <c r="S74" s="859" t="s">
        <v>1298</v>
      </c>
      <c r="T74" s="77"/>
      <c r="V74" s="1176">
        <f>ROUND(V71/25,0)</f>
        <v>0</v>
      </c>
      <c r="W74" s="77" t="s">
        <v>1299</v>
      </c>
      <c r="X74" s="1174">
        <f>Pricing!Q15</f>
        <v>24</v>
      </c>
      <c r="Y74" s="77" t="s">
        <v>1300</v>
      </c>
      <c r="Z74" s="1555">
        <f t="shared" si="88"/>
        <v>0</v>
      </c>
      <c r="AP74" s="626"/>
      <c r="AQ74" s="626"/>
      <c r="AR74" s="626"/>
      <c r="AS74" s="626"/>
      <c r="AT74" s="626"/>
      <c r="AU74" s="626"/>
    </row>
    <row r="75" spans="2:47" ht="23.25" customHeight="1">
      <c r="B75" s="574" t="s">
        <v>1614</v>
      </c>
      <c r="E75" s="3054"/>
      <c r="F75" s="1060" t="s">
        <v>1047</v>
      </c>
      <c r="G75" s="1572">
        <v>1.35</v>
      </c>
      <c r="H75" s="18" t="s">
        <v>600</v>
      </c>
      <c r="K75" s="1574">
        <v>0.1</v>
      </c>
      <c r="L75" s="3056">
        <f>IF(F75="Y",SUM(D$42)*(1+K$75),0)</f>
        <v>0</v>
      </c>
      <c r="M75" s="3056"/>
      <c r="N75" s="18" t="s">
        <v>1418</v>
      </c>
      <c r="O75" s="2953">
        <f>L75*G75*(IF(W$44="N",1+Y$44,1))</f>
        <v>0</v>
      </c>
      <c r="P75" s="2953"/>
      <c r="R75" s="1038" t="s">
        <v>1069</v>
      </c>
      <c r="S75" s="859" t="s">
        <v>561</v>
      </c>
      <c r="T75" s="77"/>
      <c r="V75" s="1176">
        <f>ROUNDUP((SUM(K10:K41))*1.25/500,0)</f>
        <v>0</v>
      </c>
      <c r="W75" s="77" t="s">
        <v>1303</v>
      </c>
      <c r="X75" s="1174">
        <f>Pricing!Q16</f>
        <v>68.2</v>
      </c>
      <c r="Y75" s="77" t="s">
        <v>562</v>
      </c>
      <c r="Z75" s="1555">
        <f t="shared" si="88"/>
        <v>0</v>
      </c>
      <c r="AP75" s="626"/>
      <c r="AQ75" s="626"/>
      <c r="AR75" s="626"/>
      <c r="AS75" s="626"/>
      <c r="AT75" s="626"/>
      <c r="AU75" s="626" t="s">
        <v>860</v>
      </c>
    </row>
    <row r="76" spans="2:47" ht="21.75" customHeight="1">
      <c r="B76" s="574" t="s">
        <v>1615</v>
      </c>
      <c r="E76" s="3054"/>
      <c r="F76" s="1060" t="s">
        <v>1047</v>
      </c>
      <c r="G76" s="1197">
        <v>0.35</v>
      </c>
      <c r="H76" s="18" t="s">
        <v>600</v>
      </c>
      <c r="I76" s="380"/>
      <c r="J76" s="1183"/>
      <c r="K76" s="1574"/>
      <c r="L76" s="3056">
        <f>IF(F76="Y",SUM(D$42)*(1+K$75),0)</f>
        <v>0</v>
      </c>
      <c r="M76" s="3056"/>
      <c r="N76" s="18" t="s">
        <v>1418</v>
      </c>
      <c r="O76" s="2953">
        <f>L76*G76*(IF(W$44="N",1+Y$44,1))</f>
        <v>0</v>
      </c>
      <c r="P76" s="2953"/>
      <c r="R76" s="1038" t="s">
        <v>1069</v>
      </c>
      <c r="S76" s="859" t="s">
        <v>563</v>
      </c>
      <c r="T76" s="77"/>
      <c r="V76" s="1176">
        <f>ROUNDUP((SUM(K11:K42))*1.25/500,0)</f>
        <v>0</v>
      </c>
      <c r="W76" s="77" t="s">
        <v>1303</v>
      </c>
      <c r="X76" s="1174">
        <f>Pricing!Q17</f>
        <v>68.2</v>
      </c>
      <c r="Y76" s="77" t="s">
        <v>562</v>
      </c>
      <c r="Z76" s="1555">
        <f t="shared" si="88"/>
        <v>0</v>
      </c>
      <c r="AP76" s="626"/>
      <c r="AQ76" s="626"/>
      <c r="AR76" s="626"/>
      <c r="AS76" s="626"/>
      <c r="AT76" s="626"/>
      <c r="AU76" s="626"/>
    </row>
    <row r="77" spans="2:47" ht="21.75" customHeight="1">
      <c r="B77" s="1007" t="s">
        <v>1067</v>
      </c>
      <c r="C77" s="802"/>
      <c r="D77" s="802"/>
      <c r="E77" s="802"/>
      <c r="F77" s="1575"/>
      <c r="G77" s="1218">
        <v>20</v>
      </c>
      <c r="H77" s="976" t="s">
        <v>1616</v>
      </c>
      <c r="I77" s="802"/>
      <c r="J77" s="802"/>
      <c r="K77" s="1576">
        <v>0.1</v>
      </c>
      <c r="L77" s="3057">
        <v>0</v>
      </c>
      <c r="M77" s="3057"/>
      <c r="N77" s="976" t="s">
        <v>1463</v>
      </c>
      <c r="O77" s="3058">
        <f>L77*G77*(IF(W$44="N",1+Y$44,1))</f>
        <v>0</v>
      </c>
      <c r="P77" s="3058"/>
      <c r="R77" s="1038" t="s">
        <v>1069</v>
      </c>
      <c r="S77" s="859" t="s">
        <v>1617</v>
      </c>
      <c r="T77" s="77"/>
      <c r="V77" s="1176">
        <f>ROUNDUP((SUM(K12:K47))*1.25/500,0)</f>
        <v>0</v>
      </c>
      <c r="W77" s="77" t="s">
        <v>1303</v>
      </c>
      <c r="X77" s="1174">
        <f>Pricing!Q16</f>
        <v>68.2</v>
      </c>
      <c r="Y77" s="77" t="s">
        <v>562</v>
      </c>
      <c r="Z77" s="1555">
        <f t="shared" si="88"/>
        <v>0</v>
      </c>
      <c r="AP77" s="626"/>
      <c r="AQ77" s="626"/>
      <c r="AR77" s="626"/>
      <c r="AS77" s="626"/>
      <c r="AT77" s="626"/>
      <c r="AU77" s="626"/>
    </row>
    <row r="78" spans="2:47" ht="21.75" customHeight="1">
      <c r="B78" s="1578" t="s">
        <v>1434</v>
      </c>
      <c r="C78" s="1579"/>
      <c r="D78" s="1579" t="s">
        <v>1296</v>
      </c>
      <c r="E78" s="1579"/>
      <c r="F78" s="1579"/>
      <c r="G78" s="1579"/>
      <c r="H78" s="1203"/>
      <c r="I78" s="1579"/>
      <c r="J78" s="1579"/>
      <c r="K78" s="1579"/>
      <c r="L78" s="1579" t="s">
        <v>973</v>
      </c>
      <c r="M78" s="1579"/>
      <c r="N78" s="1579" t="s">
        <v>1297</v>
      </c>
      <c r="O78" s="1579"/>
      <c r="P78" s="1580"/>
      <c r="R78" s="1038" t="s">
        <v>1069</v>
      </c>
      <c r="S78" s="859" t="s">
        <v>1310</v>
      </c>
      <c r="T78" s="77"/>
      <c r="V78" s="1176">
        <f>CE42/150</f>
        <v>0</v>
      </c>
      <c r="W78" s="77" t="s">
        <v>1303</v>
      </c>
      <c r="X78" s="1174">
        <f>Pricing!Q34</f>
        <v>45.239999999999995</v>
      </c>
      <c r="Y78" s="77" t="s">
        <v>562</v>
      </c>
      <c r="Z78" s="1555">
        <f t="shared" si="88"/>
        <v>0</v>
      </c>
      <c r="AP78" s="626"/>
      <c r="AQ78" s="626"/>
      <c r="AR78" s="626"/>
      <c r="AS78" s="626"/>
      <c r="AT78" s="626"/>
      <c r="AU78" s="626"/>
    </row>
    <row r="79" spans="2:47" ht="21.75" customHeight="1">
      <c r="B79" s="1204" t="s">
        <v>1437</v>
      </c>
      <c r="C79" s="663"/>
      <c r="D79" s="982" t="s">
        <v>1302</v>
      </c>
      <c r="E79" s="3059">
        <v>0.05</v>
      </c>
      <c r="F79" s="3059"/>
      <c r="G79" s="983" t="s">
        <v>1618</v>
      </c>
      <c r="H79" s="3060">
        <f>SUM(E79:F82)</f>
        <v>0.85000000000000009</v>
      </c>
      <c r="I79" s="3061">
        <f>D42</f>
        <v>0</v>
      </c>
      <c r="J79" s="3061"/>
      <c r="K79" s="983" t="s">
        <v>1418</v>
      </c>
      <c r="L79" s="2828">
        <f>IF(D79="N",E79*I$79,0)</f>
        <v>0</v>
      </c>
      <c r="M79" s="2828"/>
      <c r="N79" s="168"/>
      <c r="O79" s="2829">
        <f>IF(D79="y",I$79*E79,0)</f>
        <v>0</v>
      </c>
      <c r="P79" s="2829"/>
      <c r="R79" s="1038" t="s">
        <v>1069</v>
      </c>
      <c r="S79" s="859" t="s">
        <v>571</v>
      </c>
      <c r="T79" s="77"/>
      <c r="V79" s="1176"/>
      <c r="W79" s="77" t="s">
        <v>1259</v>
      </c>
      <c r="X79" s="1174">
        <f>Pricing!Q19</f>
        <v>0.95</v>
      </c>
      <c r="Y79" s="77" t="s">
        <v>527</v>
      </c>
      <c r="Z79" s="1555">
        <f t="shared" si="88"/>
        <v>0</v>
      </c>
      <c r="AP79" s="626"/>
      <c r="AQ79" s="626"/>
      <c r="AR79" s="626"/>
      <c r="AS79" s="626"/>
      <c r="AT79" s="626"/>
      <c r="AU79" s="628"/>
    </row>
    <row r="80" spans="2:47" ht="21.75" customHeight="1">
      <c r="B80" s="482" t="s">
        <v>1909</v>
      </c>
      <c r="C80" s="1581"/>
      <c r="D80" s="984" t="s">
        <v>1302</v>
      </c>
      <c r="E80" s="3062">
        <v>0.1</v>
      </c>
      <c r="F80" s="3062"/>
      <c r="G80" s="18" t="s">
        <v>600</v>
      </c>
      <c r="H80" s="3060"/>
      <c r="I80" s="3061"/>
      <c r="J80" s="3061"/>
      <c r="K80" s="1581" t="s">
        <v>1418</v>
      </c>
      <c r="L80" s="2831">
        <f>IF(D80="N",E80*I$79,0)</f>
        <v>0</v>
      </c>
      <c r="M80" s="2831"/>
      <c r="O80" s="2792">
        <f>IF(D80="y",I$79*E80,0)</f>
        <v>0</v>
      </c>
      <c r="P80" s="2792"/>
      <c r="R80" s="1038" t="s">
        <v>1069</v>
      </c>
      <c r="S80" s="859" t="s">
        <v>576</v>
      </c>
      <c r="T80" s="77"/>
      <c r="V80" s="1176">
        <v>0</v>
      </c>
      <c r="W80" s="77" t="s">
        <v>1259</v>
      </c>
      <c r="X80" s="1174">
        <f>Pricing!Q20</f>
        <v>0.25</v>
      </c>
      <c r="Y80" s="77" t="s">
        <v>527</v>
      </c>
      <c r="Z80" s="1555">
        <f t="shared" si="88"/>
        <v>0</v>
      </c>
      <c r="AP80" s="626"/>
      <c r="AQ80" s="626"/>
      <c r="AR80" s="626"/>
      <c r="AS80" s="626"/>
      <c r="AT80" s="626"/>
      <c r="AU80" s="628"/>
    </row>
    <row r="81" spans="2:26" ht="21.75" customHeight="1">
      <c r="B81" s="482" t="s">
        <v>1442</v>
      </c>
      <c r="C81" s="380"/>
      <c r="D81" s="984" t="s">
        <v>1302</v>
      </c>
      <c r="E81" s="3063">
        <v>0.5</v>
      </c>
      <c r="F81" s="3063"/>
      <c r="G81" s="18" t="s">
        <v>1618</v>
      </c>
      <c r="H81" s="3060"/>
      <c r="I81" s="3061"/>
      <c r="J81" s="3061"/>
      <c r="K81" s="18" t="s">
        <v>1418</v>
      </c>
      <c r="L81" s="2831">
        <f>IF(D81="N",E81*I$79,0)</f>
        <v>0</v>
      </c>
      <c r="M81" s="2831"/>
      <c r="O81" s="2792">
        <f>IF(D81="y",I$79*E81,0)</f>
        <v>0</v>
      </c>
      <c r="P81" s="2792"/>
      <c r="R81" s="1038" t="s">
        <v>1069</v>
      </c>
      <c r="S81" s="859" t="s">
        <v>551</v>
      </c>
      <c r="T81" s="77"/>
      <c r="V81" s="1176">
        <v>0</v>
      </c>
      <c r="W81" s="77" t="s">
        <v>1259</v>
      </c>
      <c r="X81" s="1174">
        <f>Pricing!Q12</f>
        <v>1.0631249999999999</v>
      </c>
      <c r="Y81" s="77" t="s">
        <v>527</v>
      </c>
      <c r="Z81" s="1555">
        <f t="shared" si="88"/>
        <v>0</v>
      </c>
    </row>
    <row r="82" spans="2:26" ht="21.75" customHeight="1">
      <c r="B82" s="482" t="s">
        <v>1443</v>
      </c>
      <c r="C82" s="380"/>
      <c r="D82" s="984" t="s">
        <v>1302</v>
      </c>
      <c r="E82" s="3064">
        <v>0.2</v>
      </c>
      <c r="F82" s="3064"/>
      <c r="G82" s="18" t="s">
        <v>1618</v>
      </c>
      <c r="H82" s="3060"/>
      <c r="I82" s="3061"/>
      <c r="J82" s="3061"/>
      <c r="K82" s="18" t="s">
        <v>1418</v>
      </c>
      <c r="L82" s="2831">
        <f>IF(D82="N",E82*I$79,0)</f>
        <v>0</v>
      </c>
      <c r="M82" s="2831"/>
      <c r="O82" s="2792">
        <f>IF(D82="y",I$79*E82,0)</f>
        <v>0</v>
      </c>
      <c r="P82" s="2792"/>
      <c r="R82" s="1038" t="s">
        <v>1069</v>
      </c>
      <c r="S82" s="859" t="s">
        <v>552</v>
      </c>
      <c r="T82" s="77"/>
      <c r="V82" s="1176">
        <v>0</v>
      </c>
      <c r="W82" s="77" t="s">
        <v>1259</v>
      </c>
      <c r="X82" s="1174">
        <f>Pricing!Q13</f>
        <v>1.494375</v>
      </c>
      <c r="Y82" s="77" t="s">
        <v>527</v>
      </c>
      <c r="Z82" s="1555">
        <f t="shared" si="88"/>
        <v>0</v>
      </c>
    </row>
    <row r="83" spans="2:26" ht="21.75" customHeight="1">
      <c r="B83" s="482" t="s">
        <v>1488</v>
      </c>
      <c r="C83" s="380"/>
      <c r="D83" s="984" t="s">
        <v>1302</v>
      </c>
      <c r="E83" s="3065">
        <v>8</v>
      </c>
      <c r="F83" s="3065"/>
      <c r="G83" s="18" t="s">
        <v>1620</v>
      </c>
      <c r="I83" s="3066">
        <f>SUM(T10:T41)</f>
        <v>0</v>
      </c>
      <c r="J83" s="3066"/>
      <c r="K83" s="18" t="s">
        <v>1621</v>
      </c>
      <c r="L83" s="2831">
        <f>IF(D83="N",E83*I$83,0)</f>
        <v>0</v>
      </c>
      <c r="M83" s="2831"/>
      <c r="O83" s="2792">
        <f>IF(D83="y",I$83*E83,0)</f>
        <v>0</v>
      </c>
      <c r="P83" s="2792"/>
      <c r="R83" s="1038" t="s">
        <v>1069</v>
      </c>
      <c r="S83" s="859" t="s">
        <v>1319</v>
      </c>
      <c r="T83" s="77"/>
      <c r="V83" s="1176">
        <f>SUM(V81:V82)</f>
        <v>0</v>
      </c>
      <c r="W83" s="77" t="s">
        <v>1259</v>
      </c>
      <c r="X83" s="1174">
        <f>Pricing!Q10</f>
        <v>0.70874999999999999</v>
      </c>
      <c r="Y83" s="77" t="s">
        <v>527</v>
      </c>
      <c r="Z83" s="1555">
        <f t="shared" si="88"/>
        <v>0</v>
      </c>
    </row>
    <row r="84" spans="2:26" ht="21.75" customHeight="1">
      <c r="B84" s="482" t="s">
        <v>1473</v>
      </c>
      <c r="C84" s="380"/>
      <c r="D84" s="984" t="s">
        <v>1302</v>
      </c>
      <c r="E84" s="1582"/>
      <c r="F84" s="1583"/>
      <c r="G84" s="1584"/>
      <c r="H84" s="1585"/>
      <c r="I84" s="1586"/>
      <c r="J84" s="1586"/>
      <c r="K84" s="1584"/>
      <c r="L84" s="1587"/>
      <c r="M84" s="1587"/>
      <c r="N84" s="1585"/>
      <c r="O84" s="2792">
        <f>SUM(CP10:CP41)</f>
        <v>0</v>
      </c>
      <c r="P84" s="2792"/>
      <c r="R84" s="1038" t="s">
        <v>1069</v>
      </c>
      <c r="S84" s="859"/>
      <c r="T84" s="77"/>
      <c r="V84" s="1176"/>
      <c r="W84" s="77"/>
      <c r="X84" s="1174"/>
      <c r="Y84" s="77"/>
      <c r="Z84" s="1555">
        <f t="shared" si="88"/>
        <v>0</v>
      </c>
    </row>
    <row r="85" spans="2:26" ht="21.75" customHeight="1">
      <c r="B85" s="482" t="s">
        <v>1626</v>
      </c>
      <c r="C85" s="380"/>
      <c r="D85" s="984" t="s">
        <v>1302</v>
      </c>
      <c r="E85" s="3065">
        <v>12</v>
      </c>
      <c r="F85" s="3065"/>
      <c r="G85" s="18" t="s">
        <v>1285</v>
      </c>
      <c r="I85" s="3066">
        <f>IF((SUM(L65:M69)-I79/30)&lt;0,0,SUM(L65:M69)-I79/30)</f>
        <v>0</v>
      </c>
      <c r="J85" s="3066"/>
      <c r="K85" s="18" t="s">
        <v>998</v>
      </c>
      <c r="L85" s="2831">
        <f>IF(D85="N",E85*I$85,0)</f>
        <v>0</v>
      </c>
      <c r="M85" s="2831"/>
      <c r="O85" s="2792">
        <f>IF(D85="y",I$85*E85,0)</f>
        <v>0</v>
      </c>
      <c r="P85" s="2792"/>
      <c r="R85" s="1038" t="s">
        <v>1069</v>
      </c>
      <c r="S85" s="859"/>
      <c r="T85" s="77"/>
      <c r="V85" s="1176"/>
      <c r="W85" s="77"/>
      <c r="X85" s="1174"/>
      <c r="Y85" s="77"/>
      <c r="Z85" s="1555">
        <f t="shared" si="88"/>
        <v>0</v>
      </c>
    </row>
    <row r="86" spans="2:26" ht="21.75" customHeight="1">
      <c r="B86" s="482" t="s">
        <v>1628</v>
      </c>
      <c r="C86" s="380"/>
      <c r="D86" s="984" t="s">
        <v>1302</v>
      </c>
      <c r="E86" s="3065">
        <v>85</v>
      </c>
      <c r="F86" s="3065"/>
      <c r="G86" s="18" t="s">
        <v>1624</v>
      </c>
      <c r="I86" s="3067">
        <f>CK42</f>
        <v>0</v>
      </c>
      <c r="J86" s="3067"/>
      <c r="K86" s="18" t="s">
        <v>1000</v>
      </c>
      <c r="L86" s="2831">
        <f>IF(D86="N",E86*I$86,0)</f>
        <v>0</v>
      </c>
      <c r="M86" s="2831"/>
      <c r="O86" s="2792">
        <f>IF(D86="y",I$86*E86,0)</f>
        <v>0</v>
      </c>
      <c r="P86" s="2792"/>
      <c r="R86" s="1038" t="s">
        <v>1069</v>
      </c>
      <c r="S86" s="1208"/>
      <c r="T86" s="1209"/>
      <c r="U86" s="248"/>
      <c r="V86" s="1210"/>
      <c r="W86" s="1209"/>
      <c r="X86" s="1211"/>
      <c r="Y86" s="1209"/>
      <c r="Z86" s="1588">
        <f t="shared" si="88"/>
        <v>0</v>
      </c>
    </row>
    <row r="87" spans="2:26" ht="21.75" customHeight="1">
      <c r="B87" s="482" t="s">
        <v>1307</v>
      </c>
      <c r="C87" s="380"/>
      <c r="D87" s="984" t="s">
        <v>1302</v>
      </c>
      <c r="E87" s="3065">
        <v>350</v>
      </c>
      <c r="F87" s="3065"/>
      <c r="G87" s="18" t="s">
        <v>1308</v>
      </c>
      <c r="I87" s="3067">
        <f>IF(I79*0.35&gt;L70,0,(L70-I79*0.35)/2000)</f>
        <v>0</v>
      </c>
      <c r="J87" s="3067"/>
      <c r="K87" s="18" t="s">
        <v>1309</v>
      </c>
      <c r="L87" s="2831">
        <f>IF(D87="N",E87*I$87,0)</f>
        <v>0</v>
      </c>
      <c r="M87" s="2831"/>
      <c r="O87" s="2792">
        <f>IF(D87="y",I87*E87,0)</f>
        <v>0</v>
      </c>
      <c r="P87" s="2792"/>
      <c r="R87" s="961" t="s">
        <v>1077</v>
      </c>
      <c r="S87" s="859" t="s">
        <v>1629</v>
      </c>
      <c r="T87" s="77" t="s">
        <v>1630</v>
      </c>
      <c r="V87" s="1176">
        <f>DB47/1900</f>
        <v>0</v>
      </c>
      <c r="W87" s="77" t="s">
        <v>1711</v>
      </c>
      <c r="X87" s="1174">
        <v>0</v>
      </c>
      <c r="Y87" s="77" t="s">
        <v>1882</v>
      </c>
      <c r="Z87" s="1555">
        <f t="shared" si="88"/>
        <v>0</v>
      </c>
    </row>
    <row r="88" spans="2:26" ht="21.75" customHeight="1">
      <c r="B88" s="1566" t="s">
        <v>1313</v>
      </c>
      <c r="C88" s="988"/>
      <c r="D88" s="989" t="s">
        <v>1302</v>
      </c>
      <c r="E88" s="3069"/>
      <c r="F88" s="3069"/>
      <c r="G88" s="373"/>
      <c r="H88" s="373"/>
      <c r="I88" s="2317"/>
      <c r="J88" s="2317"/>
      <c r="K88" s="373"/>
      <c r="L88" s="2834">
        <f>IF(D88="N",E88,0)</f>
        <v>0</v>
      </c>
      <c r="M88" s="2834"/>
      <c r="N88" s="248"/>
      <c r="O88" s="2835">
        <f>IF(D88="y",E88,0)</f>
        <v>0</v>
      </c>
      <c r="P88" s="2835"/>
      <c r="R88" s="961" t="s">
        <v>1077</v>
      </c>
      <c r="S88" s="859"/>
      <c r="T88" s="77"/>
      <c r="V88" s="1176"/>
      <c r="W88" s="77"/>
      <c r="X88" s="1174"/>
      <c r="Y88" s="77"/>
      <c r="Z88" s="1555">
        <f t="shared" si="88"/>
        <v>0</v>
      </c>
    </row>
    <row r="89" spans="2:26" ht="21.75" customHeight="1">
      <c r="B89" s="990" t="s">
        <v>1447</v>
      </c>
      <c r="C89" s="991"/>
      <c r="D89" s="992"/>
      <c r="E89" s="993">
        <f>IF(I79=0,0,(O89-O88+L89)/I79)</f>
        <v>0</v>
      </c>
      <c r="F89" s="1590"/>
      <c r="G89" s="802"/>
      <c r="H89" s="976"/>
      <c r="I89" s="991" t="s">
        <v>980</v>
      </c>
      <c r="J89" s="991"/>
      <c r="K89" s="991"/>
      <c r="L89" s="2838">
        <f>SUM(L79:M88)</f>
        <v>0</v>
      </c>
      <c r="M89" s="2838"/>
      <c r="N89" s="229"/>
      <c r="O89" s="2867">
        <f>SUM(O79:P88)</f>
        <v>0</v>
      </c>
      <c r="P89" s="2867"/>
      <c r="R89" s="961" t="s">
        <v>1910</v>
      </c>
      <c r="S89" s="859" t="s">
        <v>1632</v>
      </c>
      <c r="T89" s="77" t="s">
        <v>1633</v>
      </c>
      <c r="V89" s="1176"/>
      <c r="W89" s="77" t="s">
        <v>1711</v>
      </c>
      <c r="X89" s="1174">
        <v>275</v>
      </c>
      <c r="Y89" s="77" t="s">
        <v>630</v>
      </c>
      <c r="Z89" s="1555">
        <f t="shared" si="88"/>
        <v>0</v>
      </c>
    </row>
    <row r="90" spans="2:26" ht="21.75" customHeight="1">
      <c r="B90" s="1202" t="s">
        <v>1449</v>
      </c>
      <c r="C90" s="1203"/>
      <c r="D90" s="1203"/>
      <c r="E90" s="1203"/>
      <c r="F90" s="1203"/>
      <c r="G90" s="1203"/>
      <c r="H90" s="1203"/>
      <c r="I90" s="1203"/>
      <c r="J90" s="1203"/>
      <c r="K90" s="1203"/>
      <c r="L90" s="1203"/>
      <c r="M90" s="1203"/>
      <c r="N90" s="1203"/>
      <c r="O90" s="1203"/>
      <c r="P90" s="1879"/>
      <c r="R90" s="961" t="s">
        <v>1077</v>
      </c>
      <c r="S90" s="859" t="s">
        <v>1634</v>
      </c>
      <c r="T90" s="77" t="s">
        <v>1911</v>
      </c>
      <c r="V90" s="1176">
        <f>DB$47/1760</f>
        <v>0</v>
      </c>
      <c r="W90" s="77" t="s">
        <v>1711</v>
      </c>
      <c r="X90" s="1174"/>
      <c r="Y90" s="77" t="s">
        <v>630</v>
      </c>
      <c r="Z90" s="1555">
        <f t="shared" si="88"/>
        <v>0</v>
      </c>
    </row>
    <row r="91" spans="2:26" ht="21.75" customHeight="1">
      <c r="B91" s="1593" t="s">
        <v>1316</v>
      </c>
      <c r="C91" s="983"/>
      <c r="D91" s="998"/>
      <c r="E91" s="999"/>
      <c r="F91" s="983" t="s">
        <v>1317</v>
      </c>
      <c r="G91" s="1000">
        <v>425</v>
      </c>
      <c r="H91" s="1001" t="s">
        <v>620</v>
      </c>
      <c r="I91" s="983"/>
      <c r="J91" s="983"/>
      <c r="K91" s="983"/>
      <c r="M91" s="3255">
        <f>IF(E45=0,0,(SUM(O91:P93))/E45)</f>
        <v>0</v>
      </c>
      <c r="N91" s="3255"/>
      <c r="O91" s="2829">
        <f>E91*G91</f>
        <v>0</v>
      </c>
      <c r="P91" s="2829"/>
      <c r="R91" s="961" t="s">
        <v>1077</v>
      </c>
      <c r="S91" s="1208" t="s">
        <v>1636</v>
      </c>
      <c r="T91" s="1209" t="s">
        <v>1912</v>
      </c>
      <c r="U91" s="248"/>
      <c r="V91" s="1210">
        <f>DB47/2360</f>
        <v>0</v>
      </c>
      <c r="W91" s="1209" t="s">
        <v>1711</v>
      </c>
      <c r="X91" s="1211"/>
      <c r="Y91" s="1209" t="s">
        <v>630</v>
      </c>
      <c r="Z91" s="1588">
        <f t="shared" si="88"/>
        <v>0</v>
      </c>
    </row>
    <row r="92" spans="2:26" ht="21.75" customHeight="1">
      <c r="B92" s="482" t="s">
        <v>1318</v>
      </c>
      <c r="E92" s="1002"/>
      <c r="F92" s="1003" t="s">
        <v>1317</v>
      </c>
      <c r="G92" s="1004">
        <v>250</v>
      </c>
      <c r="H92" s="1035" t="s">
        <v>620</v>
      </c>
      <c r="M92" s="2975">
        <f>SUM(O91:P93)</f>
        <v>0</v>
      </c>
      <c r="N92" s="2975"/>
      <c r="O92" s="2792">
        <f>E92*G92</f>
        <v>0</v>
      </c>
      <c r="P92" s="2792"/>
      <c r="R92" s="961" t="s">
        <v>1451</v>
      </c>
      <c r="S92" s="859"/>
      <c r="T92" s="77"/>
      <c r="V92" s="1176"/>
      <c r="W92" s="1212"/>
      <c r="X92" s="1174"/>
      <c r="Y92" s="77"/>
      <c r="Z92" s="1555">
        <f t="shared" si="88"/>
        <v>0</v>
      </c>
    </row>
    <row r="93" spans="2:26" ht="21.75" customHeight="1">
      <c r="B93" s="482" t="s">
        <v>1320</v>
      </c>
      <c r="E93" s="1002">
        <f>E91</f>
        <v>0</v>
      </c>
      <c r="F93" s="18" t="s">
        <v>1317</v>
      </c>
      <c r="G93" s="1004">
        <v>100</v>
      </c>
      <c r="H93" s="18" t="s">
        <v>620</v>
      </c>
      <c r="N93" s="2056"/>
      <c r="O93" s="2792">
        <f>E93*G93</f>
        <v>0</v>
      </c>
      <c r="P93" s="2792"/>
      <c r="R93" s="1172" t="s">
        <v>1451</v>
      </c>
      <c r="S93" s="859"/>
      <c r="T93" s="77"/>
      <c r="V93" s="1176"/>
      <c r="W93" s="77"/>
      <c r="X93" s="1174"/>
      <c r="Y93" s="77"/>
      <c r="Z93" s="1555">
        <f t="shared" si="88"/>
        <v>0</v>
      </c>
    </row>
    <row r="94" spans="2:26" ht="21.75" customHeight="1">
      <c r="B94" s="1595" t="s">
        <v>1321</v>
      </c>
      <c r="C94" s="976"/>
      <c r="D94" s="976"/>
      <c r="E94" s="1008">
        <f>E91</f>
        <v>0</v>
      </c>
      <c r="F94" s="976"/>
      <c r="G94" s="1020">
        <v>200</v>
      </c>
      <c r="H94" s="976"/>
      <c r="I94" s="976"/>
      <c r="J94" s="976"/>
      <c r="K94" s="976"/>
      <c r="L94" s="976"/>
      <c r="M94" s="2843">
        <f>IF(E45=0,0,O94/E45)</f>
        <v>0</v>
      </c>
      <c r="N94" s="2843"/>
      <c r="O94" s="2792">
        <f>E94*G94</f>
        <v>0</v>
      </c>
      <c r="P94" s="2792"/>
      <c r="R94" s="1172"/>
      <c r="S94" s="859"/>
      <c r="T94" s="77"/>
      <c r="V94" s="1176"/>
      <c r="W94" s="77"/>
      <c r="X94" s="1174"/>
      <c r="Y94" s="77"/>
      <c r="Z94" s="1555"/>
    </row>
    <row r="95" spans="2:26" ht="21.75" customHeight="1">
      <c r="B95" s="1202" t="s">
        <v>1325</v>
      </c>
      <c r="C95" s="1203"/>
      <c r="D95" s="2318"/>
      <c r="E95" s="2318"/>
      <c r="F95" s="2318"/>
      <c r="G95" s="2318"/>
      <c r="H95" s="1203"/>
      <c r="I95" s="1203"/>
      <c r="J95" s="1203"/>
      <c r="K95" s="1203"/>
      <c r="L95" s="1203"/>
      <c r="M95" s="1203"/>
      <c r="N95" s="1203"/>
      <c r="O95" s="1203"/>
      <c r="P95" s="1879"/>
      <c r="R95" s="961" t="s">
        <v>1451</v>
      </c>
      <c r="S95" s="859" t="s">
        <v>1657</v>
      </c>
      <c r="T95" s="77"/>
      <c r="V95" s="1176"/>
      <c r="W95" s="77" t="s">
        <v>1658</v>
      </c>
      <c r="X95" s="1174">
        <v>25</v>
      </c>
      <c r="Y95" s="77"/>
      <c r="Z95" s="1555">
        <f t="shared" ref="Z95:Z106" si="89">IF(W$44="Y",V95*X95,V95*X95*(1+Y$44))</f>
        <v>0</v>
      </c>
    </row>
    <row r="96" spans="2:26" ht="21.75" customHeight="1">
      <c r="B96" s="1593" t="s">
        <v>1326</v>
      </c>
      <c r="C96" s="1596"/>
      <c r="D96" s="1597"/>
      <c r="E96" s="1012"/>
      <c r="F96" s="983" t="s">
        <v>1327</v>
      </c>
      <c r="G96" s="1000">
        <f>Pricing!D32</f>
        <v>425</v>
      </c>
      <c r="H96" s="983" t="s">
        <v>620</v>
      </c>
      <c r="I96" s="983"/>
      <c r="J96" s="983"/>
      <c r="K96" s="983"/>
      <c r="L96" s="983"/>
      <c r="M96" s="983"/>
      <c r="N96" s="983"/>
      <c r="O96" s="2829">
        <f>((IF(AND(E96&gt;0,E96&lt;4),E96*G96,0)+IF(AND(E96&gt;3,E96&lt;8),G96*3,0)+IF(AND(E96&gt;7,E96&lt;21),E96/7*G96*3,0)+IF(AND(E96&gt;20,E96&lt;30),G96*9,0)+IF(E96&gt;29,E96/30*G96*9,0)))*(1+$Y$44+J$98)</f>
        <v>0</v>
      </c>
      <c r="P96" s="2829"/>
      <c r="R96" s="961" t="s">
        <v>1451</v>
      </c>
      <c r="S96" s="859"/>
      <c r="T96" s="77"/>
      <c r="V96" s="1176"/>
      <c r="W96" s="77"/>
      <c r="X96" s="1174"/>
      <c r="Y96" s="77"/>
      <c r="Z96" s="1555">
        <f t="shared" si="89"/>
        <v>0</v>
      </c>
    </row>
    <row r="97" spans="2:26" ht="21.75" customHeight="1">
      <c r="B97" s="482" t="s">
        <v>622</v>
      </c>
      <c r="C97" s="1177"/>
      <c r="D97" s="1598"/>
      <c r="E97" s="1012"/>
      <c r="F97" s="18" t="s">
        <v>1327</v>
      </c>
      <c r="G97" s="1004">
        <f>Pricing!D33</f>
        <v>475</v>
      </c>
      <c r="H97" s="18" t="s">
        <v>620</v>
      </c>
      <c r="J97" s="2977" t="s">
        <v>1329</v>
      </c>
      <c r="K97" s="2977"/>
      <c r="M97" s="2841">
        <f>IF(E45=0,0,(SUM(O96:P101))/E45)</f>
        <v>0</v>
      </c>
      <c r="N97" s="2841"/>
      <c r="O97" s="3072">
        <f>((IF(AND(E97&gt;0,E97&lt;4),E97*G97,0)+IF(AND(E97&gt;3,E97&lt;8),G97*3,0)+IF(AND(E97&gt;7,E97&lt;21),E97/7*G97*3,0)+IF(AND(E97&gt;20,E97&lt;30),G97*9,0)+IF(E97&gt;29,E97/30*G97*9,0)))*(1+$Y$44+J$98)</f>
        <v>0</v>
      </c>
      <c r="P97" s="3072"/>
      <c r="R97" s="961" t="s">
        <v>1451</v>
      </c>
      <c r="S97" s="1208" t="s">
        <v>1913</v>
      </c>
      <c r="T97" s="1209"/>
      <c r="U97" s="248"/>
      <c r="V97" s="1210"/>
      <c r="W97" s="1209" t="s">
        <v>1323</v>
      </c>
      <c r="X97" s="1211">
        <v>500</v>
      </c>
      <c r="Y97" s="1209" t="s">
        <v>1747</v>
      </c>
      <c r="Z97" s="1588">
        <f t="shared" si="89"/>
        <v>0</v>
      </c>
    </row>
    <row r="98" spans="2:26" ht="21.75" customHeight="1">
      <c r="B98" s="482" t="s">
        <v>624</v>
      </c>
      <c r="C98" s="1177"/>
      <c r="D98" s="1598"/>
      <c r="E98" s="101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98" s="77" t="s">
        <v>1327</v>
      </c>
      <c r="G98" s="1004">
        <f>Pricing!D34</f>
        <v>325</v>
      </c>
      <c r="H98" s="18" t="s">
        <v>620</v>
      </c>
      <c r="J98" s="3073">
        <v>0.5</v>
      </c>
      <c r="K98" s="3073"/>
      <c r="M98" s="2975">
        <f>SUM(O96:P101)</f>
        <v>0</v>
      </c>
      <c r="N98" s="2975"/>
      <c r="O98" s="3072">
        <f>((IF(AND(E98&gt;0,E98&lt;4),E98*G98,0)+IF(AND(E98&gt;3,E98&lt;8),G98*3,0)+IF(AND(E98&gt;7,E98&lt;21),E98/7*G98*3,0)+IF(AND(E98&gt;20,E98&lt;30),G98*9,0)+IF(E98&gt;29,E98/30*G98*9,0)))*(1+$Y$44+J$98)</f>
        <v>0</v>
      </c>
      <c r="P98" s="3072"/>
      <c r="R98" s="961" t="s">
        <v>1073</v>
      </c>
      <c r="S98" s="859" t="s">
        <v>618</v>
      </c>
      <c r="T98" s="77"/>
      <c r="V98" s="1176">
        <f>ROUNDUP(D42/15000,0)</f>
        <v>0</v>
      </c>
      <c r="W98" s="18" t="s">
        <v>1452</v>
      </c>
      <c r="X98" s="1174">
        <f>Pricing!Q31</f>
        <v>27</v>
      </c>
      <c r="Y98" s="18" t="s">
        <v>607</v>
      </c>
      <c r="Z98" s="1555">
        <f t="shared" si="89"/>
        <v>0</v>
      </c>
    </row>
    <row r="99" spans="2:26" ht="21.75" customHeight="1">
      <c r="B99" s="482" t="s">
        <v>626</v>
      </c>
      <c r="C99" s="1177"/>
      <c r="D99" s="1598"/>
      <c r="E99" s="1012"/>
      <c r="F99" s="18" t="s">
        <v>1327</v>
      </c>
      <c r="G99" s="1004">
        <v>225</v>
      </c>
      <c r="H99" s="18" t="s">
        <v>620</v>
      </c>
      <c r="J99" s="3073"/>
      <c r="K99" s="3073"/>
      <c r="O99" s="2792">
        <f>((IF(AND(E99&gt;0,E99&lt;4),E99*G99,0)+IF(AND(E99&gt;3,E99&lt;8),G99*3,0)+IF(AND(E99&gt;7,E99&lt;21),E99/7*G99*3,0)+IF(AND(E99&gt;20,E99&lt;30),G99*9,0)+IF(E99&gt;29,E99/30*G99*9,0)))*(1+$Y$44+J$98)</f>
        <v>0</v>
      </c>
      <c r="P99" s="2792"/>
      <c r="R99" s="961" t="s">
        <v>1073</v>
      </c>
      <c r="S99" s="859" t="s">
        <v>629</v>
      </c>
      <c r="T99" s="77"/>
      <c r="V99" s="1176">
        <f>I79/15000</f>
        <v>0</v>
      </c>
      <c r="W99" s="18" t="s">
        <v>1644</v>
      </c>
      <c r="X99" s="1174">
        <f>Pricing!Q36</f>
        <v>37.799999999999997</v>
      </c>
      <c r="Y99" s="18" t="s">
        <v>630</v>
      </c>
      <c r="Z99" s="1555">
        <f t="shared" si="89"/>
        <v>0</v>
      </c>
    </row>
    <row r="100" spans="2:26" ht="21.75" customHeight="1">
      <c r="B100" s="482" t="s">
        <v>1333</v>
      </c>
      <c r="C100" s="1177"/>
      <c r="D100" s="1598"/>
      <c r="E100" s="101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0" s="18" t="s">
        <v>1327</v>
      </c>
      <c r="G100" s="1004">
        <v>25</v>
      </c>
      <c r="H100" s="18" t="s">
        <v>620</v>
      </c>
      <c r="O100" s="2792">
        <f>((IF(AND(E100&gt;0,E100&lt;4),E100*G100,0)+IF(AND(E100&gt;3,E100&lt;8),G100*3,0)+IF(AND(E100&gt;7,E100&lt;21),E100/7*G100*3,0)+IF(AND(E100&gt;20,E100&lt;30),G100*9,0)+IF(E100&gt;29,E100/30*G100*9,0)))*(1+$Y$44+J$98)</f>
        <v>0</v>
      </c>
      <c r="P100" s="2792"/>
      <c r="R100" s="961" t="s">
        <v>1073</v>
      </c>
      <c r="S100" s="1208" t="s">
        <v>554</v>
      </c>
      <c r="T100" s="1209"/>
      <c r="U100" s="248"/>
      <c r="V100" s="1210">
        <f>L70+(L71*0.75)</f>
        <v>0</v>
      </c>
      <c r="W100" s="373" t="s">
        <v>1288</v>
      </c>
      <c r="X100" s="1211">
        <v>0.02</v>
      </c>
      <c r="Y100" s="373" t="s">
        <v>555</v>
      </c>
      <c r="Z100" s="1588">
        <f t="shared" si="89"/>
        <v>0</v>
      </c>
    </row>
    <row r="101" spans="2:26" ht="21.75" customHeight="1">
      <c r="B101" s="1595" t="s">
        <v>1067</v>
      </c>
      <c r="C101" s="1599"/>
      <c r="D101" s="1600"/>
      <c r="E101" s="101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1" s="976" t="s">
        <v>1645</v>
      </c>
      <c r="G101" s="1020">
        <v>55</v>
      </c>
      <c r="H101" s="976" t="s">
        <v>620</v>
      </c>
      <c r="I101" s="976"/>
      <c r="J101" s="976"/>
      <c r="K101" s="976"/>
      <c r="L101" s="976"/>
      <c r="M101" s="1021"/>
      <c r="N101" s="976"/>
      <c r="O101" s="2867">
        <f>((IF(AND(E101&gt;0,E101&lt;4),E101*G101,0)+IF(AND(E101&gt;3,E101&lt;8),G101*3,0)+IF(AND(E101&gt;7,E101&lt;21),E101/7*G101*3,0)+IF(AND(E101&gt;20,E101&lt;30),G101*9,0)+IF(E101&gt;29,E101/30*G101*9,0)))</f>
        <v>0</v>
      </c>
      <c r="P101" s="2867"/>
      <c r="R101" s="961" t="s">
        <v>1078</v>
      </c>
      <c r="S101" s="859" t="s">
        <v>1105</v>
      </c>
      <c r="T101" s="77"/>
      <c r="V101" s="77"/>
      <c r="X101" s="1174"/>
      <c r="Y101" s="18"/>
      <c r="Z101" s="1555">
        <f t="shared" si="89"/>
        <v>0</v>
      </c>
    </row>
    <row r="102" spans="2:26" ht="21.75" customHeight="1">
      <c r="B102" s="1202" t="s">
        <v>1336</v>
      </c>
      <c r="C102" s="1203"/>
      <c r="D102" s="1203"/>
      <c r="E102" s="1203"/>
      <c r="F102" s="1203"/>
      <c r="G102" s="1203"/>
      <c r="H102" s="1203"/>
      <c r="I102" s="1203"/>
      <c r="J102" s="1203"/>
      <c r="K102" s="1203"/>
      <c r="L102" s="1203"/>
      <c r="M102" s="1203"/>
      <c r="N102" s="1203"/>
      <c r="O102" s="1203"/>
      <c r="P102" s="1879"/>
      <c r="R102" s="961" t="s">
        <v>1328</v>
      </c>
      <c r="S102" s="859" t="s">
        <v>1105</v>
      </c>
      <c r="T102" s="77"/>
      <c r="V102" s="77"/>
      <c r="X102" s="1174"/>
      <c r="Y102" s="18"/>
      <c r="Z102" s="1555">
        <f t="shared" si="89"/>
        <v>0</v>
      </c>
    </row>
    <row r="103" spans="2:26" ht="21.75" customHeight="1">
      <c r="B103" s="1593" t="s">
        <v>1340</v>
      </c>
      <c r="C103" s="1596"/>
      <c r="D103" s="1597"/>
      <c r="E103" s="1226"/>
      <c r="F103" s="1027" t="s">
        <v>1341</v>
      </c>
      <c r="G103" s="1601">
        <v>1.75</v>
      </c>
      <c r="H103" s="1602"/>
      <c r="I103" s="983" t="s">
        <v>600</v>
      </c>
      <c r="J103" s="983"/>
      <c r="K103" s="983"/>
      <c r="L103" s="983"/>
      <c r="M103" s="983"/>
      <c r="N103" s="983"/>
      <c r="O103" s="2829">
        <f>E103*G103</f>
        <v>0</v>
      </c>
      <c r="P103" s="2829"/>
      <c r="R103" s="961" t="s">
        <v>1330</v>
      </c>
      <c r="S103" s="1208" t="s">
        <v>1108</v>
      </c>
      <c r="T103" s="1209"/>
      <c r="U103" s="248"/>
      <c r="V103" s="1209"/>
      <c r="W103" s="373"/>
      <c r="X103" s="1211"/>
      <c r="Y103" s="373"/>
      <c r="Z103" s="1588">
        <f t="shared" si="89"/>
        <v>0</v>
      </c>
    </row>
    <row r="104" spans="2:26" ht="21.75" customHeight="1">
      <c r="B104" s="482" t="s">
        <v>1647</v>
      </c>
      <c r="C104" s="1177"/>
      <c r="D104" s="1177"/>
      <c r="E104" s="1604"/>
      <c r="F104" s="18" t="s">
        <v>1618</v>
      </c>
      <c r="G104" s="1605">
        <v>0.65</v>
      </c>
      <c r="H104" s="1606"/>
      <c r="I104" s="18" t="s">
        <v>600</v>
      </c>
      <c r="J104" s="1607" t="s">
        <v>1648</v>
      </c>
      <c r="K104" s="1608"/>
      <c r="L104" s="1609">
        <v>20</v>
      </c>
      <c r="N104" s="500"/>
      <c r="O104" s="2792">
        <f>IF(E104=0,0,E104*G104)</f>
        <v>0</v>
      </c>
      <c r="P104" s="2792"/>
      <c r="R104" s="961" t="s">
        <v>1342</v>
      </c>
      <c r="S104" s="859"/>
      <c r="T104" s="77"/>
      <c r="V104" s="77"/>
      <c r="X104" s="1174"/>
      <c r="Y104" s="18"/>
      <c r="Z104" s="1555">
        <f t="shared" si="89"/>
        <v>0</v>
      </c>
    </row>
    <row r="105" spans="2:26" ht="21.75" customHeight="1">
      <c r="B105" s="482" t="s">
        <v>1462</v>
      </c>
      <c r="C105" s="1177"/>
      <c r="D105" s="1598"/>
      <c r="E105" s="1610"/>
      <c r="F105" s="18" t="s">
        <v>1341</v>
      </c>
      <c r="G105" s="1605">
        <v>0.35</v>
      </c>
      <c r="H105" s="1611"/>
      <c r="I105" s="18" t="s">
        <v>1341</v>
      </c>
      <c r="J105" s="1612"/>
      <c r="K105" s="1608"/>
      <c r="L105" s="1609">
        <v>20</v>
      </c>
      <c r="O105" s="2792">
        <f>E105*G105</f>
        <v>0</v>
      </c>
      <c r="P105" s="2792"/>
      <c r="R105" s="961" t="s">
        <v>1342</v>
      </c>
      <c r="S105" s="859" t="s">
        <v>646</v>
      </c>
      <c r="T105" s="77"/>
      <c r="V105" s="1176">
        <f>ROUNDUP(I79/300/55,0)</f>
        <v>0</v>
      </c>
      <c r="W105" s="18" t="s">
        <v>1649</v>
      </c>
      <c r="X105" s="1174">
        <v>225</v>
      </c>
      <c r="Y105" s="18" t="s">
        <v>647</v>
      </c>
      <c r="Z105" s="1555">
        <f t="shared" si="89"/>
        <v>0</v>
      </c>
    </row>
    <row r="106" spans="2:26" ht="21.75" customHeight="1">
      <c r="B106" s="482" t="s">
        <v>1343</v>
      </c>
      <c r="C106" s="1177"/>
      <c r="D106" s="1598"/>
      <c r="E106" s="1233">
        <f>SUM(L65:M69)</f>
        <v>0</v>
      </c>
      <c r="F106" s="1035" t="s">
        <v>998</v>
      </c>
      <c r="G106" s="1605">
        <v>20</v>
      </c>
      <c r="H106" s="1611"/>
      <c r="I106" s="18" t="s">
        <v>1285</v>
      </c>
      <c r="O106" s="2792">
        <f>E106*G106</f>
        <v>0</v>
      </c>
      <c r="P106" s="2792"/>
      <c r="R106" s="961" t="s">
        <v>1342</v>
      </c>
      <c r="S106" s="1208" t="s">
        <v>649</v>
      </c>
      <c r="T106" s="1209"/>
      <c r="U106" s="248"/>
      <c r="V106" s="1210">
        <v>0</v>
      </c>
      <c r="W106" s="373" t="s">
        <v>1649</v>
      </c>
      <c r="X106" s="1211">
        <f>Pricing!Q45</f>
        <v>542</v>
      </c>
      <c r="Y106" s="373" t="s">
        <v>647</v>
      </c>
      <c r="Z106" s="1588">
        <f t="shared" si="89"/>
        <v>0</v>
      </c>
    </row>
    <row r="107" spans="2:26" ht="21.75" customHeight="1">
      <c r="B107" s="482" t="s">
        <v>1234</v>
      </c>
      <c r="C107" s="1177"/>
      <c r="D107" s="1177"/>
      <c r="E107" s="1610"/>
      <c r="F107" s="1035" t="s">
        <v>998</v>
      </c>
      <c r="G107" s="1613">
        <v>12</v>
      </c>
      <c r="H107" s="1614"/>
      <c r="I107" s="18" t="s">
        <v>1285</v>
      </c>
      <c r="O107" s="2792">
        <f>E107*G107</f>
        <v>0</v>
      </c>
      <c r="P107" s="2792"/>
      <c r="R107" s="1038"/>
      <c r="S107" s="859"/>
      <c r="T107" s="77"/>
      <c r="U107" s="77"/>
      <c r="W107" s="77"/>
      <c r="Z107" s="1615"/>
    </row>
    <row r="108" spans="2:26" ht="21.75" customHeight="1">
      <c r="B108" s="482" t="s">
        <v>1346</v>
      </c>
      <c r="C108" s="1177"/>
      <c r="D108" s="1177"/>
      <c r="E108" s="1036"/>
      <c r="F108" s="861" t="s">
        <v>1347</v>
      </c>
      <c r="G108" s="1605">
        <v>200</v>
      </c>
      <c r="H108" s="1616"/>
      <c r="I108" s="18" t="s">
        <v>620</v>
      </c>
      <c r="O108" s="2792">
        <f>E108*G108</f>
        <v>0</v>
      </c>
      <c r="P108" s="2792"/>
      <c r="R108" s="1038"/>
      <c r="S108" s="1617" t="s">
        <v>1349</v>
      </c>
      <c r="T108" s="1618"/>
      <c r="U108" s="1143">
        <v>18</v>
      </c>
      <c r="V108" s="18" t="s">
        <v>1350</v>
      </c>
      <c r="W108" s="77"/>
      <c r="Z108" s="1615"/>
    </row>
    <row r="109" spans="2:26" ht="21.75" customHeight="1">
      <c r="B109" s="1595" t="s">
        <v>1067</v>
      </c>
      <c r="C109" s="1599"/>
      <c r="D109" s="1599"/>
      <c r="E109" s="1008"/>
      <c r="F109" s="976"/>
      <c r="G109" s="1619">
        <v>1000</v>
      </c>
      <c r="H109" s="1620"/>
      <c r="I109" s="976" t="s">
        <v>1348</v>
      </c>
      <c r="J109" s="976"/>
      <c r="K109" s="976"/>
      <c r="L109" s="976"/>
      <c r="M109" s="976"/>
      <c r="N109" s="976"/>
      <c r="O109" s="2867">
        <f>E109*G109</f>
        <v>0</v>
      </c>
      <c r="P109" s="2867"/>
      <c r="R109" s="961" t="s">
        <v>1072</v>
      </c>
      <c r="S109" s="1435" t="s">
        <v>1353</v>
      </c>
      <c r="T109" s="1621"/>
      <c r="U109" s="1621">
        <f>ROUNDUP((V79+V81+V82)*12/U108,0)</f>
        <v>0</v>
      </c>
      <c r="V109" s="976" t="s">
        <v>1354</v>
      </c>
      <c r="W109" s="1622">
        <f>Pricing!D25</f>
        <v>1.45</v>
      </c>
      <c r="X109" s="1622"/>
      <c r="Y109" s="229"/>
      <c r="Z109" s="1555">
        <f>IF(W$44="Y",U109*W109,U109*W109*(1+Y$44))</f>
        <v>0</v>
      </c>
    </row>
    <row r="110" spans="2:26" ht="21.75" customHeight="1">
      <c r="B110" s="3029" t="s">
        <v>1191</v>
      </c>
      <c r="C110" s="3029"/>
      <c r="D110" s="3029"/>
      <c r="E110" s="1237">
        <f>Summary!P60</f>
        <v>0</v>
      </c>
      <c r="F110" s="1238" t="s">
        <v>1465</v>
      </c>
      <c r="G110" s="3256">
        <f>(SUM(O65:P77)+SUM(O79:P88)+SUM(L79:M88)+SUM(O91:P93)+SUM(O96:P101)+SUM(O103:P109))*E110</f>
        <v>0</v>
      </c>
      <c r="H110" s="3256"/>
      <c r="I110" s="1240" t="s">
        <v>1039</v>
      </c>
      <c r="J110" s="1240"/>
      <c r="K110" s="1240"/>
      <c r="L110" s="1240"/>
      <c r="M110" s="1240"/>
      <c r="N110" s="1240"/>
      <c r="O110" s="3030">
        <f>G110</f>
        <v>0</v>
      </c>
      <c r="P110" s="3030"/>
      <c r="Y110" s="18"/>
      <c r="Z110" s="1236">
        <f>SUM(Z66:Z109)</f>
        <v>0</v>
      </c>
    </row>
    <row r="111" spans="2:26" ht="21.75" customHeight="1">
      <c r="B111" s="396"/>
      <c r="C111" s="626"/>
      <c r="D111" s="626"/>
      <c r="E111" s="626"/>
      <c r="F111" s="626"/>
      <c r="G111" s="626"/>
      <c r="H111" s="626"/>
      <c r="I111" s="626"/>
      <c r="J111" s="626"/>
      <c r="K111" s="626"/>
      <c r="L111" s="626"/>
      <c r="M111" s="626"/>
      <c r="N111" s="626"/>
      <c r="O111" s="626"/>
      <c r="P111" s="626"/>
      <c r="Q111" s="1621"/>
      <c r="R111" s="1621"/>
      <c r="S111" s="1621"/>
      <c r="T111" s="1621"/>
      <c r="U111" s="976"/>
      <c r="V111" s="1622"/>
      <c r="W111" s="1622"/>
      <c r="X111" s="229"/>
      <c r="Y111" s="229"/>
      <c r="Z111" s="229"/>
    </row>
    <row r="112" spans="2:26" ht="30.9">
      <c r="B112" s="2786" t="s">
        <v>1262</v>
      </c>
      <c r="C112" s="2786"/>
      <c r="D112" s="2786"/>
      <c r="E112" s="1476" t="s">
        <v>982</v>
      </c>
      <c r="F112" s="1478"/>
      <c r="G112" s="1476" t="s">
        <v>1263</v>
      </c>
      <c r="H112" s="1477"/>
      <c r="I112" s="1478"/>
      <c r="J112" s="1054" t="s">
        <v>1264</v>
      </c>
      <c r="K112" s="1055"/>
      <c r="L112" s="1056"/>
      <c r="M112" s="1057" t="s">
        <v>1265</v>
      </c>
      <c r="N112" s="1058"/>
      <c r="O112" s="1058"/>
      <c r="P112" s="1059"/>
      <c r="Q112" s="1479"/>
      <c r="R112" s="1479"/>
      <c r="S112" s="895"/>
      <c r="T112" s="574" t="s">
        <v>1266</v>
      </c>
      <c r="V112" s="18" t="s">
        <v>1267</v>
      </c>
      <c r="W112" s="1060" t="str">
        <f>W44</f>
        <v>N</v>
      </c>
      <c r="X112" s="793" t="s">
        <v>1268</v>
      </c>
      <c r="Y112" s="1242">
        <f>Y44</f>
        <v>8.2500000000000004E-2</v>
      </c>
      <c r="Z112" s="898"/>
    </row>
    <row r="113" spans="2:25" ht="15.45">
      <c r="B113" s="899" t="s">
        <v>1269</v>
      </c>
      <c r="C113" s="1483">
        <f>C45</f>
        <v>0</v>
      </c>
      <c r="D113" s="900"/>
      <c r="E113" s="2866">
        <f>E45</f>
        <v>0</v>
      </c>
      <c r="F113" s="2866"/>
      <c r="G113" s="901">
        <f>G45</f>
        <v>0</v>
      </c>
      <c r="H113" s="2867">
        <f>H45</f>
        <v>0</v>
      </c>
      <c r="I113" s="2867"/>
      <c r="J113" s="1485">
        <f>J45</f>
        <v>0</v>
      </c>
      <c r="K113" s="1486"/>
      <c r="L113" s="1487"/>
      <c r="M113" s="1623">
        <f>M45</f>
        <v>0.18</v>
      </c>
      <c r="N113" s="1489"/>
      <c r="O113" s="1489"/>
      <c r="P113" s="1490"/>
      <c r="Q113" s="1479"/>
      <c r="R113" s="1479"/>
      <c r="S113" s="1137"/>
      <c r="T113" s="902" t="s">
        <v>980</v>
      </c>
      <c r="V113" s="2942">
        <f>V45</f>
        <v>0</v>
      </c>
      <c r="W113" s="2942"/>
      <c r="X113" s="903"/>
      <c r="Y113" s="18"/>
    </row>
    <row r="114" spans="2:25" ht="21.75" customHeight="1">
      <c r="B114" s="892"/>
      <c r="C114" s="895"/>
      <c r="D114" s="895"/>
      <c r="E114" s="895"/>
      <c r="F114" s="895"/>
      <c r="G114" s="895"/>
      <c r="H114" s="895"/>
      <c r="I114" s="895"/>
      <c r="J114" s="895"/>
      <c r="K114" s="895"/>
      <c r="L114" s="895"/>
      <c r="M114" s="895"/>
      <c r="N114" s="895"/>
      <c r="O114" s="895"/>
      <c r="P114" s="895"/>
      <c r="Q114" s="1479"/>
      <c r="R114" s="1479"/>
      <c r="S114" s="895"/>
      <c r="T114" s="895"/>
      <c r="U114" s="895"/>
      <c r="V114" s="895"/>
      <c r="W114" s="895"/>
      <c r="X114" s="895"/>
      <c r="Y114" s="895"/>
    </row>
    <row r="115" spans="2:25" customFormat="1" ht="15" customHeight="1"/>
    <row r="116" spans="2:25" customFormat="1" ht="15" customHeight="1">
      <c r="G116" s="1624"/>
      <c r="H116" s="1625" t="s">
        <v>1914</v>
      </c>
      <c r="I116" s="1626">
        <f>SUM(I119:I220)</f>
        <v>0</v>
      </c>
      <c r="J116" s="1627" t="s">
        <v>1093</v>
      </c>
      <c r="K116" s="1626">
        <f>SUM(K119:K220)</f>
        <v>0</v>
      </c>
      <c r="L116" s="1628" t="s">
        <v>1652</v>
      </c>
      <c r="M116" s="1626">
        <f>SUM(M119:M220)</f>
        <v>0</v>
      </c>
      <c r="N116" s="1627" t="s">
        <v>1653</v>
      </c>
      <c r="O116" s="1626">
        <f>SUM(O119:O220)</f>
        <v>0</v>
      </c>
    </row>
    <row r="117" spans="2:25" ht="15" customHeight="1">
      <c r="B117" s="684" t="s">
        <v>1654</v>
      </c>
      <c r="C117" s="1243" t="s">
        <v>1655</v>
      </c>
      <c r="D117" s="686"/>
      <c r="E117" s="689">
        <f>D118-V113</f>
        <v>0</v>
      </c>
      <c r="G117" s="1629"/>
      <c r="H117" s="1465"/>
      <c r="I117" s="1526"/>
      <c r="J117" s="1465"/>
      <c r="K117" s="1526"/>
      <c r="L117" s="1465"/>
      <c r="M117" s="1526"/>
      <c r="N117" s="1465"/>
      <c r="O117" s="1526"/>
    </row>
    <row r="118" spans="2:25" ht="15" customHeight="1">
      <c r="B118" s="700" t="str">
        <f>Summary!BD73</f>
        <v>09</v>
      </c>
      <c r="C118" s="702"/>
      <c r="D118" s="2867">
        <f>SUM(E119:E175)-E151-E161</f>
        <v>0</v>
      </c>
      <c r="E118" s="2867"/>
      <c r="G118" s="1630"/>
      <c r="H118" s="1631" t="s">
        <v>1055</v>
      </c>
      <c r="I118" s="1632" t="s">
        <v>721</v>
      </c>
      <c r="J118" s="1633"/>
      <c r="K118" s="1632" t="s">
        <v>1093</v>
      </c>
      <c r="L118" s="1631" t="s">
        <v>1055</v>
      </c>
      <c r="M118" s="1632" t="s">
        <v>738</v>
      </c>
      <c r="N118" s="1631" t="s">
        <v>1055</v>
      </c>
      <c r="O118" s="1632" t="s">
        <v>1146</v>
      </c>
    </row>
    <row r="119" spans="2:25" ht="15" customHeight="1">
      <c r="B119" s="1244">
        <f>Summary!BD74</f>
        <v>90001</v>
      </c>
      <c r="C119" s="707" t="str">
        <f>Summary!BE74</f>
        <v>General Requirements</v>
      </c>
      <c r="D119" s="296"/>
      <c r="E119" s="708"/>
      <c r="G119" s="1634">
        <v>1</v>
      </c>
      <c r="H119" s="1635">
        <f t="shared" ref="H119:H150" si="90">90000+(100*G119)+5</f>
        <v>90105</v>
      </c>
      <c r="I119" s="1636">
        <f t="shared" ref="I119:I150" si="91">CO10</f>
        <v>0</v>
      </c>
      <c r="J119" s="1637">
        <f t="shared" ref="J119:J150" si="92">90000+(100*G119)+7</f>
        <v>90107</v>
      </c>
      <c r="K119" s="1636">
        <f t="shared" ref="K119:K150" si="93">CZ10</f>
        <v>0</v>
      </c>
      <c r="L119" s="1637">
        <f t="shared" ref="L119:L150" si="94">90000+(100*G119)+8</f>
        <v>90108</v>
      </c>
      <c r="M119" s="1636">
        <f t="shared" ref="M119:M150" si="95">CN10</f>
        <v>0</v>
      </c>
      <c r="N119" s="1637">
        <f t="shared" ref="N119:N150" si="96">90000+(100*G119)+40</f>
        <v>90140</v>
      </c>
      <c r="O119" s="1636">
        <f t="shared" ref="O119:O150" si="97">SUM(CP10:CT10)</f>
        <v>0</v>
      </c>
      <c r="S119" s="1638"/>
    </row>
    <row r="120" spans="2:25" ht="15" customHeight="1">
      <c r="B120" s="1244">
        <f>Summary!BD75</f>
        <v>90002</v>
      </c>
      <c r="C120" s="707" t="str">
        <f>Summary!BE75</f>
        <v>Lumber</v>
      </c>
      <c r="D120" s="296"/>
      <c r="E120" s="717">
        <f>SUM(Z66:Z86)</f>
        <v>0</v>
      </c>
      <c r="G120" s="1634">
        <v>2</v>
      </c>
      <c r="H120" s="1635">
        <f t="shared" si="90"/>
        <v>90205</v>
      </c>
      <c r="I120" s="1639">
        <f t="shared" si="91"/>
        <v>0</v>
      </c>
      <c r="J120" s="1637">
        <f t="shared" si="92"/>
        <v>90207</v>
      </c>
      <c r="K120" s="1639">
        <f t="shared" si="93"/>
        <v>0</v>
      </c>
      <c r="L120" s="1637">
        <f t="shared" si="94"/>
        <v>90208</v>
      </c>
      <c r="M120" s="1639">
        <f t="shared" si="95"/>
        <v>0</v>
      </c>
      <c r="N120" s="1637">
        <f t="shared" si="96"/>
        <v>90240</v>
      </c>
      <c r="O120" s="1636">
        <f t="shared" si="97"/>
        <v>0</v>
      </c>
    </row>
    <row r="121" spans="2:25" ht="15" customHeight="1">
      <c r="B121" s="1244">
        <f>Summary!BD76</f>
        <v>90003</v>
      </c>
      <c r="C121" s="707" t="str">
        <f>Summary!BE76</f>
        <v>Sand Material</v>
      </c>
      <c r="D121" s="296"/>
      <c r="E121" s="717">
        <f>O73</f>
        <v>0</v>
      </c>
      <c r="G121" s="1634">
        <v>3</v>
      </c>
      <c r="H121" s="1635">
        <f t="shared" si="90"/>
        <v>90305</v>
      </c>
      <c r="I121" s="1639">
        <f t="shared" si="91"/>
        <v>0</v>
      </c>
      <c r="J121" s="1637">
        <f t="shared" si="92"/>
        <v>90307</v>
      </c>
      <c r="K121" s="1639">
        <f t="shared" si="93"/>
        <v>0</v>
      </c>
      <c r="L121" s="1637">
        <f t="shared" si="94"/>
        <v>90308</v>
      </c>
      <c r="M121" s="1639">
        <f t="shared" si="95"/>
        <v>0</v>
      </c>
      <c r="N121" s="1637">
        <f t="shared" si="96"/>
        <v>90340</v>
      </c>
      <c r="O121" s="1636">
        <f t="shared" si="97"/>
        <v>0</v>
      </c>
    </row>
    <row r="122" spans="2:25" ht="15" customHeight="1">
      <c r="B122" s="1244">
        <f>Summary!BD77</f>
        <v>90004</v>
      </c>
      <c r="C122" s="707" t="str">
        <f>Summary!BE77</f>
        <v>Rock Material</v>
      </c>
      <c r="D122" s="296"/>
      <c r="E122" s="717"/>
      <c r="G122" s="1634">
        <v>4</v>
      </c>
      <c r="H122" s="1635">
        <f t="shared" si="90"/>
        <v>90405</v>
      </c>
      <c r="I122" s="1639">
        <f t="shared" si="91"/>
        <v>0</v>
      </c>
      <c r="J122" s="1637">
        <f t="shared" si="92"/>
        <v>90407</v>
      </c>
      <c r="K122" s="1639">
        <f t="shared" si="93"/>
        <v>0</v>
      </c>
      <c r="L122" s="1637">
        <f t="shared" si="94"/>
        <v>90408</v>
      </c>
      <c r="M122" s="1639">
        <f t="shared" si="95"/>
        <v>0</v>
      </c>
      <c r="N122" s="1637">
        <f t="shared" si="96"/>
        <v>90440</v>
      </c>
      <c r="O122" s="1636">
        <f t="shared" si="97"/>
        <v>0</v>
      </c>
    </row>
    <row r="123" spans="2:25" ht="15" customHeight="1">
      <c r="B123" s="1244">
        <f>Summary!BD78</f>
        <v>90005</v>
      </c>
      <c r="C123" s="707" t="str">
        <f>Summary!BE78</f>
        <v>Reinforcement Material</v>
      </c>
      <c r="D123" s="296"/>
      <c r="E123" s="717">
        <f>I116+O71</f>
        <v>0</v>
      </c>
      <c r="G123" s="1634">
        <v>5</v>
      </c>
      <c r="H123" s="1635">
        <f t="shared" si="90"/>
        <v>90505</v>
      </c>
      <c r="I123" s="1639">
        <f t="shared" si="91"/>
        <v>0</v>
      </c>
      <c r="J123" s="1637">
        <f t="shared" si="92"/>
        <v>90507</v>
      </c>
      <c r="K123" s="1639">
        <f t="shared" si="93"/>
        <v>0</v>
      </c>
      <c r="L123" s="1637">
        <f t="shared" si="94"/>
        <v>90508</v>
      </c>
      <c r="M123" s="1639">
        <f t="shared" si="95"/>
        <v>0</v>
      </c>
      <c r="N123" s="1637">
        <f t="shared" si="96"/>
        <v>90540</v>
      </c>
      <c r="O123" s="1636">
        <f t="shared" si="97"/>
        <v>0</v>
      </c>
    </row>
    <row r="124" spans="2:25" ht="15" customHeight="1">
      <c r="B124" s="1244">
        <f>Summary!BD79</f>
        <v>90006</v>
      </c>
      <c r="C124" s="707" t="str">
        <f>Summary!BE79</f>
        <v>Reinforcement Accessories</v>
      </c>
      <c r="D124" s="296"/>
      <c r="E124" s="717">
        <f>SUM(Z98:Z100)</f>
        <v>0</v>
      </c>
      <c r="G124" s="1634">
        <v>6</v>
      </c>
      <c r="H124" s="1635">
        <f t="shared" si="90"/>
        <v>90605</v>
      </c>
      <c r="I124" s="1639">
        <f t="shared" si="91"/>
        <v>0</v>
      </c>
      <c r="J124" s="1637">
        <f t="shared" si="92"/>
        <v>90607</v>
      </c>
      <c r="K124" s="1639">
        <f t="shared" si="93"/>
        <v>0</v>
      </c>
      <c r="L124" s="1637">
        <f t="shared" si="94"/>
        <v>90608</v>
      </c>
      <c r="M124" s="1639">
        <f t="shared" si="95"/>
        <v>0</v>
      </c>
      <c r="N124" s="1637">
        <f t="shared" si="96"/>
        <v>90640</v>
      </c>
      <c r="O124" s="1636">
        <f t="shared" si="97"/>
        <v>0</v>
      </c>
    </row>
    <row r="125" spans="2:25" ht="15" customHeight="1">
      <c r="B125" s="1244">
        <f>Summary!BD80</f>
        <v>90007</v>
      </c>
      <c r="C125" s="707" t="str">
        <f>Summary!BE80</f>
        <v>PT Cables</v>
      </c>
      <c r="D125" s="296"/>
      <c r="E125" s="717">
        <f>K116</f>
        <v>0</v>
      </c>
      <c r="G125" s="1634">
        <v>7</v>
      </c>
      <c r="H125" s="1635">
        <f t="shared" si="90"/>
        <v>90705</v>
      </c>
      <c r="I125" s="1639">
        <f t="shared" si="91"/>
        <v>0</v>
      </c>
      <c r="J125" s="1637">
        <f t="shared" si="92"/>
        <v>90707</v>
      </c>
      <c r="K125" s="1639">
        <f t="shared" si="93"/>
        <v>0</v>
      </c>
      <c r="L125" s="1637">
        <f t="shared" si="94"/>
        <v>90708</v>
      </c>
      <c r="M125" s="1639">
        <f t="shared" si="95"/>
        <v>0</v>
      </c>
      <c r="N125" s="1637">
        <f t="shared" si="96"/>
        <v>90740</v>
      </c>
      <c r="O125" s="1636">
        <f t="shared" si="97"/>
        <v>0</v>
      </c>
    </row>
    <row r="126" spans="2:25" ht="15" customHeight="1">
      <c r="B126" s="1244">
        <f>Summary!BD81</f>
        <v>90008</v>
      </c>
      <c r="C126" s="707" t="str">
        <f>Summary!BE81</f>
        <v>Concrete Material</v>
      </c>
      <c r="D126" s="296"/>
      <c r="E126" s="717">
        <f>SUM(O65:P69)</f>
        <v>0</v>
      </c>
      <c r="G126" s="1634">
        <v>8</v>
      </c>
      <c r="H126" s="1635">
        <f t="shared" si="90"/>
        <v>90805</v>
      </c>
      <c r="I126" s="1639">
        <f t="shared" si="91"/>
        <v>0</v>
      </c>
      <c r="J126" s="1637">
        <f t="shared" si="92"/>
        <v>90807</v>
      </c>
      <c r="K126" s="1639">
        <f t="shared" si="93"/>
        <v>0</v>
      </c>
      <c r="L126" s="1637">
        <f t="shared" si="94"/>
        <v>90808</v>
      </c>
      <c r="M126" s="1639">
        <f t="shared" si="95"/>
        <v>0</v>
      </c>
      <c r="N126" s="1637">
        <f t="shared" si="96"/>
        <v>90840</v>
      </c>
      <c r="O126" s="1636">
        <f t="shared" si="97"/>
        <v>0</v>
      </c>
    </row>
    <row r="127" spans="2:25" ht="15" customHeight="1">
      <c r="B127" s="1244">
        <f>Summary!BD82</f>
        <v>90009</v>
      </c>
      <c r="C127" s="707" t="str">
        <f>Summary!BE82</f>
        <v>Carton Forms</v>
      </c>
      <c r="D127" s="296"/>
      <c r="E127" s="717">
        <f>SUM(O74:P76)</f>
        <v>0</v>
      </c>
      <c r="G127" s="1634">
        <v>9</v>
      </c>
      <c r="H127" s="1635">
        <f t="shared" si="90"/>
        <v>90905</v>
      </c>
      <c r="I127" s="1639">
        <f t="shared" si="91"/>
        <v>0</v>
      </c>
      <c r="J127" s="1637">
        <f t="shared" si="92"/>
        <v>90907</v>
      </c>
      <c r="K127" s="1639">
        <f t="shared" si="93"/>
        <v>0</v>
      </c>
      <c r="L127" s="1637">
        <f t="shared" si="94"/>
        <v>90908</v>
      </c>
      <c r="M127" s="1639">
        <f t="shared" si="95"/>
        <v>0</v>
      </c>
      <c r="N127" s="1637">
        <f t="shared" si="96"/>
        <v>90940</v>
      </c>
      <c r="O127" s="1636">
        <f t="shared" si="97"/>
        <v>0</v>
      </c>
    </row>
    <row r="128" spans="2:25" ht="15" customHeight="1">
      <c r="B128" s="1244">
        <f>Summary!BD83</f>
        <v>90010</v>
      </c>
      <c r="C128" s="707" t="str">
        <f>Summary!BE83</f>
        <v>Cure/Sealers</v>
      </c>
      <c r="D128" s="296"/>
      <c r="E128" s="717">
        <f>SUM(Z104:Z106)</f>
        <v>0</v>
      </c>
      <c r="G128" s="1634">
        <v>10</v>
      </c>
      <c r="H128" s="1635">
        <f t="shared" si="90"/>
        <v>91005</v>
      </c>
      <c r="I128" s="1639">
        <f t="shared" si="91"/>
        <v>0</v>
      </c>
      <c r="J128" s="1637">
        <f t="shared" si="92"/>
        <v>91007</v>
      </c>
      <c r="K128" s="1639">
        <f t="shared" si="93"/>
        <v>0</v>
      </c>
      <c r="L128" s="1637">
        <f t="shared" si="94"/>
        <v>91008</v>
      </c>
      <c r="M128" s="1639">
        <f t="shared" si="95"/>
        <v>0</v>
      </c>
      <c r="N128" s="1637">
        <f t="shared" si="96"/>
        <v>91040</v>
      </c>
      <c r="O128" s="1636">
        <f t="shared" si="97"/>
        <v>0</v>
      </c>
    </row>
    <row r="129" spans="2:15" ht="15" customHeight="1">
      <c r="B129" s="1244">
        <f>Summary!BD84</f>
        <v>90011</v>
      </c>
      <c r="C129" s="707" t="str">
        <f>Summary!BE84</f>
        <v>Patch/Grout</v>
      </c>
      <c r="D129" s="296"/>
      <c r="E129" s="717">
        <f>SUM(Z92:Z97)</f>
        <v>0</v>
      </c>
      <c r="G129" s="1634">
        <v>11</v>
      </c>
      <c r="H129" s="1635">
        <f t="shared" si="90"/>
        <v>91105</v>
      </c>
      <c r="I129" s="1639">
        <f t="shared" si="91"/>
        <v>0</v>
      </c>
      <c r="J129" s="1637">
        <f t="shared" si="92"/>
        <v>91107</v>
      </c>
      <c r="K129" s="1639">
        <f t="shared" si="93"/>
        <v>0</v>
      </c>
      <c r="L129" s="1637">
        <f t="shared" si="94"/>
        <v>91108</v>
      </c>
      <c r="M129" s="1639">
        <f t="shared" si="95"/>
        <v>0</v>
      </c>
      <c r="N129" s="1637">
        <f t="shared" si="96"/>
        <v>91140</v>
      </c>
      <c r="O129" s="1636">
        <f t="shared" si="97"/>
        <v>0</v>
      </c>
    </row>
    <row r="130" spans="2:15" ht="15" customHeight="1">
      <c r="B130" s="1244">
        <f>Summary!BD85</f>
        <v>90012</v>
      </c>
      <c r="C130" s="707" t="str">
        <f>Summary!BE85</f>
        <v>Poly/Vapor Barrier</v>
      </c>
      <c r="D130" s="296"/>
      <c r="E130" s="717">
        <f>SUM(Z87:Z91)</f>
        <v>0</v>
      </c>
      <c r="G130" s="1634">
        <v>12</v>
      </c>
      <c r="H130" s="1635">
        <f t="shared" si="90"/>
        <v>91205</v>
      </c>
      <c r="I130" s="1639">
        <f t="shared" si="91"/>
        <v>0</v>
      </c>
      <c r="J130" s="1637">
        <f t="shared" si="92"/>
        <v>91207</v>
      </c>
      <c r="K130" s="1639">
        <f t="shared" si="93"/>
        <v>0</v>
      </c>
      <c r="L130" s="1637">
        <f t="shared" si="94"/>
        <v>91208</v>
      </c>
      <c r="M130" s="1639">
        <f t="shared" si="95"/>
        <v>0</v>
      </c>
      <c r="N130" s="1637">
        <f t="shared" si="96"/>
        <v>91240</v>
      </c>
      <c r="O130" s="1636">
        <f t="shared" si="97"/>
        <v>0</v>
      </c>
    </row>
    <row r="131" spans="2:15" ht="15" customHeight="1">
      <c r="B131" s="1244">
        <f>Summary!BD86</f>
        <v>90013</v>
      </c>
      <c r="C131" s="707" t="str">
        <f>Summary!BE86</f>
        <v>Special Material</v>
      </c>
      <c r="D131" s="296"/>
      <c r="E131" s="717">
        <f>Z101</f>
        <v>0</v>
      </c>
      <c r="G131" s="1634">
        <v>13</v>
      </c>
      <c r="H131" s="1635">
        <f t="shared" si="90"/>
        <v>91305</v>
      </c>
      <c r="I131" s="1639">
        <f t="shared" si="91"/>
        <v>0</v>
      </c>
      <c r="J131" s="1637">
        <f t="shared" si="92"/>
        <v>91307</v>
      </c>
      <c r="K131" s="1639">
        <f t="shared" si="93"/>
        <v>0</v>
      </c>
      <c r="L131" s="1637">
        <f t="shared" si="94"/>
        <v>91308</v>
      </c>
      <c r="M131" s="1639">
        <f t="shared" si="95"/>
        <v>0</v>
      </c>
      <c r="N131" s="1637">
        <f t="shared" si="96"/>
        <v>91340</v>
      </c>
      <c r="O131" s="1636">
        <f t="shared" si="97"/>
        <v>0</v>
      </c>
    </row>
    <row r="132" spans="2:15" ht="15" customHeight="1">
      <c r="B132" s="1244">
        <f>Summary!BD87</f>
        <v>90014</v>
      </c>
      <c r="C132" s="707" t="str">
        <f>Summary!BE87</f>
        <v>Special Material</v>
      </c>
      <c r="D132" s="296"/>
      <c r="E132" s="717">
        <f>Z102</f>
        <v>0</v>
      </c>
      <c r="G132" s="1634">
        <v>14</v>
      </c>
      <c r="H132" s="1635">
        <f t="shared" si="90"/>
        <v>91405</v>
      </c>
      <c r="I132" s="1639">
        <f t="shared" si="91"/>
        <v>0</v>
      </c>
      <c r="J132" s="1637">
        <f t="shared" si="92"/>
        <v>91407</v>
      </c>
      <c r="K132" s="1639">
        <f t="shared" si="93"/>
        <v>0</v>
      </c>
      <c r="L132" s="1637">
        <f t="shared" si="94"/>
        <v>91408</v>
      </c>
      <c r="M132" s="1639">
        <f t="shared" si="95"/>
        <v>0</v>
      </c>
      <c r="N132" s="1637">
        <f t="shared" si="96"/>
        <v>91440</v>
      </c>
      <c r="O132" s="1636">
        <f t="shared" si="97"/>
        <v>0</v>
      </c>
    </row>
    <row r="133" spans="2:15" ht="15" customHeight="1">
      <c r="B133" s="1244">
        <f>Summary!BD88</f>
        <v>90015</v>
      </c>
      <c r="C133" s="707" t="str">
        <f>Summary!BE88</f>
        <v>PPE/Safety</v>
      </c>
      <c r="D133" s="296"/>
      <c r="E133" s="717">
        <f>Z103</f>
        <v>0</v>
      </c>
      <c r="G133" s="1634">
        <v>15</v>
      </c>
      <c r="H133" s="1635">
        <f t="shared" si="90"/>
        <v>91505</v>
      </c>
      <c r="I133" s="1639">
        <f t="shared" si="91"/>
        <v>0</v>
      </c>
      <c r="J133" s="1637">
        <f t="shared" si="92"/>
        <v>91507</v>
      </c>
      <c r="K133" s="1639">
        <f t="shared" si="93"/>
        <v>0</v>
      </c>
      <c r="L133" s="1637">
        <f t="shared" si="94"/>
        <v>91508</v>
      </c>
      <c r="M133" s="1639">
        <f t="shared" si="95"/>
        <v>0</v>
      </c>
      <c r="N133" s="1637">
        <f t="shared" si="96"/>
        <v>91540</v>
      </c>
      <c r="O133" s="1636">
        <f t="shared" si="97"/>
        <v>0</v>
      </c>
    </row>
    <row r="134" spans="2:15" ht="15" customHeight="1">
      <c r="B134" s="1244">
        <f>Summary!BD89</f>
        <v>90020</v>
      </c>
      <c r="C134" s="707" t="str">
        <f>Summary!BE89</f>
        <v>Supervision</v>
      </c>
      <c r="D134" s="296"/>
      <c r="E134" s="717">
        <f>SUM(O91:P92)</f>
        <v>0</v>
      </c>
      <c r="G134" s="1634">
        <v>16</v>
      </c>
      <c r="H134" s="1635">
        <f t="shared" si="90"/>
        <v>91605</v>
      </c>
      <c r="I134" s="1639">
        <f t="shared" si="91"/>
        <v>0</v>
      </c>
      <c r="J134" s="1637">
        <f t="shared" si="92"/>
        <v>91607</v>
      </c>
      <c r="K134" s="1639">
        <f t="shared" si="93"/>
        <v>0</v>
      </c>
      <c r="L134" s="1637">
        <f t="shared" si="94"/>
        <v>91608</v>
      </c>
      <c r="M134" s="1639">
        <f t="shared" si="95"/>
        <v>0</v>
      </c>
      <c r="N134" s="1637">
        <f t="shared" si="96"/>
        <v>91640</v>
      </c>
      <c r="O134" s="1636">
        <f t="shared" si="97"/>
        <v>0</v>
      </c>
    </row>
    <row r="135" spans="2:15" ht="15" customHeight="1">
      <c r="B135" s="1244">
        <f>Summary!BD90</f>
        <v>90021</v>
      </c>
      <c r="C135" s="707" t="str">
        <f>Summary!BE90</f>
        <v>Supervision Expense</v>
      </c>
      <c r="D135" s="296"/>
      <c r="E135" s="717">
        <f>O93</f>
        <v>0</v>
      </c>
      <c r="G135" s="1634">
        <v>17</v>
      </c>
      <c r="H135" s="1635">
        <f t="shared" si="90"/>
        <v>91705</v>
      </c>
      <c r="I135" s="1639">
        <f t="shared" si="91"/>
        <v>0</v>
      </c>
      <c r="J135" s="1637">
        <f t="shared" si="92"/>
        <v>91707</v>
      </c>
      <c r="K135" s="1639">
        <f t="shared" si="93"/>
        <v>0</v>
      </c>
      <c r="L135" s="1637">
        <f t="shared" si="94"/>
        <v>91708</v>
      </c>
      <c r="M135" s="1639">
        <f t="shared" si="95"/>
        <v>0</v>
      </c>
      <c r="N135" s="1637">
        <f t="shared" si="96"/>
        <v>91740</v>
      </c>
      <c r="O135" s="1636">
        <f t="shared" si="97"/>
        <v>0</v>
      </c>
    </row>
    <row r="136" spans="2:15" ht="15" customHeight="1">
      <c r="B136" s="1244">
        <f>Summary!BD91</f>
        <v>90022</v>
      </c>
      <c r="C136" s="707" t="str">
        <f>Summary!BE91</f>
        <v>Project Management</v>
      </c>
      <c r="D136" s="296"/>
      <c r="E136" s="717">
        <f>O94</f>
        <v>0</v>
      </c>
      <c r="G136" s="1634">
        <v>18</v>
      </c>
      <c r="H136" s="1635">
        <f t="shared" si="90"/>
        <v>91805</v>
      </c>
      <c r="I136" s="1639">
        <f t="shared" si="91"/>
        <v>0</v>
      </c>
      <c r="J136" s="1637">
        <f t="shared" si="92"/>
        <v>91807</v>
      </c>
      <c r="K136" s="1639">
        <f t="shared" si="93"/>
        <v>0</v>
      </c>
      <c r="L136" s="1637">
        <f t="shared" si="94"/>
        <v>91808</v>
      </c>
      <c r="M136" s="1639">
        <f t="shared" si="95"/>
        <v>0</v>
      </c>
      <c r="N136" s="1637">
        <f t="shared" si="96"/>
        <v>91840</v>
      </c>
      <c r="O136" s="1636">
        <f t="shared" si="97"/>
        <v>0</v>
      </c>
    </row>
    <row r="137" spans="2:15" ht="15" customHeight="1">
      <c r="B137" s="1244">
        <f>Summary!BD92</f>
        <v>90023</v>
      </c>
      <c r="C137" s="707" t="str">
        <f>Summary!BE92</f>
        <v>Labor Grade, Poly, Reinf.</v>
      </c>
      <c r="D137" s="296"/>
      <c r="E137" s="717">
        <f>L80</f>
        <v>0</v>
      </c>
      <c r="G137" s="1634">
        <v>19</v>
      </c>
      <c r="H137" s="1635">
        <f t="shared" si="90"/>
        <v>91905</v>
      </c>
      <c r="I137" s="1639">
        <f t="shared" si="91"/>
        <v>0</v>
      </c>
      <c r="J137" s="1637">
        <f t="shared" si="92"/>
        <v>91907</v>
      </c>
      <c r="K137" s="1639">
        <f t="shared" si="93"/>
        <v>0</v>
      </c>
      <c r="L137" s="1637">
        <f t="shared" si="94"/>
        <v>91908</v>
      </c>
      <c r="M137" s="1639">
        <f t="shared" si="95"/>
        <v>0</v>
      </c>
      <c r="N137" s="1637">
        <f t="shared" si="96"/>
        <v>91940</v>
      </c>
      <c r="O137" s="1636">
        <f t="shared" si="97"/>
        <v>0</v>
      </c>
    </row>
    <row r="138" spans="2:15">
      <c r="B138" s="1244">
        <f>Summary!BD93</f>
        <v>90024</v>
      </c>
      <c r="C138" s="707" t="str">
        <f>Summary!BE93</f>
        <v>Labor Place &amp; Finish</v>
      </c>
      <c r="D138" s="296"/>
      <c r="E138" s="717">
        <f>L81</f>
        <v>0</v>
      </c>
      <c r="G138" s="1634">
        <v>20</v>
      </c>
      <c r="H138" s="1635">
        <f t="shared" si="90"/>
        <v>92005</v>
      </c>
      <c r="I138" s="1639">
        <f t="shared" si="91"/>
        <v>0</v>
      </c>
      <c r="J138" s="1637">
        <f t="shared" si="92"/>
        <v>92007</v>
      </c>
      <c r="K138" s="1639">
        <f t="shared" si="93"/>
        <v>0</v>
      </c>
      <c r="L138" s="1637">
        <f t="shared" si="94"/>
        <v>92008</v>
      </c>
      <c r="M138" s="1639">
        <f t="shared" si="95"/>
        <v>0</v>
      </c>
      <c r="N138" s="1637">
        <f t="shared" si="96"/>
        <v>92040</v>
      </c>
      <c r="O138" s="1636">
        <f t="shared" si="97"/>
        <v>0</v>
      </c>
    </row>
    <row r="139" spans="2:15">
      <c r="B139" s="1244">
        <f>Summary!BD94</f>
        <v>90025</v>
      </c>
      <c r="C139" s="707" t="str">
        <f>Summary!BE94</f>
        <v>Labor Drops</v>
      </c>
      <c r="D139" s="296"/>
      <c r="E139" s="717">
        <f>L83</f>
        <v>0</v>
      </c>
      <c r="G139" s="1634">
        <v>21</v>
      </c>
      <c r="H139" s="1635">
        <f t="shared" si="90"/>
        <v>92105</v>
      </c>
      <c r="I139" s="1639">
        <f t="shared" si="91"/>
        <v>0</v>
      </c>
      <c r="J139" s="1637">
        <f t="shared" si="92"/>
        <v>92107</v>
      </c>
      <c r="K139" s="1639">
        <f t="shared" si="93"/>
        <v>0</v>
      </c>
      <c r="L139" s="1637">
        <f t="shared" si="94"/>
        <v>92108</v>
      </c>
      <c r="M139" s="1639">
        <f t="shared" si="95"/>
        <v>0</v>
      </c>
      <c r="N139" s="1637">
        <f t="shared" si="96"/>
        <v>92140</v>
      </c>
      <c r="O139" s="1636">
        <f t="shared" si="97"/>
        <v>0</v>
      </c>
    </row>
    <row r="140" spans="2:15">
      <c r="B140" s="1244">
        <f>Summary!BD95</f>
        <v>90026</v>
      </c>
      <c r="C140" s="707" t="str">
        <f>Summary!BE95</f>
        <v>Labor Strip Forms</v>
      </c>
      <c r="D140" s="296"/>
      <c r="E140" s="717">
        <f>L82</f>
        <v>0</v>
      </c>
      <c r="G140" s="1634">
        <v>22</v>
      </c>
      <c r="H140" s="1635">
        <f t="shared" si="90"/>
        <v>92205</v>
      </c>
      <c r="I140" s="1639">
        <f t="shared" si="91"/>
        <v>0</v>
      </c>
      <c r="J140" s="1637">
        <f t="shared" si="92"/>
        <v>92207</v>
      </c>
      <c r="K140" s="1639">
        <f t="shared" si="93"/>
        <v>0</v>
      </c>
      <c r="L140" s="1637">
        <f t="shared" si="94"/>
        <v>92208</v>
      </c>
      <c r="M140" s="1639">
        <f t="shared" si="95"/>
        <v>0</v>
      </c>
      <c r="N140" s="1637">
        <f t="shared" si="96"/>
        <v>92240</v>
      </c>
      <c r="O140" s="1636">
        <f t="shared" si="97"/>
        <v>0</v>
      </c>
    </row>
    <row r="141" spans="2:15">
      <c r="B141" s="1244">
        <f>Summary!BD96</f>
        <v>90027</v>
      </c>
      <c r="C141" s="707" t="str">
        <f>Summary!BE96</f>
        <v>Labor Burden</v>
      </c>
      <c r="D141" s="296"/>
      <c r="E141" s="717">
        <f>L86</f>
        <v>0</v>
      </c>
      <c r="G141" s="1634">
        <v>23</v>
      </c>
      <c r="H141" s="1635">
        <f t="shared" si="90"/>
        <v>92305</v>
      </c>
      <c r="I141" s="1639">
        <f t="shared" si="91"/>
        <v>0</v>
      </c>
      <c r="J141" s="1637">
        <f t="shared" si="92"/>
        <v>92307</v>
      </c>
      <c r="K141" s="1639">
        <f t="shared" si="93"/>
        <v>0</v>
      </c>
      <c r="L141" s="1637">
        <f t="shared" si="94"/>
        <v>92308</v>
      </c>
      <c r="M141" s="1639">
        <f t="shared" si="95"/>
        <v>0</v>
      </c>
      <c r="N141" s="1637">
        <f t="shared" si="96"/>
        <v>92340</v>
      </c>
      <c r="O141" s="1636">
        <f t="shared" si="97"/>
        <v>0</v>
      </c>
    </row>
    <row r="142" spans="2:15">
      <c r="B142" s="1244">
        <f>Summary!BD98</f>
        <v>90030</v>
      </c>
      <c r="C142" s="707" t="str">
        <f>Summary!BE98</f>
        <v>Pumping</v>
      </c>
      <c r="D142" s="296"/>
      <c r="E142" s="717">
        <f>O106</f>
        <v>0</v>
      </c>
      <c r="G142" s="1634">
        <v>24</v>
      </c>
      <c r="H142" s="1635">
        <f t="shared" si="90"/>
        <v>92405</v>
      </c>
      <c r="I142" s="1639">
        <f t="shared" si="91"/>
        <v>0</v>
      </c>
      <c r="J142" s="1637">
        <f t="shared" si="92"/>
        <v>92407</v>
      </c>
      <c r="K142" s="1639">
        <f t="shared" si="93"/>
        <v>0</v>
      </c>
      <c r="L142" s="1637">
        <f t="shared" si="94"/>
        <v>92408</v>
      </c>
      <c r="M142" s="1639">
        <f t="shared" si="95"/>
        <v>0</v>
      </c>
      <c r="N142" s="1637">
        <f t="shared" si="96"/>
        <v>92440</v>
      </c>
      <c r="O142" s="1636">
        <f t="shared" si="97"/>
        <v>0</v>
      </c>
    </row>
    <row r="143" spans="2:15">
      <c r="B143" s="1244">
        <f>Summary!BD99</f>
        <v>90031</v>
      </c>
      <c r="C143" s="707" t="str">
        <f>Summary!BE99</f>
        <v>Earth Work/Excavation</v>
      </c>
      <c r="D143" s="296"/>
      <c r="E143" s="717"/>
      <c r="G143" s="1634">
        <v>25</v>
      </c>
      <c r="H143" s="1635">
        <f t="shared" si="90"/>
        <v>92505</v>
      </c>
      <c r="I143" s="1639">
        <f t="shared" si="91"/>
        <v>0</v>
      </c>
      <c r="J143" s="1637">
        <f t="shared" si="92"/>
        <v>92507</v>
      </c>
      <c r="K143" s="1639">
        <f t="shared" si="93"/>
        <v>0</v>
      </c>
      <c r="L143" s="1637">
        <f t="shared" si="94"/>
        <v>92508</v>
      </c>
      <c r="M143" s="1639">
        <f t="shared" si="95"/>
        <v>0</v>
      </c>
      <c r="N143" s="1637">
        <f t="shared" si="96"/>
        <v>92540</v>
      </c>
      <c r="O143" s="1636">
        <f t="shared" si="97"/>
        <v>0</v>
      </c>
    </row>
    <row r="144" spans="2:15">
      <c r="B144" s="1244">
        <f>Summary!BD100</f>
        <v>90032</v>
      </c>
      <c r="C144" s="707" t="str">
        <f>Summary!BE100</f>
        <v>Drilling</v>
      </c>
      <c r="D144" s="296"/>
      <c r="E144" s="717"/>
      <c r="G144" s="1634">
        <v>26</v>
      </c>
      <c r="H144" s="1635">
        <f t="shared" si="90"/>
        <v>92605</v>
      </c>
      <c r="I144" s="1639">
        <f t="shared" si="91"/>
        <v>0</v>
      </c>
      <c r="J144" s="1637">
        <f t="shared" si="92"/>
        <v>92607</v>
      </c>
      <c r="K144" s="1639">
        <f t="shared" si="93"/>
        <v>0</v>
      </c>
      <c r="L144" s="1637">
        <f t="shared" si="94"/>
        <v>92608</v>
      </c>
      <c r="M144" s="1639">
        <f t="shared" si="95"/>
        <v>0</v>
      </c>
      <c r="N144" s="1637">
        <f t="shared" si="96"/>
        <v>92640</v>
      </c>
      <c r="O144" s="1636">
        <f t="shared" si="97"/>
        <v>0</v>
      </c>
    </row>
    <row r="145" spans="2:17">
      <c r="B145" s="1244">
        <f>Summary!BD101</f>
        <v>90033</v>
      </c>
      <c r="C145" s="707" t="str">
        <f>Summary!BE101</f>
        <v>Haul off</v>
      </c>
      <c r="D145" s="296"/>
      <c r="E145" s="717">
        <f>O107</f>
        <v>0</v>
      </c>
      <c r="G145" s="1634">
        <v>27</v>
      </c>
      <c r="H145" s="1635">
        <f t="shared" si="90"/>
        <v>92705</v>
      </c>
      <c r="I145" s="1639">
        <f t="shared" si="91"/>
        <v>0</v>
      </c>
      <c r="J145" s="1637">
        <f t="shared" si="92"/>
        <v>92707</v>
      </c>
      <c r="K145" s="1639">
        <f t="shared" si="93"/>
        <v>0</v>
      </c>
      <c r="L145" s="1637">
        <f t="shared" si="94"/>
        <v>92708</v>
      </c>
      <c r="M145" s="1639">
        <f t="shared" si="95"/>
        <v>0</v>
      </c>
      <c r="N145" s="1637">
        <f t="shared" si="96"/>
        <v>92740</v>
      </c>
      <c r="O145" s="1636">
        <f t="shared" si="97"/>
        <v>0</v>
      </c>
    </row>
    <row r="146" spans="2:17">
      <c r="B146" s="1244">
        <f>Summary!BD102</f>
        <v>90034</v>
      </c>
      <c r="C146" s="707" t="str">
        <f>Summary!BE102</f>
        <v>Saw Cutting/Sealing</v>
      </c>
      <c r="D146" s="296"/>
      <c r="E146" s="717">
        <f>O105+O104</f>
        <v>0</v>
      </c>
      <c r="G146" s="1634">
        <v>28</v>
      </c>
      <c r="H146" s="1635">
        <f t="shared" si="90"/>
        <v>92805</v>
      </c>
      <c r="I146" s="1639">
        <f t="shared" si="91"/>
        <v>0</v>
      </c>
      <c r="J146" s="1637">
        <f t="shared" si="92"/>
        <v>92807</v>
      </c>
      <c r="K146" s="1639">
        <f t="shared" si="93"/>
        <v>0</v>
      </c>
      <c r="L146" s="1637">
        <f t="shared" si="94"/>
        <v>92808</v>
      </c>
      <c r="M146" s="1639">
        <f t="shared" si="95"/>
        <v>0</v>
      </c>
      <c r="N146" s="1637">
        <f t="shared" si="96"/>
        <v>92840</v>
      </c>
      <c r="O146" s="1636">
        <f t="shared" si="97"/>
        <v>0</v>
      </c>
    </row>
    <row r="147" spans="2:17">
      <c r="B147" s="1244">
        <f>Summary!BD103</f>
        <v>90035</v>
      </c>
      <c r="C147" s="707" t="str">
        <f>Summary!BE103</f>
        <v>Demolition</v>
      </c>
      <c r="D147" s="296"/>
      <c r="E147" s="717">
        <f>O103</f>
        <v>0</v>
      </c>
      <c r="G147" s="1634">
        <v>29</v>
      </c>
      <c r="H147" s="1635">
        <f t="shared" si="90"/>
        <v>92905</v>
      </c>
      <c r="I147" s="1639">
        <f t="shared" si="91"/>
        <v>0</v>
      </c>
      <c r="J147" s="1637">
        <f t="shared" si="92"/>
        <v>92907</v>
      </c>
      <c r="K147" s="1639">
        <f t="shared" si="93"/>
        <v>0</v>
      </c>
      <c r="L147" s="1637">
        <f t="shared" si="94"/>
        <v>92908</v>
      </c>
      <c r="M147" s="1639">
        <f t="shared" si="95"/>
        <v>0</v>
      </c>
      <c r="N147" s="1637">
        <f t="shared" si="96"/>
        <v>92940</v>
      </c>
      <c r="O147" s="1636">
        <f t="shared" si="97"/>
        <v>0</v>
      </c>
    </row>
    <row r="148" spans="2:17">
      <c r="B148" s="1244">
        <f>Summary!BD104</f>
        <v>90037</v>
      </c>
      <c r="C148" s="707" t="str">
        <f>Summary!BE104</f>
        <v>Waterproofing</v>
      </c>
      <c r="D148" s="296"/>
      <c r="E148" s="717"/>
      <c r="G148" s="1634">
        <v>30</v>
      </c>
      <c r="H148" s="1635">
        <f t="shared" si="90"/>
        <v>93005</v>
      </c>
      <c r="I148" s="1639">
        <f t="shared" si="91"/>
        <v>0</v>
      </c>
      <c r="J148" s="1637">
        <f t="shared" si="92"/>
        <v>93007</v>
      </c>
      <c r="K148" s="1639">
        <f t="shared" si="93"/>
        <v>0</v>
      </c>
      <c r="L148" s="1637">
        <f t="shared" si="94"/>
        <v>93008</v>
      </c>
      <c r="M148" s="1639">
        <f t="shared" si="95"/>
        <v>0</v>
      </c>
      <c r="N148" s="1637">
        <f t="shared" si="96"/>
        <v>93040</v>
      </c>
      <c r="O148" s="1636">
        <f t="shared" si="97"/>
        <v>0</v>
      </c>
    </row>
    <row r="149" spans="2:17">
      <c r="B149" s="1244">
        <f>Summary!BD105</f>
        <v>90038</v>
      </c>
      <c r="C149" s="707" t="str">
        <f>Summary!BE105</f>
        <v>Crain/Hoisting</v>
      </c>
      <c r="D149" s="296"/>
      <c r="E149" s="717"/>
      <c r="G149" s="1634">
        <v>31</v>
      </c>
      <c r="H149" s="1635">
        <f t="shared" si="90"/>
        <v>93105</v>
      </c>
      <c r="I149" s="1639">
        <f t="shared" si="91"/>
        <v>0</v>
      </c>
      <c r="J149" s="1637">
        <f t="shared" si="92"/>
        <v>93107</v>
      </c>
      <c r="K149" s="1639">
        <f t="shared" si="93"/>
        <v>0</v>
      </c>
      <c r="L149" s="1637">
        <f t="shared" si="94"/>
        <v>93108</v>
      </c>
      <c r="M149" s="1639">
        <f t="shared" si="95"/>
        <v>0</v>
      </c>
      <c r="N149" s="1637">
        <f t="shared" si="96"/>
        <v>93140</v>
      </c>
      <c r="O149" s="1636">
        <f t="shared" si="97"/>
        <v>0</v>
      </c>
    </row>
    <row r="150" spans="2:17">
      <c r="B150" s="2319">
        <f>Summary!BD106</f>
        <v>90039</v>
      </c>
      <c r="C150" s="2320" t="str">
        <f>Summary!BE106</f>
        <v>Forming Systems</v>
      </c>
      <c r="D150" s="765"/>
      <c r="E150" s="722"/>
      <c r="G150" s="1634">
        <v>32</v>
      </c>
      <c r="H150" s="1635">
        <f t="shared" si="90"/>
        <v>93205</v>
      </c>
      <c r="I150" s="1639">
        <f t="shared" si="91"/>
        <v>0</v>
      </c>
      <c r="J150" s="1637">
        <f t="shared" si="92"/>
        <v>93207</v>
      </c>
      <c r="K150" s="1639">
        <f t="shared" si="93"/>
        <v>0</v>
      </c>
      <c r="L150" s="1637">
        <f t="shared" si="94"/>
        <v>93208</v>
      </c>
      <c r="M150" s="1639">
        <f t="shared" si="95"/>
        <v>0</v>
      </c>
      <c r="N150" s="1637">
        <f t="shared" si="96"/>
        <v>93240</v>
      </c>
      <c r="O150" s="1636">
        <f t="shared" si="97"/>
        <v>0</v>
      </c>
    </row>
    <row r="151" spans="2:17">
      <c r="B151" s="1833">
        <f>Summary!BD107</f>
        <v>90040</v>
      </c>
      <c r="C151" s="1834" t="str">
        <f>Summary!BE107</f>
        <v>Total Sub Labor</v>
      </c>
      <c r="D151" s="1835"/>
      <c r="E151" s="1836">
        <f>SUM(E152:E159)</f>
        <v>0</v>
      </c>
    </row>
    <row r="152" spans="2:17">
      <c r="B152" s="1244">
        <f>Summary!BD108</f>
        <v>90041</v>
      </c>
      <c r="C152" s="707" t="str">
        <f>Summary!BE108</f>
        <v>Labor Forming</v>
      </c>
      <c r="D152" s="296"/>
      <c r="E152" s="708">
        <f>O79</f>
        <v>0</v>
      </c>
    </row>
    <row r="153" spans="2:17">
      <c r="B153" s="1244">
        <f>Summary!BD109</f>
        <v>90042</v>
      </c>
      <c r="C153" s="707" t="str">
        <f>Summary!BE109</f>
        <v>Labor Grade, Poly, Reinf.</v>
      </c>
      <c r="D153" s="296"/>
      <c r="E153" s="717">
        <f>O80+O85</f>
        <v>0</v>
      </c>
      <c r="Q153" s="163" t="s">
        <v>1656</v>
      </c>
    </row>
    <row r="154" spans="2:17">
      <c r="B154" s="1244">
        <f>Summary!BD110</f>
        <v>90043</v>
      </c>
      <c r="C154" s="707" t="str">
        <f>Summary!BE110</f>
        <v>Labor Place &amp; Finish</v>
      </c>
      <c r="D154" s="296"/>
      <c r="E154" s="717">
        <f>O81</f>
        <v>0</v>
      </c>
      <c r="G154" s="1641"/>
      <c r="H154" s="1642"/>
      <c r="I154" s="351"/>
      <c r="J154" s="351"/>
      <c r="K154" s="351"/>
      <c r="L154" s="351"/>
    </row>
    <row r="155" spans="2:17">
      <c r="B155" s="1244">
        <f>Summary!BD111</f>
        <v>90044</v>
      </c>
      <c r="C155" s="707" t="str">
        <f>Summary!BE111</f>
        <v>Labor Drops</v>
      </c>
      <c r="D155" s="715"/>
      <c r="E155" s="708">
        <f>O83</f>
        <v>0</v>
      </c>
      <c r="G155" s="1641"/>
      <c r="H155" s="1642"/>
      <c r="I155" s="351"/>
      <c r="J155" s="351"/>
      <c r="K155" s="351"/>
      <c r="L155" s="351"/>
    </row>
    <row r="156" spans="2:17">
      <c r="B156" s="1244">
        <f>Summary!BD112</f>
        <v>90045</v>
      </c>
      <c r="C156" s="707" t="str">
        <f>Summary!BE112</f>
        <v>Labor Strip Forms</v>
      </c>
      <c r="D156" s="296"/>
      <c r="E156" s="717">
        <f>O82</f>
        <v>0</v>
      </c>
      <c r="G156" s="1641"/>
      <c r="H156" s="1642"/>
      <c r="I156" s="351"/>
      <c r="J156" s="351"/>
      <c r="K156" s="351"/>
      <c r="L156" s="351"/>
    </row>
    <row r="157" spans="2:17">
      <c r="B157" s="1244">
        <f>Summary!BD113</f>
        <v>90046</v>
      </c>
      <c r="C157" s="707" t="str">
        <f>Summary!BE113</f>
        <v>Labor Burden</v>
      </c>
      <c r="D157" s="296"/>
      <c r="E157" s="717">
        <f>O84</f>
        <v>0</v>
      </c>
      <c r="G157" s="1641"/>
      <c r="H157" s="1642"/>
      <c r="I157" s="351"/>
      <c r="J157" s="351"/>
      <c r="K157" s="351"/>
      <c r="L157" s="351"/>
    </row>
    <row r="158" spans="2:17">
      <c r="B158" s="1244">
        <f>Summary!BD114</f>
        <v>90047</v>
      </c>
      <c r="C158" s="707" t="str">
        <f>Summary!BE114</f>
        <v>Rebar</v>
      </c>
      <c r="D158" s="715"/>
      <c r="E158" s="708">
        <f>O87</f>
        <v>0</v>
      </c>
      <c r="G158" s="1641"/>
      <c r="H158" s="1642"/>
      <c r="I158" s="351"/>
      <c r="J158" s="351"/>
      <c r="K158" s="351"/>
      <c r="L158" s="351"/>
    </row>
    <row r="159" spans="2:17">
      <c r="B159" s="2319">
        <f>Summary!BD115</f>
        <v>90048</v>
      </c>
      <c r="C159" s="2320" t="str">
        <f>Summary!BE115</f>
        <v>PT Installation</v>
      </c>
      <c r="D159" s="765"/>
      <c r="E159" s="722">
        <f>O86</f>
        <v>0</v>
      </c>
      <c r="G159" s="1641"/>
      <c r="H159" s="1642"/>
      <c r="I159" s="351"/>
      <c r="J159" s="351"/>
      <c r="K159" s="351"/>
      <c r="L159" s="351"/>
    </row>
    <row r="160" spans="2:17">
      <c r="B160" s="2319">
        <f>Summary!BD116</f>
        <v>90049</v>
      </c>
      <c r="C160" s="2320" t="str">
        <f>Summary!BE116</f>
        <v>Extra Hours</v>
      </c>
      <c r="D160" s="765"/>
      <c r="E160" s="722">
        <f>O88</f>
        <v>0</v>
      </c>
      <c r="G160" s="1641"/>
      <c r="H160" s="1642"/>
      <c r="I160" s="351"/>
      <c r="J160" s="351"/>
      <c r="K160" s="351"/>
      <c r="L160" s="351"/>
    </row>
    <row r="161" spans="2:5">
      <c r="B161" s="1833">
        <f>Summary!BD117</f>
        <v>90060</v>
      </c>
      <c r="C161" s="1834" t="str">
        <f>Summary!BE117</f>
        <v>Total Equipment Rental</v>
      </c>
      <c r="D161" s="1835"/>
      <c r="E161" s="1836">
        <f>SUM(E162:E169)</f>
        <v>0</v>
      </c>
    </row>
    <row r="162" spans="2:5">
      <c r="B162" s="1244">
        <f>Summary!BD118</f>
        <v>90061</v>
      </c>
      <c r="C162" s="707" t="str">
        <f>Summary!BE118</f>
        <v>SkyTrack</v>
      </c>
      <c r="D162" s="296"/>
      <c r="E162" s="708">
        <f>O96/(1+$Y$44+J$98)</f>
        <v>0</v>
      </c>
    </row>
    <row r="163" spans="2:5">
      <c r="B163" s="1244">
        <f>Summary!BD119</f>
        <v>90062</v>
      </c>
      <c r="C163" s="707" t="str">
        <f>Summary!BE119</f>
        <v>Mini Excavator</v>
      </c>
      <c r="D163" s="296"/>
      <c r="E163" s="708">
        <f>O97/(1+$Y$44+J$98)</f>
        <v>0</v>
      </c>
    </row>
    <row r="164" spans="2:5">
      <c r="B164" s="1244">
        <f>Summary!BD120</f>
        <v>90063</v>
      </c>
      <c r="C164" s="707" t="str">
        <f>Summary!BE120</f>
        <v>Trencher</v>
      </c>
      <c r="D164" s="296"/>
      <c r="E164" s="708">
        <f>O98/(1+$Y$44+J$98)</f>
        <v>0</v>
      </c>
    </row>
    <row r="165" spans="2:5">
      <c r="B165" s="1244">
        <f>Summary!BD121</f>
        <v>90064</v>
      </c>
      <c r="C165" s="707" t="str">
        <f>Summary!BE121</f>
        <v>Skid Steer</v>
      </c>
      <c r="D165" s="296"/>
      <c r="E165" s="708">
        <f>O99/(1+$Y$44+J$98)</f>
        <v>0</v>
      </c>
    </row>
    <row r="166" spans="2:5">
      <c r="B166" s="1244">
        <f>Summary!BD122</f>
        <v>90065</v>
      </c>
      <c r="C166" s="707" t="str">
        <f>Summary!BE122</f>
        <v>General Equipment Rental</v>
      </c>
      <c r="D166" s="296"/>
      <c r="E166" s="708">
        <f>(O100+O101)/(1+$Y$44+J$98)</f>
        <v>0</v>
      </c>
    </row>
    <row r="167" spans="2:5">
      <c r="B167" s="1244">
        <f>Summary!BD123</f>
        <v>90066</v>
      </c>
      <c r="C167" s="707" t="str">
        <f>Summary!BE123</f>
        <v>Fuel</v>
      </c>
      <c r="D167" s="296"/>
      <c r="E167" s="708">
        <f>M98-SUM(E162:E166)</f>
        <v>0</v>
      </c>
    </row>
    <row r="168" spans="2:5">
      <c r="B168" s="1244">
        <f>Summary!BD124</f>
        <v>90067</v>
      </c>
      <c r="C168" s="707" t="str">
        <f>Summary!BE124</f>
        <v>Purchased Tools</v>
      </c>
      <c r="D168" s="296"/>
      <c r="E168" s="708"/>
    </row>
    <row r="169" spans="2:5">
      <c r="B169" s="1244">
        <f>Summary!BD125</f>
        <v>90068</v>
      </c>
      <c r="C169" s="707" t="str">
        <f>Summary!BE125</f>
        <v>Stolen/Damaged</v>
      </c>
      <c r="D169" s="296"/>
      <c r="E169" s="708"/>
    </row>
    <row r="170" spans="2:5">
      <c r="B170" s="1244">
        <f>Summary!BD126</f>
        <v>90070</v>
      </c>
      <c r="C170" s="707" t="str">
        <f>Summary!BE126</f>
        <v>Out of Town Expense</v>
      </c>
      <c r="D170" s="296"/>
      <c r="E170" s="708">
        <f>O108</f>
        <v>0</v>
      </c>
    </row>
    <row r="171" spans="2:5">
      <c r="B171" s="1244">
        <f>Summary!BD127</f>
        <v>90071</v>
      </c>
      <c r="C171" s="707" t="str">
        <f>Summary!BE127</f>
        <v>Miscellaneous</v>
      </c>
      <c r="D171" s="296"/>
      <c r="E171" s="717">
        <f>O109</f>
        <v>0</v>
      </c>
    </row>
    <row r="172" spans="2:5">
      <c r="B172" s="1244">
        <f>Summary!BD128</f>
        <v>90072</v>
      </c>
      <c r="C172" s="707" t="str">
        <f>Summary!BE128</f>
        <v>Repairs</v>
      </c>
      <c r="D172" s="296"/>
      <c r="E172" s="717"/>
    </row>
    <row r="173" spans="2:5">
      <c r="B173" s="1244">
        <f>Summary!BD129</f>
        <v>90073</v>
      </c>
      <c r="C173" s="707" t="str">
        <f>Summary!BE129</f>
        <v>Engineering</v>
      </c>
      <c r="D173" s="296"/>
      <c r="E173" s="717"/>
    </row>
    <row r="174" spans="2:5">
      <c r="B174" s="1244">
        <f>Summary!BD130</f>
        <v>90090</v>
      </c>
      <c r="C174" s="707" t="str">
        <f>Summary!BE130</f>
        <v>Not Used</v>
      </c>
    </row>
    <row r="175" spans="2:5">
      <c r="B175" s="1244">
        <f>Summary!BD131</f>
        <v>90091</v>
      </c>
      <c r="C175" s="707" t="str">
        <f>Summary!BE131</f>
        <v>Margin Contingency</v>
      </c>
      <c r="E175" s="351">
        <f>O110</f>
        <v>0</v>
      </c>
    </row>
  </sheetData>
  <mergeCells count="119">
    <mergeCell ref="B112:D112"/>
    <mergeCell ref="E113:F113"/>
    <mergeCell ref="H113:I113"/>
    <mergeCell ref="V113:W113"/>
    <mergeCell ref="D118:E118"/>
    <mergeCell ref="O101:P101"/>
    <mergeCell ref="O103:P103"/>
    <mergeCell ref="O104:P104"/>
    <mergeCell ref="O105:P105"/>
    <mergeCell ref="O106:P106"/>
    <mergeCell ref="O107:P107"/>
    <mergeCell ref="O108:P108"/>
    <mergeCell ref="O109:P109"/>
    <mergeCell ref="B110:D110"/>
    <mergeCell ref="G110:H110"/>
    <mergeCell ref="O110:P110"/>
    <mergeCell ref="O96:P96"/>
    <mergeCell ref="J97:K97"/>
    <mergeCell ref="M97:N97"/>
    <mergeCell ref="O97:P97"/>
    <mergeCell ref="J98:K99"/>
    <mergeCell ref="M98:N98"/>
    <mergeCell ref="O98:P98"/>
    <mergeCell ref="O99:P99"/>
    <mergeCell ref="O100:P100"/>
    <mergeCell ref="L89:M89"/>
    <mergeCell ref="O89:P89"/>
    <mergeCell ref="M91:N91"/>
    <mergeCell ref="O91:P91"/>
    <mergeCell ref="M92:N92"/>
    <mergeCell ref="O92:P92"/>
    <mergeCell ref="O93:P93"/>
    <mergeCell ref="M94:N94"/>
    <mergeCell ref="O94:P94"/>
    <mergeCell ref="E86:F86"/>
    <mergeCell ref="I86:J86"/>
    <mergeCell ref="L86:M86"/>
    <mergeCell ref="O86:P86"/>
    <mergeCell ref="E87:F87"/>
    <mergeCell ref="I87:J87"/>
    <mergeCell ref="L87:M87"/>
    <mergeCell ref="O87:P87"/>
    <mergeCell ref="E88:F88"/>
    <mergeCell ref="L88:M88"/>
    <mergeCell ref="O88:P88"/>
    <mergeCell ref="E83:F83"/>
    <mergeCell ref="I83:J83"/>
    <mergeCell ref="L83:M83"/>
    <mergeCell ref="O83:P83"/>
    <mergeCell ref="O84:P84"/>
    <mergeCell ref="E85:F85"/>
    <mergeCell ref="I85:J85"/>
    <mergeCell ref="L85:M85"/>
    <mergeCell ref="O85:P85"/>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E74:E76"/>
    <mergeCell ref="L74:M74"/>
    <mergeCell ref="O74:P74"/>
    <mergeCell ref="L75:M75"/>
    <mergeCell ref="O75:P75"/>
    <mergeCell ref="L76:M76"/>
    <mergeCell ref="O76:P76"/>
    <mergeCell ref="L77:M77"/>
    <mergeCell ref="O77:P77"/>
    <mergeCell ref="L70:M70"/>
    <mergeCell ref="O70:P70"/>
    <mergeCell ref="L71:M71"/>
    <mergeCell ref="O71:P71"/>
    <mergeCell ref="J72:K72"/>
    <mergeCell ref="L72:M72"/>
    <mergeCell ref="O72:P72"/>
    <mergeCell ref="L73:M73"/>
    <mergeCell ref="O73:P73"/>
    <mergeCell ref="O60:P60"/>
    <mergeCell ref="L64:M64"/>
    <mergeCell ref="K65:K69"/>
    <mergeCell ref="L65:M65"/>
    <mergeCell ref="O65:P65"/>
    <mergeCell ref="L66:M66"/>
    <mergeCell ref="O66:P66"/>
    <mergeCell ref="L67:M67"/>
    <mergeCell ref="O67:P67"/>
    <mergeCell ref="L68:M68"/>
    <mergeCell ref="O68:P68"/>
    <mergeCell ref="L69:M69"/>
    <mergeCell ref="O69:P69"/>
    <mergeCell ref="E46:F46"/>
    <mergeCell ref="G46:H46"/>
    <mergeCell ref="K46:L46"/>
    <mergeCell ref="V46:W46"/>
    <mergeCell ref="U48:V48"/>
    <mergeCell ref="U49:V50"/>
    <mergeCell ref="U51:V51"/>
    <mergeCell ref="U52:V53"/>
    <mergeCell ref="U59:V59"/>
    <mergeCell ref="AR7:BB7"/>
    <mergeCell ref="BC7:BM7"/>
    <mergeCell ref="CM8:DD8"/>
    <mergeCell ref="T9:V9"/>
    <mergeCell ref="D42:E42"/>
    <mergeCell ref="E43:F43"/>
    <mergeCell ref="B44:D44"/>
    <mergeCell ref="C45:D45"/>
    <mergeCell ref="E45:F45"/>
    <mergeCell ref="H45:I45"/>
    <mergeCell ref="V45:W45"/>
  </mergeCells>
  <conditionalFormatting sqref="L64:M64">
    <cfRule type="containsText" dxfId="0" priority="2" operator="containsText" text="Missing">
      <formula>NOT(ISERROR(SEARCH("Missing",L64)))</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2" manualBreakCount="2">
    <brk id="46" max="16383" man="1"/>
    <brk id="59" max="16383" man="1"/>
  </rowBreaks>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B9CDE5"/>
    <pageSetUpPr fitToPage="1"/>
  </sheetPr>
  <dimension ref="A1:HV153"/>
  <sheetViews>
    <sheetView topLeftCell="A4" zoomScale="70" zoomScaleNormal="70" zoomScalePageLayoutView="70" workbookViewId="0">
      <selection activeCell="M10" sqref="M10"/>
    </sheetView>
  </sheetViews>
  <sheetFormatPr defaultColWidth="0.15234375" defaultRowHeight="15"/>
  <cols>
    <col min="1" max="1" width="17.84375" style="18" customWidth="1"/>
    <col min="2" max="2" width="27.15234375" style="18" customWidth="1"/>
    <col min="3" max="3" width="12.15234375" style="18" customWidth="1"/>
    <col min="4" max="4" width="13" style="18" customWidth="1"/>
    <col min="5" max="5" width="9.84375" style="18" customWidth="1"/>
    <col min="6" max="6" width="13.15234375" style="18" customWidth="1"/>
    <col min="7" max="7" width="11.84375" style="18" customWidth="1"/>
    <col min="8" max="8" width="14.15234375" style="18" customWidth="1"/>
    <col min="9" max="13" width="12.84375" style="18" customWidth="1"/>
    <col min="14" max="14" width="16.15234375" style="18" customWidth="1"/>
    <col min="15" max="15" width="20.84375" style="18" customWidth="1"/>
    <col min="16" max="16" width="9.53515625" style="18" customWidth="1"/>
    <col min="17" max="20" width="15.84375" style="18" customWidth="1"/>
    <col min="21" max="21" width="12" style="18" customWidth="1"/>
    <col min="22" max="22" width="22.84375" style="18" customWidth="1"/>
    <col min="23" max="23" width="15" customWidth="1"/>
    <col min="24" max="28" width="9.15234375" customWidth="1"/>
    <col min="29" max="29" width="10.15234375" customWidth="1"/>
    <col min="30" max="40" width="9.15234375" customWidth="1"/>
    <col min="41" max="41" width="11.4609375" customWidth="1"/>
    <col min="42" max="44" width="9.15234375" customWidth="1"/>
    <col min="45" max="45" width="18.4609375" customWidth="1"/>
    <col min="46" max="46" width="16.4609375" customWidth="1"/>
    <col min="47" max="47" width="22" customWidth="1"/>
    <col min="48" max="48" width="15.15234375" customWidth="1"/>
    <col min="49" max="49" width="13.15234375" customWidth="1"/>
    <col min="50" max="50" width="12" customWidth="1"/>
    <col min="51" max="53" width="10.15234375" customWidth="1"/>
    <col min="54" max="54" width="12.84375" customWidth="1"/>
    <col min="55" max="55" width="12" customWidth="1"/>
    <col min="56" max="56" width="9.15234375" customWidth="1"/>
    <col min="57" max="58" width="13.15234375" customWidth="1"/>
    <col min="59" max="59" width="18.4609375" customWidth="1"/>
    <col min="60" max="60" width="12.4609375" customWidth="1"/>
    <col min="61" max="61" width="10" customWidth="1"/>
    <col min="62" max="63" width="12" customWidth="1"/>
    <col min="64" max="230" width="9.15234375" customWidth="1"/>
    <col min="231" max="263" width="9.15234375" style="18" customWidth="1"/>
    <col min="264" max="16384" width="0.15234375" style="18"/>
  </cols>
  <sheetData>
    <row r="1" spans="1:71" ht="24" customHeight="1">
      <c r="A1" s="791" t="s">
        <v>1355</v>
      </c>
      <c r="C1" s="626"/>
      <c r="D1" s="626"/>
      <c r="E1" s="626"/>
      <c r="F1" s="626"/>
      <c r="G1" s="626"/>
      <c r="H1" s="626"/>
      <c r="I1" s="626"/>
      <c r="J1" s="626"/>
      <c r="K1" s="626"/>
      <c r="L1" s="626"/>
      <c r="M1" s="626"/>
      <c r="N1" s="626"/>
      <c r="O1" s="626"/>
      <c r="P1" s="626"/>
      <c r="Q1" s="626"/>
      <c r="R1" s="626"/>
      <c r="S1" s="792" t="s">
        <v>1193</v>
      </c>
      <c r="T1" s="792"/>
      <c r="U1" s="2748">
        <v>37456</v>
      </c>
      <c r="V1" s="2748"/>
    </row>
    <row r="2" spans="1:71" ht="24" customHeight="1">
      <c r="A2" s="2749" t="str">
        <f>Summary!C1</f>
        <v>Trammell Crow – LBJ</v>
      </c>
      <c r="B2" s="2749"/>
      <c r="C2" s="2749"/>
      <c r="D2" s="2749"/>
      <c r="E2" s="626"/>
      <c r="F2" s="626"/>
      <c r="G2" s="1084" t="s">
        <v>56</v>
      </c>
      <c r="H2" s="381"/>
      <c r="I2" s="983"/>
      <c r="J2" s="1085" t="s">
        <v>57</v>
      </c>
      <c r="K2" s="589"/>
      <c r="L2" s="589"/>
      <c r="M2" s="589"/>
      <c r="N2" s="2750" t="s">
        <v>1</v>
      </c>
      <c r="O2" s="2750"/>
      <c r="P2" s="2751" t="s">
        <v>1194</v>
      </c>
      <c r="Q2" s="2751"/>
      <c r="R2" s="626"/>
      <c r="S2" s="795" t="s">
        <v>957</v>
      </c>
      <c r="T2" s="663"/>
      <c r="U2" s="796">
        <f>Information!C7</f>
        <v>0</v>
      </c>
      <c r="V2" s="797"/>
    </row>
    <row r="3" spans="1:71" ht="24" customHeight="1">
      <c r="A3" s="2752">
        <f>Summary!C2</f>
        <v>0</v>
      </c>
      <c r="B3" s="2752"/>
      <c r="C3" s="2752"/>
      <c r="D3" s="2752"/>
      <c r="E3" s="626"/>
      <c r="F3" s="626"/>
      <c r="G3" s="2321" t="s">
        <v>955</v>
      </c>
      <c r="H3" s="396"/>
      <c r="I3" s="2753">
        <f>Summary!K2</f>
        <v>0</v>
      </c>
      <c r="J3" s="2753"/>
      <c r="K3" s="2753"/>
      <c r="L3" s="2753"/>
      <c r="M3" s="2753"/>
      <c r="N3" s="2754">
        <f>Summary!O2</f>
        <v>0</v>
      </c>
      <c r="O3" s="2754"/>
      <c r="P3" s="2755">
        <f>Summary!P2</f>
        <v>0</v>
      </c>
      <c r="Q3" s="2755"/>
      <c r="R3" s="626"/>
      <c r="S3" s="574"/>
      <c r="V3" s="798"/>
    </row>
    <row r="4" spans="1:71" ht="24" customHeight="1">
      <c r="A4" s="2756" t="str">
        <f>Summary!C3</f>
        <v>Dallas, TX</v>
      </c>
      <c r="B4" s="2756"/>
      <c r="C4" s="2756"/>
      <c r="D4" s="2756"/>
      <c r="E4" s="626"/>
      <c r="F4" s="626"/>
      <c r="G4" s="396"/>
      <c r="H4" s="928" t="s">
        <v>71</v>
      </c>
      <c r="I4" s="2757">
        <f>Summary!K3</f>
        <v>0</v>
      </c>
      <c r="J4" s="2757"/>
      <c r="K4" s="2757"/>
      <c r="L4" s="2757"/>
      <c r="M4" s="2757"/>
      <c r="N4" s="2758">
        <f>Summary!O3</f>
        <v>0</v>
      </c>
      <c r="O4" s="2758"/>
      <c r="P4" s="2759">
        <f>Summary!P3</f>
        <v>0</v>
      </c>
      <c r="Q4" s="2759"/>
      <c r="R4" s="626"/>
      <c r="S4" s="574" t="s">
        <v>958</v>
      </c>
      <c r="U4" s="799"/>
      <c r="V4" s="800"/>
    </row>
    <row r="5" spans="1:71" ht="24" customHeight="1">
      <c r="A5" s="380" t="s">
        <v>0</v>
      </c>
      <c r="C5" s="380" t="s">
        <v>1</v>
      </c>
      <c r="E5" s="626"/>
      <c r="F5" s="626"/>
      <c r="G5" s="396"/>
      <c r="H5" s="928" t="s">
        <v>79</v>
      </c>
      <c r="I5" s="2757">
        <f>Summary!K4</f>
        <v>0</v>
      </c>
      <c r="J5" s="2757"/>
      <c r="K5" s="2757"/>
      <c r="L5" s="2757"/>
      <c r="M5" s="2757"/>
      <c r="N5" s="2758">
        <f>Summary!O4</f>
        <v>0</v>
      </c>
      <c r="O5" s="2758"/>
      <c r="P5" s="2759">
        <f>Summary!P4</f>
        <v>0</v>
      </c>
      <c r="Q5" s="2759"/>
      <c r="R5" s="626"/>
      <c r="S5" s="574"/>
      <c r="V5" s="798"/>
    </row>
    <row r="6" spans="1:71" ht="24" customHeight="1">
      <c r="A6" s="804">
        <v>0</v>
      </c>
      <c r="B6" s="626"/>
      <c r="C6" s="2760">
        <v>0</v>
      </c>
      <c r="D6" s="2760"/>
      <c r="E6" s="626"/>
      <c r="F6" s="626"/>
      <c r="G6" s="653"/>
      <c r="H6" s="1090" t="s">
        <v>87</v>
      </c>
      <c r="I6" s="2761">
        <f>Summary!K5</f>
        <v>0</v>
      </c>
      <c r="J6" s="2761"/>
      <c r="K6" s="2761"/>
      <c r="L6" s="2761"/>
      <c r="M6" s="2761"/>
      <c r="N6" s="2762">
        <f>Summary!O5</f>
        <v>0</v>
      </c>
      <c r="O6" s="2762"/>
      <c r="P6" s="2763">
        <f>Summary!P5</f>
        <v>0</v>
      </c>
      <c r="Q6" s="2763"/>
      <c r="R6" s="626"/>
      <c r="S6" s="577" t="s">
        <v>958</v>
      </c>
      <c r="T6" s="802"/>
      <c r="U6" s="802"/>
      <c r="V6" s="803"/>
    </row>
    <row r="7" spans="1:71" ht="24" customHeight="1">
      <c r="A7" s="801">
        <v>0</v>
      </c>
      <c r="B7" s="626"/>
      <c r="C7" s="2764">
        <v>0</v>
      </c>
      <c r="D7" s="2764"/>
      <c r="E7" s="626"/>
      <c r="F7" s="2765" t="s">
        <v>1196</v>
      </c>
      <c r="G7" s="2765"/>
      <c r="H7" s="2765"/>
      <c r="I7" s="2766" t="str">
        <f>Pricing!A3</f>
        <v>SRM</v>
      </c>
      <c r="J7" s="2766"/>
      <c r="K7" s="2766"/>
      <c r="L7" s="2766"/>
      <c r="M7" s="2766"/>
      <c r="N7" s="626"/>
      <c r="O7" s="626"/>
      <c r="P7" s="626"/>
      <c r="Q7" s="626"/>
      <c r="R7" s="626"/>
      <c r="S7" s="626"/>
      <c r="T7" s="626"/>
      <c r="U7" s="626"/>
      <c r="V7" s="626"/>
      <c r="AU7" s="2322" t="s">
        <v>1507</v>
      </c>
      <c r="AV7" s="2323"/>
      <c r="AW7" s="2323"/>
      <c r="AX7" s="2323"/>
      <c r="AY7" s="2323"/>
      <c r="AZ7" s="2323"/>
      <c r="BA7" s="2323"/>
      <c r="BB7" s="2323"/>
      <c r="BC7" s="2323"/>
      <c r="BD7" s="2323"/>
      <c r="BE7" s="2323"/>
      <c r="BF7" s="2323"/>
      <c r="BG7" s="2323"/>
      <c r="BH7" s="2323"/>
      <c r="BI7" s="2323"/>
      <c r="BJ7" s="2323"/>
      <c r="BK7" s="2323"/>
      <c r="BL7" s="2324"/>
    </row>
    <row r="8" spans="1:71" ht="24" customHeight="1">
      <c r="A8" s="2767" t="s">
        <v>1915</v>
      </c>
      <c r="B8" s="2767"/>
      <c r="C8" s="2768" t="s">
        <v>1754</v>
      </c>
      <c r="D8" s="2768"/>
      <c r="E8" s="2769" t="s">
        <v>1755</v>
      </c>
      <c r="F8" s="2770" t="s">
        <v>1761</v>
      </c>
      <c r="G8" s="2771" t="s">
        <v>1209</v>
      </c>
      <c r="H8" s="2770" t="s">
        <v>1916</v>
      </c>
      <c r="I8" s="2770" t="s">
        <v>1757</v>
      </c>
      <c r="J8" s="2772" t="s">
        <v>1917</v>
      </c>
      <c r="K8" s="2772"/>
      <c r="L8" s="2772"/>
      <c r="M8" s="2773" t="s">
        <v>1918</v>
      </c>
      <c r="N8" s="2773"/>
      <c r="O8" s="2773"/>
      <c r="P8" s="2774" t="s">
        <v>1764</v>
      </c>
      <c r="Q8" s="2774" t="s">
        <v>1919</v>
      </c>
      <c r="R8" s="2774" t="s">
        <v>1483</v>
      </c>
      <c r="S8" s="2775" t="s">
        <v>1219</v>
      </c>
      <c r="T8" s="2774" t="s">
        <v>1766</v>
      </c>
      <c r="U8" s="2776" t="s">
        <v>1767</v>
      </c>
      <c r="V8" s="2776"/>
      <c r="AU8" s="2325"/>
      <c r="AV8" s="2326"/>
      <c r="AW8" s="2327"/>
      <c r="AX8" s="2326"/>
      <c r="AY8" s="2326"/>
      <c r="AZ8" s="2328"/>
      <c r="BA8" s="2326"/>
      <c r="BB8" s="2326"/>
      <c r="BC8" s="2326"/>
      <c r="BD8" s="2326"/>
      <c r="BE8" s="2326"/>
      <c r="BF8" s="2326"/>
      <c r="BG8" s="2326"/>
      <c r="BH8" s="2326"/>
      <c r="BI8" s="2326"/>
      <c r="BJ8" s="2326"/>
      <c r="BK8" s="2326"/>
      <c r="BL8" s="2329"/>
      <c r="BO8" s="2777" t="s">
        <v>1021</v>
      </c>
      <c r="BP8" s="2777"/>
      <c r="BQ8" s="2777"/>
      <c r="BR8" s="2777"/>
      <c r="BS8" s="2777"/>
    </row>
    <row r="9" spans="1:71" ht="32.25" customHeight="1">
      <c r="A9" s="2767"/>
      <c r="B9" s="2767"/>
      <c r="C9" s="2768"/>
      <c r="D9" s="2768"/>
      <c r="E9" s="2769"/>
      <c r="F9" s="2770"/>
      <c r="G9" s="2771"/>
      <c r="H9" s="2770"/>
      <c r="I9" s="2770"/>
      <c r="J9" s="2330" t="s">
        <v>1259</v>
      </c>
      <c r="K9" s="915" t="s">
        <v>1920</v>
      </c>
      <c r="L9" s="915" t="s">
        <v>1921</v>
      </c>
      <c r="M9" s="2330" t="s">
        <v>1215</v>
      </c>
      <c r="N9" s="2331" t="s">
        <v>1216</v>
      </c>
      <c r="O9" s="2332" t="s">
        <v>558</v>
      </c>
      <c r="P9" s="2774"/>
      <c r="Q9" s="2774"/>
      <c r="R9" s="2774"/>
      <c r="S9" s="2775"/>
      <c r="T9" s="2774"/>
      <c r="U9" s="2774"/>
      <c r="V9" s="2776"/>
      <c r="AD9" t="s">
        <v>1374</v>
      </c>
      <c r="AE9" t="s">
        <v>1375</v>
      </c>
      <c r="AF9" t="s">
        <v>1376</v>
      </c>
      <c r="AG9" t="s">
        <v>1377</v>
      </c>
      <c r="AH9" t="s">
        <v>1378</v>
      </c>
      <c r="AI9" t="s">
        <v>1522</v>
      </c>
      <c r="AJ9" t="s">
        <v>1523</v>
      </c>
      <c r="AK9" t="s">
        <v>1524</v>
      </c>
      <c r="AL9" t="s">
        <v>1525</v>
      </c>
      <c r="AM9" t="s">
        <v>1526</v>
      </c>
      <c r="AN9" t="s">
        <v>1527</v>
      </c>
      <c r="AO9" t="s">
        <v>1768</v>
      </c>
      <c r="AP9" t="s">
        <v>1769</v>
      </c>
      <c r="AQ9" t="s">
        <v>1770</v>
      </c>
      <c r="AR9" s="12" t="s">
        <v>1922</v>
      </c>
      <c r="AS9" s="12" t="s">
        <v>1923</v>
      </c>
      <c r="AT9" s="268" t="s">
        <v>1734</v>
      </c>
      <c r="AU9" s="2333" t="s">
        <v>1384</v>
      </c>
      <c r="AV9" s="249" t="s">
        <v>1385</v>
      </c>
      <c r="AW9" s="2334" t="s">
        <v>1771</v>
      </c>
      <c r="AX9" s="249" t="s">
        <v>1924</v>
      </c>
      <c r="AY9" s="249" t="str">
        <f>A63</f>
        <v>STAIR TREADS</v>
      </c>
      <c r="AZ9" s="2335" t="s">
        <v>1159</v>
      </c>
      <c r="BA9" s="249" t="s">
        <v>1340</v>
      </c>
      <c r="BB9" s="249" t="s">
        <v>1540</v>
      </c>
      <c r="BC9" s="249" t="s">
        <v>1541</v>
      </c>
      <c r="BD9" s="249" t="s">
        <v>976</v>
      </c>
      <c r="BE9" s="249" t="s">
        <v>1542</v>
      </c>
      <c r="BF9" s="249" t="s">
        <v>1513</v>
      </c>
      <c r="BG9" s="470" t="s">
        <v>1925</v>
      </c>
      <c r="BH9" s="249" t="s">
        <v>1775</v>
      </c>
      <c r="BI9" s="249" t="s">
        <v>1431</v>
      </c>
      <c r="BJ9" s="249" t="s">
        <v>598</v>
      </c>
      <c r="BK9" s="470" t="s">
        <v>1039</v>
      </c>
      <c r="BL9" s="2336"/>
      <c r="BO9" s="1905" t="s">
        <v>568</v>
      </c>
      <c r="BP9" s="1907" t="s">
        <v>1926</v>
      </c>
      <c r="BQ9" s="1906" t="s">
        <v>721</v>
      </c>
      <c r="BR9" s="1907" t="s">
        <v>1927</v>
      </c>
      <c r="BS9" s="1908" t="s">
        <v>1418</v>
      </c>
    </row>
    <row r="10" spans="1:71" ht="24" customHeight="1">
      <c r="A10" s="2337"/>
      <c r="B10" s="2338"/>
      <c r="C10" s="2339">
        <v>12500</v>
      </c>
      <c r="D10" s="2340"/>
      <c r="E10" s="2341">
        <v>4</v>
      </c>
      <c r="F10" s="2342">
        <v>2</v>
      </c>
      <c r="G10" s="2343">
        <v>10</v>
      </c>
      <c r="H10" s="2344"/>
      <c r="I10" s="2341" t="s">
        <v>1029</v>
      </c>
      <c r="J10" s="2345"/>
      <c r="K10" s="2341"/>
      <c r="L10" s="2341"/>
      <c r="M10" s="2346">
        <v>3</v>
      </c>
      <c r="N10" s="2341">
        <v>18</v>
      </c>
      <c r="O10" s="2341"/>
      <c r="P10" s="2347">
        <f t="shared" ref="P10:P31" si="0">C10*F10/324*(1+J$54)</f>
        <v>81.018518518518519</v>
      </c>
      <c r="Q10" s="2347">
        <f t="shared" ref="Q10:Q31" si="1">IF(O10&gt;0,C10,0)</f>
        <v>0</v>
      </c>
      <c r="R10" s="2348">
        <f t="shared" ref="R10:R31" si="2">IF(N10=0,0,(N10/12+N10/12)/(N10/12*N10/12)*C10*((M10/16*M10/16)*10.6870159)+J10*4)*(1+J$51)</f>
        <v>6888.1157167968759</v>
      </c>
      <c r="S10" s="2349">
        <f t="shared" ref="S10:S31" si="3">((C10*E10/324)+IF(J10&gt;0,(J10*K10*(L10+12)/3888),0))*(1+J$44)</f>
        <v>163.58024691358025</v>
      </c>
      <c r="T10" s="2350">
        <f t="shared" ref="T10:T31" si="4">IF(C10=0,0,U10/C10)</f>
        <v>9.9705420677807499</v>
      </c>
      <c r="U10" s="2778">
        <f t="shared" ref="U10:U31" si="5">(AT10-BK10)*(1+L$36)</f>
        <v>124631.77584725939</v>
      </c>
      <c r="V10" s="2778"/>
      <c r="W10" s="172"/>
      <c r="AD10" s="2351">
        <f t="shared" ref="AD10:AD31" si="6">IF($G10=1,$S10,0)</f>
        <v>0</v>
      </c>
      <c r="AE10" s="2352">
        <f t="shared" ref="AE10:AE31" si="7">IF($G10=2,$S10,0)</f>
        <v>0</v>
      </c>
      <c r="AF10" s="2352">
        <f t="shared" ref="AF10:AF31" si="8">IF($G10=3,$S10,0)</f>
        <v>0</v>
      </c>
      <c r="AG10" s="2352">
        <f t="shared" ref="AG10:AG31" si="9">IF($G10=4,$S10,0)</f>
        <v>0</v>
      </c>
      <c r="AH10" s="2352">
        <f t="shared" ref="AH10:AH31" si="10">IF($G10=5,$S10,0)</f>
        <v>0</v>
      </c>
      <c r="AI10" s="2352">
        <f t="shared" ref="AI10:AI31" si="11">IF($G10=6,$S10,0)</f>
        <v>0</v>
      </c>
      <c r="AJ10" s="2352">
        <f t="shared" ref="AJ10:AJ31" si="12">IF($G10=7,$S10,0)</f>
        <v>0</v>
      </c>
      <c r="AK10" s="2352">
        <f t="shared" ref="AK10:AK31" si="13">IF($G10=8,$S10,0)</f>
        <v>0</v>
      </c>
      <c r="AL10" s="2352">
        <f t="shared" ref="AL10:AL31" si="14">IF($G10=9,$S10,0)</f>
        <v>0</v>
      </c>
      <c r="AM10" s="2353">
        <f t="shared" ref="AM10:AM31" si="15">IF($G10=10,$S10,0)</f>
        <v>163.58024691358025</v>
      </c>
      <c r="AN10" s="2352">
        <f t="shared" ref="AN10:AN31" si="16">SUM(AD10:AI10)</f>
        <v>0</v>
      </c>
      <c r="AO10" s="2352">
        <f t="shared" ref="AO10:AO31" si="17">IF(H10="Y",C10,0)</f>
        <v>0</v>
      </c>
      <c r="AP10" s="2352">
        <f t="shared" ref="AP10:AP31" si="18">IF(C10=0,0,IF(E10&lt;8,C10/K$79,0))</f>
        <v>625</v>
      </c>
      <c r="AQ10" s="2352">
        <f t="shared" ref="AQ10:AQ31" si="19">IF(C10=0,0,IF(E10&gt;8,C10/K$79,0))</f>
        <v>0</v>
      </c>
      <c r="AR10" s="2352">
        <f t="shared" ref="AR10:AR31" si="20">IF(H10&gt;0,C10,0)</f>
        <v>0</v>
      </c>
      <c r="AS10" s="2352">
        <f t="shared" ref="AS10:AS31" si="21">IF(I10="y",C10,0)</f>
        <v>0</v>
      </c>
      <c r="AT10" s="351">
        <f t="shared" ref="AT10:AT31" si="22">SUM(AU10:BL10)</f>
        <v>105620.14902310118</v>
      </c>
      <c r="AU10" s="2354">
        <f>(AD10*Pricing!F$3+AE10*Pricing!G$3+AF10*Pricing!H$3+AG10*Pricing!I$3+AH10*Pricing!J$3+AI10*Pricing!K$3+AJ10*Pricing!L$3+AK10*Pricing!M$3+AL10*Pricing!N$3+AM10*Pricing!O$3)*IF(T$35="N",(1+V$35),1)</f>
        <v>23728.132716049386</v>
      </c>
      <c r="AV10" s="94">
        <f t="shared" ref="AV10:AV31" si="23">R10*F$51*IF(T$35="n",1+V$35,1)</f>
        <v>4473.831158059571</v>
      </c>
      <c r="AW10" s="2355">
        <f t="shared" ref="AW10:AW31" si="24">IF(C10=0,"",C10*G$59)</f>
        <v>23750</v>
      </c>
      <c r="AX10" s="94">
        <f t="shared" ref="AX10:AX31" si="25">IF(N$62=0,0,N$62/H$59*C10)</f>
        <v>0</v>
      </c>
      <c r="AY10" s="94">
        <f t="shared" ref="AY10:AY31" si="26">J10*D$63</f>
        <v>0</v>
      </c>
      <c r="AZ10" s="562">
        <f t="shared" ref="AZ10:AZ31" si="27">IF(N$64=0,0,N$64/H$59*C10)</f>
        <v>0</v>
      </c>
      <c r="BA10" s="94">
        <f t="shared" ref="BA10:BA31" si="28">IF(C$32=0,0,N$84/C$32*C10)</f>
        <v>0</v>
      </c>
      <c r="BB10" s="94">
        <f t="shared" ref="BB10:BB31" si="29">IF(C10=0,0,(SUM(N$67:O$70)+N$86)/C$32*C10)</f>
        <v>29166.666666666675</v>
      </c>
      <c r="BC10" s="94">
        <f t="shared" ref="BC10:BC31" si="30">IF(C10=0,0,SUM(W$44:W$87)/C$32*C10)</f>
        <v>6674.5208963467276</v>
      </c>
      <c r="BD10" s="94">
        <f t="shared" ref="BD10:BD31" si="31">IF(C10=0,0,(SUM(N$72:O$77)-N$77)/C$32*C10)</f>
        <v>14071.933928571429</v>
      </c>
      <c r="BE10" s="94">
        <f t="shared" ref="BE10:BE31" si="32">IF(C10=0,0,SUM(N$79:N$83)/C$32)*C10</f>
        <v>1562.5</v>
      </c>
      <c r="BF10" s="94">
        <f t="shared" ref="BF10:BF31" si="33">P10*F$54*IF(T$35="N",1+V$35,1)</f>
        <v>2192.5636574074074</v>
      </c>
      <c r="BG10" s="94">
        <f t="shared" ref="BG10:BG31" si="34">H10*C10</f>
        <v>0</v>
      </c>
      <c r="BH10" s="94">
        <f t="shared" ref="BH10:BH31" si="35">IF(I10="y",N$77/AS$32*C10,0)</f>
        <v>0</v>
      </c>
      <c r="BI10" s="94">
        <f t="shared" ref="BI10:BI31" si="36">IF(K$56=0,0,N$56/K$56*K10)</f>
        <v>0</v>
      </c>
      <c r="BJ10" s="94">
        <f>IF(O10=6,Pricing!D$28,IF(O10=8,Pricing!D$27,IF(O10=10,Pricing!D$26,0)))*Q10*(1+J$52)*IF(T$35="Y",1,1+V$35)</f>
        <v>0</v>
      </c>
      <c r="BK10" s="94">
        <f t="shared" ref="BK10:BK31" si="37">IF(N$88=0,0,N$88/H$59*C10)</f>
        <v>0</v>
      </c>
      <c r="BL10" s="2356"/>
      <c r="BO10" s="2357">
        <f t="shared" ref="BO10:BO31" si="38">A10</f>
        <v>0</v>
      </c>
      <c r="BP10" s="1930">
        <f t="shared" ref="BP10:BP31" si="39">J10</f>
        <v>0</v>
      </c>
      <c r="BQ10" s="1719">
        <f t="shared" ref="BQ10:BQ31" si="40">R10</f>
        <v>6888.1157167968759</v>
      </c>
      <c r="BR10" s="1254">
        <f t="shared" ref="BR10:BR31" si="41">IF(H10=0,0,C10*H10)</f>
        <v>0</v>
      </c>
      <c r="BS10" s="2358">
        <f t="shared" ref="BS10:BS31" si="42">C10</f>
        <v>12500</v>
      </c>
    </row>
    <row r="11" spans="1:71" ht="24" customHeight="1">
      <c r="A11" s="2359"/>
      <c r="B11" s="2360"/>
      <c r="C11" s="2361"/>
      <c r="D11" s="2362"/>
      <c r="E11" s="2363"/>
      <c r="F11" s="2364"/>
      <c r="G11" s="2365"/>
      <c r="H11" s="2366"/>
      <c r="I11" s="2363"/>
      <c r="J11" s="2367"/>
      <c r="K11" s="2363"/>
      <c r="L11" s="2363"/>
      <c r="M11" s="2368"/>
      <c r="N11" s="2363"/>
      <c r="O11" s="2363"/>
      <c r="P11" s="1922">
        <f t="shared" si="0"/>
        <v>0</v>
      </c>
      <c r="Q11" s="1922">
        <f t="shared" si="1"/>
        <v>0</v>
      </c>
      <c r="R11" s="1351">
        <f t="shared" si="2"/>
        <v>0</v>
      </c>
      <c r="S11" s="2369">
        <f t="shared" si="3"/>
        <v>0</v>
      </c>
      <c r="T11" s="1941">
        <f t="shared" si="4"/>
        <v>0</v>
      </c>
      <c r="U11" s="2779">
        <f t="shared" si="5"/>
        <v>0</v>
      </c>
      <c r="V11" s="2779"/>
      <c r="W11" s="172"/>
      <c r="AD11" s="2370">
        <f t="shared" si="6"/>
        <v>0</v>
      </c>
      <c r="AE11" s="506">
        <f t="shared" si="7"/>
        <v>0</v>
      </c>
      <c r="AF11" s="506">
        <f t="shared" si="8"/>
        <v>0</v>
      </c>
      <c r="AG11" s="506">
        <f t="shared" si="9"/>
        <v>0</v>
      </c>
      <c r="AH11" s="506">
        <f t="shared" si="10"/>
        <v>0</v>
      </c>
      <c r="AI11" s="506">
        <f t="shared" si="11"/>
        <v>0</v>
      </c>
      <c r="AJ11" s="506">
        <f t="shared" si="12"/>
        <v>0</v>
      </c>
      <c r="AK11" s="506">
        <f t="shared" si="13"/>
        <v>0</v>
      </c>
      <c r="AL11" s="506">
        <f t="shared" si="14"/>
        <v>0</v>
      </c>
      <c r="AM11" s="2371">
        <f t="shared" si="15"/>
        <v>0</v>
      </c>
      <c r="AN11" s="506">
        <f t="shared" si="16"/>
        <v>0</v>
      </c>
      <c r="AO11" s="506">
        <f t="shared" si="17"/>
        <v>0</v>
      </c>
      <c r="AP11" s="506">
        <f t="shared" si="18"/>
        <v>0</v>
      </c>
      <c r="AQ11" s="506">
        <f t="shared" si="19"/>
        <v>0</v>
      </c>
      <c r="AR11" s="506">
        <f t="shared" si="20"/>
        <v>0</v>
      </c>
      <c r="AS11" s="506">
        <f t="shared" si="21"/>
        <v>0</v>
      </c>
      <c r="AT11" s="351">
        <f t="shared" si="22"/>
        <v>0</v>
      </c>
      <c r="AU11" s="2354">
        <f>(AD11*Pricing!F$3+AE11*Pricing!G$3+AF11*Pricing!H$3+AG11*Pricing!I$3+AH11*Pricing!J$3+AI11*Pricing!K$3+AJ11*Pricing!L$3+AK11*Pricing!M$3+AL11*Pricing!N$3+AM11*Pricing!O$3)*IF(T$35="N",(1+V$35),1)</f>
        <v>0</v>
      </c>
      <c r="AV11" s="94">
        <f t="shared" si="23"/>
        <v>0</v>
      </c>
      <c r="AW11" s="2355" t="str">
        <f t="shared" si="24"/>
        <v/>
      </c>
      <c r="AX11" s="94">
        <f t="shared" si="25"/>
        <v>0</v>
      </c>
      <c r="AY11" s="94">
        <f t="shared" si="26"/>
        <v>0</v>
      </c>
      <c r="AZ11" s="562">
        <f t="shared" si="27"/>
        <v>0</v>
      </c>
      <c r="BA11" s="94">
        <f t="shared" si="28"/>
        <v>0</v>
      </c>
      <c r="BB11" s="94">
        <f t="shared" si="29"/>
        <v>0</v>
      </c>
      <c r="BC11" s="94">
        <f t="shared" si="30"/>
        <v>0</v>
      </c>
      <c r="BD11" s="94">
        <f t="shared" si="31"/>
        <v>0</v>
      </c>
      <c r="BE11" s="94">
        <f t="shared" si="32"/>
        <v>0</v>
      </c>
      <c r="BF11" s="94">
        <f t="shared" si="33"/>
        <v>0</v>
      </c>
      <c r="BG11" s="94">
        <f t="shared" si="34"/>
        <v>0</v>
      </c>
      <c r="BH11" s="94">
        <f t="shared" si="35"/>
        <v>0</v>
      </c>
      <c r="BI11" s="94">
        <f t="shared" si="36"/>
        <v>0</v>
      </c>
      <c r="BJ11" s="94">
        <f>IF(O11=6,Q11*Pricing!D$28,IF(O11=8,Pricing!D$27,IF(O11=10,Pricing!D$26,0)))*Q11*(1+J$52)*IF(T$35="Y",1,1+V$35)</f>
        <v>0</v>
      </c>
      <c r="BK11" s="94">
        <f t="shared" si="37"/>
        <v>0</v>
      </c>
      <c r="BL11" s="2356"/>
      <c r="BO11" s="2357">
        <f t="shared" si="38"/>
        <v>0</v>
      </c>
      <c r="BP11" s="1930">
        <f t="shared" si="39"/>
        <v>0</v>
      </c>
      <c r="BQ11" s="1719">
        <f t="shared" si="40"/>
        <v>0</v>
      </c>
      <c r="BR11" s="1254">
        <f t="shared" si="41"/>
        <v>0</v>
      </c>
      <c r="BS11" s="2358">
        <f t="shared" si="42"/>
        <v>0</v>
      </c>
    </row>
    <row r="12" spans="1:71" ht="24" customHeight="1">
      <c r="A12" s="2359"/>
      <c r="B12" s="2360"/>
      <c r="C12" s="2372"/>
      <c r="D12" s="2373"/>
      <c r="E12" s="2363"/>
      <c r="F12" s="2364"/>
      <c r="G12" s="2365"/>
      <c r="H12" s="2366"/>
      <c r="I12" s="2363"/>
      <c r="J12" s="2367"/>
      <c r="K12" s="2363"/>
      <c r="L12" s="2363"/>
      <c r="M12" s="2368"/>
      <c r="N12" s="2363"/>
      <c r="O12" s="2363"/>
      <c r="P12" s="1922">
        <f t="shared" si="0"/>
        <v>0</v>
      </c>
      <c r="Q12" s="1922">
        <f t="shared" si="1"/>
        <v>0</v>
      </c>
      <c r="R12" s="1351">
        <f t="shared" si="2"/>
        <v>0</v>
      </c>
      <c r="S12" s="2369">
        <f t="shared" si="3"/>
        <v>0</v>
      </c>
      <c r="T12" s="1941">
        <f t="shared" si="4"/>
        <v>0</v>
      </c>
      <c r="U12" s="2779">
        <f t="shared" si="5"/>
        <v>0</v>
      </c>
      <c r="V12" s="2779"/>
      <c r="W12" s="2374"/>
      <c r="X12" s="268"/>
      <c r="Y12" s="268"/>
      <c r="Z12" s="268"/>
      <c r="AA12" s="268"/>
      <c r="AB12" s="268"/>
      <c r="AC12" s="268"/>
      <c r="AD12" s="2370">
        <f t="shared" si="6"/>
        <v>0</v>
      </c>
      <c r="AE12" s="506">
        <f t="shared" si="7"/>
        <v>0</v>
      </c>
      <c r="AF12" s="506">
        <f t="shared" si="8"/>
        <v>0</v>
      </c>
      <c r="AG12" s="506">
        <f t="shared" si="9"/>
        <v>0</v>
      </c>
      <c r="AH12" s="506">
        <f t="shared" si="10"/>
        <v>0</v>
      </c>
      <c r="AI12" s="506">
        <f t="shared" si="11"/>
        <v>0</v>
      </c>
      <c r="AJ12" s="506">
        <f t="shared" si="12"/>
        <v>0</v>
      </c>
      <c r="AK12" s="506">
        <f t="shared" si="13"/>
        <v>0</v>
      </c>
      <c r="AL12" s="506">
        <f t="shared" si="14"/>
        <v>0</v>
      </c>
      <c r="AM12" s="2371">
        <f t="shared" si="15"/>
        <v>0</v>
      </c>
      <c r="AN12" s="506">
        <f t="shared" si="16"/>
        <v>0</v>
      </c>
      <c r="AO12" s="506">
        <f t="shared" si="17"/>
        <v>0</v>
      </c>
      <c r="AP12" s="506">
        <f t="shared" si="18"/>
        <v>0</v>
      </c>
      <c r="AQ12" s="506">
        <f t="shared" si="19"/>
        <v>0</v>
      </c>
      <c r="AR12" s="506">
        <f t="shared" si="20"/>
        <v>0</v>
      </c>
      <c r="AS12" s="506">
        <f t="shared" si="21"/>
        <v>0</v>
      </c>
      <c r="AT12" s="351">
        <f t="shared" si="22"/>
        <v>0</v>
      </c>
      <c r="AU12" s="2354">
        <f>(AD12*Pricing!F$3+AE12*Pricing!G$3+AF12*Pricing!H$3+AG12*Pricing!I$3+AH12*Pricing!J$3+AI12*Pricing!K$3+AJ12*Pricing!L$3+AK12*Pricing!M$3+AL12*Pricing!N$3+AM12*Pricing!O$3)*IF(T$35="N",(1+V$35),1)</f>
        <v>0</v>
      </c>
      <c r="AV12" s="94">
        <f t="shared" si="23"/>
        <v>0</v>
      </c>
      <c r="AW12" s="2355" t="str">
        <f t="shared" si="24"/>
        <v/>
      </c>
      <c r="AX12" s="94">
        <f t="shared" si="25"/>
        <v>0</v>
      </c>
      <c r="AY12" s="94">
        <f t="shared" si="26"/>
        <v>0</v>
      </c>
      <c r="AZ12" s="562">
        <f t="shared" si="27"/>
        <v>0</v>
      </c>
      <c r="BA12" s="94">
        <f t="shared" si="28"/>
        <v>0</v>
      </c>
      <c r="BB12" s="94">
        <f t="shared" si="29"/>
        <v>0</v>
      </c>
      <c r="BC12" s="94">
        <f t="shared" si="30"/>
        <v>0</v>
      </c>
      <c r="BD12" s="94">
        <f t="shared" si="31"/>
        <v>0</v>
      </c>
      <c r="BE12" s="94">
        <f t="shared" si="32"/>
        <v>0</v>
      </c>
      <c r="BF12" s="94">
        <f t="shared" si="33"/>
        <v>0</v>
      </c>
      <c r="BG12" s="94">
        <f t="shared" si="34"/>
        <v>0</v>
      </c>
      <c r="BH12" s="94">
        <f t="shared" si="35"/>
        <v>0</v>
      </c>
      <c r="BI12" s="94">
        <f t="shared" si="36"/>
        <v>0</v>
      </c>
      <c r="BJ12" s="94">
        <f>IF(O12=6,Q12*Pricing!D$28,IF(O12=8,Pricing!D$27,IF(O12=10,Pricing!D$26,0)))*Q12*(1+J$52)*IF(T$35="Y",1,1+V$35)</f>
        <v>0</v>
      </c>
      <c r="BK12" s="94">
        <f t="shared" si="37"/>
        <v>0</v>
      </c>
      <c r="BL12" s="2356"/>
      <c r="BM12" s="268"/>
      <c r="BN12" s="268"/>
      <c r="BO12" s="2357">
        <f t="shared" si="38"/>
        <v>0</v>
      </c>
      <c r="BP12" s="1930">
        <f t="shared" si="39"/>
        <v>0</v>
      </c>
      <c r="BQ12" s="1719">
        <f t="shared" si="40"/>
        <v>0</v>
      </c>
      <c r="BR12" s="1254">
        <f t="shared" si="41"/>
        <v>0</v>
      </c>
      <c r="BS12" s="2358">
        <f t="shared" si="42"/>
        <v>0</v>
      </c>
    </row>
    <row r="13" spans="1:71" ht="24" customHeight="1">
      <c r="A13" s="2359"/>
      <c r="B13" s="2375"/>
      <c r="C13" s="2376"/>
      <c r="D13" s="2377"/>
      <c r="E13" s="2378"/>
      <c r="F13" s="2379"/>
      <c r="G13" s="2380"/>
      <c r="H13" s="2366"/>
      <c r="I13" s="2378"/>
      <c r="J13" s="2381"/>
      <c r="K13" s="2378"/>
      <c r="L13" s="2378"/>
      <c r="M13" s="2382"/>
      <c r="N13" s="2378"/>
      <c r="O13" s="2378"/>
      <c r="P13" s="1922">
        <f t="shared" si="0"/>
        <v>0</v>
      </c>
      <c r="Q13" s="1922">
        <f t="shared" si="1"/>
        <v>0</v>
      </c>
      <c r="R13" s="1351">
        <f t="shared" si="2"/>
        <v>0</v>
      </c>
      <c r="S13" s="2369">
        <f t="shared" si="3"/>
        <v>0</v>
      </c>
      <c r="T13" s="1941">
        <f t="shared" si="4"/>
        <v>0</v>
      </c>
      <c r="U13" s="2779">
        <f t="shared" si="5"/>
        <v>0</v>
      </c>
      <c r="V13" s="2779"/>
      <c r="W13" s="172"/>
      <c r="AD13" s="2370">
        <f t="shared" si="6"/>
        <v>0</v>
      </c>
      <c r="AE13" s="506">
        <f t="shared" si="7"/>
        <v>0</v>
      </c>
      <c r="AF13" s="506">
        <f t="shared" si="8"/>
        <v>0</v>
      </c>
      <c r="AG13" s="506">
        <f t="shared" si="9"/>
        <v>0</v>
      </c>
      <c r="AH13" s="506">
        <f t="shared" si="10"/>
        <v>0</v>
      </c>
      <c r="AI13" s="506">
        <f t="shared" si="11"/>
        <v>0</v>
      </c>
      <c r="AJ13" s="506">
        <f t="shared" si="12"/>
        <v>0</v>
      </c>
      <c r="AK13" s="506">
        <f t="shared" si="13"/>
        <v>0</v>
      </c>
      <c r="AL13" s="506">
        <f t="shared" si="14"/>
        <v>0</v>
      </c>
      <c r="AM13" s="2371">
        <f t="shared" si="15"/>
        <v>0</v>
      </c>
      <c r="AN13" s="506">
        <f t="shared" si="16"/>
        <v>0</v>
      </c>
      <c r="AO13" s="506">
        <f t="shared" si="17"/>
        <v>0</v>
      </c>
      <c r="AP13" s="506">
        <f t="shared" si="18"/>
        <v>0</v>
      </c>
      <c r="AQ13" s="506">
        <f t="shared" si="19"/>
        <v>0</v>
      </c>
      <c r="AR13" s="506">
        <f t="shared" si="20"/>
        <v>0</v>
      </c>
      <c r="AS13" s="506">
        <f t="shared" si="21"/>
        <v>0</v>
      </c>
      <c r="AT13" s="351">
        <f t="shared" si="22"/>
        <v>0</v>
      </c>
      <c r="AU13" s="2354">
        <f>(AD13*Pricing!F$3+AE13*Pricing!G$3+AF13*Pricing!H$3+AG13*Pricing!I$3+AH13*Pricing!J$3+AI13*Pricing!K$3+AJ13*Pricing!L$3+AK13*Pricing!M$3+AL13*Pricing!N$3+AM13*Pricing!O$3)*IF(T$35="N",(1+V$35),1)</f>
        <v>0</v>
      </c>
      <c r="AV13" s="94">
        <f t="shared" si="23"/>
        <v>0</v>
      </c>
      <c r="AW13" s="2355" t="str">
        <f t="shared" si="24"/>
        <v/>
      </c>
      <c r="AX13" s="94">
        <f t="shared" si="25"/>
        <v>0</v>
      </c>
      <c r="AY13" s="94">
        <f t="shared" si="26"/>
        <v>0</v>
      </c>
      <c r="AZ13" s="562">
        <f t="shared" si="27"/>
        <v>0</v>
      </c>
      <c r="BA13" s="94">
        <f t="shared" si="28"/>
        <v>0</v>
      </c>
      <c r="BB13" s="94">
        <f t="shared" si="29"/>
        <v>0</v>
      </c>
      <c r="BC13" s="94">
        <f t="shared" si="30"/>
        <v>0</v>
      </c>
      <c r="BD13" s="94">
        <f t="shared" si="31"/>
        <v>0</v>
      </c>
      <c r="BE13" s="94">
        <f t="shared" si="32"/>
        <v>0</v>
      </c>
      <c r="BF13" s="94">
        <f t="shared" si="33"/>
        <v>0</v>
      </c>
      <c r="BG13" s="94">
        <f t="shared" si="34"/>
        <v>0</v>
      </c>
      <c r="BH13" s="94">
        <f t="shared" si="35"/>
        <v>0</v>
      </c>
      <c r="BI13" s="94">
        <f t="shared" si="36"/>
        <v>0</v>
      </c>
      <c r="BJ13" s="94">
        <f>IF(O13=6,Q13*Pricing!D$28,IF(O13=8,Pricing!D$27,IF(O13=10,Pricing!D$26,0)))*Q13*(1+J$52)*IF(T$35="Y",1,1+V$35)</f>
        <v>0</v>
      </c>
      <c r="BK13" s="94">
        <f t="shared" si="37"/>
        <v>0</v>
      </c>
      <c r="BL13" s="2356"/>
      <c r="BO13" s="2357">
        <f t="shared" si="38"/>
        <v>0</v>
      </c>
      <c r="BP13" s="1930">
        <f t="shared" si="39"/>
        <v>0</v>
      </c>
      <c r="BQ13" s="1719">
        <f t="shared" si="40"/>
        <v>0</v>
      </c>
      <c r="BR13" s="1254">
        <f t="shared" si="41"/>
        <v>0</v>
      </c>
      <c r="BS13" s="2358">
        <f t="shared" si="42"/>
        <v>0</v>
      </c>
    </row>
    <row r="14" spans="1:71" ht="24" customHeight="1">
      <c r="A14" s="2383"/>
      <c r="B14" s="2375"/>
      <c r="C14" s="2384"/>
      <c r="D14" s="2377"/>
      <c r="E14" s="2378"/>
      <c r="F14" s="2379"/>
      <c r="G14" s="2380"/>
      <c r="H14" s="2366"/>
      <c r="I14" s="2378"/>
      <c r="J14" s="2381"/>
      <c r="K14" s="2378"/>
      <c r="L14" s="2378"/>
      <c r="M14" s="2382"/>
      <c r="N14" s="2378"/>
      <c r="O14" s="2378"/>
      <c r="P14" s="1922">
        <f t="shared" si="0"/>
        <v>0</v>
      </c>
      <c r="Q14" s="1922">
        <f t="shared" si="1"/>
        <v>0</v>
      </c>
      <c r="R14" s="1351">
        <f t="shared" si="2"/>
        <v>0</v>
      </c>
      <c r="S14" s="2369">
        <f t="shared" si="3"/>
        <v>0</v>
      </c>
      <c r="T14" s="1941">
        <f t="shared" si="4"/>
        <v>0</v>
      </c>
      <c r="U14" s="2779">
        <f t="shared" si="5"/>
        <v>0</v>
      </c>
      <c r="V14" s="2779"/>
      <c r="W14" s="172"/>
      <c r="AD14" s="2370">
        <f t="shared" si="6"/>
        <v>0</v>
      </c>
      <c r="AE14" s="506">
        <f t="shared" si="7"/>
        <v>0</v>
      </c>
      <c r="AF14" s="506">
        <f t="shared" si="8"/>
        <v>0</v>
      </c>
      <c r="AG14" s="506">
        <f t="shared" si="9"/>
        <v>0</v>
      </c>
      <c r="AH14" s="506">
        <f t="shared" si="10"/>
        <v>0</v>
      </c>
      <c r="AI14" s="506">
        <f t="shared" si="11"/>
        <v>0</v>
      </c>
      <c r="AJ14" s="506">
        <f t="shared" si="12"/>
        <v>0</v>
      </c>
      <c r="AK14" s="506">
        <f t="shared" si="13"/>
        <v>0</v>
      </c>
      <c r="AL14" s="506">
        <f t="shared" si="14"/>
        <v>0</v>
      </c>
      <c r="AM14" s="2371">
        <f t="shared" si="15"/>
        <v>0</v>
      </c>
      <c r="AN14" s="506">
        <f t="shared" si="16"/>
        <v>0</v>
      </c>
      <c r="AO14" s="506">
        <f t="shared" si="17"/>
        <v>0</v>
      </c>
      <c r="AP14" s="506">
        <f t="shared" si="18"/>
        <v>0</v>
      </c>
      <c r="AQ14" s="506">
        <f t="shared" si="19"/>
        <v>0</v>
      </c>
      <c r="AR14" s="506">
        <f t="shared" si="20"/>
        <v>0</v>
      </c>
      <c r="AS14" s="506">
        <f t="shared" si="21"/>
        <v>0</v>
      </c>
      <c r="AT14" s="351">
        <f t="shared" si="22"/>
        <v>0</v>
      </c>
      <c r="AU14" s="2354">
        <f>(AD14*Pricing!F$3+AE14*Pricing!G$3+AF14*Pricing!H$3+AG14*Pricing!I$3+AH14*Pricing!J$3+AI14*Pricing!K$3+AJ14*Pricing!L$3+AK14*Pricing!M$3+AL14*Pricing!N$3+AM14*Pricing!O$3)*IF(T$35="N",(1+V$35),1)</f>
        <v>0</v>
      </c>
      <c r="AV14" s="94">
        <f t="shared" si="23"/>
        <v>0</v>
      </c>
      <c r="AW14" s="2355" t="str">
        <f t="shared" si="24"/>
        <v/>
      </c>
      <c r="AX14" s="94">
        <f t="shared" si="25"/>
        <v>0</v>
      </c>
      <c r="AY14" s="94">
        <f t="shared" si="26"/>
        <v>0</v>
      </c>
      <c r="AZ14" s="562">
        <f t="shared" si="27"/>
        <v>0</v>
      </c>
      <c r="BA14" s="94">
        <f t="shared" si="28"/>
        <v>0</v>
      </c>
      <c r="BB14" s="94">
        <f t="shared" si="29"/>
        <v>0</v>
      </c>
      <c r="BC14" s="94">
        <f t="shared" si="30"/>
        <v>0</v>
      </c>
      <c r="BD14" s="94">
        <f t="shared" si="31"/>
        <v>0</v>
      </c>
      <c r="BE14" s="94">
        <f t="shared" si="32"/>
        <v>0</v>
      </c>
      <c r="BF14" s="94">
        <f t="shared" si="33"/>
        <v>0</v>
      </c>
      <c r="BG14" s="94">
        <f t="shared" si="34"/>
        <v>0</v>
      </c>
      <c r="BH14" s="94">
        <f t="shared" si="35"/>
        <v>0</v>
      </c>
      <c r="BI14" s="94">
        <f t="shared" si="36"/>
        <v>0</v>
      </c>
      <c r="BJ14" s="94">
        <f>IF(O14=6,Q14*Pricing!D$28,IF(O14=8,Pricing!D$27,IF(O14=10,Pricing!D$26,0)))*Q14*(1+J$52)*IF(T$35="Y",1,1+V$35)</f>
        <v>0</v>
      </c>
      <c r="BK14" s="94">
        <f t="shared" si="37"/>
        <v>0</v>
      </c>
      <c r="BL14" s="2356"/>
      <c r="BO14" s="2357">
        <f t="shared" si="38"/>
        <v>0</v>
      </c>
      <c r="BP14" s="1930">
        <f t="shared" si="39"/>
        <v>0</v>
      </c>
      <c r="BQ14" s="1719">
        <f t="shared" si="40"/>
        <v>0</v>
      </c>
      <c r="BR14" s="1254">
        <f t="shared" si="41"/>
        <v>0</v>
      </c>
      <c r="BS14" s="2358">
        <f t="shared" si="42"/>
        <v>0</v>
      </c>
    </row>
    <row r="15" spans="1:71" ht="24" customHeight="1">
      <c r="A15" s="2383"/>
      <c r="B15" s="2375"/>
      <c r="C15" s="2376"/>
      <c r="D15" s="2377"/>
      <c r="E15" s="2378"/>
      <c r="F15" s="2379"/>
      <c r="G15" s="2380"/>
      <c r="H15" s="2366"/>
      <c r="I15" s="2378"/>
      <c r="J15" s="2381"/>
      <c r="K15" s="2378"/>
      <c r="L15" s="2378"/>
      <c r="M15" s="2382"/>
      <c r="N15" s="2378"/>
      <c r="O15" s="2378"/>
      <c r="P15" s="1922">
        <f t="shared" si="0"/>
        <v>0</v>
      </c>
      <c r="Q15" s="1922">
        <f t="shared" si="1"/>
        <v>0</v>
      </c>
      <c r="R15" s="1351">
        <f t="shared" si="2"/>
        <v>0</v>
      </c>
      <c r="S15" s="2369">
        <f t="shared" si="3"/>
        <v>0</v>
      </c>
      <c r="T15" s="1941">
        <f t="shared" si="4"/>
        <v>0</v>
      </c>
      <c r="U15" s="2779">
        <f t="shared" si="5"/>
        <v>0</v>
      </c>
      <c r="V15" s="2779"/>
      <c r="W15" s="172"/>
      <c r="AD15" s="2370">
        <f t="shared" si="6"/>
        <v>0</v>
      </c>
      <c r="AE15" s="506">
        <f t="shared" si="7"/>
        <v>0</v>
      </c>
      <c r="AF15" s="506">
        <f t="shared" si="8"/>
        <v>0</v>
      </c>
      <c r="AG15" s="506">
        <f t="shared" si="9"/>
        <v>0</v>
      </c>
      <c r="AH15" s="506">
        <f t="shared" si="10"/>
        <v>0</v>
      </c>
      <c r="AI15" s="506">
        <f t="shared" si="11"/>
        <v>0</v>
      </c>
      <c r="AJ15" s="506">
        <f t="shared" si="12"/>
        <v>0</v>
      </c>
      <c r="AK15" s="506">
        <f t="shared" si="13"/>
        <v>0</v>
      </c>
      <c r="AL15" s="506">
        <f t="shared" si="14"/>
        <v>0</v>
      </c>
      <c r="AM15" s="2371">
        <f t="shared" si="15"/>
        <v>0</v>
      </c>
      <c r="AN15" s="506">
        <f t="shared" si="16"/>
        <v>0</v>
      </c>
      <c r="AO15" s="506">
        <f t="shared" si="17"/>
        <v>0</v>
      </c>
      <c r="AP15" s="506">
        <f t="shared" si="18"/>
        <v>0</v>
      </c>
      <c r="AQ15" s="506">
        <f t="shared" si="19"/>
        <v>0</v>
      </c>
      <c r="AR15" s="506">
        <f t="shared" si="20"/>
        <v>0</v>
      </c>
      <c r="AS15" s="506">
        <f t="shared" si="21"/>
        <v>0</v>
      </c>
      <c r="AT15" s="351">
        <f t="shared" si="22"/>
        <v>0</v>
      </c>
      <c r="AU15" s="2354">
        <f>(AD15*Pricing!F$3+AE15*Pricing!G$3+AF15*Pricing!H$3+AG15*Pricing!I$3+AH15*Pricing!J$3+AI15*Pricing!K$3+AJ15*Pricing!L$3+AK15*Pricing!M$3+AL15*Pricing!N$3+AM15*Pricing!O$3)*IF(T$35="N",(1+V$35),1)</f>
        <v>0</v>
      </c>
      <c r="AV15" s="94">
        <f t="shared" si="23"/>
        <v>0</v>
      </c>
      <c r="AW15" s="2355" t="str">
        <f t="shared" si="24"/>
        <v/>
      </c>
      <c r="AX15" s="94">
        <f t="shared" si="25"/>
        <v>0</v>
      </c>
      <c r="AY15" s="94">
        <f t="shared" si="26"/>
        <v>0</v>
      </c>
      <c r="AZ15" s="562">
        <f t="shared" si="27"/>
        <v>0</v>
      </c>
      <c r="BA15" s="94">
        <f t="shared" si="28"/>
        <v>0</v>
      </c>
      <c r="BB15" s="94">
        <f t="shared" si="29"/>
        <v>0</v>
      </c>
      <c r="BC15" s="94">
        <f t="shared" si="30"/>
        <v>0</v>
      </c>
      <c r="BD15" s="94">
        <f t="shared" si="31"/>
        <v>0</v>
      </c>
      <c r="BE15" s="94">
        <f t="shared" si="32"/>
        <v>0</v>
      </c>
      <c r="BF15" s="94">
        <f t="shared" si="33"/>
        <v>0</v>
      </c>
      <c r="BG15" s="94">
        <f t="shared" si="34"/>
        <v>0</v>
      </c>
      <c r="BH15" s="94">
        <f t="shared" si="35"/>
        <v>0</v>
      </c>
      <c r="BI15" s="94">
        <f t="shared" si="36"/>
        <v>0</v>
      </c>
      <c r="BJ15" s="94">
        <f>IF(O15=6,Q15*Pricing!D$28,IF(O15=8,Pricing!D$27,IF(O15=10,Pricing!D$26,0)))*Q15*(1+J$52)*IF(T$35="Y",1,1+V$35)</f>
        <v>0</v>
      </c>
      <c r="BK15" s="94">
        <f t="shared" si="37"/>
        <v>0</v>
      </c>
      <c r="BL15" s="2356"/>
      <c r="BO15" s="2357">
        <f t="shared" si="38"/>
        <v>0</v>
      </c>
      <c r="BP15" s="1930">
        <f t="shared" si="39"/>
        <v>0</v>
      </c>
      <c r="BQ15" s="1719">
        <f t="shared" si="40"/>
        <v>0</v>
      </c>
      <c r="BR15" s="1254">
        <f t="shared" si="41"/>
        <v>0</v>
      </c>
      <c r="BS15" s="2358">
        <f t="shared" si="42"/>
        <v>0</v>
      </c>
    </row>
    <row r="16" spans="1:71" ht="24" customHeight="1">
      <c r="A16" s="2383"/>
      <c r="B16" s="2375"/>
      <c r="C16" s="2376"/>
      <c r="D16" s="2377"/>
      <c r="E16" s="2378"/>
      <c r="F16" s="2379"/>
      <c r="G16" s="2380"/>
      <c r="H16" s="2366"/>
      <c r="I16" s="2378"/>
      <c r="J16" s="2381"/>
      <c r="K16" s="2378"/>
      <c r="L16" s="2378"/>
      <c r="M16" s="2382"/>
      <c r="N16" s="2378"/>
      <c r="O16" s="2378"/>
      <c r="P16" s="1922">
        <f t="shared" si="0"/>
        <v>0</v>
      </c>
      <c r="Q16" s="1922">
        <f t="shared" si="1"/>
        <v>0</v>
      </c>
      <c r="R16" s="1351">
        <f t="shared" si="2"/>
        <v>0</v>
      </c>
      <c r="S16" s="2369">
        <f t="shared" si="3"/>
        <v>0</v>
      </c>
      <c r="T16" s="1941">
        <f t="shared" si="4"/>
        <v>0</v>
      </c>
      <c r="U16" s="2779">
        <f t="shared" si="5"/>
        <v>0</v>
      </c>
      <c r="V16" s="2779"/>
      <c r="W16" s="172"/>
      <c r="AD16" s="2370">
        <f t="shared" si="6"/>
        <v>0</v>
      </c>
      <c r="AE16" s="506">
        <f t="shared" si="7"/>
        <v>0</v>
      </c>
      <c r="AF16" s="506">
        <f t="shared" si="8"/>
        <v>0</v>
      </c>
      <c r="AG16" s="506">
        <f t="shared" si="9"/>
        <v>0</v>
      </c>
      <c r="AH16" s="506">
        <f t="shared" si="10"/>
        <v>0</v>
      </c>
      <c r="AI16" s="506">
        <f t="shared" si="11"/>
        <v>0</v>
      </c>
      <c r="AJ16" s="506">
        <f t="shared" si="12"/>
        <v>0</v>
      </c>
      <c r="AK16" s="506">
        <f t="shared" si="13"/>
        <v>0</v>
      </c>
      <c r="AL16" s="506">
        <f t="shared" si="14"/>
        <v>0</v>
      </c>
      <c r="AM16" s="2371">
        <f t="shared" si="15"/>
        <v>0</v>
      </c>
      <c r="AN16" s="506">
        <f t="shared" si="16"/>
        <v>0</v>
      </c>
      <c r="AO16" s="506">
        <f t="shared" si="17"/>
        <v>0</v>
      </c>
      <c r="AP16" s="506">
        <f t="shared" si="18"/>
        <v>0</v>
      </c>
      <c r="AQ16" s="506">
        <f t="shared" si="19"/>
        <v>0</v>
      </c>
      <c r="AR16" s="506">
        <f t="shared" si="20"/>
        <v>0</v>
      </c>
      <c r="AS16" s="506">
        <f t="shared" si="21"/>
        <v>0</v>
      </c>
      <c r="AT16" s="351">
        <f t="shared" si="22"/>
        <v>0</v>
      </c>
      <c r="AU16" s="2354">
        <f>(AD16*Pricing!F$3+AE16*Pricing!G$3+AF16*Pricing!H$3+AG16*Pricing!I$3+AH16*Pricing!J$3+AI16*Pricing!K$3+AJ16*Pricing!L$3+AK16*Pricing!M$3+AL16*Pricing!N$3+AM16*Pricing!O$3)*IF(T$35="N",(1+V$35),1)</f>
        <v>0</v>
      </c>
      <c r="AV16" s="94">
        <f t="shared" si="23"/>
        <v>0</v>
      </c>
      <c r="AW16" s="2355" t="str">
        <f t="shared" si="24"/>
        <v/>
      </c>
      <c r="AX16" s="94">
        <f t="shared" si="25"/>
        <v>0</v>
      </c>
      <c r="AY16" s="94">
        <f t="shared" si="26"/>
        <v>0</v>
      </c>
      <c r="AZ16" s="562">
        <f t="shared" si="27"/>
        <v>0</v>
      </c>
      <c r="BA16" s="94">
        <f t="shared" si="28"/>
        <v>0</v>
      </c>
      <c r="BB16" s="94">
        <f t="shared" si="29"/>
        <v>0</v>
      </c>
      <c r="BC16" s="94">
        <f t="shared" si="30"/>
        <v>0</v>
      </c>
      <c r="BD16" s="94">
        <f t="shared" si="31"/>
        <v>0</v>
      </c>
      <c r="BE16" s="94">
        <f t="shared" si="32"/>
        <v>0</v>
      </c>
      <c r="BF16" s="94">
        <f t="shared" si="33"/>
        <v>0</v>
      </c>
      <c r="BG16" s="94">
        <f t="shared" si="34"/>
        <v>0</v>
      </c>
      <c r="BH16" s="94">
        <f t="shared" si="35"/>
        <v>0</v>
      </c>
      <c r="BI16" s="94">
        <f t="shared" si="36"/>
        <v>0</v>
      </c>
      <c r="BJ16" s="94">
        <f>IF(O16=6,Q16*Pricing!D$28,IF(O16=8,Pricing!D$27,IF(O16=10,Pricing!D$26,0)))*Q16*(1+J$52)*IF(T$35="Y",1,1+V$35)</f>
        <v>0</v>
      </c>
      <c r="BK16" s="94">
        <f t="shared" si="37"/>
        <v>0</v>
      </c>
      <c r="BL16" s="2356"/>
      <c r="BO16" s="2357">
        <f t="shared" si="38"/>
        <v>0</v>
      </c>
      <c r="BP16" s="1930">
        <f t="shared" si="39"/>
        <v>0</v>
      </c>
      <c r="BQ16" s="1719">
        <f t="shared" si="40"/>
        <v>0</v>
      </c>
      <c r="BR16" s="1254">
        <f t="shared" si="41"/>
        <v>0</v>
      </c>
      <c r="BS16" s="2358">
        <f t="shared" si="42"/>
        <v>0</v>
      </c>
    </row>
    <row r="17" spans="1:71" ht="24" customHeight="1">
      <c r="A17" s="2359"/>
      <c r="B17" s="2360"/>
      <c r="C17" s="2385"/>
      <c r="D17" s="2362"/>
      <c r="E17" s="2363"/>
      <c r="F17" s="2364"/>
      <c r="G17" s="2365"/>
      <c r="H17" s="2366"/>
      <c r="I17" s="2363"/>
      <c r="J17" s="2367"/>
      <c r="K17" s="2363"/>
      <c r="L17" s="2363"/>
      <c r="M17" s="2368"/>
      <c r="N17" s="2363"/>
      <c r="O17" s="2363"/>
      <c r="P17" s="1922">
        <f t="shared" si="0"/>
        <v>0</v>
      </c>
      <c r="Q17" s="1922">
        <f t="shared" si="1"/>
        <v>0</v>
      </c>
      <c r="R17" s="1351">
        <f t="shared" si="2"/>
        <v>0</v>
      </c>
      <c r="S17" s="2369">
        <f t="shared" si="3"/>
        <v>0</v>
      </c>
      <c r="T17" s="1941">
        <f t="shared" si="4"/>
        <v>0</v>
      </c>
      <c r="U17" s="2779">
        <f t="shared" si="5"/>
        <v>0</v>
      </c>
      <c r="V17" s="2779"/>
      <c r="W17" s="172"/>
      <c r="AD17" s="2370">
        <f t="shared" si="6"/>
        <v>0</v>
      </c>
      <c r="AE17" s="506">
        <f t="shared" si="7"/>
        <v>0</v>
      </c>
      <c r="AF17" s="506">
        <f t="shared" si="8"/>
        <v>0</v>
      </c>
      <c r="AG17" s="506">
        <f t="shared" si="9"/>
        <v>0</v>
      </c>
      <c r="AH17" s="506">
        <f t="shared" si="10"/>
        <v>0</v>
      </c>
      <c r="AI17" s="506">
        <f t="shared" si="11"/>
        <v>0</v>
      </c>
      <c r="AJ17" s="506">
        <f t="shared" si="12"/>
        <v>0</v>
      </c>
      <c r="AK17" s="506">
        <f t="shared" si="13"/>
        <v>0</v>
      </c>
      <c r="AL17" s="506">
        <f t="shared" si="14"/>
        <v>0</v>
      </c>
      <c r="AM17" s="2371">
        <f t="shared" si="15"/>
        <v>0</v>
      </c>
      <c r="AN17" s="506">
        <f t="shared" si="16"/>
        <v>0</v>
      </c>
      <c r="AO17" s="506">
        <f t="shared" si="17"/>
        <v>0</v>
      </c>
      <c r="AP17" s="506">
        <f t="shared" si="18"/>
        <v>0</v>
      </c>
      <c r="AQ17" s="506">
        <f t="shared" si="19"/>
        <v>0</v>
      </c>
      <c r="AR17" s="506">
        <f t="shared" si="20"/>
        <v>0</v>
      </c>
      <c r="AS17" s="506">
        <f t="shared" si="21"/>
        <v>0</v>
      </c>
      <c r="AT17" s="351">
        <f t="shared" si="22"/>
        <v>0</v>
      </c>
      <c r="AU17" s="2354">
        <f>(AD17*Pricing!F$3+AE17*Pricing!G$3+AF17*Pricing!H$3+AG17*Pricing!I$3+AH17*Pricing!J$3+AI17*Pricing!K$3+AJ17*Pricing!L$3+AK17*Pricing!M$3+AL17*Pricing!N$3+AM17*Pricing!O$3)*IF(T$35="N",(1+V$35),1)</f>
        <v>0</v>
      </c>
      <c r="AV17" s="94">
        <f t="shared" si="23"/>
        <v>0</v>
      </c>
      <c r="AW17" s="2355" t="str">
        <f t="shared" si="24"/>
        <v/>
      </c>
      <c r="AX17" s="94">
        <f t="shared" si="25"/>
        <v>0</v>
      </c>
      <c r="AY17" s="94">
        <f t="shared" si="26"/>
        <v>0</v>
      </c>
      <c r="AZ17" s="562">
        <f t="shared" si="27"/>
        <v>0</v>
      </c>
      <c r="BA17" s="94">
        <f t="shared" si="28"/>
        <v>0</v>
      </c>
      <c r="BB17" s="94">
        <f t="shared" si="29"/>
        <v>0</v>
      </c>
      <c r="BC17" s="94">
        <f t="shared" si="30"/>
        <v>0</v>
      </c>
      <c r="BD17" s="94">
        <f t="shared" si="31"/>
        <v>0</v>
      </c>
      <c r="BE17" s="94">
        <f t="shared" si="32"/>
        <v>0</v>
      </c>
      <c r="BF17" s="94">
        <f t="shared" si="33"/>
        <v>0</v>
      </c>
      <c r="BG17" s="94">
        <f t="shared" si="34"/>
        <v>0</v>
      </c>
      <c r="BH17" s="94">
        <f t="shared" si="35"/>
        <v>0</v>
      </c>
      <c r="BI17" s="94">
        <f t="shared" si="36"/>
        <v>0</v>
      </c>
      <c r="BJ17" s="94">
        <f>IF(O17=6,Q17*Pricing!D$28,IF(O17=8,Pricing!D$27,IF(O17=10,Pricing!D$26,0)))*Q17*(1+J$52)*IF(T$35="Y",1,1+V$35)</f>
        <v>0</v>
      </c>
      <c r="BK17" s="94">
        <f t="shared" si="37"/>
        <v>0</v>
      </c>
      <c r="BL17" s="2356"/>
      <c r="BO17" s="2357">
        <f t="shared" si="38"/>
        <v>0</v>
      </c>
      <c r="BP17" s="1930">
        <f t="shared" si="39"/>
        <v>0</v>
      </c>
      <c r="BQ17" s="1719">
        <f t="shared" si="40"/>
        <v>0</v>
      </c>
      <c r="BR17" s="1254">
        <f t="shared" si="41"/>
        <v>0</v>
      </c>
      <c r="BS17" s="2358">
        <f t="shared" si="42"/>
        <v>0</v>
      </c>
    </row>
    <row r="18" spans="1:71" ht="24" customHeight="1">
      <c r="A18" s="2359"/>
      <c r="B18" s="2360"/>
      <c r="C18" s="2386"/>
      <c r="D18" s="2373"/>
      <c r="E18" s="2363"/>
      <c r="F18" s="2364"/>
      <c r="G18" s="2365"/>
      <c r="H18" s="2366"/>
      <c r="I18" s="2363"/>
      <c r="J18" s="2367"/>
      <c r="K18" s="2363"/>
      <c r="L18" s="2363"/>
      <c r="M18" s="2368"/>
      <c r="N18" s="2363"/>
      <c r="O18" s="2363"/>
      <c r="P18" s="1922">
        <f t="shared" si="0"/>
        <v>0</v>
      </c>
      <c r="Q18" s="1922">
        <f t="shared" si="1"/>
        <v>0</v>
      </c>
      <c r="R18" s="1351">
        <f t="shared" si="2"/>
        <v>0</v>
      </c>
      <c r="S18" s="2369">
        <f t="shared" si="3"/>
        <v>0</v>
      </c>
      <c r="T18" s="1941">
        <f t="shared" si="4"/>
        <v>0</v>
      </c>
      <c r="U18" s="2779">
        <f t="shared" si="5"/>
        <v>0</v>
      </c>
      <c r="V18" s="2779"/>
      <c r="W18" s="172"/>
      <c r="AD18" s="2370">
        <f t="shared" si="6"/>
        <v>0</v>
      </c>
      <c r="AE18" s="506">
        <f t="shared" si="7"/>
        <v>0</v>
      </c>
      <c r="AF18" s="506">
        <f t="shared" si="8"/>
        <v>0</v>
      </c>
      <c r="AG18" s="506">
        <f t="shared" si="9"/>
        <v>0</v>
      </c>
      <c r="AH18" s="506">
        <f t="shared" si="10"/>
        <v>0</v>
      </c>
      <c r="AI18" s="506">
        <f t="shared" si="11"/>
        <v>0</v>
      </c>
      <c r="AJ18" s="506">
        <f t="shared" si="12"/>
        <v>0</v>
      </c>
      <c r="AK18" s="506">
        <f t="shared" si="13"/>
        <v>0</v>
      </c>
      <c r="AL18" s="506">
        <f t="shared" si="14"/>
        <v>0</v>
      </c>
      <c r="AM18" s="2371">
        <f t="shared" si="15"/>
        <v>0</v>
      </c>
      <c r="AN18" s="506">
        <f t="shared" si="16"/>
        <v>0</v>
      </c>
      <c r="AO18" s="506">
        <f t="shared" si="17"/>
        <v>0</v>
      </c>
      <c r="AP18" s="506">
        <f t="shared" si="18"/>
        <v>0</v>
      </c>
      <c r="AQ18" s="506">
        <f t="shared" si="19"/>
        <v>0</v>
      </c>
      <c r="AR18" s="506">
        <f t="shared" si="20"/>
        <v>0</v>
      </c>
      <c r="AS18" s="506">
        <f t="shared" si="21"/>
        <v>0</v>
      </c>
      <c r="AT18" s="351">
        <f t="shared" si="22"/>
        <v>0</v>
      </c>
      <c r="AU18" s="2354">
        <f>(AD18*Pricing!F$3+AE18*Pricing!G$3+AF18*Pricing!H$3+AG18*Pricing!I$3+AH18*Pricing!J$3+AI18*Pricing!K$3+AJ18*Pricing!L$3+AK18*Pricing!M$3+AL18*Pricing!N$3+AM18*Pricing!O$3)*IF(T$35="N",(1+V$35),1)</f>
        <v>0</v>
      </c>
      <c r="AV18" s="94">
        <f t="shared" si="23"/>
        <v>0</v>
      </c>
      <c r="AW18" s="2355" t="str">
        <f t="shared" si="24"/>
        <v/>
      </c>
      <c r="AX18" s="94">
        <f t="shared" si="25"/>
        <v>0</v>
      </c>
      <c r="AY18" s="94">
        <f t="shared" si="26"/>
        <v>0</v>
      </c>
      <c r="AZ18" s="562">
        <f t="shared" si="27"/>
        <v>0</v>
      </c>
      <c r="BA18" s="94">
        <f t="shared" si="28"/>
        <v>0</v>
      </c>
      <c r="BB18" s="94">
        <f t="shared" si="29"/>
        <v>0</v>
      </c>
      <c r="BC18" s="94">
        <f t="shared" si="30"/>
        <v>0</v>
      </c>
      <c r="BD18" s="94">
        <f t="shared" si="31"/>
        <v>0</v>
      </c>
      <c r="BE18" s="94">
        <f t="shared" si="32"/>
        <v>0</v>
      </c>
      <c r="BF18" s="94">
        <f t="shared" si="33"/>
        <v>0</v>
      </c>
      <c r="BG18" s="94">
        <f t="shared" si="34"/>
        <v>0</v>
      </c>
      <c r="BH18" s="94">
        <f t="shared" si="35"/>
        <v>0</v>
      </c>
      <c r="BI18" s="94">
        <f t="shared" si="36"/>
        <v>0</v>
      </c>
      <c r="BJ18" s="94">
        <f>IF(O18=6,Q18*Pricing!D$28,IF(O18=8,Pricing!D$27,IF(O18=10,Pricing!D$26,0)))*Q18*(1+J$52)*IF(T$35="Y",1,1+V$35)</f>
        <v>0</v>
      </c>
      <c r="BK18" s="94">
        <f t="shared" si="37"/>
        <v>0</v>
      </c>
      <c r="BL18" s="2356"/>
      <c r="BO18" s="2357">
        <f t="shared" si="38"/>
        <v>0</v>
      </c>
      <c r="BP18" s="1930">
        <f t="shared" si="39"/>
        <v>0</v>
      </c>
      <c r="BQ18" s="1719">
        <f t="shared" si="40"/>
        <v>0</v>
      </c>
      <c r="BR18" s="1254">
        <f t="shared" si="41"/>
        <v>0</v>
      </c>
      <c r="BS18" s="2358">
        <f t="shared" si="42"/>
        <v>0</v>
      </c>
    </row>
    <row r="19" spans="1:71" ht="24" customHeight="1">
      <c r="A19" s="2359"/>
      <c r="B19" s="2375"/>
      <c r="C19" s="2376"/>
      <c r="D19" s="2377"/>
      <c r="E19" s="2378"/>
      <c r="F19" s="2379"/>
      <c r="G19" s="2380"/>
      <c r="H19" s="2366"/>
      <c r="I19" s="2378"/>
      <c r="J19" s="2381"/>
      <c r="K19" s="2378"/>
      <c r="L19" s="2378"/>
      <c r="M19" s="2382"/>
      <c r="N19" s="2378"/>
      <c r="O19" s="2378"/>
      <c r="P19" s="1922">
        <f t="shared" si="0"/>
        <v>0</v>
      </c>
      <c r="Q19" s="1922">
        <f t="shared" si="1"/>
        <v>0</v>
      </c>
      <c r="R19" s="1351">
        <f t="shared" si="2"/>
        <v>0</v>
      </c>
      <c r="S19" s="2369">
        <f t="shared" si="3"/>
        <v>0</v>
      </c>
      <c r="T19" s="1941">
        <f t="shared" si="4"/>
        <v>0</v>
      </c>
      <c r="U19" s="2779">
        <f t="shared" si="5"/>
        <v>0</v>
      </c>
      <c r="V19" s="2779"/>
      <c r="W19" s="172"/>
      <c r="AD19" s="2370">
        <f t="shared" si="6"/>
        <v>0</v>
      </c>
      <c r="AE19" s="506">
        <f t="shared" si="7"/>
        <v>0</v>
      </c>
      <c r="AF19" s="506">
        <f t="shared" si="8"/>
        <v>0</v>
      </c>
      <c r="AG19" s="506">
        <f t="shared" si="9"/>
        <v>0</v>
      </c>
      <c r="AH19" s="506">
        <f t="shared" si="10"/>
        <v>0</v>
      </c>
      <c r="AI19" s="506">
        <f t="shared" si="11"/>
        <v>0</v>
      </c>
      <c r="AJ19" s="506">
        <f t="shared" si="12"/>
        <v>0</v>
      </c>
      <c r="AK19" s="506">
        <f t="shared" si="13"/>
        <v>0</v>
      </c>
      <c r="AL19" s="506">
        <f t="shared" si="14"/>
        <v>0</v>
      </c>
      <c r="AM19" s="2371">
        <f t="shared" si="15"/>
        <v>0</v>
      </c>
      <c r="AN19" s="506">
        <f t="shared" si="16"/>
        <v>0</v>
      </c>
      <c r="AO19" s="506">
        <f t="shared" si="17"/>
        <v>0</v>
      </c>
      <c r="AP19" s="506">
        <f t="shared" si="18"/>
        <v>0</v>
      </c>
      <c r="AQ19" s="506">
        <f t="shared" si="19"/>
        <v>0</v>
      </c>
      <c r="AR19" s="506">
        <f t="shared" si="20"/>
        <v>0</v>
      </c>
      <c r="AS19" s="506">
        <f t="shared" si="21"/>
        <v>0</v>
      </c>
      <c r="AT19" s="351">
        <f t="shared" si="22"/>
        <v>0</v>
      </c>
      <c r="AU19" s="2354">
        <f>(AD19*Pricing!F$3+AE19*Pricing!G$3+AF19*Pricing!H$3+AG19*Pricing!I$3+AH19*Pricing!J$3+AI19*Pricing!K$3+AJ19*Pricing!L$3+AK19*Pricing!M$3+AL19*Pricing!N$3+AM19*Pricing!O$3)*IF(T$35="N",(1+V$35),1)</f>
        <v>0</v>
      </c>
      <c r="AV19" s="94">
        <f t="shared" si="23"/>
        <v>0</v>
      </c>
      <c r="AW19" s="2355" t="str">
        <f t="shared" si="24"/>
        <v/>
      </c>
      <c r="AX19" s="94">
        <f t="shared" si="25"/>
        <v>0</v>
      </c>
      <c r="AY19" s="94">
        <f t="shared" si="26"/>
        <v>0</v>
      </c>
      <c r="AZ19" s="562">
        <f t="shared" si="27"/>
        <v>0</v>
      </c>
      <c r="BA19" s="94">
        <f t="shared" si="28"/>
        <v>0</v>
      </c>
      <c r="BB19" s="94">
        <f t="shared" si="29"/>
        <v>0</v>
      </c>
      <c r="BC19" s="94">
        <f t="shared" si="30"/>
        <v>0</v>
      </c>
      <c r="BD19" s="94">
        <f t="shared" si="31"/>
        <v>0</v>
      </c>
      <c r="BE19" s="94">
        <f t="shared" si="32"/>
        <v>0</v>
      </c>
      <c r="BF19" s="94">
        <f t="shared" si="33"/>
        <v>0</v>
      </c>
      <c r="BG19" s="94">
        <f t="shared" si="34"/>
        <v>0</v>
      </c>
      <c r="BH19" s="94">
        <f t="shared" si="35"/>
        <v>0</v>
      </c>
      <c r="BI19" s="94">
        <f t="shared" si="36"/>
        <v>0</v>
      </c>
      <c r="BJ19" s="94">
        <f>IF(O19=6,Q19*Pricing!D$28,IF(O19=8,Pricing!D$27,IF(O19=10,Pricing!D$26,0)))*Q19*(1+J$52)*IF(T$35="Y",1,1+V$35)</f>
        <v>0</v>
      </c>
      <c r="BK19" s="94">
        <f t="shared" si="37"/>
        <v>0</v>
      </c>
      <c r="BL19" s="2356"/>
      <c r="BO19" s="2357">
        <f t="shared" si="38"/>
        <v>0</v>
      </c>
      <c r="BP19" s="1930">
        <f t="shared" si="39"/>
        <v>0</v>
      </c>
      <c r="BQ19" s="1719">
        <f t="shared" si="40"/>
        <v>0</v>
      </c>
      <c r="BR19" s="1254">
        <f t="shared" si="41"/>
        <v>0</v>
      </c>
      <c r="BS19" s="2358">
        <f t="shared" si="42"/>
        <v>0</v>
      </c>
    </row>
    <row r="20" spans="1:71" ht="24" customHeight="1">
      <c r="A20" s="2383"/>
      <c r="B20" s="2375"/>
      <c r="C20" s="2384"/>
      <c r="D20" s="2377"/>
      <c r="E20" s="2378"/>
      <c r="F20" s="2379"/>
      <c r="G20" s="2380"/>
      <c r="H20" s="2366"/>
      <c r="I20" s="2378"/>
      <c r="J20" s="2381"/>
      <c r="K20" s="2378"/>
      <c r="L20" s="2378"/>
      <c r="M20" s="2382"/>
      <c r="N20" s="2378"/>
      <c r="O20" s="2378"/>
      <c r="P20" s="1922">
        <f t="shared" si="0"/>
        <v>0</v>
      </c>
      <c r="Q20" s="1922">
        <f t="shared" si="1"/>
        <v>0</v>
      </c>
      <c r="R20" s="1351">
        <f t="shared" si="2"/>
        <v>0</v>
      </c>
      <c r="S20" s="2369">
        <f t="shared" si="3"/>
        <v>0</v>
      </c>
      <c r="T20" s="1941">
        <f t="shared" si="4"/>
        <v>0</v>
      </c>
      <c r="U20" s="2779">
        <f t="shared" si="5"/>
        <v>0</v>
      </c>
      <c r="V20" s="2779"/>
      <c r="W20" s="172"/>
      <c r="AD20" s="2370">
        <f t="shared" si="6"/>
        <v>0</v>
      </c>
      <c r="AE20" s="506">
        <f t="shared" si="7"/>
        <v>0</v>
      </c>
      <c r="AF20" s="506">
        <f t="shared" si="8"/>
        <v>0</v>
      </c>
      <c r="AG20" s="506">
        <f t="shared" si="9"/>
        <v>0</v>
      </c>
      <c r="AH20" s="506">
        <f t="shared" si="10"/>
        <v>0</v>
      </c>
      <c r="AI20" s="506">
        <f t="shared" si="11"/>
        <v>0</v>
      </c>
      <c r="AJ20" s="506">
        <f t="shared" si="12"/>
        <v>0</v>
      </c>
      <c r="AK20" s="506">
        <f t="shared" si="13"/>
        <v>0</v>
      </c>
      <c r="AL20" s="506">
        <f t="shared" si="14"/>
        <v>0</v>
      </c>
      <c r="AM20" s="2371">
        <f t="shared" si="15"/>
        <v>0</v>
      </c>
      <c r="AN20" s="506">
        <f t="shared" si="16"/>
        <v>0</v>
      </c>
      <c r="AO20" s="506">
        <f t="shared" si="17"/>
        <v>0</v>
      </c>
      <c r="AP20" s="506">
        <f t="shared" si="18"/>
        <v>0</v>
      </c>
      <c r="AQ20" s="506">
        <f t="shared" si="19"/>
        <v>0</v>
      </c>
      <c r="AR20" s="506">
        <f t="shared" si="20"/>
        <v>0</v>
      </c>
      <c r="AS20" s="506">
        <f t="shared" si="21"/>
        <v>0</v>
      </c>
      <c r="AT20" s="351">
        <f t="shared" si="22"/>
        <v>0</v>
      </c>
      <c r="AU20" s="2354">
        <f>(AD20*Pricing!F$3+AE20*Pricing!G$3+AF20*Pricing!H$3+AG20*Pricing!I$3+AH20*Pricing!J$3+AI20*Pricing!K$3+AJ20*Pricing!L$3+AK20*Pricing!M$3+AL20*Pricing!N$3+AM20*Pricing!O$3)*IF(T$35="N",(1+V$35),1)</f>
        <v>0</v>
      </c>
      <c r="AV20" s="94">
        <f t="shared" si="23"/>
        <v>0</v>
      </c>
      <c r="AW20" s="2355" t="str">
        <f t="shared" si="24"/>
        <v/>
      </c>
      <c r="AX20" s="94">
        <f t="shared" si="25"/>
        <v>0</v>
      </c>
      <c r="AY20" s="94">
        <f t="shared" si="26"/>
        <v>0</v>
      </c>
      <c r="AZ20" s="562">
        <f t="shared" si="27"/>
        <v>0</v>
      </c>
      <c r="BA20" s="94">
        <f t="shared" si="28"/>
        <v>0</v>
      </c>
      <c r="BB20" s="94">
        <f t="shared" si="29"/>
        <v>0</v>
      </c>
      <c r="BC20" s="94">
        <f t="shared" si="30"/>
        <v>0</v>
      </c>
      <c r="BD20" s="94">
        <f t="shared" si="31"/>
        <v>0</v>
      </c>
      <c r="BE20" s="94">
        <f t="shared" si="32"/>
        <v>0</v>
      </c>
      <c r="BF20" s="94">
        <f t="shared" si="33"/>
        <v>0</v>
      </c>
      <c r="BG20" s="94">
        <f t="shared" si="34"/>
        <v>0</v>
      </c>
      <c r="BH20" s="94">
        <f t="shared" si="35"/>
        <v>0</v>
      </c>
      <c r="BI20" s="94">
        <f t="shared" si="36"/>
        <v>0</v>
      </c>
      <c r="BJ20" s="94">
        <f>IF(O20=6,Q20*Pricing!D$28,IF(O20=8,Pricing!D$27,IF(O20=10,Pricing!D$26,0)))*Q20*(1+J$52)*IF(T$35="Y",1,1+V$35)</f>
        <v>0</v>
      </c>
      <c r="BK20" s="94">
        <f t="shared" si="37"/>
        <v>0</v>
      </c>
      <c r="BL20" s="2356"/>
      <c r="BO20" s="2357">
        <f t="shared" si="38"/>
        <v>0</v>
      </c>
      <c r="BP20" s="1930">
        <f t="shared" si="39"/>
        <v>0</v>
      </c>
      <c r="BQ20" s="1719">
        <f t="shared" si="40"/>
        <v>0</v>
      </c>
      <c r="BR20" s="1254">
        <f t="shared" si="41"/>
        <v>0</v>
      </c>
      <c r="BS20" s="2358">
        <f t="shared" si="42"/>
        <v>0</v>
      </c>
    </row>
    <row r="21" spans="1:71" ht="24" customHeight="1">
      <c r="A21" s="2383"/>
      <c r="B21" s="2375"/>
      <c r="C21" s="2376"/>
      <c r="D21" s="2377"/>
      <c r="E21" s="2378"/>
      <c r="F21" s="2379"/>
      <c r="G21" s="2380"/>
      <c r="H21" s="2366"/>
      <c r="I21" s="2378"/>
      <c r="J21" s="2381"/>
      <c r="K21" s="2378"/>
      <c r="L21" s="2378"/>
      <c r="M21" s="2382"/>
      <c r="N21" s="2378"/>
      <c r="O21" s="2378"/>
      <c r="P21" s="1922">
        <f t="shared" si="0"/>
        <v>0</v>
      </c>
      <c r="Q21" s="1922">
        <f t="shared" si="1"/>
        <v>0</v>
      </c>
      <c r="R21" s="1351">
        <f t="shared" si="2"/>
        <v>0</v>
      </c>
      <c r="S21" s="2369">
        <f t="shared" si="3"/>
        <v>0</v>
      </c>
      <c r="T21" s="1941">
        <f t="shared" si="4"/>
        <v>0</v>
      </c>
      <c r="U21" s="2779">
        <f t="shared" si="5"/>
        <v>0</v>
      </c>
      <c r="V21" s="2779"/>
      <c r="W21" s="172"/>
      <c r="AD21" s="2370">
        <f t="shared" si="6"/>
        <v>0</v>
      </c>
      <c r="AE21" s="506">
        <f t="shared" si="7"/>
        <v>0</v>
      </c>
      <c r="AF21" s="506">
        <f t="shared" si="8"/>
        <v>0</v>
      </c>
      <c r="AG21" s="506">
        <f t="shared" si="9"/>
        <v>0</v>
      </c>
      <c r="AH21" s="506">
        <f t="shared" si="10"/>
        <v>0</v>
      </c>
      <c r="AI21" s="506">
        <f t="shared" si="11"/>
        <v>0</v>
      </c>
      <c r="AJ21" s="506">
        <f t="shared" si="12"/>
        <v>0</v>
      </c>
      <c r="AK21" s="506">
        <f t="shared" si="13"/>
        <v>0</v>
      </c>
      <c r="AL21" s="506">
        <f t="shared" si="14"/>
        <v>0</v>
      </c>
      <c r="AM21" s="2371">
        <f t="shared" si="15"/>
        <v>0</v>
      </c>
      <c r="AN21" s="506">
        <f t="shared" si="16"/>
        <v>0</v>
      </c>
      <c r="AO21" s="506">
        <f t="shared" si="17"/>
        <v>0</v>
      </c>
      <c r="AP21" s="506">
        <f t="shared" si="18"/>
        <v>0</v>
      </c>
      <c r="AQ21" s="506">
        <f t="shared" si="19"/>
        <v>0</v>
      </c>
      <c r="AR21" s="506">
        <f t="shared" si="20"/>
        <v>0</v>
      </c>
      <c r="AS21" s="506">
        <f t="shared" si="21"/>
        <v>0</v>
      </c>
      <c r="AT21" s="351">
        <f t="shared" si="22"/>
        <v>0</v>
      </c>
      <c r="AU21" s="2354">
        <f>(AD21*Pricing!F$3+AE21*Pricing!G$3+AF21*Pricing!H$3+AG21*Pricing!I$3+AH21*Pricing!J$3+AI21*Pricing!K$3+AJ21*Pricing!L$3+AK21*Pricing!M$3+AL21*Pricing!N$3+AM21*Pricing!O$3)*IF(T$35="N",(1+V$35),1)</f>
        <v>0</v>
      </c>
      <c r="AV21" s="94">
        <f t="shared" si="23"/>
        <v>0</v>
      </c>
      <c r="AW21" s="2355" t="str">
        <f t="shared" si="24"/>
        <v/>
      </c>
      <c r="AX21" s="94">
        <f t="shared" si="25"/>
        <v>0</v>
      </c>
      <c r="AY21" s="94">
        <f t="shared" si="26"/>
        <v>0</v>
      </c>
      <c r="AZ21" s="562">
        <f t="shared" si="27"/>
        <v>0</v>
      </c>
      <c r="BA21" s="94">
        <f t="shared" si="28"/>
        <v>0</v>
      </c>
      <c r="BB21" s="94">
        <f t="shared" si="29"/>
        <v>0</v>
      </c>
      <c r="BC21" s="94">
        <f t="shared" si="30"/>
        <v>0</v>
      </c>
      <c r="BD21" s="94">
        <f t="shared" si="31"/>
        <v>0</v>
      </c>
      <c r="BE21" s="94">
        <f t="shared" si="32"/>
        <v>0</v>
      </c>
      <c r="BF21" s="94">
        <f t="shared" si="33"/>
        <v>0</v>
      </c>
      <c r="BG21" s="94">
        <f t="shared" si="34"/>
        <v>0</v>
      </c>
      <c r="BH21" s="94">
        <f t="shared" si="35"/>
        <v>0</v>
      </c>
      <c r="BI21" s="94">
        <f t="shared" si="36"/>
        <v>0</v>
      </c>
      <c r="BJ21" s="94">
        <f>IF(O21=6,Q21*Pricing!D$28,IF(O21=8,Pricing!D$27,IF(O21=10,Pricing!D$26,0)))*Q21*(1+J$52)*IF(T$35="Y",1,1+V$35)</f>
        <v>0</v>
      </c>
      <c r="BK21" s="94">
        <f t="shared" si="37"/>
        <v>0</v>
      </c>
      <c r="BL21" s="2356"/>
      <c r="BO21" s="2357">
        <f t="shared" si="38"/>
        <v>0</v>
      </c>
      <c r="BP21" s="1930">
        <f t="shared" si="39"/>
        <v>0</v>
      </c>
      <c r="BQ21" s="1719">
        <f t="shared" si="40"/>
        <v>0</v>
      </c>
      <c r="BR21" s="1254">
        <f t="shared" si="41"/>
        <v>0</v>
      </c>
      <c r="BS21" s="2358">
        <f t="shared" si="42"/>
        <v>0</v>
      </c>
    </row>
    <row r="22" spans="1:71" ht="24" customHeight="1">
      <c r="A22" s="2383"/>
      <c r="B22" s="2375"/>
      <c r="C22" s="2376"/>
      <c r="D22" s="2377"/>
      <c r="E22" s="2378"/>
      <c r="F22" s="2379"/>
      <c r="G22" s="2380"/>
      <c r="H22" s="2366"/>
      <c r="I22" s="2378"/>
      <c r="J22" s="2381"/>
      <c r="K22" s="2378"/>
      <c r="L22" s="2378"/>
      <c r="M22" s="2382"/>
      <c r="N22" s="2378"/>
      <c r="O22" s="2378"/>
      <c r="P22" s="1922">
        <f t="shared" si="0"/>
        <v>0</v>
      </c>
      <c r="Q22" s="1922">
        <f t="shared" si="1"/>
        <v>0</v>
      </c>
      <c r="R22" s="1351">
        <f t="shared" si="2"/>
        <v>0</v>
      </c>
      <c r="S22" s="2369">
        <f t="shared" si="3"/>
        <v>0</v>
      </c>
      <c r="T22" s="1941">
        <f t="shared" si="4"/>
        <v>0</v>
      </c>
      <c r="U22" s="2779">
        <f t="shared" si="5"/>
        <v>0</v>
      </c>
      <c r="V22" s="2779"/>
      <c r="W22" s="172"/>
      <c r="AD22" s="2370">
        <f t="shared" si="6"/>
        <v>0</v>
      </c>
      <c r="AE22" s="506">
        <f t="shared" si="7"/>
        <v>0</v>
      </c>
      <c r="AF22" s="506">
        <f t="shared" si="8"/>
        <v>0</v>
      </c>
      <c r="AG22" s="506">
        <f t="shared" si="9"/>
        <v>0</v>
      </c>
      <c r="AH22" s="506">
        <f t="shared" si="10"/>
        <v>0</v>
      </c>
      <c r="AI22" s="506">
        <f t="shared" si="11"/>
        <v>0</v>
      </c>
      <c r="AJ22" s="506">
        <f t="shared" si="12"/>
        <v>0</v>
      </c>
      <c r="AK22" s="506">
        <f t="shared" si="13"/>
        <v>0</v>
      </c>
      <c r="AL22" s="506">
        <f t="shared" si="14"/>
        <v>0</v>
      </c>
      <c r="AM22" s="2371">
        <f t="shared" si="15"/>
        <v>0</v>
      </c>
      <c r="AN22" s="506">
        <f t="shared" si="16"/>
        <v>0</v>
      </c>
      <c r="AO22" s="506">
        <f t="shared" si="17"/>
        <v>0</v>
      </c>
      <c r="AP22" s="506">
        <f t="shared" si="18"/>
        <v>0</v>
      </c>
      <c r="AQ22" s="506">
        <f t="shared" si="19"/>
        <v>0</v>
      </c>
      <c r="AR22" s="506">
        <f t="shared" si="20"/>
        <v>0</v>
      </c>
      <c r="AS22" s="506">
        <f t="shared" si="21"/>
        <v>0</v>
      </c>
      <c r="AT22" s="351">
        <f t="shared" si="22"/>
        <v>0</v>
      </c>
      <c r="AU22" s="2354">
        <f>(AD22*Pricing!F$3+AE22*Pricing!G$3+AF22*Pricing!H$3+AG22*Pricing!I$3+AH22*Pricing!J$3+AI22*Pricing!K$3+AJ22*Pricing!L$3+AK22*Pricing!M$3+AL22*Pricing!N$3+AM22*Pricing!O$3)*IF(T$35="N",(1+V$35),1)</f>
        <v>0</v>
      </c>
      <c r="AV22" s="94">
        <f t="shared" si="23"/>
        <v>0</v>
      </c>
      <c r="AW22" s="2355" t="str">
        <f t="shared" si="24"/>
        <v/>
      </c>
      <c r="AX22" s="94">
        <f t="shared" si="25"/>
        <v>0</v>
      </c>
      <c r="AY22" s="94">
        <f t="shared" si="26"/>
        <v>0</v>
      </c>
      <c r="AZ22" s="562">
        <f t="shared" si="27"/>
        <v>0</v>
      </c>
      <c r="BA22" s="94">
        <f t="shared" si="28"/>
        <v>0</v>
      </c>
      <c r="BB22" s="94">
        <f t="shared" si="29"/>
        <v>0</v>
      </c>
      <c r="BC22" s="94">
        <f t="shared" si="30"/>
        <v>0</v>
      </c>
      <c r="BD22" s="94">
        <f t="shared" si="31"/>
        <v>0</v>
      </c>
      <c r="BE22" s="94">
        <f t="shared" si="32"/>
        <v>0</v>
      </c>
      <c r="BF22" s="94">
        <f t="shared" si="33"/>
        <v>0</v>
      </c>
      <c r="BG22" s="94">
        <f t="shared" si="34"/>
        <v>0</v>
      </c>
      <c r="BH22" s="94">
        <f t="shared" si="35"/>
        <v>0</v>
      </c>
      <c r="BI22" s="94">
        <f t="shared" si="36"/>
        <v>0</v>
      </c>
      <c r="BJ22" s="94">
        <f>IF(O22=6,Q22*Pricing!D$28,IF(O22=8,Pricing!D$27,IF(O22=10,Pricing!D$26,0)))*Q22*(1+J$52)*IF(T$35="Y",1,1+V$35)</f>
        <v>0</v>
      </c>
      <c r="BK22" s="94">
        <f t="shared" si="37"/>
        <v>0</v>
      </c>
      <c r="BL22" s="2356"/>
      <c r="BO22" s="2357">
        <f t="shared" si="38"/>
        <v>0</v>
      </c>
      <c r="BP22" s="1930">
        <f t="shared" si="39"/>
        <v>0</v>
      </c>
      <c r="BQ22" s="1719">
        <f t="shared" si="40"/>
        <v>0</v>
      </c>
      <c r="BR22" s="1254">
        <f t="shared" si="41"/>
        <v>0</v>
      </c>
      <c r="BS22" s="2358">
        <f t="shared" si="42"/>
        <v>0</v>
      </c>
    </row>
    <row r="23" spans="1:71" ht="24" customHeight="1">
      <c r="A23" s="2383"/>
      <c r="B23" s="2375"/>
      <c r="C23" s="2376"/>
      <c r="D23" s="2377"/>
      <c r="E23" s="2378"/>
      <c r="F23" s="2379"/>
      <c r="G23" s="2380"/>
      <c r="H23" s="2366"/>
      <c r="I23" s="2378"/>
      <c r="J23" s="2381"/>
      <c r="K23" s="2378"/>
      <c r="L23" s="2378"/>
      <c r="M23" s="2382"/>
      <c r="N23" s="2378"/>
      <c r="O23" s="2378"/>
      <c r="P23" s="1922">
        <f t="shared" si="0"/>
        <v>0</v>
      </c>
      <c r="Q23" s="1922">
        <f t="shared" si="1"/>
        <v>0</v>
      </c>
      <c r="R23" s="1351">
        <f t="shared" si="2"/>
        <v>0</v>
      </c>
      <c r="S23" s="2369">
        <f t="shared" si="3"/>
        <v>0</v>
      </c>
      <c r="T23" s="1941">
        <f t="shared" si="4"/>
        <v>0</v>
      </c>
      <c r="U23" s="2779">
        <f t="shared" si="5"/>
        <v>0</v>
      </c>
      <c r="V23" s="2779"/>
      <c r="W23" s="172"/>
      <c r="AD23" s="2370">
        <f t="shared" si="6"/>
        <v>0</v>
      </c>
      <c r="AE23" s="506">
        <f t="shared" si="7"/>
        <v>0</v>
      </c>
      <c r="AF23" s="506">
        <f t="shared" si="8"/>
        <v>0</v>
      </c>
      <c r="AG23" s="506">
        <f t="shared" si="9"/>
        <v>0</v>
      </c>
      <c r="AH23" s="506">
        <f t="shared" si="10"/>
        <v>0</v>
      </c>
      <c r="AI23" s="506">
        <f t="shared" si="11"/>
        <v>0</v>
      </c>
      <c r="AJ23" s="506">
        <f t="shared" si="12"/>
        <v>0</v>
      </c>
      <c r="AK23" s="506">
        <f t="shared" si="13"/>
        <v>0</v>
      </c>
      <c r="AL23" s="506">
        <f t="shared" si="14"/>
        <v>0</v>
      </c>
      <c r="AM23" s="2371">
        <f t="shared" si="15"/>
        <v>0</v>
      </c>
      <c r="AN23" s="506">
        <f t="shared" si="16"/>
        <v>0</v>
      </c>
      <c r="AO23" s="506">
        <f t="shared" si="17"/>
        <v>0</v>
      </c>
      <c r="AP23" s="506">
        <f t="shared" si="18"/>
        <v>0</v>
      </c>
      <c r="AQ23" s="506">
        <f t="shared" si="19"/>
        <v>0</v>
      </c>
      <c r="AR23" s="506">
        <f t="shared" si="20"/>
        <v>0</v>
      </c>
      <c r="AS23" s="506">
        <f t="shared" si="21"/>
        <v>0</v>
      </c>
      <c r="AT23" s="351">
        <f t="shared" si="22"/>
        <v>0</v>
      </c>
      <c r="AU23" s="2354">
        <f>(AD23*Pricing!F$3+AE23*Pricing!G$3+AF23*Pricing!H$3+AG23*Pricing!I$3+AH23*Pricing!J$3+AI23*Pricing!K$3+AJ23*Pricing!L$3+AK23*Pricing!M$3+AL23*Pricing!N$3+AM23*Pricing!O$3)*IF(T$35="N",(1+V$35),1)</f>
        <v>0</v>
      </c>
      <c r="AV23" s="94">
        <f t="shared" si="23"/>
        <v>0</v>
      </c>
      <c r="AW23" s="2355" t="str">
        <f t="shared" si="24"/>
        <v/>
      </c>
      <c r="AX23" s="94">
        <f t="shared" si="25"/>
        <v>0</v>
      </c>
      <c r="AY23" s="94">
        <f t="shared" si="26"/>
        <v>0</v>
      </c>
      <c r="AZ23" s="562">
        <f t="shared" si="27"/>
        <v>0</v>
      </c>
      <c r="BA23" s="94">
        <f t="shared" si="28"/>
        <v>0</v>
      </c>
      <c r="BB23" s="94">
        <f t="shared" si="29"/>
        <v>0</v>
      </c>
      <c r="BC23" s="94">
        <f t="shared" si="30"/>
        <v>0</v>
      </c>
      <c r="BD23" s="94">
        <f t="shared" si="31"/>
        <v>0</v>
      </c>
      <c r="BE23" s="94">
        <f t="shared" si="32"/>
        <v>0</v>
      </c>
      <c r="BF23" s="94">
        <f t="shared" si="33"/>
        <v>0</v>
      </c>
      <c r="BG23" s="94">
        <f t="shared" si="34"/>
        <v>0</v>
      </c>
      <c r="BH23" s="94">
        <f t="shared" si="35"/>
        <v>0</v>
      </c>
      <c r="BI23" s="94">
        <f t="shared" si="36"/>
        <v>0</v>
      </c>
      <c r="BJ23" s="94">
        <f>IF(O23=6,Q23*Pricing!D$28,IF(O23=8,Pricing!D$27,IF(O23=10,Pricing!D$26,0)))*Q23*(1+J$52)*IF(T$35="Y",1,1+V$35)</f>
        <v>0</v>
      </c>
      <c r="BK23" s="94">
        <f t="shared" si="37"/>
        <v>0</v>
      </c>
      <c r="BL23" s="2356"/>
      <c r="BO23" s="2357">
        <f t="shared" si="38"/>
        <v>0</v>
      </c>
      <c r="BP23" s="1930">
        <f t="shared" si="39"/>
        <v>0</v>
      </c>
      <c r="BQ23" s="1719">
        <f t="shared" si="40"/>
        <v>0</v>
      </c>
      <c r="BR23" s="1254">
        <f t="shared" si="41"/>
        <v>0</v>
      </c>
      <c r="BS23" s="2358">
        <f t="shared" si="42"/>
        <v>0</v>
      </c>
    </row>
    <row r="24" spans="1:71" ht="24" customHeight="1">
      <c r="A24" s="2383"/>
      <c r="B24" s="2375"/>
      <c r="C24" s="2384"/>
      <c r="D24" s="2377"/>
      <c r="E24" s="2378"/>
      <c r="F24" s="2379"/>
      <c r="G24" s="2380"/>
      <c r="H24" s="2366"/>
      <c r="I24" s="2378"/>
      <c r="J24" s="2381"/>
      <c r="K24" s="2378"/>
      <c r="L24" s="2378"/>
      <c r="M24" s="2382"/>
      <c r="N24" s="2378"/>
      <c r="O24" s="2378"/>
      <c r="P24" s="1922">
        <f t="shared" si="0"/>
        <v>0</v>
      </c>
      <c r="Q24" s="1922">
        <f t="shared" si="1"/>
        <v>0</v>
      </c>
      <c r="R24" s="1351">
        <f t="shared" si="2"/>
        <v>0</v>
      </c>
      <c r="S24" s="2369">
        <f t="shared" si="3"/>
        <v>0</v>
      </c>
      <c r="T24" s="1941">
        <f t="shared" si="4"/>
        <v>0</v>
      </c>
      <c r="U24" s="2779">
        <f t="shared" si="5"/>
        <v>0</v>
      </c>
      <c r="V24" s="2779"/>
      <c r="W24" s="172"/>
      <c r="AD24" s="2370">
        <f t="shared" si="6"/>
        <v>0</v>
      </c>
      <c r="AE24" s="506">
        <f t="shared" si="7"/>
        <v>0</v>
      </c>
      <c r="AF24" s="506">
        <f t="shared" si="8"/>
        <v>0</v>
      </c>
      <c r="AG24" s="506">
        <f t="shared" si="9"/>
        <v>0</v>
      </c>
      <c r="AH24" s="506">
        <f t="shared" si="10"/>
        <v>0</v>
      </c>
      <c r="AI24" s="506">
        <f t="shared" si="11"/>
        <v>0</v>
      </c>
      <c r="AJ24" s="506">
        <f t="shared" si="12"/>
        <v>0</v>
      </c>
      <c r="AK24" s="506">
        <f t="shared" si="13"/>
        <v>0</v>
      </c>
      <c r="AL24" s="506">
        <f t="shared" si="14"/>
        <v>0</v>
      </c>
      <c r="AM24" s="2371">
        <f t="shared" si="15"/>
        <v>0</v>
      </c>
      <c r="AN24" s="506">
        <f t="shared" si="16"/>
        <v>0</v>
      </c>
      <c r="AO24" s="506">
        <f t="shared" si="17"/>
        <v>0</v>
      </c>
      <c r="AP24" s="506">
        <f t="shared" si="18"/>
        <v>0</v>
      </c>
      <c r="AQ24" s="506">
        <f t="shared" si="19"/>
        <v>0</v>
      </c>
      <c r="AR24" s="506">
        <f t="shared" si="20"/>
        <v>0</v>
      </c>
      <c r="AS24" s="506">
        <f t="shared" si="21"/>
        <v>0</v>
      </c>
      <c r="AT24" s="351">
        <f t="shared" si="22"/>
        <v>0</v>
      </c>
      <c r="AU24" s="2354">
        <f>(AD24*Pricing!F$3+AE24*Pricing!G$3+AF24*Pricing!H$3+AG24*Pricing!I$3+AH24*Pricing!J$3+AI24*Pricing!K$3+AJ24*Pricing!L$3+AK24*Pricing!M$3+AL24*Pricing!N$3+AM24*Pricing!O$3)*IF(T$35="N",(1+V$35),1)</f>
        <v>0</v>
      </c>
      <c r="AV24" s="94">
        <f t="shared" si="23"/>
        <v>0</v>
      </c>
      <c r="AW24" s="2355" t="str">
        <f t="shared" si="24"/>
        <v/>
      </c>
      <c r="AX24" s="94">
        <f t="shared" si="25"/>
        <v>0</v>
      </c>
      <c r="AY24" s="94">
        <f t="shared" si="26"/>
        <v>0</v>
      </c>
      <c r="AZ24" s="562">
        <f t="shared" si="27"/>
        <v>0</v>
      </c>
      <c r="BA24" s="94">
        <f t="shared" si="28"/>
        <v>0</v>
      </c>
      <c r="BB24" s="94">
        <f t="shared" si="29"/>
        <v>0</v>
      </c>
      <c r="BC24" s="94">
        <f t="shared" si="30"/>
        <v>0</v>
      </c>
      <c r="BD24" s="94">
        <f t="shared" si="31"/>
        <v>0</v>
      </c>
      <c r="BE24" s="94">
        <f t="shared" si="32"/>
        <v>0</v>
      </c>
      <c r="BF24" s="94">
        <f t="shared" si="33"/>
        <v>0</v>
      </c>
      <c r="BG24" s="94">
        <f t="shared" si="34"/>
        <v>0</v>
      </c>
      <c r="BH24" s="94">
        <f t="shared" si="35"/>
        <v>0</v>
      </c>
      <c r="BI24" s="94">
        <f t="shared" si="36"/>
        <v>0</v>
      </c>
      <c r="BJ24" s="94">
        <f>IF(O24=6,Q24*Pricing!D$28,IF(O24=8,Pricing!D$27,IF(O24=10,Pricing!D$26,0)))*Q24*(1+J$52)*IF(T$35="Y",1,1+V$35)</f>
        <v>0</v>
      </c>
      <c r="BK24" s="94">
        <f t="shared" si="37"/>
        <v>0</v>
      </c>
      <c r="BL24" s="2356"/>
      <c r="BO24" s="2357">
        <f t="shared" si="38"/>
        <v>0</v>
      </c>
      <c r="BP24" s="1930">
        <f t="shared" si="39"/>
        <v>0</v>
      </c>
      <c r="BQ24" s="1719">
        <f t="shared" si="40"/>
        <v>0</v>
      </c>
      <c r="BR24" s="1254">
        <f t="shared" si="41"/>
        <v>0</v>
      </c>
      <c r="BS24" s="2358">
        <f t="shared" si="42"/>
        <v>0</v>
      </c>
    </row>
    <row r="25" spans="1:71" ht="24" customHeight="1">
      <c r="A25" s="2383"/>
      <c r="B25" s="2375"/>
      <c r="C25" s="2384"/>
      <c r="D25" s="2377"/>
      <c r="E25" s="2378"/>
      <c r="F25" s="2379"/>
      <c r="G25" s="2380"/>
      <c r="H25" s="2366"/>
      <c r="I25" s="2378"/>
      <c r="J25" s="2381"/>
      <c r="K25" s="2378"/>
      <c r="L25" s="2378"/>
      <c r="M25" s="2382"/>
      <c r="N25" s="2378"/>
      <c r="O25" s="2378"/>
      <c r="P25" s="1922">
        <f t="shared" si="0"/>
        <v>0</v>
      </c>
      <c r="Q25" s="1922">
        <f t="shared" si="1"/>
        <v>0</v>
      </c>
      <c r="R25" s="1351">
        <f t="shared" si="2"/>
        <v>0</v>
      </c>
      <c r="S25" s="2369">
        <f t="shared" si="3"/>
        <v>0</v>
      </c>
      <c r="T25" s="1941">
        <f t="shared" si="4"/>
        <v>0</v>
      </c>
      <c r="U25" s="2779">
        <f t="shared" si="5"/>
        <v>0</v>
      </c>
      <c r="V25" s="2779"/>
      <c r="W25" s="172"/>
      <c r="AD25" s="2370">
        <f t="shared" si="6"/>
        <v>0</v>
      </c>
      <c r="AE25" s="506">
        <f t="shared" si="7"/>
        <v>0</v>
      </c>
      <c r="AF25" s="506">
        <f t="shared" si="8"/>
        <v>0</v>
      </c>
      <c r="AG25" s="506">
        <f t="shared" si="9"/>
        <v>0</v>
      </c>
      <c r="AH25" s="506">
        <f t="shared" si="10"/>
        <v>0</v>
      </c>
      <c r="AI25" s="506">
        <f t="shared" si="11"/>
        <v>0</v>
      </c>
      <c r="AJ25" s="506">
        <f t="shared" si="12"/>
        <v>0</v>
      </c>
      <c r="AK25" s="506">
        <f t="shared" si="13"/>
        <v>0</v>
      </c>
      <c r="AL25" s="506">
        <f t="shared" si="14"/>
        <v>0</v>
      </c>
      <c r="AM25" s="2371">
        <f t="shared" si="15"/>
        <v>0</v>
      </c>
      <c r="AN25" s="506">
        <f t="shared" si="16"/>
        <v>0</v>
      </c>
      <c r="AO25" s="506">
        <f t="shared" si="17"/>
        <v>0</v>
      </c>
      <c r="AP25" s="506">
        <f t="shared" si="18"/>
        <v>0</v>
      </c>
      <c r="AQ25" s="506">
        <f t="shared" si="19"/>
        <v>0</v>
      </c>
      <c r="AR25" s="506">
        <f t="shared" si="20"/>
        <v>0</v>
      </c>
      <c r="AS25" s="506">
        <f t="shared" si="21"/>
        <v>0</v>
      </c>
      <c r="AT25" s="351">
        <f t="shared" si="22"/>
        <v>0</v>
      </c>
      <c r="AU25" s="2354">
        <f>(AD25*Pricing!F$3+AE25*Pricing!G$3+AF25*Pricing!H$3+AG25*Pricing!I$3+AH25*Pricing!J$3+AI25*Pricing!K$3+AJ25*Pricing!L$3+AK25*Pricing!M$3+AL25*Pricing!N$3+AM25*Pricing!O$3)*IF(T$35="N",(1+V$35),1)</f>
        <v>0</v>
      </c>
      <c r="AV25" s="94">
        <f t="shared" si="23"/>
        <v>0</v>
      </c>
      <c r="AW25" s="2355" t="str">
        <f t="shared" si="24"/>
        <v/>
      </c>
      <c r="AX25" s="94">
        <f t="shared" si="25"/>
        <v>0</v>
      </c>
      <c r="AY25" s="94">
        <f t="shared" si="26"/>
        <v>0</v>
      </c>
      <c r="AZ25" s="562">
        <f t="shared" si="27"/>
        <v>0</v>
      </c>
      <c r="BA25" s="94">
        <f t="shared" si="28"/>
        <v>0</v>
      </c>
      <c r="BB25" s="94">
        <f t="shared" si="29"/>
        <v>0</v>
      </c>
      <c r="BC25" s="94">
        <f t="shared" si="30"/>
        <v>0</v>
      </c>
      <c r="BD25" s="94">
        <f t="shared" si="31"/>
        <v>0</v>
      </c>
      <c r="BE25" s="94">
        <f t="shared" si="32"/>
        <v>0</v>
      </c>
      <c r="BF25" s="94">
        <f t="shared" si="33"/>
        <v>0</v>
      </c>
      <c r="BG25" s="94">
        <f t="shared" si="34"/>
        <v>0</v>
      </c>
      <c r="BH25" s="94">
        <f t="shared" si="35"/>
        <v>0</v>
      </c>
      <c r="BI25" s="94">
        <f t="shared" si="36"/>
        <v>0</v>
      </c>
      <c r="BJ25" s="94">
        <f>IF(O25=6,Q25*Pricing!D$28,IF(O25=8,Pricing!D$27,IF(O25=10,Pricing!D$26,0)))*Q25*(1+J$52)*IF(T$35="Y",1,1+V$35)</f>
        <v>0</v>
      </c>
      <c r="BK25" s="94">
        <f t="shared" si="37"/>
        <v>0</v>
      </c>
      <c r="BL25" s="2356"/>
      <c r="BO25" s="2357">
        <f t="shared" si="38"/>
        <v>0</v>
      </c>
      <c r="BP25" s="1930">
        <f t="shared" si="39"/>
        <v>0</v>
      </c>
      <c r="BQ25" s="1719">
        <f t="shared" si="40"/>
        <v>0</v>
      </c>
      <c r="BR25" s="1254">
        <f t="shared" si="41"/>
        <v>0</v>
      </c>
      <c r="BS25" s="2358">
        <f t="shared" si="42"/>
        <v>0</v>
      </c>
    </row>
    <row r="26" spans="1:71" ht="24" customHeight="1">
      <c r="A26" s="2383"/>
      <c r="B26" s="2375"/>
      <c r="C26" s="2384"/>
      <c r="D26" s="2377"/>
      <c r="E26" s="2378"/>
      <c r="F26" s="2379"/>
      <c r="G26" s="2380"/>
      <c r="H26" s="2366"/>
      <c r="I26" s="2378"/>
      <c r="J26" s="2381"/>
      <c r="K26" s="2378"/>
      <c r="L26" s="2378"/>
      <c r="M26" s="2382"/>
      <c r="N26" s="2378"/>
      <c r="O26" s="2378"/>
      <c r="P26" s="1922">
        <f t="shared" si="0"/>
        <v>0</v>
      </c>
      <c r="Q26" s="1922">
        <f t="shared" si="1"/>
        <v>0</v>
      </c>
      <c r="R26" s="1351">
        <f t="shared" si="2"/>
        <v>0</v>
      </c>
      <c r="S26" s="2369">
        <f t="shared" si="3"/>
        <v>0</v>
      </c>
      <c r="T26" s="1941">
        <f t="shared" si="4"/>
        <v>0</v>
      </c>
      <c r="U26" s="2779">
        <f t="shared" si="5"/>
        <v>0</v>
      </c>
      <c r="V26" s="2779"/>
      <c r="W26" s="172"/>
      <c r="AD26" s="2370">
        <f t="shared" si="6"/>
        <v>0</v>
      </c>
      <c r="AE26" s="506">
        <f t="shared" si="7"/>
        <v>0</v>
      </c>
      <c r="AF26" s="506">
        <f t="shared" si="8"/>
        <v>0</v>
      </c>
      <c r="AG26" s="506">
        <f t="shared" si="9"/>
        <v>0</v>
      </c>
      <c r="AH26" s="506">
        <f t="shared" si="10"/>
        <v>0</v>
      </c>
      <c r="AI26" s="506">
        <f t="shared" si="11"/>
        <v>0</v>
      </c>
      <c r="AJ26" s="506">
        <f t="shared" si="12"/>
        <v>0</v>
      </c>
      <c r="AK26" s="506">
        <f t="shared" si="13"/>
        <v>0</v>
      </c>
      <c r="AL26" s="506">
        <f t="shared" si="14"/>
        <v>0</v>
      </c>
      <c r="AM26" s="2371">
        <f t="shared" si="15"/>
        <v>0</v>
      </c>
      <c r="AN26" s="506">
        <f t="shared" si="16"/>
        <v>0</v>
      </c>
      <c r="AO26" s="506">
        <f t="shared" si="17"/>
        <v>0</v>
      </c>
      <c r="AP26" s="506">
        <f t="shared" si="18"/>
        <v>0</v>
      </c>
      <c r="AQ26" s="506">
        <f t="shared" si="19"/>
        <v>0</v>
      </c>
      <c r="AR26" s="506">
        <f t="shared" si="20"/>
        <v>0</v>
      </c>
      <c r="AS26" s="506">
        <f t="shared" si="21"/>
        <v>0</v>
      </c>
      <c r="AT26" s="351">
        <f t="shared" si="22"/>
        <v>0</v>
      </c>
      <c r="AU26" s="2354">
        <f>(AD26*Pricing!F$3+AE26*Pricing!G$3+AF26*Pricing!H$3+AG26*Pricing!I$3+AH26*Pricing!J$3+AI26*Pricing!K$3+AJ26*Pricing!L$3+AK26*Pricing!M$3+AL26*Pricing!N$3+AM26*Pricing!O$3)*IF(T$35="N",(1+V$35),1)</f>
        <v>0</v>
      </c>
      <c r="AV26" s="94">
        <f t="shared" si="23"/>
        <v>0</v>
      </c>
      <c r="AW26" s="2355" t="str">
        <f t="shared" si="24"/>
        <v/>
      </c>
      <c r="AX26" s="94">
        <f t="shared" si="25"/>
        <v>0</v>
      </c>
      <c r="AY26" s="94">
        <f t="shared" si="26"/>
        <v>0</v>
      </c>
      <c r="AZ26" s="562">
        <f t="shared" si="27"/>
        <v>0</v>
      </c>
      <c r="BA26" s="94">
        <f t="shared" si="28"/>
        <v>0</v>
      </c>
      <c r="BB26" s="94">
        <f t="shared" si="29"/>
        <v>0</v>
      </c>
      <c r="BC26" s="94">
        <f t="shared" si="30"/>
        <v>0</v>
      </c>
      <c r="BD26" s="94">
        <f t="shared" si="31"/>
        <v>0</v>
      </c>
      <c r="BE26" s="94">
        <f t="shared" si="32"/>
        <v>0</v>
      </c>
      <c r="BF26" s="94">
        <f t="shared" si="33"/>
        <v>0</v>
      </c>
      <c r="BG26" s="94">
        <f t="shared" si="34"/>
        <v>0</v>
      </c>
      <c r="BH26" s="94">
        <f t="shared" si="35"/>
        <v>0</v>
      </c>
      <c r="BI26" s="94">
        <f t="shared" si="36"/>
        <v>0</v>
      </c>
      <c r="BJ26" s="94">
        <f>IF(O26=6,Q26*Pricing!D$28,IF(O26=8,Pricing!D$27,IF(O26=10,Pricing!D$26,0)))*Q26*(1+J$52)*IF(T$35="Y",1,1+V$35)</f>
        <v>0</v>
      </c>
      <c r="BK26" s="94">
        <f t="shared" si="37"/>
        <v>0</v>
      </c>
      <c r="BL26" s="2356"/>
      <c r="BO26" s="2357">
        <f t="shared" si="38"/>
        <v>0</v>
      </c>
      <c r="BP26" s="1930">
        <f t="shared" si="39"/>
        <v>0</v>
      </c>
      <c r="BQ26" s="1719">
        <f t="shared" si="40"/>
        <v>0</v>
      </c>
      <c r="BR26" s="1254">
        <f t="shared" si="41"/>
        <v>0</v>
      </c>
      <c r="BS26" s="2358">
        <f t="shared" si="42"/>
        <v>0</v>
      </c>
    </row>
    <row r="27" spans="1:71" ht="24" customHeight="1">
      <c r="A27" s="2383"/>
      <c r="B27" s="2375"/>
      <c r="C27" s="2384"/>
      <c r="D27" s="2377"/>
      <c r="E27" s="2378"/>
      <c r="F27" s="2379"/>
      <c r="G27" s="2380"/>
      <c r="H27" s="2366"/>
      <c r="I27" s="2378"/>
      <c r="J27" s="2381"/>
      <c r="K27" s="2378"/>
      <c r="L27" s="2378"/>
      <c r="M27" s="2382"/>
      <c r="N27" s="2378"/>
      <c r="O27" s="2378"/>
      <c r="P27" s="1922">
        <f t="shared" si="0"/>
        <v>0</v>
      </c>
      <c r="Q27" s="1922">
        <f t="shared" si="1"/>
        <v>0</v>
      </c>
      <c r="R27" s="1351">
        <f t="shared" si="2"/>
        <v>0</v>
      </c>
      <c r="S27" s="2369">
        <f t="shared" si="3"/>
        <v>0</v>
      </c>
      <c r="T27" s="1941">
        <f t="shared" si="4"/>
        <v>0</v>
      </c>
      <c r="U27" s="2779">
        <f t="shared" si="5"/>
        <v>0</v>
      </c>
      <c r="V27" s="2779"/>
      <c r="W27" s="172"/>
      <c r="AD27" s="2370">
        <f t="shared" si="6"/>
        <v>0</v>
      </c>
      <c r="AE27" s="506">
        <f t="shared" si="7"/>
        <v>0</v>
      </c>
      <c r="AF27" s="506">
        <f t="shared" si="8"/>
        <v>0</v>
      </c>
      <c r="AG27" s="506">
        <f t="shared" si="9"/>
        <v>0</v>
      </c>
      <c r="AH27" s="506">
        <f t="shared" si="10"/>
        <v>0</v>
      </c>
      <c r="AI27" s="506">
        <f t="shared" si="11"/>
        <v>0</v>
      </c>
      <c r="AJ27" s="506">
        <f t="shared" si="12"/>
        <v>0</v>
      </c>
      <c r="AK27" s="506">
        <f t="shared" si="13"/>
        <v>0</v>
      </c>
      <c r="AL27" s="506">
        <f t="shared" si="14"/>
        <v>0</v>
      </c>
      <c r="AM27" s="2371">
        <f t="shared" si="15"/>
        <v>0</v>
      </c>
      <c r="AN27" s="506">
        <f t="shared" si="16"/>
        <v>0</v>
      </c>
      <c r="AO27" s="506">
        <f t="shared" si="17"/>
        <v>0</v>
      </c>
      <c r="AP27" s="506">
        <f t="shared" si="18"/>
        <v>0</v>
      </c>
      <c r="AQ27" s="506">
        <f t="shared" si="19"/>
        <v>0</v>
      </c>
      <c r="AR27" s="506">
        <f t="shared" si="20"/>
        <v>0</v>
      </c>
      <c r="AS27" s="506">
        <f t="shared" si="21"/>
        <v>0</v>
      </c>
      <c r="AT27" s="351">
        <f t="shared" si="22"/>
        <v>0</v>
      </c>
      <c r="AU27" s="2354">
        <f>(AD27*Pricing!F$3+AE27*Pricing!G$3+AF27*Pricing!H$3+AG27*Pricing!I$3+AH27*Pricing!J$3+AI27*Pricing!K$3+AJ27*Pricing!L$3+AK27*Pricing!M$3+AL27*Pricing!N$3+AM27*Pricing!O$3)*IF(T$35="N",(1+V$35),1)</f>
        <v>0</v>
      </c>
      <c r="AV27" s="94">
        <f t="shared" si="23"/>
        <v>0</v>
      </c>
      <c r="AW27" s="2355" t="str">
        <f t="shared" si="24"/>
        <v/>
      </c>
      <c r="AX27" s="94">
        <f t="shared" si="25"/>
        <v>0</v>
      </c>
      <c r="AY27" s="94">
        <f t="shared" si="26"/>
        <v>0</v>
      </c>
      <c r="AZ27" s="562">
        <f t="shared" si="27"/>
        <v>0</v>
      </c>
      <c r="BA27" s="94">
        <f t="shared" si="28"/>
        <v>0</v>
      </c>
      <c r="BB27" s="94">
        <f t="shared" si="29"/>
        <v>0</v>
      </c>
      <c r="BC27" s="94">
        <f t="shared" si="30"/>
        <v>0</v>
      </c>
      <c r="BD27" s="94">
        <f t="shared" si="31"/>
        <v>0</v>
      </c>
      <c r="BE27" s="94">
        <f t="shared" si="32"/>
        <v>0</v>
      </c>
      <c r="BF27" s="94">
        <f t="shared" si="33"/>
        <v>0</v>
      </c>
      <c r="BG27" s="94">
        <f t="shared" si="34"/>
        <v>0</v>
      </c>
      <c r="BH27" s="94">
        <f t="shared" si="35"/>
        <v>0</v>
      </c>
      <c r="BI27" s="94">
        <f t="shared" si="36"/>
        <v>0</v>
      </c>
      <c r="BJ27" s="94">
        <f>IF(O27=6,Q27*Pricing!D$28,IF(O27=8,Pricing!D$27,IF(O27=10,Pricing!D$26,0)))*Q27*(1+J$52)*IF(T$35="Y",1,1+V$35)</f>
        <v>0</v>
      </c>
      <c r="BK27" s="94">
        <f t="shared" si="37"/>
        <v>0</v>
      </c>
      <c r="BL27" s="2356"/>
      <c r="BO27" s="2357">
        <f t="shared" si="38"/>
        <v>0</v>
      </c>
      <c r="BP27" s="1930">
        <f t="shared" si="39"/>
        <v>0</v>
      </c>
      <c r="BQ27" s="1719">
        <f t="shared" si="40"/>
        <v>0</v>
      </c>
      <c r="BR27" s="1254">
        <f t="shared" si="41"/>
        <v>0</v>
      </c>
      <c r="BS27" s="2358">
        <f t="shared" si="42"/>
        <v>0</v>
      </c>
    </row>
    <row r="28" spans="1:71" ht="24" customHeight="1">
      <c r="A28" s="2383"/>
      <c r="B28" s="2375"/>
      <c r="C28" s="2384"/>
      <c r="D28" s="2377"/>
      <c r="E28" s="2378"/>
      <c r="F28" s="2379"/>
      <c r="G28" s="2380"/>
      <c r="H28" s="2366"/>
      <c r="I28" s="2378"/>
      <c r="J28" s="2381"/>
      <c r="K28" s="2378"/>
      <c r="L28" s="2378"/>
      <c r="M28" s="2382"/>
      <c r="N28" s="2378"/>
      <c r="O28" s="2378"/>
      <c r="P28" s="1922">
        <f t="shared" si="0"/>
        <v>0</v>
      </c>
      <c r="Q28" s="1922">
        <f t="shared" si="1"/>
        <v>0</v>
      </c>
      <c r="R28" s="1351">
        <f t="shared" si="2"/>
        <v>0</v>
      </c>
      <c r="S28" s="2369">
        <f t="shared" si="3"/>
        <v>0</v>
      </c>
      <c r="T28" s="1941">
        <f t="shared" si="4"/>
        <v>0</v>
      </c>
      <c r="U28" s="2779">
        <f t="shared" si="5"/>
        <v>0</v>
      </c>
      <c r="V28" s="2779"/>
      <c r="W28" s="172"/>
      <c r="AD28" s="2370">
        <f t="shared" si="6"/>
        <v>0</v>
      </c>
      <c r="AE28" s="506">
        <f t="shared" si="7"/>
        <v>0</v>
      </c>
      <c r="AF28" s="506">
        <f t="shared" si="8"/>
        <v>0</v>
      </c>
      <c r="AG28" s="506">
        <f t="shared" si="9"/>
        <v>0</v>
      </c>
      <c r="AH28" s="506">
        <f t="shared" si="10"/>
        <v>0</v>
      </c>
      <c r="AI28" s="506">
        <f t="shared" si="11"/>
        <v>0</v>
      </c>
      <c r="AJ28" s="506">
        <f t="shared" si="12"/>
        <v>0</v>
      </c>
      <c r="AK28" s="506">
        <f t="shared" si="13"/>
        <v>0</v>
      </c>
      <c r="AL28" s="506">
        <f t="shared" si="14"/>
        <v>0</v>
      </c>
      <c r="AM28" s="2371">
        <f t="shared" si="15"/>
        <v>0</v>
      </c>
      <c r="AN28" s="506">
        <f t="shared" si="16"/>
        <v>0</v>
      </c>
      <c r="AO28" s="506">
        <f t="shared" si="17"/>
        <v>0</v>
      </c>
      <c r="AP28" s="506">
        <f t="shared" si="18"/>
        <v>0</v>
      </c>
      <c r="AQ28" s="506">
        <f t="shared" si="19"/>
        <v>0</v>
      </c>
      <c r="AR28" s="506">
        <f t="shared" si="20"/>
        <v>0</v>
      </c>
      <c r="AS28" s="506">
        <f t="shared" si="21"/>
        <v>0</v>
      </c>
      <c r="AT28" s="351">
        <f t="shared" si="22"/>
        <v>0</v>
      </c>
      <c r="AU28" s="2354">
        <f>(AD28*Pricing!F$3+AE28*Pricing!G$3+AF28*Pricing!H$3+AG28*Pricing!I$3+AH28*Pricing!J$3+AI28*Pricing!K$3+AJ28*Pricing!L$3+AK28*Pricing!M$3+AL28*Pricing!N$3+AM28*Pricing!O$3)*IF(T$35="N",(1+V$35),1)</f>
        <v>0</v>
      </c>
      <c r="AV28" s="94">
        <f t="shared" si="23"/>
        <v>0</v>
      </c>
      <c r="AW28" s="2355" t="str">
        <f t="shared" si="24"/>
        <v/>
      </c>
      <c r="AX28" s="94">
        <f t="shared" si="25"/>
        <v>0</v>
      </c>
      <c r="AY28" s="94">
        <f t="shared" si="26"/>
        <v>0</v>
      </c>
      <c r="AZ28" s="562">
        <f t="shared" si="27"/>
        <v>0</v>
      </c>
      <c r="BA28" s="94">
        <f t="shared" si="28"/>
        <v>0</v>
      </c>
      <c r="BB28" s="94">
        <f t="shared" si="29"/>
        <v>0</v>
      </c>
      <c r="BC28" s="94">
        <f t="shared" si="30"/>
        <v>0</v>
      </c>
      <c r="BD28" s="94">
        <f t="shared" si="31"/>
        <v>0</v>
      </c>
      <c r="BE28" s="94">
        <f t="shared" si="32"/>
        <v>0</v>
      </c>
      <c r="BF28" s="94">
        <f t="shared" si="33"/>
        <v>0</v>
      </c>
      <c r="BG28" s="94">
        <f t="shared" si="34"/>
        <v>0</v>
      </c>
      <c r="BH28" s="94">
        <f t="shared" si="35"/>
        <v>0</v>
      </c>
      <c r="BI28" s="94">
        <f t="shared" si="36"/>
        <v>0</v>
      </c>
      <c r="BJ28" s="94">
        <f>IF(O28=6,Q28*Pricing!D$28,IF(O28=8,Pricing!D$27,IF(O28=10,Pricing!D$26,0)))*Q28*(1+J$52)*IF(T$35="Y",1,1+V$35)</f>
        <v>0</v>
      </c>
      <c r="BK28" s="94">
        <f t="shared" si="37"/>
        <v>0</v>
      </c>
      <c r="BL28" s="2356"/>
      <c r="BO28" s="2357">
        <f t="shared" si="38"/>
        <v>0</v>
      </c>
      <c r="BP28" s="1930">
        <f t="shared" si="39"/>
        <v>0</v>
      </c>
      <c r="BQ28" s="1719">
        <f t="shared" si="40"/>
        <v>0</v>
      </c>
      <c r="BR28" s="1254">
        <f t="shared" si="41"/>
        <v>0</v>
      </c>
      <c r="BS28" s="2358">
        <f t="shared" si="42"/>
        <v>0</v>
      </c>
    </row>
    <row r="29" spans="1:71" ht="24" customHeight="1">
      <c r="A29" s="2383"/>
      <c r="B29" s="2375"/>
      <c r="C29" s="2384"/>
      <c r="D29" s="2377"/>
      <c r="E29" s="2378"/>
      <c r="F29" s="2379"/>
      <c r="G29" s="2380"/>
      <c r="H29" s="2366"/>
      <c r="I29" s="2378"/>
      <c r="J29" s="2381"/>
      <c r="K29" s="2378"/>
      <c r="L29" s="2378"/>
      <c r="M29" s="2382"/>
      <c r="N29" s="2378"/>
      <c r="O29" s="2378"/>
      <c r="P29" s="1922">
        <f t="shared" si="0"/>
        <v>0</v>
      </c>
      <c r="Q29" s="1922">
        <f t="shared" si="1"/>
        <v>0</v>
      </c>
      <c r="R29" s="1351">
        <f t="shared" si="2"/>
        <v>0</v>
      </c>
      <c r="S29" s="2369">
        <f t="shared" si="3"/>
        <v>0</v>
      </c>
      <c r="T29" s="1941">
        <f t="shared" si="4"/>
        <v>0</v>
      </c>
      <c r="U29" s="2779">
        <f t="shared" si="5"/>
        <v>0</v>
      </c>
      <c r="V29" s="2779"/>
      <c r="W29" s="172"/>
      <c r="AD29" s="2370">
        <f t="shared" si="6"/>
        <v>0</v>
      </c>
      <c r="AE29" s="506">
        <f t="shared" si="7"/>
        <v>0</v>
      </c>
      <c r="AF29" s="506">
        <f t="shared" si="8"/>
        <v>0</v>
      </c>
      <c r="AG29" s="506">
        <f t="shared" si="9"/>
        <v>0</v>
      </c>
      <c r="AH29" s="506">
        <f t="shared" si="10"/>
        <v>0</v>
      </c>
      <c r="AI29" s="506">
        <f t="shared" si="11"/>
        <v>0</v>
      </c>
      <c r="AJ29" s="506">
        <f t="shared" si="12"/>
        <v>0</v>
      </c>
      <c r="AK29" s="506">
        <f t="shared" si="13"/>
        <v>0</v>
      </c>
      <c r="AL29" s="506">
        <f t="shared" si="14"/>
        <v>0</v>
      </c>
      <c r="AM29" s="2371">
        <f t="shared" si="15"/>
        <v>0</v>
      </c>
      <c r="AN29" s="506">
        <f t="shared" si="16"/>
        <v>0</v>
      </c>
      <c r="AO29" s="506">
        <f t="shared" si="17"/>
        <v>0</v>
      </c>
      <c r="AP29" s="506">
        <f t="shared" si="18"/>
        <v>0</v>
      </c>
      <c r="AQ29" s="506">
        <f t="shared" si="19"/>
        <v>0</v>
      </c>
      <c r="AR29" s="506">
        <f t="shared" si="20"/>
        <v>0</v>
      </c>
      <c r="AS29" s="506">
        <f t="shared" si="21"/>
        <v>0</v>
      </c>
      <c r="AT29" s="351">
        <f t="shared" si="22"/>
        <v>0</v>
      </c>
      <c r="AU29" s="2354">
        <f>(AD29*Pricing!F$3+AE29*Pricing!G$3+AF29*Pricing!H$3+AG29*Pricing!I$3+AH29*Pricing!J$3+AI29*Pricing!K$3+AJ29*Pricing!L$3+AK29*Pricing!M$3+AL29*Pricing!N$3+AM29*Pricing!O$3)*IF(T$35="N",(1+V$35),1)</f>
        <v>0</v>
      </c>
      <c r="AV29" s="94">
        <f t="shared" si="23"/>
        <v>0</v>
      </c>
      <c r="AW29" s="2355" t="str">
        <f t="shared" si="24"/>
        <v/>
      </c>
      <c r="AX29" s="94">
        <f t="shared" si="25"/>
        <v>0</v>
      </c>
      <c r="AY29" s="94">
        <f t="shared" si="26"/>
        <v>0</v>
      </c>
      <c r="AZ29" s="562">
        <f t="shared" si="27"/>
        <v>0</v>
      </c>
      <c r="BA29" s="94">
        <f t="shared" si="28"/>
        <v>0</v>
      </c>
      <c r="BB29" s="94">
        <f t="shared" si="29"/>
        <v>0</v>
      </c>
      <c r="BC29" s="94">
        <f t="shared" si="30"/>
        <v>0</v>
      </c>
      <c r="BD29" s="94">
        <f t="shared" si="31"/>
        <v>0</v>
      </c>
      <c r="BE29" s="94">
        <f t="shared" si="32"/>
        <v>0</v>
      </c>
      <c r="BF29" s="94">
        <f t="shared" si="33"/>
        <v>0</v>
      </c>
      <c r="BG29" s="94">
        <f t="shared" si="34"/>
        <v>0</v>
      </c>
      <c r="BH29" s="94">
        <f t="shared" si="35"/>
        <v>0</v>
      </c>
      <c r="BI29" s="94">
        <f t="shared" si="36"/>
        <v>0</v>
      </c>
      <c r="BJ29" s="94">
        <f>IF(O29=6,Q29*Pricing!D$28,IF(O29=8,Pricing!D$27,IF(O29=10,Pricing!D$26,0)))*Q29*(1+J$52)*IF(T$35="Y",1,1+V$35)</f>
        <v>0</v>
      </c>
      <c r="BK29" s="94">
        <f t="shared" si="37"/>
        <v>0</v>
      </c>
      <c r="BL29" s="2356"/>
      <c r="BO29" s="2357">
        <f t="shared" si="38"/>
        <v>0</v>
      </c>
      <c r="BP29" s="1930">
        <f t="shared" si="39"/>
        <v>0</v>
      </c>
      <c r="BQ29" s="1719">
        <f t="shared" si="40"/>
        <v>0</v>
      </c>
      <c r="BR29" s="1254">
        <f t="shared" si="41"/>
        <v>0</v>
      </c>
      <c r="BS29" s="2358">
        <f t="shared" si="42"/>
        <v>0</v>
      </c>
    </row>
    <row r="30" spans="1:71" ht="24" customHeight="1">
      <c r="A30" s="2383"/>
      <c r="B30" s="2375"/>
      <c r="C30" s="2384"/>
      <c r="D30" s="2377"/>
      <c r="E30" s="2378"/>
      <c r="F30" s="2379"/>
      <c r="G30" s="2380"/>
      <c r="H30" s="2366"/>
      <c r="I30" s="2378"/>
      <c r="J30" s="2381"/>
      <c r="K30" s="2378"/>
      <c r="L30" s="2378"/>
      <c r="M30" s="2382"/>
      <c r="N30" s="2378"/>
      <c r="O30" s="2378"/>
      <c r="P30" s="1922">
        <f t="shared" si="0"/>
        <v>0</v>
      </c>
      <c r="Q30" s="1922">
        <f t="shared" si="1"/>
        <v>0</v>
      </c>
      <c r="R30" s="1351">
        <f t="shared" si="2"/>
        <v>0</v>
      </c>
      <c r="S30" s="2369">
        <f t="shared" si="3"/>
        <v>0</v>
      </c>
      <c r="T30" s="1941">
        <f t="shared" si="4"/>
        <v>0</v>
      </c>
      <c r="U30" s="2779">
        <f t="shared" si="5"/>
        <v>0</v>
      </c>
      <c r="V30" s="2779"/>
      <c r="W30" s="172"/>
      <c r="AD30" s="2370">
        <f t="shared" si="6"/>
        <v>0</v>
      </c>
      <c r="AE30" s="506">
        <f t="shared" si="7"/>
        <v>0</v>
      </c>
      <c r="AF30" s="506">
        <f t="shared" si="8"/>
        <v>0</v>
      </c>
      <c r="AG30" s="506">
        <f t="shared" si="9"/>
        <v>0</v>
      </c>
      <c r="AH30" s="506">
        <f t="shared" si="10"/>
        <v>0</v>
      </c>
      <c r="AI30" s="506">
        <f t="shared" si="11"/>
        <v>0</v>
      </c>
      <c r="AJ30" s="506">
        <f t="shared" si="12"/>
        <v>0</v>
      </c>
      <c r="AK30" s="506">
        <f t="shared" si="13"/>
        <v>0</v>
      </c>
      <c r="AL30" s="506">
        <f t="shared" si="14"/>
        <v>0</v>
      </c>
      <c r="AM30" s="2371">
        <f t="shared" si="15"/>
        <v>0</v>
      </c>
      <c r="AN30" s="506">
        <f t="shared" si="16"/>
        <v>0</v>
      </c>
      <c r="AO30" s="506">
        <f t="shared" si="17"/>
        <v>0</v>
      </c>
      <c r="AP30" s="506">
        <f t="shared" si="18"/>
        <v>0</v>
      </c>
      <c r="AQ30" s="506">
        <f t="shared" si="19"/>
        <v>0</v>
      </c>
      <c r="AR30" s="506">
        <f t="shared" si="20"/>
        <v>0</v>
      </c>
      <c r="AS30" s="506">
        <f t="shared" si="21"/>
        <v>0</v>
      </c>
      <c r="AT30" s="351">
        <f t="shared" si="22"/>
        <v>0</v>
      </c>
      <c r="AU30" s="2354">
        <f>(AD30*Pricing!F$3+AE30*Pricing!G$3+AF30*Pricing!H$3+AG30*Pricing!I$3+AH30*Pricing!J$3+AI30*Pricing!K$3+AJ30*Pricing!L$3+AK30*Pricing!M$3+AL30*Pricing!N$3+AM30*Pricing!O$3)*IF(T$35="N",(1+V$35),1)</f>
        <v>0</v>
      </c>
      <c r="AV30" s="94">
        <f t="shared" si="23"/>
        <v>0</v>
      </c>
      <c r="AW30" s="2355" t="str">
        <f t="shared" si="24"/>
        <v/>
      </c>
      <c r="AX30" s="94">
        <f t="shared" si="25"/>
        <v>0</v>
      </c>
      <c r="AY30" s="94">
        <f t="shared" si="26"/>
        <v>0</v>
      </c>
      <c r="AZ30" s="562">
        <f t="shared" si="27"/>
        <v>0</v>
      </c>
      <c r="BA30" s="94">
        <f t="shared" si="28"/>
        <v>0</v>
      </c>
      <c r="BB30" s="94">
        <f t="shared" si="29"/>
        <v>0</v>
      </c>
      <c r="BC30" s="94">
        <f t="shared" si="30"/>
        <v>0</v>
      </c>
      <c r="BD30" s="94">
        <f t="shared" si="31"/>
        <v>0</v>
      </c>
      <c r="BE30" s="94">
        <f t="shared" si="32"/>
        <v>0</v>
      </c>
      <c r="BF30" s="94">
        <f t="shared" si="33"/>
        <v>0</v>
      </c>
      <c r="BG30" s="94">
        <f t="shared" si="34"/>
        <v>0</v>
      </c>
      <c r="BH30" s="94">
        <f t="shared" si="35"/>
        <v>0</v>
      </c>
      <c r="BI30" s="94">
        <f t="shared" si="36"/>
        <v>0</v>
      </c>
      <c r="BJ30" s="94">
        <f>IF(O30=6,Q30*Pricing!D$28,IF(O30=8,Pricing!D$27,IF(O30=10,Pricing!D$26,0)))*Q30*(1+J$52)*IF(T$35="Y",1,1+V$35)</f>
        <v>0</v>
      </c>
      <c r="BK30" s="94">
        <f t="shared" si="37"/>
        <v>0</v>
      </c>
      <c r="BL30" s="2356"/>
      <c r="BO30" s="2357">
        <f t="shared" si="38"/>
        <v>0</v>
      </c>
      <c r="BP30" s="1930">
        <f t="shared" si="39"/>
        <v>0</v>
      </c>
      <c r="BQ30" s="1719">
        <f t="shared" si="40"/>
        <v>0</v>
      </c>
      <c r="BR30" s="1254">
        <f t="shared" si="41"/>
        <v>0</v>
      </c>
      <c r="BS30" s="2358">
        <f t="shared" si="42"/>
        <v>0</v>
      </c>
    </row>
    <row r="31" spans="1:71" ht="24" customHeight="1">
      <c r="A31" s="2387"/>
      <c r="B31" s="2388"/>
      <c r="C31" s="2389"/>
      <c r="D31" s="2390"/>
      <c r="E31" s="2391"/>
      <c r="F31" s="2392"/>
      <c r="G31" s="2393"/>
      <c r="H31" s="2394"/>
      <c r="I31" s="2391"/>
      <c r="J31" s="2395"/>
      <c r="K31" s="2391"/>
      <c r="L31" s="2391"/>
      <c r="M31" s="2396"/>
      <c r="N31" s="2391"/>
      <c r="O31" s="2392"/>
      <c r="P31" s="2397">
        <f t="shared" si="0"/>
        <v>0</v>
      </c>
      <c r="Q31" s="1970">
        <f t="shared" si="1"/>
        <v>0</v>
      </c>
      <c r="R31" s="1971">
        <f t="shared" si="2"/>
        <v>0</v>
      </c>
      <c r="S31" s="2398">
        <f t="shared" si="3"/>
        <v>0</v>
      </c>
      <c r="T31" s="1972">
        <f t="shared" si="4"/>
        <v>0</v>
      </c>
      <c r="U31" s="2780">
        <f t="shared" si="5"/>
        <v>0</v>
      </c>
      <c r="V31" s="2780"/>
      <c r="W31" s="172"/>
      <c r="AD31" s="2399">
        <f t="shared" si="6"/>
        <v>0</v>
      </c>
      <c r="AE31" s="2400">
        <f t="shared" si="7"/>
        <v>0</v>
      </c>
      <c r="AF31" s="2400">
        <f t="shared" si="8"/>
        <v>0</v>
      </c>
      <c r="AG31" s="2400">
        <f t="shared" si="9"/>
        <v>0</v>
      </c>
      <c r="AH31" s="2400">
        <f t="shared" si="10"/>
        <v>0</v>
      </c>
      <c r="AI31" s="2400">
        <f t="shared" si="11"/>
        <v>0</v>
      </c>
      <c r="AJ31" s="2400">
        <f t="shared" si="12"/>
        <v>0</v>
      </c>
      <c r="AK31" s="2400">
        <f t="shared" si="13"/>
        <v>0</v>
      </c>
      <c r="AL31" s="2400">
        <f t="shared" si="14"/>
        <v>0</v>
      </c>
      <c r="AM31" s="2401">
        <f t="shared" si="15"/>
        <v>0</v>
      </c>
      <c r="AN31" s="2400">
        <f t="shared" si="16"/>
        <v>0</v>
      </c>
      <c r="AO31" s="2400">
        <f t="shared" si="17"/>
        <v>0</v>
      </c>
      <c r="AP31" s="2400">
        <f t="shared" si="18"/>
        <v>0</v>
      </c>
      <c r="AQ31" s="2400">
        <f t="shared" si="19"/>
        <v>0</v>
      </c>
      <c r="AR31" s="2400">
        <f t="shared" si="20"/>
        <v>0</v>
      </c>
      <c r="AS31" s="2400">
        <f t="shared" si="21"/>
        <v>0</v>
      </c>
      <c r="AT31" s="351">
        <f t="shared" si="22"/>
        <v>0</v>
      </c>
      <c r="AU31" s="2354">
        <f>(AD31*Pricing!F$3+AE31*Pricing!G$3+AF31*Pricing!H$3+AG31*Pricing!I$3+AH31*Pricing!J$3+AI31*Pricing!K$3+AJ31*Pricing!L$3+AK31*Pricing!M$3+AL31*Pricing!N$3+AM31*Pricing!O$3)*IF(T$35="N",(1+V$35),1)</f>
        <v>0</v>
      </c>
      <c r="AV31" s="562">
        <f t="shared" si="23"/>
        <v>0</v>
      </c>
      <c r="AW31" s="2355" t="str">
        <f t="shared" si="24"/>
        <v/>
      </c>
      <c r="AX31" s="94">
        <f t="shared" si="25"/>
        <v>0</v>
      </c>
      <c r="AY31" s="94">
        <f t="shared" si="26"/>
        <v>0</v>
      </c>
      <c r="AZ31" s="562">
        <f t="shared" si="27"/>
        <v>0</v>
      </c>
      <c r="BA31" s="94">
        <f t="shared" si="28"/>
        <v>0</v>
      </c>
      <c r="BB31" s="94">
        <f t="shared" si="29"/>
        <v>0</v>
      </c>
      <c r="BC31" s="94">
        <f t="shared" si="30"/>
        <v>0</v>
      </c>
      <c r="BD31" s="94">
        <f t="shared" si="31"/>
        <v>0</v>
      </c>
      <c r="BE31" s="94">
        <f t="shared" si="32"/>
        <v>0</v>
      </c>
      <c r="BF31" s="94">
        <f t="shared" si="33"/>
        <v>0</v>
      </c>
      <c r="BG31" s="94">
        <f t="shared" si="34"/>
        <v>0</v>
      </c>
      <c r="BH31" s="94">
        <f t="shared" si="35"/>
        <v>0</v>
      </c>
      <c r="BI31" s="94">
        <f t="shared" si="36"/>
        <v>0</v>
      </c>
      <c r="BJ31" s="94">
        <f>IF(O31=6,Q31*Pricing!D$28,IF(O31=8,Pricing!D$27,IF(O31=10,Pricing!D$26,0)))*Q31*(1+J$52)*IF(T$35="Y",1,1+V$35)</f>
        <v>0</v>
      </c>
      <c r="BK31" s="94">
        <f t="shared" si="37"/>
        <v>0</v>
      </c>
      <c r="BL31" s="2356"/>
      <c r="BO31" s="2402">
        <f t="shared" si="38"/>
        <v>0</v>
      </c>
      <c r="BP31" s="1740">
        <f t="shared" si="39"/>
        <v>0</v>
      </c>
      <c r="BQ31" s="2403">
        <f t="shared" si="40"/>
        <v>0</v>
      </c>
      <c r="BR31" s="2403">
        <f t="shared" si="41"/>
        <v>0</v>
      </c>
      <c r="BS31" s="2404">
        <f t="shared" si="42"/>
        <v>0</v>
      </c>
    </row>
    <row r="32" spans="1:71" ht="24" customHeight="1">
      <c r="A32" s="626"/>
      <c r="B32" s="626"/>
      <c r="C32" s="2781">
        <f>SUM(C10:C31)</f>
        <v>12500</v>
      </c>
      <c r="D32" s="2781"/>
      <c r="E32" s="18" t="s">
        <v>1533</v>
      </c>
      <c r="G32" s="626"/>
      <c r="H32" s="626"/>
      <c r="I32" s="626"/>
      <c r="J32" s="626"/>
      <c r="K32" s="626"/>
      <c r="L32" s="627"/>
      <c r="M32" s="627"/>
      <c r="N32" s="627"/>
      <c r="O32" s="627"/>
      <c r="P32" s="626"/>
      <c r="Q32" s="626"/>
      <c r="R32" s="626"/>
      <c r="S32" s="1581">
        <f>SUM(S10:S31)</f>
        <v>163.58024691358025</v>
      </c>
      <c r="T32" s="626"/>
      <c r="U32" s="2782">
        <f>SUM(U10:V31)</f>
        <v>124631.77584725939</v>
      </c>
      <c r="V32" s="2782"/>
      <c r="AD32" s="338">
        <f t="shared" ref="AD32:AO32" si="43">SUM(AD10:AD31)</f>
        <v>0</v>
      </c>
      <c r="AE32" s="338">
        <f t="shared" si="43"/>
        <v>0</v>
      </c>
      <c r="AF32" s="338">
        <f t="shared" si="43"/>
        <v>0</v>
      </c>
      <c r="AG32" s="338">
        <f t="shared" si="43"/>
        <v>0</v>
      </c>
      <c r="AH32" s="338">
        <f t="shared" si="43"/>
        <v>0</v>
      </c>
      <c r="AI32" s="338">
        <f t="shared" si="43"/>
        <v>0</v>
      </c>
      <c r="AJ32" s="338">
        <f t="shared" si="43"/>
        <v>0</v>
      </c>
      <c r="AK32" s="338">
        <f t="shared" si="43"/>
        <v>0</v>
      </c>
      <c r="AL32" s="338">
        <f t="shared" si="43"/>
        <v>0</v>
      </c>
      <c r="AM32" s="338">
        <f t="shared" si="43"/>
        <v>163.58024691358025</v>
      </c>
      <c r="AN32" s="338">
        <f t="shared" si="43"/>
        <v>0</v>
      </c>
      <c r="AO32" s="338">
        <f t="shared" si="43"/>
        <v>0</v>
      </c>
      <c r="AP32" s="338">
        <f>ROUNDUP(SUM(AP10:AP31),0)</f>
        <v>625</v>
      </c>
      <c r="AQ32" s="338">
        <f>ROUNDUP(SUM(AQ10:AQ31),0)</f>
        <v>0</v>
      </c>
      <c r="AR32" s="338">
        <f t="shared" ref="AR32:BK32" si="44">SUM(AR10:AR31)</f>
        <v>0</v>
      </c>
      <c r="AS32" s="849">
        <f t="shared" si="44"/>
        <v>0</v>
      </c>
      <c r="AT32" s="351">
        <f t="shared" si="44"/>
        <v>105620.14902310118</v>
      </c>
      <c r="AU32" s="2405">
        <f t="shared" si="44"/>
        <v>23728.132716049386</v>
      </c>
      <c r="AV32" s="2406">
        <f t="shared" si="44"/>
        <v>4473.831158059571</v>
      </c>
      <c r="AW32" s="2407">
        <f t="shared" si="44"/>
        <v>23750</v>
      </c>
      <c r="AX32" s="2406">
        <f t="shared" si="44"/>
        <v>0</v>
      </c>
      <c r="AY32" s="2406">
        <f t="shared" si="44"/>
        <v>0</v>
      </c>
      <c r="AZ32" s="2408">
        <f t="shared" si="44"/>
        <v>0</v>
      </c>
      <c r="BA32" s="2406">
        <f t="shared" si="44"/>
        <v>0</v>
      </c>
      <c r="BB32" s="2406">
        <f t="shared" si="44"/>
        <v>29166.666666666675</v>
      </c>
      <c r="BC32" s="2406">
        <f t="shared" si="44"/>
        <v>6674.5208963467276</v>
      </c>
      <c r="BD32" s="2406">
        <f t="shared" si="44"/>
        <v>14071.933928571429</v>
      </c>
      <c r="BE32" s="2406">
        <f t="shared" si="44"/>
        <v>1562.5</v>
      </c>
      <c r="BF32" s="2406">
        <f t="shared" si="44"/>
        <v>2192.5636574074074</v>
      </c>
      <c r="BG32" s="2406">
        <f t="shared" si="44"/>
        <v>0</v>
      </c>
      <c r="BH32" s="2406">
        <f t="shared" si="44"/>
        <v>0</v>
      </c>
      <c r="BI32" s="2406">
        <f t="shared" si="44"/>
        <v>0</v>
      </c>
      <c r="BJ32" s="2406">
        <f t="shared" si="44"/>
        <v>0</v>
      </c>
      <c r="BK32" s="2406">
        <f t="shared" si="44"/>
        <v>0</v>
      </c>
      <c r="BL32" s="2409"/>
      <c r="BO32" s="1254"/>
      <c r="BP32" s="1930"/>
      <c r="BQ32" s="1719"/>
      <c r="BR32" s="1254">
        <f>SUM(BR10:BR31)</f>
        <v>0</v>
      </c>
      <c r="BS32" s="1931">
        <f>SUM(BS10:BS31)</f>
        <v>12500</v>
      </c>
    </row>
    <row r="33" spans="1:64" ht="24" customHeight="1">
      <c r="A33" s="626"/>
      <c r="B33" s="626"/>
      <c r="C33" s="626"/>
      <c r="D33" s="626"/>
      <c r="E33" s="626"/>
      <c r="F33" s="626"/>
      <c r="G33" s="626"/>
      <c r="H33" s="626"/>
      <c r="I33" s="626"/>
      <c r="J33" s="626"/>
      <c r="K33" s="626"/>
      <c r="L33" s="627"/>
      <c r="M33" s="627"/>
      <c r="N33" s="627"/>
      <c r="O33" s="627"/>
      <c r="P33" s="626"/>
      <c r="Q33" s="626"/>
      <c r="R33" s="626"/>
      <c r="S33" s="626"/>
      <c r="T33" s="2783"/>
      <c r="U33" s="2783"/>
      <c r="V33" s="2410">
        <f>D36-U32</f>
        <v>0</v>
      </c>
      <c r="AT33" s="351">
        <f>T36</f>
        <v>105620.1490231012</v>
      </c>
      <c r="AU33" s="884">
        <f>SUM(N44:O50)</f>
        <v>23728.132716049386</v>
      </c>
      <c r="AV33" s="885">
        <f>SUM(N51:O53)-N52</f>
        <v>4473.831158059571</v>
      </c>
      <c r="AW33" s="2411">
        <f>SUM(N59:O61)</f>
        <v>23750</v>
      </c>
      <c r="AX33" s="885">
        <f>N62</f>
        <v>0</v>
      </c>
      <c r="AY33" s="885">
        <f>SUM(N63)</f>
        <v>0</v>
      </c>
      <c r="AZ33" s="2412">
        <f>N64</f>
        <v>0</v>
      </c>
      <c r="BA33" s="885">
        <f>N84</f>
        <v>0</v>
      </c>
      <c r="BB33" s="885">
        <f>L68+N70</f>
        <v>29166.666666666672</v>
      </c>
      <c r="BC33" s="885">
        <f>W88</f>
        <v>6674.5208963467285</v>
      </c>
      <c r="BD33" s="885">
        <f>SUM(N72:O76)</f>
        <v>14071.933928571429</v>
      </c>
      <c r="BE33" s="885">
        <f>SUM(N79:O87)-N85</f>
        <v>1562.5</v>
      </c>
      <c r="BF33" s="885">
        <f>SUM(N54:O55)</f>
        <v>2192.5636574074074</v>
      </c>
      <c r="BG33" s="885">
        <f>SUM(N85)</f>
        <v>0</v>
      </c>
      <c r="BH33" s="885">
        <f>N77</f>
        <v>0</v>
      </c>
      <c r="BI33" s="885">
        <f>N56</f>
        <v>0</v>
      </c>
      <c r="BJ33" s="885">
        <f>N52</f>
        <v>0</v>
      </c>
      <c r="BK33" s="885">
        <f>N88</f>
        <v>0</v>
      </c>
      <c r="BL33" s="887"/>
    </row>
    <row r="34" spans="1:64" ht="24" customHeight="1">
      <c r="A34" s="888"/>
      <c r="B34" s="889"/>
      <c r="C34" s="890" t="s">
        <v>1261</v>
      </c>
      <c r="D34" s="2784">
        <v>90000</v>
      </c>
      <c r="E34" s="2784"/>
      <c r="F34" s="889"/>
      <c r="G34" s="889"/>
      <c r="H34" s="889"/>
      <c r="I34" s="889"/>
      <c r="J34" s="889"/>
      <c r="K34" s="891"/>
      <c r="L34" s="889"/>
      <c r="M34" s="889"/>
      <c r="N34" s="889"/>
      <c r="O34" s="889"/>
      <c r="P34" s="889"/>
      <c r="Q34" s="889"/>
      <c r="R34" s="889"/>
      <c r="S34" s="889"/>
      <c r="T34" s="889"/>
      <c r="U34" s="889"/>
      <c r="V34" s="1053"/>
      <c r="AT34" s="351">
        <f t="shared" ref="AT34:AY34" si="45">AT32-AT33</f>
        <v>0</v>
      </c>
      <c r="AU34" s="351">
        <f t="shared" si="45"/>
        <v>0</v>
      </c>
      <c r="AV34" s="351">
        <f t="shared" si="45"/>
        <v>0</v>
      </c>
      <c r="AW34" s="351">
        <f t="shared" si="45"/>
        <v>0</v>
      </c>
      <c r="AX34" s="351">
        <f t="shared" si="45"/>
        <v>0</v>
      </c>
      <c r="AY34" s="351">
        <f t="shared" si="45"/>
        <v>0</v>
      </c>
      <c r="AZ34" s="351"/>
      <c r="BA34" s="351">
        <f t="shared" ref="BA34:BL34" si="46">BA32-BA33</f>
        <v>0</v>
      </c>
      <c r="BB34" s="351">
        <f t="shared" si="46"/>
        <v>0</v>
      </c>
      <c r="BC34" s="351">
        <f t="shared" si="46"/>
        <v>0</v>
      </c>
      <c r="BD34" s="351">
        <f t="shared" si="46"/>
        <v>0</v>
      </c>
      <c r="BE34" s="351">
        <f t="shared" si="46"/>
        <v>0</v>
      </c>
      <c r="BF34" s="351">
        <f t="shared" si="46"/>
        <v>0</v>
      </c>
      <c r="BG34" s="351">
        <f t="shared" si="46"/>
        <v>0</v>
      </c>
      <c r="BH34" s="351">
        <f t="shared" si="46"/>
        <v>0</v>
      </c>
      <c r="BI34" s="351">
        <f t="shared" si="46"/>
        <v>0</v>
      </c>
      <c r="BJ34" s="351">
        <f t="shared" si="46"/>
        <v>0</v>
      </c>
      <c r="BK34" s="351">
        <f t="shared" si="46"/>
        <v>0</v>
      </c>
      <c r="BL34" s="351">
        <f t="shared" si="46"/>
        <v>0</v>
      </c>
    </row>
    <row r="35" spans="1:64" ht="24" customHeight="1">
      <c r="A35" s="2785" t="s">
        <v>1262</v>
      </c>
      <c r="B35" s="2785"/>
      <c r="C35" s="2785"/>
      <c r="D35" s="2786" t="s">
        <v>982</v>
      </c>
      <c r="E35" s="2786"/>
      <c r="F35" s="2787" t="s">
        <v>1263</v>
      </c>
      <c r="G35" s="2787"/>
      <c r="H35" s="2787"/>
      <c r="I35" s="2788" t="s">
        <v>1264</v>
      </c>
      <c r="J35" s="2788"/>
      <c r="K35" s="2788"/>
      <c r="L35" s="2789" t="s">
        <v>1265</v>
      </c>
      <c r="M35" s="2789"/>
      <c r="N35" s="1058"/>
      <c r="O35" s="1059"/>
      <c r="P35" s="895"/>
      <c r="Q35" s="574" t="s">
        <v>1266</v>
      </c>
      <c r="S35" s="18" t="s">
        <v>1267</v>
      </c>
      <c r="T35" s="2413" t="str">
        <f>Summary!P62</f>
        <v>N</v>
      </c>
      <c r="U35" s="793" t="s">
        <v>1268</v>
      </c>
      <c r="V35" s="2414">
        <f>Summary!R62</f>
        <v>8.2500000000000004E-2</v>
      </c>
    </row>
    <row r="36" spans="1:64" ht="24" customHeight="1">
      <c r="A36" s="2415" t="s">
        <v>1269</v>
      </c>
      <c r="B36" s="2790">
        <f>IF(C32=0,0,(D36-((K62+N62)*(1+L36)))/C32)</f>
        <v>9.9705420677807535</v>
      </c>
      <c r="C36" s="2790"/>
      <c r="D36" s="2791">
        <f>(T36-N88)*(1+L36)</f>
        <v>124631.77584725941</v>
      </c>
      <c r="E36" s="2791"/>
      <c r="F36" s="2416">
        <f>IF(G36=0,0,G36/D36)</f>
        <v>0.15254237288135591</v>
      </c>
      <c r="G36" s="2792">
        <f>(D36-T36)</f>
        <v>19011.626824158215</v>
      </c>
      <c r="H36" s="2792"/>
      <c r="I36" s="2793">
        <f>IF(C32=0,0,T36/C32)</f>
        <v>8.4496119218480956</v>
      </c>
      <c r="J36" s="2793"/>
      <c r="K36" s="2793"/>
      <c r="L36" s="2794">
        <f>Summary!P59</f>
        <v>0.18</v>
      </c>
      <c r="M36" s="2794"/>
      <c r="N36" s="2794"/>
      <c r="O36" s="2794"/>
      <c r="P36" s="895"/>
      <c r="Q36" s="902" t="s">
        <v>980</v>
      </c>
      <c r="T36" s="2795">
        <f>SUM(N44:O56)+SUM(N59:O64)+SUM(K59:L64)+SUM(N67:O69)+SUM(N72:O77)+SUM(N79:O88)+W88+N70</f>
        <v>105620.1490231012</v>
      </c>
      <c r="U36" s="2795"/>
      <c r="V36" s="798"/>
    </row>
    <row r="37" spans="1:64" ht="24" customHeight="1">
      <c r="A37" s="2417"/>
      <c r="B37" s="1755"/>
      <c r="C37" s="2418" t="str">
        <f>IF(ROUND(D37,0)=0,"BINGO!!",IF(ROUND(D37,0)&lt;0,"To Low","T0 High"))</f>
        <v>T0 High</v>
      </c>
      <c r="D37" s="2796">
        <f>D36-D34</f>
        <v>34631.775847259414</v>
      </c>
      <c r="E37" s="2796"/>
      <c r="F37" s="2419"/>
      <c r="G37" s="1754"/>
      <c r="H37" s="1754"/>
      <c r="I37" s="1755"/>
      <c r="J37" s="1755"/>
      <c r="K37" s="1755"/>
      <c r="L37" s="2420"/>
      <c r="M37" s="2421"/>
      <c r="N37" s="2421"/>
      <c r="O37" s="2422"/>
      <c r="P37" s="895"/>
      <c r="Q37" s="791"/>
      <c r="T37" s="2797">
        <f>D96</f>
        <v>105620.14902310118</v>
      </c>
      <c r="U37" s="2797"/>
      <c r="V37" s="798"/>
    </row>
    <row r="38" spans="1:64" ht="24" customHeight="1">
      <c r="A38" s="904" t="s">
        <v>1928</v>
      </c>
      <c r="B38" s="905"/>
      <c r="C38" s="2798">
        <f>(K62+N62)*(1+L36)</f>
        <v>0</v>
      </c>
      <c r="D38" s="2798"/>
      <c r="E38" s="2799"/>
      <c r="F38" s="2799"/>
      <c r="G38" s="905"/>
      <c r="H38" s="1765" t="s">
        <v>1270</v>
      </c>
      <c r="I38" s="1766"/>
      <c r="J38" s="2800"/>
      <c r="K38" s="2800"/>
      <c r="L38" s="904"/>
      <c r="M38" s="2801"/>
      <c r="N38" s="2801"/>
      <c r="O38" s="913"/>
      <c r="P38" s="911"/>
      <c r="Q38" s="912"/>
      <c r="R38" s="905"/>
      <c r="S38" s="905"/>
      <c r="T38" s="2802">
        <f>T36-T37</f>
        <v>0</v>
      </c>
      <c r="U38" s="2802"/>
      <c r="V38" s="913"/>
      <c r="AS38" s="18"/>
      <c r="AU38" s="18"/>
      <c r="AV38" s="18"/>
      <c r="AW38" s="18"/>
      <c r="AX38" s="18"/>
      <c r="AY38" s="18"/>
      <c r="AZ38" s="18"/>
      <c r="BA38" s="18"/>
      <c r="BB38" s="18"/>
      <c r="BC38" s="18"/>
      <c r="BD38" s="18"/>
      <c r="BE38" s="18"/>
      <c r="BF38" s="18"/>
      <c r="BG38" s="18"/>
      <c r="BH38" s="18"/>
      <c r="BI38" s="18"/>
      <c r="BJ38" s="18"/>
      <c r="BK38" s="18"/>
      <c r="BL38" s="18"/>
    </row>
    <row r="39" spans="1:64" ht="26.25" customHeight="1">
      <c r="A39" s="18" t="s">
        <v>1404</v>
      </c>
      <c r="B39" s="1772"/>
      <c r="C39" s="1773"/>
      <c r="D39" s="1143"/>
      <c r="E39" s="1143"/>
      <c r="F39" s="1530"/>
      <c r="G39" s="2423"/>
      <c r="H39" s="2424"/>
      <c r="I39" s="1143"/>
      <c r="J39" s="1143"/>
      <c r="K39" s="1143"/>
      <c r="L39" s="1143"/>
      <c r="M39" s="2425"/>
      <c r="N39" s="2803" t="s">
        <v>721</v>
      </c>
      <c r="O39" s="2803"/>
      <c r="Q39" s="626"/>
      <c r="R39" s="626"/>
      <c r="S39" s="626"/>
      <c r="T39" s="626"/>
      <c r="U39" s="626"/>
      <c r="V39" s="626"/>
      <c r="W39" s="626"/>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row>
    <row r="40" spans="1:64" ht="18.75" customHeight="1">
      <c r="A40" s="626"/>
      <c r="B40" s="1772"/>
      <c r="C40" s="1773"/>
      <c r="D40" s="1143"/>
      <c r="E40" s="1143"/>
      <c r="F40" s="1143"/>
      <c r="G40" s="2424"/>
      <c r="H40" s="2424"/>
      <c r="I40" s="2426"/>
      <c r="J40" s="2424"/>
      <c r="K40" s="2424"/>
      <c r="L40" s="2424"/>
      <c r="M40" s="2425"/>
      <c r="N40" s="924" t="s">
        <v>1274</v>
      </c>
      <c r="O40" s="925"/>
      <c r="Q40" s="626"/>
      <c r="R40" s="626"/>
      <c r="S40" s="626"/>
      <c r="T40" s="626"/>
      <c r="U40" s="626"/>
      <c r="V40" s="626"/>
      <c r="W40" s="626"/>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row>
    <row r="41" spans="1:64" ht="18.75" customHeight="1">
      <c r="A41" s="626"/>
      <c r="B41" s="1772"/>
      <c r="C41" s="1773"/>
      <c r="D41" s="1143"/>
      <c r="E41" s="1143"/>
      <c r="F41" s="1143"/>
      <c r="G41" s="2424"/>
      <c r="H41" s="2424"/>
      <c r="I41" s="2426"/>
      <c r="J41" s="2424"/>
      <c r="K41" s="2424"/>
      <c r="L41" s="2424"/>
      <c r="M41" s="2425"/>
      <c r="N41" s="932" t="s">
        <v>1276</v>
      </c>
      <c r="O41" s="933">
        <f>K51</f>
        <v>6888.1157167968759</v>
      </c>
      <c r="Q41" s="626"/>
      <c r="R41" s="626"/>
      <c r="S41" s="626"/>
      <c r="T41" s="626"/>
      <c r="U41" s="626"/>
      <c r="V41" s="626"/>
      <c r="W41" s="626"/>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row>
    <row r="42" spans="1:64" ht="18.75" customHeight="1">
      <c r="A42" s="626"/>
      <c r="B42" s="1772"/>
      <c r="C42" s="1773"/>
      <c r="D42" s="919"/>
      <c r="E42" s="919"/>
      <c r="F42" s="919"/>
      <c r="G42" s="919"/>
      <c r="H42" s="919"/>
      <c r="I42" s="919"/>
      <c r="J42" s="919"/>
      <c r="K42" s="919"/>
      <c r="L42" s="919"/>
      <c r="M42" s="919"/>
      <c r="N42" s="919"/>
      <c r="O42" s="919"/>
      <c r="Q42" s="626"/>
      <c r="R42" s="626"/>
      <c r="S42" s="626"/>
      <c r="T42" s="626"/>
      <c r="U42" s="626"/>
      <c r="V42" s="626"/>
      <c r="W42" s="626"/>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row>
    <row r="43" spans="1:64" ht="42" customHeight="1">
      <c r="A43" s="2427" t="s">
        <v>1280</v>
      </c>
      <c r="B43" s="2804" t="s">
        <v>1413</v>
      </c>
      <c r="C43" s="2804"/>
      <c r="D43" s="2804"/>
      <c r="E43" s="2804"/>
      <c r="F43" s="2804"/>
      <c r="G43" s="2804"/>
      <c r="H43" s="2804"/>
      <c r="I43" s="2804"/>
      <c r="J43" s="2804"/>
      <c r="K43" s="2805" t="str">
        <f>IF(SUM(K44:L50)=S32,"Good","Missing Concrete!!!")</f>
        <v>Good</v>
      </c>
      <c r="L43" s="2805"/>
      <c r="M43" s="2428"/>
      <c r="N43" s="2428"/>
      <c r="O43" s="2429"/>
      <c r="P43" s="2430" t="s">
        <v>1284</v>
      </c>
      <c r="Q43" s="2806" t="s">
        <v>517</v>
      </c>
      <c r="R43" s="2806"/>
      <c r="S43" s="818" t="s">
        <v>835</v>
      </c>
      <c r="T43" s="947"/>
      <c r="U43" s="948" t="s">
        <v>518</v>
      </c>
      <c r="V43" s="947"/>
      <c r="W43" s="949"/>
      <c r="X43" s="18"/>
      <c r="Y43" s="18"/>
      <c r="Z43" s="18"/>
      <c r="AA43" s="18"/>
      <c r="AB43" s="18"/>
      <c r="AC43" s="18"/>
      <c r="AD43" s="18"/>
      <c r="AE43" s="18"/>
      <c r="AF43" s="18"/>
      <c r="AG43" s="18"/>
      <c r="AH43" s="18"/>
      <c r="AI43" s="18"/>
      <c r="AJ43" s="18"/>
      <c r="AK43" s="18"/>
      <c r="AL43" s="18"/>
      <c r="AM43" s="18"/>
      <c r="AN43" s="18"/>
      <c r="AO43" s="18"/>
      <c r="AP43" s="18"/>
      <c r="AQ43" s="18"/>
      <c r="AR43" s="18"/>
      <c r="AT43" s="18"/>
    </row>
    <row r="44" spans="1:64" ht="18.75" customHeight="1">
      <c r="A44" s="1791">
        <v>1</v>
      </c>
      <c r="B44" s="574" t="str">
        <f>IF(A44=1,Pricing!F$2,IF(A44=2,Pricing!G$2,IF(A44=3,Pricing!H$2,IF(A44=4,Pricing!I$2,IF(A44=5,Pricing!J$2,IF(A44=6,Pricing!K$2,IF(A44=7,Pricing!L$2,IF(A44=8,Pricing!M$2,IF(A44=9,Pricing!N$2,IF(A44=10,Pricing!O$2,0))))))))))</f>
        <v>3,000 PSI 5sk /Ash and Air</v>
      </c>
      <c r="E44" s="2431"/>
      <c r="F44" s="969">
        <f>IF(A44=1,Pricing!F$3,IF(A44=2,Pricing!G$3,IF(A44=3,Pricing!H$3,IF(A44=4,Pricing!I$3,IF(A44=5,Pricing!J$3,IF(A44=6,Pricing!K$3,IF(A44=7,Pricing!L$3,IF(A44=8,Pricing!M$3,IF(A44=9,Pricing!N$3,IF(A44=10,Pricing!O$3,0))))))))))</f>
        <v>134</v>
      </c>
      <c r="G44" s="18" t="s">
        <v>1285</v>
      </c>
      <c r="H44" s="2807" t="s">
        <v>1929</v>
      </c>
      <c r="I44" s="2807"/>
      <c r="J44" s="2808">
        <v>0.06</v>
      </c>
      <c r="K44" s="2809">
        <f t="shared" ref="K44:K50" si="47">IF(A44=1,AD$32,IF(A44=2,AE$32,IF(A44=3,AF$32,IF(A44=4,AG$32,IF(A44=5,AH$32,IF(A44=6,AI$32,IF(A44=7,AJ$32,IF(A44=8,AK$32,IF(A44=9,AL$32,IF(A44=10,AM$32))))))))))</f>
        <v>0</v>
      </c>
      <c r="L44" s="2809"/>
      <c r="M44" s="17" t="s">
        <v>1286</v>
      </c>
      <c r="N44" s="2810">
        <f t="shared" ref="N44:N50" si="48">K44*F44*(IF(T$35="N",1+V$35,1))</f>
        <v>0</v>
      </c>
      <c r="O44" s="2810"/>
      <c r="P44" s="961" t="s">
        <v>1069</v>
      </c>
      <c r="Q44" s="859" t="s">
        <v>1415</v>
      </c>
      <c r="R44" s="77"/>
      <c r="S44" s="2006">
        <v>0.5</v>
      </c>
      <c r="T44" s="77"/>
      <c r="U44" s="1174"/>
      <c r="V44" s="77"/>
      <c r="W44" s="1175">
        <f t="shared" ref="W44:W51" si="49">IF(T$35="Y",S44*U44,S44*U44*(1+V$35))</f>
        <v>0</v>
      </c>
    </row>
    <row r="45" spans="1:64" ht="18.75" customHeight="1">
      <c r="A45" s="1791">
        <v>2</v>
      </c>
      <c r="B45" s="574" t="str">
        <f>IF(A45=1,Pricing!F$2,IF(A45=2,Pricing!G$2,IF(A45=3,Pricing!H$2,IF(A45=4,Pricing!I$2,IF(A45=5,Pricing!J$2,IF(A45=6,Pricing!K$2,IF(A45=7,Pricing!L$2,IF(A45=8,Pricing!M$2,IF(A45=9,Pricing!N$2,IF(A45=10,Pricing!O$2,0))))))))))</f>
        <v>3,000 PSI / Ash no Air</v>
      </c>
      <c r="E45" s="2431"/>
      <c r="F45" s="969">
        <f>IF(A45=1,Pricing!F$3,IF(A45=2,Pricing!G$3,IF(A45=3,Pricing!H$3,IF(A45=4,Pricing!I$3,IF(A45=5,Pricing!J$3,IF(A45=6,Pricing!K$3,IF(A45=7,Pricing!L$3,IF(A45=8,Pricing!M$3,IF(A45=9,Pricing!N$3,IF(A45=10,Pricing!O$3,0))))))))))</f>
        <v>145</v>
      </c>
      <c r="H45" s="2807"/>
      <c r="I45" s="2807"/>
      <c r="J45" s="2808"/>
      <c r="K45" s="2809">
        <f t="shared" si="47"/>
        <v>0</v>
      </c>
      <c r="L45" s="2809"/>
      <c r="M45" s="17" t="s">
        <v>1286</v>
      </c>
      <c r="N45" s="2810">
        <f t="shared" si="48"/>
        <v>0</v>
      </c>
      <c r="O45" s="2810"/>
      <c r="P45" s="961"/>
      <c r="Q45" s="859" t="s">
        <v>526</v>
      </c>
      <c r="R45" s="77"/>
      <c r="S45" s="1176">
        <f>C32/2.5*S44</f>
        <v>2500</v>
      </c>
      <c r="T45" s="77" t="s">
        <v>1259</v>
      </c>
      <c r="U45" s="1174">
        <f>Pricing!Q4</f>
        <v>0.859375</v>
      </c>
      <c r="V45" s="77" t="s">
        <v>527</v>
      </c>
      <c r="W45" s="1175">
        <f t="shared" si="49"/>
        <v>2325.68359375</v>
      </c>
    </row>
    <row r="46" spans="1:64" ht="18.75" customHeight="1">
      <c r="A46" s="1791">
        <v>3</v>
      </c>
      <c r="B46" s="574" t="str">
        <f>IF(A46=1,Pricing!F$2,IF(A46=2,Pricing!G$2,IF(A46=3,Pricing!H$2,IF(A46=4,Pricing!I$2,IF(A46=5,Pricing!J$2,IF(A46=6,Pricing!K$2,IF(A46=7,Pricing!L$2,IF(A46=8,Pricing!M$2,IF(A46=9,Pricing!N$2,IF(A46=10,Pricing!O$2,0))))))))))</f>
        <v>3,500 PSI 5.5sk /Ash and Air</v>
      </c>
      <c r="F46" s="969">
        <f>IF(A46=1,Pricing!F$3,IF(A46=2,Pricing!G$3,IF(A46=3,Pricing!H$3,IF(A46=4,Pricing!I$3,IF(A46=5,Pricing!J$3,IF(A46=6,Pricing!K$3,IF(A46=7,Pricing!L$3,IF(A46=8,Pricing!M$3,IF(A46=9,Pricing!N$3,IF(A46=10,Pricing!O$3,0))))))))))</f>
        <v>150</v>
      </c>
      <c r="H46" s="2807"/>
      <c r="I46" s="2807"/>
      <c r="J46" s="2808"/>
      <c r="K46" s="2809">
        <f t="shared" si="47"/>
        <v>0</v>
      </c>
      <c r="L46" s="2809"/>
      <c r="M46" s="17" t="s">
        <v>1286</v>
      </c>
      <c r="N46" s="2810">
        <f t="shared" si="48"/>
        <v>0</v>
      </c>
      <c r="O46" s="2810"/>
      <c r="P46" s="961"/>
      <c r="Q46" s="859"/>
      <c r="R46" s="77"/>
      <c r="S46" s="1176"/>
      <c r="T46" s="77"/>
      <c r="U46" s="1174"/>
      <c r="V46" s="77"/>
      <c r="W46" s="1175">
        <f t="shared" si="49"/>
        <v>0</v>
      </c>
    </row>
    <row r="47" spans="1:64" ht="18.75" customHeight="1">
      <c r="A47" s="1791">
        <v>4</v>
      </c>
      <c r="B47" s="574" t="str">
        <f>IF(A47=1,Pricing!F$2,IF(A47=2,Pricing!G$2,IF(A47=3,Pricing!H$2,IF(A47=4,Pricing!I$2,IF(A47=5,Pricing!J$2,IF(A47=6,Pricing!K$2,IF(A47=7,Pricing!L$2,IF(A47=8,Pricing!M$2,IF(A47=9,Pricing!N$2,IF(A47=10,Pricing!O$2,0))))))))))</f>
        <v>3,500 PSI /Ash No Air</v>
      </c>
      <c r="F47" s="969">
        <f>IF(A47=1,Pricing!F$3,IF(A47=2,Pricing!G$3,IF(A47=3,Pricing!H$3,IF(A47=4,Pricing!I$3,IF(A47=5,Pricing!J$3,IF(A47=6,Pricing!K$3,IF(A47=7,Pricing!L$3,IF(A47=8,Pricing!M$3,IF(A47=9,Pricing!N$3,IF(A47=10,Pricing!O$3,0))))))))))</f>
        <v>150</v>
      </c>
      <c r="H47" s="2807"/>
      <c r="I47" s="2807"/>
      <c r="J47" s="2808"/>
      <c r="K47" s="2809">
        <f t="shared" si="47"/>
        <v>0</v>
      </c>
      <c r="L47" s="2809"/>
      <c r="M47" s="17" t="s">
        <v>1286</v>
      </c>
      <c r="N47" s="2810">
        <f t="shared" si="48"/>
        <v>0</v>
      </c>
      <c r="O47" s="2810"/>
      <c r="P47" s="961"/>
      <c r="Q47" s="859"/>
      <c r="R47" s="77"/>
      <c r="S47" s="1176"/>
      <c r="T47" s="77"/>
      <c r="U47" s="1174"/>
      <c r="V47" s="77"/>
      <c r="W47" s="1175">
        <f t="shared" si="49"/>
        <v>0</v>
      </c>
    </row>
    <row r="48" spans="1:64" ht="18.75" customHeight="1">
      <c r="A48" s="1791">
        <v>5</v>
      </c>
      <c r="B48" s="574" t="str">
        <f>IF(A48=1,Pricing!F$2,IF(A48=2,Pricing!G$2,IF(A48=3,Pricing!H$2,IF(A48=4,Pricing!I$2,IF(A48=5,Pricing!J$2,IF(A48=6,Pricing!K$2,IF(A48=7,Pricing!L$2,IF(A48=8,Pricing!M$2,IF(A48=9,Pricing!N$2,IF(A48=10,Pricing!O$2,0))))))))))</f>
        <v>4,000 PSI /Ash and Air</v>
      </c>
      <c r="F48" s="969">
        <f>IF(A48=1,Pricing!F$3,IF(A48=2,Pricing!G$3,IF(A48=3,Pricing!H$3,IF(A48=4,Pricing!I$3,IF(A48=5,Pricing!J$3,IF(A48=6,Pricing!K$3,IF(A48=7,Pricing!L$3,IF(A48=8,Pricing!M$3,IF(A48=9,Pricing!N$3,IF(A48=10,Pricing!O$3,0))))))))))</f>
        <v>155</v>
      </c>
      <c r="H48" s="2807"/>
      <c r="I48" s="2807"/>
      <c r="J48" s="2808"/>
      <c r="K48" s="2809">
        <f t="shared" si="47"/>
        <v>0</v>
      </c>
      <c r="L48" s="2809"/>
      <c r="M48" s="17" t="s">
        <v>1286</v>
      </c>
      <c r="N48" s="2810">
        <f t="shared" si="48"/>
        <v>0</v>
      </c>
      <c r="O48" s="2810"/>
      <c r="P48" s="961"/>
      <c r="Q48" s="859"/>
      <c r="R48" s="77"/>
      <c r="S48" s="1176"/>
      <c r="T48" s="77"/>
      <c r="U48" s="1174"/>
      <c r="V48" s="77"/>
      <c r="W48" s="1175">
        <f t="shared" si="49"/>
        <v>0</v>
      </c>
    </row>
    <row r="49" spans="1:23" ht="18.75" customHeight="1">
      <c r="A49" s="1792">
        <v>9</v>
      </c>
      <c r="B49" s="574" t="str">
        <f>IF(A49=1,Pricing!F$2,IF(A49=2,Pricing!G$2,IF(A49=3,Pricing!H$2,IF(A49=4,Pricing!I$2,IF(A49=5,Pricing!J$2,IF(A49=6,Pricing!K$2,IF(A49=7,Pricing!L$2,IF(A49=8,Pricing!M$2,IF(A49=9,Pricing!N$2,IF(A49=10,Pricing!O$2,0))))))))))</f>
        <v>3,000 PSI /Air and intergral Color</v>
      </c>
      <c r="F49" s="969">
        <f>IF(A49=1,Pricing!F$3,IF(A49=2,Pricing!G$3,IF(A49=3,Pricing!H$3,IF(A49=4,Pricing!I$3,IF(A49=5,Pricing!J$3,IF(A49=6,Pricing!K$3,IF(A49=7,Pricing!L$3,IF(A49=8,Pricing!M$3,IF(A49=9,Pricing!N$3,IF(A49=10,Pricing!O$3,0))))))))))</f>
        <v>250</v>
      </c>
      <c r="G49" s="18" t="s">
        <v>1285</v>
      </c>
      <c r="H49" s="2807"/>
      <c r="I49" s="2807"/>
      <c r="J49" s="2808"/>
      <c r="K49" s="2809">
        <f t="shared" si="47"/>
        <v>0</v>
      </c>
      <c r="L49" s="2809"/>
      <c r="M49" s="17" t="s">
        <v>1286</v>
      </c>
      <c r="N49" s="2810">
        <f t="shared" si="48"/>
        <v>0</v>
      </c>
      <c r="O49" s="2810"/>
      <c r="P49" s="1038" t="s">
        <v>1069</v>
      </c>
      <c r="Q49" s="859" t="s">
        <v>534</v>
      </c>
      <c r="R49" s="77"/>
      <c r="S49" s="1176">
        <f>S45*0.2</f>
        <v>500</v>
      </c>
      <c r="T49" s="77" t="s">
        <v>1259</v>
      </c>
      <c r="U49" s="1174">
        <f>Pricing!Q5</f>
        <v>1.4453125</v>
      </c>
      <c r="V49" s="77" t="s">
        <v>527</v>
      </c>
      <c r="W49" s="1175">
        <f t="shared" si="49"/>
        <v>782.275390625</v>
      </c>
    </row>
    <row r="50" spans="1:23" ht="18.75" customHeight="1">
      <c r="A50" s="1794">
        <v>10</v>
      </c>
      <c r="B50" s="966" t="str">
        <f>IF(A50=1,Pricing!F$2,IF(A50=2,Pricing!G$2,IF(A50=3,Pricing!H$2,IF(A50=4,Pricing!I$2,IF(A50=5,Pricing!J$2,IF(A50=6,Pricing!K$2,IF(A50=7,Pricing!L$2,IF(A50=8,Pricing!M$2,IF(A50=9,Pricing!N$2,IF(A50=10,Pricing!O$2,0))))))))))</f>
        <v xml:space="preserve">3,000 PSI SideWalks </v>
      </c>
      <c r="C50" s="373"/>
      <c r="D50" s="373"/>
      <c r="E50" s="373"/>
      <c r="F50" s="1180">
        <f>IF(A50=1,Pricing!F$3,IF(A50=2,Pricing!G$3,IF(A50=3,Pricing!H$3,IF(A50=4,Pricing!I$3,IF(A50=5,Pricing!J$3,IF(A50=6,Pricing!K$3,IF(A50=7,Pricing!L$3,IF(A50=8,Pricing!M$3,IF(A50=9,Pricing!N$3,IF(A50=10,Pricing!O$3,0))))))))))</f>
        <v>134</v>
      </c>
      <c r="G50" s="373" t="s">
        <v>1285</v>
      </c>
      <c r="H50" s="2807"/>
      <c r="I50" s="2807"/>
      <c r="J50" s="2808"/>
      <c r="K50" s="2809">
        <f t="shared" si="47"/>
        <v>163.58024691358025</v>
      </c>
      <c r="L50" s="2809"/>
      <c r="M50" s="967" t="s">
        <v>1286</v>
      </c>
      <c r="N50" s="2810">
        <f t="shared" si="48"/>
        <v>23728.132716049386</v>
      </c>
      <c r="O50" s="2810"/>
      <c r="P50" s="1038" t="s">
        <v>1069</v>
      </c>
      <c r="Q50" s="859" t="s">
        <v>536</v>
      </c>
      <c r="R50" s="77"/>
      <c r="S50" s="1176">
        <v>0</v>
      </c>
      <c r="T50" s="77" t="s">
        <v>1259</v>
      </c>
      <c r="U50" s="1174">
        <f>Pricing!Q6</f>
        <v>1.171875</v>
      </c>
      <c r="V50" s="77" t="s">
        <v>527</v>
      </c>
      <c r="W50" s="1175">
        <f t="shared" si="49"/>
        <v>0</v>
      </c>
    </row>
    <row r="51" spans="1:23" ht="18.75" customHeight="1">
      <c r="A51" s="1877" t="str">
        <f>Summary!V61</f>
        <v>Import</v>
      </c>
      <c r="B51" s="963" t="s">
        <v>1287</v>
      </c>
      <c r="F51" s="969">
        <f>Pricing!D24</f>
        <v>0.6</v>
      </c>
      <c r="G51" s="18" t="s">
        <v>555</v>
      </c>
      <c r="H51" s="2811" t="s">
        <v>1930</v>
      </c>
      <c r="I51" s="2811"/>
      <c r="J51" s="970">
        <v>0.1</v>
      </c>
      <c r="K51" s="2812">
        <f>SUM(R10:R31)</f>
        <v>6888.1157167968759</v>
      </c>
      <c r="L51" s="2812"/>
      <c r="M51" s="18" t="s">
        <v>1288</v>
      </c>
      <c r="N51" s="2813">
        <f>F51*K51*(IF(T35="N",1+V35,1))</f>
        <v>4473.831158059571</v>
      </c>
      <c r="O51" s="2813"/>
      <c r="P51" s="1038" t="s">
        <v>1069</v>
      </c>
      <c r="Q51" s="859" t="s">
        <v>538</v>
      </c>
      <c r="R51" s="77"/>
      <c r="S51" s="1176"/>
      <c r="T51" s="77" t="s">
        <v>1259</v>
      </c>
      <c r="U51" s="1174">
        <f>Pricing!Q7</f>
        <v>1.09375</v>
      </c>
      <c r="V51" s="77" t="s">
        <v>527</v>
      </c>
      <c r="W51" s="1175">
        <f t="shared" si="49"/>
        <v>0</v>
      </c>
    </row>
    <row r="52" spans="1:23" ht="18.75" customHeight="1">
      <c r="A52" s="574"/>
      <c r="B52" s="963" t="s">
        <v>598</v>
      </c>
      <c r="F52" s="1182">
        <f>Pricing!D28</f>
        <v>0.86250000000000004</v>
      </c>
      <c r="G52" s="18" t="s">
        <v>600</v>
      </c>
      <c r="H52" s="2814" t="s">
        <v>1930</v>
      </c>
      <c r="I52" s="2814"/>
      <c r="J52" s="1184">
        <v>0.1</v>
      </c>
      <c r="K52" s="2809">
        <f>SUM(Q10:Q31)</f>
        <v>0</v>
      </c>
      <c r="L52" s="2809"/>
      <c r="M52" s="18" t="s">
        <v>1418</v>
      </c>
      <c r="N52" s="2810">
        <f>BJ32</f>
        <v>0</v>
      </c>
      <c r="O52" s="2810"/>
      <c r="P52" s="1038" t="s">
        <v>1069</v>
      </c>
      <c r="Q52" s="859" t="s">
        <v>1931</v>
      </c>
      <c r="R52" s="77"/>
      <c r="S52" s="1176">
        <v>0</v>
      </c>
      <c r="T52" s="77" t="s">
        <v>1609</v>
      </c>
      <c r="U52" s="1174">
        <f>Pricing!Q9</f>
        <v>20</v>
      </c>
      <c r="V52" s="77" t="s">
        <v>630</v>
      </c>
      <c r="W52" s="1175">
        <f>U52*S52</f>
        <v>0</v>
      </c>
    </row>
    <row r="53" spans="1:23" ht="18.75" customHeight="1">
      <c r="A53" s="574"/>
      <c r="B53" s="966"/>
      <c r="C53" s="373"/>
      <c r="D53" s="373"/>
      <c r="E53" s="373"/>
      <c r="F53" s="373"/>
      <c r="G53" s="373"/>
      <c r="H53" s="373"/>
      <c r="I53" s="373"/>
      <c r="J53" s="373"/>
      <c r="K53" s="373"/>
      <c r="L53" s="373"/>
      <c r="M53" s="373"/>
      <c r="N53" s="2815"/>
      <c r="O53" s="2815"/>
      <c r="P53" s="1038" t="s">
        <v>1069</v>
      </c>
      <c r="Q53" s="859" t="s">
        <v>540</v>
      </c>
      <c r="R53" s="77"/>
      <c r="S53" s="1176">
        <f>BY31*0.35</f>
        <v>0</v>
      </c>
      <c r="T53" s="77" t="s">
        <v>1293</v>
      </c>
      <c r="U53" s="1174">
        <f>Pricing!Q8</f>
        <v>74.75</v>
      </c>
      <c r="V53" s="77" t="s">
        <v>541</v>
      </c>
      <c r="W53" s="1175">
        <f t="shared" ref="W53:W61" si="50">IF(T$35="Y",S53*U53,S53*U53*(1+V$35))</f>
        <v>0</v>
      </c>
    </row>
    <row r="54" spans="1:23" ht="18.75" customHeight="1">
      <c r="A54" s="1087"/>
      <c r="B54" s="17" t="s">
        <v>1421</v>
      </c>
      <c r="F54" s="1191">
        <f>Pricing!D19</f>
        <v>25</v>
      </c>
      <c r="G54" s="18" t="s">
        <v>1285</v>
      </c>
      <c r="H54" s="2816" t="s">
        <v>1930</v>
      </c>
      <c r="I54" s="2816"/>
      <c r="J54" s="2808">
        <v>0.05</v>
      </c>
      <c r="K54" s="2817">
        <f>SUM(P10:P31)</f>
        <v>81.018518518518519</v>
      </c>
      <c r="L54" s="2817"/>
      <c r="M54" s="18" t="s">
        <v>1286</v>
      </c>
      <c r="N54" s="2813">
        <f>K54*F54*(IF(T35="N",(1+V35),1))</f>
        <v>2192.5636574074074</v>
      </c>
      <c r="O54" s="2813"/>
      <c r="P54" s="1038" t="s">
        <v>1069</v>
      </c>
      <c r="Q54" s="859" t="s">
        <v>1932</v>
      </c>
      <c r="R54" s="77"/>
      <c r="S54" s="1176">
        <f>C32/9/36</f>
        <v>38.580246913580247</v>
      </c>
      <c r="T54" s="77" t="s">
        <v>1780</v>
      </c>
      <c r="U54" s="1174">
        <f>Pricing!Q15</f>
        <v>24</v>
      </c>
      <c r="V54" s="77" t="s">
        <v>1300</v>
      </c>
      <c r="W54" s="1175">
        <f t="shared" si="50"/>
        <v>1002.3148148148148</v>
      </c>
    </row>
    <row r="55" spans="1:23" ht="18.75" customHeight="1">
      <c r="A55" s="574"/>
      <c r="B55" s="987" t="s">
        <v>1781</v>
      </c>
      <c r="C55" s="373"/>
      <c r="D55" s="1192"/>
      <c r="E55" s="373"/>
      <c r="F55" s="1193">
        <v>15</v>
      </c>
      <c r="G55" s="373" t="s">
        <v>1285</v>
      </c>
      <c r="H55" s="2816"/>
      <c r="I55" s="2816"/>
      <c r="J55" s="2808"/>
      <c r="K55" s="2818"/>
      <c r="L55" s="2818"/>
      <c r="M55" s="373" t="s">
        <v>1286</v>
      </c>
      <c r="N55" s="2819">
        <f>K55*F55*(IF(T35="N",(1+V35),1))</f>
        <v>0</v>
      </c>
      <c r="O55" s="2819"/>
      <c r="P55" s="1038" t="s">
        <v>1069</v>
      </c>
      <c r="Q55" s="859" t="s">
        <v>561</v>
      </c>
      <c r="R55" s="77"/>
      <c r="S55" s="1176">
        <f>ROUNDUP(SUM(C10:D31)/6000,0)</f>
        <v>3</v>
      </c>
      <c r="T55" s="77" t="s">
        <v>1303</v>
      </c>
      <c r="U55" s="1174">
        <f>Pricing!Q16</f>
        <v>68.2</v>
      </c>
      <c r="V55" s="77" t="s">
        <v>562</v>
      </c>
      <c r="W55" s="1175">
        <f t="shared" si="50"/>
        <v>221.47950000000003</v>
      </c>
    </row>
    <row r="56" spans="1:23" ht="18.75" customHeight="1">
      <c r="A56" s="577"/>
      <c r="B56" s="577" t="s">
        <v>1431</v>
      </c>
      <c r="C56" s="976"/>
      <c r="D56" s="976"/>
      <c r="E56" s="976"/>
      <c r="F56" s="1798">
        <v>0.65</v>
      </c>
      <c r="G56" s="976" t="s">
        <v>1432</v>
      </c>
      <c r="H56" s="2820" t="s">
        <v>1433</v>
      </c>
      <c r="I56" s="2820"/>
      <c r="J56" s="978">
        <v>0</v>
      </c>
      <c r="K56" s="2821"/>
      <c r="L56" s="2821"/>
      <c r="M56" s="976" t="s">
        <v>1259</v>
      </c>
      <c r="N56" s="2822">
        <f>F56*J56*K56</f>
        <v>0</v>
      </c>
      <c r="O56" s="2822"/>
      <c r="P56" s="1038" t="s">
        <v>1069</v>
      </c>
      <c r="Q56" s="859" t="s">
        <v>563</v>
      </c>
      <c r="R56" s="77"/>
      <c r="S56" s="1176">
        <f>ROUNDUP(SUM(C10:C31)*1.25/6000,0)*0.5</f>
        <v>1.5</v>
      </c>
      <c r="T56" s="77" t="s">
        <v>1303</v>
      </c>
      <c r="U56" s="1174">
        <f>Pricing!Q17</f>
        <v>68.2</v>
      </c>
      <c r="V56" s="77" t="s">
        <v>562</v>
      </c>
      <c r="W56" s="1175">
        <f t="shared" si="50"/>
        <v>110.73975000000002</v>
      </c>
    </row>
    <row r="57" spans="1:23" ht="18.75" customHeight="1">
      <c r="A57" s="653"/>
      <c r="B57" s="693"/>
      <c r="C57" s="693"/>
      <c r="D57" s="693"/>
      <c r="E57" s="693"/>
      <c r="F57" s="693"/>
      <c r="G57" s="693"/>
      <c r="H57" s="1742"/>
      <c r="I57" s="1742"/>
      <c r="J57" s="2432"/>
      <c r="K57" s="2433"/>
      <c r="L57" s="2433"/>
      <c r="M57" s="693"/>
      <c r="N57" s="2434"/>
      <c r="O57" s="703"/>
      <c r="P57" s="1038" t="s">
        <v>1069</v>
      </c>
      <c r="Q57" s="859" t="s">
        <v>564</v>
      </c>
      <c r="R57" s="77"/>
      <c r="S57" s="1176">
        <f>S56</f>
        <v>1.5</v>
      </c>
      <c r="T57" s="77" t="s">
        <v>1303</v>
      </c>
      <c r="U57" s="1174">
        <f>Pricing!Q18</f>
        <v>68.2</v>
      </c>
      <c r="V57" s="77" t="s">
        <v>562</v>
      </c>
      <c r="W57" s="1175">
        <f t="shared" si="50"/>
        <v>110.73975000000002</v>
      </c>
    </row>
    <row r="58" spans="1:23" ht="18.75" customHeight="1">
      <c r="A58" s="1202" t="s">
        <v>1434</v>
      </c>
      <c r="B58" s="1203"/>
      <c r="C58" s="1203" t="s">
        <v>1296</v>
      </c>
      <c r="D58" s="1203"/>
      <c r="E58" s="1203"/>
      <c r="F58" s="1203"/>
      <c r="G58" s="1203"/>
      <c r="H58" s="1203"/>
      <c r="I58" s="1203"/>
      <c r="J58" s="1203"/>
      <c r="K58" s="2823" t="s">
        <v>973</v>
      </c>
      <c r="L58" s="2823"/>
      <c r="M58" s="2824" t="s">
        <v>1297</v>
      </c>
      <c r="N58" s="2824"/>
      <c r="O58" s="2824"/>
      <c r="P58" s="1038" t="s">
        <v>1069</v>
      </c>
      <c r="Q58" s="859" t="s">
        <v>1310</v>
      </c>
      <c r="R58" s="77"/>
      <c r="S58" s="1176">
        <v>0</v>
      </c>
      <c r="T58" s="77" t="s">
        <v>1303</v>
      </c>
      <c r="U58" s="1174">
        <f>Pricing!Q34</f>
        <v>45.239999999999995</v>
      </c>
      <c r="V58" s="77" t="s">
        <v>562</v>
      </c>
      <c r="W58" s="1175">
        <f t="shared" si="50"/>
        <v>0</v>
      </c>
    </row>
    <row r="59" spans="1:23" ht="18.75" customHeight="1">
      <c r="A59" s="1204" t="s">
        <v>1437</v>
      </c>
      <c r="B59" s="663"/>
      <c r="C59" s="982" t="s">
        <v>1306</v>
      </c>
      <c r="D59" s="2825">
        <v>0.75</v>
      </c>
      <c r="E59" s="2825"/>
      <c r="F59" s="983" t="s">
        <v>1618</v>
      </c>
      <c r="G59" s="2826">
        <f>SUM(D59:E61)</f>
        <v>1.9000000000000001</v>
      </c>
      <c r="H59" s="2827">
        <f>C32</f>
        <v>12500</v>
      </c>
      <c r="I59" s="2827"/>
      <c r="J59" s="983" t="s">
        <v>1418</v>
      </c>
      <c r="K59" s="2828">
        <f>IF(C59="N",D59*H$59,0)</f>
        <v>0</v>
      </c>
      <c r="L59" s="2828"/>
      <c r="M59" s="168"/>
      <c r="N59" s="2829">
        <f>IF(C59="y",H$59*D59,0)</f>
        <v>9375</v>
      </c>
      <c r="O59" s="2829"/>
      <c r="P59" s="1038" t="s">
        <v>1069</v>
      </c>
      <c r="Q59" s="859" t="s">
        <v>571</v>
      </c>
      <c r="R59" s="77"/>
      <c r="S59" s="1176">
        <f>BN58+AB123</f>
        <v>0</v>
      </c>
      <c r="T59" s="77" t="s">
        <v>1259</v>
      </c>
      <c r="U59" s="1174">
        <f>Pricing!Q19</f>
        <v>0.95</v>
      </c>
      <c r="V59" s="77" t="s">
        <v>527</v>
      </c>
      <c r="W59" s="1175">
        <f t="shared" si="50"/>
        <v>0</v>
      </c>
    </row>
    <row r="60" spans="1:23" ht="18.75" customHeight="1">
      <c r="A60" s="482" t="s">
        <v>1442</v>
      </c>
      <c r="B60" s="380"/>
      <c r="C60" s="984" t="s">
        <v>1306</v>
      </c>
      <c r="D60" s="2830">
        <v>0.85</v>
      </c>
      <c r="E60" s="2830"/>
      <c r="F60" s="18" t="s">
        <v>1618</v>
      </c>
      <c r="G60" s="2826"/>
      <c r="H60" s="2827"/>
      <c r="I60" s="2827"/>
      <c r="J60" s="18" t="s">
        <v>1418</v>
      </c>
      <c r="K60" s="2831">
        <f>IF(C60="N",D60*H$59,0)</f>
        <v>0</v>
      </c>
      <c r="L60" s="2831"/>
      <c r="N60" s="2792">
        <f>IF(C60="y",H$59*D60,0)</f>
        <v>10625</v>
      </c>
      <c r="O60" s="2792"/>
      <c r="P60" s="1038" t="s">
        <v>1069</v>
      </c>
      <c r="Q60" s="859" t="s">
        <v>576</v>
      </c>
      <c r="R60" s="77"/>
      <c r="S60" s="1176">
        <v>0</v>
      </c>
      <c r="T60" s="77" t="s">
        <v>1259</v>
      </c>
      <c r="U60" s="1174">
        <f>Pricing!Q20</f>
        <v>0.25</v>
      </c>
      <c r="V60" s="77" t="s">
        <v>527</v>
      </c>
      <c r="W60" s="1175">
        <f t="shared" si="50"/>
        <v>0</v>
      </c>
    </row>
    <row r="61" spans="1:23" ht="18.75" customHeight="1">
      <c r="A61" s="482" t="s">
        <v>1443</v>
      </c>
      <c r="B61" s="380"/>
      <c r="C61" s="984" t="s">
        <v>1306</v>
      </c>
      <c r="D61" s="2830">
        <v>0.3</v>
      </c>
      <c r="E61" s="2830"/>
      <c r="F61" s="18" t="s">
        <v>1618</v>
      </c>
      <c r="G61" s="2826"/>
      <c r="H61" s="2827"/>
      <c r="I61" s="2827"/>
      <c r="J61" s="18" t="s">
        <v>1418</v>
      </c>
      <c r="K61" s="2831">
        <f>IF(C61="N",D61*H$59,0)</f>
        <v>0</v>
      </c>
      <c r="L61" s="2831"/>
      <c r="N61" s="2792">
        <f>IF(C61="y",H$59*D61,0)</f>
        <v>3750</v>
      </c>
      <c r="O61" s="2792"/>
      <c r="P61" s="1038" t="s">
        <v>1069</v>
      </c>
      <c r="Q61" s="859" t="s">
        <v>549</v>
      </c>
      <c r="R61" s="77"/>
      <c r="S61" s="1176">
        <f>AP32</f>
        <v>625</v>
      </c>
      <c r="T61" s="77" t="s">
        <v>1259</v>
      </c>
      <c r="U61" s="1174">
        <f>Pricing!Q11</f>
        <v>0.77718749999999992</v>
      </c>
      <c r="V61" s="77" t="s">
        <v>527</v>
      </c>
      <c r="W61" s="1175">
        <f t="shared" si="50"/>
        <v>525.81591796875</v>
      </c>
    </row>
    <row r="62" spans="1:23" ht="18.75" customHeight="1">
      <c r="A62" s="482" t="s">
        <v>1928</v>
      </c>
      <c r="B62" s="380"/>
      <c r="C62" s="984" t="s">
        <v>1306</v>
      </c>
      <c r="D62" s="2830"/>
      <c r="E62" s="2830"/>
      <c r="F62" s="18" t="s">
        <v>595</v>
      </c>
      <c r="G62" s="2435" t="s">
        <v>550</v>
      </c>
      <c r="H62" s="2832"/>
      <c r="I62" s="2832"/>
      <c r="J62" s="18" t="s">
        <v>1933</v>
      </c>
      <c r="K62" s="2831">
        <f>IF(C62="N",D62*H62,0)</f>
        <v>0</v>
      </c>
      <c r="L62" s="2831"/>
      <c r="N62" s="2792">
        <f>IF(C62="y",H62*D62,0)</f>
        <v>0</v>
      </c>
      <c r="O62" s="2792"/>
      <c r="P62" s="1038" t="s">
        <v>1069</v>
      </c>
      <c r="Q62" s="859" t="s">
        <v>552</v>
      </c>
      <c r="R62" s="77"/>
      <c r="S62" s="1176">
        <f>AQ32</f>
        <v>0</v>
      </c>
      <c r="T62" s="77" t="s">
        <v>1259</v>
      </c>
      <c r="U62" s="1174">
        <f>Pricing!Q13</f>
        <v>1.494375</v>
      </c>
      <c r="V62" s="77" t="s">
        <v>527</v>
      </c>
      <c r="W62" s="1175">
        <f t="shared" ref="W62:W75" si="51">U62*S62</f>
        <v>0</v>
      </c>
    </row>
    <row r="63" spans="1:23" ht="18.75" customHeight="1">
      <c r="A63" s="482" t="s">
        <v>1917</v>
      </c>
      <c r="B63" s="380"/>
      <c r="C63" s="984" t="s">
        <v>1306</v>
      </c>
      <c r="D63" s="2830"/>
      <c r="E63" s="2830"/>
      <c r="F63" s="18" t="s">
        <v>1259</v>
      </c>
      <c r="G63" s="2435" t="s">
        <v>550</v>
      </c>
      <c r="H63" s="2832"/>
      <c r="I63" s="2832"/>
      <c r="J63" s="18" t="s">
        <v>1259</v>
      </c>
      <c r="K63" s="2831">
        <f>IF(C63="N",D63*H63,0)</f>
        <v>0</v>
      </c>
      <c r="L63" s="2831"/>
      <c r="N63" s="2792">
        <f>IF(C63="y",H63*D63,0)</f>
        <v>0</v>
      </c>
      <c r="O63" s="2792"/>
      <c r="P63" s="1038" t="s">
        <v>1069</v>
      </c>
      <c r="Q63" s="859" t="s">
        <v>546</v>
      </c>
      <c r="R63" s="77"/>
      <c r="S63" s="1176">
        <f>SUM(S61:S62)</f>
        <v>625</v>
      </c>
      <c r="T63" s="77" t="s">
        <v>1259</v>
      </c>
      <c r="U63" s="1174">
        <f>Pricing!Q10</f>
        <v>0.70874999999999999</v>
      </c>
      <c r="V63" s="77" t="s">
        <v>527</v>
      </c>
      <c r="W63" s="1175">
        <f t="shared" si="51"/>
        <v>442.96875</v>
      </c>
    </row>
    <row r="64" spans="1:23" ht="18.75" customHeight="1">
      <c r="A64" s="1566" t="s">
        <v>1313</v>
      </c>
      <c r="B64" s="988"/>
      <c r="C64" s="989" t="s">
        <v>1306</v>
      </c>
      <c r="D64" s="2833"/>
      <c r="E64" s="2833"/>
      <c r="F64" s="373"/>
      <c r="G64" s="373"/>
      <c r="H64" s="973"/>
      <c r="I64" s="973"/>
      <c r="J64" s="373"/>
      <c r="K64" s="2834">
        <f>IF(C64="N",D64,0)</f>
        <v>0</v>
      </c>
      <c r="L64" s="2834"/>
      <c r="M64" s="248"/>
      <c r="N64" s="2835">
        <f>IF(C64="y",D64,0)</f>
        <v>0</v>
      </c>
      <c r="O64" s="2835"/>
      <c r="P64" s="1038" t="s">
        <v>1069</v>
      </c>
      <c r="Q64" s="859"/>
      <c r="R64" s="77"/>
      <c r="S64" s="1176"/>
      <c r="T64" s="77"/>
      <c r="U64" s="1174"/>
      <c r="V64" s="77"/>
      <c r="W64" s="1175">
        <f t="shared" si="51"/>
        <v>0</v>
      </c>
    </row>
    <row r="65" spans="1:23" ht="18.75" customHeight="1">
      <c r="A65" s="990" t="s">
        <v>1447</v>
      </c>
      <c r="B65" s="991"/>
      <c r="C65" s="992"/>
      <c r="D65" s="2836">
        <f>IF(H59=0,0,(N65-N64+K65)/H59)</f>
        <v>1.9</v>
      </c>
      <c r="E65" s="2836"/>
      <c r="F65" s="802"/>
      <c r="G65" s="976"/>
      <c r="H65" s="2837" t="s">
        <v>980</v>
      </c>
      <c r="I65" s="2837"/>
      <c r="J65" s="2837"/>
      <c r="K65" s="2838">
        <f>SUM(K59:L64)</f>
        <v>0</v>
      </c>
      <c r="L65" s="2838"/>
      <c r="M65" s="229"/>
      <c r="N65" s="2839">
        <f>SUM(N59:O64)</f>
        <v>23750</v>
      </c>
      <c r="O65" s="2839"/>
      <c r="P65" s="1038" t="s">
        <v>1069</v>
      </c>
      <c r="Q65" s="859" t="s">
        <v>1934</v>
      </c>
      <c r="R65" s="77"/>
      <c r="S65" s="1176">
        <f>H62</f>
        <v>0</v>
      </c>
      <c r="T65" s="77" t="s">
        <v>1312</v>
      </c>
      <c r="U65" s="1174">
        <v>125</v>
      </c>
      <c r="V65" s="77" t="s">
        <v>595</v>
      </c>
      <c r="W65" s="1175">
        <f t="shared" si="51"/>
        <v>0</v>
      </c>
    </row>
    <row r="66" spans="1:23" ht="18.75" customHeight="1">
      <c r="A66" s="2840" t="s">
        <v>1315</v>
      </c>
      <c r="B66" s="2840"/>
      <c r="C66" s="2840"/>
      <c r="D66" s="2840"/>
      <c r="E66" s="2840"/>
      <c r="F66" s="2840"/>
      <c r="G66" s="2840"/>
      <c r="H66" s="2840"/>
      <c r="I66" s="2840"/>
      <c r="J66" s="2840"/>
      <c r="K66" s="2840"/>
      <c r="L66" s="2840"/>
      <c r="M66" s="2840"/>
      <c r="N66" s="2840"/>
      <c r="O66" s="2840"/>
      <c r="P66" s="1038" t="s">
        <v>1069</v>
      </c>
      <c r="Q66" s="859"/>
      <c r="R66" s="77"/>
      <c r="S66" s="1176"/>
      <c r="T66" s="77"/>
      <c r="U66" s="1174"/>
      <c r="V66" s="77"/>
      <c r="W66" s="1175">
        <f t="shared" si="51"/>
        <v>0</v>
      </c>
    </row>
    <row r="67" spans="1:23" ht="18.75" customHeight="1">
      <c r="A67" s="1593" t="s">
        <v>1316</v>
      </c>
      <c r="B67" s="1802"/>
      <c r="C67" s="998">
        <f>H59/3000</f>
        <v>4.166666666666667</v>
      </c>
      <c r="D67" s="999">
        <f>C67*7</f>
        <v>29.166666666666668</v>
      </c>
      <c r="E67" s="1802" t="s">
        <v>1317</v>
      </c>
      <c r="F67" s="1000">
        <v>425</v>
      </c>
      <c r="G67" s="1806" t="s">
        <v>620</v>
      </c>
      <c r="H67" s="983"/>
      <c r="I67" s="983"/>
      <c r="J67" s="983"/>
      <c r="K67" s="983"/>
      <c r="L67" s="2841">
        <f>IF(D36=0,0,(SUM(N67:O69))/D36)</f>
        <v>0.21062044427715043</v>
      </c>
      <c r="M67" s="2841"/>
      <c r="N67" s="2829">
        <f>D67*F67</f>
        <v>12395.833333333334</v>
      </c>
      <c r="O67" s="2829"/>
      <c r="P67" s="1038" t="s">
        <v>1069</v>
      </c>
      <c r="Q67" s="859"/>
      <c r="R67" s="77"/>
      <c r="S67" s="1176"/>
      <c r="T67" s="77"/>
      <c r="U67" s="1174"/>
      <c r="V67" s="77"/>
      <c r="W67" s="1175">
        <f t="shared" si="51"/>
        <v>0</v>
      </c>
    </row>
    <row r="68" spans="1:23" ht="18.75" customHeight="1">
      <c r="A68" s="482" t="s">
        <v>1318</v>
      </c>
      <c r="B68" s="77"/>
      <c r="C68" s="77"/>
      <c r="D68" s="1002">
        <f>D67</f>
        <v>29.166666666666668</v>
      </c>
      <c r="E68" s="77" t="s">
        <v>1317</v>
      </c>
      <c r="F68" s="1004">
        <v>375</v>
      </c>
      <c r="G68" s="77" t="s">
        <v>620</v>
      </c>
      <c r="L68" s="2842">
        <f>SUM(N67:O69)</f>
        <v>26250.000000000004</v>
      </c>
      <c r="M68" s="2842"/>
      <c r="N68" s="2792">
        <f>D68*F68</f>
        <v>10937.5</v>
      </c>
      <c r="O68" s="2792"/>
      <c r="P68" s="1038" t="s">
        <v>1069</v>
      </c>
      <c r="Q68" s="859"/>
      <c r="R68" s="77"/>
      <c r="S68" s="1176"/>
      <c r="T68" s="77"/>
      <c r="U68" s="1174"/>
      <c r="V68" s="77"/>
      <c r="W68" s="1175">
        <f t="shared" si="51"/>
        <v>0</v>
      </c>
    </row>
    <row r="69" spans="1:23" ht="18.75" customHeight="1">
      <c r="A69" s="1177" t="s">
        <v>1320</v>
      </c>
      <c r="B69" s="77"/>
      <c r="C69" s="77"/>
      <c r="D69" s="1002">
        <f>D67</f>
        <v>29.166666666666668</v>
      </c>
      <c r="E69" s="77" t="s">
        <v>1317</v>
      </c>
      <c r="F69" s="1004">
        <v>100</v>
      </c>
      <c r="G69" s="77" t="s">
        <v>620</v>
      </c>
      <c r="N69" s="2792">
        <f>D69*F69</f>
        <v>2916.666666666667</v>
      </c>
      <c r="O69" s="2792"/>
      <c r="P69" s="1038" t="s">
        <v>1069</v>
      </c>
      <c r="Q69" s="859"/>
      <c r="R69" s="77"/>
      <c r="S69" s="1176"/>
      <c r="T69" s="1212"/>
      <c r="U69" s="1174"/>
      <c r="V69" s="77"/>
      <c r="W69" s="1175">
        <f t="shared" si="51"/>
        <v>0</v>
      </c>
    </row>
    <row r="70" spans="1:23" ht="18.75" customHeight="1">
      <c r="A70" s="1177" t="s">
        <v>1321</v>
      </c>
      <c r="B70" s="77"/>
      <c r="C70" s="77"/>
      <c r="D70" s="1002">
        <f>D67</f>
        <v>29.166666666666668</v>
      </c>
      <c r="E70" s="77"/>
      <c r="F70" s="1004">
        <v>100</v>
      </c>
      <c r="G70" s="77"/>
      <c r="L70" s="2843">
        <f>IF(D18=0,0,N70/D18)</f>
        <v>0</v>
      </c>
      <c r="M70" s="2843"/>
      <c r="N70" s="2792">
        <f>D70*F70</f>
        <v>2916.666666666667</v>
      </c>
      <c r="O70" s="2792"/>
      <c r="P70" s="1038"/>
      <c r="Q70" s="859"/>
      <c r="R70" s="77"/>
      <c r="S70" s="1176"/>
      <c r="T70" s="1212"/>
      <c r="U70" s="1174"/>
      <c r="V70" s="77"/>
      <c r="W70" s="1175">
        <f t="shared" si="51"/>
        <v>0</v>
      </c>
    </row>
    <row r="71" spans="1:23" ht="18.75" customHeight="1">
      <c r="A71" s="2840" t="s">
        <v>1325</v>
      </c>
      <c r="B71" s="2840"/>
      <c r="C71" s="2840"/>
      <c r="D71" s="2840"/>
      <c r="E71" s="2840"/>
      <c r="F71" s="2840"/>
      <c r="G71" s="2840"/>
      <c r="H71" s="2840"/>
      <c r="I71" s="2840"/>
      <c r="J71" s="2840"/>
      <c r="K71" s="2840"/>
      <c r="L71" s="2840"/>
      <c r="M71" s="2840"/>
      <c r="N71" s="2840"/>
      <c r="O71" s="2840"/>
      <c r="P71" s="1038" t="s">
        <v>1069</v>
      </c>
      <c r="Q71" s="859"/>
      <c r="R71" s="77"/>
      <c r="S71" s="1176"/>
      <c r="T71" s="77"/>
      <c r="U71" s="1174"/>
      <c r="V71" s="77"/>
      <c r="W71" s="1175">
        <f t="shared" si="51"/>
        <v>0</v>
      </c>
    </row>
    <row r="72" spans="1:23" ht="18.75" customHeight="1">
      <c r="A72" s="2844" t="s">
        <v>645</v>
      </c>
      <c r="B72" s="2844"/>
      <c r="C72" s="2844"/>
      <c r="D72" s="999"/>
      <c r="E72" s="1802" t="s">
        <v>1327</v>
      </c>
      <c r="F72" s="1000">
        <f>Pricing!D44</f>
        <v>425</v>
      </c>
      <c r="G72" s="1802" t="s">
        <v>620</v>
      </c>
      <c r="H72" s="1802"/>
      <c r="I72" s="1802"/>
      <c r="J72" s="1802"/>
      <c r="K72" s="1802"/>
      <c r="L72" s="1802"/>
      <c r="M72" s="1802"/>
      <c r="N72" s="2845">
        <f>(IF(AND(D72&gt;0,D72&lt;4),D72*F72,0)+IF(AND(D72&gt;3,D72&lt;8),F72*3,0)+IF(AND(D72&gt;7,D72&lt;21),D72/7*F72*3,0)+IF(AND(D72&gt;20,D72&lt;30),F72*9,0)+IF(D72&gt;29,D72/30*F72*9,0))*(1+V$35+I$74)</f>
        <v>0</v>
      </c>
      <c r="O72" s="2845"/>
      <c r="P72" s="1038" t="s">
        <v>1069</v>
      </c>
      <c r="Q72" s="859"/>
      <c r="R72" s="77"/>
      <c r="S72" s="1176"/>
      <c r="T72" s="77"/>
      <c r="U72" s="1174"/>
      <c r="V72" s="77"/>
      <c r="W72" s="1175">
        <f t="shared" si="51"/>
        <v>0</v>
      </c>
    </row>
    <row r="73" spans="1:23" ht="18.75" customHeight="1">
      <c r="A73" s="2846" t="s">
        <v>1935</v>
      </c>
      <c r="B73" s="2846"/>
      <c r="C73" s="2846"/>
      <c r="D73" s="1012">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60</v>
      </c>
      <c r="E73" s="77" t="s">
        <v>1327</v>
      </c>
      <c r="F73" s="1004">
        <f>Pricing!D35</f>
        <v>325</v>
      </c>
      <c r="G73" s="77" t="s">
        <v>620</v>
      </c>
      <c r="H73" s="77"/>
      <c r="I73" s="2847" t="s">
        <v>1936</v>
      </c>
      <c r="J73" s="2847"/>
      <c r="K73" s="77"/>
      <c r="L73" s="2848">
        <f>IF(D36=0,0,(SUM(N72:O77))/D36)</f>
        <v>0.11290807527140651</v>
      </c>
      <c r="M73" s="2848"/>
      <c r="N73" s="2849">
        <f>(IF(AND(D73&gt;0,D73&lt;4),D73*F73,0)+IF(AND(D73&gt;3,D73&lt;8),F73*3,0)+IF(AND(D73&gt;7,D73&lt;21),D73/7*F73*3,0)+IF(AND(D73&gt;20,D73&lt;30),F73*9,0)+IF(D73&gt;29,D73/30*F73*9,0))*(1+V$35+I$74)</f>
        <v>9257.625</v>
      </c>
      <c r="O73" s="2849"/>
      <c r="P73" s="1038" t="s">
        <v>1069</v>
      </c>
      <c r="Q73" s="859"/>
      <c r="R73" s="77"/>
      <c r="S73" s="1176"/>
      <c r="T73" s="77"/>
      <c r="U73" s="1174"/>
      <c r="V73" s="77"/>
      <c r="W73" s="1175">
        <f t="shared" si="51"/>
        <v>0</v>
      </c>
    </row>
    <row r="74" spans="1:23" ht="18.75" customHeight="1">
      <c r="A74" s="2846" t="s">
        <v>1937</v>
      </c>
      <c r="B74" s="2846"/>
      <c r="C74" s="2846"/>
      <c r="D74" s="1012">
        <f>D73*0.33</f>
        <v>19.8</v>
      </c>
      <c r="E74" s="77" t="s">
        <v>1327</v>
      </c>
      <c r="F74" s="1004">
        <f>Pricing!D34</f>
        <v>325</v>
      </c>
      <c r="G74" s="77" t="s">
        <v>620</v>
      </c>
      <c r="H74" s="77"/>
      <c r="I74" s="2850">
        <v>0.5</v>
      </c>
      <c r="J74" s="2850"/>
      <c r="K74" s="77"/>
      <c r="L74" s="2851">
        <f>SUM(N72:O77)</f>
        <v>14071.933928571429</v>
      </c>
      <c r="M74" s="2851"/>
      <c r="N74" s="2849">
        <f>(IF(AND(D74&gt;0,D74&lt;4),D74*F74,0)+IF(AND(D74&gt;3,D74&lt;8),F74*3,0)+IF(AND(D74&gt;7,D74&lt;21),D74/7*F74*3,0)+IF(AND(D74&gt;20,D74&lt;30),F74*9,0)+IF(D74&gt;29,D74/30*F74*9,0))*(1+V$35+I$74)</f>
        <v>4364.3089285714286</v>
      </c>
      <c r="O74" s="2849"/>
      <c r="P74" s="1038" t="s">
        <v>1069</v>
      </c>
      <c r="Q74" s="859"/>
      <c r="R74" s="77"/>
      <c r="S74" s="1176"/>
      <c r="T74" s="77"/>
      <c r="U74" s="1174"/>
      <c r="V74" s="77"/>
      <c r="W74" s="1175">
        <f t="shared" si="51"/>
        <v>0</v>
      </c>
    </row>
    <row r="75" spans="1:23" ht="18.75" customHeight="1">
      <c r="A75" s="2846" t="s">
        <v>1332</v>
      </c>
      <c r="B75" s="2846"/>
      <c r="C75" s="2846"/>
      <c r="D75" s="1012"/>
      <c r="E75" s="77" t="s">
        <v>1327</v>
      </c>
      <c r="F75" s="1004">
        <f>Pricing!D39</f>
        <v>100</v>
      </c>
      <c r="G75" s="77" t="s">
        <v>620</v>
      </c>
      <c r="H75" s="77"/>
      <c r="I75" s="2850"/>
      <c r="J75" s="2850"/>
      <c r="K75" s="77"/>
      <c r="L75" s="77"/>
      <c r="M75" s="77"/>
      <c r="N75" s="2849">
        <f>(IF(AND(D75&gt;0,D75&lt;4),D75*F75,0)+IF(AND(D75&gt;3,D75&lt;8),F75*3,0)+IF(AND(D75&gt;7,D75&lt;21),D75/7*F75*3,0)+IF(AND(D75&gt;20,D75&lt;30),F75*9,0)+IF(D75&gt;29,D75/30*F75*9,0))*(1+V$35+I$74)</f>
        <v>0</v>
      </c>
      <c r="O75" s="2849"/>
      <c r="P75" s="1038" t="s">
        <v>1069</v>
      </c>
      <c r="Q75" s="966" t="s">
        <v>1789</v>
      </c>
      <c r="R75" s="373"/>
      <c r="S75" s="373">
        <f>SUM(K44:L50)/300</f>
        <v>0.54526748971193417</v>
      </c>
      <c r="T75" s="373" t="s">
        <v>1718</v>
      </c>
      <c r="U75" s="1214">
        <v>250</v>
      </c>
      <c r="V75" s="373" t="s">
        <v>1719</v>
      </c>
      <c r="W75" s="1006">
        <f t="shared" si="51"/>
        <v>136.31687242798355</v>
      </c>
    </row>
    <row r="76" spans="1:23" ht="18.75" customHeight="1">
      <c r="A76" s="2846" t="s">
        <v>1938</v>
      </c>
      <c r="B76" s="2846"/>
      <c r="C76" s="2846"/>
      <c r="D76" s="1012">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60</v>
      </c>
      <c r="E76" s="77" t="s">
        <v>1327</v>
      </c>
      <c r="F76" s="1004">
        <v>25</v>
      </c>
      <c r="G76" s="77" t="s">
        <v>620</v>
      </c>
      <c r="H76" s="77"/>
      <c r="I76" s="77"/>
      <c r="J76" s="77"/>
      <c r="K76" s="77"/>
      <c r="L76" s="77"/>
      <c r="M76" s="77"/>
      <c r="N76" s="2849">
        <f>(IF(AND(D76&gt;0,D76&lt;4),D76*F76,0)+IF(AND(D76&gt;3,D76&lt;8),F76*3,0)+IF(AND(D76&gt;7,D76&lt;21),D76/7*F76*3,0)+IF(AND(D76&gt;20,D76&lt;30),F76*9,0)+IF(D76&gt;29,D76/30*F76*9,0))</f>
        <v>450</v>
      </c>
      <c r="O76" s="2849"/>
      <c r="P76" s="961" t="s">
        <v>1073</v>
      </c>
      <c r="Q76" s="859" t="s">
        <v>1790</v>
      </c>
      <c r="R76" s="77"/>
      <c r="S76" s="1176">
        <v>0</v>
      </c>
      <c r="T76" s="77" t="s">
        <v>1452</v>
      </c>
      <c r="U76" s="1174">
        <f>Pricing!Q39</f>
        <v>27</v>
      </c>
      <c r="V76" s="77" t="s">
        <v>607</v>
      </c>
      <c r="W76" s="960">
        <f>S76*U76</f>
        <v>0</v>
      </c>
    </row>
    <row r="77" spans="1:23" ht="18.75" customHeight="1">
      <c r="A77" s="2852" t="s">
        <v>1939</v>
      </c>
      <c r="B77" s="2852"/>
      <c r="C77" s="2852"/>
      <c r="D77" s="1008">
        <v>0</v>
      </c>
      <c r="E77" s="1621" t="s">
        <v>1792</v>
      </c>
      <c r="F77" s="1020">
        <v>1200</v>
      </c>
      <c r="G77" s="1621" t="s">
        <v>1793</v>
      </c>
      <c r="H77" s="1621"/>
      <c r="I77" s="1621"/>
      <c r="J77" s="1621"/>
      <c r="K77" s="1621"/>
      <c r="L77" s="2436"/>
      <c r="M77" s="1621"/>
      <c r="N77" s="2853">
        <f>(IF(AND(D77&gt;0,D77&lt;4),D77*F77,0)+IF(AND(D77&gt;3,D77&lt;8),F77*3,0)+IF(AND(D77&gt;7,D77&lt;21),D77/7*F77*3,0)+IF(AND(D77&gt;20,D77&lt;30),F77*9,0)+IF(D77&gt;29,D77/30*F77*9,0))*(1+V$35+I$74)</f>
        <v>0</v>
      </c>
      <c r="O77" s="2853"/>
      <c r="P77" s="961" t="s">
        <v>1073</v>
      </c>
      <c r="Q77" s="859" t="s">
        <v>629</v>
      </c>
      <c r="R77" s="77"/>
      <c r="S77" s="1176">
        <f>H59/15000</f>
        <v>0.83333333333333337</v>
      </c>
      <c r="T77" s="77" t="s">
        <v>1644</v>
      </c>
      <c r="U77" s="1174">
        <f>Pricing!Q36</f>
        <v>37.799999999999997</v>
      </c>
      <c r="V77" s="77" t="s">
        <v>630</v>
      </c>
      <c r="W77" s="960">
        <f>U77*S77</f>
        <v>31.5</v>
      </c>
    </row>
    <row r="78" spans="1:23" ht="18.75" customHeight="1">
      <c r="A78" s="2854" t="s">
        <v>1940</v>
      </c>
      <c r="B78" s="2854"/>
      <c r="C78" s="2854"/>
      <c r="D78" s="2854"/>
      <c r="E78" s="2854"/>
      <c r="F78" s="2854"/>
      <c r="G78" s="2854"/>
      <c r="H78" s="2854"/>
      <c r="I78" s="2854"/>
      <c r="J78" s="2854"/>
      <c r="K78" s="2854"/>
      <c r="L78" s="2854"/>
      <c r="M78" s="2854"/>
      <c r="N78" s="2854"/>
      <c r="O78" s="2854"/>
      <c r="P78" s="961" t="s">
        <v>1073</v>
      </c>
      <c r="Q78" s="1208" t="s">
        <v>554</v>
      </c>
      <c r="R78" s="1209"/>
      <c r="S78" s="1210">
        <f>0+K51</f>
        <v>6888.1157167968759</v>
      </c>
      <c r="T78" s="1209" t="s">
        <v>1288</v>
      </c>
      <c r="U78" s="1211">
        <v>0.02</v>
      </c>
      <c r="V78" s="1209" t="s">
        <v>555</v>
      </c>
      <c r="W78" s="974">
        <f>U78*S78</f>
        <v>137.76231433593753</v>
      </c>
    </row>
    <row r="79" spans="1:23" ht="18.75" customHeight="1">
      <c r="A79" s="2844" t="s">
        <v>1941</v>
      </c>
      <c r="B79" s="2844"/>
      <c r="C79" s="2844"/>
      <c r="D79" s="1226">
        <f>S61*1.25</f>
        <v>781.25</v>
      </c>
      <c r="E79" s="1596" t="s">
        <v>1259</v>
      </c>
      <c r="F79" s="2437">
        <f>Pricing!G91</f>
        <v>2</v>
      </c>
      <c r="G79" s="2438" t="s">
        <v>1341</v>
      </c>
      <c r="H79" s="983"/>
      <c r="I79" s="2855" t="s">
        <v>1648</v>
      </c>
      <c r="J79" s="2855"/>
      <c r="K79" s="2439">
        <v>20</v>
      </c>
      <c r="L79" s="983"/>
      <c r="M79" s="983"/>
      <c r="N79" s="2856">
        <f t="shared" ref="N79:N84" si="52">D79*F79</f>
        <v>1562.5</v>
      </c>
      <c r="O79" s="2856"/>
      <c r="P79" s="961" t="s">
        <v>1078</v>
      </c>
      <c r="Q79" s="859" t="s">
        <v>1105</v>
      </c>
      <c r="R79" s="77"/>
      <c r="S79" s="1176"/>
      <c r="T79" s="77"/>
      <c r="U79" s="1174"/>
      <c r="V79" s="77"/>
      <c r="W79" s="960">
        <v>0</v>
      </c>
    </row>
    <row r="80" spans="1:23" ht="18.75" customHeight="1">
      <c r="A80" s="2846" t="s">
        <v>1942</v>
      </c>
      <c r="B80" s="2846"/>
      <c r="C80" s="2846"/>
      <c r="D80" s="1610">
        <f>S63</f>
        <v>625</v>
      </c>
      <c r="E80" s="77" t="s">
        <v>1259</v>
      </c>
      <c r="F80" s="1613"/>
      <c r="G80" s="2440" t="s">
        <v>1341</v>
      </c>
      <c r="I80" s="2857" t="s">
        <v>1648</v>
      </c>
      <c r="J80" s="2857"/>
      <c r="K80" s="2858">
        <v>5</v>
      </c>
      <c r="N80" s="2859">
        <f t="shared" si="52"/>
        <v>0</v>
      </c>
      <c r="O80" s="2859"/>
      <c r="P80" s="961" t="s">
        <v>1328</v>
      </c>
      <c r="Q80" s="859" t="s">
        <v>1105</v>
      </c>
      <c r="R80" s="77"/>
      <c r="S80" s="1176"/>
      <c r="T80" s="77"/>
      <c r="U80" s="1174"/>
      <c r="V80" s="77"/>
      <c r="W80" s="960">
        <v>0</v>
      </c>
    </row>
    <row r="81" spans="1:23" ht="18.75" customHeight="1">
      <c r="A81" s="2860" t="s">
        <v>1462</v>
      </c>
      <c r="B81" s="2860"/>
      <c r="C81" s="2860"/>
      <c r="D81" s="2441">
        <f>C10/K80</f>
        <v>2500</v>
      </c>
      <c r="E81" s="840" t="s">
        <v>1259</v>
      </c>
      <c r="F81" s="1613"/>
      <c r="G81" s="2442" t="s">
        <v>1341</v>
      </c>
      <c r="H81" s="833"/>
      <c r="I81" s="2857"/>
      <c r="J81" s="2857"/>
      <c r="K81" s="2858"/>
      <c r="N81" s="2859">
        <f t="shared" si="52"/>
        <v>0</v>
      </c>
      <c r="O81" s="2859"/>
      <c r="P81" s="961" t="s">
        <v>1330</v>
      </c>
      <c r="Q81" s="1208" t="s">
        <v>1943</v>
      </c>
      <c r="R81" s="1209"/>
      <c r="S81" s="1210"/>
      <c r="T81" s="1209"/>
      <c r="U81" s="1211"/>
      <c r="V81" s="1209"/>
      <c r="W81" s="974">
        <v>0</v>
      </c>
    </row>
    <row r="82" spans="1:23" ht="18.75" customHeight="1">
      <c r="A82" s="1777" t="s">
        <v>1944</v>
      </c>
      <c r="B82" s="1777"/>
      <c r="C82" s="2443"/>
      <c r="D82" s="1233"/>
      <c r="E82" s="626" t="s">
        <v>998</v>
      </c>
      <c r="F82" s="1613">
        <v>8</v>
      </c>
      <c r="G82" s="2442" t="s">
        <v>1285</v>
      </c>
      <c r="H82" s="833"/>
      <c r="I82" s="17"/>
      <c r="N82" s="2792">
        <f t="shared" si="52"/>
        <v>0</v>
      </c>
      <c r="O82" s="2792"/>
      <c r="P82" s="961" t="s">
        <v>1342</v>
      </c>
      <c r="Q82" s="859" t="s">
        <v>1945</v>
      </c>
      <c r="R82" s="77"/>
      <c r="S82" s="1176"/>
      <c r="T82" s="77" t="s">
        <v>1946</v>
      </c>
      <c r="U82" s="1174"/>
      <c r="V82" s="77" t="s">
        <v>1947</v>
      </c>
      <c r="W82" s="1797">
        <f>U82*S82</f>
        <v>0</v>
      </c>
    </row>
    <row r="83" spans="1:23" ht="18.75" customHeight="1">
      <c r="A83" s="2860" t="s">
        <v>1234</v>
      </c>
      <c r="B83" s="2860"/>
      <c r="C83" s="2860"/>
      <c r="D83" s="1233"/>
      <c r="E83" s="1174" t="s">
        <v>998</v>
      </c>
      <c r="F83" s="1613">
        <v>6</v>
      </c>
      <c r="G83" s="2440" t="s">
        <v>1285</v>
      </c>
      <c r="H83" s="833"/>
      <c r="I83" s="17"/>
      <c r="N83" s="2792">
        <f t="shared" si="52"/>
        <v>0</v>
      </c>
      <c r="O83" s="2792"/>
      <c r="P83" s="961" t="s">
        <v>1342</v>
      </c>
      <c r="Q83" s="859" t="s">
        <v>646</v>
      </c>
      <c r="R83" s="77"/>
      <c r="S83" s="1176">
        <f>H59/300/55</f>
        <v>0.75757575757575757</v>
      </c>
      <c r="T83" s="77" t="s">
        <v>1649</v>
      </c>
      <c r="U83" s="1174">
        <f>Pricing!Q44</f>
        <v>567.5</v>
      </c>
      <c r="V83" s="77" t="s">
        <v>647</v>
      </c>
      <c r="W83" s="1175">
        <f>U83*S83</f>
        <v>429.92424242424244</v>
      </c>
    </row>
    <row r="84" spans="1:23" ht="18.75" customHeight="1">
      <c r="A84" s="482" t="s">
        <v>1948</v>
      </c>
      <c r="B84" s="503"/>
      <c r="C84" s="503"/>
      <c r="D84" s="1610"/>
      <c r="E84" s="839" t="s">
        <v>1259</v>
      </c>
      <c r="F84" s="1613">
        <v>10</v>
      </c>
      <c r="G84" s="2444" t="s">
        <v>1341</v>
      </c>
      <c r="H84" s="833"/>
      <c r="I84" s="17"/>
      <c r="N84" s="2792">
        <f t="shared" si="52"/>
        <v>0</v>
      </c>
      <c r="O84" s="2792"/>
      <c r="P84" s="961" t="s">
        <v>1342</v>
      </c>
      <c r="Q84" s="1208" t="s">
        <v>649</v>
      </c>
      <c r="R84" s="1209"/>
      <c r="S84" s="1210">
        <f>BN73</f>
        <v>0</v>
      </c>
      <c r="T84" s="1209" t="s">
        <v>1649</v>
      </c>
      <c r="U84" s="1211">
        <f>Pricing!Q45</f>
        <v>542</v>
      </c>
      <c r="V84" s="1209" t="s">
        <v>647</v>
      </c>
      <c r="W84" s="1189">
        <f>U84*S84</f>
        <v>0</v>
      </c>
    </row>
    <row r="85" spans="1:23" ht="18" customHeight="1">
      <c r="A85" s="2861" t="s">
        <v>1925</v>
      </c>
      <c r="B85" s="2861"/>
      <c r="C85" s="2861"/>
      <c r="D85" s="2445">
        <f>SUM(AR32)</f>
        <v>0</v>
      </c>
      <c r="E85" s="2446" t="s">
        <v>1418</v>
      </c>
      <c r="F85" s="2447">
        <f>IF(BR32=0,0,BR32/AR32)</f>
        <v>0</v>
      </c>
      <c r="G85" s="2448" t="s">
        <v>600</v>
      </c>
      <c r="H85" s="2449"/>
      <c r="I85" s="2449"/>
      <c r="J85" s="2449"/>
      <c r="K85" s="2449"/>
      <c r="L85" s="2450"/>
      <c r="M85" s="2449"/>
      <c r="N85" s="2862">
        <f>IF(D85=0,0,D85*F85)</f>
        <v>0</v>
      </c>
      <c r="O85" s="2862"/>
      <c r="P85" s="1038"/>
      <c r="Q85" s="574"/>
      <c r="W85" s="1037"/>
    </row>
    <row r="86" spans="1:23" ht="24.75" customHeight="1">
      <c r="A86" s="2863" t="s">
        <v>1346</v>
      </c>
      <c r="B86" s="2863"/>
      <c r="C86" s="2863"/>
      <c r="D86" s="1610"/>
      <c r="E86" s="1174" t="s">
        <v>1347</v>
      </c>
      <c r="F86" s="2451">
        <v>200</v>
      </c>
      <c r="G86" s="2452" t="s">
        <v>620</v>
      </c>
      <c r="N86" s="2792">
        <f>D86*F86</f>
        <v>0</v>
      </c>
      <c r="O86" s="2792"/>
      <c r="P86" s="1038"/>
      <c r="Q86" s="2864" t="s">
        <v>1349</v>
      </c>
      <c r="R86" s="2864"/>
      <c r="S86" s="919">
        <v>18</v>
      </c>
      <c r="T86" s="18" t="s">
        <v>1350</v>
      </c>
      <c r="W86" s="1042"/>
    </row>
    <row r="87" spans="1:23" ht="20.25" customHeight="1">
      <c r="A87" s="2870" t="s">
        <v>1067</v>
      </c>
      <c r="B87" s="2870"/>
      <c r="C87" s="2870"/>
      <c r="D87" s="2453"/>
      <c r="E87" s="1621"/>
      <c r="F87" s="2454">
        <v>1000</v>
      </c>
      <c r="G87" s="2455" t="s">
        <v>1348</v>
      </c>
      <c r="H87" s="976"/>
      <c r="I87" s="976"/>
      <c r="J87" s="976"/>
      <c r="K87" s="976"/>
      <c r="L87" s="1889"/>
      <c r="M87" s="976"/>
      <c r="N87" s="2867">
        <f>D87*F87</f>
        <v>0</v>
      </c>
      <c r="O87" s="2867"/>
      <c r="P87" s="961" t="s">
        <v>1072</v>
      </c>
      <c r="Q87" s="577" t="s">
        <v>1353</v>
      </c>
      <c r="R87" s="976"/>
      <c r="S87" s="976">
        <f>ROUNDUP((S59+S61+S62)*12/S86,0)</f>
        <v>417</v>
      </c>
      <c r="T87" s="976" t="s">
        <v>1354</v>
      </c>
      <c r="U87" s="2871">
        <f>Pricing!D30</f>
        <v>1</v>
      </c>
      <c r="V87" s="2871"/>
      <c r="W87" s="697">
        <f>U87*S87</f>
        <v>417</v>
      </c>
    </row>
    <row r="88" spans="1:23" ht="20.25" customHeight="1">
      <c r="A88" s="2872" t="s">
        <v>1191</v>
      </c>
      <c r="B88" s="2872"/>
      <c r="C88" s="2872"/>
      <c r="D88" s="2041">
        <f>Summary!P60</f>
        <v>0</v>
      </c>
      <c r="E88" s="2042" t="s">
        <v>1465</v>
      </c>
      <c r="F88" s="2873">
        <f>(SUM(N44:O56)+SUM(N59:O64)+SUM(K59:L64)+SUM(N67:O69)+SUM(N72:O77)+SUM(N79:O87))*D88</f>
        <v>0</v>
      </c>
      <c r="G88" s="2873"/>
      <c r="H88" s="2043" t="s">
        <v>1039</v>
      </c>
      <c r="I88" s="2043"/>
      <c r="J88" s="2043"/>
      <c r="K88" s="2043"/>
      <c r="L88" s="2043"/>
      <c r="M88" s="2044"/>
      <c r="N88" s="2874">
        <f>F88</f>
        <v>0</v>
      </c>
      <c r="O88" s="2874"/>
      <c r="Q88" s="795"/>
      <c r="R88" s="983"/>
      <c r="S88" s="983"/>
      <c r="T88" s="983"/>
      <c r="U88" s="2875"/>
      <c r="V88" s="2875"/>
      <c r="W88" s="1236">
        <f>SUM(W44:W87)</f>
        <v>6674.5208963467285</v>
      </c>
    </row>
    <row r="89" spans="1:23" ht="20.25" customHeight="1">
      <c r="A89" s="626"/>
      <c r="B89" s="626"/>
      <c r="C89" s="626"/>
      <c r="D89" s="626"/>
      <c r="E89" s="626"/>
      <c r="F89" s="626"/>
      <c r="G89" s="626"/>
      <c r="H89" s="626"/>
      <c r="I89" s="626"/>
      <c r="J89" s="626"/>
      <c r="K89" s="626"/>
      <c r="L89" s="626"/>
      <c r="M89" s="626"/>
      <c r="N89" s="626"/>
      <c r="O89" s="626"/>
      <c r="P89" s="626"/>
      <c r="Q89" s="626"/>
      <c r="R89" s="626"/>
      <c r="S89" s="626"/>
      <c r="T89" s="626"/>
      <c r="U89" s="626"/>
      <c r="V89" s="703"/>
    </row>
    <row r="90" spans="1:23">
      <c r="A90" s="888"/>
      <c r="B90" s="889"/>
      <c r="C90" s="889"/>
      <c r="D90" s="889"/>
      <c r="E90" s="889"/>
      <c r="F90" s="889"/>
      <c r="G90" s="889"/>
      <c r="H90" s="889"/>
      <c r="I90" s="889"/>
      <c r="J90" s="889"/>
      <c r="K90" s="891"/>
      <c r="L90" s="889"/>
      <c r="M90" s="889"/>
      <c r="N90" s="889"/>
      <c r="O90" s="889"/>
      <c r="P90" s="889"/>
      <c r="Q90" s="889"/>
      <c r="R90" s="889"/>
      <c r="S90" s="889"/>
      <c r="T90" s="889"/>
      <c r="U90" s="889"/>
      <c r="V90" s="889"/>
      <c r="W90" s="2456"/>
    </row>
    <row r="91" spans="1:23" ht="30.9">
      <c r="A91" s="2786" t="s">
        <v>1262</v>
      </c>
      <c r="B91" s="2786"/>
      <c r="C91" s="2786"/>
      <c r="D91" s="2786" t="s">
        <v>982</v>
      </c>
      <c r="E91" s="2786"/>
      <c r="F91" s="2786" t="s">
        <v>1263</v>
      </c>
      <c r="G91" s="2786"/>
      <c r="H91" s="2786"/>
      <c r="I91" s="1054" t="s">
        <v>1264</v>
      </c>
      <c r="J91" s="1055"/>
      <c r="K91" s="1056"/>
      <c r="L91" s="2789" t="s">
        <v>1265</v>
      </c>
      <c r="M91" s="2789"/>
      <c r="N91" s="1058"/>
      <c r="O91" s="1059"/>
      <c r="P91" s="895"/>
      <c r="Q91" s="2054" t="s">
        <v>1266</v>
      </c>
      <c r="R91" s="2055"/>
      <c r="S91" s="2055" t="s">
        <v>1267</v>
      </c>
      <c r="T91" s="1060" t="str">
        <f>T35</f>
        <v>N</v>
      </c>
      <c r="U91" s="2457" t="s">
        <v>1268</v>
      </c>
      <c r="V91" s="1242">
        <f>V35</f>
        <v>8.2500000000000004E-2</v>
      </c>
      <c r="W91" s="2458"/>
    </row>
    <row r="92" spans="1:23" ht="15.45">
      <c r="A92" s="899" t="s">
        <v>1269</v>
      </c>
      <c r="B92" s="2865">
        <f>B36</f>
        <v>9.9705420677807535</v>
      </c>
      <c r="C92" s="2865"/>
      <c r="D92" s="2866">
        <f>D36</f>
        <v>124631.77584725941</v>
      </c>
      <c r="E92" s="2866"/>
      <c r="F92" s="901">
        <f>F36</f>
        <v>0.15254237288135591</v>
      </c>
      <c r="G92" s="2867">
        <f>G36</f>
        <v>19011.626824158215</v>
      </c>
      <c r="H92" s="2867"/>
      <c r="I92" s="2868">
        <f>I36</f>
        <v>8.4496119218480956</v>
      </c>
      <c r="J92" s="2868"/>
      <c r="K92" s="2868"/>
      <c r="L92" s="1623">
        <f>L36</f>
        <v>0.18</v>
      </c>
      <c r="M92" s="1489"/>
      <c r="N92" s="1489"/>
      <c r="O92" s="1490"/>
      <c r="P92" s="1137"/>
      <c r="Q92" s="2459" t="s">
        <v>980</v>
      </c>
      <c r="R92" s="747"/>
      <c r="S92" s="747"/>
      <c r="T92" s="2869">
        <f>T36</f>
        <v>105620.1490231012</v>
      </c>
      <c r="U92" s="2869"/>
      <c r="V92" s="2113"/>
      <c r="W92" s="2460"/>
    </row>
    <row r="93" spans="1:23">
      <c r="A93" s="904"/>
      <c r="B93" s="905"/>
      <c r="C93" s="905"/>
      <c r="D93" s="905"/>
      <c r="E93" s="905"/>
      <c r="F93" s="905"/>
      <c r="G93" s="905"/>
      <c r="H93" s="905"/>
      <c r="I93" s="905"/>
      <c r="J93" s="905"/>
      <c r="K93" s="905"/>
      <c r="L93" s="905"/>
      <c r="M93" s="905"/>
      <c r="N93" s="905"/>
      <c r="O93" s="905"/>
      <c r="P93" s="905"/>
      <c r="Q93" s="905"/>
      <c r="R93" s="905"/>
      <c r="S93" s="905"/>
      <c r="T93" s="905"/>
      <c r="U93" s="905"/>
      <c r="V93" s="905"/>
      <c r="W93" s="2461"/>
    </row>
    <row r="94" spans="1:23">
      <c r="A94" s="626"/>
      <c r="B94" s="626"/>
      <c r="C94" s="626"/>
      <c r="D94" s="626"/>
      <c r="E94" s="626"/>
      <c r="F94" s="626"/>
      <c r="G94" s="626"/>
      <c r="H94" s="626"/>
      <c r="I94" s="626"/>
      <c r="J94" s="626"/>
      <c r="K94" s="626"/>
      <c r="L94" s="626"/>
      <c r="M94" s="626"/>
      <c r="N94" s="626"/>
      <c r="O94" s="626"/>
      <c r="P94" s="626"/>
      <c r="Q94" s="626"/>
      <c r="R94" s="626"/>
      <c r="S94" s="626"/>
      <c r="T94" s="626"/>
      <c r="U94" s="626"/>
      <c r="V94" s="626"/>
    </row>
    <row r="95" spans="1:23">
      <c r="A95" s="680" t="s">
        <v>1055</v>
      </c>
      <c r="B95" s="692" t="s">
        <v>1949</v>
      </c>
      <c r="C95" s="387"/>
      <c r="D95" s="682">
        <f>D96-T92</f>
        <v>0</v>
      </c>
      <c r="E95" s="626"/>
      <c r="F95" s="626"/>
      <c r="G95" s="2144"/>
      <c r="H95" s="2144"/>
      <c r="I95" s="2145"/>
      <c r="J95" s="2144"/>
      <c r="K95" s="2144"/>
      <c r="L95" s="2144"/>
      <c r="M95" s="1860"/>
      <c r="N95" s="2144"/>
      <c r="O95" s="626"/>
      <c r="P95" s="626"/>
      <c r="Q95" s="626"/>
      <c r="R95" s="626"/>
    </row>
    <row r="96" spans="1:23">
      <c r="A96" s="700">
        <v>11</v>
      </c>
      <c r="B96" s="662"/>
      <c r="C96" s="654"/>
      <c r="D96" s="1895">
        <f>SUM(D97:D153)-D129-D139</f>
        <v>105620.14902310118</v>
      </c>
      <c r="G96" s="1581"/>
      <c r="H96" s="1581"/>
      <c r="I96" s="2462"/>
      <c r="J96" s="1581"/>
      <c r="K96" s="1581"/>
      <c r="L96" s="1581"/>
      <c r="M96" s="2463"/>
      <c r="N96" s="1581"/>
    </row>
    <row r="97" spans="1:4">
      <c r="A97" s="1244">
        <f>Summary!BL74</f>
        <v>110001</v>
      </c>
      <c r="B97" s="2464" t="str">
        <f>Summary!BM74</f>
        <v>General Requirements</v>
      </c>
      <c r="C97" s="296"/>
      <c r="D97" s="708"/>
    </row>
    <row r="98" spans="1:4">
      <c r="A98" s="1244">
        <f>Summary!BL75</f>
        <v>110002</v>
      </c>
      <c r="B98" s="2465" t="str">
        <f>Summary!BM75</f>
        <v>Lumber</v>
      </c>
      <c r="C98" s="296"/>
      <c r="D98" s="708">
        <f>SUM(W44:W75)</f>
        <v>5658.3343395865486</v>
      </c>
    </row>
    <row r="99" spans="1:4">
      <c r="A99" s="1244">
        <f>Summary!BL76</f>
        <v>110003</v>
      </c>
      <c r="B99" s="2465" t="str">
        <f>Summary!BM76</f>
        <v>Sand Material</v>
      </c>
      <c r="C99" s="296"/>
      <c r="D99" s="708">
        <f>N54</f>
        <v>2192.5636574074074</v>
      </c>
    </row>
    <row r="100" spans="1:4">
      <c r="A100" s="1244">
        <f>Summary!BL77</f>
        <v>110004</v>
      </c>
      <c r="B100" s="2465" t="str">
        <f>Summary!BM77</f>
        <v>Rock Material</v>
      </c>
      <c r="C100" s="296"/>
      <c r="D100" s="708">
        <f>N55</f>
        <v>0</v>
      </c>
    </row>
    <row r="101" spans="1:4">
      <c r="A101" s="1244">
        <f>Summary!BL78</f>
        <v>110005</v>
      </c>
      <c r="B101" s="2465" t="str">
        <f>Summary!BM78</f>
        <v>Reinforcement Material</v>
      </c>
      <c r="C101" s="296"/>
      <c r="D101" s="708">
        <f>N51+N52</f>
        <v>4473.831158059571</v>
      </c>
    </row>
    <row r="102" spans="1:4">
      <c r="A102" s="1244">
        <f>Summary!BL79</f>
        <v>110006</v>
      </c>
      <c r="B102" s="2465" t="str">
        <f>Summary!BM79</f>
        <v>Reinforcement Accessories</v>
      </c>
      <c r="C102" s="296"/>
      <c r="D102" s="708">
        <f>SUM(W76:BN78)+W87</f>
        <v>586.2623143359375</v>
      </c>
    </row>
    <row r="103" spans="1:4">
      <c r="A103" s="1244">
        <f>Summary!BL80</f>
        <v>110007</v>
      </c>
      <c r="B103" s="2465" t="str">
        <f>Summary!BM80</f>
        <v>PT Cables</v>
      </c>
      <c r="C103" s="296"/>
      <c r="D103" s="708">
        <f>N53</f>
        <v>0</v>
      </c>
    </row>
    <row r="104" spans="1:4">
      <c r="A104" s="1244">
        <f>Summary!BL81</f>
        <v>110008</v>
      </c>
      <c r="B104" s="2465" t="str">
        <f>Summary!BM81</f>
        <v>Concrete Material</v>
      </c>
      <c r="C104" s="296"/>
      <c r="D104" s="708">
        <f>SUM(N44:O50)</f>
        <v>23728.132716049386</v>
      </c>
    </row>
    <row r="105" spans="1:4">
      <c r="A105" s="1244">
        <f>Summary!BL82</f>
        <v>110009</v>
      </c>
      <c r="B105" s="2465" t="str">
        <f>Summary!BM82</f>
        <v>Carton Forms</v>
      </c>
      <c r="C105" s="296"/>
      <c r="D105" s="708"/>
    </row>
    <row r="106" spans="1:4">
      <c r="A106" s="1244">
        <f>Summary!BL83</f>
        <v>110010</v>
      </c>
      <c r="B106" s="2465" t="str">
        <f>Summary!BM83</f>
        <v>Cure/Sealers</v>
      </c>
      <c r="C106" s="296"/>
      <c r="D106" s="708">
        <f>SUM(W82:W84)</f>
        <v>429.92424242424244</v>
      </c>
    </row>
    <row r="107" spans="1:4">
      <c r="A107" s="1244">
        <f>Summary!BL84</f>
        <v>110011</v>
      </c>
      <c r="B107" s="2465" t="str">
        <f>Summary!BM84</f>
        <v>Patch/Grout</v>
      </c>
      <c r="C107" s="296"/>
      <c r="D107" s="708"/>
    </row>
    <row r="108" spans="1:4">
      <c r="A108" s="1244">
        <f>Summary!BL85</f>
        <v>110012</v>
      </c>
      <c r="B108" s="2465" t="str">
        <f>Summary!BM85</f>
        <v>Poly/Vapor Barrier</v>
      </c>
      <c r="C108" s="296"/>
      <c r="D108" s="708"/>
    </row>
    <row r="109" spans="1:4">
      <c r="A109" s="1244">
        <f>Summary!BL86</f>
        <v>110013</v>
      </c>
      <c r="B109" s="2465" t="str">
        <f>Summary!BM86</f>
        <v>Special Material</v>
      </c>
      <c r="C109" s="296"/>
      <c r="D109" s="708">
        <f>W79</f>
        <v>0</v>
      </c>
    </row>
    <row r="110" spans="1:4">
      <c r="A110" s="1244">
        <f>Summary!BL87</f>
        <v>110014</v>
      </c>
      <c r="B110" s="2465" t="str">
        <f>Summary!BM87</f>
        <v>Special Material</v>
      </c>
      <c r="C110" s="296"/>
      <c r="D110" s="708">
        <f>W80</f>
        <v>0</v>
      </c>
    </row>
    <row r="111" spans="1:4">
      <c r="A111" s="1244">
        <f>Summary!BL88</f>
        <v>110015</v>
      </c>
      <c r="B111" s="2465" t="str">
        <f>Summary!BM88</f>
        <v>PPE/Safety</v>
      </c>
      <c r="C111" s="296"/>
      <c r="D111" s="708">
        <f>W81</f>
        <v>0</v>
      </c>
    </row>
    <row r="112" spans="1:4">
      <c r="A112" s="1244">
        <f>Summary!BL89</f>
        <v>110020</v>
      </c>
      <c r="B112" s="2465" t="str">
        <f>Summary!BM89</f>
        <v>Supervision</v>
      </c>
      <c r="C112" s="296"/>
      <c r="D112" s="708">
        <f>SUM(N67:O68)</f>
        <v>23333.333333333336</v>
      </c>
    </row>
    <row r="113" spans="1:4">
      <c r="A113" s="1244">
        <f>Summary!BL90</f>
        <v>110021</v>
      </c>
      <c r="B113" s="2465" t="str">
        <f>Summary!BM90</f>
        <v>Supervision Expense</v>
      </c>
      <c r="C113" s="296"/>
      <c r="D113" s="708">
        <f>SUM(N69)</f>
        <v>2916.666666666667</v>
      </c>
    </row>
    <row r="114" spans="1:4">
      <c r="A114" s="1244">
        <f>Summary!BL91</f>
        <v>110022</v>
      </c>
      <c r="B114" s="2465" t="str">
        <f>Summary!BM91</f>
        <v>Project Management</v>
      </c>
      <c r="C114" s="296"/>
      <c r="D114" s="708">
        <f>N70</f>
        <v>2916.666666666667</v>
      </c>
    </row>
    <row r="115" spans="1:4">
      <c r="A115" s="1244">
        <f>Summary!BL92</f>
        <v>110023</v>
      </c>
      <c r="B115" s="2465" t="str">
        <f>Summary!BM92</f>
        <v>Labor Grade, Poly, Reinf.</v>
      </c>
      <c r="C115" s="296"/>
      <c r="D115" s="708">
        <f>K62</f>
        <v>0</v>
      </c>
    </row>
    <row r="116" spans="1:4">
      <c r="A116" s="1244">
        <f>Summary!BL93</f>
        <v>110024</v>
      </c>
      <c r="B116" s="2465" t="str">
        <f>Summary!BM93</f>
        <v>Labor Place &amp; Finish</v>
      </c>
      <c r="C116" s="296"/>
      <c r="D116" s="708">
        <f>K60</f>
        <v>0</v>
      </c>
    </row>
    <row r="117" spans="1:4">
      <c r="A117" s="1244">
        <f>Summary!BL94</f>
        <v>110025</v>
      </c>
      <c r="B117" s="2465" t="str">
        <f>Summary!BM94</f>
        <v>Labor Drops</v>
      </c>
      <c r="C117" s="296"/>
      <c r="D117" s="708">
        <f>K63</f>
        <v>0</v>
      </c>
    </row>
    <row r="118" spans="1:4">
      <c r="A118" s="1244">
        <f>Summary!BL95</f>
        <v>110026</v>
      </c>
      <c r="B118" s="2465" t="str">
        <f>Summary!BM95</f>
        <v>Labor Strip Forms</v>
      </c>
      <c r="C118" s="296"/>
      <c r="D118" s="708">
        <f>K61</f>
        <v>0</v>
      </c>
    </row>
    <row r="119" spans="1:4">
      <c r="A119" s="1244">
        <f>Summary!BL96</f>
        <v>110027</v>
      </c>
      <c r="B119" s="2465" t="str">
        <f>Summary!BM96</f>
        <v>Labor Burden</v>
      </c>
      <c r="C119" s="296"/>
      <c r="D119" s="708"/>
    </row>
    <row r="120" spans="1:4">
      <c r="A120" s="1244">
        <f>Summary!BL98</f>
        <v>110030</v>
      </c>
      <c r="B120" s="2465" t="str">
        <f>Summary!BM98</f>
        <v>Pumping</v>
      </c>
      <c r="C120" s="296"/>
      <c r="D120" s="708">
        <f>N82</f>
        <v>0</v>
      </c>
    </row>
    <row r="121" spans="1:4">
      <c r="A121" s="1244">
        <f>Summary!BL99</f>
        <v>110031</v>
      </c>
      <c r="B121" s="2465" t="str">
        <f>Summary!BM99</f>
        <v>Earth Work/Excavation</v>
      </c>
      <c r="C121" s="296"/>
      <c r="D121" s="708"/>
    </row>
    <row r="122" spans="1:4">
      <c r="A122" s="1244">
        <f>Summary!BL100</f>
        <v>110032</v>
      </c>
      <c r="B122" s="2465" t="str">
        <f>Summary!BM100</f>
        <v>Drilling</v>
      </c>
      <c r="C122" s="296"/>
      <c r="D122" s="708"/>
    </row>
    <row r="123" spans="1:4">
      <c r="A123" s="1244">
        <f>Summary!BL101</f>
        <v>110033</v>
      </c>
      <c r="B123" s="2465" t="str">
        <f>Summary!BM101</f>
        <v>Haul off</v>
      </c>
      <c r="C123" s="296"/>
      <c r="D123" s="708">
        <f>N83</f>
        <v>0</v>
      </c>
    </row>
    <row r="124" spans="1:4">
      <c r="A124" s="1244">
        <f>Summary!BL102</f>
        <v>110034</v>
      </c>
      <c r="B124" s="2465" t="str">
        <f>Summary!BM102</f>
        <v>Saw Cutting/Sealing</v>
      </c>
      <c r="C124" s="296"/>
      <c r="D124" s="708">
        <f>N79+N80+N81</f>
        <v>1562.5</v>
      </c>
    </row>
    <row r="125" spans="1:4">
      <c r="A125" s="1244">
        <f>Summary!BL103</f>
        <v>110035</v>
      </c>
      <c r="B125" s="2465" t="str">
        <f>Summary!BM103</f>
        <v>Demolition</v>
      </c>
      <c r="C125" s="296"/>
      <c r="D125" s="708">
        <f>N84</f>
        <v>0</v>
      </c>
    </row>
    <row r="126" spans="1:4">
      <c r="A126" s="1244">
        <f>Summary!BL104</f>
        <v>110037</v>
      </c>
      <c r="B126" s="2465" t="str">
        <f>Summary!BM104</f>
        <v>Waterproofing</v>
      </c>
      <c r="C126" s="296"/>
      <c r="D126" s="708"/>
    </row>
    <row r="127" spans="1:4">
      <c r="A127" s="1244">
        <f>Summary!BL105</f>
        <v>110038</v>
      </c>
      <c r="B127" s="2465" t="str">
        <f>Summary!BM105</f>
        <v>Crain/Hoisting</v>
      </c>
      <c r="C127" s="296"/>
      <c r="D127" s="708"/>
    </row>
    <row r="128" spans="1:4">
      <c r="A128" s="1246">
        <f>Summary!BL106</f>
        <v>110039</v>
      </c>
      <c r="B128" s="2466" t="str">
        <f>Summary!BM106</f>
        <v>Forming Systems</v>
      </c>
      <c r="C128" s="765"/>
      <c r="D128" s="722">
        <f>N56</f>
        <v>0</v>
      </c>
    </row>
    <row r="129" spans="1:4">
      <c r="A129" s="1833">
        <f>Summary!BL107</f>
        <v>110040</v>
      </c>
      <c r="B129" s="2050" t="str">
        <f>Summary!BM107</f>
        <v>Total Sub Labor</v>
      </c>
      <c r="C129" s="1835"/>
      <c r="D129" s="1836">
        <f>SUM(D130:D137)</f>
        <v>23750</v>
      </c>
    </row>
    <row r="130" spans="1:4">
      <c r="A130" s="1244">
        <f>Summary!BL108</f>
        <v>110041</v>
      </c>
      <c r="B130" s="2465" t="str">
        <f>Summary!BM108</f>
        <v>Labor Forming</v>
      </c>
      <c r="C130" s="296"/>
      <c r="D130" s="708">
        <f>N59</f>
        <v>9375</v>
      </c>
    </row>
    <row r="131" spans="1:4">
      <c r="A131" s="1244">
        <f>Summary!BL109</f>
        <v>110042</v>
      </c>
      <c r="B131" s="2465" t="str">
        <f>Summary!BM109</f>
        <v>Labor Grade, Poly, Reinf.</v>
      </c>
      <c r="C131" s="296"/>
      <c r="D131" s="708"/>
    </row>
    <row r="132" spans="1:4">
      <c r="A132" s="1244">
        <f>Summary!BL110</f>
        <v>110043</v>
      </c>
      <c r="B132" s="2465" t="str">
        <f>Summary!BM110</f>
        <v>Labor Place &amp; Finish</v>
      </c>
      <c r="C132" s="296"/>
      <c r="D132" s="708">
        <f>N60</f>
        <v>10625</v>
      </c>
    </row>
    <row r="133" spans="1:4">
      <c r="A133" s="1244">
        <f>Summary!BL111</f>
        <v>110044</v>
      </c>
      <c r="B133" s="2465" t="str">
        <f>Summary!BM111</f>
        <v>Labor Drops</v>
      </c>
      <c r="C133" s="296"/>
      <c r="D133" s="708">
        <f>N63</f>
        <v>0</v>
      </c>
    </row>
    <row r="134" spans="1:4">
      <c r="A134" s="1244">
        <f>Summary!BL112</f>
        <v>110045</v>
      </c>
      <c r="B134" s="2465" t="str">
        <f>Summary!BM112</f>
        <v>Labor Strip Forms</v>
      </c>
      <c r="C134" s="296"/>
      <c r="D134" s="708">
        <f>N61</f>
        <v>3750</v>
      </c>
    </row>
    <row r="135" spans="1:4">
      <c r="A135" s="1244">
        <f>Summary!BL113</f>
        <v>110046</v>
      </c>
      <c r="B135" s="2465" t="str">
        <f>Summary!BM113</f>
        <v>Labor Burden</v>
      </c>
      <c r="C135" s="296"/>
      <c r="D135" s="708">
        <f>N62</f>
        <v>0</v>
      </c>
    </row>
    <row r="136" spans="1:4">
      <c r="A136" s="1244">
        <f>Summary!BL114</f>
        <v>110047</v>
      </c>
      <c r="B136" s="2465" t="str">
        <f>Summary!BM114</f>
        <v>Rebar</v>
      </c>
      <c r="C136" s="296"/>
      <c r="D136" s="708"/>
    </row>
    <row r="137" spans="1:4">
      <c r="A137" s="1246">
        <f>Summary!BL115</f>
        <v>110048</v>
      </c>
      <c r="B137" s="2466" t="str">
        <f>Summary!BM115</f>
        <v>PT Installation</v>
      </c>
      <c r="C137" s="765"/>
      <c r="D137" s="722"/>
    </row>
    <row r="138" spans="1:4">
      <c r="A138" s="1246">
        <f>Summary!BL116</f>
        <v>110049</v>
      </c>
      <c r="B138" s="2466" t="str">
        <f>Summary!BM116</f>
        <v>Extra Hours</v>
      </c>
      <c r="C138" s="765"/>
      <c r="D138" s="722">
        <f>N64</f>
        <v>0</v>
      </c>
    </row>
    <row r="139" spans="1:4">
      <c r="A139" s="1833">
        <f>Summary!BL117</f>
        <v>110060</v>
      </c>
      <c r="B139" s="2050" t="str">
        <f>Summary!BM117</f>
        <v>Total Equipment Rental</v>
      </c>
      <c r="C139" s="1835"/>
      <c r="D139" s="1836">
        <f>SUM(D140:D147)</f>
        <v>14071.933928571429</v>
      </c>
    </row>
    <row r="140" spans="1:4">
      <c r="A140" s="1244">
        <f>Summary!BL118</f>
        <v>110061</v>
      </c>
      <c r="B140" s="2465" t="str">
        <f>Summary!BM118</f>
        <v>SkyTrack</v>
      </c>
      <c r="C140" s="296"/>
      <c r="D140" s="708">
        <f>N74</f>
        <v>4364.3089285714286</v>
      </c>
    </row>
    <row r="141" spans="1:4">
      <c r="A141" s="1244">
        <f>Summary!BL119</f>
        <v>110062</v>
      </c>
      <c r="B141" s="2465" t="str">
        <f>Summary!BM119</f>
        <v>Mini Excavator</v>
      </c>
      <c r="C141" s="296"/>
      <c r="D141" s="708">
        <f>N73</f>
        <v>9257.625</v>
      </c>
    </row>
    <row r="142" spans="1:4">
      <c r="A142" s="1244">
        <f>Summary!BL120</f>
        <v>110063</v>
      </c>
      <c r="B142" s="2465" t="str">
        <f>Summary!BM120</f>
        <v>Trencher</v>
      </c>
      <c r="C142" s="296"/>
      <c r="D142" s="708">
        <f>N72+N76+N75+N77</f>
        <v>450</v>
      </c>
    </row>
    <row r="143" spans="1:4">
      <c r="A143" s="1244">
        <f>Summary!BL121</f>
        <v>110064</v>
      </c>
      <c r="B143" s="2465" t="str">
        <f>Summary!BM121</f>
        <v>Skid Steer</v>
      </c>
      <c r="C143" s="296"/>
      <c r="D143" s="708"/>
    </row>
    <row r="144" spans="1:4">
      <c r="A144" s="1244">
        <f>Summary!BL122</f>
        <v>110065</v>
      </c>
      <c r="B144" s="2465" t="str">
        <f>Summary!BM122</f>
        <v>General Equipment Rental</v>
      </c>
      <c r="C144" s="296"/>
      <c r="D144" s="708"/>
    </row>
    <row r="145" spans="1:4">
      <c r="A145" s="1244">
        <f>Summary!BL123</f>
        <v>110066</v>
      </c>
      <c r="B145" s="2465" t="str">
        <f>Summary!BM123</f>
        <v>Fuel</v>
      </c>
      <c r="C145" s="296"/>
      <c r="D145" s="708"/>
    </row>
    <row r="146" spans="1:4">
      <c r="A146" s="1244">
        <f>Summary!BL124</f>
        <v>110067</v>
      </c>
      <c r="B146" s="2465" t="str">
        <f>Summary!BM124</f>
        <v>Purchased Tools</v>
      </c>
      <c r="C146" s="296"/>
      <c r="D146" s="708"/>
    </row>
    <row r="147" spans="1:4">
      <c r="A147" s="1244">
        <f>Summary!BL125</f>
        <v>110068</v>
      </c>
      <c r="B147" s="2465" t="str">
        <f>Summary!BM125</f>
        <v>Stolen/Damaged</v>
      </c>
      <c r="C147" s="296"/>
      <c r="D147" s="708"/>
    </row>
    <row r="148" spans="1:4">
      <c r="A148" s="1244">
        <f>Summary!BL126</f>
        <v>110070</v>
      </c>
      <c r="B148" s="2465" t="str">
        <f>Summary!BM126</f>
        <v>Out of Town Expense</v>
      </c>
      <c r="C148" s="296"/>
      <c r="D148" s="708">
        <f>N86</f>
        <v>0</v>
      </c>
    </row>
    <row r="149" spans="1:4">
      <c r="A149" s="1244">
        <f>Summary!BL127</f>
        <v>110071</v>
      </c>
      <c r="B149" s="2465" t="str">
        <f>Summary!BM127</f>
        <v>Miscellaneous</v>
      </c>
      <c r="C149" s="296"/>
      <c r="D149" s="708">
        <f>N87+N85</f>
        <v>0</v>
      </c>
    </row>
    <row r="150" spans="1:4">
      <c r="A150" s="1244">
        <f>Summary!BL128</f>
        <v>110072</v>
      </c>
      <c r="B150" s="2465" t="str">
        <f>Summary!BM128</f>
        <v>Repairs</v>
      </c>
      <c r="C150" s="296"/>
      <c r="D150" s="708"/>
    </row>
    <row r="151" spans="1:4">
      <c r="A151" s="1244">
        <f>Summary!BL129</f>
        <v>110073</v>
      </c>
      <c r="B151" s="2465" t="str">
        <f>Summary!BM129</f>
        <v>Engineering</v>
      </c>
      <c r="C151" s="296"/>
      <c r="D151" s="708"/>
    </row>
    <row r="152" spans="1:4">
      <c r="A152" s="1244">
        <f>Summary!BL130</f>
        <v>110090</v>
      </c>
      <c r="B152" s="2465" t="str">
        <f>Summary!BM130</f>
        <v>Not Used</v>
      </c>
      <c r="C152" s="296"/>
      <c r="D152" s="708"/>
    </row>
    <row r="153" spans="1:4">
      <c r="A153" s="1244">
        <f>Summary!BL131</f>
        <v>110091</v>
      </c>
      <c r="B153" s="2465" t="str">
        <f>Summary!BM131</f>
        <v>Margin Contingency</v>
      </c>
      <c r="C153" s="296"/>
      <c r="D153" s="708">
        <f>N88</f>
        <v>0</v>
      </c>
    </row>
  </sheetData>
  <mergeCells count="206">
    <mergeCell ref="B92:C92"/>
    <mergeCell ref="D92:E92"/>
    <mergeCell ref="G92:H92"/>
    <mergeCell ref="I92:K92"/>
    <mergeCell ref="T92:U92"/>
    <mergeCell ref="A87:C87"/>
    <mergeCell ref="N87:O87"/>
    <mergeCell ref="U87:V87"/>
    <mergeCell ref="A88:C88"/>
    <mergeCell ref="F88:G88"/>
    <mergeCell ref="N88:O88"/>
    <mergeCell ref="U88:V88"/>
    <mergeCell ref="A91:C91"/>
    <mergeCell ref="D91:E91"/>
    <mergeCell ref="F91:H91"/>
    <mergeCell ref="L91:M91"/>
    <mergeCell ref="N82:O82"/>
    <mergeCell ref="A83:C83"/>
    <mergeCell ref="N83:O83"/>
    <mergeCell ref="N84:O84"/>
    <mergeCell ref="A85:C85"/>
    <mergeCell ref="N85:O85"/>
    <mergeCell ref="A86:C86"/>
    <mergeCell ref="N86:O86"/>
    <mergeCell ref="Q86:R86"/>
    <mergeCell ref="A78:O78"/>
    <mergeCell ref="A79:C79"/>
    <mergeCell ref="I79:J79"/>
    <mergeCell ref="N79:O79"/>
    <mergeCell ref="A80:C80"/>
    <mergeCell ref="I80:J81"/>
    <mergeCell ref="K80:K81"/>
    <mergeCell ref="N80:O80"/>
    <mergeCell ref="A81:C81"/>
    <mergeCell ref="N81:O81"/>
    <mergeCell ref="A74:C74"/>
    <mergeCell ref="I74:J75"/>
    <mergeCell ref="L74:M74"/>
    <mergeCell ref="N74:O74"/>
    <mergeCell ref="A75:C75"/>
    <mergeCell ref="N75:O75"/>
    <mergeCell ref="A76:C76"/>
    <mergeCell ref="N76:O76"/>
    <mergeCell ref="A77:C77"/>
    <mergeCell ref="N77:O77"/>
    <mergeCell ref="N69:O69"/>
    <mergeCell ref="L70:M70"/>
    <mergeCell ref="N70:O70"/>
    <mergeCell ref="A71:O71"/>
    <mergeCell ref="A72:C72"/>
    <mergeCell ref="N72:O72"/>
    <mergeCell ref="A73:C73"/>
    <mergeCell ref="I73:J73"/>
    <mergeCell ref="L73:M73"/>
    <mergeCell ref="N73:O73"/>
    <mergeCell ref="D65:E65"/>
    <mergeCell ref="H65:J65"/>
    <mergeCell ref="K65:L65"/>
    <mergeCell ref="N65:O65"/>
    <mergeCell ref="A66:O66"/>
    <mergeCell ref="L67:M67"/>
    <mergeCell ref="N67:O67"/>
    <mergeCell ref="L68:M68"/>
    <mergeCell ref="N68:O68"/>
    <mergeCell ref="D62:E62"/>
    <mergeCell ref="H62:I62"/>
    <mergeCell ref="K62:L62"/>
    <mergeCell ref="N62:O62"/>
    <mergeCell ref="D63:E63"/>
    <mergeCell ref="H63:I63"/>
    <mergeCell ref="K63:L63"/>
    <mergeCell ref="N63:O63"/>
    <mergeCell ref="D64:E64"/>
    <mergeCell ref="K64:L64"/>
    <mergeCell ref="N64:O64"/>
    <mergeCell ref="H56:I56"/>
    <mergeCell ref="K56:L56"/>
    <mergeCell ref="N56:O56"/>
    <mergeCell ref="K58:L58"/>
    <mergeCell ref="M58:O58"/>
    <mergeCell ref="D59:E59"/>
    <mergeCell ref="G59:G61"/>
    <mergeCell ref="H59:I61"/>
    <mergeCell ref="K59:L59"/>
    <mergeCell ref="N59:O59"/>
    <mergeCell ref="D60:E60"/>
    <mergeCell ref="K60:L60"/>
    <mergeCell ref="N60:O60"/>
    <mergeCell ref="D61:E61"/>
    <mergeCell ref="K61:L61"/>
    <mergeCell ref="N61:O61"/>
    <mergeCell ref="H51:I51"/>
    <mergeCell ref="K51:L51"/>
    <mergeCell ref="N51:O51"/>
    <mergeCell ref="H52:I52"/>
    <mergeCell ref="K52:L52"/>
    <mergeCell ref="N52:O52"/>
    <mergeCell ref="N53:O53"/>
    <mergeCell ref="H54:I55"/>
    <mergeCell ref="J54:J55"/>
    <mergeCell ref="K54:L54"/>
    <mergeCell ref="N54:O54"/>
    <mergeCell ref="K55:L55"/>
    <mergeCell ref="N55:O55"/>
    <mergeCell ref="N39:O39"/>
    <mergeCell ref="B43:J43"/>
    <mergeCell ref="K43:L43"/>
    <mergeCell ref="Q43:R43"/>
    <mergeCell ref="H44:I50"/>
    <mergeCell ref="J44:J50"/>
    <mergeCell ref="K44:L44"/>
    <mergeCell ref="N44:O44"/>
    <mergeCell ref="K45:L45"/>
    <mergeCell ref="N45:O45"/>
    <mergeCell ref="K46:L46"/>
    <mergeCell ref="N46:O46"/>
    <mergeCell ref="K47:L47"/>
    <mergeCell ref="N47:O47"/>
    <mergeCell ref="K48:L48"/>
    <mergeCell ref="N48:O48"/>
    <mergeCell ref="K49:L49"/>
    <mergeCell ref="N49:O49"/>
    <mergeCell ref="K50:L50"/>
    <mergeCell ref="N50:O50"/>
    <mergeCell ref="B36:C36"/>
    <mergeCell ref="D36:E36"/>
    <mergeCell ref="G36:H36"/>
    <mergeCell ref="I36:K36"/>
    <mergeCell ref="L36:O36"/>
    <mergeCell ref="T36:U36"/>
    <mergeCell ref="D37:E37"/>
    <mergeCell ref="T37:U37"/>
    <mergeCell ref="C38:D38"/>
    <mergeCell ref="E38:F38"/>
    <mergeCell ref="J38:K38"/>
    <mergeCell ref="M38:N38"/>
    <mergeCell ref="T38:U38"/>
    <mergeCell ref="U30:V30"/>
    <mergeCell ref="U31:V31"/>
    <mergeCell ref="C32:D32"/>
    <mergeCell ref="U32:V32"/>
    <mergeCell ref="T33:U33"/>
    <mergeCell ref="D34:E34"/>
    <mergeCell ref="A35:C35"/>
    <mergeCell ref="D35:E35"/>
    <mergeCell ref="F35:H35"/>
    <mergeCell ref="I35:K35"/>
    <mergeCell ref="L35:M35"/>
    <mergeCell ref="U21:V21"/>
    <mergeCell ref="U22:V22"/>
    <mergeCell ref="U23:V23"/>
    <mergeCell ref="U24:V24"/>
    <mergeCell ref="U25:V25"/>
    <mergeCell ref="U26:V26"/>
    <mergeCell ref="U27:V27"/>
    <mergeCell ref="U28:V28"/>
    <mergeCell ref="U29:V29"/>
    <mergeCell ref="U12:V12"/>
    <mergeCell ref="U13:V13"/>
    <mergeCell ref="U14:V14"/>
    <mergeCell ref="U15:V15"/>
    <mergeCell ref="U16:V16"/>
    <mergeCell ref="U17:V17"/>
    <mergeCell ref="U18:V18"/>
    <mergeCell ref="U19:V19"/>
    <mergeCell ref="U20:V20"/>
    <mergeCell ref="P8:P9"/>
    <mergeCell ref="Q8:Q9"/>
    <mergeCell ref="R8:R9"/>
    <mergeCell ref="S8:S9"/>
    <mergeCell ref="T8:T9"/>
    <mergeCell ref="U8:V9"/>
    <mergeCell ref="BO8:BS8"/>
    <mergeCell ref="U10:V10"/>
    <mergeCell ref="U11:V11"/>
    <mergeCell ref="A8:B9"/>
    <mergeCell ref="C8:D9"/>
    <mergeCell ref="E8:E9"/>
    <mergeCell ref="F8:F9"/>
    <mergeCell ref="G8:G9"/>
    <mergeCell ref="H8:H9"/>
    <mergeCell ref="I8:I9"/>
    <mergeCell ref="J8:L8"/>
    <mergeCell ref="M8:O8"/>
    <mergeCell ref="I5:M5"/>
    <mergeCell ref="N5:O5"/>
    <mergeCell ref="P5:Q5"/>
    <mergeCell ref="C6:D6"/>
    <mergeCell ref="I6:M6"/>
    <mergeCell ref="N6:O6"/>
    <mergeCell ref="P6:Q6"/>
    <mergeCell ref="C7:D7"/>
    <mergeCell ref="F7:H7"/>
    <mergeCell ref="I7:M7"/>
    <mergeCell ref="U1:V1"/>
    <mergeCell ref="A2:D2"/>
    <mergeCell ref="N2:O2"/>
    <mergeCell ref="P2:Q2"/>
    <mergeCell ref="A3:D3"/>
    <mergeCell ref="I3:M3"/>
    <mergeCell ref="N3:O3"/>
    <mergeCell ref="P3:Q3"/>
    <mergeCell ref="A4:D4"/>
    <mergeCell ref="I4:M4"/>
    <mergeCell ref="N4:O4"/>
    <mergeCell ref="P4:Q4"/>
  </mergeCells>
  <conditionalFormatting sqref="K43:L43">
    <cfRule type="containsText" dxfId="19" priority="2" operator="containsText" text="Missing">
      <formula>NOT(ISERROR(SEARCH("Missing",K43)))</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2" max="16383" man="1"/>
  </rowBreaks>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B9CDE5"/>
    <pageSetUpPr fitToPage="1"/>
  </sheetPr>
  <dimension ref="A1:BH102"/>
  <sheetViews>
    <sheetView zoomScale="85" zoomScaleNormal="85" zoomScalePageLayoutView="80" workbookViewId="0">
      <selection activeCell="H18" sqref="H18"/>
    </sheetView>
  </sheetViews>
  <sheetFormatPr defaultColWidth="9.15234375" defaultRowHeight="15"/>
  <cols>
    <col min="1" max="1" width="9.15234375" style="18"/>
    <col min="2" max="2" width="8" style="18" customWidth="1"/>
    <col min="3" max="3" width="7" style="18" customWidth="1"/>
    <col min="4" max="4" width="16.53515625" style="18" customWidth="1"/>
    <col min="5" max="5" width="14.84375" style="18" customWidth="1"/>
    <col min="6" max="6" width="9.15234375" style="18"/>
    <col min="7" max="7" width="11.53515625" style="18" customWidth="1"/>
    <col min="8" max="8" width="12.84375" style="18" customWidth="1"/>
    <col min="9" max="9" width="6" style="380" customWidth="1"/>
    <col min="10" max="10" width="13.15234375" style="18" customWidth="1"/>
    <col min="11" max="11" width="12" style="18" customWidth="1"/>
    <col min="12" max="12" width="9.84375" style="18" customWidth="1"/>
    <col min="13" max="14" width="11.84375" style="18" customWidth="1"/>
    <col min="15" max="15" width="11" style="18" customWidth="1"/>
    <col min="16" max="16" width="10.15234375" style="18" customWidth="1"/>
    <col min="17" max="22" width="13.84375" style="18" customWidth="1"/>
    <col min="23" max="23" width="15.15234375" style="18" customWidth="1"/>
    <col min="24" max="24" width="6.84375" style="18" customWidth="1"/>
    <col min="25" max="25" width="9.84375" style="18" customWidth="1"/>
    <col min="26" max="26" width="10.15234375" style="18" customWidth="1"/>
    <col min="27" max="38" width="9.15234375" style="18" hidden="1"/>
    <col min="39" max="39" width="23.4609375" style="18" hidden="1" customWidth="1"/>
    <col min="40" max="42" width="9.15234375" style="18" hidden="1"/>
    <col min="43" max="43" width="39.53515625" style="18" hidden="1" customWidth="1"/>
    <col min="44" max="44" width="9.15234375" style="18" hidden="1"/>
    <col min="45" max="45" width="13.84375" style="18" hidden="1" customWidth="1"/>
    <col min="46" max="46" width="11.84375" style="18" hidden="1" customWidth="1"/>
    <col min="47" max="47" width="31" style="18" hidden="1" customWidth="1"/>
    <col min="48" max="48" width="11" style="18" hidden="1" customWidth="1"/>
    <col min="49" max="49" width="15.84375" style="18" hidden="1" customWidth="1"/>
    <col min="50" max="50" width="11.53515625" style="18" hidden="1" customWidth="1"/>
    <col min="51" max="51" width="15.84375" style="18" hidden="1" customWidth="1"/>
    <col min="52" max="52" width="11.53515625" style="18" hidden="1" customWidth="1"/>
    <col min="53" max="53" width="15.84375" style="18" hidden="1" customWidth="1"/>
    <col min="54" max="54" width="11.53515625" style="18" hidden="1" customWidth="1"/>
    <col min="55" max="55" width="15.84375" style="18" hidden="1" customWidth="1"/>
    <col min="56" max="56" width="11.53515625" style="18" hidden="1" customWidth="1"/>
    <col min="57" max="57" width="14.84375" style="18" hidden="1" customWidth="1"/>
    <col min="58" max="58" width="11.53515625" style="18" hidden="1" customWidth="1"/>
    <col min="59" max="59" width="16.84375" style="18" hidden="1" customWidth="1"/>
    <col min="60" max="60" width="11" style="18" hidden="1" customWidth="1"/>
    <col min="61" max="16384" width="9.15234375" style="18"/>
  </cols>
  <sheetData>
    <row r="1" spans="1:60" ht="18" customHeight="1">
      <c r="B1" s="677" t="s">
        <v>1355</v>
      </c>
      <c r="C1" s="983"/>
      <c r="D1" s="983"/>
      <c r="E1" s="983"/>
      <c r="F1" s="983"/>
      <c r="G1" s="589"/>
      <c r="H1" s="589"/>
      <c r="I1" s="1301"/>
      <c r="J1" s="589"/>
      <c r="K1" s="589"/>
      <c r="L1" s="589"/>
      <c r="M1" s="589"/>
      <c r="N1" s="589"/>
      <c r="O1" s="589"/>
      <c r="P1" s="589"/>
      <c r="Q1" s="589"/>
      <c r="R1" s="589"/>
      <c r="S1" s="589"/>
      <c r="T1" s="589"/>
      <c r="U1" s="1081" t="s">
        <v>1193</v>
      </c>
      <c r="V1" s="1081"/>
      <c r="W1" s="1081"/>
      <c r="X1" s="3257"/>
      <c r="Y1" s="3257"/>
      <c r="Z1" s="626"/>
      <c r="AA1" s="626"/>
      <c r="AI1" s="18" t="s">
        <v>55</v>
      </c>
    </row>
    <row r="2" spans="1:60" ht="18" customHeight="1">
      <c r="B2" s="2749" t="str">
        <f>Summary!C1</f>
        <v>Trammell Crow – LBJ</v>
      </c>
      <c r="C2" s="2749"/>
      <c r="D2" s="2749"/>
      <c r="E2" s="2749"/>
      <c r="F2" s="1092"/>
      <c r="G2" s="626"/>
      <c r="H2" s="795"/>
      <c r="I2" s="663"/>
      <c r="J2" s="1259" t="s">
        <v>56</v>
      </c>
      <c r="K2" s="983"/>
      <c r="L2" s="1085" t="s">
        <v>57</v>
      </c>
      <c r="M2" s="983"/>
      <c r="N2" s="983"/>
      <c r="O2" s="983"/>
      <c r="P2" s="3258" t="s">
        <v>1</v>
      </c>
      <c r="Q2" s="3258"/>
      <c r="R2" s="2993" t="s">
        <v>1194</v>
      </c>
      <c r="S2" s="2993"/>
      <c r="T2" s="626"/>
      <c r="U2" s="795" t="s">
        <v>957</v>
      </c>
      <c r="V2" s="663"/>
      <c r="W2" s="663"/>
      <c r="X2" s="796">
        <f>Information!C7</f>
        <v>0</v>
      </c>
      <c r="Y2" s="797"/>
      <c r="Z2" s="626"/>
      <c r="AA2" s="626"/>
      <c r="AI2" s="18" t="s">
        <v>2</v>
      </c>
      <c r="AJ2" s="18">
        <v>0</v>
      </c>
    </row>
    <row r="3" spans="1:60" ht="18" customHeight="1">
      <c r="B3" s="2752">
        <f>Summary!C2</f>
        <v>0</v>
      </c>
      <c r="C3" s="2752"/>
      <c r="D3" s="2752"/>
      <c r="E3" s="2752"/>
      <c r="F3" s="1092"/>
      <c r="G3" s="626"/>
      <c r="H3" s="574"/>
      <c r="J3" s="793" t="s">
        <v>955</v>
      </c>
      <c r="K3" s="3259">
        <f>Summary!K2</f>
        <v>0</v>
      </c>
      <c r="L3" s="3259"/>
      <c r="M3" s="3259"/>
      <c r="N3" s="3259"/>
      <c r="O3" s="3259"/>
      <c r="P3" s="2754">
        <f>Summary!O2</f>
        <v>0</v>
      </c>
      <c r="Q3" s="2754"/>
      <c r="R3" s="2755">
        <f>Summary!P2</f>
        <v>0</v>
      </c>
      <c r="S3" s="2755"/>
      <c r="T3" s="626"/>
      <c r="U3" s="574"/>
      <c r="Y3" s="798"/>
      <c r="Z3" s="626"/>
      <c r="AA3" s="626"/>
      <c r="AI3" s="18" t="s">
        <v>1051</v>
      </c>
      <c r="AJ3" s="18">
        <v>0</v>
      </c>
    </row>
    <row r="4" spans="1:60" ht="18" customHeight="1">
      <c r="B4" s="2756" t="str">
        <f>Summary!C3</f>
        <v>Dallas, TX</v>
      </c>
      <c r="C4" s="2756"/>
      <c r="D4" s="2756"/>
      <c r="E4" s="2756"/>
      <c r="F4" s="1092"/>
      <c r="G4" s="626"/>
      <c r="H4" s="574"/>
      <c r="J4" s="793" t="s">
        <v>71</v>
      </c>
      <c r="K4" s="3260">
        <f>Summary!K3</f>
        <v>0</v>
      </c>
      <c r="L4" s="3260"/>
      <c r="M4" s="3260"/>
      <c r="N4" s="3260"/>
      <c r="O4" s="3260"/>
      <c r="P4" s="2758">
        <f>Summary!O3</f>
        <v>0</v>
      </c>
      <c r="Q4" s="2758"/>
      <c r="R4" s="2759">
        <f>Summary!P3</f>
        <v>0</v>
      </c>
      <c r="S4" s="2759"/>
      <c r="T4" s="626"/>
      <c r="U4" s="574" t="s">
        <v>958</v>
      </c>
      <c r="X4" s="799"/>
      <c r="Y4" s="800"/>
      <c r="Z4" s="626"/>
      <c r="AA4" s="626"/>
      <c r="AI4" s="18" t="s">
        <v>1052</v>
      </c>
      <c r="AJ4" s="18">
        <v>0</v>
      </c>
    </row>
    <row r="5" spans="1:60" ht="18" customHeight="1">
      <c r="B5" s="963" t="s">
        <v>0</v>
      </c>
      <c r="D5" s="380" t="s">
        <v>1</v>
      </c>
      <c r="F5" s="18">
        <f>4*85*5*4</f>
        <v>6800</v>
      </c>
      <c r="G5" s="626"/>
      <c r="H5" s="574"/>
      <c r="J5" s="793" t="s">
        <v>79</v>
      </c>
      <c r="K5" s="3260">
        <f>Summary!K4</f>
        <v>0</v>
      </c>
      <c r="L5" s="3260"/>
      <c r="M5" s="3260"/>
      <c r="N5" s="3260"/>
      <c r="O5" s="3260"/>
      <c r="P5" s="2758">
        <f>Summary!O4</f>
        <v>0</v>
      </c>
      <c r="Q5" s="2758"/>
      <c r="R5" s="2759">
        <f>Summary!P4</f>
        <v>0</v>
      </c>
      <c r="S5" s="2759"/>
      <c r="T5" s="626"/>
      <c r="U5" s="574"/>
      <c r="Y5" s="798"/>
      <c r="Z5" s="626"/>
      <c r="AA5" s="626"/>
      <c r="AI5" s="18" t="s">
        <v>1055</v>
      </c>
      <c r="AJ5" s="18" t="s">
        <v>1950</v>
      </c>
      <c r="AN5" s="18" t="s">
        <v>860</v>
      </c>
    </row>
    <row r="6" spans="1:60" ht="18" customHeight="1">
      <c r="B6" s="1089">
        <v>0</v>
      </c>
      <c r="C6" s="626"/>
      <c r="D6" s="2760">
        <v>0</v>
      </c>
      <c r="E6" s="2760"/>
      <c r="F6" s="2467"/>
      <c r="G6" s="626"/>
      <c r="H6" s="577"/>
      <c r="I6" s="802"/>
      <c r="J6" s="2052" t="s">
        <v>87</v>
      </c>
      <c r="K6" s="3261">
        <f>Summary!K5</f>
        <v>0</v>
      </c>
      <c r="L6" s="3261"/>
      <c r="M6" s="3261"/>
      <c r="N6" s="3261"/>
      <c r="O6" s="3261"/>
      <c r="P6" s="2762">
        <f>Summary!O5</f>
        <v>0</v>
      </c>
      <c r="Q6" s="2762"/>
      <c r="R6" s="2763">
        <f>Summary!P5</f>
        <v>0</v>
      </c>
      <c r="S6" s="2763"/>
      <c r="T6" s="626"/>
      <c r="U6" s="577" t="s">
        <v>958</v>
      </c>
      <c r="V6" s="802"/>
      <c r="W6" s="802"/>
      <c r="X6" s="802"/>
      <c r="Y6" s="803"/>
      <c r="Z6" s="626"/>
      <c r="AA6" s="626"/>
    </row>
    <row r="7" spans="1:60" ht="18" customHeight="1">
      <c r="B7" s="1091">
        <v>0</v>
      </c>
      <c r="C7" s="626"/>
      <c r="D7" s="2764">
        <v>0</v>
      </c>
      <c r="E7" s="2764"/>
      <c r="F7" s="2467"/>
      <c r="G7" s="626"/>
      <c r="H7" s="3262" t="s">
        <v>1196</v>
      </c>
      <c r="I7" s="3262"/>
      <c r="J7" s="3262"/>
      <c r="K7" s="3262"/>
      <c r="L7" s="3263" t="str">
        <f>Pricing!A3</f>
        <v>SRM</v>
      </c>
      <c r="M7" s="3263"/>
      <c r="N7" s="3263"/>
      <c r="O7" s="3263"/>
      <c r="P7" s="3263"/>
      <c r="T7" s="983"/>
      <c r="Y7" s="983"/>
      <c r="Z7" s="626"/>
      <c r="AA7" s="626"/>
      <c r="AI7" s="18">
        <v>0</v>
      </c>
      <c r="AJ7" s="18" t="s">
        <v>1951</v>
      </c>
      <c r="AN7" s="18" t="e">
        <f>'04-PT Slab on Grade'!GI7+'02-Gd Beams'!AK7+'09-SLAB ON DECK'!AI7+'10-PAVING'!AH7+'01-Piers'!AN7+#REF!</f>
        <v>#REF!</v>
      </c>
      <c r="AU7" s="1624"/>
      <c r="AV7" s="3269" t="s">
        <v>1952</v>
      </c>
      <c r="AW7" s="1626">
        <f>SUM(AW10:AW40)</f>
        <v>0</v>
      </c>
      <c r="AX7" s="3264" t="s">
        <v>1953</v>
      </c>
      <c r="AY7" s="1626">
        <f>SUM(AY10:AY40)</f>
        <v>0</v>
      </c>
      <c r="AZ7" s="3264" t="s">
        <v>1652</v>
      </c>
      <c r="BA7" s="1626">
        <f>SUM(BA10:BA40)</f>
        <v>0</v>
      </c>
      <c r="BB7" s="3264" t="s">
        <v>1653</v>
      </c>
      <c r="BC7" s="1626">
        <f>SUM(BC10:BC40)</f>
        <v>0</v>
      </c>
      <c r="BD7" s="3264" t="s">
        <v>1954</v>
      </c>
      <c r="BE7" s="1626">
        <f>SUM(BE10:BE40)</f>
        <v>0</v>
      </c>
      <c r="BF7" s="3264" t="s">
        <v>1955</v>
      </c>
      <c r="BG7" s="1626">
        <f>SUM(BG10:BG40)</f>
        <v>0</v>
      </c>
      <c r="BH7" s="500">
        <f>SUM(AW7:BG8)</f>
        <v>0</v>
      </c>
    </row>
    <row r="8" spans="1:60" ht="40.5" customHeight="1">
      <c r="B8" s="3265" t="s">
        <v>1956</v>
      </c>
      <c r="C8" s="3265"/>
      <c r="D8" s="3265"/>
      <c r="E8" s="2468">
        <v>1</v>
      </c>
      <c r="F8" s="2469"/>
      <c r="G8" s="2469"/>
      <c r="H8" s="2470"/>
      <c r="I8" s="2470"/>
      <c r="J8" s="3266" t="str">
        <f>IF(E8=1,Pricing!F$2,IF(E8=2,Pricing!G$2,IF(E8=3,Pricing!H$2,IF(E8=4,Pricing!I$2,IF(E8=5,Pricing!J$2,IF(E8=6,Pricing!K$2,0))))))</f>
        <v>3,000 PSI 5sk /Ash and Air</v>
      </c>
      <c r="K8" s="3266"/>
      <c r="L8" s="3266"/>
      <c r="M8" s="2471">
        <f>IF(E8=1,Pricing!F$3,IF(E8=2,Pricing!G$3,IF(E8=3,Pricing!H$3,IF(E8=4,Pricing!I$3,IF(E8=5,Pricing!J$3,IF(E8=6,Pricing!K$3,0))))))</f>
        <v>134</v>
      </c>
      <c r="N8" s="3267" t="s">
        <v>1957</v>
      </c>
      <c r="O8" s="3267"/>
      <c r="P8" s="3267"/>
      <c r="Q8" s="2472">
        <v>1</v>
      </c>
      <c r="R8" s="3266" t="str">
        <f>IF(Q8=1,Pricing!F$2,IF(Q8=2,Pricing!G$2,IF(Q8=3,Pricing!H$2,IF(Q8=4,Pricing!I$2,IF(Q8=5,Pricing!J$2,IF(Q8=6,Pricing!K$2,0))))))</f>
        <v>3,000 PSI 5sk /Ash and Air</v>
      </c>
      <c r="S8" s="3266"/>
      <c r="T8" s="3266"/>
      <c r="U8" s="2473">
        <f>IF(Q8=1,Pricing!F$3,IF(Q8=2,Pricing!G$3,IF(Q8=3,Pricing!H$3,IF(Q8=4,Pricing!I$3,IF(Q8=5,Pricing!J$3,IF(Q8=6,Pricing!K$3,0))))))</f>
        <v>134</v>
      </c>
      <c r="V8" s="567"/>
      <c r="W8" s="568"/>
      <c r="X8" s="568"/>
      <c r="Y8" s="568"/>
      <c r="AB8" s="626"/>
      <c r="AC8" s="626"/>
      <c r="AK8" s="18">
        <v>1</v>
      </c>
      <c r="AL8" s="18" t="s">
        <v>1081</v>
      </c>
      <c r="AP8" s="18" t="e">
        <f>'04-PT Slab on Grade'!GT8+'02-Gd Beams'!AK8+'09-SLAB ON DECK'!AI8+'10-PAVING'!AH8+'01-Piers'!AN8+#REF!</f>
        <v>#VALUE!</v>
      </c>
      <c r="AQ8" s="3268" t="s">
        <v>1021</v>
      </c>
      <c r="AR8" s="3268"/>
      <c r="AS8" s="3268"/>
      <c r="AT8" s="3268"/>
      <c r="AU8" s="488" t="s">
        <v>1517</v>
      </c>
      <c r="AV8" s="3269"/>
      <c r="AW8" s="1526"/>
      <c r="AX8" s="3264"/>
      <c r="AY8" s="1526"/>
      <c r="AZ8" s="3264"/>
      <c r="BA8" s="1526"/>
      <c r="BB8" s="3264"/>
      <c r="BC8" s="1526"/>
      <c r="BD8" s="3264"/>
      <c r="BE8" s="1526"/>
      <c r="BF8" s="3264"/>
      <c r="BG8" s="1526"/>
    </row>
    <row r="9" spans="1:60" ht="31.5" customHeight="1">
      <c r="B9" s="3270" t="s">
        <v>1517</v>
      </c>
      <c r="C9" s="3270"/>
      <c r="D9" s="3270"/>
      <c r="E9" s="3270"/>
      <c r="F9" s="2474" t="s">
        <v>1958</v>
      </c>
      <c r="G9" s="2475" t="s">
        <v>835</v>
      </c>
      <c r="H9" s="2476" t="s">
        <v>1959</v>
      </c>
      <c r="I9" s="2476" t="s">
        <v>1960</v>
      </c>
      <c r="J9" s="1096" t="s">
        <v>1961</v>
      </c>
      <c r="K9" s="1096" t="s">
        <v>1962</v>
      </c>
      <c r="L9" s="2477" t="s">
        <v>1963</v>
      </c>
      <c r="M9" s="2477" t="s">
        <v>1964</v>
      </c>
      <c r="N9" s="2478"/>
      <c r="O9" s="2479" t="s">
        <v>1965</v>
      </c>
      <c r="P9" s="2479" t="s">
        <v>1966</v>
      </c>
      <c r="Q9" s="2480" t="s">
        <v>1967</v>
      </c>
      <c r="R9" s="2481" t="s">
        <v>969</v>
      </c>
      <c r="S9" s="2480" t="s">
        <v>577</v>
      </c>
      <c r="T9" s="2480" t="s">
        <v>973</v>
      </c>
      <c r="U9" s="2481" t="s">
        <v>1968</v>
      </c>
      <c r="V9" s="2480" t="s">
        <v>1969</v>
      </c>
      <c r="W9" s="2482" t="s">
        <v>1191</v>
      </c>
      <c r="X9" s="3271" t="s">
        <v>980</v>
      </c>
      <c r="Y9" s="3271"/>
      <c r="Z9" s="18" t="s">
        <v>978</v>
      </c>
      <c r="AA9" s="626"/>
      <c r="AG9" s="18" t="s">
        <v>1297</v>
      </c>
      <c r="AH9" s="18" t="s">
        <v>973</v>
      </c>
      <c r="AI9" s="18">
        <v>2</v>
      </c>
      <c r="AJ9" s="18" t="s">
        <v>1970</v>
      </c>
      <c r="AN9" s="2483">
        <f>SUM(Q10:Q40)</f>
        <v>0</v>
      </c>
      <c r="AQ9" s="2484" t="s">
        <v>1971</v>
      </c>
      <c r="AR9" s="2485" t="s">
        <v>611</v>
      </c>
      <c r="AS9" s="2485" t="s">
        <v>1972</v>
      </c>
      <c r="AT9" s="2485" t="s">
        <v>1973</v>
      </c>
      <c r="AU9" s="2329"/>
      <c r="AV9" s="2486" t="s">
        <v>1055</v>
      </c>
      <c r="AW9" s="2487" t="s">
        <v>721</v>
      </c>
      <c r="AX9" s="2488"/>
      <c r="AY9" s="2487" t="s">
        <v>1093</v>
      </c>
      <c r="AZ9" s="2486" t="s">
        <v>1055</v>
      </c>
      <c r="BA9" s="2487" t="s">
        <v>738</v>
      </c>
      <c r="BB9" s="2486" t="s">
        <v>1055</v>
      </c>
      <c r="BC9" s="2487" t="s">
        <v>1146</v>
      </c>
      <c r="BD9" s="2486" t="s">
        <v>1055</v>
      </c>
      <c r="BE9" s="2487" t="s">
        <v>1146</v>
      </c>
      <c r="BF9" s="2486" t="s">
        <v>1055</v>
      </c>
      <c r="BG9" s="2487" t="s">
        <v>1146</v>
      </c>
    </row>
    <row r="10" spans="1:60" ht="19.5" customHeight="1">
      <c r="A10" s="18" t="s">
        <v>1068</v>
      </c>
      <c r="B10" s="2489" t="s">
        <v>1974</v>
      </c>
      <c r="C10" s="2490"/>
      <c r="D10" s="2490"/>
      <c r="E10" s="2491"/>
      <c r="F10" s="2492" t="s">
        <v>1306</v>
      </c>
      <c r="G10" s="2493"/>
      <c r="H10" s="2494">
        <v>1150</v>
      </c>
      <c r="I10" s="2495" t="s">
        <v>1000</v>
      </c>
      <c r="J10" s="2496">
        <v>350</v>
      </c>
      <c r="K10" s="2497">
        <f>G10*H10</f>
        <v>0</v>
      </c>
      <c r="L10" s="2498">
        <v>24</v>
      </c>
      <c r="M10" s="2499">
        <v>8</v>
      </c>
      <c r="N10" s="2500"/>
      <c r="O10" s="2501">
        <f>ROUNDUP((L10*0.5*L10*0.5)*3.145/144*M10/27*G10,0)</f>
        <v>0</v>
      </c>
      <c r="P10" s="2502">
        <f>L10*M10*0.95*G10</f>
        <v>0</v>
      </c>
      <c r="Q10" s="2503">
        <f>K10*0.1+G10*3*12.5</f>
        <v>0</v>
      </c>
      <c r="R10" s="2503">
        <f>O10*M$8</f>
        <v>0</v>
      </c>
      <c r="S10" s="2504">
        <f>P10*Pricing!D$22</f>
        <v>0</v>
      </c>
      <c r="T10" s="2503">
        <f>J10*G10</f>
        <v>0</v>
      </c>
      <c r="U10" s="2504">
        <f>T10*0.2</f>
        <v>0</v>
      </c>
      <c r="V10" s="2504">
        <f>8*G10*M10+G10*75</f>
        <v>0</v>
      </c>
      <c r="W10" s="2505">
        <f>(K10-X10)/(Summary!P61+Summary!P60)*Summary!P60</f>
        <v>0</v>
      </c>
      <c r="X10" s="3272">
        <f>SUM(Q10:V10)</f>
        <v>0</v>
      </c>
      <c r="Y10" s="3272"/>
      <c r="Z10" s="2506">
        <f>IF(K10=0,0,1-X10/K10)</f>
        <v>0</v>
      </c>
      <c r="AG10" s="18">
        <f t="shared" ref="AG10:AG40" si="0">IF(F10="Y",T10,0)</f>
        <v>0</v>
      </c>
      <c r="AH10" s="18">
        <f t="shared" ref="AH10:AH40" si="1">IF(F10="Y",0,T10)</f>
        <v>0</v>
      </c>
      <c r="AI10" s="18">
        <v>3</v>
      </c>
      <c r="AJ10" s="18" t="s">
        <v>1085</v>
      </c>
      <c r="AN10" s="18">
        <f>P25+P26+P27+P28+P29+P32</f>
        <v>0</v>
      </c>
      <c r="AQ10" s="1035" t="str">
        <f>IF(AR10="","",B10)</f>
        <v/>
      </c>
      <c r="AR10" s="18" t="str">
        <f>IF(G10="","",G10)</f>
        <v/>
      </c>
      <c r="AS10" s="844" t="str">
        <f>IF(AR10="","",J10*0.75)</f>
        <v/>
      </c>
      <c r="AT10" s="2507" t="str">
        <f>IF(AR10="","",J10*0.25)</f>
        <v/>
      </c>
      <c r="AU10" s="2508" t="str">
        <f>B10</f>
        <v>1301 - Light Pole Bases</v>
      </c>
      <c r="AV10" s="2509">
        <f>130000+(100*$A10)+2</f>
        <v>130102</v>
      </c>
      <c r="AW10" s="2510">
        <f>Q10</f>
        <v>0</v>
      </c>
      <c r="AX10" s="2509">
        <f>130000+(100*$A10)+5</f>
        <v>130105</v>
      </c>
      <c r="AY10" s="2510">
        <f>S10</f>
        <v>0</v>
      </c>
      <c r="AZ10" s="2509">
        <f>130000+(100*$A10)+8</f>
        <v>130108</v>
      </c>
      <c r="BA10" s="2510">
        <f>R10</f>
        <v>0</v>
      </c>
      <c r="BB10" s="2509">
        <f>130000+(100*$A10)+40</f>
        <v>130140</v>
      </c>
      <c r="BC10" s="2510">
        <f>T10</f>
        <v>0</v>
      </c>
      <c r="BD10" s="2509">
        <f>130000+(100*$A10)+20</f>
        <v>130120</v>
      </c>
      <c r="BE10" s="2510">
        <f>U10</f>
        <v>0</v>
      </c>
      <c r="BF10" s="2509">
        <f>130000+(100*$A10)+60</f>
        <v>130160</v>
      </c>
      <c r="BG10" s="2510">
        <f>V10</f>
        <v>0</v>
      </c>
    </row>
    <row r="11" spans="1:60" ht="19.5" customHeight="1">
      <c r="A11" s="18" t="s">
        <v>1069</v>
      </c>
      <c r="B11" s="1385" t="s">
        <v>1975</v>
      </c>
      <c r="C11" s="2511"/>
      <c r="D11" s="2511"/>
      <c r="E11" s="2512"/>
      <c r="F11" s="2513" t="s">
        <v>1306</v>
      </c>
      <c r="G11" s="2514"/>
      <c r="H11" s="2515">
        <v>350</v>
      </c>
      <c r="I11" s="2516" t="s">
        <v>1000</v>
      </c>
      <c r="J11" s="2517">
        <v>120</v>
      </c>
      <c r="K11" s="2497">
        <f>G11*H11</f>
        <v>0</v>
      </c>
      <c r="L11" s="2518">
        <v>12</v>
      </c>
      <c r="M11" s="2519">
        <v>6</v>
      </c>
      <c r="N11" s="2520"/>
      <c r="O11" s="2501">
        <f>ROUNDUP((L11*0.5*L11*0.5)*3.145/144*M11/27*G11,0)</f>
        <v>0</v>
      </c>
      <c r="P11" s="2502">
        <f>L11*M11*0.95*G11</f>
        <v>0</v>
      </c>
      <c r="Q11" s="2503">
        <f>K11*0.1+G11*3*12.5</f>
        <v>0</v>
      </c>
      <c r="R11" s="2503">
        <f>O11*M$8</f>
        <v>0</v>
      </c>
      <c r="S11" s="2504">
        <f>P11*Pricing!D$22</f>
        <v>0</v>
      </c>
      <c r="T11" s="2503">
        <f>J11*G11</f>
        <v>0</v>
      </c>
      <c r="U11" s="2504">
        <f>T11*0.25</f>
        <v>0</v>
      </c>
      <c r="V11" s="2504">
        <f>8*G11</f>
        <v>0</v>
      </c>
      <c r="W11" s="2505">
        <f>(K11-X11)/(Summary!P61+Summary!P60)*Summary!P60</f>
        <v>0</v>
      </c>
      <c r="X11" s="3273">
        <f>SUM(Q11:V11)</f>
        <v>0</v>
      </c>
      <c r="Y11" s="3273"/>
      <c r="Z11" s="2506">
        <f>IF(K11=0,0,1-X11/K11)</f>
        <v>0</v>
      </c>
      <c r="AG11" s="18">
        <f t="shared" si="0"/>
        <v>0</v>
      </c>
      <c r="AH11" s="18">
        <f t="shared" si="1"/>
        <v>0</v>
      </c>
      <c r="AI11" s="18">
        <v>4</v>
      </c>
      <c r="AJ11" s="18" t="s">
        <v>1087</v>
      </c>
      <c r="AQ11" s="1035" t="str">
        <f>IF(AR11="","",B11)</f>
        <v/>
      </c>
      <c r="AR11" s="2055" t="str">
        <f>IF(G11="","",G11)</f>
        <v/>
      </c>
      <c r="AS11" s="844" t="str">
        <f>IF(AR11="","",J11*0.75)</f>
        <v/>
      </c>
      <c r="AT11" s="2507" t="str">
        <f>IF(AR11="","",J11*0.25)</f>
        <v/>
      </c>
      <c r="AU11" s="2521" t="str">
        <f>B11</f>
        <v>1302 - Bollard / Landscape Light Bases</v>
      </c>
      <c r="AV11" s="1635">
        <f>130000+(100*$A11)+2</f>
        <v>130202</v>
      </c>
      <c r="AW11" s="1636">
        <f>Q11</f>
        <v>0</v>
      </c>
      <c r="AX11" s="1635">
        <f>130000+(100*$A11)+5</f>
        <v>130205</v>
      </c>
      <c r="AY11" s="1636">
        <f>S11</f>
        <v>0</v>
      </c>
      <c r="AZ11" s="1635">
        <f>130000+(100*$A11)+8</f>
        <v>130208</v>
      </c>
      <c r="BA11" s="1636">
        <f>R11</f>
        <v>0</v>
      </c>
      <c r="BB11" s="1635">
        <f>130000+(100*$A11)+40</f>
        <v>130240</v>
      </c>
      <c r="BC11" s="1636">
        <f>T11</f>
        <v>0</v>
      </c>
      <c r="BD11" s="1635">
        <f>130000+(100*$A11)+20</f>
        <v>130220</v>
      </c>
      <c r="BE11" s="1636">
        <f>U11</f>
        <v>0</v>
      </c>
      <c r="BF11" s="1635">
        <f>130000+(100*$A11)+60</f>
        <v>130260</v>
      </c>
      <c r="BG11" s="1636">
        <f>V11</f>
        <v>0</v>
      </c>
    </row>
    <row r="12" spans="1:60" ht="19.5" customHeight="1">
      <c r="A12" s="18" t="s">
        <v>1070</v>
      </c>
      <c r="B12" s="1385" t="s">
        <v>1976</v>
      </c>
      <c r="C12" s="2511"/>
      <c r="D12" s="2511"/>
      <c r="E12" s="2512"/>
      <c r="F12" s="2513" t="s">
        <v>1306</v>
      </c>
      <c r="G12" s="2514"/>
      <c r="H12" s="2515">
        <v>300</v>
      </c>
      <c r="I12" s="2516" t="s">
        <v>1000</v>
      </c>
      <c r="J12" s="2517">
        <v>170</v>
      </c>
      <c r="K12" s="2497">
        <f>G12*H12</f>
        <v>0</v>
      </c>
      <c r="L12" s="2518">
        <v>8</v>
      </c>
      <c r="M12" s="2519">
        <v>2</v>
      </c>
      <c r="N12" s="2520"/>
      <c r="O12" s="2501"/>
      <c r="P12" s="2502"/>
      <c r="Q12" s="2503">
        <f>K12*0.1+G12</f>
        <v>0</v>
      </c>
      <c r="R12" s="2503">
        <f>O12*M$8</f>
        <v>0</v>
      </c>
      <c r="S12" s="2504">
        <f>P12*Pricing!D$22</f>
        <v>0</v>
      </c>
      <c r="T12" s="2503">
        <f>J12*G12</f>
        <v>0</v>
      </c>
      <c r="U12" s="2504">
        <f>T12*0.25</f>
        <v>0</v>
      </c>
      <c r="V12" s="2504">
        <f>8*G12</f>
        <v>0</v>
      </c>
      <c r="W12" s="2505">
        <f>(K12-X12)/(Summary!P61+Summary!P60)*Summary!P60</f>
        <v>0</v>
      </c>
      <c r="X12" s="3273">
        <f>SUM(Q12:V12)</f>
        <v>0</v>
      </c>
      <c r="Y12" s="3273"/>
      <c r="Z12" s="2506">
        <f>IF(K12=0,0,1-X12/K12)</f>
        <v>0</v>
      </c>
      <c r="AG12" s="18">
        <f t="shared" si="0"/>
        <v>0</v>
      </c>
      <c r="AH12" s="18">
        <f t="shared" si="1"/>
        <v>0</v>
      </c>
      <c r="AI12" s="18">
        <v>4</v>
      </c>
      <c r="AJ12" s="18" t="s">
        <v>1087</v>
      </c>
      <c r="AQ12" s="1035" t="str">
        <f>IF(AR12="","",B12)</f>
        <v/>
      </c>
      <c r="AR12" s="2055" t="str">
        <f>IF(G12="","",G12)</f>
        <v/>
      </c>
      <c r="AS12" s="844" t="str">
        <f>IF(AR12="","",J12*0.75)</f>
        <v/>
      </c>
      <c r="AT12" s="2507" t="str">
        <f>IF(AR12="","",J12*0.25)</f>
        <v/>
      </c>
      <c r="AU12" s="2521" t="str">
        <f>B12</f>
        <v>1303 - Bike Rack (Installation)</v>
      </c>
      <c r="AV12" s="1635">
        <f>130000+(100*$A12)+2</f>
        <v>130302</v>
      </c>
      <c r="AW12" s="1636">
        <f>Q12</f>
        <v>0</v>
      </c>
      <c r="AX12" s="1635">
        <f>130000+(100*$A12)+5</f>
        <v>130305</v>
      </c>
      <c r="AY12" s="1636">
        <f>S12</f>
        <v>0</v>
      </c>
      <c r="AZ12" s="1635">
        <f>130000+(100*$A12)+8</f>
        <v>130308</v>
      </c>
      <c r="BA12" s="1636">
        <f>R12</f>
        <v>0</v>
      </c>
      <c r="BB12" s="1635">
        <f>130000+(100*$A12)+40</f>
        <v>130340</v>
      </c>
      <c r="BC12" s="1636">
        <f>T12</f>
        <v>0</v>
      </c>
      <c r="BD12" s="1635">
        <f>130000+(100*$A12)+20</f>
        <v>130320</v>
      </c>
      <c r="BE12" s="1636">
        <f>U12</f>
        <v>0</v>
      </c>
      <c r="BF12" s="1635">
        <f>130000+(100*$A12)+60</f>
        <v>130360</v>
      </c>
      <c r="BG12" s="1636">
        <f>V12</f>
        <v>0</v>
      </c>
    </row>
    <row r="13" spans="1:60" ht="19.5" customHeight="1">
      <c r="A13" s="18" t="s">
        <v>1071</v>
      </c>
      <c r="B13" s="1385" t="s">
        <v>1977</v>
      </c>
      <c r="C13" s="2511"/>
      <c r="D13" s="2511"/>
      <c r="E13" s="2512"/>
      <c r="F13" s="2513" t="s">
        <v>1306</v>
      </c>
      <c r="G13" s="2514"/>
      <c r="H13" s="2515">
        <v>150</v>
      </c>
      <c r="I13" s="2516" t="s">
        <v>1000</v>
      </c>
      <c r="J13" s="2517">
        <v>65</v>
      </c>
      <c r="K13" s="2497">
        <f>G13*H13</f>
        <v>0</v>
      </c>
      <c r="L13" s="2518">
        <v>18</v>
      </c>
      <c r="M13" s="2519">
        <v>3</v>
      </c>
      <c r="N13" s="2520"/>
      <c r="O13" s="2501">
        <f>ROUNDUP((L13*0.5*L13*0.5)*3.145/144*M13/27*G13,0)</f>
        <v>0</v>
      </c>
      <c r="P13" s="2502"/>
      <c r="Q13" s="2503"/>
      <c r="R13" s="2503">
        <f>O13*M$8</f>
        <v>0</v>
      </c>
      <c r="S13" s="2504">
        <f>P13*Pricing!D$22</f>
        <v>0</v>
      </c>
      <c r="T13" s="2503">
        <f>J13*G13</f>
        <v>0</v>
      </c>
      <c r="U13" s="2504">
        <f>T13*0.25</f>
        <v>0</v>
      </c>
      <c r="V13" s="2504">
        <f>20*G13</f>
        <v>0</v>
      </c>
      <c r="W13" s="2505">
        <f>(K13-X13)/(Summary!P61+Summary!P60)*Summary!P60</f>
        <v>0</v>
      </c>
      <c r="X13" s="3273">
        <f>SUM(Q13:V13)</f>
        <v>0</v>
      </c>
      <c r="Y13" s="3273"/>
      <c r="Z13" s="2506">
        <f>IF(K13=0,0,1-X13/K13)</f>
        <v>0</v>
      </c>
      <c r="AG13" s="2522">
        <f t="shared" si="0"/>
        <v>0</v>
      </c>
      <c r="AH13" s="18">
        <f t="shared" si="1"/>
        <v>0</v>
      </c>
      <c r="AI13" s="18">
        <v>4</v>
      </c>
      <c r="AJ13" s="18" t="s">
        <v>1087</v>
      </c>
      <c r="AQ13" s="1035" t="str">
        <f>IF(AR13="","",B13)</f>
        <v/>
      </c>
      <c r="AR13" s="2055" t="str">
        <f>IF(G13="","",G13)</f>
        <v/>
      </c>
      <c r="AS13" s="844" t="str">
        <f>IF(AR13="","",J13*0.75)</f>
        <v/>
      </c>
      <c r="AT13" s="2507" t="str">
        <f>IF(AR13="","",J13*0.25)</f>
        <v/>
      </c>
      <c r="AU13" s="2521" t="str">
        <f>B13</f>
        <v>1304 - Pipe Bollards (Install Only)</v>
      </c>
      <c r="AV13" s="1635">
        <f>130000+(100*$A13)+2</f>
        <v>130402</v>
      </c>
      <c r="AW13" s="1636">
        <f>Q13</f>
        <v>0</v>
      </c>
      <c r="AX13" s="1635">
        <f>130000+(100*$A13)+5</f>
        <v>130405</v>
      </c>
      <c r="AY13" s="1636">
        <f>S13</f>
        <v>0</v>
      </c>
      <c r="AZ13" s="1635">
        <f>130000+(100*$A13)+8</f>
        <v>130408</v>
      </c>
      <c r="BA13" s="1636">
        <f>R13</f>
        <v>0</v>
      </c>
      <c r="BB13" s="1635">
        <f>130000+(100*$A13)+40</f>
        <v>130440</v>
      </c>
      <c r="BC13" s="1636">
        <f>T13</f>
        <v>0</v>
      </c>
      <c r="BD13" s="1635">
        <f>130000+(100*$A13)+20</f>
        <v>130420</v>
      </c>
      <c r="BE13" s="1636">
        <f>U13</f>
        <v>0</v>
      </c>
      <c r="BF13" s="1635">
        <f>130000+(100*$A13)+60</f>
        <v>130460</v>
      </c>
      <c r="BG13" s="1636">
        <f>V13</f>
        <v>0</v>
      </c>
    </row>
    <row r="14" spans="1:60" ht="19.5" customHeight="1">
      <c r="A14" s="18" t="s">
        <v>1072</v>
      </c>
      <c r="B14" s="1435" t="s">
        <v>1978</v>
      </c>
      <c r="C14" s="1621"/>
      <c r="D14" s="1621"/>
      <c r="E14" s="1621"/>
      <c r="F14" s="2523" t="s">
        <v>1306</v>
      </c>
      <c r="G14" s="2524"/>
      <c r="H14" s="2525">
        <v>300</v>
      </c>
      <c r="I14" s="2526" t="s">
        <v>1000</v>
      </c>
      <c r="J14" s="2527">
        <v>100</v>
      </c>
      <c r="K14" s="2528">
        <f>G14*H14</f>
        <v>0</v>
      </c>
      <c r="L14" s="2529">
        <v>12</v>
      </c>
      <c r="M14" s="2530">
        <v>3</v>
      </c>
      <c r="N14" s="2531"/>
      <c r="O14" s="2532">
        <f>ROUNDUP((L14*0.5*L14*0.5)*3.145/144*M14/27*G14,0)</f>
        <v>0</v>
      </c>
      <c r="P14" s="2533">
        <f>L14*M14*0.95*G14</f>
        <v>0</v>
      </c>
      <c r="Q14" s="2534">
        <f>K14*0.1+G14*3*12.5</f>
        <v>0</v>
      </c>
      <c r="R14" s="2534">
        <f>O14*M$8</f>
        <v>0</v>
      </c>
      <c r="S14" s="2535">
        <f>P14*Pricing!D$22</f>
        <v>0</v>
      </c>
      <c r="T14" s="2534">
        <f>J14*G14</f>
        <v>0</v>
      </c>
      <c r="U14" s="2535">
        <f>T14*0.2</f>
        <v>0</v>
      </c>
      <c r="V14" s="2535">
        <f>8*G14*6.5</f>
        <v>0</v>
      </c>
      <c r="W14" s="2536">
        <f>(K14-X14)/(Summary!P61+Summary!P60)*Summary!P60</f>
        <v>0</v>
      </c>
      <c r="X14" s="3274">
        <f>SUM(Q14:V14)</f>
        <v>0</v>
      </c>
      <c r="Y14" s="3274"/>
      <c r="Z14" s="2506">
        <f>IF(K14=0,0,1-X14/K14)</f>
        <v>0</v>
      </c>
      <c r="AG14" s="2522">
        <f t="shared" si="0"/>
        <v>0</v>
      </c>
      <c r="AH14" s="18">
        <f t="shared" si="1"/>
        <v>0</v>
      </c>
      <c r="AI14" s="18">
        <v>5</v>
      </c>
      <c r="AJ14" s="18" t="s">
        <v>1089</v>
      </c>
      <c r="AN14" s="2483">
        <f>SUM(S10:S40)</f>
        <v>0</v>
      </c>
      <c r="AQ14" s="1035" t="str">
        <f>IF(AR14="","",B14)</f>
        <v/>
      </c>
      <c r="AR14" s="2055" t="str">
        <f>IF(G14="","",G14)</f>
        <v/>
      </c>
      <c r="AS14" s="2537" t="str">
        <f>IF(AR14="","",J14*0.75)</f>
        <v/>
      </c>
      <c r="AT14" s="2538" t="str">
        <f>IF(AR14="","",J14*0.25)</f>
        <v/>
      </c>
      <c r="AU14" s="2539" t="str">
        <f>B14</f>
        <v>1305 -</v>
      </c>
      <c r="AV14" s="2540">
        <f>130000+(100*$A14)+2</f>
        <v>130502</v>
      </c>
      <c r="AW14" s="2541">
        <f>Q14</f>
        <v>0</v>
      </c>
      <c r="AX14" s="2540">
        <f>130000+(100*$A14)+5</f>
        <v>130505</v>
      </c>
      <c r="AY14" s="2541">
        <f>S14</f>
        <v>0</v>
      </c>
      <c r="AZ14" s="2540">
        <f>130000+(100*$A14)+8</f>
        <v>130508</v>
      </c>
      <c r="BA14" s="2541">
        <f>R14</f>
        <v>0</v>
      </c>
      <c r="BB14" s="2540">
        <f>130000+(100*$A14)+40</f>
        <v>130540</v>
      </c>
      <c r="BC14" s="2541">
        <f>T14</f>
        <v>0</v>
      </c>
      <c r="BD14" s="2540">
        <f>130000+(100*$A14)+20</f>
        <v>130520</v>
      </c>
      <c r="BE14" s="2541">
        <f>U14</f>
        <v>0</v>
      </c>
      <c r="BF14" s="2540">
        <f>130000+(100*$A14)+60</f>
        <v>130560</v>
      </c>
      <c r="BG14" s="2541">
        <f>V14</f>
        <v>0</v>
      </c>
    </row>
    <row r="15" spans="1:60" ht="19.5" customHeight="1">
      <c r="B15" s="2542"/>
      <c r="C15" s="2543"/>
      <c r="D15" s="2543"/>
      <c r="E15" s="2543"/>
      <c r="F15" s="2544"/>
      <c r="G15" s="2545"/>
      <c r="H15" s="2546"/>
      <c r="I15" s="2547"/>
      <c r="J15" s="2548"/>
      <c r="K15" s="2549"/>
      <c r="L15" s="2550"/>
      <c r="M15" s="2550"/>
      <c r="N15" s="2551"/>
      <c r="O15" s="2550"/>
      <c r="P15" s="2551"/>
      <c r="Q15" s="2549"/>
      <c r="R15" s="2549"/>
      <c r="S15" s="2552"/>
      <c r="T15" s="2549"/>
      <c r="U15" s="2552"/>
      <c r="V15" s="2552"/>
      <c r="W15" s="2552"/>
      <c r="X15" s="2553"/>
      <c r="Y15" s="2554"/>
      <c r="Z15" s="2506"/>
      <c r="AG15" s="18">
        <f t="shared" si="0"/>
        <v>0</v>
      </c>
      <c r="AH15" s="2483">
        <f t="shared" si="1"/>
        <v>0</v>
      </c>
      <c r="AI15" s="18">
        <v>6</v>
      </c>
      <c r="AJ15" s="18" t="s">
        <v>1091</v>
      </c>
      <c r="AQ15" s="2054" t="str">
        <f>IF(AR15="","",B17)</f>
        <v/>
      </c>
      <c r="AR15" s="2055" t="str">
        <f>IF(G17="","",G17)</f>
        <v/>
      </c>
      <c r="AS15" s="2555" t="str">
        <f>IF(AR15="","",J17*0.75)</f>
        <v/>
      </c>
      <c r="AT15" s="2556" t="str">
        <f>IF(AR15="","",J17*0.25)</f>
        <v/>
      </c>
      <c r="AU15" s="2521"/>
      <c r="AV15" s="1635"/>
      <c r="AW15" s="2557"/>
      <c r="AX15" s="1635"/>
      <c r="AY15" s="2557"/>
      <c r="AZ15" s="1635"/>
      <c r="BA15" s="2557"/>
      <c r="BB15" s="1635"/>
      <c r="BC15" s="2557"/>
      <c r="BD15" s="1635"/>
      <c r="BE15" s="2557"/>
      <c r="BF15" s="1635"/>
      <c r="BG15" s="2557"/>
    </row>
    <row r="16" spans="1:60" ht="31.5" customHeight="1">
      <c r="B16" s="3270" t="s">
        <v>1517</v>
      </c>
      <c r="C16" s="3270"/>
      <c r="D16" s="3270"/>
      <c r="E16" s="3270"/>
      <c r="F16" s="2558" t="s">
        <v>1958</v>
      </c>
      <c r="G16" s="2559" t="s">
        <v>835</v>
      </c>
      <c r="H16" s="2560" t="s">
        <v>1959</v>
      </c>
      <c r="I16" s="2560" t="s">
        <v>1960</v>
      </c>
      <c r="J16" s="2561" t="s">
        <v>1979</v>
      </c>
      <c r="K16" s="2562" t="s">
        <v>1962</v>
      </c>
      <c r="L16" s="2477" t="s">
        <v>1259</v>
      </c>
      <c r="M16" s="2563" t="s">
        <v>1676</v>
      </c>
      <c r="N16" s="2563" t="s">
        <v>1980</v>
      </c>
      <c r="O16" s="2564" t="str">
        <f t="shared" ref="O16:V16" si="2">O9</f>
        <v>CY   CONC.</v>
      </c>
      <c r="P16" s="2479" t="str">
        <f t="shared" si="2"/>
        <v>STEEL WT</v>
      </c>
      <c r="Q16" s="2565" t="str">
        <f t="shared" si="2"/>
        <v>FORMS</v>
      </c>
      <c r="R16" s="2565" t="str">
        <f t="shared" si="2"/>
        <v>CONCRETE</v>
      </c>
      <c r="S16" s="2565" t="str">
        <f t="shared" si="2"/>
        <v>STEEL</v>
      </c>
      <c r="T16" s="2565" t="str">
        <f t="shared" si="2"/>
        <v>LABOR</v>
      </c>
      <c r="U16" s="2565" t="str">
        <f t="shared" si="2"/>
        <v>SUPRVSN</v>
      </c>
      <c r="V16" s="2565" t="str">
        <f t="shared" si="2"/>
        <v>EQUIP.</v>
      </c>
      <c r="W16" s="2566" t="s">
        <v>1191</v>
      </c>
      <c r="X16" s="3275" t="str">
        <f>X9</f>
        <v>TOTAL COST</v>
      </c>
      <c r="Y16" s="3275"/>
      <c r="Z16" s="2506"/>
      <c r="AG16" s="18">
        <f t="shared" si="0"/>
        <v>0</v>
      </c>
      <c r="AH16" s="18" t="str">
        <f t="shared" si="1"/>
        <v>LABOR</v>
      </c>
      <c r="AI16" s="18">
        <v>7</v>
      </c>
      <c r="AJ16" s="18" t="s">
        <v>1981</v>
      </c>
      <c r="AQ16" s="2054" t="str">
        <f>IF(AR16="","",B18)</f>
        <v/>
      </c>
      <c r="AR16" s="2055" t="str">
        <f>IF(G18="","",G18)</f>
        <v/>
      </c>
      <c r="AS16" s="844" t="str">
        <f>IF(AR16="","",J18*0.75)</f>
        <v/>
      </c>
      <c r="AT16" s="2507" t="str">
        <f>IF(AR16="","",J18*0.25)</f>
        <v/>
      </c>
      <c r="AU16" s="2521"/>
      <c r="AV16" s="1635"/>
      <c r="AW16" s="2557"/>
      <c r="AX16" s="1635"/>
      <c r="AY16" s="2557"/>
      <c r="AZ16" s="1635"/>
      <c r="BA16" s="2557"/>
      <c r="BB16" s="1635"/>
      <c r="BC16" s="2557"/>
      <c r="BD16" s="1635"/>
      <c r="BE16" s="2557"/>
      <c r="BF16" s="1635"/>
      <c r="BG16" s="2557"/>
    </row>
    <row r="17" spans="1:59" ht="19.5" customHeight="1">
      <c r="A17" s="18" t="s">
        <v>1073</v>
      </c>
      <c r="B17" s="2489" t="s">
        <v>1982</v>
      </c>
      <c r="C17" s="2490"/>
      <c r="D17" s="2490"/>
      <c r="E17" s="2491"/>
      <c r="F17" s="2492" t="s">
        <v>1306</v>
      </c>
      <c r="G17" s="2493"/>
      <c r="H17" s="2494">
        <v>18600</v>
      </c>
      <c r="I17" s="2495" t="s">
        <v>1000</v>
      </c>
      <c r="J17" s="2496">
        <v>6200</v>
      </c>
      <c r="K17" s="2497">
        <f t="shared" ref="K17:K22" si="3">G17*H17</f>
        <v>0</v>
      </c>
      <c r="L17" s="2567">
        <v>48</v>
      </c>
      <c r="M17" s="2568">
        <v>16</v>
      </c>
      <c r="N17" s="2569">
        <v>72</v>
      </c>
      <c r="O17" s="2570">
        <f t="shared" ref="O17:O22" si="4">IF(G17=0,0,ROUNDUP((L17*M17*N17/3888)*1.15*G17,0)+ROUNDUP((L17/4)*(L17/4)/27*G17,0))</f>
        <v>0</v>
      </c>
      <c r="P17" s="2571">
        <f>ROUND(O17*145,0)</f>
        <v>0</v>
      </c>
      <c r="Q17" s="2503">
        <f>ROUNDUP(K17*0.15,0)+(L17*N17/12*4.25*G17)</f>
        <v>0</v>
      </c>
      <c r="R17" s="2503">
        <f>IF(G17&gt;0,U$8*O17,0)</f>
        <v>0</v>
      </c>
      <c r="S17" s="2503">
        <f>ROUNDUP(P17*Pricing!D$22,0)</f>
        <v>0</v>
      </c>
      <c r="T17" s="2503">
        <f>J17*G17</f>
        <v>0</v>
      </c>
      <c r="U17" s="2503">
        <f>T17*0.1</f>
        <v>0</v>
      </c>
      <c r="V17" s="2504">
        <f>G17*250</f>
        <v>0</v>
      </c>
      <c r="W17" s="2572">
        <f>(K17-X17)/(Summary!P$61+Summary!P$60)*Summary!P$60</f>
        <v>0</v>
      </c>
      <c r="X17" s="3276">
        <f t="shared" ref="X17:X22" si="5">SUM(Q17:V17)</f>
        <v>0</v>
      </c>
      <c r="Y17" s="3276"/>
      <c r="Z17" s="2506">
        <f t="shared" ref="Z17:Z22" si="6">IF(K17=0,0,1-X17/K17)</f>
        <v>0</v>
      </c>
      <c r="AG17" s="2522">
        <f t="shared" si="0"/>
        <v>0</v>
      </c>
      <c r="AH17" s="18">
        <f t="shared" si="1"/>
        <v>0</v>
      </c>
      <c r="AI17" s="18">
        <v>8</v>
      </c>
      <c r="AJ17" s="18" t="s">
        <v>1095</v>
      </c>
      <c r="AN17" s="2483">
        <f>SUM(R10:R40)</f>
        <v>0</v>
      </c>
      <c r="AQ17" s="2054" t="str">
        <f>IF(AR17="","",B19)</f>
        <v/>
      </c>
      <c r="AR17" s="2055" t="str">
        <f>IF(G19="","",G19)</f>
        <v/>
      </c>
      <c r="AS17" s="844" t="str">
        <f>IF(AR17="","",J19*0.75)</f>
        <v/>
      </c>
      <c r="AT17" s="2507" t="str">
        <f>IF(AR17="","",J19*0.25)</f>
        <v/>
      </c>
      <c r="AU17" s="2508" t="str">
        <f t="shared" ref="AU17:AU22" si="7">B17</f>
        <v>1306 - Elevator Pits</v>
      </c>
      <c r="AV17" s="2509">
        <f t="shared" ref="AV17:AV22" si="8">130000+(100*$A17)+2</f>
        <v>130602</v>
      </c>
      <c r="AW17" s="2510">
        <f t="shared" ref="AW17:AW22" si="9">Q17</f>
        <v>0</v>
      </c>
      <c r="AX17" s="2509">
        <f t="shared" ref="AX17:AX22" si="10">130000+(100*$A17)+5</f>
        <v>130605</v>
      </c>
      <c r="AY17" s="2510">
        <f t="shared" ref="AY17:AY22" si="11">S17</f>
        <v>0</v>
      </c>
      <c r="AZ17" s="2509">
        <f t="shared" ref="AZ17:AZ22" si="12">130000+(100*$A17)+8</f>
        <v>130608</v>
      </c>
      <c r="BA17" s="2510">
        <f t="shared" ref="BA17:BA22" si="13">R17</f>
        <v>0</v>
      </c>
      <c r="BB17" s="2509">
        <f t="shared" ref="BB17:BB22" si="14">130000+(100*$A17)+40</f>
        <v>130640</v>
      </c>
      <c r="BC17" s="2510">
        <f t="shared" ref="BC17:BC22" si="15">T17</f>
        <v>0</v>
      </c>
      <c r="BD17" s="2509">
        <f t="shared" ref="BD17:BD22" si="16">130000+(100*$A17)+20</f>
        <v>130620</v>
      </c>
      <c r="BE17" s="2510">
        <f t="shared" ref="BE17:BE22" si="17">U17</f>
        <v>0</v>
      </c>
      <c r="BF17" s="2509">
        <f t="shared" ref="BF17:BF22" si="18">130000+(100*$A17)+60</f>
        <v>130660</v>
      </c>
      <c r="BG17" s="2510">
        <f t="shared" ref="BG17:BG22" si="19">V17</f>
        <v>0</v>
      </c>
    </row>
    <row r="18" spans="1:59" ht="19.5" customHeight="1">
      <c r="A18" s="18" t="s">
        <v>1074</v>
      </c>
      <c r="B18" s="1385" t="s">
        <v>1983</v>
      </c>
      <c r="C18" s="2511"/>
      <c r="D18" s="2511"/>
      <c r="E18" s="2512"/>
      <c r="F18" s="2513" t="s">
        <v>1306</v>
      </c>
      <c r="G18" s="2514"/>
      <c r="H18" s="2515">
        <v>2600</v>
      </c>
      <c r="I18" s="2516" t="s">
        <v>1000</v>
      </c>
      <c r="J18" s="2517">
        <v>2000</v>
      </c>
      <c r="K18" s="2497">
        <f t="shared" si="3"/>
        <v>0</v>
      </c>
      <c r="L18" s="2573">
        <v>20</v>
      </c>
      <c r="M18" s="2519">
        <v>12</v>
      </c>
      <c r="N18" s="2518">
        <v>24</v>
      </c>
      <c r="O18" s="2501">
        <f t="shared" si="4"/>
        <v>0</v>
      </c>
      <c r="P18" s="2571">
        <f>ROUND(O18*145,0)</f>
        <v>0</v>
      </c>
      <c r="Q18" s="2503">
        <f>J18*G18</f>
        <v>0</v>
      </c>
      <c r="R18" s="2503"/>
      <c r="S18" s="2503"/>
      <c r="T18" s="2503"/>
      <c r="U18" s="2503">
        <f>Q18*0.1</f>
        <v>0</v>
      </c>
      <c r="V18" s="2504"/>
      <c r="W18" s="2572">
        <f>(K18-X18)/(Summary!P$61+Summary!P$60)*Summary!P$60</f>
        <v>0</v>
      </c>
      <c r="X18" s="3277">
        <f t="shared" si="5"/>
        <v>0</v>
      </c>
      <c r="Y18" s="3277"/>
      <c r="Z18" s="2506">
        <f t="shared" si="6"/>
        <v>0</v>
      </c>
      <c r="AG18" s="2522">
        <f t="shared" si="0"/>
        <v>0</v>
      </c>
      <c r="AH18" s="18">
        <f t="shared" si="1"/>
        <v>0</v>
      </c>
      <c r="AI18" s="18">
        <v>9</v>
      </c>
      <c r="AJ18" s="18" t="s">
        <v>1097</v>
      </c>
      <c r="AQ18" s="2054" t="str">
        <f>IF(AR18="","",B20)</f>
        <v/>
      </c>
      <c r="AR18" s="2055" t="str">
        <f>IF(G20="","",G20)</f>
        <v/>
      </c>
      <c r="AS18" s="844" t="str">
        <f>IF(AR18="","",J20*0.75)</f>
        <v/>
      </c>
      <c r="AT18" s="2507" t="str">
        <f>IF(AR18="","",J20*0.25)</f>
        <v/>
      </c>
      <c r="AU18" s="2521" t="str">
        <f t="shared" si="7"/>
        <v>1307 - Elevator Water Proofing</v>
      </c>
      <c r="AV18" s="1635">
        <f t="shared" si="8"/>
        <v>130702</v>
      </c>
      <c r="AW18" s="1636">
        <f t="shared" si="9"/>
        <v>0</v>
      </c>
      <c r="AX18" s="1635">
        <f t="shared" si="10"/>
        <v>130705</v>
      </c>
      <c r="AY18" s="1636">
        <f t="shared" si="11"/>
        <v>0</v>
      </c>
      <c r="AZ18" s="1635">
        <f t="shared" si="12"/>
        <v>130708</v>
      </c>
      <c r="BA18" s="1636">
        <f t="shared" si="13"/>
        <v>0</v>
      </c>
      <c r="BB18" s="1635">
        <f t="shared" si="14"/>
        <v>130740</v>
      </c>
      <c r="BC18" s="1636">
        <f t="shared" si="15"/>
        <v>0</v>
      </c>
      <c r="BD18" s="1635">
        <f t="shared" si="16"/>
        <v>130720</v>
      </c>
      <c r="BE18" s="1636">
        <f t="shared" si="17"/>
        <v>0</v>
      </c>
      <c r="BF18" s="1635">
        <f t="shared" si="18"/>
        <v>130760</v>
      </c>
      <c r="BG18" s="1636">
        <f t="shared" si="19"/>
        <v>0</v>
      </c>
    </row>
    <row r="19" spans="1:59" ht="19.5" customHeight="1">
      <c r="A19" s="18" t="s">
        <v>1075</v>
      </c>
      <c r="B19" s="1385" t="s">
        <v>1984</v>
      </c>
      <c r="C19" s="2511"/>
      <c r="D19" s="2511"/>
      <c r="E19" s="2512"/>
      <c r="F19" s="2513" t="s">
        <v>1306</v>
      </c>
      <c r="G19" s="2514"/>
      <c r="H19" s="2515">
        <v>2800</v>
      </c>
      <c r="I19" s="2574" t="s">
        <v>1000</v>
      </c>
      <c r="J19" s="2517">
        <v>650</v>
      </c>
      <c r="K19" s="2497">
        <f t="shared" si="3"/>
        <v>0</v>
      </c>
      <c r="L19" s="2573">
        <v>15</v>
      </c>
      <c r="M19" s="2519">
        <v>36</v>
      </c>
      <c r="N19" s="2518">
        <v>36</v>
      </c>
      <c r="O19" s="2501">
        <f t="shared" si="4"/>
        <v>0</v>
      </c>
      <c r="P19" s="2571">
        <f>ROUND(O19*55,0)</f>
        <v>0</v>
      </c>
      <c r="Q19" s="2503">
        <f>ROUNDUP(K19*0.2,0)</f>
        <v>0</v>
      </c>
      <c r="R19" s="2503">
        <f>O19*M$8</f>
        <v>0</v>
      </c>
      <c r="S19" s="2503">
        <f>ROUNDUP(P19*Pricing!D$22,0)</f>
        <v>0</v>
      </c>
      <c r="T19" s="2503">
        <f>J19*G19</f>
        <v>0</v>
      </c>
      <c r="U19" s="2503">
        <f>T19*0.3</f>
        <v>0</v>
      </c>
      <c r="V19" s="2504">
        <f>G19*15</f>
        <v>0</v>
      </c>
      <c r="W19" s="2572">
        <f>(K19-X19)/(Summary!P$61+Summary!P$60)*Summary!P$60</f>
        <v>0</v>
      </c>
      <c r="X19" s="3277">
        <f t="shared" si="5"/>
        <v>0</v>
      </c>
      <c r="Y19" s="3277"/>
      <c r="Z19" s="2506">
        <f t="shared" si="6"/>
        <v>0</v>
      </c>
      <c r="AG19" s="2522">
        <f t="shared" si="0"/>
        <v>0</v>
      </c>
      <c r="AH19" s="18">
        <f t="shared" si="1"/>
        <v>0</v>
      </c>
      <c r="AI19" s="18">
        <v>10</v>
      </c>
      <c r="AJ19" s="18" t="s">
        <v>1985</v>
      </c>
      <c r="AQ19" s="2054" t="str">
        <f>IF(AR19="","",B22)</f>
        <v>1311- Gate Track</v>
      </c>
      <c r="AR19" s="2055">
        <f>IF(G22="","",G22)</f>
        <v>0</v>
      </c>
      <c r="AS19" s="2537">
        <f>IF(AR19="","",J22*0.75)</f>
        <v>12</v>
      </c>
      <c r="AT19" s="2538">
        <f>IF(AR19="","",J22*0.25)</f>
        <v>4</v>
      </c>
      <c r="AU19" s="2521" t="str">
        <f t="shared" si="7"/>
        <v>1308 - Monument Base (15' x 3' x 36")</v>
      </c>
      <c r="AV19" s="1635">
        <f t="shared" si="8"/>
        <v>130802</v>
      </c>
      <c r="AW19" s="1636">
        <f t="shared" si="9"/>
        <v>0</v>
      </c>
      <c r="AX19" s="1635">
        <f t="shared" si="10"/>
        <v>130805</v>
      </c>
      <c r="AY19" s="1636">
        <f t="shared" si="11"/>
        <v>0</v>
      </c>
      <c r="AZ19" s="1635">
        <f t="shared" si="12"/>
        <v>130808</v>
      </c>
      <c r="BA19" s="1636">
        <f t="shared" si="13"/>
        <v>0</v>
      </c>
      <c r="BB19" s="1635">
        <f t="shared" si="14"/>
        <v>130840</v>
      </c>
      <c r="BC19" s="1636">
        <f t="shared" si="15"/>
        <v>0</v>
      </c>
      <c r="BD19" s="1635">
        <f t="shared" si="16"/>
        <v>130820</v>
      </c>
      <c r="BE19" s="1636">
        <f t="shared" si="17"/>
        <v>0</v>
      </c>
      <c r="BF19" s="1635">
        <f t="shared" si="18"/>
        <v>130860</v>
      </c>
      <c r="BG19" s="1636">
        <f t="shared" si="19"/>
        <v>0</v>
      </c>
    </row>
    <row r="20" spans="1:59" ht="19.5" customHeight="1">
      <c r="A20" s="18" t="s">
        <v>1076</v>
      </c>
      <c r="B20" s="1385" t="s">
        <v>1986</v>
      </c>
      <c r="C20" s="2511"/>
      <c r="D20" s="2511"/>
      <c r="E20" s="2512"/>
      <c r="F20" s="2513" t="s">
        <v>1306</v>
      </c>
      <c r="G20" s="2514"/>
      <c r="H20" s="2515">
        <v>500</v>
      </c>
      <c r="I20" s="2574" t="s">
        <v>836</v>
      </c>
      <c r="J20" s="2517">
        <v>150</v>
      </c>
      <c r="K20" s="2497">
        <f t="shared" si="3"/>
        <v>0</v>
      </c>
      <c r="L20" s="2573">
        <v>20</v>
      </c>
      <c r="M20" s="2519"/>
      <c r="N20" s="2518"/>
      <c r="O20" s="2501">
        <f t="shared" si="4"/>
        <v>0</v>
      </c>
      <c r="P20" s="2571">
        <f>ROUND(O20*55,0)</f>
        <v>0</v>
      </c>
      <c r="Q20" s="2503">
        <f>ROUNDUP(K20*0.1,0)</f>
        <v>0</v>
      </c>
      <c r="R20" s="2503">
        <f>O20*M$8</f>
        <v>0</v>
      </c>
      <c r="S20" s="2503">
        <f>ROUNDUP(P20*Pricing!D$22,0)</f>
        <v>0</v>
      </c>
      <c r="T20" s="2503">
        <f>J20*G20</f>
        <v>0</v>
      </c>
      <c r="U20" s="2503">
        <f>T20*0.3</f>
        <v>0</v>
      </c>
      <c r="V20" s="2504">
        <f>G20*50</f>
        <v>0</v>
      </c>
      <c r="W20" s="2572">
        <f>(K20-X20)/(Summary!P$61+Summary!P$60)*Summary!P$60</f>
        <v>0</v>
      </c>
      <c r="X20" s="3277">
        <f t="shared" si="5"/>
        <v>0</v>
      </c>
      <c r="Y20" s="3277"/>
      <c r="Z20" s="2506">
        <f t="shared" si="6"/>
        <v>0</v>
      </c>
      <c r="AG20" s="2522">
        <f t="shared" si="0"/>
        <v>0</v>
      </c>
      <c r="AH20" s="18">
        <f t="shared" si="1"/>
        <v>0</v>
      </c>
      <c r="AI20" s="18">
        <v>11</v>
      </c>
      <c r="AJ20" s="18" t="s">
        <v>1987</v>
      </c>
      <c r="AQ20" s="2054" t="str">
        <f>IF(AR20="","",B25)</f>
        <v/>
      </c>
      <c r="AR20" s="2055" t="str">
        <f>IF(G25="","",G25)</f>
        <v/>
      </c>
      <c r="AS20" s="2555" t="str">
        <f>IF(AR20="","",J25*0.75)</f>
        <v/>
      </c>
      <c r="AT20" s="2556" t="str">
        <f>IF(AR20="","",J25*0.25)</f>
        <v/>
      </c>
      <c r="AU20" s="2521" t="str">
        <f t="shared" si="7"/>
        <v xml:space="preserve">1309 - Bldg Transformer Pad </v>
      </c>
      <c r="AV20" s="1635">
        <f t="shared" si="8"/>
        <v>130902</v>
      </c>
      <c r="AW20" s="1636">
        <f t="shared" si="9"/>
        <v>0</v>
      </c>
      <c r="AX20" s="1635">
        <f t="shared" si="10"/>
        <v>130905</v>
      </c>
      <c r="AY20" s="1636">
        <f t="shared" si="11"/>
        <v>0</v>
      </c>
      <c r="AZ20" s="1635">
        <f t="shared" si="12"/>
        <v>130908</v>
      </c>
      <c r="BA20" s="1636">
        <f t="shared" si="13"/>
        <v>0</v>
      </c>
      <c r="BB20" s="1635">
        <f t="shared" si="14"/>
        <v>130940</v>
      </c>
      <c r="BC20" s="1636">
        <f t="shared" si="15"/>
        <v>0</v>
      </c>
      <c r="BD20" s="1635">
        <f t="shared" si="16"/>
        <v>130920</v>
      </c>
      <c r="BE20" s="1636">
        <f t="shared" si="17"/>
        <v>0</v>
      </c>
      <c r="BF20" s="1635">
        <f t="shared" si="18"/>
        <v>130960</v>
      </c>
      <c r="BG20" s="1636">
        <f t="shared" si="19"/>
        <v>0</v>
      </c>
    </row>
    <row r="21" spans="1:59" ht="19.5" customHeight="1">
      <c r="A21" s="18" t="s">
        <v>1342</v>
      </c>
      <c r="B21" s="2575" t="s">
        <v>1988</v>
      </c>
      <c r="C21" s="2576"/>
      <c r="D21" s="2576"/>
      <c r="E21" s="2576"/>
      <c r="F21" s="2577" t="s">
        <v>1306</v>
      </c>
      <c r="G21" s="2578">
        <v>0</v>
      </c>
      <c r="H21" s="2579">
        <v>2500</v>
      </c>
      <c r="I21" s="2580" t="s">
        <v>1000</v>
      </c>
      <c r="J21" s="2581">
        <v>699</v>
      </c>
      <c r="K21" s="2582">
        <f t="shared" si="3"/>
        <v>0</v>
      </c>
      <c r="L21" s="2573">
        <v>36</v>
      </c>
      <c r="M21" s="2519">
        <v>12</v>
      </c>
      <c r="N21" s="2518">
        <v>24</v>
      </c>
      <c r="O21" s="2501">
        <f t="shared" si="4"/>
        <v>0</v>
      </c>
      <c r="P21" s="2571">
        <f>ROUND(O21*55,0)</f>
        <v>0</v>
      </c>
      <c r="Q21" s="2583">
        <f>ROUNDUP(K21*0.1,0)</f>
        <v>0</v>
      </c>
      <c r="R21" s="2503">
        <f>O21*M$8</f>
        <v>0</v>
      </c>
      <c r="S21" s="2583">
        <f>ROUNDUP(P21*Pricing!D$22,0)</f>
        <v>0</v>
      </c>
      <c r="T21" s="2583">
        <f>J21*G21</f>
        <v>0</v>
      </c>
      <c r="U21" s="2583">
        <f>T21*0.3</f>
        <v>0</v>
      </c>
      <c r="V21" s="2584">
        <f>G21*50</f>
        <v>0</v>
      </c>
      <c r="W21" s="2572">
        <f>(K21-X21)/(Summary!P$61+Summary!P$60)*Summary!P$60</f>
        <v>0</v>
      </c>
      <c r="X21" s="3277">
        <f t="shared" si="5"/>
        <v>0</v>
      </c>
      <c r="Y21" s="3277"/>
      <c r="Z21" s="2506">
        <f t="shared" si="6"/>
        <v>0</v>
      </c>
      <c r="AG21" s="2522">
        <f t="shared" si="0"/>
        <v>0</v>
      </c>
      <c r="AH21" s="18">
        <f t="shared" si="1"/>
        <v>0</v>
      </c>
      <c r="AQ21" s="2054"/>
      <c r="AR21" s="2055"/>
      <c r="AS21" s="844"/>
      <c r="AT21" s="2507"/>
      <c r="AU21" s="2521" t="str">
        <f t="shared" si="7"/>
        <v>1310 - Transformer Pads (Three Phase)</v>
      </c>
      <c r="AV21" s="1635">
        <f t="shared" si="8"/>
        <v>131002</v>
      </c>
      <c r="AW21" s="1636">
        <f t="shared" si="9"/>
        <v>0</v>
      </c>
      <c r="AX21" s="1635">
        <f t="shared" si="10"/>
        <v>131005</v>
      </c>
      <c r="AY21" s="1636">
        <f t="shared" si="11"/>
        <v>0</v>
      </c>
      <c r="AZ21" s="1635">
        <f t="shared" si="12"/>
        <v>131008</v>
      </c>
      <c r="BA21" s="1636">
        <f t="shared" si="13"/>
        <v>0</v>
      </c>
      <c r="BB21" s="1635">
        <f t="shared" si="14"/>
        <v>131040</v>
      </c>
      <c r="BC21" s="1636">
        <f t="shared" si="15"/>
        <v>0</v>
      </c>
      <c r="BD21" s="1635">
        <f t="shared" si="16"/>
        <v>131020</v>
      </c>
      <c r="BE21" s="1636">
        <f t="shared" si="17"/>
        <v>0</v>
      </c>
      <c r="BF21" s="1635">
        <f t="shared" si="18"/>
        <v>131060</v>
      </c>
      <c r="BG21" s="1636">
        <f t="shared" si="19"/>
        <v>0</v>
      </c>
    </row>
    <row r="22" spans="1:59" ht="19.5" customHeight="1">
      <c r="A22" s="18" t="s">
        <v>1451</v>
      </c>
      <c r="B22" s="482" t="s">
        <v>1989</v>
      </c>
      <c r="C22" s="77"/>
      <c r="D22" s="77"/>
      <c r="E22" s="77"/>
      <c r="F22" s="2585" t="s">
        <v>1306</v>
      </c>
      <c r="G22" s="2586">
        <v>0</v>
      </c>
      <c r="H22" s="2587">
        <v>40</v>
      </c>
      <c r="I22" s="2588" t="s">
        <v>1000</v>
      </c>
      <c r="J22" s="2589">
        <v>16</v>
      </c>
      <c r="K22" s="2590">
        <f t="shared" si="3"/>
        <v>0</v>
      </c>
      <c r="L22" s="2591">
        <v>1</v>
      </c>
      <c r="M22" s="2592">
        <v>12</v>
      </c>
      <c r="N22" s="2593">
        <v>12</v>
      </c>
      <c r="O22" s="2594">
        <f t="shared" si="4"/>
        <v>0</v>
      </c>
      <c r="P22" s="2595">
        <f>IF(G22=0,0,ROUND(O22*55,0)+L22*2.5*4)</f>
        <v>0</v>
      </c>
      <c r="Q22" s="2596">
        <f>ROUNDUP(K22*0.1,0)</f>
        <v>0</v>
      </c>
      <c r="R22" s="2596">
        <f>O22*M8</f>
        <v>0</v>
      </c>
      <c r="S22" s="2596">
        <f>ROUNDUP(P22*Pricing!D$22,0)</f>
        <v>0</v>
      </c>
      <c r="T22" s="2596">
        <f>J22*G22</f>
        <v>0</v>
      </c>
      <c r="U22" s="2596">
        <f>T22*0.1</f>
        <v>0</v>
      </c>
      <c r="V22" s="2597">
        <f>G22*3</f>
        <v>0</v>
      </c>
      <c r="W22" s="2598">
        <f>(K22-X22)/(Summary!P$61+Summary!P$60)*Summary!P$60</f>
        <v>0</v>
      </c>
      <c r="X22" s="3278">
        <f t="shared" si="5"/>
        <v>0</v>
      </c>
      <c r="Y22" s="3278"/>
      <c r="Z22" s="2506">
        <f t="shared" si="6"/>
        <v>0</v>
      </c>
      <c r="AG22" s="18">
        <f t="shared" si="0"/>
        <v>0</v>
      </c>
      <c r="AH22" s="18">
        <f t="shared" si="1"/>
        <v>0</v>
      </c>
      <c r="AI22" s="18">
        <v>12</v>
      </c>
      <c r="AJ22" s="18" t="s">
        <v>1990</v>
      </c>
      <c r="AQ22" s="2054" t="str">
        <f>IF(AR22="","",B26)</f>
        <v/>
      </c>
      <c r="AR22" s="2055" t="str">
        <f>IF(G26="","",G26)</f>
        <v/>
      </c>
      <c r="AS22" s="844" t="str">
        <f>IF(AR22="","",J26*0.75)</f>
        <v/>
      </c>
      <c r="AT22" s="2507" t="str">
        <f>IF(AR22="","",J26*0.25)</f>
        <v/>
      </c>
      <c r="AU22" s="2521" t="str">
        <f t="shared" si="7"/>
        <v>1311- Gate Track</v>
      </c>
      <c r="AV22" s="1635">
        <f t="shared" si="8"/>
        <v>131102</v>
      </c>
      <c r="AW22" s="2541">
        <f t="shared" si="9"/>
        <v>0</v>
      </c>
      <c r="AX22" s="2540">
        <f t="shared" si="10"/>
        <v>131105</v>
      </c>
      <c r="AY22" s="2541">
        <f t="shared" si="11"/>
        <v>0</v>
      </c>
      <c r="AZ22" s="2540">
        <f t="shared" si="12"/>
        <v>131108</v>
      </c>
      <c r="BA22" s="2541">
        <f t="shared" si="13"/>
        <v>0</v>
      </c>
      <c r="BB22" s="2540">
        <f t="shared" si="14"/>
        <v>131140</v>
      </c>
      <c r="BC22" s="2541">
        <f t="shared" si="15"/>
        <v>0</v>
      </c>
      <c r="BD22" s="2540">
        <f t="shared" si="16"/>
        <v>131120</v>
      </c>
      <c r="BE22" s="2541">
        <f t="shared" si="17"/>
        <v>0</v>
      </c>
      <c r="BF22" s="2540">
        <f t="shared" si="18"/>
        <v>131160</v>
      </c>
      <c r="BG22" s="2541">
        <f t="shared" si="19"/>
        <v>0</v>
      </c>
    </row>
    <row r="23" spans="1:59" ht="19.5" customHeight="1">
      <c r="B23" s="2599"/>
      <c r="C23" s="2600"/>
      <c r="D23" s="2600"/>
      <c r="E23" s="2600"/>
      <c r="F23" s="2601"/>
      <c r="G23" s="2602"/>
      <c r="H23" s="2603"/>
      <c r="I23" s="2604"/>
      <c r="J23" s="2605"/>
      <c r="K23" s="2606"/>
      <c r="L23" s="2607"/>
      <c r="M23" s="2607"/>
      <c r="N23" s="2608"/>
      <c r="O23" s="2608"/>
      <c r="P23" s="2608"/>
      <c r="Q23" s="2606"/>
      <c r="R23" s="2609"/>
      <c r="S23" s="2610"/>
      <c r="T23" s="2610"/>
      <c r="U23" s="2610"/>
      <c r="V23" s="2605"/>
      <c r="W23" s="2605"/>
      <c r="X23" s="2611"/>
      <c r="Y23" s="2612"/>
      <c r="Z23" s="2506"/>
      <c r="AG23" s="18">
        <f t="shared" si="0"/>
        <v>0</v>
      </c>
      <c r="AH23" s="500">
        <f t="shared" si="1"/>
        <v>0</v>
      </c>
      <c r="AI23" s="18">
        <v>15</v>
      </c>
      <c r="AJ23" s="18" t="s">
        <v>1991</v>
      </c>
      <c r="AQ23" s="2054" t="str">
        <f>IF(AR23="","",B27)</f>
        <v/>
      </c>
      <c r="AR23" s="2055" t="str">
        <f>IF(G27="","",G27)</f>
        <v/>
      </c>
      <c r="AS23" s="844" t="str">
        <f>IF(AR23="","",J27*0.75)</f>
        <v/>
      </c>
      <c r="AT23" s="2507" t="str">
        <f>IF(AR23="","",J27*0.25)</f>
        <v/>
      </c>
      <c r="AU23" s="2521"/>
      <c r="AV23" s="1635"/>
      <c r="AW23" s="2557"/>
      <c r="AX23" s="1635"/>
      <c r="AY23" s="2557"/>
      <c r="AZ23" s="1635"/>
      <c r="BA23" s="2557"/>
      <c r="BB23" s="1635"/>
      <c r="BC23" s="2557"/>
      <c r="BD23" s="1635"/>
      <c r="BE23" s="2557"/>
      <c r="BF23" s="1635"/>
      <c r="BG23" s="2557"/>
    </row>
    <row r="24" spans="1:59" ht="31.5" customHeight="1">
      <c r="B24" s="3270" t="s">
        <v>1517</v>
      </c>
      <c r="C24" s="3270"/>
      <c r="D24" s="3270"/>
      <c r="E24" s="3270"/>
      <c r="F24" s="2613" t="s">
        <v>1958</v>
      </c>
      <c r="G24" s="2559" t="s">
        <v>835</v>
      </c>
      <c r="H24" s="2614" t="s">
        <v>1959</v>
      </c>
      <c r="I24" s="2615" t="s">
        <v>1960</v>
      </c>
      <c r="J24" s="2561" t="s">
        <v>1979</v>
      </c>
      <c r="K24" s="2562" t="s">
        <v>1962</v>
      </c>
      <c r="L24" s="2477" t="s">
        <v>1418</v>
      </c>
      <c r="M24" s="2563" t="s">
        <v>1755</v>
      </c>
      <c r="N24" s="2479" t="s">
        <v>1966</v>
      </c>
      <c r="O24" s="2479" t="s">
        <v>1992</v>
      </c>
      <c r="P24" s="2616" t="s">
        <v>1513</v>
      </c>
      <c r="Q24" s="2565" t="str">
        <f>Q16</f>
        <v>FORMS</v>
      </c>
      <c r="R24" s="2617" t="str">
        <f>R9</f>
        <v>CONCRETE</v>
      </c>
      <c r="S24" s="2617" t="str">
        <f>S9</f>
        <v>STEEL</v>
      </c>
      <c r="T24" s="2617" t="str">
        <f>T9</f>
        <v>LABOR</v>
      </c>
      <c r="U24" s="2617" t="str">
        <f>U9</f>
        <v>SUPRVSN</v>
      </c>
      <c r="V24" s="2617" t="str">
        <f>V9</f>
        <v>EQUIP.</v>
      </c>
      <c r="W24" s="2618" t="s">
        <v>1191</v>
      </c>
      <c r="X24" s="3279" t="s">
        <v>980</v>
      </c>
      <c r="Y24" s="3279"/>
      <c r="Z24" s="2506"/>
      <c r="AG24" s="18">
        <f t="shared" si="0"/>
        <v>0</v>
      </c>
      <c r="AH24" s="18" t="str">
        <f t="shared" si="1"/>
        <v>LABOR</v>
      </c>
      <c r="AI24" s="18">
        <v>16</v>
      </c>
      <c r="AJ24" s="18" t="s">
        <v>1993</v>
      </c>
      <c r="AQ24" s="2054" t="str">
        <f>IF(AR24="","",B28)</f>
        <v/>
      </c>
      <c r="AR24" s="2055" t="str">
        <f>IF(G28="","",G28)</f>
        <v/>
      </c>
      <c r="AS24" s="844" t="str">
        <f>IF(AR24="","",J28*0.75)</f>
        <v/>
      </c>
      <c r="AT24" s="2507" t="str">
        <f>IF(AR24="","",J28*0.25)</f>
        <v/>
      </c>
      <c r="AU24" s="2521"/>
      <c r="AV24" s="1635"/>
      <c r="AW24" s="2557"/>
      <c r="AX24" s="1635"/>
      <c r="AY24" s="2557"/>
      <c r="AZ24" s="1635"/>
      <c r="BA24" s="2557"/>
      <c r="BB24" s="1635"/>
      <c r="BC24" s="2557"/>
      <c r="BD24" s="1635"/>
      <c r="BE24" s="2557"/>
      <c r="BF24" s="1635"/>
      <c r="BG24" s="2557"/>
    </row>
    <row r="25" spans="1:59" ht="19.5" customHeight="1">
      <c r="A25" s="17">
        <v>12</v>
      </c>
      <c r="B25" s="2489" t="s">
        <v>1994</v>
      </c>
      <c r="C25" s="2490"/>
      <c r="D25" s="2490"/>
      <c r="E25" s="2491"/>
      <c r="F25" s="2493" t="s">
        <v>1306</v>
      </c>
      <c r="G25" s="2493"/>
      <c r="H25" s="2619">
        <v>450</v>
      </c>
      <c r="I25" s="2620" t="s">
        <v>1000</v>
      </c>
      <c r="J25" s="2496">
        <v>150</v>
      </c>
      <c r="K25" s="2621">
        <f t="shared" ref="K25:K32" si="20">G25*H25</f>
        <v>0</v>
      </c>
      <c r="L25" s="2499">
        <v>9</v>
      </c>
      <c r="M25" s="2499">
        <v>28</v>
      </c>
      <c r="N25" s="2622">
        <f t="shared" ref="N25:N32" si="21">O25*0.01*13232</f>
        <v>0</v>
      </c>
      <c r="O25" s="2623">
        <f t="shared" ref="O25:O32" si="22">L25*M25/324*G25</f>
        <v>0</v>
      </c>
      <c r="P25" s="2571"/>
      <c r="Q25" s="2503">
        <f>H25*0.1*G25</f>
        <v>0</v>
      </c>
      <c r="R25" s="2503">
        <f t="shared" ref="R25:R32" si="23">O25*M$8*1.0825</f>
        <v>0</v>
      </c>
      <c r="S25" s="2503">
        <f>N25*Pricing!D$24*1.0825</f>
        <v>0</v>
      </c>
      <c r="T25" s="2503">
        <f t="shared" ref="T25:T32" si="24">J25*G25</f>
        <v>0</v>
      </c>
      <c r="U25" s="2503">
        <f>T25*0.15</f>
        <v>0</v>
      </c>
      <c r="V25" s="2504">
        <f>U25</f>
        <v>0</v>
      </c>
      <c r="W25" s="2572">
        <f>(K25-X25)/(Summary!P$61+Summary!P$60)*Summary!P$60</f>
        <v>0</v>
      </c>
      <c r="X25" s="3276">
        <f t="shared" ref="X25:X32" si="25">SUM(P25:V25)</f>
        <v>0</v>
      </c>
      <c r="Y25" s="3276"/>
      <c r="Z25" s="2506">
        <f t="shared" ref="Z25:Z32" si="26">IF(K25=0,0,1-X25/K25)</f>
        <v>0</v>
      </c>
      <c r="AG25" s="2522">
        <f t="shared" si="0"/>
        <v>0</v>
      </c>
      <c r="AH25" s="18">
        <f t="shared" si="1"/>
        <v>0</v>
      </c>
      <c r="AI25" s="18">
        <v>17</v>
      </c>
      <c r="AJ25" s="18" t="s">
        <v>1995</v>
      </c>
      <c r="AQ25" s="2054" t="str">
        <f>IF(AR25="","",B29)</f>
        <v/>
      </c>
      <c r="AR25" s="2055" t="str">
        <f>IF(G29="","",G29)</f>
        <v/>
      </c>
      <c r="AS25" s="844" t="str">
        <f>IF(AR25="","",J29*0.75)</f>
        <v/>
      </c>
      <c r="AT25" s="2507" t="str">
        <f>IF(AR25="","",J29*0.25)</f>
        <v/>
      </c>
      <c r="AU25" s="2508" t="str">
        <f t="shared" ref="AU25:AU32" si="27">B25</f>
        <v>1312 - Trellis Ftgs</v>
      </c>
      <c r="AV25" s="2509">
        <f t="shared" ref="AV25:AV32" si="28">130000+(100*$A25)+2</f>
        <v>131202</v>
      </c>
      <c r="AW25" s="2510">
        <f t="shared" ref="AW25:AW32" si="29">Q25</f>
        <v>0</v>
      </c>
      <c r="AX25" s="2509">
        <f t="shared" ref="AX25:AX32" si="30">130000+(100*$A25)+5</f>
        <v>131205</v>
      </c>
      <c r="AY25" s="2510">
        <f t="shared" ref="AY25:AY32" si="31">S25</f>
        <v>0</v>
      </c>
      <c r="AZ25" s="2509">
        <f t="shared" ref="AZ25:AZ32" si="32">130000+(100*$A25)+8</f>
        <v>131208</v>
      </c>
      <c r="BA25" s="2510">
        <f t="shared" ref="BA25:BA32" si="33">R25+P25</f>
        <v>0</v>
      </c>
      <c r="BB25" s="2509">
        <f t="shared" ref="BB25:BB32" si="34">130000+(100*$A25)+40</f>
        <v>131240</v>
      </c>
      <c r="BC25" s="2510">
        <f t="shared" ref="BC25:BC32" si="35">T25</f>
        <v>0</v>
      </c>
      <c r="BD25" s="2509">
        <f t="shared" ref="BD25:BD32" si="36">130000+(100*$A25)+20</f>
        <v>131220</v>
      </c>
      <c r="BE25" s="2510">
        <f t="shared" ref="BE25:BE32" si="37">U25</f>
        <v>0</v>
      </c>
      <c r="BF25" s="2509">
        <f t="shared" ref="BF25:BF32" si="38">130000+(100*$A25)+60</f>
        <v>131260</v>
      </c>
      <c r="BG25" s="2510">
        <f t="shared" ref="BG25:BG32" si="39">V25</f>
        <v>0</v>
      </c>
    </row>
    <row r="26" spans="1:59" ht="19.5" customHeight="1">
      <c r="A26" s="17">
        <v>13</v>
      </c>
      <c r="B26" s="1385" t="s">
        <v>1996</v>
      </c>
      <c r="C26" s="2511"/>
      <c r="D26" s="2511"/>
      <c r="E26" s="2512"/>
      <c r="F26" s="2514" t="s">
        <v>1306</v>
      </c>
      <c r="G26" s="2514"/>
      <c r="H26" s="2624">
        <v>550</v>
      </c>
      <c r="I26" s="2625" t="s">
        <v>1000</v>
      </c>
      <c r="J26" s="2517">
        <v>185</v>
      </c>
      <c r="K26" s="2497">
        <f t="shared" si="20"/>
        <v>0</v>
      </c>
      <c r="L26" s="2519">
        <v>9</v>
      </c>
      <c r="M26" s="2519">
        <v>24</v>
      </c>
      <c r="N26" s="2622">
        <f t="shared" si="21"/>
        <v>0</v>
      </c>
      <c r="O26" s="2623">
        <f t="shared" si="22"/>
        <v>0</v>
      </c>
      <c r="P26" s="2571"/>
      <c r="Q26" s="2503">
        <f>H26*0.1*G26</f>
        <v>0</v>
      </c>
      <c r="R26" s="2503">
        <f t="shared" si="23"/>
        <v>0</v>
      </c>
      <c r="S26" s="2503">
        <f>N26*Pricing!D$24*1.0825</f>
        <v>0</v>
      </c>
      <c r="T26" s="2503">
        <f t="shared" si="24"/>
        <v>0</v>
      </c>
      <c r="U26" s="2503">
        <f>T26*0.15</f>
        <v>0</v>
      </c>
      <c r="V26" s="2504">
        <f>G26*55</f>
        <v>0</v>
      </c>
      <c r="W26" s="2572">
        <f>(K26-X26)/(Summary!P$61+Summary!P$60)*Summary!P$60</f>
        <v>0</v>
      </c>
      <c r="X26" s="3277">
        <f t="shared" si="25"/>
        <v>0</v>
      </c>
      <c r="Y26" s="3277"/>
      <c r="Z26" s="2506">
        <f t="shared" si="26"/>
        <v>0</v>
      </c>
      <c r="AG26" s="2522">
        <f t="shared" si="0"/>
        <v>0</v>
      </c>
      <c r="AH26" s="18">
        <f t="shared" si="1"/>
        <v>0</v>
      </c>
      <c r="AI26" s="18">
        <v>18</v>
      </c>
      <c r="AJ26" s="18" t="s">
        <v>1997</v>
      </c>
      <c r="AQ26" s="2054" t="str">
        <f>IF(AR26="","",B32)</f>
        <v/>
      </c>
      <c r="AR26" s="2055" t="str">
        <f>IF(G32="","",G32)</f>
        <v/>
      </c>
      <c r="AS26" s="2537" t="str">
        <f>IF(AR26="","",J32*0.75)</f>
        <v/>
      </c>
      <c r="AT26" s="2538" t="str">
        <f>IF(AR26="","",J32*0.25)</f>
        <v/>
      </c>
      <c r="AU26" s="2521" t="str">
        <f t="shared" si="27"/>
        <v>1313 -Gate Column Ftgs 3'x3'x2'</v>
      </c>
      <c r="AV26" s="1635">
        <f t="shared" si="28"/>
        <v>131302</v>
      </c>
      <c r="AW26" s="1636">
        <f t="shared" si="29"/>
        <v>0</v>
      </c>
      <c r="AX26" s="1635">
        <f t="shared" si="30"/>
        <v>131305</v>
      </c>
      <c r="AY26" s="1636">
        <f t="shared" si="31"/>
        <v>0</v>
      </c>
      <c r="AZ26" s="1635">
        <f t="shared" si="32"/>
        <v>131308</v>
      </c>
      <c r="BA26" s="1636">
        <f t="shared" si="33"/>
        <v>0</v>
      </c>
      <c r="BB26" s="1635">
        <f t="shared" si="34"/>
        <v>131340</v>
      </c>
      <c r="BC26" s="1636">
        <f t="shared" si="35"/>
        <v>0</v>
      </c>
      <c r="BD26" s="1635">
        <f t="shared" si="36"/>
        <v>131320</v>
      </c>
      <c r="BE26" s="1636">
        <f t="shared" si="37"/>
        <v>0</v>
      </c>
      <c r="BF26" s="1635">
        <f t="shared" si="38"/>
        <v>131360</v>
      </c>
      <c r="BG26" s="1636">
        <f t="shared" si="39"/>
        <v>0</v>
      </c>
    </row>
    <row r="27" spans="1:59" ht="19.5" customHeight="1">
      <c r="A27" s="17">
        <v>14</v>
      </c>
      <c r="B27" s="1385" t="s">
        <v>1998</v>
      </c>
      <c r="C27" s="2511"/>
      <c r="D27" s="2511"/>
      <c r="E27" s="2512"/>
      <c r="F27" s="2514" t="s">
        <v>1306</v>
      </c>
      <c r="G27" s="2514"/>
      <c r="H27" s="2624">
        <v>1150</v>
      </c>
      <c r="I27" s="2625" t="s">
        <v>1000</v>
      </c>
      <c r="J27" s="2517">
        <v>360</v>
      </c>
      <c r="K27" s="2497">
        <f t="shared" si="20"/>
        <v>0</v>
      </c>
      <c r="L27" s="2519">
        <v>36</v>
      </c>
      <c r="M27" s="2519">
        <v>12</v>
      </c>
      <c r="N27" s="2622">
        <f t="shared" si="21"/>
        <v>0</v>
      </c>
      <c r="O27" s="2623">
        <f t="shared" si="22"/>
        <v>0</v>
      </c>
      <c r="P27" s="2571"/>
      <c r="Q27" s="2503">
        <f>R27*0.7</f>
        <v>0</v>
      </c>
      <c r="R27" s="2503">
        <f t="shared" si="23"/>
        <v>0</v>
      </c>
      <c r="S27" s="2503">
        <f>N27*Pricing!D$24*1.0825</f>
        <v>0</v>
      </c>
      <c r="T27" s="2503">
        <f t="shared" si="24"/>
        <v>0</v>
      </c>
      <c r="U27" s="2503">
        <f>T27*0.15</f>
        <v>0</v>
      </c>
      <c r="V27" s="2503">
        <f>S27</f>
        <v>0</v>
      </c>
      <c r="W27" s="2572">
        <f>(K27-X27)/(Summary!P$61+Summary!P$60)*Summary!P$60</f>
        <v>0</v>
      </c>
      <c r="X27" s="3277">
        <f t="shared" si="25"/>
        <v>0</v>
      </c>
      <c r="Y27" s="3277"/>
      <c r="Z27" s="2506">
        <f t="shared" si="26"/>
        <v>0</v>
      </c>
      <c r="AG27" s="2522">
        <f t="shared" si="0"/>
        <v>0</v>
      </c>
      <c r="AH27" s="18">
        <f t="shared" si="1"/>
        <v>0</v>
      </c>
      <c r="AI27" s="18">
        <v>20</v>
      </c>
      <c r="AJ27" s="18" t="s">
        <v>1110</v>
      </c>
      <c r="AN27" s="2483">
        <f>SUM(U10:U40)</f>
        <v>0</v>
      </c>
      <c r="AQ27" s="2054" t="str">
        <f>IF(AR27="","",B34)</f>
        <v>1320 - Radon Pits</v>
      </c>
      <c r="AR27" s="2055">
        <f>IF(G34="","",G34)</f>
        <v>0</v>
      </c>
      <c r="AS27" s="2555">
        <f>IF(AR27="","",J34*0.75)</f>
        <v>112.5</v>
      </c>
      <c r="AT27" s="2556">
        <f>IF(AR27="","",J34*0.25)</f>
        <v>37.5</v>
      </c>
      <c r="AU27" s="2521" t="str">
        <f t="shared" si="27"/>
        <v>1314 - Fire Pit Footings</v>
      </c>
      <c r="AV27" s="1635">
        <f t="shared" si="28"/>
        <v>131402</v>
      </c>
      <c r="AW27" s="1636">
        <f t="shared" si="29"/>
        <v>0</v>
      </c>
      <c r="AX27" s="1635">
        <f t="shared" si="30"/>
        <v>131405</v>
      </c>
      <c r="AY27" s="1636">
        <f t="shared" si="31"/>
        <v>0</v>
      </c>
      <c r="AZ27" s="1635">
        <f t="shared" si="32"/>
        <v>131408</v>
      </c>
      <c r="BA27" s="1636">
        <f t="shared" si="33"/>
        <v>0</v>
      </c>
      <c r="BB27" s="1635">
        <f t="shared" si="34"/>
        <v>131440</v>
      </c>
      <c r="BC27" s="1636">
        <f t="shared" si="35"/>
        <v>0</v>
      </c>
      <c r="BD27" s="1635">
        <f t="shared" si="36"/>
        <v>131420</v>
      </c>
      <c r="BE27" s="1636">
        <f t="shared" si="37"/>
        <v>0</v>
      </c>
      <c r="BF27" s="1635">
        <f t="shared" si="38"/>
        <v>131460</v>
      </c>
      <c r="BG27" s="1636">
        <f t="shared" si="39"/>
        <v>0</v>
      </c>
    </row>
    <row r="28" spans="1:59" ht="19.5" customHeight="1">
      <c r="A28" s="17">
        <v>15</v>
      </c>
      <c r="B28" s="1385" t="s">
        <v>1999</v>
      </c>
      <c r="C28" s="2511"/>
      <c r="D28" s="2511"/>
      <c r="E28" s="2512"/>
      <c r="F28" s="2514" t="s">
        <v>1306</v>
      </c>
      <c r="G28" s="2514"/>
      <c r="H28" s="2624">
        <v>43</v>
      </c>
      <c r="I28" s="2625" t="s">
        <v>836</v>
      </c>
      <c r="J28" s="2517">
        <v>16</v>
      </c>
      <c r="K28" s="2497">
        <f t="shared" si="20"/>
        <v>0</v>
      </c>
      <c r="L28" s="2626">
        <v>2</v>
      </c>
      <c r="M28" s="2519">
        <v>12</v>
      </c>
      <c r="N28" s="2622">
        <f t="shared" si="21"/>
        <v>0</v>
      </c>
      <c r="O28" s="2623">
        <f t="shared" si="22"/>
        <v>0</v>
      </c>
      <c r="P28" s="2571"/>
      <c r="Q28" s="2503">
        <f>R28*0.5</f>
        <v>0</v>
      </c>
      <c r="R28" s="2503">
        <f t="shared" si="23"/>
        <v>0</v>
      </c>
      <c r="S28" s="2503">
        <f>N28*Pricing!D$24*1.0825</f>
        <v>0</v>
      </c>
      <c r="T28" s="2503">
        <f t="shared" si="24"/>
        <v>0</v>
      </c>
      <c r="U28" s="2503">
        <f>T28*0.1</f>
        <v>0</v>
      </c>
      <c r="V28" s="2503">
        <f>U28</f>
        <v>0</v>
      </c>
      <c r="W28" s="2572">
        <f>(K28-X28)/(Summary!P$61+Summary!P$60)*Summary!P$60</f>
        <v>0</v>
      </c>
      <c r="X28" s="3277">
        <f t="shared" si="25"/>
        <v>0</v>
      </c>
      <c r="Y28" s="3277"/>
      <c r="Z28" s="2506">
        <f t="shared" si="26"/>
        <v>0</v>
      </c>
      <c r="AG28" s="2522">
        <f t="shared" si="0"/>
        <v>0</v>
      </c>
      <c r="AH28" s="18">
        <f t="shared" si="1"/>
        <v>0</v>
      </c>
      <c r="AI28" s="18">
        <v>21</v>
      </c>
      <c r="AJ28" s="18" t="s">
        <v>2000</v>
      </c>
      <c r="AQ28" s="2054" t="str">
        <f>IF(AR28="","",B35)</f>
        <v/>
      </c>
      <c r="AR28" s="2055" t="str">
        <f>IF(G35="","",G35)</f>
        <v/>
      </c>
      <c r="AS28" s="844" t="str">
        <f>IF(AR28="","",J35*0.75)</f>
        <v/>
      </c>
      <c r="AT28" s="2507" t="str">
        <f>IF(AR28="","",J35*0.25)</f>
        <v/>
      </c>
      <c r="AU28" s="2521" t="str">
        <f t="shared" si="27"/>
        <v>1315 - Site Wall Footing</v>
      </c>
      <c r="AV28" s="1635">
        <f t="shared" si="28"/>
        <v>131502</v>
      </c>
      <c r="AW28" s="1636">
        <f t="shared" si="29"/>
        <v>0</v>
      </c>
      <c r="AX28" s="1635">
        <f t="shared" si="30"/>
        <v>131505</v>
      </c>
      <c r="AY28" s="1636">
        <f t="shared" si="31"/>
        <v>0</v>
      </c>
      <c r="AZ28" s="1635">
        <f t="shared" si="32"/>
        <v>131508</v>
      </c>
      <c r="BA28" s="1636">
        <f t="shared" si="33"/>
        <v>0</v>
      </c>
      <c r="BB28" s="1635">
        <f t="shared" si="34"/>
        <v>131540</v>
      </c>
      <c r="BC28" s="1636">
        <f t="shared" si="35"/>
        <v>0</v>
      </c>
      <c r="BD28" s="1635">
        <f t="shared" si="36"/>
        <v>131520</v>
      </c>
      <c r="BE28" s="1636">
        <f t="shared" si="37"/>
        <v>0</v>
      </c>
      <c r="BF28" s="1635">
        <f t="shared" si="38"/>
        <v>131560</v>
      </c>
      <c r="BG28" s="1636">
        <f t="shared" si="39"/>
        <v>0</v>
      </c>
    </row>
    <row r="29" spans="1:59" ht="19.5" customHeight="1">
      <c r="A29" s="17">
        <v>16</v>
      </c>
      <c r="B29" s="1809" t="s">
        <v>2001</v>
      </c>
      <c r="C29" s="2511"/>
      <c r="D29" s="2511"/>
      <c r="E29" s="2511"/>
      <c r="F29" s="2578" t="s">
        <v>1306</v>
      </c>
      <c r="G29" s="2578"/>
      <c r="H29" s="2627">
        <v>38</v>
      </c>
      <c r="I29" s="2628" t="s">
        <v>836</v>
      </c>
      <c r="J29" s="2581">
        <v>18</v>
      </c>
      <c r="K29" s="2629">
        <f t="shared" si="20"/>
        <v>0</v>
      </c>
      <c r="L29" s="2519">
        <v>1</v>
      </c>
      <c r="M29" s="2519">
        <v>12</v>
      </c>
      <c r="N29" s="2622">
        <f t="shared" si="21"/>
        <v>0</v>
      </c>
      <c r="O29" s="2623">
        <f t="shared" si="22"/>
        <v>0</v>
      </c>
      <c r="P29" s="2571"/>
      <c r="Q29" s="2503">
        <f>R29*0.5</f>
        <v>0</v>
      </c>
      <c r="R29" s="2503">
        <f t="shared" si="23"/>
        <v>0</v>
      </c>
      <c r="S29" s="2503">
        <f>N29*Pricing!D$24*1.0825</f>
        <v>0</v>
      </c>
      <c r="T29" s="2503">
        <f t="shared" si="24"/>
        <v>0</v>
      </c>
      <c r="U29" s="2503">
        <f>T29*0.05</f>
        <v>0</v>
      </c>
      <c r="V29" s="2503">
        <f>S29</f>
        <v>0</v>
      </c>
      <c r="W29" s="2572">
        <f>(K29-X29)/(Summary!P$61+Summary!P$60)*Summary!P$60</f>
        <v>0</v>
      </c>
      <c r="X29" s="3277">
        <f t="shared" si="25"/>
        <v>0</v>
      </c>
      <c r="Y29" s="3277"/>
      <c r="Z29" s="2506">
        <f t="shared" si="26"/>
        <v>0</v>
      </c>
      <c r="AG29" s="2522">
        <f t="shared" si="0"/>
        <v>0</v>
      </c>
      <c r="AH29" s="18">
        <f t="shared" si="1"/>
        <v>0</v>
      </c>
      <c r="AI29" s="18">
        <v>22</v>
      </c>
      <c r="AJ29" s="18" t="s">
        <v>1113</v>
      </c>
      <c r="AN29" s="2483">
        <f>SUM(AH10:AH40)</f>
        <v>0</v>
      </c>
      <c r="AQ29" s="2054" t="str">
        <f>IF(AR29="","",B36)</f>
        <v/>
      </c>
      <c r="AR29" s="2055" t="str">
        <f>IF(G36="","",G36)</f>
        <v/>
      </c>
      <c r="AS29" s="844" t="str">
        <f>IF(AR29="","",J36*0.75)</f>
        <v/>
      </c>
      <c r="AT29" s="2507" t="str">
        <f>IF(AR29="","",J36*0.25)</f>
        <v/>
      </c>
      <c r="AU29" s="2521" t="str">
        <f t="shared" si="27"/>
        <v>1316 - landscape Curb</v>
      </c>
      <c r="AV29" s="1635">
        <f t="shared" si="28"/>
        <v>131602</v>
      </c>
      <c r="AW29" s="1636">
        <f t="shared" si="29"/>
        <v>0</v>
      </c>
      <c r="AX29" s="1635">
        <f t="shared" si="30"/>
        <v>131605</v>
      </c>
      <c r="AY29" s="1636">
        <f t="shared" si="31"/>
        <v>0</v>
      </c>
      <c r="AZ29" s="1635">
        <f t="shared" si="32"/>
        <v>131608</v>
      </c>
      <c r="BA29" s="1636">
        <f t="shared" si="33"/>
        <v>0</v>
      </c>
      <c r="BB29" s="1635">
        <f t="shared" si="34"/>
        <v>131640</v>
      </c>
      <c r="BC29" s="1636">
        <f t="shared" si="35"/>
        <v>0</v>
      </c>
      <c r="BD29" s="1635">
        <f t="shared" si="36"/>
        <v>131620</v>
      </c>
      <c r="BE29" s="1636">
        <f t="shared" si="37"/>
        <v>0</v>
      </c>
      <c r="BF29" s="1635">
        <f t="shared" si="38"/>
        <v>131660</v>
      </c>
      <c r="BG29" s="1636">
        <f t="shared" si="39"/>
        <v>0</v>
      </c>
    </row>
    <row r="30" spans="1:59" ht="19.5" customHeight="1">
      <c r="A30" s="17">
        <v>17</v>
      </c>
      <c r="B30" s="1809" t="s">
        <v>2002</v>
      </c>
      <c r="C30" s="2511"/>
      <c r="D30" s="2511"/>
      <c r="E30" s="2511"/>
      <c r="F30" s="2578" t="s">
        <v>1306</v>
      </c>
      <c r="G30" s="2578"/>
      <c r="H30" s="2627">
        <v>350</v>
      </c>
      <c r="I30" s="2628" t="s">
        <v>1000</v>
      </c>
      <c r="J30" s="2581">
        <v>175</v>
      </c>
      <c r="K30" s="2629">
        <f t="shared" si="20"/>
        <v>0</v>
      </c>
      <c r="L30" s="2519">
        <v>4</v>
      </c>
      <c r="M30" s="2519">
        <v>18</v>
      </c>
      <c r="N30" s="2622">
        <f t="shared" si="21"/>
        <v>0</v>
      </c>
      <c r="O30" s="2623">
        <f t="shared" si="22"/>
        <v>0</v>
      </c>
      <c r="P30" s="2571"/>
      <c r="Q30" s="2503">
        <f>R30*0.5</f>
        <v>0</v>
      </c>
      <c r="R30" s="2503">
        <f t="shared" si="23"/>
        <v>0</v>
      </c>
      <c r="S30" s="2503">
        <f>N30*Pricing!D$24*1.0825</f>
        <v>0</v>
      </c>
      <c r="T30" s="2503">
        <f t="shared" si="24"/>
        <v>0</v>
      </c>
      <c r="U30" s="2503">
        <f>T30*0.15</f>
        <v>0</v>
      </c>
      <c r="V30" s="2503">
        <f>S30</f>
        <v>0</v>
      </c>
      <c r="W30" s="2572">
        <f>(K30-X30)/(Summary!P$61+Summary!P$60)*Summary!P$60</f>
        <v>0</v>
      </c>
      <c r="X30" s="3277">
        <f t="shared" si="25"/>
        <v>0</v>
      </c>
      <c r="Y30" s="3277"/>
      <c r="Z30" s="2506">
        <f t="shared" si="26"/>
        <v>0</v>
      </c>
      <c r="AG30" s="2522">
        <f t="shared" si="0"/>
        <v>0</v>
      </c>
      <c r="AH30" s="18">
        <f t="shared" si="1"/>
        <v>0</v>
      </c>
      <c r="AN30" s="2483"/>
      <c r="AQ30" s="2054"/>
      <c r="AR30" s="2055"/>
      <c r="AS30" s="844"/>
      <c r="AT30" s="2507"/>
      <c r="AU30" s="2521" t="str">
        <f t="shared" si="27"/>
        <v>1317 - Call Box&amp; motor pad  Ftg</v>
      </c>
      <c r="AV30" s="1635">
        <f t="shared" si="28"/>
        <v>131702</v>
      </c>
      <c r="AW30" s="1636">
        <f t="shared" si="29"/>
        <v>0</v>
      </c>
      <c r="AX30" s="1635">
        <f t="shared" si="30"/>
        <v>131705</v>
      </c>
      <c r="AY30" s="1636">
        <f t="shared" si="31"/>
        <v>0</v>
      </c>
      <c r="AZ30" s="1635">
        <f t="shared" si="32"/>
        <v>131708</v>
      </c>
      <c r="BA30" s="1636">
        <f t="shared" si="33"/>
        <v>0</v>
      </c>
      <c r="BB30" s="1635">
        <f t="shared" si="34"/>
        <v>131740</v>
      </c>
      <c r="BC30" s="1636">
        <f t="shared" si="35"/>
        <v>0</v>
      </c>
      <c r="BD30" s="1635">
        <f t="shared" si="36"/>
        <v>131720</v>
      </c>
      <c r="BE30" s="1636">
        <f t="shared" si="37"/>
        <v>0</v>
      </c>
      <c r="BF30" s="1635">
        <f t="shared" si="38"/>
        <v>131760</v>
      </c>
      <c r="BG30" s="1636">
        <f t="shared" si="39"/>
        <v>0</v>
      </c>
    </row>
    <row r="31" spans="1:59" ht="19.5" customHeight="1">
      <c r="A31" s="17">
        <v>18</v>
      </c>
      <c r="B31" s="1809" t="s">
        <v>2003</v>
      </c>
      <c r="C31" s="2511"/>
      <c r="D31" s="2511"/>
      <c r="E31" s="2630"/>
      <c r="F31" s="2578" t="s">
        <v>1306</v>
      </c>
      <c r="G31" s="2578"/>
      <c r="H31" s="2627">
        <v>1400</v>
      </c>
      <c r="I31" s="2628" t="s">
        <v>878</v>
      </c>
      <c r="J31" s="2581">
        <v>500</v>
      </c>
      <c r="K31" s="2629">
        <f t="shared" si="20"/>
        <v>0</v>
      </c>
      <c r="L31" s="2519">
        <v>50</v>
      </c>
      <c r="M31" s="2519">
        <v>12</v>
      </c>
      <c r="N31" s="2622">
        <f t="shared" si="21"/>
        <v>0</v>
      </c>
      <c r="O31" s="2623">
        <f t="shared" si="22"/>
        <v>0</v>
      </c>
      <c r="P31" s="2571"/>
      <c r="Q31" s="2503">
        <f>R31*0.5</f>
        <v>0</v>
      </c>
      <c r="R31" s="2503">
        <f t="shared" si="23"/>
        <v>0</v>
      </c>
      <c r="S31" s="2503">
        <f>N31*Pricing!D$24*1.0825</f>
        <v>0</v>
      </c>
      <c r="T31" s="2503">
        <f t="shared" si="24"/>
        <v>0</v>
      </c>
      <c r="U31" s="2503">
        <f>T31*0.15</f>
        <v>0</v>
      </c>
      <c r="V31" s="2503">
        <f>S31</f>
        <v>0</v>
      </c>
      <c r="W31" s="2572">
        <f>(K31-X31)/(Summary!P$61+Summary!P$60)*Summary!P$60</f>
        <v>0</v>
      </c>
      <c r="X31" s="3277">
        <f t="shared" si="25"/>
        <v>0</v>
      </c>
      <c r="Y31" s="3277"/>
      <c r="Z31" s="2506">
        <f t="shared" si="26"/>
        <v>0</v>
      </c>
      <c r="AG31" s="2522">
        <f t="shared" si="0"/>
        <v>0</v>
      </c>
      <c r="AH31" s="18">
        <f t="shared" si="1"/>
        <v>0</v>
      </c>
      <c r="AN31" s="2483"/>
      <c r="AQ31" s="2054"/>
      <c r="AR31" s="2055"/>
      <c r="AS31" s="844"/>
      <c r="AT31" s="2507"/>
      <c r="AU31" s="2521" t="str">
        <f t="shared" si="27"/>
        <v>1318 - Outdoor Prep counter</v>
      </c>
      <c r="AV31" s="1635">
        <f t="shared" si="28"/>
        <v>131802</v>
      </c>
      <c r="AW31" s="1636">
        <f t="shared" si="29"/>
        <v>0</v>
      </c>
      <c r="AX31" s="1635">
        <f t="shared" si="30"/>
        <v>131805</v>
      </c>
      <c r="AY31" s="1636">
        <f t="shared" si="31"/>
        <v>0</v>
      </c>
      <c r="AZ31" s="1635">
        <f t="shared" si="32"/>
        <v>131808</v>
      </c>
      <c r="BA31" s="1636">
        <f t="shared" si="33"/>
        <v>0</v>
      </c>
      <c r="BB31" s="1635">
        <f t="shared" si="34"/>
        <v>131840</v>
      </c>
      <c r="BC31" s="1636">
        <f t="shared" si="35"/>
        <v>0</v>
      </c>
      <c r="BD31" s="1635">
        <f t="shared" si="36"/>
        <v>131820</v>
      </c>
      <c r="BE31" s="1636">
        <f t="shared" si="37"/>
        <v>0</v>
      </c>
      <c r="BF31" s="1635">
        <f t="shared" si="38"/>
        <v>131860</v>
      </c>
      <c r="BG31" s="1636">
        <f t="shared" si="39"/>
        <v>0</v>
      </c>
    </row>
    <row r="32" spans="1:59" ht="19.5" customHeight="1">
      <c r="A32" s="17">
        <v>19</v>
      </c>
      <c r="B32" s="1435" t="s">
        <v>2004</v>
      </c>
      <c r="C32" s="1621"/>
      <c r="D32" s="1621"/>
      <c r="E32" s="1883"/>
      <c r="F32" s="2524" t="s">
        <v>1306</v>
      </c>
      <c r="G32" s="2524"/>
      <c r="H32" s="2631">
        <v>11050</v>
      </c>
      <c r="I32" s="2632" t="s">
        <v>1000</v>
      </c>
      <c r="J32" s="2527">
        <v>3700</v>
      </c>
      <c r="K32" s="2590">
        <f t="shared" si="20"/>
        <v>0</v>
      </c>
      <c r="L32" s="2633">
        <v>369</v>
      </c>
      <c r="M32" s="2633">
        <v>12</v>
      </c>
      <c r="N32" s="2634">
        <f t="shared" si="21"/>
        <v>0</v>
      </c>
      <c r="O32" s="2635">
        <f t="shared" si="22"/>
        <v>0</v>
      </c>
      <c r="P32" s="2571"/>
      <c r="Q32" s="2596">
        <f>R32*0.7</f>
        <v>0</v>
      </c>
      <c r="R32" s="2596">
        <f t="shared" si="23"/>
        <v>0</v>
      </c>
      <c r="S32" s="2596">
        <f>N32*Pricing!D$24*1.0825</f>
        <v>0</v>
      </c>
      <c r="T32" s="2596">
        <f t="shared" si="24"/>
        <v>0</v>
      </c>
      <c r="U32" s="2503">
        <f>T32*0.15</f>
        <v>0</v>
      </c>
      <c r="V32" s="2596">
        <f>S32</f>
        <v>0</v>
      </c>
      <c r="W32" s="2572">
        <f>(K32-X32)/(Summary!P$61+Summary!P$60)*Summary!P$60</f>
        <v>0</v>
      </c>
      <c r="X32" s="3280">
        <f t="shared" si="25"/>
        <v>0</v>
      </c>
      <c r="Y32" s="3280"/>
      <c r="Z32" s="2506">
        <f t="shared" si="26"/>
        <v>0</v>
      </c>
      <c r="AG32" s="2522">
        <f t="shared" si="0"/>
        <v>0</v>
      </c>
      <c r="AH32" s="18">
        <f t="shared" si="1"/>
        <v>0</v>
      </c>
      <c r="AQ32" s="2054" t="str">
        <f>IF(AR32="","",B37)</f>
        <v/>
      </c>
      <c r="AR32" s="2055" t="str">
        <f>IF(G37="","",G37)</f>
        <v/>
      </c>
      <c r="AS32" s="844" t="str">
        <f>IF(AR32="","",J37*0.75)</f>
        <v/>
      </c>
      <c r="AT32" s="2507" t="str">
        <f>IF(AR32="","",J37*0.25)</f>
        <v/>
      </c>
      <c r="AU32" s="2539" t="str">
        <f t="shared" si="27"/>
        <v>1319 - Grill Footing (12" thick 369 sq ft)</v>
      </c>
      <c r="AV32" s="1635">
        <f t="shared" si="28"/>
        <v>131902</v>
      </c>
      <c r="AW32" s="2541">
        <f t="shared" si="29"/>
        <v>0</v>
      </c>
      <c r="AX32" s="2540">
        <f t="shared" si="30"/>
        <v>131905</v>
      </c>
      <c r="AY32" s="2541">
        <f t="shared" si="31"/>
        <v>0</v>
      </c>
      <c r="AZ32" s="2540">
        <f t="shared" si="32"/>
        <v>131908</v>
      </c>
      <c r="BA32" s="2541">
        <f t="shared" si="33"/>
        <v>0</v>
      </c>
      <c r="BB32" s="2540">
        <f t="shared" si="34"/>
        <v>131940</v>
      </c>
      <c r="BC32" s="2541">
        <f t="shared" si="35"/>
        <v>0</v>
      </c>
      <c r="BD32" s="2540">
        <f t="shared" si="36"/>
        <v>131920</v>
      </c>
      <c r="BE32" s="2541">
        <f t="shared" si="37"/>
        <v>0</v>
      </c>
      <c r="BF32" s="2540">
        <f t="shared" si="38"/>
        <v>131960</v>
      </c>
      <c r="BG32" s="2541">
        <f t="shared" si="39"/>
        <v>0</v>
      </c>
    </row>
    <row r="33" spans="1:59" ht="31.5" customHeight="1">
      <c r="B33" s="3270" t="s">
        <v>1517</v>
      </c>
      <c r="C33" s="3270"/>
      <c r="D33" s="3270"/>
      <c r="E33" s="3270"/>
      <c r="F33" s="2613" t="s">
        <v>1958</v>
      </c>
      <c r="G33" s="2636" t="s">
        <v>835</v>
      </c>
      <c r="H33" s="2637" t="s">
        <v>1959</v>
      </c>
      <c r="I33" s="2638" t="s">
        <v>1960</v>
      </c>
      <c r="J33" s="2561" t="s">
        <v>1979</v>
      </c>
      <c r="K33" s="2562" t="s">
        <v>1962</v>
      </c>
      <c r="L33" s="2563" t="s">
        <v>2005</v>
      </c>
      <c r="M33" s="2563" t="s">
        <v>1676</v>
      </c>
      <c r="N33" s="2563" t="s">
        <v>2006</v>
      </c>
      <c r="O33" s="2479" t="s">
        <v>1992</v>
      </c>
      <c r="P33" s="2479" t="s">
        <v>1966</v>
      </c>
      <c r="Q33" s="2480" t="s">
        <v>1967</v>
      </c>
      <c r="R33" s="2481" t="s">
        <v>969</v>
      </c>
      <c r="S33" s="2480" t="s">
        <v>577</v>
      </c>
      <c r="T33" s="2480" t="s">
        <v>973</v>
      </c>
      <c r="U33" s="2481" t="s">
        <v>1968</v>
      </c>
      <c r="V33" s="2480" t="s">
        <v>1969</v>
      </c>
      <c r="W33" s="2482" t="s">
        <v>1191</v>
      </c>
      <c r="X33" s="3271" t="s">
        <v>980</v>
      </c>
      <c r="Y33" s="3271"/>
      <c r="Z33" s="2639"/>
      <c r="AG33" s="18">
        <f t="shared" si="0"/>
        <v>0</v>
      </c>
      <c r="AH33" s="18" t="str">
        <f t="shared" si="1"/>
        <v>LABOR</v>
      </c>
      <c r="AI33" s="18">
        <v>24</v>
      </c>
      <c r="AJ33" s="18" t="s">
        <v>1125</v>
      </c>
      <c r="AQ33" s="2054" t="str">
        <f>IF(AR33="","",B38)</f>
        <v/>
      </c>
      <c r="AR33" s="2055" t="str">
        <f>IF(G38="","",G38)</f>
        <v/>
      </c>
      <c r="AS33" s="844" t="str">
        <f>IF(AR33="","",J38*0.75)</f>
        <v/>
      </c>
      <c r="AT33" s="2507" t="str">
        <f>IF(AR33="","",J38*0.25)</f>
        <v/>
      </c>
      <c r="AU33" s="2521"/>
      <c r="AV33" s="1635"/>
      <c r="AW33" s="2557"/>
      <c r="AX33" s="1635"/>
      <c r="AY33" s="2557"/>
      <c r="AZ33" s="1635"/>
      <c r="BA33" s="2557"/>
      <c r="BB33" s="1635"/>
      <c r="BC33" s="2557"/>
      <c r="BD33" s="1635"/>
      <c r="BE33" s="2557"/>
      <c r="BF33" s="1635"/>
      <c r="BG33" s="2557"/>
    </row>
    <row r="34" spans="1:59" ht="19.5" customHeight="1">
      <c r="A34" s="17">
        <v>20</v>
      </c>
      <c r="B34" s="2489" t="s">
        <v>2007</v>
      </c>
      <c r="C34" s="2490"/>
      <c r="D34" s="2490"/>
      <c r="E34" s="2491"/>
      <c r="F34" s="2493" t="s">
        <v>1306</v>
      </c>
      <c r="G34" s="2493">
        <v>0</v>
      </c>
      <c r="H34" s="2619">
        <v>250</v>
      </c>
      <c r="I34" s="2640" t="s">
        <v>1000</v>
      </c>
      <c r="J34" s="2496">
        <v>150</v>
      </c>
      <c r="K34" s="2497">
        <f t="shared" ref="K34:K40" si="40">G34*H34</f>
        <v>0</v>
      </c>
      <c r="L34" s="2499">
        <v>24</v>
      </c>
      <c r="M34" s="2499">
        <v>24</v>
      </c>
      <c r="N34" s="2499">
        <v>5</v>
      </c>
      <c r="O34" s="2501"/>
      <c r="P34" s="2641"/>
      <c r="Q34" s="2503">
        <f>G34*25</f>
        <v>0</v>
      </c>
      <c r="R34" s="2503"/>
      <c r="S34" s="2503">
        <f>P34*Pricing!D$24*1.0825</f>
        <v>0</v>
      </c>
      <c r="T34" s="2503">
        <f t="shared" ref="T34:T40" si="41">J34*G34</f>
        <v>0</v>
      </c>
      <c r="U34" s="2503">
        <f>T34*0.1</f>
        <v>0</v>
      </c>
      <c r="V34" s="2503"/>
      <c r="W34" s="2572">
        <f>(K34-X34)/(Summary!P$61+Summary!P$60)*Summary!P$60</f>
        <v>0</v>
      </c>
      <c r="X34" s="3276">
        <f t="shared" ref="X34:X39" si="42">SUM(Q34:V34)</f>
        <v>0</v>
      </c>
      <c r="Y34" s="3276"/>
      <c r="Z34" s="2506">
        <f t="shared" ref="Z34:Z39" si="43">IF(K34=0,0,1-X34/K34)</f>
        <v>0</v>
      </c>
      <c r="AG34" s="2522">
        <f t="shared" si="0"/>
        <v>0</v>
      </c>
      <c r="AH34" s="18">
        <f t="shared" si="1"/>
        <v>0</v>
      </c>
      <c r="AI34" s="18">
        <v>25</v>
      </c>
      <c r="AJ34" s="18" t="s">
        <v>2008</v>
      </c>
      <c r="AN34" s="500"/>
      <c r="AQ34" s="2054" t="str">
        <f>IF(AR34="","",B39)</f>
        <v/>
      </c>
      <c r="AR34" s="2055" t="str">
        <f>IF(G39="","",G39)</f>
        <v/>
      </c>
      <c r="AS34" s="844" t="str">
        <f>IF(AR34="","",J39*0.75)</f>
        <v/>
      </c>
      <c r="AT34" s="2507" t="str">
        <f>IF(AR34="","",J39*0.25)</f>
        <v/>
      </c>
      <c r="AU34" s="2508" t="str">
        <f t="shared" ref="AU34:AU40" si="44">B34</f>
        <v>1320 - Radon Pits</v>
      </c>
      <c r="AV34" s="2509">
        <f t="shared" ref="AV34:AV40" si="45">130000+(100*$A34)+2</f>
        <v>132002</v>
      </c>
      <c r="AW34" s="2510">
        <f t="shared" ref="AW34:AW40" si="46">Q34</f>
        <v>0</v>
      </c>
      <c r="AX34" s="2509">
        <f t="shared" ref="AX34:AX40" si="47">130000+(100*$A34)+5</f>
        <v>132005</v>
      </c>
      <c r="AY34" s="2510">
        <f t="shared" ref="AY34:AY40" si="48">S34</f>
        <v>0</v>
      </c>
      <c r="AZ34" s="2509">
        <f t="shared" ref="AZ34:AZ40" si="49">130000+(100*$A34)+8</f>
        <v>132008</v>
      </c>
      <c r="BA34" s="2510">
        <f t="shared" ref="BA34:BA40" si="50">R34</f>
        <v>0</v>
      </c>
      <c r="BB34" s="2509">
        <f t="shared" ref="BB34:BB40" si="51">130000+(100*$A34)+40</f>
        <v>132040</v>
      </c>
      <c r="BC34" s="2510">
        <f t="shared" ref="BC34:BC40" si="52">T34</f>
        <v>0</v>
      </c>
      <c r="BD34" s="2509">
        <f t="shared" ref="BD34:BD40" si="53">130000+(100*$A34)+20</f>
        <v>132020</v>
      </c>
      <c r="BE34" s="2510">
        <f t="shared" ref="BE34:BE40" si="54">U34</f>
        <v>0</v>
      </c>
      <c r="BF34" s="2509">
        <f t="shared" ref="BF34:BF40" si="55">130000+(100*$A34)+60</f>
        <v>132060</v>
      </c>
      <c r="BG34" s="2510">
        <f t="shared" ref="BG34:BG40" si="56">V34</f>
        <v>0</v>
      </c>
    </row>
    <row r="35" spans="1:59" ht="19.5" customHeight="1">
      <c r="A35" s="17">
        <v>21</v>
      </c>
      <c r="B35" s="2642" t="s">
        <v>2009</v>
      </c>
      <c r="C35" s="2643"/>
      <c r="D35" s="2643"/>
      <c r="E35" s="2644"/>
      <c r="F35" s="2513" t="s">
        <v>1306</v>
      </c>
      <c r="G35" s="2514"/>
      <c r="H35" s="2624">
        <v>125</v>
      </c>
      <c r="I35" s="2645" t="s">
        <v>1000</v>
      </c>
      <c r="J35" s="2517">
        <v>57</v>
      </c>
      <c r="K35" s="2497">
        <f t="shared" si="40"/>
        <v>0</v>
      </c>
      <c r="L35" s="2519">
        <v>60</v>
      </c>
      <c r="M35" s="2519">
        <v>12</v>
      </c>
      <c r="N35" s="2519">
        <v>12</v>
      </c>
      <c r="O35" s="2501">
        <f t="shared" ref="O35:O40" si="57">L35*M35*N35/46656*G35*1.2</f>
        <v>0</v>
      </c>
      <c r="P35" s="2641"/>
      <c r="Q35" s="2503">
        <f>G35*8</f>
        <v>0</v>
      </c>
      <c r="R35" s="2503">
        <f t="shared" ref="R35:R40" si="58">O35*M$8*1.0825</f>
        <v>0</v>
      </c>
      <c r="S35" s="2503">
        <f>P35*Pricing!D$24*1.0825</f>
        <v>0</v>
      </c>
      <c r="T35" s="2503">
        <f t="shared" si="41"/>
        <v>0</v>
      </c>
      <c r="U35" s="2503">
        <f>T35*0.1</f>
        <v>0</v>
      </c>
      <c r="V35" s="2503">
        <f>U35*0.75</f>
        <v>0</v>
      </c>
      <c r="W35" s="2572">
        <f>(K35-X35)/(Summary!P$61+Summary!P$60)*Summary!P$60</f>
        <v>0</v>
      </c>
      <c r="X35" s="3277">
        <f t="shared" si="42"/>
        <v>0</v>
      </c>
      <c r="Y35" s="3277"/>
      <c r="Z35" s="2506">
        <f t="shared" si="43"/>
        <v>0</v>
      </c>
      <c r="AG35" s="2522">
        <f t="shared" si="0"/>
        <v>0</v>
      </c>
      <c r="AH35" s="18">
        <f t="shared" si="1"/>
        <v>0</v>
      </c>
      <c r="AI35" s="18">
        <v>30</v>
      </c>
      <c r="AJ35" s="18" t="s">
        <v>2010</v>
      </c>
      <c r="AQ35" s="2054" t="str">
        <f>IF(AR35="","",B40)</f>
        <v/>
      </c>
      <c r="AR35" s="2055" t="str">
        <f>IF(G40="","",G40)</f>
        <v/>
      </c>
      <c r="AS35" s="844" t="str">
        <f>IF(AR35="","",J40*0.75)</f>
        <v/>
      </c>
      <c r="AT35" s="2507" t="str">
        <f>IF(AR35="","",J40*0.25)</f>
        <v/>
      </c>
      <c r="AU35" s="2521" t="str">
        <f t="shared" si="44"/>
        <v>1321 - Stair Treads</v>
      </c>
      <c r="AV35" s="1635">
        <f t="shared" si="45"/>
        <v>132102</v>
      </c>
      <c r="AW35" s="1636">
        <f t="shared" si="46"/>
        <v>0</v>
      </c>
      <c r="AX35" s="1635">
        <f t="shared" si="47"/>
        <v>132105</v>
      </c>
      <c r="AY35" s="1636">
        <f t="shared" si="48"/>
        <v>0</v>
      </c>
      <c r="AZ35" s="1635">
        <f t="shared" si="49"/>
        <v>132108</v>
      </c>
      <c r="BA35" s="1636">
        <f t="shared" si="50"/>
        <v>0</v>
      </c>
      <c r="BB35" s="1635">
        <f t="shared" si="51"/>
        <v>132140</v>
      </c>
      <c r="BC35" s="1636">
        <f t="shared" si="52"/>
        <v>0</v>
      </c>
      <c r="BD35" s="1635">
        <f t="shared" si="53"/>
        <v>132120</v>
      </c>
      <c r="BE35" s="1636">
        <f t="shared" si="54"/>
        <v>0</v>
      </c>
      <c r="BF35" s="1635">
        <f t="shared" si="55"/>
        <v>132160</v>
      </c>
      <c r="BG35" s="1636">
        <f t="shared" si="56"/>
        <v>0</v>
      </c>
    </row>
    <row r="36" spans="1:59" ht="19.5" customHeight="1">
      <c r="A36" s="17">
        <v>22</v>
      </c>
      <c r="B36" s="1385" t="s">
        <v>2011</v>
      </c>
      <c r="C36" s="2511"/>
      <c r="D36" s="2511"/>
      <c r="E36" s="2512"/>
      <c r="F36" s="2514" t="s">
        <v>1306</v>
      </c>
      <c r="G36" s="2514"/>
      <c r="H36" s="2646">
        <v>110</v>
      </c>
      <c r="I36" s="2516" t="s">
        <v>836</v>
      </c>
      <c r="J36" s="2517">
        <v>50</v>
      </c>
      <c r="K36" s="2497">
        <f t="shared" si="40"/>
        <v>0</v>
      </c>
      <c r="L36" s="2519">
        <v>36</v>
      </c>
      <c r="M36" s="2519">
        <v>36</v>
      </c>
      <c r="N36" s="2519">
        <v>6</v>
      </c>
      <c r="O36" s="2501">
        <f t="shared" si="57"/>
        <v>0</v>
      </c>
      <c r="P36" s="2641">
        <f>O36*0.005*13325</f>
        <v>0</v>
      </c>
      <c r="Q36" s="2503">
        <f>G36*5</f>
        <v>0</v>
      </c>
      <c r="R36" s="2503">
        <f t="shared" si="58"/>
        <v>0</v>
      </c>
      <c r="S36" s="2503">
        <f>P36*Pricing!D$24*1.0825</f>
        <v>0</v>
      </c>
      <c r="T36" s="2503">
        <f t="shared" si="41"/>
        <v>0</v>
      </c>
      <c r="U36" s="2503">
        <f>T36*0.1</f>
        <v>0</v>
      </c>
      <c r="V36" s="2503"/>
      <c r="W36" s="2572">
        <f>(K36-X36)/(Summary!P$61+Summary!P$60)*Summary!P$60</f>
        <v>0</v>
      </c>
      <c r="X36" s="3277">
        <f t="shared" si="42"/>
        <v>0</v>
      </c>
      <c r="Y36" s="3277"/>
      <c r="Z36" s="2506">
        <f t="shared" si="43"/>
        <v>0</v>
      </c>
      <c r="AG36" s="2522">
        <f t="shared" si="0"/>
        <v>0</v>
      </c>
      <c r="AH36" s="18">
        <f t="shared" si="1"/>
        <v>0</v>
      </c>
      <c r="AI36" s="18">
        <v>31</v>
      </c>
      <c r="AJ36" s="18" t="s">
        <v>2012</v>
      </c>
      <c r="AQ36" s="2647"/>
      <c r="AR36" s="2647"/>
      <c r="AS36" s="2648"/>
      <c r="AT36" s="2648"/>
      <c r="AU36" s="2521" t="str">
        <f t="shared" si="44"/>
        <v>1322 - Pour Back Block Outs (3' x 3')</v>
      </c>
      <c r="AV36" s="1635">
        <f t="shared" si="45"/>
        <v>132202</v>
      </c>
      <c r="AW36" s="1636">
        <f t="shared" si="46"/>
        <v>0</v>
      </c>
      <c r="AX36" s="1635">
        <f t="shared" si="47"/>
        <v>132205</v>
      </c>
      <c r="AY36" s="1636">
        <f t="shared" si="48"/>
        <v>0</v>
      </c>
      <c r="AZ36" s="1635">
        <f t="shared" si="49"/>
        <v>132208</v>
      </c>
      <c r="BA36" s="1636">
        <f t="shared" si="50"/>
        <v>0</v>
      </c>
      <c r="BB36" s="1635">
        <f t="shared" si="51"/>
        <v>132240</v>
      </c>
      <c r="BC36" s="1636">
        <f t="shared" si="52"/>
        <v>0</v>
      </c>
      <c r="BD36" s="1635">
        <f t="shared" si="53"/>
        <v>132220</v>
      </c>
      <c r="BE36" s="1636">
        <f t="shared" si="54"/>
        <v>0</v>
      </c>
      <c r="BF36" s="1635">
        <f t="shared" si="55"/>
        <v>132260</v>
      </c>
      <c r="BG36" s="1636">
        <f t="shared" si="56"/>
        <v>0</v>
      </c>
    </row>
    <row r="37" spans="1:59" ht="19.5" customHeight="1">
      <c r="A37" s="17">
        <v>23</v>
      </c>
      <c r="B37" s="1385" t="s">
        <v>2013</v>
      </c>
      <c r="C37" s="2511"/>
      <c r="D37" s="2511"/>
      <c r="E37" s="2512"/>
      <c r="F37" s="2514" t="s">
        <v>1306</v>
      </c>
      <c r="G37" s="2514"/>
      <c r="H37" s="2646">
        <v>550</v>
      </c>
      <c r="I37" s="2516" t="s">
        <v>1000</v>
      </c>
      <c r="J37" s="2517">
        <v>350</v>
      </c>
      <c r="K37" s="2497">
        <f t="shared" si="40"/>
        <v>0</v>
      </c>
      <c r="L37" s="2519">
        <v>60</v>
      </c>
      <c r="M37" s="2519">
        <v>60</v>
      </c>
      <c r="N37" s="2519">
        <v>4</v>
      </c>
      <c r="O37" s="2501">
        <f t="shared" si="57"/>
        <v>0</v>
      </c>
      <c r="P37" s="2641">
        <f>R37*0.33/0.26*1.15</f>
        <v>0</v>
      </c>
      <c r="Q37" s="2503">
        <f>R37*0.5*1.0825</f>
        <v>0</v>
      </c>
      <c r="R37" s="2503">
        <f t="shared" si="58"/>
        <v>0</v>
      </c>
      <c r="S37" s="2503">
        <f>P37*Pricing!D$24*1.0825</f>
        <v>0</v>
      </c>
      <c r="T37" s="2503">
        <f t="shared" si="41"/>
        <v>0</v>
      </c>
      <c r="U37" s="2503">
        <v>0</v>
      </c>
      <c r="V37" s="2503">
        <v>0</v>
      </c>
      <c r="W37" s="2572">
        <f>(K37-X37)/(Summary!P$61+Summary!P$60)*Summary!P$60</f>
        <v>0</v>
      </c>
      <c r="X37" s="3277">
        <f t="shared" si="42"/>
        <v>0</v>
      </c>
      <c r="Y37" s="3277"/>
      <c r="Z37" s="2506">
        <f t="shared" si="43"/>
        <v>0</v>
      </c>
      <c r="AG37" s="2522">
        <f t="shared" si="0"/>
        <v>0</v>
      </c>
      <c r="AH37" s="18">
        <f t="shared" si="1"/>
        <v>0</v>
      </c>
      <c r="AI37" s="18">
        <v>32</v>
      </c>
      <c r="AJ37" s="18" t="s">
        <v>2014</v>
      </c>
      <c r="AS37" s="844"/>
      <c r="AT37" s="844"/>
      <c r="AU37" s="1634" t="str">
        <f t="shared" si="44"/>
        <v>1323 - ADA Ramps</v>
      </c>
      <c r="AV37" s="1635">
        <f t="shared" si="45"/>
        <v>132302</v>
      </c>
      <c r="AW37" s="1636">
        <f t="shared" si="46"/>
        <v>0</v>
      </c>
      <c r="AX37" s="1635">
        <f t="shared" si="47"/>
        <v>132305</v>
      </c>
      <c r="AY37" s="1636">
        <f t="shared" si="48"/>
        <v>0</v>
      </c>
      <c r="AZ37" s="1635">
        <f t="shared" si="49"/>
        <v>132308</v>
      </c>
      <c r="BA37" s="1636">
        <f t="shared" si="50"/>
        <v>0</v>
      </c>
      <c r="BB37" s="1635">
        <f t="shared" si="51"/>
        <v>132340</v>
      </c>
      <c r="BC37" s="1636">
        <f t="shared" si="52"/>
        <v>0</v>
      </c>
      <c r="BD37" s="1635">
        <f t="shared" si="53"/>
        <v>132320</v>
      </c>
      <c r="BE37" s="1636">
        <f t="shared" si="54"/>
        <v>0</v>
      </c>
      <c r="BF37" s="1635">
        <f t="shared" si="55"/>
        <v>132360</v>
      </c>
      <c r="BG37" s="1636">
        <f t="shared" si="56"/>
        <v>0</v>
      </c>
    </row>
    <row r="38" spans="1:59" ht="19.5" customHeight="1">
      <c r="A38" s="17">
        <v>24</v>
      </c>
      <c r="B38" s="1385" t="s">
        <v>2015</v>
      </c>
      <c r="C38" s="2511"/>
      <c r="D38" s="2511"/>
      <c r="E38" s="2512"/>
      <c r="F38" s="2514" t="s">
        <v>1306</v>
      </c>
      <c r="G38" s="2514"/>
      <c r="H38" s="2646"/>
      <c r="I38" s="2516" t="s">
        <v>836</v>
      </c>
      <c r="J38" s="2517">
        <v>150</v>
      </c>
      <c r="K38" s="2497">
        <f t="shared" si="40"/>
        <v>0</v>
      </c>
      <c r="L38" s="2519">
        <v>48</v>
      </c>
      <c r="M38" s="2519">
        <v>36</v>
      </c>
      <c r="N38" s="2519">
        <v>8</v>
      </c>
      <c r="O38" s="2501">
        <f t="shared" si="57"/>
        <v>0</v>
      </c>
      <c r="P38" s="2641">
        <f>R38*0.33/0.26*1.15</f>
        <v>0</v>
      </c>
      <c r="Q38" s="2503">
        <f>R38*0.5*1.0825</f>
        <v>0</v>
      </c>
      <c r="R38" s="2503">
        <f t="shared" si="58"/>
        <v>0</v>
      </c>
      <c r="S38" s="2503">
        <f>P38*Pricing!D$24*1.0825</f>
        <v>0</v>
      </c>
      <c r="T38" s="2503">
        <f t="shared" si="41"/>
        <v>0</v>
      </c>
      <c r="U38" s="2503">
        <f>T38</f>
        <v>0</v>
      </c>
      <c r="V38" s="2503">
        <f>IF(G38&gt;0,IF(G38&lt;11,300,G38*30),0)</f>
        <v>0</v>
      </c>
      <c r="W38" s="2572">
        <f>(K38-X38)/(Summary!P$61+Summary!P$60)*Summary!P$60</f>
        <v>0</v>
      </c>
      <c r="X38" s="3277">
        <f t="shared" si="42"/>
        <v>0</v>
      </c>
      <c r="Y38" s="3277"/>
      <c r="Z38" s="2506">
        <f t="shared" si="43"/>
        <v>0</v>
      </c>
      <c r="AG38" s="2522">
        <f t="shared" si="0"/>
        <v>0</v>
      </c>
      <c r="AH38" s="18">
        <f t="shared" si="1"/>
        <v>0</v>
      </c>
      <c r="AI38" s="18">
        <v>33</v>
      </c>
      <c r="AJ38" s="18" t="s">
        <v>2016</v>
      </c>
      <c r="AR38" s="626"/>
      <c r="AS38" s="626"/>
      <c r="AT38" s="626"/>
      <c r="AU38" s="1634" t="str">
        <f t="shared" si="44"/>
        <v>1324-</v>
      </c>
      <c r="AV38" s="1635">
        <f t="shared" si="45"/>
        <v>132402</v>
      </c>
      <c r="AW38" s="1636">
        <f t="shared" si="46"/>
        <v>0</v>
      </c>
      <c r="AX38" s="1635">
        <f t="shared" si="47"/>
        <v>132405</v>
      </c>
      <c r="AY38" s="1636">
        <f t="shared" si="48"/>
        <v>0</v>
      </c>
      <c r="AZ38" s="1635">
        <f t="shared" si="49"/>
        <v>132408</v>
      </c>
      <c r="BA38" s="1636">
        <f t="shared" si="50"/>
        <v>0</v>
      </c>
      <c r="BB38" s="1635">
        <f t="shared" si="51"/>
        <v>132440</v>
      </c>
      <c r="BC38" s="1636">
        <f t="shared" si="52"/>
        <v>0</v>
      </c>
      <c r="BD38" s="1635">
        <f t="shared" si="53"/>
        <v>132420</v>
      </c>
      <c r="BE38" s="1636">
        <f t="shared" si="54"/>
        <v>0</v>
      </c>
      <c r="BF38" s="1635">
        <f t="shared" si="55"/>
        <v>132460</v>
      </c>
      <c r="BG38" s="1636">
        <f t="shared" si="56"/>
        <v>0</v>
      </c>
    </row>
    <row r="39" spans="1:59" s="626" customFormat="1" ht="19.5" customHeight="1">
      <c r="A39" s="17">
        <v>25</v>
      </c>
      <c r="B39" s="1385" t="s">
        <v>2017</v>
      </c>
      <c r="C39" s="2511"/>
      <c r="D39" s="2511"/>
      <c r="E39" s="2512"/>
      <c r="F39" s="2514" t="s">
        <v>1306</v>
      </c>
      <c r="G39" s="2514"/>
      <c r="H39" s="2646"/>
      <c r="I39" s="2516" t="s">
        <v>836</v>
      </c>
      <c r="J39" s="2517">
        <v>300</v>
      </c>
      <c r="K39" s="2497">
        <f t="shared" si="40"/>
        <v>0</v>
      </c>
      <c r="L39" s="2519">
        <v>48</v>
      </c>
      <c r="M39" s="2519">
        <v>36</v>
      </c>
      <c r="N39" s="2519">
        <v>4</v>
      </c>
      <c r="O39" s="2501">
        <f t="shared" si="57"/>
        <v>0</v>
      </c>
      <c r="P39" s="2641">
        <f>R39*0.33/0.26*1.15</f>
        <v>0</v>
      </c>
      <c r="Q39" s="2503">
        <f>R39*0.5*1.0825</f>
        <v>0</v>
      </c>
      <c r="R39" s="2503">
        <f t="shared" si="58"/>
        <v>0</v>
      </c>
      <c r="S39" s="2503">
        <f>P39*Pricing!D$24*1.0825</f>
        <v>0</v>
      </c>
      <c r="T39" s="2503">
        <f t="shared" si="41"/>
        <v>0</v>
      </c>
      <c r="U39" s="2503">
        <f>T39</f>
        <v>0</v>
      </c>
      <c r="V39" s="2503">
        <f>IF(G39&gt;0,IF(G39&lt;11,300,G39*30),0)</f>
        <v>0</v>
      </c>
      <c r="W39" s="2572">
        <f>(K39-X39)/(Summary!P$61+Summary!P$60)*Summary!P$60</f>
        <v>0</v>
      </c>
      <c r="X39" s="3277">
        <f t="shared" si="42"/>
        <v>0</v>
      </c>
      <c r="Y39" s="3277"/>
      <c r="Z39" s="2506">
        <f t="shared" si="43"/>
        <v>0</v>
      </c>
      <c r="AA39" s="18"/>
      <c r="AB39" s="18"/>
      <c r="AC39" s="18"/>
      <c r="AD39" s="18"/>
      <c r="AE39" s="18"/>
      <c r="AF39" s="18"/>
      <c r="AG39" s="2522">
        <f t="shared" si="0"/>
        <v>0</v>
      </c>
      <c r="AH39" s="18">
        <f t="shared" si="1"/>
        <v>0</v>
      </c>
      <c r="AI39" s="18">
        <v>34</v>
      </c>
      <c r="AJ39" s="18" t="s">
        <v>2018</v>
      </c>
      <c r="AK39" s="18"/>
      <c r="AL39" s="18"/>
      <c r="AM39" s="18"/>
      <c r="AN39" s="18"/>
      <c r="AO39" s="18"/>
      <c r="AP39" s="18"/>
      <c r="AQ39" s="18"/>
      <c r="AU39" s="1634" t="str">
        <f t="shared" si="44"/>
        <v>1325-</v>
      </c>
      <c r="AV39" s="1635">
        <f t="shared" si="45"/>
        <v>132502</v>
      </c>
      <c r="AW39" s="1636">
        <f t="shared" si="46"/>
        <v>0</v>
      </c>
      <c r="AX39" s="1635">
        <f t="shared" si="47"/>
        <v>132505</v>
      </c>
      <c r="AY39" s="1636">
        <f t="shared" si="48"/>
        <v>0</v>
      </c>
      <c r="AZ39" s="1635">
        <f t="shared" si="49"/>
        <v>132508</v>
      </c>
      <c r="BA39" s="1636">
        <f t="shared" si="50"/>
        <v>0</v>
      </c>
      <c r="BB39" s="1635">
        <f t="shared" si="51"/>
        <v>132540</v>
      </c>
      <c r="BC39" s="1636">
        <f t="shared" si="52"/>
        <v>0</v>
      </c>
      <c r="BD39" s="1635">
        <f t="shared" si="53"/>
        <v>132520</v>
      </c>
      <c r="BE39" s="1636">
        <f t="shared" si="54"/>
        <v>0</v>
      </c>
      <c r="BF39" s="1635">
        <f t="shared" si="55"/>
        <v>132560</v>
      </c>
      <c r="BG39" s="1636">
        <f t="shared" si="56"/>
        <v>0</v>
      </c>
    </row>
    <row r="40" spans="1:59" s="626" customFormat="1" ht="19.5" customHeight="1">
      <c r="A40" s="17">
        <v>26</v>
      </c>
      <c r="B40" s="1435" t="s">
        <v>2019</v>
      </c>
      <c r="C40" s="1621"/>
      <c r="D40" s="1621"/>
      <c r="E40" s="1621"/>
      <c r="F40" s="2524" t="s">
        <v>1306</v>
      </c>
      <c r="G40" s="2524"/>
      <c r="H40" s="2649"/>
      <c r="I40" s="2526" t="s">
        <v>836</v>
      </c>
      <c r="J40" s="2527">
        <v>300</v>
      </c>
      <c r="K40" s="2590">
        <f t="shared" si="40"/>
        <v>0</v>
      </c>
      <c r="L40" s="2650">
        <v>8</v>
      </c>
      <c r="M40" s="2650">
        <v>6</v>
      </c>
      <c r="N40" s="2530">
        <v>4</v>
      </c>
      <c r="O40" s="2651">
        <f t="shared" si="57"/>
        <v>0</v>
      </c>
      <c r="P40" s="2652">
        <f>R40*0.33/0.26*1.15</f>
        <v>0</v>
      </c>
      <c r="Q40" s="2596">
        <f>R40*0.5*1.0825</f>
        <v>0</v>
      </c>
      <c r="R40" s="2596">
        <f t="shared" si="58"/>
        <v>0</v>
      </c>
      <c r="S40" s="2596">
        <f>P40*Pricing!D$24*1.0825</f>
        <v>0</v>
      </c>
      <c r="T40" s="2596">
        <f t="shared" si="41"/>
        <v>0</v>
      </c>
      <c r="U40" s="2596">
        <f>T40</f>
        <v>0</v>
      </c>
      <c r="V40" s="2596">
        <f>IF(G40&gt;0,IF(G40&lt;11,300,G40*30),0)</f>
        <v>0</v>
      </c>
      <c r="W40" s="2572">
        <f>(K40-X40)/(Summary!P$61+Summary!P$60)*Summary!P$60</f>
        <v>0</v>
      </c>
      <c r="X40" s="3281"/>
      <c r="Y40" s="3281"/>
      <c r="Z40" s="18"/>
      <c r="AA40" s="18"/>
      <c r="AB40" s="18"/>
      <c r="AC40" s="18"/>
      <c r="AD40" s="18"/>
      <c r="AE40" s="18"/>
      <c r="AF40" s="18"/>
      <c r="AG40" s="2522">
        <f t="shared" si="0"/>
        <v>0</v>
      </c>
      <c r="AH40" s="18">
        <f t="shared" si="1"/>
        <v>0</v>
      </c>
      <c r="AI40" s="18">
        <v>35</v>
      </c>
      <c r="AJ40" s="18" t="s">
        <v>2020</v>
      </c>
      <c r="AK40" s="18"/>
      <c r="AL40" s="18"/>
      <c r="AM40" s="18"/>
      <c r="AN40" s="18"/>
      <c r="AO40" s="18"/>
      <c r="AP40" s="18"/>
      <c r="AQ40" s="18"/>
      <c r="AR40" s="18"/>
      <c r="AS40" s="18"/>
      <c r="AT40" s="18"/>
      <c r="AU40" s="2653" t="str">
        <f t="shared" si="44"/>
        <v>1326-</v>
      </c>
      <c r="AV40" s="2540">
        <f t="shared" si="45"/>
        <v>132602</v>
      </c>
      <c r="AW40" s="2541">
        <f t="shared" si="46"/>
        <v>0</v>
      </c>
      <c r="AX40" s="2540">
        <f t="shared" si="47"/>
        <v>132605</v>
      </c>
      <c r="AY40" s="2541">
        <f t="shared" si="48"/>
        <v>0</v>
      </c>
      <c r="AZ40" s="2540">
        <f t="shared" si="49"/>
        <v>132608</v>
      </c>
      <c r="BA40" s="2541">
        <f t="shared" si="50"/>
        <v>0</v>
      </c>
      <c r="BB40" s="2540">
        <f t="shared" si="51"/>
        <v>132640</v>
      </c>
      <c r="BC40" s="2541">
        <f t="shared" si="52"/>
        <v>0</v>
      </c>
      <c r="BD40" s="2540">
        <f t="shared" si="53"/>
        <v>132620</v>
      </c>
      <c r="BE40" s="2541">
        <f t="shared" si="54"/>
        <v>0</v>
      </c>
      <c r="BF40" s="2540">
        <f t="shared" si="55"/>
        <v>132660</v>
      </c>
      <c r="BG40" s="2541">
        <f t="shared" si="56"/>
        <v>0</v>
      </c>
    </row>
    <row r="41" spans="1:59" s="626" customFormat="1">
      <c r="B41" s="983"/>
      <c r="C41" s="983"/>
      <c r="D41" s="983"/>
      <c r="E41" s="983"/>
      <c r="F41" s="983"/>
      <c r="G41" s="983"/>
      <c r="H41" s="983"/>
      <c r="I41" s="663"/>
      <c r="J41" s="983"/>
      <c r="K41" s="2654">
        <f>SUM(K10:K40)</f>
        <v>0</v>
      </c>
      <c r="L41" s="983"/>
      <c r="M41" s="983"/>
      <c r="N41" s="983"/>
      <c r="O41" s="663">
        <f>SUM(O10:O40)</f>
        <v>0</v>
      </c>
      <c r="P41" s="2655">
        <f>SUM(P34:P40)+SUM(N25:N32)+SUM(P17:P22)+SUM(P9:P14)</f>
        <v>0</v>
      </c>
      <c r="Q41" s="2656">
        <f t="shared" ref="Q41:X41" si="59">SUM(Q10:Q40)</f>
        <v>0</v>
      </c>
      <c r="R41" s="2656">
        <f t="shared" si="59"/>
        <v>0</v>
      </c>
      <c r="S41" s="2656">
        <f t="shared" si="59"/>
        <v>0</v>
      </c>
      <c r="T41" s="2656">
        <f t="shared" si="59"/>
        <v>0</v>
      </c>
      <c r="U41" s="2656">
        <f t="shared" si="59"/>
        <v>0</v>
      </c>
      <c r="V41" s="2656">
        <f t="shared" si="59"/>
        <v>0</v>
      </c>
      <c r="W41" s="2656">
        <f t="shared" si="59"/>
        <v>0</v>
      </c>
      <c r="X41" s="2965">
        <f t="shared" si="59"/>
        <v>0</v>
      </c>
      <c r="Y41" s="2965"/>
      <c r="AG41" s="626">
        <f>SUM(AG10:AG40)</f>
        <v>0</v>
      </c>
      <c r="AH41" s="626">
        <f>SUM(AH10:AH40)</f>
        <v>0</v>
      </c>
      <c r="AI41" s="18">
        <v>36</v>
      </c>
      <c r="AJ41" s="18" t="s">
        <v>2021</v>
      </c>
      <c r="AK41" s="18"/>
      <c r="AL41" s="18"/>
      <c r="AM41" s="18"/>
      <c r="AN41" s="18"/>
      <c r="AR41" s="18"/>
      <c r="AS41" s="18"/>
      <c r="AT41" s="18"/>
      <c r="AU41" s="653"/>
      <c r="AV41" s="693"/>
      <c r="AW41" s="693"/>
      <c r="AX41" s="693"/>
      <c r="AY41" s="693"/>
      <c r="AZ41" s="693"/>
      <c r="BA41" s="693"/>
      <c r="BB41" s="693"/>
      <c r="BC41" s="693"/>
      <c r="BD41" s="693"/>
      <c r="BE41" s="693"/>
      <c r="BF41" s="693"/>
      <c r="BG41" s="1132"/>
    </row>
    <row r="42" spans="1:59" s="626" customFormat="1">
      <c r="B42" s="18" t="s">
        <v>1697</v>
      </c>
      <c r="C42" s="1143" t="s">
        <v>2022</v>
      </c>
      <c r="D42" s="1143"/>
      <c r="E42" s="1143"/>
      <c r="F42" s="1143"/>
      <c r="G42" s="1143"/>
      <c r="H42" s="1143"/>
      <c r="I42" s="2313"/>
      <c r="J42" s="1143"/>
      <c r="K42" s="1143"/>
      <c r="L42" s="1143"/>
      <c r="M42" s="1143"/>
      <c r="N42" s="1143"/>
      <c r="O42" s="1143"/>
      <c r="P42" s="1143"/>
      <c r="X42" s="2783">
        <f>E47</f>
        <v>0</v>
      </c>
      <c r="Y42" s="2783"/>
      <c r="AI42" s="18">
        <v>39</v>
      </c>
      <c r="AJ42" s="18" t="s">
        <v>2023</v>
      </c>
      <c r="AK42" s="18"/>
      <c r="AL42" s="18"/>
      <c r="AM42" s="18"/>
      <c r="AN42" s="2483">
        <f>AG35+AG34+AG28+AG27</f>
        <v>0</v>
      </c>
      <c r="AR42" s="18"/>
      <c r="AS42" s="18"/>
      <c r="AT42" s="18"/>
    </row>
    <row r="43" spans="1:59">
      <c r="A43" s="626"/>
      <c r="B43" s="626"/>
      <c r="C43" s="1143"/>
      <c r="D43" s="1143"/>
      <c r="E43" s="1143"/>
      <c r="F43" s="1143"/>
      <c r="G43" s="1143"/>
      <c r="H43" s="1143"/>
      <c r="I43" s="2313"/>
      <c r="J43" s="1143"/>
      <c r="K43" s="1143"/>
      <c r="L43" s="1143"/>
      <c r="M43" s="1143"/>
      <c r="N43" s="1143"/>
      <c r="O43" s="1143"/>
      <c r="P43" s="1143"/>
      <c r="Q43" s="626"/>
      <c r="R43" s="626"/>
      <c r="S43" s="626"/>
      <c r="T43" s="626"/>
      <c r="U43" s="626"/>
      <c r="V43" s="2657"/>
      <c r="W43" s="2658" t="s">
        <v>1191</v>
      </c>
      <c r="X43" s="2657"/>
      <c r="Y43" s="2657">
        <f>(K41-X41)/(Summary!P59+Summary!P60)*Summary!P60</f>
        <v>0</v>
      </c>
      <c r="Z43" s="626"/>
      <c r="AA43" s="626"/>
      <c r="AB43" s="626"/>
      <c r="AC43" s="626"/>
      <c r="AD43" s="626"/>
      <c r="AE43" s="626"/>
      <c r="AF43" s="626"/>
      <c r="AG43" s="626"/>
      <c r="AH43" s="626"/>
      <c r="AI43" s="18">
        <v>40</v>
      </c>
      <c r="AJ43" s="18" t="s">
        <v>2024</v>
      </c>
      <c r="AO43" s="626"/>
      <c r="AP43" s="626"/>
      <c r="AQ43" s="626"/>
      <c r="AU43" s="626"/>
      <c r="AV43" s="626"/>
      <c r="AW43" s="626"/>
      <c r="AX43" s="626"/>
      <c r="AY43" s="626"/>
      <c r="AZ43" s="626"/>
      <c r="BA43" s="626"/>
      <c r="BB43" s="626"/>
      <c r="BC43" s="626"/>
      <c r="BD43" s="626"/>
      <c r="BE43" s="626"/>
      <c r="BF43" s="626"/>
      <c r="BG43" s="626"/>
    </row>
    <row r="44" spans="1:59">
      <c r="A44" s="626"/>
      <c r="B44" s="626"/>
      <c r="C44" s="1143"/>
      <c r="D44" s="1143"/>
      <c r="E44" s="1143"/>
      <c r="F44" s="1143"/>
      <c r="G44" s="1143"/>
      <c r="H44" s="1143"/>
      <c r="I44" s="2313"/>
      <c r="J44" s="1143"/>
      <c r="K44" s="1143"/>
      <c r="L44" s="1143"/>
      <c r="M44" s="1143"/>
      <c r="N44" s="1143"/>
      <c r="O44" s="1143"/>
      <c r="P44" s="1143"/>
      <c r="Q44" s="626"/>
      <c r="R44" s="626"/>
      <c r="S44" s="626"/>
      <c r="T44" s="626"/>
      <c r="U44" s="626"/>
      <c r="V44" s="626"/>
      <c r="W44" s="626"/>
      <c r="X44" s="626"/>
      <c r="Y44" s="626"/>
      <c r="Z44" s="626"/>
      <c r="AA44" s="626"/>
      <c r="AB44" s="626"/>
      <c r="AC44" s="626"/>
      <c r="AD44" s="626"/>
      <c r="AE44" s="626"/>
      <c r="AF44" s="626"/>
      <c r="AG44" s="626"/>
      <c r="AH44" s="626"/>
      <c r="AI44" s="18">
        <v>41</v>
      </c>
      <c r="AJ44" s="18" t="s">
        <v>2025</v>
      </c>
      <c r="AO44" s="626"/>
      <c r="AP44" s="626"/>
      <c r="AQ44" s="626"/>
    </row>
    <row r="45" spans="1:59">
      <c r="C45" s="41"/>
      <c r="D45" s="41"/>
      <c r="E45" s="41"/>
      <c r="F45" s="41"/>
      <c r="G45" s="41"/>
      <c r="H45" s="41"/>
      <c r="I45" s="2659"/>
      <c r="J45" s="41"/>
      <c r="K45" s="41"/>
      <c r="L45" s="41"/>
      <c r="M45" s="41"/>
      <c r="N45" s="41"/>
      <c r="O45" s="41"/>
      <c r="P45" s="41"/>
      <c r="AI45" s="626">
        <v>42</v>
      </c>
      <c r="AJ45" s="626" t="s">
        <v>2026</v>
      </c>
      <c r="AK45" s="626"/>
      <c r="AL45" s="626"/>
      <c r="AM45" s="626"/>
      <c r="AN45" s="626"/>
    </row>
    <row r="46" spans="1:59">
      <c r="B46" s="680" t="s">
        <v>1055</v>
      </c>
      <c r="C46" s="692" t="s">
        <v>1067</v>
      </c>
      <c r="D46" s="387"/>
      <c r="E46" s="682">
        <f>E47-X42</f>
        <v>0</v>
      </c>
      <c r="I46" s="18"/>
      <c r="M46" s="380"/>
      <c r="AI46" s="626">
        <v>44</v>
      </c>
      <c r="AJ46" s="626" t="s">
        <v>2027</v>
      </c>
      <c r="AK46" s="626"/>
      <c r="AL46" s="626"/>
      <c r="AM46" s="626"/>
      <c r="AN46" s="626">
        <f>AG10+AG13+AG14+AG15+AG19+AG20+AG22+AG23+AG25+AG26+AG29+AG32+AG36+AG37+AG38+AG39+AG40+AG11+AG12</f>
        <v>0</v>
      </c>
    </row>
    <row r="47" spans="1:59">
      <c r="B47" s="700">
        <v>13</v>
      </c>
      <c r="C47" s="662"/>
      <c r="D47" s="654"/>
      <c r="E47" s="1895">
        <f>SUM(E48:Z95)-E80-E90</f>
        <v>0</v>
      </c>
      <c r="I47" s="18"/>
      <c r="M47" s="380"/>
      <c r="AI47" s="626">
        <v>45</v>
      </c>
      <c r="AJ47" s="626" t="s">
        <v>2028</v>
      </c>
      <c r="AK47" s="626"/>
      <c r="AL47" s="626"/>
      <c r="AM47" s="626"/>
      <c r="AN47" s="626"/>
    </row>
    <row r="48" spans="1:59">
      <c r="B48" s="1648">
        <f>Summary!BT74</f>
        <v>130001</v>
      </c>
      <c r="C48" s="707" t="str">
        <f>Summary!BU74</f>
        <v>General Requirements</v>
      </c>
      <c r="D48" s="296"/>
      <c r="E48" s="708"/>
      <c r="L48" s="380"/>
      <c r="AI48" s="626">
        <v>46</v>
      </c>
      <c r="AJ48" s="626" t="s">
        <v>2029</v>
      </c>
      <c r="AK48" s="626"/>
      <c r="AL48" s="626"/>
      <c r="AM48" s="626"/>
      <c r="AN48" s="626"/>
    </row>
    <row r="49" spans="2:40">
      <c r="B49" s="1648">
        <f>Summary!BT75</f>
        <v>130002</v>
      </c>
      <c r="C49" s="707" t="str">
        <f>Summary!BU75</f>
        <v>Lumber</v>
      </c>
      <c r="D49" s="296"/>
      <c r="E49" s="708">
        <f>SUM(R41)</f>
        <v>0</v>
      </c>
      <c r="L49" s="380"/>
      <c r="AI49" s="18">
        <v>47</v>
      </c>
      <c r="AJ49" s="18" t="s">
        <v>2030</v>
      </c>
    </row>
    <row r="50" spans="2:40">
      <c r="B50" s="1648">
        <f>Summary!BT76</f>
        <v>130003</v>
      </c>
      <c r="C50" s="707" t="str">
        <f>Summary!BU76</f>
        <v>Sand Material</v>
      </c>
      <c r="D50" s="296"/>
      <c r="E50" s="708"/>
      <c r="L50" s="380"/>
      <c r="AI50" s="18">
        <v>48</v>
      </c>
      <c r="AJ50" s="18" t="s">
        <v>2031</v>
      </c>
    </row>
    <row r="51" spans="2:40">
      <c r="B51" s="1648">
        <f>Summary!BT77</f>
        <v>130004</v>
      </c>
      <c r="C51" s="707" t="str">
        <f>Summary!BU77</f>
        <v>Rock Material</v>
      </c>
      <c r="D51" s="296"/>
      <c r="E51" s="708"/>
      <c r="L51" s="380"/>
      <c r="AI51" s="18">
        <v>49</v>
      </c>
      <c r="AJ51" s="18" t="s">
        <v>2032</v>
      </c>
    </row>
    <row r="52" spans="2:40">
      <c r="B52" s="1648">
        <f>Summary!BT78</f>
        <v>130005</v>
      </c>
      <c r="C52" s="707" t="str">
        <f>Summary!BU78</f>
        <v>Reinforcement Material</v>
      </c>
      <c r="D52" s="296"/>
      <c r="E52" s="708">
        <f>SUM(Q41)</f>
        <v>0</v>
      </c>
      <c r="L52" s="380"/>
      <c r="AI52" s="18">
        <v>50</v>
      </c>
    </row>
    <row r="53" spans="2:40">
      <c r="B53" s="1648">
        <f>Summary!BT79</f>
        <v>130006</v>
      </c>
      <c r="C53" s="707" t="str">
        <f>Summary!BU79</f>
        <v>Reinforcement Accessories</v>
      </c>
      <c r="D53" s="296"/>
      <c r="E53" s="708">
        <f>SUM(S41)</f>
        <v>0</v>
      </c>
      <c r="L53" s="380"/>
      <c r="AI53" s="18">
        <v>51</v>
      </c>
    </row>
    <row r="54" spans="2:40">
      <c r="B54" s="1648">
        <f>Summary!BT80</f>
        <v>130007</v>
      </c>
      <c r="C54" s="707" t="str">
        <f>Summary!BU80</f>
        <v>PT Cables</v>
      </c>
      <c r="D54" s="296"/>
      <c r="E54" s="708"/>
      <c r="L54" s="380"/>
      <c r="AI54" s="18">
        <v>52</v>
      </c>
      <c r="AJ54" s="18" t="s">
        <v>2033</v>
      </c>
    </row>
    <row r="55" spans="2:40">
      <c r="B55" s="1648">
        <f>Summary!BT81</f>
        <v>130008</v>
      </c>
      <c r="C55" s="707" t="str">
        <f>Summary!BU81</f>
        <v>Concrete Material</v>
      </c>
      <c r="D55" s="296"/>
      <c r="E55" s="708"/>
      <c r="L55" s="380"/>
      <c r="AI55" s="18">
        <v>53</v>
      </c>
      <c r="AJ55" s="18" t="s">
        <v>2034</v>
      </c>
    </row>
    <row r="56" spans="2:40">
      <c r="B56" s="1648">
        <f>Summary!BT82</f>
        <v>130009</v>
      </c>
      <c r="C56" s="707" t="str">
        <f>Summary!BU82</f>
        <v>Carton Forms</v>
      </c>
      <c r="D56" s="296"/>
      <c r="E56" s="708"/>
      <c r="M56" s="380"/>
      <c r="AI56" s="18">
        <v>54</v>
      </c>
      <c r="AJ56" s="18" t="s">
        <v>2035</v>
      </c>
    </row>
    <row r="57" spans="2:40">
      <c r="B57" s="1648">
        <f>Summary!BT83</f>
        <v>130010</v>
      </c>
      <c r="C57" s="707" t="str">
        <f>Summary!BU83</f>
        <v>Cure/Sealers</v>
      </c>
      <c r="D57" s="296"/>
      <c r="E57" s="708"/>
      <c r="M57" s="380"/>
      <c r="AI57" s="18">
        <v>55</v>
      </c>
      <c r="AJ57" s="18" t="s">
        <v>2036</v>
      </c>
    </row>
    <row r="58" spans="2:40">
      <c r="B58" s="1648">
        <f>Summary!BT84</f>
        <v>130011</v>
      </c>
      <c r="C58" s="707" t="str">
        <f>Summary!BU84</f>
        <v>Patch/Grout</v>
      </c>
      <c r="D58" s="296"/>
      <c r="E58" s="708"/>
      <c r="M58" s="380"/>
      <c r="AI58" s="18">
        <v>56</v>
      </c>
      <c r="AJ58" s="18" t="s">
        <v>2037</v>
      </c>
      <c r="AN58" s="351">
        <f>AG17+AG18</f>
        <v>0</v>
      </c>
    </row>
    <row r="59" spans="2:40">
      <c r="B59" s="1648">
        <f>Summary!BT85</f>
        <v>130012</v>
      </c>
      <c r="C59" s="707" t="str">
        <f>Summary!BU85</f>
        <v>Poly/Vapor Barrier</v>
      </c>
      <c r="D59" s="296"/>
      <c r="E59" s="708"/>
      <c r="M59" s="380"/>
      <c r="AI59" s="18">
        <v>57</v>
      </c>
      <c r="AJ59" s="18" t="s">
        <v>2038</v>
      </c>
    </row>
    <row r="60" spans="2:40">
      <c r="B60" s="1648">
        <f>Summary!BT86</f>
        <v>130013</v>
      </c>
      <c r="C60" s="707" t="str">
        <f>Summary!BU86</f>
        <v>Special Material</v>
      </c>
      <c r="D60" s="296"/>
      <c r="E60" s="708"/>
      <c r="M60" s="380"/>
    </row>
    <row r="61" spans="2:40">
      <c r="B61" s="1648">
        <f>Summary!BT87</f>
        <v>130014</v>
      </c>
      <c r="C61" s="707" t="str">
        <f>Summary!BU87</f>
        <v>Special Material</v>
      </c>
      <c r="D61" s="296"/>
      <c r="E61" s="708"/>
      <c r="M61" s="380"/>
    </row>
    <row r="62" spans="2:40">
      <c r="B62" s="1648">
        <f>Summary!BT88</f>
        <v>130015</v>
      </c>
      <c r="C62" s="707" t="str">
        <f>Summary!BU88</f>
        <v>PPE/Safety</v>
      </c>
      <c r="D62" s="296"/>
      <c r="E62" s="708"/>
      <c r="M62" s="380"/>
    </row>
    <row r="63" spans="2:40">
      <c r="B63" s="1648">
        <f>Summary!BT89</f>
        <v>130020</v>
      </c>
      <c r="C63" s="707" t="str">
        <f>Summary!BU89</f>
        <v>Supervision</v>
      </c>
      <c r="D63" s="296"/>
      <c r="E63" s="708">
        <f>SUM(U41)</f>
        <v>0</v>
      </c>
      <c r="M63" s="380"/>
      <c r="AI63" s="18">
        <v>58</v>
      </c>
      <c r="AJ63" s="18" t="s">
        <v>2039</v>
      </c>
    </row>
    <row r="64" spans="2:40">
      <c r="B64" s="1648">
        <f>Summary!BT90</f>
        <v>130021</v>
      </c>
      <c r="C64" s="707" t="str">
        <f>Summary!BU90</f>
        <v>Supervision Expense</v>
      </c>
      <c r="D64" s="296"/>
      <c r="E64" s="708"/>
      <c r="M64" s="380"/>
      <c r="AI64" s="18">
        <v>59</v>
      </c>
      <c r="AJ64" s="18" t="s">
        <v>2040</v>
      </c>
      <c r="AN64" s="18">
        <f>Y99</f>
        <v>0</v>
      </c>
    </row>
    <row r="65" spans="2:40">
      <c r="B65" s="1648">
        <f>Summary!BT91</f>
        <v>130022</v>
      </c>
      <c r="C65" s="707" t="str">
        <f>Summary!BU91</f>
        <v>Project Management</v>
      </c>
      <c r="D65" s="296"/>
      <c r="E65" s="708"/>
      <c r="M65" s="380"/>
      <c r="AI65" s="18">
        <v>60</v>
      </c>
      <c r="AJ65" s="18" t="s">
        <v>2041</v>
      </c>
      <c r="AN65" s="368">
        <f>SUM(V10:V40)</f>
        <v>0</v>
      </c>
    </row>
    <row r="66" spans="2:40">
      <c r="B66" s="1648">
        <f>Summary!BT92</f>
        <v>130023</v>
      </c>
      <c r="C66" s="707" t="str">
        <f>Summary!BU92</f>
        <v>Labor Grade, Poly, Reinf.</v>
      </c>
      <c r="D66" s="296"/>
      <c r="E66" s="708"/>
      <c r="M66" s="380"/>
      <c r="AI66" s="18">
        <v>65</v>
      </c>
      <c r="AJ66" s="18" t="s">
        <v>2042</v>
      </c>
      <c r="AN66" s="18">
        <f>T112</f>
        <v>0</v>
      </c>
    </row>
    <row r="67" spans="2:40">
      <c r="B67" s="1648">
        <f>Summary!BT93</f>
        <v>130024</v>
      </c>
      <c r="C67" s="707" t="str">
        <f>Summary!BU93</f>
        <v>Labor Place &amp; Finish</v>
      </c>
      <c r="D67" s="296"/>
      <c r="E67" s="708"/>
      <c r="M67" s="380"/>
    </row>
    <row r="68" spans="2:40">
      <c r="B68" s="1648">
        <f>Summary!BT94</f>
        <v>130025</v>
      </c>
      <c r="C68" s="707" t="str">
        <f>Summary!BU94</f>
        <v>Labor Drops</v>
      </c>
      <c r="D68" s="296"/>
      <c r="E68" s="708"/>
      <c r="M68" s="380"/>
      <c r="AN68" s="368">
        <f>SUM(AN9:AN66)</f>
        <v>0</v>
      </c>
    </row>
    <row r="69" spans="2:40">
      <c r="B69" s="1648">
        <f>Summary!BT95</f>
        <v>130026</v>
      </c>
      <c r="C69" s="707" t="str">
        <f>Summary!BU95</f>
        <v>Labor Strip Forms</v>
      </c>
      <c r="D69" s="296"/>
      <c r="E69" s="708"/>
      <c r="I69" s="18"/>
      <c r="M69" s="380"/>
    </row>
    <row r="70" spans="2:40">
      <c r="B70" s="1648">
        <f>Summary!BT96</f>
        <v>130027</v>
      </c>
      <c r="C70" s="707" t="str">
        <f>Summary!BU96</f>
        <v>Labor Burden</v>
      </c>
      <c r="D70" s="296"/>
      <c r="E70" s="708"/>
      <c r="I70" s="18"/>
      <c r="M70" s="380"/>
    </row>
    <row r="71" spans="2:40">
      <c r="B71" s="1648">
        <f>Summary!BT98</f>
        <v>130030</v>
      </c>
      <c r="C71" s="707" t="str">
        <f>Summary!BU98</f>
        <v>Pumping</v>
      </c>
      <c r="D71" s="296"/>
      <c r="E71" s="708"/>
      <c r="I71" s="18"/>
      <c r="M71" s="380"/>
    </row>
    <row r="72" spans="2:40">
      <c r="B72" s="1648">
        <f>Summary!BT99</f>
        <v>130031</v>
      </c>
      <c r="C72" s="707" t="str">
        <f>Summary!BU99</f>
        <v>Earth Work/Excavation</v>
      </c>
      <c r="D72" s="296"/>
      <c r="E72" s="708"/>
      <c r="I72" s="18"/>
      <c r="M72" s="380"/>
    </row>
    <row r="73" spans="2:40">
      <c r="B73" s="1648">
        <f>Summary!BT100</f>
        <v>130032</v>
      </c>
      <c r="C73" s="707" t="str">
        <f>Summary!BU100</f>
        <v>Drilling</v>
      </c>
      <c r="D73" s="296"/>
      <c r="E73" s="708"/>
      <c r="I73" s="18"/>
      <c r="M73" s="380"/>
    </row>
    <row r="74" spans="2:40">
      <c r="B74" s="1648">
        <f>Summary!BT101</f>
        <v>130033</v>
      </c>
      <c r="C74" s="707" t="str">
        <f>Summary!BU101</f>
        <v>Haul off</v>
      </c>
      <c r="D74" s="296"/>
      <c r="E74" s="708"/>
      <c r="I74" s="18"/>
      <c r="M74" s="380"/>
    </row>
    <row r="75" spans="2:40">
      <c r="B75" s="1648">
        <f>Summary!BT102</f>
        <v>130034</v>
      </c>
      <c r="C75" s="707" t="str">
        <f>Summary!BU102</f>
        <v>Saw Cutting/Sealing</v>
      </c>
      <c r="D75" s="296"/>
      <c r="E75" s="708"/>
      <c r="I75" s="18"/>
      <c r="M75" s="380"/>
    </row>
    <row r="76" spans="2:40">
      <c r="B76" s="1648">
        <f>Summary!BT103</f>
        <v>130035</v>
      </c>
      <c r="C76" s="707" t="str">
        <f>Summary!BU103</f>
        <v>Demolition</v>
      </c>
      <c r="D76" s="296"/>
      <c r="E76" s="708"/>
      <c r="I76" s="18"/>
      <c r="M76" s="380"/>
    </row>
    <row r="77" spans="2:40">
      <c r="B77" s="1648">
        <f>Summary!BT104</f>
        <v>130037</v>
      </c>
      <c r="C77" s="707" t="str">
        <f>Summary!BU104</f>
        <v>Waterproofing</v>
      </c>
      <c r="D77" s="296"/>
      <c r="E77" s="708"/>
      <c r="I77" s="18"/>
      <c r="M77" s="380"/>
    </row>
    <row r="78" spans="2:40">
      <c r="B78" s="1648">
        <f>Summary!BT105</f>
        <v>130038</v>
      </c>
      <c r="C78" s="707" t="str">
        <f>Summary!BU105</f>
        <v>Crain/Hoisting</v>
      </c>
      <c r="D78" s="296"/>
      <c r="E78" s="708"/>
      <c r="I78" s="18"/>
      <c r="M78" s="380"/>
    </row>
    <row r="79" spans="2:40">
      <c r="B79" s="1246">
        <f>Summary!BT106</f>
        <v>130039</v>
      </c>
      <c r="C79" s="753" t="str">
        <f>Summary!BU106</f>
        <v>Forming Systems</v>
      </c>
      <c r="D79" s="765"/>
      <c r="E79" s="722"/>
      <c r="I79" s="18"/>
      <c r="M79" s="380"/>
    </row>
    <row r="80" spans="2:40">
      <c r="B80" s="1649">
        <f>Summary!BT107</f>
        <v>130040</v>
      </c>
      <c r="C80" s="736" t="str">
        <f>Summary!BU107</f>
        <v>Total Sub Labor</v>
      </c>
      <c r="D80" s="248"/>
      <c r="E80" s="738">
        <f>SUM(T41)</f>
        <v>0</v>
      </c>
      <c r="I80" s="18"/>
      <c r="M80" s="380"/>
    </row>
    <row r="81" spans="2:5">
      <c r="B81" s="1244">
        <f>Summary!BT108</f>
        <v>130041</v>
      </c>
      <c r="C81" s="707" t="str">
        <f>Summary!BU108</f>
        <v>Labor Forming</v>
      </c>
      <c r="D81" s="296"/>
      <c r="E81" s="708">
        <f>E80/8</f>
        <v>0</v>
      </c>
    </row>
    <row r="82" spans="2:5">
      <c r="B82" s="1648">
        <f>Summary!BT109</f>
        <v>130042</v>
      </c>
      <c r="C82" s="707" t="str">
        <f>Summary!BU109</f>
        <v>Labor Grade, Poly, Reinf.</v>
      </c>
      <c r="D82" s="296"/>
      <c r="E82" s="708">
        <f>E80/8</f>
        <v>0</v>
      </c>
    </row>
    <row r="83" spans="2:5">
      <c r="B83" s="1648">
        <f>Summary!BT110</f>
        <v>130043</v>
      </c>
      <c r="C83" s="707" t="str">
        <f>Summary!BU110</f>
        <v>Labor Place &amp; Finish</v>
      </c>
      <c r="D83" s="296"/>
      <c r="E83" s="708">
        <f>E80/8</f>
        <v>0</v>
      </c>
    </row>
    <row r="84" spans="2:5">
      <c r="B84" s="1648">
        <f>Summary!BT111</f>
        <v>130044</v>
      </c>
      <c r="C84" s="707" t="str">
        <f>Summary!BU111</f>
        <v>Labor Drops</v>
      </c>
      <c r="D84" s="296"/>
      <c r="E84" s="708">
        <f>E80/8</f>
        <v>0</v>
      </c>
    </row>
    <row r="85" spans="2:5">
      <c r="B85" s="1648">
        <f>Summary!BT112</f>
        <v>130045</v>
      </c>
      <c r="C85" s="707" t="str">
        <f>Summary!BU112</f>
        <v>Labor Strip Forms</v>
      </c>
      <c r="D85" s="296"/>
      <c r="E85" s="708">
        <f>E80/8</f>
        <v>0</v>
      </c>
    </row>
    <row r="86" spans="2:5">
      <c r="B86" s="1648">
        <f>Summary!BT113</f>
        <v>130046</v>
      </c>
      <c r="C86" s="707" t="str">
        <f>Summary!BU113</f>
        <v>Labor Burden</v>
      </c>
      <c r="D86" s="296"/>
      <c r="E86" s="708">
        <f>E80/8</f>
        <v>0</v>
      </c>
    </row>
    <row r="87" spans="2:5">
      <c r="B87" s="1648">
        <f>Summary!BT114</f>
        <v>130047</v>
      </c>
      <c r="C87" s="707" t="str">
        <f>Summary!BU114</f>
        <v>Rebar</v>
      </c>
      <c r="D87" s="296"/>
      <c r="E87" s="708">
        <f>E80/8</f>
        <v>0</v>
      </c>
    </row>
    <row r="88" spans="2:5">
      <c r="B88" s="1246">
        <f>Summary!BT115</f>
        <v>130048</v>
      </c>
      <c r="C88" s="753" t="str">
        <f>Summary!BU115</f>
        <v>PT Installation</v>
      </c>
      <c r="D88" s="765"/>
      <c r="E88" s="722">
        <f>E80/8</f>
        <v>0</v>
      </c>
    </row>
    <row r="89" spans="2:5">
      <c r="B89" s="1246">
        <f>Summary!BT116</f>
        <v>130049</v>
      </c>
      <c r="C89" s="753" t="str">
        <f>Summary!BU116</f>
        <v>Extra Hours</v>
      </c>
      <c r="D89" s="765"/>
      <c r="E89" s="722"/>
    </row>
    <row r="90" spans="2:5">
      <c r="B90" s="1649">
        <f>Summary!BT117</f>
        <v>130060</v>
      </c>
      <c r="C90" s="736" t="str">
        <f>Summary!BU117</f>
        <v>Total Equipment Rental</v>
      </c>
      <c r="D90" s="248"/>
      <c r="E90" s="738">
        <f>SUM(V41)</f>
        <v>0</v>
      </c>
    </row>
    <row r="91" spans="2:5">
      <c r="B91" s="1244">
        <f>Summary!BT118</f>
        <v>130061</v>
      </c>
      <c r="C91" s="707" t="str">
        <f>Summary!BU118</f>
        <v>SkyTrack</v>
      </c>
      <c r="D91" s="296"/>
      <c r="E91" s="708"/>
    </row>
    <row r="92" spans="2:5">
      <c r="B92" s="1648">
        <f>Summary!BT119</f>
        <v>130062</v>
      </c>
      <c r="C92" s="707" t="str">
        <f>Summary!BU119</f>
        <v>Mini Excavator</v>
      </c>
      <c r="D92" s="296"/>
      <c r="E92" s="708"/>
    </row>
    <row r="93" spans="2:5">
      <c r="B93" s="1648">
        <f>Summary!BT120</f>
        <v>130063</v>
      </c>
      <c r="C93" s="707" t="str">
        <f>Summary!BU120</f>
        <v>Trencher</v>
      </c>
      <c r="D93" s="296"/>
      <c r="E93" s="708"/>
    </row>
    <row r="94" spans="2:5">
      <c r="B94" s="1648">
        <f>Summary!BT121</f>
        <v>130064</v>
      </c>
      <c r="C94" s="707" t="str">
        <f>Summary!BU121</f>
        <v>Skid Steer</v>
      </c>
      <c r="D94" s="296"/>
      <c r="E94" s="708">
        <f>E90</f>
        <v>0</v>
      </c>
    </row>
    <row r="95" spans="2:5">
      <c r="B95" s="1648">
        <f>Summary!BT122</f>
        <v>130065</v>
      </c>
      <c r="C95" s="707" t="str">
        <f>Summary!BU122</f>
        <v>General Equipment Rental</v>
      </c>
      <c r="D95" s="296"/>
      <c r="E95" s="708"/>
    </row>
    <row r="96" spans="2:5">
      <c r="B96" s="1648">
        <f>Summary!BT123</f>
        <v>130066</v>
      </c>
      <c r="C96" s="707" t="str">
        <f>Summary!BU123</f>
        <v>Fuel</v>
      </c>
      <c r="D96" s="296"/>
      <c r="E96" s="708"/>
    </row>
    <row r="97" spans="2:5">
      <c r="B97" s="1648">
        <f>Summary!BT124</f>
        <v>130067</v>
      </c>
      <c r="C97" s="707" t="str">
        <f>Summary!BU124</f>
        <v>Purchased Tools</v>
      </c>
      <c r="D97" s="296"/>
      <c r="E97" s="708"/>
    </row>
    <row r="98" spans="2:5">
      <c r="B98" s="1648">
        <f>Summary!BT125</f>
        <v>130068</v>
      </c>
      <c r="C98" s="707" t="str">
        <f>Summary!BU125</f>
        <v>Stolen/Damaged</v>
      </c>
      <c r="D98" s="296"/>
      <c r="E98" s="708"/>
    </row>
    <row r="99" spans="2:5">
      <c r="B99" s="1648">
        <f>Summary!BT126</f>
        <v>130070</v>
      </c>
      <c r="C99" s="707" t="str">
        <f>Summary!BU126</f>
        <v>Out of Town Expense</v>
      </c>
      <c r="D99" s="296"/>
      <c r="E99" s="708"/>
    </row>
    <row r="100" spans="2:5">
      <c r="B100" s="1648">
        <f>Summary!BT127</f>
        <v>130071</v>
      </c>
      <c r="C100" s="707" t="str">
        <f>Summary!BU127</f>
        <v>Miscellaneous</v>
      </c>
      <c r="D100" s="296"/>
      <c r="E100" s="708"/>
    </row>
    <row r="101" spans="2:5">
      <c r="B101" s="1648">
        <f>Summary!BT130</f>
        <v>130090</v>
      </c>
      <c r="C101" s="707" t="str">
        <f>Summary!BU130</f>
        <v>Not Used</v>
      </c>
      <c r="D101" s="296"/>
      <c r="E101" s="708"/>
    </row>
    <row r="102" spans="2:5">
      <c r="B102" s="1648">
        <f>Summary!BT131</f>
        <v>130091</v>
      </c>
      <c r="C102" s="707" t="str">
        <f>Summary!BU131</f>
        <v>Margin Contingency</v>
      </c>
      <c r="D102" s="296"/>
      <c r="E102" s="708">
        <f>SUM(W41)</f>
        <v>0</v>
      </c>
    </row>
  </sheetData>
  <mergeCells count="69">
    <mergeCell ref="X42:Y42"/>
    <mergeCell ref="X37:Y37"/>
    <mergeCell ref="X38:Y38"/>
    <mergeCell ref="X39:Y39"/>
    <mergeCell ref="X40:Y40"/>
    <mergeCell ref="X41:Y41"/>
    <mergeCell ref="B33:E33"/>
    <mergeCell ref="X33:Y33"/>
    <mergeCell ref="X34:Y34"/>
    <mergeCell ref="X35:Y35"/>
    <mergeCell ref="X36:Y36"/>
    <mergeCell ref="X28:Y28"/>
    <mergeCell ref="X29:Y29"/>
    <mergeCell ref="X30:Y30"/>
    <mergeCell ref="X31:Y31"/>
    <mergeCell ref="X32:Y32"/>
    <mergeCell ref="B24:E24"/>
    <mergeCell ref="X24:Y24"/>
    <mergeCell ref="X25:Y25"/>
    <mergeCell ref="X26:Y26"/>
    <mergeCell ref="X27:Y27"/>
    <mergeCell ref="X18:Y18"/>
    <mergeCell ref="X19:Y19"/>
    <mergeCell ref="X20:Y20"/>
    <mergeCell ref="X21:Y21"/>
    <mergeCell ref="X22:Y22"/>
    <mergeCell ref="X13:Y13"/>
    <mergeCell ref="X14:Y14"/>
    <mergeCell ref="B16:E16"/>
    <mergeCell ref="X16:Y16"/>
    <mergeCell ref="X17:Y17"/>
    <mergeCell ref="B9:E9"/>
    <mergeCell ref="X9:Y9"/>
    <mergeCell ref="X10:Y10"/>
    <mergeCell ref="X11:Y11"/>
    <mergeCell ref="X12:Y12"/>
    <mergeCell ref="BF7:BF8"/>
    <mergeCell ref="B8:D8"/>
    <mergeCell ref="J8:L8"/>
    <mergeCell ref="N8:P8"/>
    <mergeCell ref="R8:T8"/>
    <mergeCell ref="AQ8:AT8"/>
    <mergeCell ref="AV7:AV8"/>
    <mergeCell ref="AX7:AX8"/>
    <mergeCell ref="AZ7:AZ8"/>
    <mergeCell ref="BB7:BB8"/>
    <mergeCell ref="BD7:BD8"/>
    <mergeCell ref="D6:E6"/>
    <mergeCell ref="K6:O6"/>
    <mergeCell ref="P6:Q6"/>
    <mergeCell ref="R6:S6"/>
    <mergeCell ref="D7:E7"/>
    <mergeCell ref="H7:K7"/>
    <mergeCell ref="L7:P7"/>
    <mergeCell ref="B4:E4"/>
    <mergeCell ref="K4:O4"/>
    <mergeCell ref="P4:Q4"/>
    <mergeCell ref="R4:S4"/>
    <mergeCell ref="K5:O5"/>
    <mergeCell ref="P5:Q5"/>
    <mergeCell ref="R5:S5"/>
    <mergeCell ref="X1:Y1"/>
    <mergeCell ref="B2:E2"/>
    <mergeCell ref="P2:Q2"/>
    <mergeCell ref="R2:S2"/>
    <mergeCell ref="B3:E3"/>
    <mergeCell ref="K3:O3"/>
    <mergeCell ref="P3:Q3"/>
    <mergeCell ref="R3:S3"/>
  </mergeCells>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3D69B"/>
    <pageSetUpPr fitToPage="1"/>
  </sheetPr>
  <dimension ref="A1:BN180"/>
  <sheetViews>
    <sheetView tabSelected="1" topLeftCell="A46" zoomScale="55" zoomScaleNormal="55" zoomScalePageLayoutView="70" workbookViewId="0">
      <selection activeCell="L56" sqref="L56:O56"/>
    </sheetView>
  </sheetViews>
  <sheetFormatPr defaultColWidth="2.4609375" defaultRowHeight="15"/>
  <cols>
    <col min="1" max="1" width="12" style="18" customWidth="1"/>
    <col min="2" max="2" width="10.4609375" style="18" customWidth="1"/>
    <col min="3" max="3" width="7.4609375" style="18" customWidth="1"/>
    <col min="4" max="4" width="10.84375" style="18" customWidth="1"/>
    <col min="5" max="5" width="9.4609375" style="18" customWidth="1"/>
    <col min="6" max="6" width="13.53515625" style="18" customWidth="1"/>
    <col min="7" max="7" width="12.84375" style="18" customWidth="1"/>
    <col min="8" max="18" width="9.84375" style="18" customWidth="1"/>
    <col min="19" max="19" width="10.84375" style="18" customWidth="1"/>
    <col min="20" max="20" width="8.84375" style="18" customWidth="1"/>
    <col min="21" max="21" width="13" style="18" customWidth="1"/>
    <col min="22" max="22" width="13.15234375" style="18" customWidth="1"/>
    <col min="23" max="23" width="15.84375" style="18" customWidth="1"/>
    <col min="24" max="24" width="15.4609375" customWidth="1"/>
    <col min="25" max="25" width="9.15234375" customWidth="1"/>
    <col min="26" max="30" width="9.15234375" hidden="1" customWidth="1"/>
    <col min="31" max="31" width="14.15234375" hidden="1" customWidth="1"/>
    <col min="32" max="42" width="9.15234375" hidden="1" customWidth="1"/>
    <col min="43" max="43" width="15.4609375" hidden="1" customWidth="1"/>
    <col min="44" max="46" width="9.15234375" hidden="1" customWidth="1"/>
    <col min="47" max="47" width="11.15234375" hidden="1" customWidth="1"/>
    <col min="48" max="48" width="9.84375" hidden="1" customWidth="1"/>
    <col min="49" max="50" width="10.15234375" hidden="1" customWidth="1"/>
    <col min="51" max="51" width="11.84375" hidden="1" customWidth="1"/>
    <col min="52" max="52" width="15.53515625" hidden="1" customWidth="1"/>
    <col min="53" max="53" width="9.15234375" hidden="1" customWidth="1"/>
    <col min="54" max="54" width="11.53515625" hidden="1" customWidth="1"/>
    <col min="55" max="55" width="20.84375" hidden="1" customWidth="1"/>
    <col min="56" max="56" width="19" hidden="1" customWidth="1"/>
    <col min="57" max="57" width="20.84375" hidden="1" customWidth="1"/>
    <col min="58" max="58" width="16.84375" hidden="1" customWidth="1"/>
    <col min="59" max="59" width="13.84375" hidden="1" customWidth="1"/>
    <col min="60" max="60" width="26.53515625" hidden="1" customWidth="1"/>
    <col min="61" max="61" width="10.84375" hidden="1" customWidth="1"/>
    <col min="62" max="62" width="12.53515625" hidden="1" customWidth="1"/>
    <col min="63" max="63" width="12.53515625" customWidth="1"/>
    <col min="64" max="64" width="9.15234375" customWidth="1"/>
    <col min="65" max="65" width="11.84375" customWidth="1"/>
    <col min="66" max="66" width="20.4609375" customWidth="1"/>
    <col min="67" max="255" width="9.15234375" customWidth="1"/>
  </cols>
  <sheetData>
    <row r="1" spans="1:62" ht="15.75" customHeight="1">
      <c r="A1" s="677"/>
      <c r="B1" s="589"/>
      <c r="C1" s="589"/>
      <c r="D1" s="589"/>
      <c r="E1" s="589"/>
      <c r="F1" s="589"/>
      <c r="G1" s="589"/>
      <c r="H1" s="589"/>
      <c r="I1" s="589"/>
      <c r="J1" s="589"/>
      <c r="K1" s="589"/>
      <c r="L1" s="589"/>
      <c r="M1" s="589"/>
      <c r="N1" s="589"/>
      <c r="O1" s="589"/>
      <c r="P1" s="589"/>
      <c r="Q1" s="589"/>
      <c r="R1" s="589"/>
      <c r="S1" s="589"/>
      <c r="T1" s="2991" t="s">
        <v>1193</v>
      </c>
      <c r="U1" s="2991"/>
      <c r="V1" s="2992">
        <v>37456</v>
      </c>
      <c r="W1" s="2992"/>
      <c r="X1" s="1254"/>
      <c r="Y1" s="1254"/>
    </row>
    <row r="2" spans="1:62" ht="26.25" customHeight="1">
      <c r="A2" s="2749" t="str">
        <f>Summary!C1</f>
        <v>Trammell Crow – LBJ</v>
      </c>
      <c r="B2" s="2749"/>
      <c r="C2" s="2749"/>
      <c r="D2" s="2749"/>
      <c r="E2" s="626"/>
      <c r="F2" s="626"/>
      <c r="G2" s="795"/>
      <c r="H2" s="1259" t="s">
        <v>56</v>
      </c>
      <c r="I2" s="983"/>
      <c r="J2" s="1085" t="s">
        <v>57</v>
      </c>
      <c r="K2" s="983"/>
      <c r="L2" s="983"/>
      <c r="M2" s="983"/>
      <c r="N2" s="2750" t="s">
        <v>1</v>
      </c>
      <c r="O2" s="2750"/>
      <c r="P2" s="2751" t="s">
        <v>1194</v>
      </c>
      <c r="Q2" s="2751"/>
      <c r="R2" s="626"/>
      <c r="S2" s="626"/>
      <c r="T2" s="795" t="s">
        <v>957</v>
      </c>
      <c r="U2" s="663"/>
      <c r="V2" s="796">
        <f>Information!C7</f>
        <v>0</v>
      </c>
      <c r="W2" s="797"/>
      <c r="X2" s="1254"/>
      <c r="Y2" s="1254"/>
    </row>
    <row r="3" spans="1:62" ht="18" customHeight="1">
      <c r="A3" s="2752">
        <f>Summary!C2</f>
        <v>0</v>
      </c>
      <c r="B3" s="2752"/>
      <c r="C3" s="2752"/>
      <c r="D3" s="2752"/>
      <c r="E3" s="626"/>
      <c r="F3" s="626"/>
      <c r="G3" s="574"/>
      <c r="H3" s="793" t="s">
        <v>955</v>
      </c>
      <c r="I3" s="2753">
        <f>Summary!K2</f>
        <v>0</v>
      </c>
      <c r="J3" s="2753"/>
      <c r="K3" s="2753"/>
      <c r="L3" s="2753"/>
      <c r="M3" s="2753"/>
      <c r="N3" s="2754">
        <f>Summary!O2</f>
        <v>0</v>
      </c>
      <c r="O3" s="2754"/>
      <c r="P3" s="2755">
        <f>Summary!P2</f>
        <v>0</v>
      </c>
      <c r="Q3" s="2755"/>
      <c r="R3" s="626"/>
      <c r="S3" s="626"/>
      <c r="T3" s="574"/>
      <c r="W3" s="798"/>
      <c r="X3" s="1254"/>
      <c r="Y3" s="1254"/>
    </row>
    <row r="4" spans="1:62" ht="18" customHeight="1">
      <c r="A4" s="2756" t="str">
        <f>Summary!C3</f>
        <v>Dallas, TX</v>
      </c>
      <c r="B4" s="2756"/>
      <c r="C4" s="2756"/>
      <c r="D4" s="2756"/>
      <c r="E4" s="626"/>
      <c r="F4" s="626"/>
      <c r="G4" s="574"/>
      <c r="H4" s="793" t="s">
        <v>71</v>
      </c>
      <c r="I4" s="2757">
        <f>Summary!K3</f>
        <v>0</v>
      </c>
      <c r="J4" s="2757"/>
      <c r="K4" s="2757"/>
      <c r="L4" s="2757"/>
      <c r="M4" s="2757"/>
      <c r="N4" s="2758">
        <f>Summary!O3</f>
        <v>0</v>
      </c>
      <c r="O4" s="2758"/>
      <c r="P4" s="2759">
        <f>Summary!P3</f>
        <v>0</v>
      </c>
      <c r="Q4" s="2759"/>
      <c r="R4" s="626"/>
      <c r="S4" s="626"/>
      <c r="T4" s="574" t="s">
        <v>958</v>
      </c>
      <c r="V4" s="799"/>
      <c r="W4" s="800"/>
      <c r="X4" s="1254"/>
      <c r="Y4" s="1254"/>
    </row>
    <row r="5" spans="1:62" ht="18" customHeight="1">
      <c r="A5" s="963" t="s">
        <v>0</v>
      </c>
      <c r="C5" s="380" t="s">
        <v>1</v>
      </c>
      <c r="E5" s="626"/>
      <c r="F5" s="626"/>
      <c r="G5" s="574"/>
      <c r="H5" s="793" t="s">
        <v>79</v>
      </c>
      <c r="I5" s="3282">
        <f>Summary!K4</f>
        <v>0</v>
      </c>
      <c r="J5" s="3282"/>
      <c r="K5" s="3282"/>
      <c r="L5" s="3282"/>
      <c r="M5" s="3282"/>
      <c r="N5" s="3283">
        <f>Summary!O4</f>
        <v>0</v>
      </c>
      <c r="O5" s="3283"/>
      <c r="P5" s="3284">
        <f>Summary!P4</f>
        <v>0</v>
      </c>
      <c r="Q5" s="3284"/>
      <c r="R5" s="626"/>
      <c r="S5" s="626"/>
      <c r="T5" s="574"/>
      <c r="W5" s="798"/>
      <c r="X5" s="1254"/>
      <c r="Y5" s="1254"/>
    </row>
    <row r="6" spans="1:62" ht="18" customHeight="1">
      <c r="A6" s="1089">
        <v>0</v>
      </c>
      <c r="B6" s="626"/>
      <c r="C6" s="3285">
        <v>0</v>
      </c>
      <c r="D6" s="3285"/>
      <c r="E6" s="626"/>
      <c r="F6" s="626"/>
      <c r="G6" s="577"/>
      <c r="H6" s="2052" t="s">
        <v>87</v>
      </c>
      <c r="I6" s="3286">
        <f>Summary!K5</f>
        <v>0</v>
      </c>
      <c r="J6" s="3286"/>
      <c r="K6" s="3286"/>
      <c r="L6" s="3286"/>
      <c r="M6" s="3286"/>
      <c r="N6" s="3104">
        <f>Summary!O5</f>
        <v>0</v>
      </c>
      <c r="O6" s="3104"/>
      <c r="P6" s="3287">
        <f>Summary!P5</f>
        <v>0</v>
      </c>
      <c r="Q6" s="3287"/>
      <c r="R6" s="626"/>
      <c r="S6" s="626"/>
      <c r="T6" s="577" t="s">
        <v>958</v>
      </c>
      <c r="U6" s="802"/>
      <c r="V6" s="802"/>
      <c r="W6" s="803"/>
      <c r="X6" s="1254"/>
      <c r="Y6" s="1254"/>
    </row>
    <row r="7" spans="1:62" ht="18" customHeight="1">
      <c r="A7" s="1091">
        <v>0</v>
      </c>
      <c r="B7" s="626"/>
      <c r="C7" s="3285">
        <v>0</v>
      </c>
      <c r="D7" s="3285"/>
      <c r="E7" s="626"/>
      <c r="F7" s="3288" t="s">
        <v>1196</v>
      </c>
      <c r="G7" s="3288"/>
      <c r="H7" s="3288"/>
      <c r="I7" s="2766" t="str">
        <f>Pricing!A3</f>
        <v>SRM</v>
      </c>
      <c r="J7" s="2766"/>
      <c r="K7" s="2766"/>
      <c r="L7" s="2766"/>
      <c r="M7" s="2766"/>
      <c r="N7" s="626"/>
      <c r="O7" s="626"/>
      <c r="P7" s="626"/>
      <c r="Q7" s="626"/>
      <c r="R7" s="626"/>
      <c r="S7" s="626"/>
      <c r="T7" s="626"/>
      <c r="U7" s="626"/>
      <c r="V7" s="626"/>
      <c r="W7" s="870"/>
      <c r="X7" s="1254"/>
      <c r="Y7" s="1254"/>
    </row>
    <row r="8" spans="1:62" ht="25.5" customHeight="1">
      <c r="A8" s="1094"/>
      <c r="B8" s="1095"/>
      <c r="C8" s="3289" t="s">
        <v>1209</v>
      </c>
      <c r="D8" s="3290" t="s">
        <v>2043</v>
      </c>
      <c r="E8" s="3290"/>
      <c r="F8" s="3290"/>
      <c r="G8" s="3290"/>
      <c r="H8" s="2660"/>
      <c r="I8" s="3291" t="s">
        <v>2044</v>
      </c>
      <c r="J8" s="3291"/>
      <c r="K8" s="2933" t="s">
        <v>1663</v>
      </c>
      <c r="L8" s="2933"/>
      <c r="M8" s="2933"/>
      <c r="N8" s="2772" t="s">
        <v>1664</v>
      </c>
      <c r="O8" s="2772"/>
      <c r="P8" s="2772"/>
      <c r="Q8" s="3123" t="s">
        <v>2045</v>
      </c>
      <c r="R8" s="2661"/>
      <c r="S8" s="3123" t="s">
        <v>2046</v>
      </c>
      <c r="T8" s="2662"/>
      <c r="U8" s="3000" t="s">
        <v>2047</v>
      </c>
      <c r="V8" s="3179" t="s">
        <v>2048</v>
      </c>
      <c r="W8" s="3292" t="s">
        <v>2049</v>
      </c>
      <c r="X8" s="3293" t="s">
        <v>2050</v>
      </c>
      <c r="AK8" t="s">
        <v>2051</v>
      </c>
    </row>
    <row r="9" spans="1:62" ht="39.75" customHeight="1">
      <c r="A9" s="3294" t="s">
        <v>2126</v>
      </c>
      <c r="B9" s="3294"/>
      <c r="C9" s="3289"/>
      <c r="D9" s="1313" t="s">
        <v>1366</v>
      </c>
      <c r="E9" s="1100" t="s">
        <v>1670</v>
      </c>
      <c r="F9" s="1100" t="s">
        <v>2052</v>
      </c>
      <c r="G9" s="1314" t="s">
        <v>2053</v>
      </c>
      <c r="H9" s="1841" t="s">
        <v>835</v>
      </c>
      <c r="I9" s="1100" t="s">
        <v>2054</v>
      </c>
      <c r="J9" s="1508" t="s">
        <v>2055</v>
      </c>
      <c r="K9" s="1101" t="s">
        <v>1216</v>
      </c>
      <c r="L9" s="1100" t="s">
        <v>1215</v>
      </c>
      <c r="M9" s="1314" t="s">
        <v>1671</v>
      </c>
      <c r="N9" s="1100" t="s">
        <v>1216</v>
      </c>
      <c r="O9" s="1101" t="s">
        <v>1215</v>
      </c>
      <c r="P9" s="1099" t="s">
        <v>1672</v>
      </c>
      <c r="Q9" s="3123"/>
      <c r="R9" s="1314" t="s">
        <v>1215</v>
      </c>
      <c r="S9" s="3123"/>
      <c r="T9" s="1508" t="s">
        <v>1215</v>
      </c>
      <c r="U9" s="3000"/>
      <c r="V9" s="3179"/>
      <c r="W9" s="3292"/>
      <c r="X9" s="3293"/>
      <c r="Y9" s="172"/>
      <c r="AI9" t="s">
        <v>2056</v>
      </c>
      <c r="AJ9" t="s">
        <v>1374</v>
      </c>
      <c r="AK9" t="s">
        <v>1375</v>
      </c>
      <c r="AL9" t="s">
        <v>1376</v>
      </c>
      <c r="AM9" t="s">
        <v>1377</v>
      </c>
      <c r="AN9" t="s">
        <v>1378</v>
      </c>
      <c r="AO9" t="s">
        <v>1522</v>
      </c>
      <c r="AP9" t="s">
        <v>1384</v>
      </c>
      <c r="AQ9" t="s">
        <v>1385</v>
      </c>
      <c r="AR9" t="s">
        <v>1533</v>
      </c>
      <c r="AS9" t="s">
        <v>2057</v>
      </c>
      <c r="AT9" t="s">
        <v>2058</v>
      </c>
      <c r="AU9" t="s">
        <v>2059</v>
      </c>
      <c r="AV9" t="s">
        <v>2060</v>
      </c>
      <c r="AW9" t="s">
        <v>2061</v>
      </c>
      <c r="AX9" t="s">
        <v>577</v>
      </c>
      <c r="AY9" s="2663" t="s">
        <v>1388</v>
      </c>
      <c r="AZ9" s="2663" t="s">
        <v>2062</v>
      </c>
      <c r="BA9" s="2663" t="s">
        <v>2063</v>
      </c>
      <c r="BB9" s="2663" t="s">
        <v>1391</v>
      </c>
      <c r="BC9" s="2663" t="s">
        <v>1392</v>
      </c>
      <c r="BD9" s="2663" t="s">
        <v>2064</v>
      </c>
      <c r="BE9" s="2663" t="s">
        <v>1334</v>
      </c>
      <c r="BJ9" t="s">
        <v>1687</v>
      </c>
    </row>
    <row r="10" spans="1:62" ht="18" customHeight="1">
      <c r="A10" s="482"/>
      <c r="B10" s="1177"/>
      <c r="C10" s="1711">
        <v>5</v>
      </c>
      <c r="D10" s="2671">
        <v>29</v>
      </c>
      <c r="E10" s="2664">
        <v>7.25</v>
      </c>
      <c r="F10" s="2664">
        <v>26</v>
      </c>
      <c r="G10" s="839">
        <v>-4</v>
      </c>
      <c r="H10" s="1851">
        <v>3</v>
      </c>
      <c r="I10" s="840">
        <v>10</v>
      </c>
      <c r="J10" s="837">
        <v>3</v>
      </c>
      <c r="K10" s="1108">
        <v>12</v>
      </c>
      <c r="L10" s="1108">
        <v>4</v>
      </c>
      <c r="M10" s="1109">
        <v>2</v>
      </c>
      <c r="N10" s="1110">
        <v>12</v>
      </c>
      <c r="O10" s="1108">
        <v>5</v>
      </c>
      <c r="P10" s="1109">
        <v>2</v>
      </c>
      <c r="Q10" s="1108">
        <v>2</v>
      </c>
      <c r="R10" s="1109">
        <v>5</v>
      </c>
      <c r="S10" s="1108">
        <v>2</v>
      </c>
      <c r="T10" s="2665">
        <v>5</v>
      </c>
      <c r="U10" s="2666">
        <f t="shared" ref="U10:U51" si="0">IF(H10=0,0,(IF(K10=0,0,D10*(F10-G10)*12/K10*M10*(L10/16*L10/16*10.7028))+IF(N10=0,0,((F10-G10)*12/N10*D10*P10)*O10/16*O10/16*10.7028)+(Q10*D10+Q10*(F10-G10))*2*(R10/16*R10/16*10.7028)+IF(I10&gt;0,Q10*D10+Q10*(F10-G10)*2*(R10/16*R10/16*10.7028))+IF(H10=0,0,S10*4*T10/16*T10/16*10.7028))*(1+J$69))</f>
        <v>3592.0714593750004</v>
      </c>
      <c r="V10" s="2667">
        <f t="shared" ref="V10:V51" si="1">IF(H10=0,0,((D10*E10/12*(F10-G10)/27)-(I10*J10*E10/324))*(1+J$66))</f>
        <v>19.548148148148147</v>
      </c>
      <c r="W10" s="1921">
        <f t="shared" ref="W10:W51" si="2">(F10-G10)*D10</f>
        <v>870</v>
      </c>
      <c r="X10" s="1354">
        <f t="shared" ref="X10:X51" si="3">IF(H10=0,0,SUM(AY10:BE10)/H10)</f>
        <v>9377.5008655708716</v>
      </c>
      <c r="Y10" s="18"/>
      <c r="AI10">
        <f t="shared" ref="AI10:AI51" si="4">IF(H10&gt;0,1,0)</f>
        <v>1</v>
      </c>
      <c r="AJ10">
        <f t="shared" ref="AJ10:AJ51" si="5">IF($C10=1,$V10*$H10,0)</f>
        <v>0</v>
      </c>
      <c r="AK10">
        <f t="shared" ref="AK10:AK51" si="6">IF($C10=2,$V10*$H10,0)</f>
        <v>0</v>
      </c>
      <c r="AL10">
        <f t="shared" ref="AL10:AL51" si="7">IF($C10=3,$V10*$H10,0)</f>
        <v>0</v>
      </c>
      <c r="AM10">
        <f t="shared" ref="AM10:AM51" si="8">IF($C10=4,$V10*$H10,0)</f>
        <v>0</v>
      </c>
      <c r="AN10">
        <f t="shared" ref="AN10:AN51" si="9">IF($C10=5,$V10*$H10,0)</f>
        <v>58.644444444444446</v>
      </c>
      <c r="AO10">
        <f t="shared" ref="AO10:AO51" si="10">IF($C10=6,$V10*$H10,0)</f>
        <v>0</v>
      </c>
      <c r="AP10">
        <f t="shared" ref="AP10:AP51" si="11">SUM(AJ10:AO10)</f>
        <v>58.644444444444446</v>
      </c>
      <c r="AQ10" s="1116">
        <f t="shared" ref="AQ10:AQ51" si="12">U10*H10</f>
        <v>10776.214378125002</v>
      </c>
      <c r="AR10" s="847">
        <f t="shared" ref="AR10:AR51" si="13">W10*H10</f>
        <v>2610</v>
      </c>
      <c r="AS10">
        <f t="shared" ref="AS10:AS51" si="14">H10</f>
        <v>3</v>
      </c>
      <c r="AT10" s="847">
        <f t="shared" ref="AT10:AT51" si="15">(D10*2+(F10-G10)*2)*H10</f>
        <v>354</v>
      </c>
      <c r="AU10">
        <f t="shared" ref="AU10:AU51" si="16">D10*H10</f>
        <v>87</v>
      </c>
      <c r="AV10">
        <f t="shared" ref="AV10:AV51" si="17">IF(E10&gt;0,IF(E10&lt;6,AT10,0),0)</f>
        <v>0</v>
      </c>
      <c r="AW10">
        <f t="shared" ref="AW10:AW51" si="18">IF(E10&gt;0,IF(E10&gt;5.5,AT10,0),0)</f>
        <v>354</v>
      </c>
      <c r="AX10">
        <f t="shared" ref="AX10:AX51" si="19">U10*H10*F$69*IF(T$55="Y",1,(1+V$55))</f>
        <v>7582.4138418082048</v>
      </c>
      <c r="AY10" s="2663">
        <f>(AJ10*Pricing!F$3+AK10*Pricing!G$3+AL10*Pricing!H$3+AM10*Pricing!I$3+AN10*Pricing!J$3+AO10*Pricing!K$3)*IF(T$55="Y",1,(1+V$55))</f>
        <v>9839.8047222222231</v>
      </c>
      <c r="AZ10" s="2668">
        <f t="shared" ref="AZ10:AZ51" si="20">AR10*(G$80+D$83)+IF(H$80=0,0,(K$79+N$79)/H$80*AR10)</f>
        <v>5481</v>
      </c>
      <c r="BA10" s="2663">
        <f t="shared" ref="BA10:BA51" si="21">L$89/AR$52*AR10</f>
        <v>2434.0527577937651</v>
      </c>
      <c r="BB10" s="2668">
        <f t="shared" ref="BB10:BB51" si="22">AQ10/2000*D$84</f>
        <v>2424.6482350781253</v>
      </c>
      <c r="BC10" s="2668">
        <f t="shared" ref="BC10:BC51" si="23">AU10*6.5*G$85/27*D$85</f>
        <v>335.11111111111109</v>
      </c>
      <c r="BD10" s="2669">
        <f t="shared" ref="BD10:BD51" si="24">IF(AR$52=0,0,SUM(N$92:O$97)+SUM(N$99:O$104)+W$105)/AR$52*AR10</f>
        <v>7141.3476205073885</v>
      </c>
      <c r="BE10" s="2670">
        <f t="shared" ref="BE10:BE51" si="25">SUM(N$73:O$76)/AU$52*AU10</f>
        <v>476.53815000000009</v>
      </c>
    </row>
    <row r="11" spans="1:62" ht="18" customHeight="1">
      <c r="A11" s="482"/>
      <c r="B11" s="1177"/>
      <c r="C11" s="1711">
        <v>5</v>
      </c>
      <c r="D11" s="2671">
        <v>30</v>
      </c>
      <c r="E11" s="2664">
        <v>7.25</v>
      </c>
      <c r="F11" s="2664">
        <v>26</v>
      </c>
      <c r="G11" s="839">
        <v>-4</v>
      </c>
      <c r="H11" s="1851">
        <v>3</v>
      </c>
      <c r="I11" s="840">
        <v>10</v>
      </c>
      <c r="J11" s="837">
        <v>3</v>
      </c>
      <c r="K11" s="1108">
        <v>12</v>
      </c>
      <c r="L11" s="1108">
        <v>4</v>
      </c>
      <c r="M11" s="1109">
        <v>2</v>
      </c>
      <c r="N11" s="1110">
        <v>12</v>
      </c>
      <c r="O11" s="1108">
        <v>5</v>
      </c>
      <c r="P11" s="1109">
        <v>2</v>
      </c>
      <c r="Q11" s="1108">
        <v>2</v>
      </c>
      <c r="R11" s="1109">
        <v>5</v>
      </c>
      <c r="S11" s="1108">
        <v>2</v>
      </c>
      <c r="T11" s="2665">
        <v>5</v>
      </c>
      <c r="U11" s="2666">
        <f t="shared" si="0"/>
        <v>3706.5508593750005</v>
      </c>
      <c r="V11" s="2667">
        <f t="shared" si="1"/>
        <v>20.246296296296297</v>
      </c>
      <c r="W11" s="1921">
        <f t="shared" si="2"/>
        <v>900</v>
      </c>
      <c r="X11" s="1354">
        <f t="shared" si="3"/>
        <v>9702.790638143937</v>
      </c>
      <c r="Y11" s="18"/>
      <c r="AI11">
        <f t="shared" si="4"/>
        <v>1</v>
      </c>
      <c r="AJ11">
        <f t="shared" si="5"/>
        <v>0</v>
      </c>
      <c r="AK11">
        <f t="shared" si="6"/>
        <v>0</v>
      </c>
      <c r="AL11">
        <f t="shared" si="7"/>
        <v>0</v>
      </c>
      <c r="AM11">
        <f t="shared" si="8"/>
        <v>0</v>
      </c>
      <c r="AN11">
        <f t="shared" si="9"/>
        <v>60.738888888888894</v>
      </c>
      <c r="AO11">
        <f t="shared" si="10"/>
        <v>0</v>
      </c>
      <c r="AP11">
        <f t="shared" si="11"/>
        <v>60.738888888888894</v>
      </c>
      <c r="AQ11">
        <f t="shared" si="12"/>
        <v>11119.652578125002</v>
      </c>
      <c r="AR11" s="847">
        <f t="shared" si="13"/>
        <v>2700</v>
      </c>
      <c r="AS11">
        <f t="shared" si="14"/>
        <v>3</v>
      </c>
      <c r="AT11" s="847">
        <f t="shared" si="15"/>
        <v>360</v>
      </c>
      <c r="AU11">
        <f t="shared" si="16"/>
        <v>90</v>
      </c>
      <c r="AV11">
        <f t="shared" si="17"/>
        <v>0</v>
      </c>
      <c r="AW11">
        <f t="shared" si="18"/>
        <v>360</v>
      </c>
      <c r="AX11">
        <f t="shared" si="19"/>
        <v>7824.0655452832052</v>
      </c>
      <c r="AY11" s="2663">
        <f>(AJ11*Pricing!F$3+AK11*Pricing!G$3+AL11*Pricing!H$3+AM11*Pricing!I$3+AN11*Pricing!J$3+AO11*Pricing!K$3)*IF(T$55="Y",1,(1+V$55))</f>
        <v>10191.226319444446</v>
      </c>
      <c r="AZ11" s="2668">
        <f t="shared" si="20"/>
        <v>5670</v>
      </c>
      <c r="BA11" s="2663">
        <f t="shared" si="21"/>
        <v>2517.9856115107914</v>
      </c>
      <c r="BB11" s="2668">
        <f t="shared" si="22"/>
        <v>2501.9218300781254</v>
      </c>
      <c r="BC11" s="2668">
        <f t="shared" si="23"/>
        <v>346.66666666666669</v>
      </c>
      <c r="BD11" s="2669">
        <f t="shared" si="24"/>
        <v>7387.6009867317816</v>
      </c>
      <c r="BE11" s="2670">
        <f t="shared" si="25"/>
        <v>492.97050000000007</v>
      </c>
    </row>
    <row r="12" spans="1:62" ht="18" customHeight="1">
      <c r="A12" s="482"/>
      <c r="B12" s="1177"/>
      <c r="C12" s="1711">
        <v>5</v>
      </c>
      <c r="D12" s="2671">
        <v>30</v>
      </c>
      <c r="E12" s="2664">
        <v>7.25</v>
      </c>
      <c r="F12" s="2664">
        <v>30</v>
      </c>
      <c r="G12" s="839">
        <v>-4</v>
      </c>
      <c r="H12" s="1851">
        <v>3</v>
      </c>
      <c r="I12" s="840">
        <v>10</v>
      </c>
      <c r="J12" s="837">
        <v>3</v>
      </c>
      <c r="K12" s="1108">
        <v>12</v>
      </c>
      <c r="L12" s="1108">
        <v>4</v>
      </c>
      <c r="M12" s="1109">
        <v>2</v>
      </c>
      <c r="N12" s="1110">
        <v>12</v>
      </c>
      <c r="O12" s="1108">
        <v>5</v>
      </c>
      <c r="P12" s="1109">
        <v>2</v>
      </c>
      <c r="Q12" s="1108">
        <v>2</v>
      </c>
      <c r="R12" s="1109">
        <v>5</v>
      </c>
      <c r="S12" s="1108">
        <v>2</v>
      </c>
      <c r="T12" s="2665">
        <v>5</v>
      </c>
      <c r="U12" s="2666">
        <f t="shared" si="0"/>
        <v>4173.627740625001</v>
      </c>
      <c r="V12" s="2667">
        <f t="shared" si="1"/>
        <v>23.038888888888888</v>
      </c>
      <c r="W12" s="1921">
        <f t="shared" si="2"/>
        <v>1020</v>
      </c>
      <c r="X12" s="1354">
        <f t="shared" si="3"/>
        <v>10968.693359310042</v>
      </c>
      <c r="Y12" s="18"/>
      <c r="AI12">
        <f t="shared" si="4"/>
        <v>1</v>
      </c>
      <c r="AJ12">
        <f t="shared" si="5"/>
        <v>0</v>
      </c>
      <c r="AK12">
        <f t="shared" si="6"/>
        <v>0</v>
      </c>
      <c r="AL12">
        <f t="shared" si="7"/>
        <v>0</v>
      </c>
      <c r="AM12">
        <f t="shared" si="8"/>
        <v>0</v>
      </c>
      <c r="AN12">
        <f t="shared" si="9"/>
        <v>69.11666666666666</v>
      </c>
      <c r="AO12">
        <f t="shared" si="10"/>
        <v>0</v>
      </c>
      <c r="AP12">
        <f t="shared" si="11"/>
        <v>69.11666666666666</v>
      </c>
      <c r="AQ12">
        <f t="shared" si="12"/>
        <v>12520.883221875003</v>
      </c>
      <c r="AR12" s="847">
        <f t="shared" si="13"/>
        <v>3060</v>
      </c>
      <c r="AS12">
        <f t="shared" si="14"/>
        <v>3</v>
      </c>
      <c r="AT12" s="847">
        <f t="shared" si="15"/>
        <v>384</v>
      </c>
      <c r="AU12">
        <f t="shared" si="16"/>
        <v>90</v>
      </c>
      <c r="AV12">
        <f t="shared" si="17"/>
        <v>0</v>
      </c>
      <c r="AW12">
        <f t="shared" si="18"/>
        <v>384</v>
      </c>
      <c r="AX12">
        <f t="shared" si="19"/>
        <v>8810.0064569917995</v>
      </c>
      <c r="AY12" s="2663">
        <f>(AJ12*Pricing!F$3+AK12*Pricing!G$3+AL12*Pricing!H$3+AM12*Pricing!I$3+AN12*Pricing!J$3+AO12*Pricing!K$3)*IF(T$55="Y",1,(1+V$55))</f>
        <v>11596.912708333331</v>
      </c>
      <c r="AZ12" s="2668">
        <f t="shared" si="20"/>
        <v>6426</v>
      </c>
      <c r="BA12" s="2663">
        <f t="shared" si="21"/>
        <v>2853.7170263788967</v>
      </c>
      <c r="BB12" s="2668">
        <f t="shared" si="22"/>
        <v>2817.1987249218755</v>
      </c>
      <c r="BC12" s="2668">
        <f t="shared" si="23"/>
        <v>346.66666666666669</v>
      </c>
      <c r="BD12" s="2669">
        <f t="shared" si="24"/>
        <v>8372.6144516293516</v>
      </c>
      <c r="BE12" s="2670">
        <f t="shared" si="25"/>
        <v>492.97050000000007</v>
      </c>
    </row>
    <row r="13" spans="1:62" ht="18" customHeight="1">
      <c r="A13" s="482"/>
      <c r="B13" s="1177"/>
      <c r="C13" s="1711">
        <v>5</v>
      </c>
      <c r="D13" s="2671">
        <v>30</v>
      </c>
      <c r="E13" s="2664">
        <v>7.25</v>
      </c>
      <c r="F13" s="2664">
        <v>29</v>
      </c>
      <c r="G13" s="839">
        <v>-4</v>
      </c>
      <c r="H13" s="1851">
        <v>3</v>
      </c>
      <c r="I13" s="840">
        <v>10</v>
      </c>
      <c r="J13" s="837">
        <v>3</v>
      </c>
      <c r="K13" s="1108">
        <v>12</v>
      </c>
      <c r="L13" s="1108">
        <v>4</v>
      </c>
      <c r="M13" s="1109">
        <v>2</v>
      </c>
      <c r="N13" s="1110">
        <v>12</v>
      </c>
      <c r="O13" s="1108">
        <v>5</v>
      </c>
      <c r="P13" s="1109">
        <v>2</v>
      </c>
      <c r="Q13" s="1108">
        <v>2</v>
      </c>
      <c r="R13" s="1109">
        <v>5</v>
      </c>
      <c r="S13" s="1108">
        <v>2</v>
      </c>
      <c r="T13" s="2665">
        <v>5</v>
      </c>
      <c r="U13" s="2666">
        <f t="shared" si="0"/>
        <v>4056.8585203125003</v>
      </c>
      <c r="V13" s="2667">
        <f t="shared" si="1"/>
        <v>22.340740740740742</v>
      </c>
      <c r="W13" s="1921">
        <f t="shared" si="2"/>
        <v>990</v>
      </c>
      <c r="X13" s="1354">
        <f t="shared" si="3"/>
        <v>10652.217679018517</v>
      </c>
      <c r="Y13" s="18"/>
      <c r="AI13">
        <f t="shared" si="4"/>
        <v>1</v>
      </c>
      <c r="AJ13">
        <f t="shared" si="5"/>
        <v>0</v>
      </c>
      <c r="AK13">
        <f t="shared" si="6"/>
        <v>0</v>
      </c>
      <c r="AL13">
        <f t="shared" si="7"/>
        <v>0</v>
      </c>
      <c r="AM13">
        <f t="shared" si="8"/>
        <v>0</v>
      </c>
      <c r="AN13">
        <f t="shared" si="9"/>
        <v>67.022222222222226</v>
      </c>
      <c r="AO13">
        <f t="shared" si="10"/>
        <v>0</v>
      </c>
      <c r="AP13">
        <f t="shared" si="11"/>
        <v>67.022222222222226</v>
      </c>
      <c r="AQ13">
        <f t="shared" si="12"/>
        <v>12170.575560937501</v>
      </c>
      <c r="AR13" s="847">
        <f t="shared" si="13"/>
        <v>2970</v>
      </c>
      <c r="AS13">
        <f t="shared" si="14"/>
        <v>3</v>
      </c>
      <c r="AT13" s="847">
        <f t="shared" si="15"/>
        <v>378</v>
      </c>
      <c r="AU13">
        <f t="shared" si="16"/>
        <v>90</v>
      </c>
      <c r="AV13">
        <f t="shared" si="17"/>
        <v>0</v>
      </c>
      <c r="AW13">
        <f t="shared" si="18"/>
        <v>378</v>
      </c>
      <c r="AX13">
        <f t="shared" si="19"/>
        <v>8563.5212290646505</v>
      </c>
      <c r="AY13" s="2663">
        <f>(AJ13*Pricing!F$3+AK13*Pricing!G$3+AL13*Pricing!H$3+AM13*Pricing!I$3+AN13*Pricing!J$3+AO13*Pricing!K$3)*IF(T$55="Y",1,(1+V$55))</f>
        <v>11245.491111111112</v>
      </c>
      <c r="AZ13" s="2668">
        <f t="shared" si="20"/>
        <v>6237</v>
      </c>
      <c r="BA13" s="2663">
        <f t="shared" si="21"/>
        <v>2769.7841726618703</v>
      </c>
      <c r="BB13" s="2668">
        <f t="shared" si="22"/>
        <v>2738.3795012109376</v>
      </c>
      <c r="BC13" s="2668">
        <f t="shared" si="23"/>
        <v>346.66666666666669</v>
      </c>
      <c r="BD13" s="2669">
        <f t="shared" si="24"/>
        <v>8126.3610854049593</v>
      </c>
      <c r="BE13" s="2670">
        <f t="shared" si="25"/>
        <v>492.97050000000007</v>
      </c>
    </row>
    <row r="14" spans="1:62" ht="18" customHeight="1">
      <c r="A14" s="482"/>
      <c r="B14" s="1177"/>
      <c r="C14" s="1711">
        <v>5</v>
      </c>
      <c r="D14" s="2671">
        <v>30</v>
      </c>
      <c r="E14" s="2664">
        <v>7.25</v>
      </c>
      <c r="F14" s="2664">
        <v>35</v>
      </c>
      <c r="G14" s="839">
        <v>-4</v>
      </c>
      <c r="H14" s="1851">
        <v>3</v>
      </c>
      <c r="I14" s="840">
        <v>10</v>
      </c>
      <c r="J14" s="837">
        <v>3</v>
      </c>
      <c r="K14" s="1108">
        <v>12</v>
      </c>
      <c r="L14" s="1108">
        <v>4</v>
      </c>
      <c r="M14" s="1109">
        <v>2</v>
      </c>
      <c r="N14" s="1110">
        <v>12</v>
      </c>
      <c r="O14" s="1108">
        <v>5</v>
      </c>
      <c r="P14" s="1109">
        <v>2</v>
      </c>
      <c r="Q14" s="1108">
        <v>2</v>
      </c>
      <c r="R14" s="1109">
        <v>5</v>
      </c>
      <c r="S14" s="1108">
        <v>2</v>
      </c>
      <c r="T14" s="2665">
        <v>5</v>
      </c>
      <c r="U14" s="2666">
        <f t="shared" si="0"/>
        <v>4757.4738421874999</v>
      </c>
      <c r="V14" s="2667">
        <f t="shared" si="1"/>
        <v>26.529629629629632</v>
      </c>
      <c r="W14" s="1921">
        <f t="shared" si="2"/>
        <v>1170</v>
      </c>
      <c r="X14" s="1354">
        <f t="shared" si="3"/>
        <v>12551.071760767672</v>
      </c>
      <c r="Y14" s="18"/>
      <c r="AI14">
        <f t="shared" si="4"/>
        <v>1</v>
      </c>
      <c r="AJ14">
        <f t="shared" si="5"/>
        <v>0</v>
      </c>
      <c r="AK14">
        <f t="shared" si="6"/>
        <v>0</v>
      </c>
      <c r="AL14">
        <f t="shared" si="7"/>
        <v>0</v>
      </c>
      <c r="AM14">
        <f t="shared" si="8"/>
        <v>0</v>
      </c>
      <c r="AN14">
        <f t="shared" si="9"/>
        <v>79.588888888888903</v>
      </c>
      <c r="AO14">
        <f t="shared" si="10"/>
        <v>0</v>
      </c>
      <c r="AP14">
        <f t="shared" si="11"/>
        <v>79.588888888888903</v>
      </c>
      <c r="AQ14">
        <f t="shared" si="12"/>
        <v>14272.421526562499</v>
      </c>
      <c r="AR14" s="847">
        <f t="shared" si="13"/>
        <v>3510</v>
      </c>
      <c r="AS14">
        <f t="shared" si="14"/>
        <v>3</v>
      </c>
      <c r="AT14" s="847">
        <f t="shared" si="15"/>
        <v>414</v>
      </c>
      <c r="AU14">
        <f t="shared" si="16"/>
        <v>90</v>
      </c>
      <c r="AV14">
        <f t="shared" si="17"/>
        <v>0</v>
      </c>
      <c r="AW14">
        <f t="shared" si="18"/>
        <v>414</v>
      </c>
      <c r="AX14">
        <f t="shared" si="19"/>
        <v>10042.432596627539</v>
      </c>
      <c r="AY14" s="2663">
        <f>(AJ14*Pricing!F$3+AK14*Pricing!G$3+AL14*Pricing!H$3+AM14*Pricing!I$3+AN14*Pricing!J$3+AO14*Pricing!K$3)*IF(T$55="Y",1,(1+V$55))</f>
        <v>13354.020694444445</v>
      </c>
      <c r="AZ14" s="2668">
        <f t="shared" si="20"/>
        <v>7371</v>
      </c>
      <c r="BA14" s="2663">
        <f t="shared" si="21"/>
        <v>3273.3812949640287</v>
      </c>
      <c r="BB14" s="2668">
        <f t="shared" si="22"/>
        <v>3211.2948434765622</v>
      </c>
      <c r="BC14" s="2668">
        <f t="shared" si="23"/>
        <v>346.66666666666669</v>
      </c>
      <c r="BD14" s="2669">
        <f t="shared" si="24"/>
        <v>9603.8812827513157</v>
      </c>
      <c r="BE14" s="2670">
        <f t="shared" si="25"/>
        <v>492.97050000000007</v>
      </c>
    </row>
    <row r="15" spans="1:62" ht="18" customHeight="1">
      <c r="A15" s="482"/>
      <c r="B15" s="1177"/>
      <c r="C15" s="1711">
        <v>5</v>
      </c>
      <c r="D15" s="2671">
        <v>30</v>
      </c>
      <c r="E15" s="2664">
        <v>7.25</v>
      </c>
      <c r="F15" s="2664">
        <v>11</v>
      </c>
      <c r="G15" s="839">
        <v>-4</v>
      </c>
      <c r="H15" s="1851">
        <v>3</v>
      </c>
      <c r="I15" s="840">
        <v>10</v>
      </c>
      <c r="J15" s="837">
        <v>3</v>
      </c>
      <c r="K15" s="1108">
        <v>12</v>
      </c>
      <c r="L15" s="1108">
        <v>4</v>
      </c>
      <c r="M15" s="1109">
        <v>2</v>
      </c>
      <c r="N15" s="1110">
        <v>12</v>
      </c>
      <c r="O15" s="1108">
        <v>5</v>
      </c>
      <c r="P15" s="1109">
        <v>2</v>
      </c>
      <c r="Q15" s="1108">
        <v>2</v>
      </c>
      <c r="R15" s="1109">
        <v>5</v>
      </c>
      <c r="S15" s="1108">
        <v>2</v>
      </c>
      <c r="T15" s="2665">
        <v>5</v>
      </c>
      <c r="U15" s="2666">
        <f t="shared" si="0"/>
        <v>1955.0125546875001</v>
      </c>
      <c r="V15" s="2667">
        <f t="shared" si="1"/>
        <v>9.7740740740740755</v>
      </c>
      <c r="W15" s="1921">
        <f t="shared" si="2"/>
        <v>450</v>
      </c>
      <c r="X15" s="1354">
        <f t="shared" si="3"/>
        <v>4955.6554337710422</v>
      </c>
      <c r="Y15" s="18"/>
      <c r="AI15">
        <f t="shared" si="4"/>
        <v>1</v>
      </c>
      <c r="AJ15">
        <f t="shared" si="5"/>
        <v>0</v>
      </c>
      <c r="AK15">
        <f t="shared" si="6"/>
        <v>0</v>
      </c>
      <c r="AL15">
        <f t="shared" si="7"/>
        <v>0</v>
      </c>
      <c r="AM15">
        <f t="shared" si="8"/>
        <v>0</v>
      </c>
      <c r="AN15">
        <f t="shared" si="9"/>
        <v>29.322222222222226</v>
      </c>
      <c r="AO15">
        <f t="shared" si="10"/>
        <v>0</v>
      </c>
      <c r="AP15">
        <f t="shared" si="11"/>
        <v>29.322222222222226</v>
      </c>
      <c r="AQ15">
        <f t="shared" si="12"/>
        <v>5865.0376640625</v>
      </c>
      <c r="AR15" s="847">
        <f t="shared" si="13"/>
        <v>1350</v>
      </c>
      <c r="AS15">
        <f t="shared" si="14"/>
        <v>3</v>
      </c>
      <c r="AT15" s="847">
        <f t="shared" si="15"/>
        <v>270</v>
      </c>
      <c r="AU15">
        <f t="shared" si="16"/>
        <v>90</v>
      </c>
      <c r="AV15">
        <f t="shared" si="17"/>
        <v>0</v>
      </c>
      <c r="AW15">
        <f t="shared" si="18"/>
        <v>270</v>
      </c>
      <c r="AX15">
        <f t="shared" si="19"/>
        <v>4126.7871263759771</v>
      </c>
      <c r="AY15" s="2663">
        <f>(AJ15*Pricing!F$3+AK15*Pricing!G$3+AL15*Pricing!H$3+AM15*Pricing!I$3+AN15*Pricing!J$3+AO15*Pricing!K$3)*IF(T$55="Y",1,(1+V$55))</f>
        <v>4919.9023611111124</v>
      </c>
      <c r="AZ15" s="2668">
        <f t="shared" si="20"/>
        <v>2835</v>
      </c>
      <c r="BA15" s="2663">
        <f t="shared" si="21"/>
        <v>1258.9928057553957</v>
      </c>
      <c r="BB15" s="2668">
        <f t="shared" si="22"/>
        <v>1319.6334744140624</v>
      </c>
      <c r="BC15" s="2668">
        <f t="shared" si="23"/>
        <v>346.66666666666669</v>
      </c>
      <c r="BD15" s="2669">
        <f t="shared" si="24"/>
        <v>3693.8004933658908</v>
      </c>
      <c r="BE15" s="2670">
        <f t="shared" si="25"/>
        <v>492.97050000000007</v>
      </c>
    </row>
    <row r="16" spans="1:62" ht="18" customHeight="1">
      <c r="A16" s="482"/>
      <c r="B16" s="1177"/>
      <c r="C16" s="1711">
        <v>5</v>
      </c>
      <c r="D16" s="2671">
        <v>18</v>
      </c>
      <c r="E16" s="2664">
        <v>7.25</v>
      </c>
      <c r="F16" s="2664">
        <v>26</v>
      </c>
      <c r="G16" s="839">
        <v>20</v>
      </c>
      <c r="H16" s="1851">
        <v>3</v>
      </c>
      <c r="I16" s="840">
        <v>10</v>
      </c>
      <c r="J16" s="837">
        <v>3</v>
      </c>
      <c r="K16" s="1108">
        <v>12</v>
      </c>
      <c r="L16" s="1108">
        <v>4</v>
      </c>
      <c r="M16" s="1109">
        <v>2</v>
      </c>
      <c r="N16" s="1110">
        <v>12</v>
      </c>
      <c r="O16" s="1108">
        <v>5</v>
      </c>
      <c r="P16" s="1109">
        <v>2</v>
      </c>
      <c r="Q16" s="1108">
        <v>2</v>
      </c>
      <c r="R16" s="1109">
        <v>5</v>
      </c>
      <c r="S16" s="1108">
        <v>2</v>
      </c>
      <c r="T16" s="2665">
        <v>5</v>
      </c>
      <c r="U16" s="2666">
        <f t="shared" si="0"/>
        <v>567.03673687499997</v>
      </c>
      <c r="V16" s="2667">
        <f t="shared" si="1"/>
        <v>1.815185185185185</v>
      </c>
      <c r="W16" s="1921">
        <f t="shared" si="2"/>
        <v>108</v>
      </c>
      <c r="X16" s="1354">
        <f t="shared" si="3"/>
        <v>1223.0995473191706</v>
      </c>
      <c r="Y16" s="18"/>
      <c r="AI16">
        <f t="shared" si="4"/>
        <v>1</v>
      </c>
      <c r="AJ16">
        <f t="shared" si="5"/>
        <v>0</v>
      </c>
      <c r="AK16">
        <f t="shared" si="6"/>
        <v>0</v>
      </c>
      <c r="AL16">
        <f t="shared" si="7"/>
        <v>0</v>
      </c>
      <c r="AM16">
        <f t="shared" si="8"/>
        <v>0</v>
      </c>
      <c r="AN16">
        <f t="shared" si="9"/>
        <v>5.445555555555555</v>
      </c>
      <c r="AO16">
        <f t="shared" si="10"/>
        <v>0</v>
      </c>
      <c r="AP16">
        <f t="shared" si="11"/>
        <v>5.445555555555555</v>
      </c>
      <c r="AQ16">
        <f t="shared" si="12"/>
        <v>1701.110210625</v>
      </c>
      <c r="AR16" s="847">
        <f t="shared" si="13"/>
        <v>324</v>
      </c>
      <c r="AS16">
        <f t="shared" si="14"/>
        <v>3</v>
      </c>
      <c r="AT16" s="847">
        <f t="shared" si="15"/>
        <v>144</v>
      </c>
      <c r="AU16">
        <f t="shared" si="16"/>
        <v>54</v>
      </c>
      <c r="AV16">
        <f t="shared" si="17"/>
        <v>0</v>
      </c>
      <c r="AW16">
        <f t="shared" si="18"/>
        <v>144</v>
      </c>
      <c r="AX16">
        <f t="shared" si="19"/>
        <v>1196.9436719510156</v>
      </c>
      <c r="AY16" s="2663">
        <f>(AJ16*Pricing!F$3+AK16*Pricing!G$3+AL16*Pricing!H$3+AM16*Pricing!I$3+AN16*Pricing!J$3+AO16*Pricing!K$3)*IF(T$55="Y",1,(1+V$55))</f>
        <v>913.69615277777768</v>
      </c>
      <c r="AZ16" s="2668">
        <f t="shared" si="20"/>
        <v>680.4</v>
      </c>
      <c r="BA16" s="2663">
        <f t="shared" si="21"/>
        <v>302.15827338129498</v>
      </c>
      <c r="BB16" s="2668">
        <f t="shared" si="22"/>
        <v>382.74979739062502</v>
      </c>
      <c r="BC16" s="2668">
        <f t="shared" si="23"/>
        <v>208</v>
      </c>
      <c r="BD16" s="2669">
        <f t="shared" si="24"/>
        <v>886.51211840781377</v>
      </c>
      <c r="BE16" s="2670">
        <f t="shared" si="25"/>
        <v>295.78230000000008</v>
      </c>
    </row>
    <row r="17" spans="1:57" ht="18" customHeight="1">
      <c r="A17" s="482"/>
      <c r="B17" s="1177"/>
      <c r="C17" s="1711">
        <v>5</v>
      </c>
      <c r="D17" s="2671">
        <v>30</v>
      </c>
      <c r="E17" s="2664">
        <v>7.25</v>
      </c>
      <c r="F17" s="2664">
        <v>26</v>
      </c>
      <c r="G17" s="839">
        <v>-4</v>
      </c>
      <c r="H17" s="1851">
        <v>3</v>
      </c>
      <c r="I17" s="840">
        <v>10</v>
      </c>
      <c r="J17" s="837">
        <v>3</v>
      </c>
      <c r="K17" s="1108">
        <v>12</v>
      </c>
      <c r="L17" s="1108">
        <v>4</v>
      </c>
      <c r="M17" s="1109">
        <v>2</v>
      </c>
      <c r="N17" s="1110">
        <v>12</v>
      </c>
      <c r="O17" s="1108">
        <v>5</v>
      </c>
      <c r="P17" s="1109">
        <v>2</v>
      </c>
      <c r="Q17" s="1108">
        <v>2</v>
      </c>
      <c r="R17" s="1109">
        <v>5</v>
      </c>
      <c r="S17" s="1108">
        <v>2</v>
      </c>
      <c r="T17" s="2665">
        <v>5</v>
      </c>
      <c r="U17" s="2666">
        <f t="shared" si="0"/>
        <v>3706.5508593750005</v>
      </c>
      <c r="V17" s="2667">
        <f t="shared" si="1"/>
        <v>20.246296296296297</v>
      </c>
      <c r="W17" s="1921">
        <f t="shared" si="2"/>
        <v>900</v>
      </c>
      <c r="X17" s="1354">
        <f t="shared" si="3"/>
        <v>9702.790638143937</v>
      </c>
      <c r="Y17" s="18"/>
      <c r="AI17">
        <f t="shared" si="4"/>
        <v>1</v>
      </c>
      <c r="AJ17">
        <f t="shared" si="5"/>
        <v>0</v>
      </c>
      <c r="AK17">
        <f t="shared" si="6"/>
        <v>0</v>
      </c>
      <c r="AL17">
        <f t="shared" si="7"/>
        <v>0</v>
      </c>
      <c r="AM17">
        <f t="shared" si="8"/>
        <v>0</v>
      </c>
      <c r="AN17">
        <f t="shared" si="9"/>
        <v>60.738888888888894</v>
      </c>
      <c r="AO17">
        <f t="shared" si="10"/>
        <v>0</v>
      </c>
      <c r="AP17">
        <f t="shared" si="11"/>
        <v>60.738888888888894</v>
      </c>
      <c r="AQ17">
        <f t="shared" si="12"/>
        <v>11119.652578125002</v>
      </c>
      <c r="AR17" s="847">
        <f t="shared" si="13"/>
        <v>2700</v>
      </c>
      <c r="AS17">
        <f t="shared" si="14"/>
        <v>3</v>
      </c>
      <c r="AT17" s="847">
        <f t="shared" si="15"/>
        <v>360</v>
      </c>
      <c r="AU17">
        <f t="shared" si="16"/>
        <v>90</v>
      </c>
      <c r="AV17">
        <f t="shared" si="17"/>
        <v>0</v>
      </c>
      <c r="AW17">
        <f t="shared" si="18"/>
        <v>360</v>
      </c>
      <c r="AX17">
        <f t="shared" si="19"/>
        <v>7824.0655452832052</v>
      </c>
      <c r="AY17" s="2663">
        <f>(AJ17*Pricing!F$3+AK17*Pricing!G$3+AL17*Pricing!H$3+AM17*Pricing!I$3+AN17*Pricing!J$3+AO17*Pricing!K$3)*IF(T$55="Y",1,(1+V$55))</f>
        <v>10191.226319444446</v>
      </c>
      <c r="AZ17" s="2668">
        <f t="shared" si="20"/>
        <v>5670</v>
      </c>
      <c r="BA17" s="2663">
        <f t="shared" si="21"/>
        <v>2517.9856115107914</v>
      </c>
      <c r="BB17" s="2668">
        <f t="shared" si="22"/>
        <v>2501.9218300781254</v>
      </c>
      <c r="BC17" s="2668">
        <f t="shared" si="23"/>
        <v>346.66666666666669</v>
      </c>
      <c r="BD17" s="2669">
        <f t="shared" si="24"/>
        <v>7387.6009867317816</v>
      </c>
      <c r="BE17" s="2670">
        <f t="shared" si="25"/>
        <v>492.97050000000007</v>
      </c>
    </row>
    <row r="18" spans="1:57" ht="18" customHeight="1">
      <c r="A18" s="482"/>
      <c r="B18" s="1177"/>
      <c r="C18" s="1711">
        <v>5</v>
      </c>
      <c r="D18" s="2671">
        <v>30</v>
      </c>
      <c r="E18" s="2664">
        <v>7.25</v>
      </c>
      <c r="F18" s="2664">
        <v>26</v>
      </c>
      <c r="G18" s="839">
        <v>-4</v>
      </c>
      <c r="H18" s="1851">
        <v>3</v>
      </c>
      <c r="I18" s="840">
        <v>10</v>
      </c>
      <c r="J18" s="837">
        <v>3</v>
      </c>
      <c r="K18" s="1108">
        <v>12</v>
      </c>
      <c r="L18" s="1108">
        <v>4</v>
      </c>
      <c r="M18" s="1109">
        <v>2</v>
      </c>
      <c r="N18" s="1110">
        <v>12</v>
      </c>
      <c r="O18" s="1108">
        <v>5</v>
      </c>
      <c r="P18" s="1109">
        <v>2</v>
      </c>
      <c r="Q18" s="1108">
        <v>2</v>
      </c>
      <c r="R18" s="1109">
        <v>5</v>
      </c>
      <c r="S18" s="1108">
        <v>2</v>
      </c>
      <c r="T18" s="2665">
        <v>5</v>
      </c>
      <c r="U18" s="2666">
        <f t="shared" si="0"/>
        <v>3706.5508593750005</v>
      </c>
      <c r="V18" s="2667">
        <f t="shared" si="1"/>
        <v>20.246296296296297</v>
      </c>
      <c r="W18" s="1921">
        <f t="shared" si="2"/>
        <v>900</v>
      </c>
      <c r="X18" s="1354">
        <f t="shared" si="3"/>
        <v>9702.790638143937</v>
      </c>
      <c r="Y18" s="18"/>
      <c r="AI18">
        <f t="shared" si="4"/>
        <v>1</v>
      </c>
      <c r="AJ18">
        <f t="shared" si="5"/>
        <v>0</v>
      </c>
      <c r="AK18">
        <f t="shared" si="6"/>
        <v>0</v>
      </c>
      <c r="AL18">
        <f t="shared" si="7"/>
        <v>0</v>
      </c>
      <c r="AM18">
        <f t="shared" si="8"/>
        <v>0</v>
      </c>
      <c r="AN18">
        <f t="shared" si="9"/>
        <v>60.738888888888894</v>
      </c>
      <c r="AO18">
        <f t="shared" si="10"/>
        <v>0</v>
      </c>
      <c r="AP18">
        <f t="shared" si="11"/>
        <v>60.738888888888894</v>
      </c>
      <c r="AQ18">
        <f t="shared" si="12"/>
        <v>11119.652578125002</v>
      </c>
      <c r="AR18" s="847">
        <f t="shared" si="13"/>
        <v>2700</v>
      </c>
      <c r="AS18">
        <f t="shared" si="14"/>
        <v>3</v>
      </c>
      <c r="AT18" s="847">
        <f t="shared" si="15"/>
        <v>360</v>
      </c>
      <c r="AU18">
        <f t="shared" si="16"/>
        <v>90</v>
      </c>
      <c r="AV18">
        <f t="shared" si="17"/>
        <v>0</v>
      </c>
      <c r="AW18">
        <f t="shared" si="18"/>
        <v>360</v>
      </c>
      <c r="AX18">
        <f t="shared" si="19"/>
        <v>7824.0655452832052</v>
      </c>
      <c r="AY18" s="2663">
        <f>(AJ18*Pricing!F$3+AK18*Pricing!G$3+AL18*Pricing!H$3+AM18*Pricing!I$3+AN18*Pricing!J$3+AO18*Pricing!K$3)*IF(T$55="Y",1,(1+V$55))</f>
        <v>10191.226319444446</v>
      </c>
      <c r="AZ18" s="2668">
        <f t="shared" si="20"/>
        <v>5670</v>
      </c>
      <c r="BA18" s="2663">
        <f t="shared" si="21"/>
        <v>2517.9856115107914</v>
      </c>
      <c r="BB18" s="2668">
        <f t="shared" si="22"/>
        <v>2501.9218300781254</v>
      </c>
      <c r="BC18" s="2668">
        <f t="shared" si="23"/>
        <v>346.66666666666669</v>
      </c>
      <c r="BD18" s="2669">
        <f t="shared" si="24"/>
        <v>7387.6009867317816</v>
      </c>
      <c r="BE18" s="2670">
        <f t="shared" si="25"/>
        <v>492.97050000000007</v>
      </c>
    </row>
    <row r="19" spans="1:57" ht="18" customHeight="1">
      <c r="A19" s="482"/>
      <c r="B19" s="1177"/>
      <c r="C19" s="1711">
        <v>5</v>
      </c>
      <c r="D19" s="2671">
        <v>30</v>
      </c>
      <c r="E19" s="2664">
        <v>7.25</v>
      </c>
      <c r="F19" s="2664">
        <v>26</v>
      </c>
      <c r="G19" s="839">
        <v>-4</v>
      </c>
      <c r="H19" s="1851">
        <v>3</v>
      </c>
      <c r="I19" s="840">
        <v>10</v>
      </c>
      <c r="J19" s="837">
        <v>3</v>
      </c>
      <c r="K19" s="1108">
        <v>12</v>
      </c>
      <c r="L19" s="1108">
        <v>4</v>
      </c>
      <c r="M19" s="1109">
        <v>2</v>
      </c>
      <c r="N19" s="1110">
        <v>12</v>
      </c>
      <c r="O19" s="1108">
        <v>5</v>
      </c>
      <c r="P19" s="1109">
        <v>2</v>
      </c>
      <c r="Q19" s="1108">
        <v>2</v>
      </c>
      <c r="R19" s="1109">
        <v>5</v>
      </c>
      <c r="S19" s="1108">
        <v>2</v>
      </c>
      <c r="T19" s="2665">
        <v>5</v>
      </c>
      <c r="U19" s="2666">
        <f t="shared" si="0"/>
        <v>3706.5508593750005</v>
      </c>
      <c r="V19" s="2667">
        <f t="shared" si="1"/>
        <v>20.246296296296297</v>
      </c>
      <c r="W19" s="1921">
        <f t="shared" si="2"/>
        <v>900</v>
      </c>
      <c r="X19" s="1354">
        <f t="shared" si="3"/>
        <v>9702.790638143937</v>
      </c>
      <c r="Y19" s="18"/>
      <c r="AI19">
        <f t="shared" si="4"/>
        <v>1</v>
      </c>
      <c r="AJ19">
        <f t="shared" si="5"/>
        <v>0</v>
      </c>
      <c r="AK19">
        <f t="shared" si="6"/>
        <v>0</v>
      </c>
      <c r="AL19">
        <f t="shared" si="7"/>
        <v>0</v>
      </c>
      <c r="AM19">
        <f t="shared" si="8"/>
        <v>0</v>
      </c>
      <c r="AN19">
        <f t="shared" si="9"/>
        <v>60.738888888888894</v>
      </c>
      <c r="AO19">
        <f t="shared" si="10"/>
        <v>0</v>
      </c>
      <c r="AP19">
        <f t="shared" si="11"/>
        <v>60.738888888888894</v>
      </c>
      <c r="AQ19">
        <f t="shared" si="12"/>
        <v>11119.652578125002</v>
      </c>
      <c r="AR19" s="847">
        <f t="shared" si="13"/>
        <v>2700</v>
      </c>
      <c r="AS19">
        <f t="shared" si="14"/>
        <v>3</v>
      </c>
      <c r="AT19" s="847">
        <f t="shared" si="15"/>
        <v>360</v>
      </c>
      <c r="AU19">
        <f t="shared" si="16"/>
        <v>90</v>
      </c>
      <c r="AV19">
        <f t="shared" si="17"/>
        <v>0</v>
      </c>
      <c r="AW19">
        <f t="shared" si="18"/>
        <v>360</v>
      </c>
      <c r="AX19">
        <f t="shared" si="19"/>
        <v>7824.0655452832052</v>
      </c>
      <c r="AY19" s="2663">
        <f>(AJ19*Pricing!F$3+AK19*Pricing!G$3+AL19*Pricing!H$3+AM19*Pricing!I$3+AN19*Pricing!J$3+AO19*Pricing!K$3)*IF(T$55="Y",1,(1+V$55))</f>
        <v>10191.226319444446</v>
      </c>
      <c r="AZ19" s="2668">
        <f t="shared" si="20"/>
        <v>5670</v>
      </c>
      <c r="BA19" s="2663">
        <f t="shared" si="21"/>
        <v>2517.9856115107914</v>
      </c>
      <c r="BB19" s="2668">
        <f t="shared" si="22"/>
        <v>2501.9218300781254</v>
      </c>
      <c r="BC19" s="2668">
        <f t="shared" si="23"/>
        <v>346.66666666666669</v>
      </c>
      <c r="BD19" s="2669">
        <f t="shared" si="24"/>
        <v>7387.6009867317816</v>
      </c>
      <c r="BE19" s="2670">
        <f t="shared" si="25"/>
        <v>492.97050000000007</v>
      </c>
    </row>
    <row r="20" spans="1:57" ht="18" customHeight="1">
      <c r="A20" s="482"/>
      <c r="B20" s="1177"/>
      <c r="C20" s="1711">
        <v>5</v>
      </c>
      <c r="D20" s="2671">
        <v>30</v>
      </c>
      <c r="E20" s="2664">
        <v>7.25</v>
      </c>
      <c r="F20" s="2664">
        <v>26</v>
      </c>
      <c r="G20" s="839">
        <v>-4</v>
      </c>
      <c r="H20" s="1851">
        <v>3</v>
      </c>
      <c r="I20" s="840">
        <v>10</v>
      </c>
      <c r="J20" s="837">
        <v>3</v>
      </c>
      <c r="K20" s="1108">
        <v>12</v>
      </c>
      <c r="L20" s="1108">
        <v>4</v>
      </c>
      <c r="M20" s="1109">
        <v>2</v>
      </c>
      <c r="N20" s="1110">
        <v>12</v>
      </c>
      <c r="O20" s="1108">
        <v>5</v>
      </c>
      <c r="P20" s="1109">
        <v>2</v>
      </c>
      <c r="Q20" s="1108">
        <v>2</v>
      </c>
      <c r="R20" s="1109">
        <v>5</v>
      </c>
      <c r="S20" s="1108">
        <v>2</v>
      </c>
      <c r="T20" s="2665">
        <v>5</v>
      </c>
      <c r="U20" s="2666">
        <f t="shared" si="0"/>
        <v>3706.5508593750005</v>
      </c>
      <c r="V20" s="2667">
        <f t="shared" si="1"/>
        <v>20.246296296296297</v>
      </c>
      <c r="W20" s="1921">
        <f t="shared" si="2"/>
        <v>900</v>
      </c>
      <c r="X20" s="1354">
        <f t="shared" si="3"/>
        <v>9702.790638143937</v>
      </c>
      <c r="Y20" s="18"/>
      <c r="AI20">
        <f t="shared" si="4"/>
        <v>1</v>
      </c>
      <c r="AJ20">
        <f t="shared" si="5"/>
        <v>0</v>
      </c>
      <c r="AK20">
        <f t="shared" si="6"/>
        <v>0</v>
      </c>
      <c r="AL20">
        <f t="shared" si="7"/>
        <v>0</v>
      </c>
      <c r="AM20">
        <f t="shared" si="8"/>
        <v>0</v>
      </c>
      <c r="AN20">
        <f t="shared" si="9"/>
        <v>60.738888888888894</v>
      </c>
      <c r="AO20">
        <f t="shared" si="10"/>
        <v>0</v>
      </c>
      <c r="AP20">
        <f t="shared" si="11"/>
        <v>60.738888888888894</v>
      </c>
      <c r="AQ20">
        <f t="shared" si="12"/>
        <v>11119.652578125002</v>
      </c>
      <c r="AR20" s="847">
        <f t="shared" si="13"/>
        <v>2700</v>
      </c>
      <c r="AS20">
        <f t="shared" si="14"/>
        <v>3</v>
      </c>
      <c r="AT20" s="847">
        <f t="shared" si="15"/>
        <v>360</v>
      </c>
      <c r="AU20">
        <f t="shared" si="16"/>
        <v>90</v>
      </c>
      <c r="AV20">
        <f t="shared" si="17"/>
        <v>0</v>
      </c>
      <c r="AW20">
        <f t="shared" si="18"/>
        <v>360</v>
      </c>
      <c r="AX20">
        <f t="shared" si="19"/>
        <v>7824.0655452832052</v>
      </c>
      <c r="AY20" s="2663">
        <f>(AJ20*Pricing!F$3+AK20*Pricing!G$3+AL20*Pricing!H$3+AM20*Pricing!I$3+AN20*Pricing!J$3+AO20*Pricing!K$3)*IF(T$55="Y",1,(1+V$55))</f>
        <v>10191.226319444446</v>
      </c>
      <c r="AZ20" s="2668">
        <f t="shared" si="20"/>
        <v>5670</v>
      </c>
      <c r="BA20" s="2663">
        <f t="shared" si="21"/>
        <v>2517.9856115107914</v>
      </c>
      <c r="BB20" s="2668">
        <f t="shared" si="22"/>
        <v>2501.9218300781254</v>
      </c>
      <c r="BC20" s="2668">
        <f t="shared" si="23"/>
        <v>346.66666666666669</v>
      </c>
      <c r="BD20" s="2669">
        <f t="shared" si="24"/>
        <v>7387.6009867317816</v>
      </c>
      <c r="BE20" s="2670">
        <f t="shared" si="25"/>
        <v>492.97050000000007</v>
      </c>
    </row>
    <row r="21" spans="1:57" ht="18" customHeight="1">
      <c r="A21" s="482"/>
      <c r="B21" s="1177"/>
      <c r="C21" s="1711">
        <v>5</v>
      </c>
      <c r="D21" s="2671">
        <v>30</v>
      </c>
      <c r="E21" s="2664">
        <v>7.25</v>
      </c>
      <c r="F21" s="2664">
        <v>26</v>
      </c>
      <c r="G21" s="839">
        <v>-4</v>
      </c>
      <c r="H21" s="1851">
        <v>3</v>
      </c>
      <c r="I21" s="840">
        <v>10</v>
      </c>
      <c r="J21" s="837">
        <v>3</v>
      </c>
      <c r="K21" s="1108">
        <v>12</v>
      </c>
      <c r="L21" s="1108">
        <v>4</v>
      </c>
      <c r="M21" s="1109">
        <v>2</v>
      </c>
      <c r="N21" s="1110">
        <v>12</v>
      </c>
      <c r="O21" s="1108">
        <v>5</v>
      </c>
      <c r="P21" s="1109">
        <v>2</v>
      </c>
      <c r="Q21" s="1108">
        <v>2</v>
      </c>
      <c r="R21" s="1109">
        <v>5</v>
      </c>
      <c r="S21" s="1108">
        <v>2</v>
      </c>
      <c r="T21" s="2665">
        <v>5</v>
      </c>
      <c r="U21" s="2666">
        <f t="shared" si="0"/>
        <v>3706.5508593750005</v>
      </c>
      <c r="V21" s="2667">
        <f t="shared" si="1"/>
        <v>20.246296296296297</v>
      </c>
      <c r="W21" s="1921">
        <f t="shared" si="2"/>
        <v>900</v>
      </c>
      <c r="X21" s="1354">
        <f t="shared" si="3"/>
        <v>9702.790638143937</v>
      </c>
      <c r="Y21" s="18"/>
      <c r="AI21">
        <f t="shared" si="4"/>
        <v>1</v>
      </c>
      <c r="AJ21">
        <f t="shared" si="5"/>
        <v>0</v>
      </c>
      <c r="AK21">
        <f t="shared" si="6"/>
        <v>0</v>
      </c>
      <c r="AL21">
        <f t="shared" si="7"/>
        <v>0</v>
      </c>
      <c r="AM21">
        <f t="shared" si="8"/>
        <v>0</v>
      </c>
      <c r="AN21">
        <f t="shared" si="9"/>
        <v>60.738888888888894</v>
      </c>
      <c r="AO21">
        <f t="shared" si="10"/>
        <v>0</v>
      </c>
      <c r="AP21">
        <f t="shared" si="11"/>
        <v>60.738888888888894</v>
      </c>
      <c r="AQ21">
        <f t="shared" si="12"/>
        <v>11119.652578125002</v>
      </c>
      <c r="AR21" s="847">
        <f t="shared" si="13"/>
        <v>2700</v>
      </c>
      <c r="AS21">
        <f t="shared" si="14"/>
        <v>3</v>
      </c>
      <c r="AT21" s="847">
        <f t="shared" si="15"/>
        <v>360</v>
      </c>
      <c r="AU21">
        <f t="shared" si="16"/>
        <v>90</v>
      </c>
      <c r="AV21">
        <f t="shared" si="17"/>
        <v>0</v>
      </c>
      <c r="AW21">
        <f t="shared" si="18"/>
        <v>360</v>
      </c>
      <c r="AX21">
        <f t="shared" si="19"/>
        <v>7824.0655452832052</v>
      </c>
      <c r="AY21" s="2663">
        <f>(AJ21*Pricing!F$3+AK21*Pricing!G$3+AL21*Pricing!H$3+AM21*Pricing!I$3+AN21*Pricing!J$3+AO21*Pricing!K$3)*IF(T$55="Y",1,(1+V$55))</f>
        <v>10191.226319444446</v>
      </c>
      <c r="AZ21" s="2668">
        <f t="shared" si="20"/>
        <v>5670</v>
      </c>
      <c r="BA21" s="2663">
        <f t="shared" si="21"/>
        <v>2517.9856115107914</v>
      </c>
      <c r="BB21" s="2668">
        <f t="shared" si="22"/>
        <v>2501.9218300781254</v>
      </c>
      <c r="BC21" s="2668">
        <f t="shared" si="23"/>
        <v>346.66666666666669</v>
      </c>
      <c r="BD21" s="2669">
        <f t="shared" si="24"/>
        <v>7387.6009867317816</v>
      </c>
      <c r="BE21" s="2670">
        <f t="shared" si="25"/>
        <v>492.97050000000007</v>
      </c>
    </row>
    <row r="22" spans="1:57" ht="18" customHeight="1">
      <c r="A22" s="482"/>
      <c r="B22" s="1177"/>
      <c r="C22" s="1711"/>
      <c r="D22" s="2671"/>
      <c r="E22" s="2664"/>
      <c r="F22" s="2664"/>
      <c r="G22" s="839"/>
      <c r="H22" s="1851"/>
      <c r="I22" s="840"/>
      <c r="J22" s="837"/>
      <c r="K22" s="1108"/>
      <c r="L22" s="1108"/>
      <c r="M22" s="1109"/>
      <c r="N22" s="1110"/>
      <c r="O22" s="1108"/>
      <c r="P22" s="1109"/>
      <c r="Q22" s="1108"/>
      <c r="R22" s="1109"/>
      <c r="S22" s="1108"/>
      <c r="T22" s="2665"/>
      <c r="U22" s="2666">
        <f t="shared" si="0"/>
        <v>0</v>
      </c>
      <c r="V22" s="2667">
        <f t="shared" si="1"/>
        <v>0</v>
      </c>
      <c r="W22" s="1921">
        <f t="shared" si="2"/>
        <v>0</v>
      </c>
      <c r="X22" s="1354">
        <f t="shared" si="3"/>
        <v>0</v>
      </c>
      <c r="Y22" s="18"/>
      <c r="AI22">
        <f t="shared" si="4"/>
        <v>0</v>
      </c>
      <c r="AJ22">
        <f t="shared" si="5"/>
        <v>0</v>
      </c>
      <c r="AK22">
        <f t="shared" si="6"/>
        <v>0</v>
      </c>
      <c r="AL22">
        <f t="shared" si="7"/>
        <v>0</v>
      </c>
      <c r="AM22">
        <f t="shared" si="8"/>
        <v>0</v>
      </c>
      <c r="AN22">
        <f t="shared" si="9"/>
        <v>0</v>
      </c>
      <c r="AO22">
        <f t="shared" si="10"/>
        <v>0</v>
      </c>
      <c r="AP22">
        <f t="shared" si="11"/>
        <v>0</v>
      </c>
      <c r="AQ22">
        <f t="shared" si="12"/>
        <v>0</v>
      </c>
      <c r="AR22" s="847">
        <f t="shared" si="13"/>
        <v>0</v>
      </c>
      <c r="AS22">
        <f t="shared" si="14"/>
        <v>0</v>
      </c>
      <c r="AT22" s="847">
        <f t="shared" si="15"/>
        <v>0</v>
      </c>
      <c r="AU22">
        <f t="shared" si="16"/>
        <v>0</v>
      </c>
      <c r="AV22">
        <f t="shared" si="17"/>
        <v>0</v>
      </c>
      <c r="AW22">
        <f t="shared" si="18"/>
        <v>0</v>
      </c>
      <c r="AX22">
        <f t="shared" si="19"/>
        <v>0</v>
      </c>
      <c r="AY22" s="2663">
        <f>(AJ22*Pricing!F$3+AK22*Pricing!G$3+AL22*Pricing!H$3+AM22*Pricing!I$3+AN22*Pricing!J$3+AO22*Pricing!K$3)*IF(T$55="Y",1,(1+V$55))</f>
        <v>0</v>
      </c>
      <c r="AZ22" s="2668">
        <f t="shared" si="20"/>
        <v>0</v>
      </c>
      <c r="BA22" s="2663">
        <f t="shared" si="21"/>
        <v>0</v>
      </c>
      <c r="BB22" s="2668">
        <f t="shared" si="22"/>
        <v>0</v>
      </c>
      <c r="BC22" s="2668">
        <f t="shared" si="23"/>
        <v>0</v>
      </c>
      <c r="BD22" s="2669">
        <f t="shared" si="24"/>
        <v>0</v>
      </c>
      <c r="BE22" s="2670">
        <f t="shared" si="25"/>
        <v>0</v>
      </c>
    </row>
    <row r="23" spans="1:57" ht="18" customHeight="1">
      <c r="A23" s="482"/>
      <c r="B23" s="1177"/>
      <c r="C23" s="1711"/>
      <c r="D23" s="2671"/>
      <c r="E23" s="2664"/>
      <c r="F23" s="2664"/>
      <c r="G23" s="839"/>
      <c r="H23" s="1851"/>
      <c r="I23" s="840"/>
      <c r="J23" s="837"/>
      <c r="K23" s="1108"/>
      <c r="L23" s="1108"/>
      <c r="M23" s="1109"/>
      <c r="N23" s="1110"/>
      <c r="O23" s="1108"/>
      <c r="P23" s="1109"/>
      <c r="Q23" s="1108"/>
      <c r="R23" s="1109"/>
      <c r="S23" s="1108"/>
      <c r="T23" s="2665"/>
      <c r="U23" s="2666">
        <f t="shared" si="0"/>
        <v>0</v>
      </c>
      <c r="V23" s="2667">
        <f t="shared" si="1"/>
        <v>0</v>
      </c>
      <c r="W23" s="1921">
        <f t="shared" si="2"/>
        <v>0</v>
      </c>
      <c r="X23" s="1354">
        <f t="shared" si="3"/>
        <v>0</v>
      </c>
      <c r="Y23" s="18"/>
      <c r="AI23">
        <f t="shared" si="4"/>
        <v>0</v>
      </c>
      <c r="AJ23">
        <f t="shared" si="5"/>
        <v>0</v>
      </c>
      <c r="AK23">
        <f t="shared" si="6"/>
        <v>0</v>
      </c>
      <c r="AL23">
        <f t="shared" si="7"/>
        <v>0</v>
      </c>
      <c r="AM23">
        <f t="shared" si="8"/>
        <v>0</v>
      </c>
      <c r="AN23">
        <f t="shared" si="9"/>
        <v>0</v>
      </c>
      <c r="AO23">
        <f t="shared" si="10"/>
        <v>0</v>
      </c>
      <c r="AP23">
        <f t="shared" si="11"/>
        <v>0</v>
      </c>
      <c r="AQ23">
        <f t="shared" si="12"/>
        <v>0</v>
      </c>
      <c r="AR23" s="847">
        <f t="shared" si="13"/>
        <v>0</v>
      </c>
      <c r="AS23">
        <f t="shared" si="14"/>
        <v>0</v>
      </c>
      <c r="AT23" s="847">
        <f t="shared" si="15"/>
        <v>0</v>
      </c>
      <c r="AU23">
        <f t="shared" si="16"/>
        <v>0</v>
      </c>
      <c r="AV23">
        <f t="shared" si="17"/>
        <v>0</v>
      </c>
      <c r="AW23">
        <f t="shared" si="18"/>
        <v>0</v>
      </c>
      <c r="AX23">
        <f t="shared" si="19"/>
        <v>0</v>
      </c>
      <c r="AY23" s="2663">
        <f>(AJ23*Pricing!F$3+AK23*Pricing!G$3+AL23*Pricing!H$3+AM23*Pricing!I$3+AN23*Pricing!J$3+AO23*Pricing!K$3)*IF(T$55="Y",1,(1+V$55))</f>
        <v>0</v>
      </c>
      <c r="AZ23" s="2668">
        <f t="shared" si="20"/>
        <v>0</v>
      </c>
      <c r="BA23" s="2663">
        <f t="shared" si="21"/>
        <v>0</v>
      </c>
      <c r="BB23" s="2668">
        <f t="shared" si="22"/>
        <v>0</v>
      </c>
      <c r="BC23" s="2668">
        <f t="shared" si="23"/>
        <v>0</v>
      </c>
      <c r="BD23" s="2669">
        <f t="shared" si="24"/>
        <v>0</v>
      </c>
      <c r="BE23" s="2670">
        <f t="shared" si="25"/>
        <v>0</v>
      </c>
    </row>
    <row r="24" spans="1:57" ht="18" customHeight="1">
      <c r="A24" s="482"/>
      <c r="B24" s="1177"/>
      <c r="C24" s="1711"/>
      <c r="D24" s="2671"/>
      <c r="E24" s="2664"/>
      <c r="F24" s="2664"/>
      <c r="G24" s="839"/>
      <c r="H24" s="1851"/>
      <c r="I24" s="840"/>
      <c r="J24" s="837"/>
      <c r="K24" s="1108"/>
      <c r="L24" s="1108"/>
      <c r="M24" s="1109"/>
      <c r="N24" s="1110"/>
      <c r="O24" s="1108"/>
      <c r="P24" s="1109"/>
      <c r="Q24" s="1108"/>
      <c r="R24" s="1109"/>
      <c r="S24" s="1108"/>
      <c r="T24" s="2665"/>
      <c r="U24" s="2666">
        <f t="shared" si="0"/>
        <v>0</v>
      </c>
      <c r="V24" s="2667">
        <f t="shared" si="1"/>
        <v>0</v>
      </c>
      <c r="W24" s="1921">
        <f t="shared" si="2"/>
        <v>0</v>
      </c>
      <c r="X24" s="1354">
        <f t="shared" si="3"/>
        <v>0</v>
      </c>
      <c r="Y24" s="18"/>
      <c r="AI24">
        <f t="shared" si="4"/>
        <v>0</v>
      </c>
      <c r="AJ24">
        <f t="shared" si="5"/>
        <v>0</v>
      </c>
      <c r="AK24">
        <f t="shared" si="6"/>
        <v>0</v>
      </c>
      <c r="AL24">
        <f t="shared" si="7"/>
        <v>0</v>
      </c>
      <c r="AM24">
        <f t="shared" si="8"/>
        <v>0</v>
      </c>
      <c r="AN24">
        <f t="shared" si="9"/>
        <v>0</v>
      </c>
      <c r="AO24">
        <f t="shared" si="10"/>
        <v>0</v>
      </c>
      <c r="AP24">
        <f t="shared" si="11"/>
        <v>0</v>
      </c>
      <c r="AQ24">
        <f t="shared" si="12"/>
        <v>0</v>
      </c>
      <c r="AR24" s="847">
        <f t="shared" si="13"/>
        <v>0</v>
      </c>
      <c r="AS24">
        <f t="shared" si="14"/>
        <v>0</v>
      </c>
      <c r="AT24" s="847">
        <f t="shared" si="15"/>
        <v>0</v>
      </c>
      <c r="AU24">
        <f t="shared" si="16"/>
        <v>0</v>
      </c>
      <c r="AV24">
        <f t="shared" si="17"/>
        <v>0</v>
      </c>
      <c r="AW24">
        <f t="shared" si="18"/>
        <v>0</v>
      </c>
      <c r="AX24">
        <f t="shared" si="19"/>
        <v>0</v>
      </c>
      <c r="AY24" s="2663">
        <f>(AJ24*Pricing!F$3+AK24*Pricing!G$3+AL24*Pricing!H$3+AM24*Pricing!I$3+AN24*Pricing!J$3+AO24*Pricing!K$3)*IF(T$55="Y",1,(1+V$55))</f>
        <v>0</v>
      </c>
      <c r="AZ24" s="2668">
        <f t="shared" si="20"/>
        <v>0</v>
      </c>
      <c r="BA24" s="2663">
        <f t="shared" si="21"/>
        <v>0</v>
      </c>
      <c r="BB24" s="2668">
        <f t="shared" si="22"/>
        <v>0</v>
      </c>
      <c r="BC24" s="2668">
        <f t="shared" si="23"/>
        <v>0</v>
      </c>
      <c r="BD24" s="2669">
        <f t="shared" si="24"/>
        <v>0</v>
      </c>
      <c r="BE24" s="2670">
        <f t="shared" si="25"/>
        <v>0</v>
      </c>
    </row>
    <row r="25" spans="1:57" ht="18" customHeight="1">
      <c r="A25" s="482"/>
      <c r="B25" s="1177"/>
      <c r="C25" s="1711"/>
      <c r="D25" s="2671"/>
      <c r="E25" s="2664"/>
      <c r="F25" s="2664"/>
      <c r="G25" s="839"/>
      <c r="H25" s="1851"/>
      <c r="I25" s="840"/>
      <c r="J25" s="837"/>
      <c r="K25" s="1108"/>
      <c r="L25" s="1108"/>
      <c r="M25" s="1109"/>
      <c r="N25" s="1110"/>
      <c r="O25" s="1108"/>
      <c r="P25" s="1109"/>
      <c r="Q25" s="1108"/>
      <c r="R25" s="1109"/>
      <c r="S25" s="1108"/>
      <c r="T25" s="2665"/>
      <c r="U25" s="2666">
        <f t="shared" si="0"/>
        <v>0</v>
      </c>
      <c r="V25" s="2667">
        <f t="shared" si="1"/>
        <v>0</v>
      </c>
      <c r="W25" s="1921">
        <f t="shared" si="2"/>
        <v>0</v>
      </c>
      <c r="X25" s="1354">
        <f t="shared" si="3"/>
        <v>0</v>
      </c>
      <c r="Y25" s="18"/>
      <c r="AI25">
        <f t="shared" si="4"/>
        <v>0</v>
      </c>
      <c r="AJ25">
        <f t="shared" si="5"/>
        <v>0</v>
      </c>
      <c r="AK25">
        <f t="shared" si="6"/>
        <v>0</v>
      </c>
      <c r="AL25">
        <f t="shared" si="7"/>
        <v>0</v>
      </c>
      <c r="AM25">
        <f t="shared" si="8"/>
        <v>0</v>
      </c>
      <c r="AN25">
        <f t="shared" si="9"/>
        <v>0</v>
      </c>
      <c r="AO25">
        <f t="shared" si="10"/>
        <v>0</v>
      </c>
      <c r="AP25">
        <f t="shared" si="11"/>
        <v>0</v>
      </c>
      <c r="AQ25">
        <f t="shared" si="12"/>
        <v>0</v>
      </c>
      <c r="AR25" s="847">
        <f t="shared" si="13"/>
        <v>0</v>
      </c>
      <c r="AS25">
        <f t="shared" si="14"/>
        <v>0</v>
      </c>
      <c r="AT25" s="847">
        <f t="shared" si="15"/>
        <v>0</v>
      </c>
      <c r="AU25">
        <f t="shared" si="16"/>
        <v>0</v>
      </c>
      <c r="AV25">
        <f t="shared" si="17"/>
        <v>0</v>
      </c>
      <c r="AW25">
        <f t="shared" si="18"/>
        <v>0</v>
      </c>
      <c r="AX25">
        <f t="shared" si="19"/>
        <v>0</v>
      </c>
      <c r="AY25" s="2663">
        <f>(AJ25*Pricing!F$3+AK25*Pricing!G$3+AL25*Pricing!H$3+AM25*Pricing!I$3+AN25*Pricing!J$3+AO25*Pricing!K$3)*IF(T$55="Y",1,(1+V$55))</f>
        <v>0</v>
      </c>
      <c r="AZ25" s="2668">
        <f t="shared" si="20"/>
        <v>0</v>
      </c>
      <c r="BA25" s="2663">
        <f t="shared" si="21"/>
        <v>0</v>
      </c>
      <c r="BB25" s="2668">
        <f t="shared" si="22"/>
        <v>0</v>
      </c>
      <c r="BC25" s="2668">
        <f t="shared" si="23"/>
        <v>0</v>
      </c>
      <c r="BD25" s="2669">
        <f t="shared" si="24"/>
        <v>0</v>
      </c>
      <c r="BE25" s="2670">
        <f t="shared" si="25"/>
        <v>0</v>
      </c>
    </row>
    <row r="26" spans="1:57" ht="18" customHeight="1">
      <c r="A26" s="482"/>
      <c r="B26" s="1177"/>
      <c r="C26" s="1711"/>
      <c r="D26" s="2671"/>
      <c r="E26" s="2664"/>
      <c r="F26" s="2664"/>
      <c r="G26" s="839"/>
      <c r="H26" s="1851"/>
      <c r="I26" s="840"/>
      <c r="J26" s="837"/>
      <c r="K26" s="1108"/>
      <c r="L26" s="1108"/>
      <c r="M26" s="1109"/>
      <c r="N26" s="1110"/>
      <c r="O26" s="1108"/>
      <c r="P26" s="1109"/>
      <c r="Q26" s="1108"/>
      <c r="R26" s="1109"/>
      <c r="S26" s="1108"/>
      <c r="T26" s="2665"/>
      <c r="U26" s="2666">
        <f t="shared" si="0"/>
        <v>0</v>
      </c>
      <c r="V26" s="2667">
        <f t="shared" si="1"/>
        <v>0</v>
      </c>
      <c r="W26" s="1921">
        <f t="shared" si="2"/>
        <v>0</v>
      </c>
      <c r="X26" s="1354">
        <f t="shared" si="3"/>
        <v>0</v>
      </c>
      <c r="Y26" s="18"/>
      <c r="AI26">
        <f t="shared" si="4"/>
        <v>0</v>
      </c>
      <c r="AJ26">
        <f t="shared" si="5"/>
        <v>0</v>
      </c>
      <c r="AK26">
        <f t="shared" si="6"/>
        <v>0</v>
      </c>
      <c r="AL26">
        <f t="shared" si="7"/>
        <v>0</v>
      </c>
      <c r="AM26">
        <f t="shared" si="8"/>
        <v>0</v>
      </c>
      <c r="AN26">
        <f t="shared" si="9"/>
        <v>0</v>
      </c>
      <c r="AO26">
        <f t="shared" si="10"/>
        <v>0</v>
      </c>
      <c r="AP26">
        <f t="shared" si="11"/>
        <v>0</v>
      </c>
      <c r="AQ26">
        <f t="shared" si="12"/>
        <v>0</v>
      </c>
      <c r="AR26" s="847">
        <f t="shared" si="13"/>
        <v>0</v>
      </c>
      <c r="AS26">
        <f t="shared" si="14"/>
        <v>0</v>
      </c>
      <c r="AT26" s="847">
        <f t="shared" si="15"/>
        <v>0</v>
      </c>
      <c r="AU26">
        <f t="shared" si="16"/>
        <v>0</v>
      </c>
      <c r="AV26">
        <f t="shared" si="17"/>
        <v>0</v>
      </c>
      <c r="AW26">
        <f t="shared" si="18"/>
        <v>0</v>
      </c>
      <c r="AX26">
        <f t="shared" si="19"/>
        <v>0</v>
      </c>
      <c r="AY26" s="2663">
        <f>(AJ26*Pricing!F$3+AK26*Pricing!G$3+AL26*Pricing!H$3+AM26*Pricing!I$3+AN26*Pricing!J$3+AO26*Pricing!K$3)*IF(T$55="Y",1,(1+V$55))</f>
        <v>0</v>
      </c>
      <c r="AZ26" s="2668">
        <f t="shared" si="20"/>
        <v>0</v>
      </c>
      <c r="BA26" s="2663">
        <f t="shared" si="21"/>
        <v>0</v>
      </c>
      <c r="BB26" s="2668">
        <f t="shared" si="22"/>
        <v>0</v>
      </c>
      <c r="BC26" s="2668">
        <f t="shared" si="23"/>
        <v>0</v>
      </c>
      <c r="BD26" s="2669">
        <f t="shared" si="24"/>
        <v>0</v>
      </c>
      <c r="BE26" s="2670">
        <f t="shared" si="25"/>
        <v>0</v>
      </c>
    </row>
    <row r="27" spans="1:57" ht="18" customHeight="1">
      <c r="A27" s="482"/>
      <c r="B27" s="1177"/>
      <c r="C27" s="1711"/>
      <c r="D27" s="2671"/>
      <c r="E27" s="2664"/>
      <c r="F27" s="2664"/>
      <c r="G27" s="839"/>
      <c r="H27" s="1851"/>
      <c r="I27" s="840"/>
      <c r="J27" s="837"/>
      <c r="K27" s="1108"/>
      <c r="L27" s="1108"/>
      <c r="M27" s="1109"/>
      <c r="N27" s="1110"/>
      <c r="O27" s="1108"/>
      <c r="P27" s="1109"/>
      <c r="Q27" s="1108"/>
      <c r="R27" s="1109"/>
      <c r="S27" s="1108"/>
      <c r="T27" s="2665"/>
      <c r="U27" s="2666">
        <f t="shared" si="0"/>
        <v>0</v>
      </c>
      <c r="V27" s="2667">
        <f t="shared" si="1"/>
        <v>0</v>
      </c>
      <c r="W27" s="1921">
        <f t="shared" si="2"/>
        <v>0</v>
      </c>
      <c r="X27" s="1354">
        <f t="shared" si="3"/>
        <v>0</v>
      </c>
      <c r="Y27" s="18"/>
      <c r="AI27">
        <f t="shared" si="4"/>
        <v>0</v>
      </c>
      <c r="AJ27">
        <f t="shared" si="5"/>
        <v>0</v>
      </c>
      <c r="AK27">
        <f t="shared" si="6"/>
        <v>0</v>
      </c>
      <c r="AL27">
        <f t="shared" si="7"/>
        <v>0</v>
      </c>
      <c r="AM27">
        <f t="shared" si="8"/>
        <v>0</v>
      </c>
      <c r="AN27">
        <f t="shared" si="9"/>
        <v>0</v>
      </c>
      <c r="AO27">
        <f t="shared" si="10"/>
        <v>0</v>
      </c>
      <c r="AP27">
        <f t="shared" si="11"/>
        <v>0</v>
      </c>
      <c r="AQ27">
        <f t="shared" si="12"/>
        <v>0</v>
      </c>
      <c r="AR27" s="847">
        <f t="shared" si="13"/>
        <v>0</v>
      </c>
      <c r="AS27">
        <f t="shared" si="14"/>
        <v>0</v>
      </c>
      <c r="AT27" s="847">
        <f t="shared" si="15"/>
        <v>0</v>
      </c>
      <c r="AU27">
        <f t="shared" si="16"/>
        <v>0</v>
      </c>
      <c r="AV27">
        <f t="shared" si="17"/>
        <v>0</v>
      </c>
      <c r="AW27">
        <f t="shared" si="18"/>
        <v>0</v>
      </c>
      <c r="AX27">
        <f t="shared" si="19"/>
        <v>0</v>
      </c>
      <c r="AY27" s="2663">
        <f>(AJ27*Pricing!F$3+AK27*Pricing!G$3+AL27*Pricing!H$3+AM27*Pricing!I$3+AN27*Pricing!J$3+AO27*Pricing!K$3)*IF(T$55="Y",1,(1+V$55))</f>
        <v>0</v>
      </c>
      <c r="AZ27" s="2668">
        <f t="shared" si="20"/>
        <v>0</v>
      </c>
      <c r="BA27" s="2663">
        <f t="shared" si="21"/>
        <v>0</v>
      </c>
      <c r="BB27" s="2668">
        <f t="shared" si="22"/>
        <v>0</v>
      </c>
      <c r="BC27" s="2668">
        <f t="shared" si="23"/>
        <v>0</v>
      </c>
      <c r="BD27" s="2669">
        <f t="shared" si="24"/>
        <v>0</v>
      </c>
      <c r="BE27" s="2670">
        <f t="shared" si="25"/>
        <v>0</v>
      </c>
    </row>
    <row r="28" spans="1:57" ht="18" customHeight="1">
      <c r="A28" s="482"/>
      <c r="B28" s="1177"/>
      <c r="C28" s="1711"/>
      <c r="D28" s="2671"/>
      <c r="E28" s="2664"/>
      <c r="F28" s="2664"/>
      <c r="G28" s="839"/>
      <c r="H28" s="1851"/>
      <c r="I28" s="840"/>
      <c r="J28" s="837"/>
      <c r="K28" s="1108"/>
      <c r="L28" s="1108"/>
      <c r="M28" s="1109"/>
      <c r="N28" s="1110"/>
      <c r="O28" s="1108"/>
      <c r="P28" s="1109"/>
      <c r="Q28" s="1108"/>
      <c r="R28" s="1109"/>
      <c r="S28" s="1108"/>
      <c r="T28" s="2665"/>
      <c r="U28" s="2666">
        <f t="shared" si="0"/>
        <v>0</v>
      </c>
      <c r="V28" s="2667">
        <f t="shared" si="1"/>
        <v>0</v>
      </c>
      <c r="W28" s="1921">
        <f t="shared" si="2"/>
        <v>0</v>
      </c>
      <c r="X28" s="1354">
        <f t="shared" si="3"/>
        <v>0</v>
      </c>
      <c r="Y28" s="18"/>
      <c r="AI28">
        <f t="shared" si="4"/>
        <v>0</v>
      </c>
      <c r="AJ28">
        <f t="shared" si="5"/>
        <v>0</v>
      </c>
      <c r="AK28">
        <f t="shared" si="6"/>
        <v>0</v>
      </c>
      <c r="AL28">
        <f t="shared" si="7"/>
        <v>0</v>
      </c>
      <c r="AM28">
        <f t="shared" si="8"/>
        <v>0</v>
      </c>
      <c r="AN28">
        <f t="shared" si="9"/>
        <v>0</v>
      </c>
      <c r="AO28">
        <f t="shared" si="10"/>
        <v>0</v>
      </c>
      <c r="AP28">
        <f t="shared" si="11"/>
        <v>0</v>
      </c>
      <c r="AQ28">
        <f t="shared" si="12"/>
        <v>0</v>
      </c>
      <c r="AR28" s="847">
        <f t="shared" si="13"/>
        <v>0</v>
      </c>
      <c r="AS28">
        <f t="shared" si="14"/>
        <v>0</v>
      </c>
      <c r="AT28" s="847">
        <f t="shared" si="15"/>
        <v>0</v>
      </c>
      <c r="AU28">
        <f t="shared" si="16"/>
        <v>0</v>
      </c>
      <c r="AV28">
        <f t="shared" si="17"/>
        <v>0</v>
      </c>
      <c r="AW28">
        <f t="shared" si="18"/>
        <v>0</v>
      </c>
      <c r="AX28">
        <f t="shared" si="19"/>
        <v>0</v>
      </c>
      <c r="AY28" s="2663">
        <f>(AJ28*Pricing!F$3+AK28*Pricing!G$3+AL28*Pricing!H$3+AM28*Pricing!I$3+AN28*Pricing!J$3+AO28*Pricing!K$3)*IF(T$55="Y",1,(1+V$55))</f>
        <v>0</v>
      </c>
      <c r="AZ28" s="2668">
        <f t="shared" si="20"/>
        <v>0</v>
      </c>
      <c r="BA28" s="2663">
        <f t="shared" si="21"/>
        <v>0</v>
      </c>
      <c r="BB28" s="2668">
        <f t="shared" si="22"/>
        <v>0</v>
      </c>
      <c r="BC28" s="2668">
        <f t="shared" si="23"/>
        <v>0</v>
      </c>
      <c r="BD28" s="2669">
        <f t="shared" si="24"/>
        <v>0</v>
      </c>
      <c r="BE28" s="2670">
        <f t="shared" si="25"/>
        <v>0</v>
      </c>
    </row>
    <row r="29" spans="1:57" ht="18" customHeight="1">
      <c r="A29" s="482"/>
      <c r="B29" s="1177"/>
      <c r="C29" s="1711"/>
      <c r="D29" s="2671"/>
      <c r="E29" s="2664"/>
      <c r="F29" s="2664"/>
      <c r="G29" s="839"/>
      <c r="H29" s="1851"/>
      <c r="I29" s="840"/>
      <c r="J29" s="837"/>
      <c r="K29" s="1108"/>
      <c r="L29" s="1108"/>
      <c r="M29" s="1109"/>
      <c r="N29" s="1110"/>
      <c r="O29" s="1108"/>
      <c r="P29" s="1109"/>
      <c r="Q29" s="1108"/>
      <c r="R29" s="1109"/>
      <c r="S29" s="1108"/>
      <c r="T29" s="2665"/>
      <c r="U29" s="2666">
        <f t="shared" si="0"/>
        <v>0</v>
      </c>
      <c r="V29" s="2667">
        <f t="shared" si="1"/>
        <v>0</v>
      </c>
      <c r="W29" s="1921">
        <f t="shared" si="2"/>
        <v>0</v>
      </c>
      <c r="X29" s="1354">
        <f t="shared" si="3"/>
        <v>0</v>
      </c>
      <c r="Y29" s="18"/>
      <c r="AI29">
        <f t="shared" si="4"/>
        <v>0</v>
      </c>
      <c r="AJ29">
        <f t="shared" si="5"/>
        <v>0</v>
      </c>
      <c r="AK29">
        <f t="shared" si="6"/>
        <v>0</v>
      </c>
      <c r="AL29">
        <f t="shared" si="7"/>
        <v>0</v>
      </c>
      <c r="AM29">
        <f t="shared" si="8"/>
        <v>0</v>
      </c>
      <c r="AN29">
        <f t="shared" si="9"/>
        <v>0</v>
      </c>
      <c r="AO29">
        <f t="shared" si="10"/>
        <v>0</v>
      </c>
      <c r="AP29">
        <f t="shared" si="11"/>
        <v>0</v>
      </c>
      <c r="AQ29">
        <f t="shared" si="12"/>
        <v>0</v>
      </c>
      <c r="AR29" s="847">
        <f t="shared" si="13"/>
        <v>0</v>
      </c>
      <c r="AS29">
        <f t="shared" si="14"/>
        <v>0</v>
      </c>
      <c r="AT29" s="847">
        <f t="shared" si="15"/>
        <v>0</v>
      </c>
      <c r="AU29">
        <f t="shared" si="16"/>
        <v>0</v>
      </c>
      <c r="AV29">
        <f t="shared" si="17"/>
        <v>0</v>
      </c>
      <c r="AW29">
        <f t="shared" si="18"/>
        <v>0</v>
      </c>
      <c r="AX29">
        <f t="shared" si="19"/>
        <v>0</v>
      </c>
      <c r="AY29" s="2663">
        <f>(AJ29*Pricing!F$3+AK29*Pricing!G$3+AL29*Pricing!H$3+AM29*Pricing!I$3+AN29*Pricing!J$3+AO29*Pricing!K$3)*IF(T$55="Y",1,(1+V$55))</f>
        <v>0</v>
      </c>
      <c r="AZ29" s="2668">
        <f t="shared" si="20"/>
        <v>0</v>
      </c>
      <c r="BA29" s="2663">
        <f t="shared" si="21"/>
        <v>0</v>
      </c>
      <c r="BB29" s="2668">
        <f t="shared" si="22"/>
        <v>0</v>
      </c>
      <c r="BC29" s="2668">
        <f t="shared" si="23"/>
        <v>0</v>
      </c>
      <c r="BD29" s="2669">
        <f t="shared" si="24"/>
        <v>0</v>
      </c>
      <c r="BE29" s="2670">
        <f t="shared" si="25"/>
        <v>0</v>
      </c>
    </row>
    <row r="30" spans="1:57" ht="18" customHeight="1">
      <c r="A30" s="482"/>
      <c r="B30" s="1177"/>
      <c r="C30" s="1711"/>
      <c r="D30" s="2671"/>
      <c r="E30" s="2664"/>
      <c r="F30" s="2664"/>
      <c r="G30" s="839"/>
      <c r="H30" s="1851"/>
      <c r="I30" s="840"/>
      <c r="J30" s="837"/>
      <c r="K30" s="1108"/>
      <c r="L30" s="1108"/>
      <c r="M30" s="1109"/>
      <c r="N30" s="1110"/>
      <c r="O30" s="1108"/>
      <c r="P30" s="1109"/>
      <c r="Q30" s="1108"/>
      <c r="R30" s="1109"/>
      <c r="S30" s="1108"/>
      <c r="T30" s="2665"/>
      <c r="U30" s="2666">
        <f t="shared" si="0"/>
        <v>0</v>
      </c>
      <c r="V30" s="2667">
        <f t="shared" si="1"/>
        <v>0</v>
      </c>
      <c r="W30" s="1921">
        <f t="shared" si="2"/>
        <v>0</v>
      </c>
      <c r="X30" s="1354">
        <f t="shared" si="3"/>
        <v>0</v>
      </c>
      <c r="Y30" s="18"/>
      <c r="AI30">
        <f t="shared" si="4"/>
        <v>0</v>
      </c>
      <c r="AJ30">
        <f t="shared" si="5"/>
        <v>0</v>
      </c>
      <c r="AK30">
        <f t="shared" si="6"/>
        <v>0</v>
      </c>
      <c r="AL30">
        <f t="shared" si="7"/>
        <v>0</v>
      </c>
      <c r="AM30">
        <f t="shared" si="8"/>
        <v>0</v>
      </c>
      <c r="AN30">
        <f t="shared" si="9"/>
        <v>0</v>
      </c>
      <c r="AO30">
        <f t="shared" si="10"/>
        <v>0</v>
      </c>
      <c r="AP30">
        <f t="shared" si="11"/>
        <v>0</v>
      </c>
      <c r="AQ30">
        <f t="shared" si="12"/>
        <v>0</v>
      </c>
      <c r="AR30" s="847">
        <f t="shared" si="13"/>
        <v>0</v>
      </c>
      <c r="AS30">
        <f t="shared" si="14"/>
        <v>0</v>
      </c>
      <c r="AT30" s="847">
        <f t="shared" si="15"/>
        <v>0</v>
      </c>
      <c r="AU30">
        <f t="shared" si="16"/>
        <v>0</v>
      </c>
      <c r="AV30">
        <f t="shared" si="17"/>
        <v>0</v>
      </c>
      <c r="AW30">
        <f t="shared" si="18"/>
        <v>0</v>
      </c>
      <c r="AX30">
        <f t="shared" si="19"/>
        <v>0</v>
      </c>
      <c r="AY30" s="2663">
        <f>(AJ30*Pricing!F$3+AK30*Pricing!G$3+AL30*Pricing!H$3+AM30*Pricing!I$3+AN30*Pricing!J$3+AO30*Pricing!K$3)*IF(T$55="Y",1,(1+V$55))</f>
        <v>0</v>
      </c>
      <c r="AZ30" s="2668">
        <f t="shared" si="20"/>
        <v>0</v>
      </c>
      <c r="BA30" s="2663">
        <f t="shared" si="21"/>
        <v>0</v>
      </c>
      <c r="BB30" s="2668">
        <f t="shared" si="22"/>
        <v>0</v>
      </c>
      <c r="BC30" s="2668">
        <f t="shared" si="23"/>
        <v>0</v>
      </c>
      <c r="BD30" s="2669">
        <f t="shared" si="24"/>
        <v>0</v>
      </c>
      <c r="BE30" s="2670">
        <f t="shared" si="25"/>
        <v>0</v>
      </c>
    </row>
    <row r="31" spans="1:57" ht="18" customHeight="1">
      <c r="A31" s="482"/>
      <c r="B31" s="1177"/>
      <c r="C31" s="1711"/>
      <c r="D31" s="2671"/>
      <c r="E31" s="2664"/>
      <c r="F31" s="2664"/>
      <c r="G31" s="839"/>
      <c r="H31" s="1851"/>
      <c r="I31" s="840"/>
      <c r="J31" s="837"/>
      <c r="K31" s="1108"/>
      <c r="L31" s="1108"/>
      <c r="M31" s="1109"/>
      <c r="N31" s="1110"/>
      <c r="O31" s="1108"/>
      <c r="P31" s="1109"/>
      <c r="Q31" s="1108"/>
      <c r="R31" s="1109"/>
      <c r="S31" s="1108"/>
      <c r="T31" s="2665"/>
      <c r="U31" s="2666">
        <f t="shared" si="0"/>
        <v>0</v>
      </c>
      <c r="V31" s="2667">
        <f t="shared" si="1"/>
        <v>0</v>
      </c>
      <c r="W31" s="1921">
        <f t="shared" si="2"/>
        <v>0</v>
      </c>
      <c r="X31" s="1354">
        <f t="shared" si="3"/>
        <v>0</v>
      </c>
      <c r="Y31" s="18"/>
      <c r="AI31">
        <f t="shared" si="4"/>
        <v>0</v>
      </c>
      <c r="AJ31">
        <f t="shared" si="5"/>
        <v>0</v>
      </c>
      <c r="AK31">
        <f t="shared" si="6"/>
        <v>0</v>
      </c>
      <c r="AL31">
        <f t="shared" si="7"/>
        <v>0</v>
      </c>
      <c r="AM31">
        <f t="shared" si="8"/>
        <v>0</v>
      </c>
      <c r="AN31">
        <f t="shared" si="9"/>
        <v>0</v>
      </c>
      <c r="AO31">
        <f t="shared" si="10"/>
        <v>0</v>
      </c>
      <c r="AP31">
        <f t="shared" si="11"/>
        <v>0</v>
      </c>
      <c r="AQ31">
        <f t="shared" si="12"/>
        <v>0</v>
      </c>
      <c r="AR31" s="847">
        <f t="shared" si="13"/>
        <v>0</v>
      </c>
      <c r="AS31">
        <f t="shared" si="14"/>
        <v>0</v>
      </c>
      <c r="AT31" s="847">
        <f t="shared" si="15"/>
        <v>0</v>
      </c>
      <c r="AU31">
        <f t="shared" si="16"/>
        <v>0</v>
      </c>
      <c r="AV31">
        <f t="shared" si="17"/>
        <v>0</v>
      </c>
      <c r="AW31">
        <f t="shared" si="18"/>
        <v>0</v>
      </c>
      <c r="AX31">
        <f t="shared" si="19"/>
        <v>0</v>
      </c>
      <c r="AY31" s="2663">
        <f>(AJ31*Pricing!F$3+AK31*Pricing!G$3+AL31*Pricing!H$3+AM31*Pricing!I$3+AN31*Pricing!J$3+AO31*Pricing!K$3)*IF(T$55="Y",1,(1+V$55))</f>
        <v>0</v>
      </c>
      <c r="AZ31" s="2668">
        <f t="shared" si="20"/>
        <v>0</v>
      </c>
      <c r="BA31" s="2663">
        <f t="shared" si="21"/>
        <v>0</v>
      </c>
      <c r="BB31" s="2668">
        <f t="shared" si="22"/>
        <v>0</v>
      </c>
      <c r="BC31" s="2668">
        <f t="shared" si="23"/>
        <v>0</v>
      </c>
      <c r="BD31" s="2669">
        <f t="shared" si="24"/>
        <v>0</v>
      </c>
      <c r="BE31" s="2670">
        <f t="shared" si="25"/>
        <v>0</v>
      </c>
    </row>
    <row r="32" spans="1:57" ht="18" customHeight="1">
      <c r="A32" s="482"/>
      <c r="B32" s="1177"/>
      <c r="C32" s="1711"/>
      <c r="D32" s="2671"/>
      <c r="E32" s="2664"/>
      <c r="F32" s="2664"/>
      <c r="G32" s="839"/>
      <c r="H32" s="1851"/>
      <c r="I32" s="840"/>
      <c r="J32" s="837"/>
      <c r="K32" s="1108"/>
      <c r="L32" s="1108"/>
      <c r="M32" s="1109"/>
      <c r="N32" s="1110"/>
      <c r="O32" s="1108"/>
      <c r="P32" s="1109"/>
      <c r="Q32" s="1108"/>
      <c r="R32" s="1109"/>
      <c r="S32" s="1108"/>
      <c r="T32" s="2665"/>
      <c r="U32" s="2666">
        <f t="shared" si="0"/>
        <v>0</v>
      </c>
      <c r="V32" s="2667">
        <f t="shared" si="1"/>
        <v>0</v>
      </c>
      <c r="W32" s="1921">
        <f t="shared" si="2"/>
        <v>0</v>
      </c>
      <c r="X32" s="1354">
        <f t="shared" si="3"/>
        <v>0</v>
      </c>
      <c r="Y32" s="18"/>
      <c r="AI32">
        <f t="shared" si="4"/>
        <v>0</v>
      </c>
      <c r="AJ32">
        <f t="shared" si="5"/>
        <v>0</v>
      </c>
      <c r="AK32">
        <f t="shared" si="6"/>
        <v>0</v>
      </c>
      <c r="AL32">
        <f t="shared" si="7"/>
        <v>0</v>
      </c>
      <c r="AM32">
        <f t="shared" si="8"/>
        <v>0</v>
      </c>
      <c r="AN32">
        <f t="shared" si="9"/>
        <v>0</v>
      </c>
      <c r="AO32">
        <f t="shared" si="10"/>
        <v>0</v>
      </c>
      <c r="AP32">
        <f t="shared" si="11"/>
        <v>0</v>
      </c>
      <c r="AQ32">
        <f t="shared" si="12"/>
        <v>0</v>
      </c>
      <c r="AR32" s="847">
        <f t="shared" si="13"/>
        <v>0</v>
      </c>
      <c r="AS32">
        <f t="shared" si="14"/>
        <v>0</v>
      </c>
      <c r="AT32" s="847">
        <f t="shared" si="15"/>
        <v>0</v>
      </c>
      <c r="AU32">
        <f t="shared" si="16"/>
        <v>0</v>
      </c>
      <c r="AV32">
        <f t="shared" si="17"/>
        <v>0</v>
      </c>
      <c r="AW32">
        <f t="shared" si="18"/>
        <v>0</v>
      </c>
      <c r="AX32">
        <f t="shared" si="19"/>
        <v>0</v>
      </c>
      <c r="AY32" s="2663">
        <f>(AJ32*Pricing!F$3+AK32*Pricing!G$3+AL32*Pricing!H$3+AM32*Pricing!I$3+AN32*Pricing!J$3+AO32*Pricing!K$3)*IF(T$55="Y",1,(1+V$55))</f>
        <v>0</v>
      </c>
      <c r="AZ32" s="2668">
        <f t="shared" si="20"/>
        <v>0</v>
      </c>
      <c r="BA32" s="2663">
        <f t="shared" si="21"/>
        <v>0</v>
      </c>
      <c r="BB32" s="2668">
        <f t="shared" si="22"/>
        <v>0</v>
      </c>
      <c r="BC32" s="2668">
        <f t="shared" si="23"/>
        <v>0</v>
      </c>
      <c r="BD32" s="2669">
        <f t="shared" si="24"/>
        <v>0</v>
      </c>
      <c r="BE32" s="2670">
        <f t="shared" si="25"/>
        <v>0</v>
      </c>
    </row>
    <row r="33" spans="1:57" ht="18" customHeight="1">
      <c r="A33" s="482"/>
      <c r="B33" s="1177"/>
      <c r="C33" s="1711"/>
      <c r="D33" s="2671"/>
      <c r="E33" s="2664"/>
      <c r="F33" s="2664"/>
      <c r="G33" s="839"/>
      <c r="H33" s="1851"/>
      <c r="I33" s="840"/>
      <c r="J33" s="837"/>
      <c r="K33" s="1108"/>
      <c r="L33" s="1108"/>
      <c r="M33" s="1109"/>
      <c r="N33" s="1110"/>
      <c r="O33" s="1108"/>
      <c r="P33" s="1109"/>
      <c r="Q33" s="1108"/>
      <c r="R33" s="1109"/>
      <c r="S33" s="1108"/>
      <c r="T33" s="2665"/>
      <c r="U33" s="2666">
        <f t="shared" si="0"/>
        <v>0</v>
      </c>
      <c r="V33" s="2667">
        <f t="shared" si="1"/>
        <v>0</v>
      </c>
      <c r="W33" s="1921">
        <f t="shared" si="2"/>
        <v>0</v>
      </c>
      <c r="X33" s="1354">
        <f t="shared" si="3"/>
        <v>0</v>
      </c>
      <c r="Y33" s="18"/>
      <c r="AI33">
        <f t="shared" si="4"/>
        <v>0</v>
      </c>
      <c r="AJ33">
        <f t="shared" si="5"/>
        <v>0</v>
      </c>
      <c r="AK33">
        <f t="shared" si="6"/>
        <v>0</v>
      </c>
      <c r="AL33">
        <f t="shared" si="7"/>
        <v>0</v>
      </c>
      <c r="AM33">
        <f t="shared" si="8"/>
        <v>0</v>
      </c>
      <c r="AN33">
        <f t="shared" si="9"/>
        <v>0</v>
      </c>
      <c r="AO33">
        <f t="shared" si="10"/>
        <v>0</v>
      </c>
      <c r="AP33">
        <f t="shared" si="11"/>
        <v>0</v>
      </c>
      <c r="AQ33">
        <f t="shared" si="12"/>
        <v>0</v>
      </c>
      <c r="AR33" s="847">
        <f t="shared" si="13"/>
        <v>0</v>
      </c>
      <c r="AS33">
        <f t="shared" si="14"/>
        <v>0</v>
      </c>
      <c r="AT33" s="847">
        <f t="shared" si="15"/>
        <v>0</v>
      </c>
      <c r="AU33">
        <f t="shared" si="16"/>
        <v>0</v>
      </c>
      <c r="AV33">
        <f t="shared" si="17"/>
        <v>0</v>
      </c>
      <c r="AW33">
        <f t="shared" si="18"/>
        <v>0</v>
      </c>
      <c r="AX33">
        <f t="shared" si="19"/>
        <v>0</v>
      </c>
      <c r="AY33" s="2663">
        <f>(AJ33*Pricing!F$3+AK33*Pricing!G$3+AL33*Pricing!H$3+AM33*Pricing!I$3+AN33*Pricing!J$3+AO33*Pricing!K$3)*IF(T$55="Y",1,(1+V$55))</f>
        <v>0</v>
      </c>
      <c r="AZ33" s="2668">
        <f t="shared" si="20"/>
        <v>0</v>
      </c>
      <c r="BA33" s="2663">
        <f t="shared" si="21"/>
        <v>0</v>
      </c>
      <c r="BB33" s="2668">
        <f t="shared" si="22"/>
        <v>0</v>
      </c>
      <c r="BC33" s="2668">
        <f t="shared" si="23"/>
        <v>0</v>
      </c>
      <c r="BD33" s="2669">
        <f t="shared" si="24"/>
        <v>0</v>
      </c>
      <c r="BE33" s="2670">
        <f t="shared" si="25"/>
        <v>0</v>
      </c>
    </row>
    <row r="34" spans="1:57" ht="18" customHeight="1">
      <c r="A34" s="482"/>
      <c r="B34" s="1177"/>
      <c r="C34" s="1711"/>
      <c r="D34" s="2671"/>
      <c r="E34" s="2664"/>
      <c r="F34" s="2664"/>
      <c r="G34" s="839"/>
      <c r="H34" s="1851"/>
      <c r="I34" s="840"/>
      <c r="J34" s="837"/>
      <c r="K34" s="1108"/>
      <c r="L34" s="1108"/>
      <c r="M34" s="1109"/>
      <c r="N34" s="1110"/>
      <c r="O34" s="1108"/>
      <c r="P34" s="1109"/>
      <c r="Q34" s="1108"/>
      <c r="R34" s="1109"/>
      <c r="S34" s="1108"/>
      <c r="T34" s="2665"/>
      <c r="U34" s="2666">
        <f t="shared" si="0"/>
        <v>0</v>
      </c>
      <c r="V34" s="2667">
        <f t="shared" si="1"/>
        <v>0</v>
      </c>
      <c r="W34" s="1921">
        <f t="shared" si="2"/>
        <v>0</v>
      </c>
      <c r="X34" s="1354">
        <f t="shared" si="3"/>
        <v>0</v>
      </c>
      <c r="Y34" s="18"/>
      <c r="AI34">
        <f t="shared" si="4"/>
        <v>0</v>
      </c>
      <c r="AJ34">
        <f t="shared" si="5"/>
        <v>0</v>
      </c>
      <c r="AK34">
        <f t="shared" si="6"/>
        <v>0</v>
      </c>
      <c r="AL34">
        <f t="shared" si="7"/>
        <v>0</v>
      </c>
      <c r="AM34">
        <f t="shared" si="8"/>
        <v>0</v>
      </c>
      <c r="AN34">
        <f t="shared" si="9"/>
        <v>0</v>
      </c>
      <c r="AO34">
        <f t="shared" si="10"/>
        <v>0</v>
      </c>
      <c r="AP34">
        <f t="shared" si="11"/>
        <v>0</v>
      </c>
      <c r="AQ34">
        <f t="shared" si="12"/>
        <v>0</v>
      </c>
      <c r="AR34" s="847">
        <f t="shared" si="13"/>
        <v>0</v>
      </c>
      <c r="AS34">
        <f t="shared" si="14"/>
        <v>0</v>
      </c>
      <c r="AT34" s="847">
        <f t="shared" si="15"/>
        <v>0</v>
      </c>
      <c r="AU34">
        <f t="shared" si="16"/>
        <v>0</v>
      </c>
      <c r="AV34">
        <f t="shared" si="17"/>
        <v>0</v>
      </c>
      <c r="AW34">
        <f t="shared" si="18"/>
        <v>0</v>
      </c>
      <c r="AX34">
        <f t="shared" si="19"/>
        <v>0</v>
      </c>
      <c r="AY34" s="2663">
        <f>(AJ34*Pricing!F$3+AK34*Pricing!G$3+AL34*Pricing!H$3+AM34*Pricing!I$3+AN34*Pricing!J$3+AO34*Pricing!K$3)*IF(T$55="Y",1,(1+V$55))</f>
        <v>0</v>
      </c>
      <c r="AZ34" s="2668">
        <f t="shared" si="20"/>
        <v>0</v>
      </c>
      <c r="BA34" s="2663">
        <f t="shared" si="21"/>
        <v>0</v>
      </c>
      <c r="BB34" s="2668">
        <f t="shared" si="22"/>
        <v>0</v>
      </c>
      <c r="BC34" s="2668">
        <f t="shared" si="23"/>
        <v>0</v>
      </c>
      <c r="BD34" s="2669">
        <f t="shared" si="24"/>
        <v>0</v>
      </c>
      <c r="BE34" s="2670">
        <f t="shared" si="25"/>
        <v>0</v>
      </c>
    </row>
    <row r="35" spans="1:57" ht="18" customHeight="1">
      <c r="A35" s="482"/>
      <c r="B35" s="1177"/>
      <c r="C35" s="1711"/>
      <c r="D35" s="2671"/>
      <c r="E35" s="2664"/>
      <c r="F35" s="2664"/>
      <c r="G35" s="839"/>
      <c r="H35" s="1851"/>
      <c r="I35" s="840"/>
      <c r="J35" s="837"/>
      <c r="K35" s="1108"/>
      <c r="L35" s="1108"/>
      <c r="M35" s="1109"/>
      <c r="N35" s="1110"/>
      <c r="O35" s="1108"/>
      <c r="P35" s="1109"/>
      <c r="Q35" s="1108"/>
      <c r="R35" s="1109"/>
      <c r="S35" s="1108"/>
      <c r="T35" s="2665"/>
      <c r="U35" s="2666">
        <f t="shared" si="0"/>
        <v>0</v>
      </c>
      <c r="V35" s="2667">
        <f t="shared" si="1"/>
        <v>0</v>
      </c>
      <c r="W35" s="1921">
        <f t="shared" si="2"/>
        <v>0</v>
      </c>
      <c r="X35" s="1354">
        <f t="shared" si="3"/>
        <v>0</v>
      </c>
      <c r="Y35" s="18"/>
      <c r="AI35">
        <f t="shared" si="4"/>
        <v>0</v>
      </c>
      <c r="AJ35">
        <f t="shared" si="5"/>
        <v>0</v>
      </c>
      <c r="AK35">
        <f t="shared" si="6"/>
        <v>0</v>
      </c>
      <c r="AL35">
        <f t="shared" si="7"/>
        <v>0</v>
      </c>
      <c r="AM35">
        <f t="shared" si="8"/>
        <v>0</v>
      </c>
      <c r="AN35">
        <f t="shared" si="9"/>
        <v>0</v>
      </c>
      <c r="AO35">
        <f t="shared" si="10"/>
        <v>0</v>
      </c>
      <c r="AP35">
        <f t="shared" si="11"/>
        <v>0</v>
      </c>
      <c r="AQ35">
        <f t="shared" si="12"/>
        <v>0</v>
      </c>
      <c r="AR35" s="847">
        <f t="shared" si="13"/>
        <v>0</v>
      </c>
      <c r="AS35">
        <f t="shared" si="14"/>
        <v>0</v>
      </c>
      <c r="AT35" s="847">
        <f t="shared" si="15"/>
        <v>0</v>
      </c>
      <c r="AU35">
        <f t="shared" si="16"/>
        <v>0</v>
      </c>
      <c r="AV35">
        <f t="shared" si="17"/>
        <v>0</v>
      </c>
      <c r="AW35">
        <f t="shared" si="18"/>
        <v>0</v>
      </c>
      <c r="AX35">
        <f t="shared" si="19"/>
        <v>0</v>
      </c>
      <c r="AY35" s="2663">
        <f>(AJ35*Pricing!F$3+AK35*Pricing!G$3+AL35*Pricing!H$3+AM35*Pricing!I$3+AN35*Pricing!J$3+AO35*Pricing!K$3)*IF(T$55="Y",1,(1+V$55))</f>
        <v>0</v>
      </c>
      <c r="AZ35" s="2668">
        <f t="shared" si="20"/>
        <v>0</v>
      </c>
      <c r="BA35" s="2663">
        <f t="shared" si="21"/>
        <v>0</v>
      </c>
      <c r="BB35" s="2668">
        <f t="shared" si="22"/>
        <v>0</v>
      </c>
      <c r="BC35" s="2668">
        <f t="shared" si="23"/>
        <v>0</v>
      </c>
      <c r="BD35" s="2669">
        <f t="shared" si="24"/>
        <v>0</v>
      </c>
      <c r="BE35" s="2670">
        <f t="shared" si="25"/>
        <v>0</v>
      </c>
    </row>
    <row r="36" spans="1:57" ht="18" customHeight="1">
      <c r="A36" s="482"/>
      <c r="B36" s="1177"/>
      <c r="C36" s="1711"/>
      <c r="D36" s="2671"/>
      <c r="E36" s="2664"/>
      <c r="F36" s="2664"/>
      <c r="G36" s="839"/>
      <c r="H36" s="1851"/>
      <c r="I36" s="840"/>
      <c r="J36" s="837"/>
      <c r="K36" s="1108"/>
      <c r="L36" s="1108"/>
      <c r="M36" s="1109"/>
      <c r="N36" s="1110"/>
      <c r="O36" s="1108"/>
      <c r="P36" s="1109"/>
      <c r="Q36" s="1108"/>
      <c r="R36" s="1109"/>
      <c r="S36" s="1108"/>
      <c r="T36" s="2665"/>
      <c r="U36" s="2666">
        <f t="shared" si="0"/>
        <v>0</v>
      </c>
      <c r="V36" s="2667">
        <f t="shared" si="1"/>
        <v>0</v>
      </c>
      <c r="W36" s="1921">
        <f t="shared" si="2"/>
        <v>0</v>
      </c>
      <c r="X36" s="1354">
        <f t="shared" si="3"/>
        <v>0</v>
      </c>
      <c r="Y36" s="18"/>
      <c r="AI36">
        <f t="shared" si="4"/>
        <v>0</v>
      </c>
      <c r="AJ36">
        <f t="shared" si="5"/>
        <v>0</v>
      </c>
      <c r="AK36">
        <f t="shared" si="6"/>
        <v>0</v>
      </c>
      <c r="AL36">
        <f t="shared" si="7"/>
        <v>0</v>
      </c>
      <c r="AM36">
        <f t="shared" si="8"/>
        <v>0</v>
      </c>
      <c r="AN36">
        <f t="shared" si="9"/>
        <v>0</v>
      </c>
      <c r="AO36">
        <f t="shared" si="10"/>
        <v>0</v>
      </c>
      <c r="AP36">
        <f t="shared" si="11"/>
        <v>0</v>
      </c>
      <c r="AQ36">
        <f t="shared" si="12"/>
        <v>0</v>
      </c>
      <c r="AR36" s="847">
        <f t="shared" si="13"/>
        <v>0</v>
      </c>
      <c r="AS36">
        <f t="shared" si="14"/>
        <v>0</v>
      </c>
      <c r="AT36" s="847">
        <f t="shared" si="15"/>
        <v>0</v>
      </c>
      <c r="AU36">
        <f t="shared" si="16"/>
        <v>0</v>
      </c>
      <c r="AV36">
        <f t="shared" si="17"/>
        <v>0</v>
      </c>
      <c r="AW36">
        <f t="shared" si="18"/>
        <v>0</v>
      </c>
      <c r="AX36">
        <f t="shared" si="19"/>
        <v>0</v>
      </c>
      <c r="AY36" s="2663">
        <f>(AJ36*Pricing!F$3+AK36*Pricing!G$3+AL36*Pricing!H$3+AM36*Pricing!I$3+AN36*Pricing!J$3+AO36*Pricing!K$3)*IF(T$55="Y",1,(1+V$55))</f>
        <v>0</v>
      </c>
      <c r="AZ36" s="2668">
        <f t="shared" si="20"/>
        <v>0</v>
      </c>
      <c r="BA36" s="2663">
        <f t="shared" si="21"/>
        <v>0</v>
      </c>
      <c r="BB36" s="2668">
        <f t="shared" si="22"/>
        <v>0</v>
      </c>
      <c r="BC36" s="2668">
        <f t="shared" si="23"/>
        <v>0</v>
      </c>
      <c r="BD36" s="2669">
        <f t="shared" si="24"/>
        <v>0</v>
      </c>
      <c r="BE36" s="2670">
        <f t="shared" si="25"/>
        <v>0</v>
      </c>
    </row>
    <row r="37" spans="1:57" ht="18" customHeight="1">
      <c r="A37" s="482"/>
      <c r="B37" s="1177"/>
      <c r="C37" s="1711"/>
      <c r="D37" s="2671"/>
      <c r="E37" s="2664"/>
      <c r="F37" s="2664"/>
      <c r="G37" s="839"/>
      <c r="H37" s="1851"/>
      <c r="I37" s="840"/>
      <c r="J37" s="837"/>
      <c r="K37" s="1108"/>
      <c r="L37" s="1108"/>
      <c r="M37" s="1109"/>
      <c r="N37" s="1110"/>
      <c r="O37" s="1108"/>
      <c r="P37" s="1109"/>
      <c r="Q37" s="1108"/>
      <c r="R37" s="1109"/>
      <c r="S37" s="1108"/>
      <c r="T37" s="2665"/>
      <c r="U37" s="2666">
        <f t="shared" si="0"/>
        <v>0</v>
      </c>
      <c r="V37" s="2667">
        <f t="shared" si="1"/>
        <v>0</v>
      </c>
      <c r="W37" s="1921">
        <f t="shared" si="2"/>
        <v>0</v>
      </c>
      <c r="X37" s="1354">
        <f t="shared" si="3"/>
        <v>0</v>
      </c>
      <c r="Y37" s="18"/>
      <c r="AI37">
        <f t="shared" si="4"/>
        <v>0</v>
      </c>
      <c r="AJ37">
        <f t="shared" si="5"/>
        <v>0</v>
      </c>
      <c r="AK37">
        <f t="shared" si="6"/>
        <v>0</v>
      </c>
      <c r="AL37">
        <f t="shared" si="7"/>
        <v>0</v>
      </c>
      <c r="AM37">
        <f t="shared" si="8"/>
        <v>0</v>
      </c>
      <c r="AN37">
        <f t="shared" si="9"/>
        <v>0</v>
      </c>
      <c r="AO37">
        <f t="shared" si="10"/>
        <v>0</v>
      </c>
      <c r="AP37">
        <f t="shared" si="11"/>
        <v>0</v>
      </c>
      <c r="AQ37">
        <f t="shared" si="12"/>
        <v>0</v>
      </c>
      <c r="AR37" s="847">
        <f t="shared" si="13"/>
        <v>0</v>
      </c>
      <c r="AS37">
        <f t="shared" si="14"/>
        <v>0</v>
      </c>
      <c r="AT37" s="847">
        <f t="shared" si="15"/>
        <v>0</v>
      </c>
      <c r="AU37">
        <f t="shared" si="16"/>
        <v>0</v>
      </c>
      <c r="AV37">
        <f t="shared" si="17"/>
        <v>0</v>
      </c>
      <c r="AW37">
        <f t="shared" si="18"/>
        <v>0</v>
      </c>
      <c r="AX37">
        <f t="shared" si="19"/>
        <v>0</v>
      </c>
      <c r="AY37" s="2663">
        <f>(AJ37*Pricing!F$3+AK37*Pricing!G$3+AL37*Pricing!H$3+AM37*Pricing!I$3+AN37*Pricing!J$3+AO37*Pricing!K$3)*IF(T$55="Y",1,(1+V$55))</f>
        <v>0</v>
      </c>
      <c r="AZ37" s="2668">
        <f t="shared" si="20"/>
        <v>0</v>
      </c>
      <c r="BA37" s="2663">
        <f t="shared" si="21"/>
        <v>0</v>
      </c>
      <c r="BB37" s="2668">
        <f t="shared" si="22"/>
        <v>0</v>
      </c>
      <c r="BC37" s="2668">
        <f t="shared" si="23"/>
        <v>0</v>
      </c>
      <c r="BD37" s="2669">
        <f t="shared" si="24"/>
        <v>0</v>
      </c>
      <c r="BE37" s="2670">
        <f t="shared" si="25"/>
        <v>0</v>
      </c>
    </row>
    <row r="38" spans="1:57" ht="18" customHeight="1">
      <c r="A38" s="482"/>
      <c r="B38" s="1177"/>
      <c r="C38" s="1711"/>
      <c r="D38" s="2671"/>
      <c r="E38" s="2664"/>
      <c r="F38" s="2664"/>
      <c r="G38" s="839"/>
      <c r="H38" s="1851"/>
      <c r="I38" s="840"/>
      <c r="J38" s="837"/>
      <c r="K38" s="1108"/>
      <c r="L38" s="1108"/>
      <c r="M38" s="1109"/>
      <c r="N38" s="1110"/>
      <c r="O38" s="1108"/>
      <c r="P38" s="1109"/>
      <c r="Q38" s="1108"/>
      <c r="R38" s="1109"/>
      <c r="S38" s="1108"/>
      <c r="T38" s="2665"/>
      <c r="U38" s="2666">
        <f t="shared" si="0"/>
        <v>0</v>
      </c>
      <c r="V38" s="2667">
        <f t="shared" si="1"/>
        <v>0</v>
      </c>
      <c r="W38" s="1921">
        <f t="shared" si="2"/>
        <v>0</v>
      </c>
      <c r="X38" s="1354">
        <f t="shared" si="3"/>
        <v>0</v>
      </c>
      <c r="Y38" s="18"/>
      <c r="AI38">
        <f t="shared" si="4"/>
        <v>0</v>
      </c>
      <c r="AJ38">
        <f t="shared" si="5"/>
        <v>0</v>
      </c>
      <c r="AK38">
        <f t="shared" si="6"/>
        <v>0</v>
      </c>
      <c r="AL38">
        <f t="shared" si="7"/>
        <v>0</v>
      </c>
      <c r="AM38">
        <f t="shared" si="8"/>
        <v>0</v>
      </c>
      <c r="AN38">
        <f t="shared" si="9"/>
        <v>0</v>
      </c>
      <c r="AO38">
        <f t="shared" si="10"/>
        <v>0</v>
      </c>
      <c r="AP38">
        <f t="shared" si="11"/>
        <v>0</v>
      </c>
      <c r="AQ38">
        <f t="shared" si="12"/>
        <v>0</v>
      </c>
      <c r="AR38" s="847">
        <f t="shared" si="13"/>
        <v>0</v>
      </c>
      <c r="AS38">
        <f t="shared" si="14"/>
        <v>0</v>
      </c>
      <c r="AT38" s="847">
        <f t="shared" si="15"/>
        <v>0</v>
      </c>
      <c r="AU38">
        <f t="shared" si="16"/>
        <v>0</v>
      </c>
      <c r="AV38">
        <f t="shared" si="17"/>
        <v>0</v>
      </c>
      <c r="AW38">
        <f t="shared" si="18"/>
        <v>0</v>
      </c>
      <c r="AX38">
        <f t="shared" si="19"/>
        <v>0</v>
      </c>
      <c r="AY38" s="2663">
        <f>(AJ38*Pricing!F$3+AK38*Pricing!G$3+AL38*Pricing!H$3+AM38*Pricing!I$3+AN38*Pricing!J$3+AO38*Pricing!K$3)*IF(T$55="Y",1,(1+V$55))</f>
        <v>0</v>
      </c>
      <c r="AZ38" s="2668">
        <f t="shared" si="20"/>
        <v>0</v>
      </c>
      <c r="BA38" s="2663">
        <f t="shared" si="21"/>
        <v>0</v>
      </c>
      <c r="BB38" s="2668">
        <f t="shared" si="22"/>
        <v>0</v>
      </c>
      <c r="BC38" s="2668">
        <f t="shared" si="23"/>
        <v>0</v>
      </c>
      <c r="BD38" s="2669">
        <f t="shared" si="24"/>
        <v>0</v>
      </c>
      <c r="BE38" s="2670">
        <f t="shared" si="25"/>
        <v>0</v>
      </c>
    </row>
    <row r="39" spans="1:57" ht="18" customHeight="1">
      <c r="A39" s="482"/>
      <c r="B39" s="1177"/>
      <c r="C39" s="1711"/>
      <c r="D39" s="2671"/>
      <c r="E39" s="2664"/>
      <c r="F39" s="2664"/>
      <c r="G39" s="839"/>
      <c r="H39" s="1851"/>
      <c r="I39" s="840"/>
      <c r="J39" s="837"/>
      <c r="K39" s="1108"/>
      <c r="L39" s="1108"/>
      <c r="M39" s="1109"/>
      <c r="N39" s="1110"/>
      <c r="O39" s="1108"/>
      <c r="P39" s="1109"/>
      <c r="Q39" s="1108"/>
      <c r="R39" s="1109"/>
      <c r="S39" s="1108"/>
      <c r="T39" s="2665"/>
      <c r="U39" s="2666">
        <f t="shared" si="0"/>
        <v>0</v>
      </c>
      <c r="V39" s="2667">
        <f t="shared" si="1"/>
        <v>0</v>
      </c>
      <c r="W39" s="1921">
        <f t="shared" si="2"/>
        <v>0</v>
      </c>
      <c r="X39" s="1354">
        <f t="shared" si="3"/>
        <v>0</v>
      </c>
      <c r="Y39" s="18"/>
      <c r="AI39">
        <f t="shared" si="4"/>
        <v>0</v>
      </c>
      <c r="AJ39">
        <f t="shared" si="5"/>
        <v>0</v>
      </c>
      <c r="AK39">
        <f t="shared" si="6"/>
        <v>0</v>
      </c>
      <c r="AL39">
        <f t="shared" si="7"/>
        <v>0</v>
      </c>
      <c r="AM39">
        <f t="shared" si="8"/>
        <v>0</v>
      </c>
      <c r="AN39">
        <f t="shared" si="9"/>
        <v>0</v>
      </c>
      <c r="AO39">
        <f t="shared" si="10"/>
        <v>0</v>
      </c>
      <c r="AP39">
        <f t="shared" si="11"/>
        <v>0</v>
      </c>
      <c r="AQ39">
        <f t="shared" si="12"/>
        <v>0</v>
      </c>
      <c r="AR39" s="847">
        <f t="shared" si="13"/>
        <v>0</v>
      </c>
      <c r="AS39">
        <f t="shared" si="14"/>
        <v>0</v>
      </c>
      <c r="AT39" s="847">
        <f t="shared" si="15"/>
        <v>0</v>
      </c>
      <c r="AU39">
        <f t="shared" si="16"/>
        <v>0</v>
      </c>
      <c r="AV39">
        <f t="shared" si="17"/>
        <v>0</v>
      </c>
      <c r="AW39">
        <f t="shared" si="18"/>
        <v>0</v>
      </c>
      <c r="AX39">
        <f t="shared" si="19"/>
        <v>0</v>
      </c>
      <c r="AY39" s="2663">
        <f>(AJ39*Pricing!F$3+AK39*Pricing!G$3+AL39*Pricing!H$3+AM39*Pricing!I$3+AN39*Pricing!J$3+AO39*Pricing!K$3)*IF(T$55="Y",1,(1+V$55))</f>
        <v>0</v>
      </c>
      <c r="AZ39" s="2668">
        <f t="shared" si="20"/>
        <v>0</v>
      </c>
      <c r="BA39" s="2663">
        <f t="shared" si="21"/>
        <v>0</v>
      </c>
      <c r="BB39" s="2668">
        <f t="shared" si="22"/>
        <v>0</v>
      </c>
      <c r="BC39" s="2668">
        <f t="shared" si="23"/>
        <v>0</v>
      </c>
      <c r="BD39" s="2669">
        <f t="shared" si="24"/>
        <v>0</v>
      </c>
      <c r="BE39" s="2670">
        <f t="shared" si="25"/>
        <v>0</v>
      </c>
    </row>
    <row r="40" spans="1:57" ht="18" customHeight="1">
      <c r="A40" s="482"/>
      <c r="B40" s="1177"/>
      <c r="C40" s="1711"/>
      <c r="D40" s="2671"/>
      <c r="E40" s="2664"/>
      <c r="F40" s="2664"/>
      <c r="G40" s="839"/>
      <c r="H40" s="1851"/>
      <c r="I40" s="840"/>
      <c r="J40" s="837"/>
      <c r="K40" s="1108"/>
      <c r="L40" s="1108"/>
      <c r="M40" s="1109"/>
      <c r="N40" s="1110"/>
      <c r="O40" s="1108"/>
      <c r="P40" s="1109"/>
      <c r="Q40" s="1108"/>
      <c r="R40" s="1109"/>
      <c r="S40" s="1108"/>
      <c r="T40" s="2665"/>
      <c r="U40" s="2666">
        <f t="shared" si="0"/>
        <v>0</v>
      </c>
      <c r="V40" s="2667">
        <f t="shared" si="1"/>
        <v>0</v>
      </c>
      <c r="W40" s="1921">
        <f t="shared" si="2"/>
        <v>0</v>
      </c>
      <c r="X40" s="1354">
        <f t="shared" si="3"/>
        <v>0</v>
      </c>
      <c r="Y40" s="18"/>
      <c r="AI40">
        <f t="shared" si="4"/>
        <v>0</v>
      </c>
      <c r="AJ40">
        <f t="shared" si="5"/>
        <v>0</v>
      </c>
      <c r="AK40">
        <f t="shared" si="6"/>
        <v>0</v>
      </c>
      <c r="AL40">
        <f t="shared" si="7"/>
        <v>0</v>
      </c>
      <c r="AM40">
        <f t="shared" si="8"/>
        <v>0</v>
      </c>
      <c r="AN40">
        <f t="shared" si="9"/>
        <v>0</v>
      </c>
      <c r="AO40">
        <f t="shared" si="10"/>
        <v>0</v>
      </c>
      <c r="AP40">
        <f t="shared" si="11"/>
        <v>0</v>
      </c>
      <c r="AQ40">
        <f t="shared" si="12"/>
        <v>0</v>
      </c>
      <c r="AR40" s="847">
        <f t="shared" si="13"/>
        <v>0</v>
      </c>
      <c r="AS40">
        <f t="shared" si="14"/>
        <v>0</v>
      </c>
      <c r="AT40" s="847">
        <f t="shared" si="15"/>
        <v>0</v>
      </c>
      <c r="AU40">
        <f t="shared" si="16"/>
        <v>0</v>
      </c>
      <c r="AV40">
        <f t="shared" si="17"/>
        <v>0</v>
      </c>
      <c r="AW40">
        <f t="shared" si="18"/>
        <v>0</v>
      </c>
      <c r="AX40">
        <f t="shared" si="19"/>
        <v>0</v>
      </c>
      <c r="AY40" s="2663">
        <f>(AJ40*Pricing!F$3+AK40*Pricing!G$3+AL40*Pricing!H$3+AM40*Pricing!I$3+AN40*Pricing!J$3+AO40*Pricing!K$3)*IF(T$55="Y",1,(1+V$55))</f>
        <v>0</v>
      </c>
      <c r="AZ40" s="2668">
        <f t="shared" si="20"/>
        <v>0</v>
      </c>
      <c r="BA40" s="2663">
        <f t="shared" si="21"/>
        <v>0</v>
      </c>
      <c r="BB40" s="2668">
        <f t="shared" si="22"/>
        <v>0</v>
      </c>
      <c r="BC40" s="2668">
        <f t="shared" si="23"/>
        <v>0</v>
      </c>
      <c r="BD40" s="2669">
        <f t="shared" si="24"/>
        <v>0</v>
      </c>
      <c r="BE40" s="2670">
        <f t="shared" si="25"/>
        <v>0</v>
      </c>
    </row>
    <row r="41" spans="1:57" ht="18" customHeight="1">
      <c r="A41" s="482"/>
      <c r="B41" s="1177"/>
      <c r="C41" s="1711"/>
      <c r="D41" s="2671"/>
      <c r="E41" s="2664"/>
      <c r="F41" s="2664"/>
      <c r="G41" s="839"/>
      <c r="H41" s="1851"/>
      <c r="I41" s="840"/>
      <c r="J41" s="837"/>
      <c r="K41" s="1108"/>
      <c r="L41" s="1108"/>
      <c r="M41" s="1109"/>
      <c r="N41" s="1110"/>
      <c r="O41" s="1108"/>
      <c r="P41" s="1109"/>
      <c r="Q41" s="1108"/>
      <c r="R41" s="1109"/>
      <c r="S41" s="1108"/>
      <c r="T41" s="2665"/>
      <c r="U41" s="2666">
        <f t="shared" si="0"/>
        <v>0</v>
      </c>
      <c r="V41" s="2667">
        <f t="shared" si="1"/>
        <v>0</v>
      </c>
      <c r="W41" s="1921">
        <f t="shared" si="2"/>
        <v>0</v>
      </c>
      <c r="X41" s="1354">
        <f t="shared" si="3"/>
        <v>0</v>
      </c>
      <c r="Y41" s="18"/>
      <c r="AI41">
        <f t="shared" si="4"/>
        <v>0</v>
      </c>
      <c r="AJ41">
        <f t="shared" si="5"/>
        <v>0</v>
      </c>
      <c r="AK41">
        <f t="shared" si="6"/>
        <v>0</v>
      </c>
      <c r="AL41">
        <f t="shared" si="7"/>
        <v>0</v>
      </c>
      <c r="AM41">
        <f t="shared" si="8"/>
        <v>0</v>
      </c>
      <c r="AN41">
        <f t="shared" si="9"/>
        <v>0</v>
      </c>
      <c r="AO41">
        <f t="shared" si="10"/>
        <v>0</v>
      </c>
      <c r="AP41">
        <f t="shared" si="11"/>
        <v>0</v>
      </c>
      <c r="AQ41">
        <f t="shared" si="12"/>
        <v>0</v>
      </c>
      <c r="AR41" s="847">
        <f t="shared" si="13"/>
        <v>0</v>
      </c>
      <c r="AS41">
        <f t="shared" si="14"/>
        <v>0</v>
      </c>
      <c r="AT41" s="847">
        <f t="shared" si="15"/>
        <v>0</v>
      </c>
      <c r="AU41">
        <f t="shared" si="16"/>
        <v>0</v>
      </c>
      <c r="AV41">
        <f t="shared" si="17"/>
        <v>0</v>
      </c>
      <c r="AW41">
        <f t="shared" si="18"/>
        <v>0</v>
      </c>
      <c r="AX41">
        <f t="shared" si="19"/>
        <v>0</v>
      </c>
      <c r="AY41" s="2663">
        <f>(AJ41*Pricing!F$3+AK41*Pricing!G$3+AL41*Pricing!H$3+AM41*Pricing!I$3+AN41*Pricing!J$3+AO41*Pricing!K$3)*IF(T$55="Y",1,(1+V$55))</f>
        <v>0</v>
      </c>
      <c r="AZ41" s="2668">
        <f t="shared" si="20"/>
        <v>0</v>
      </c>
      <c r="BA41" s="2663">
        <f t="shared" si="21"/>
        <v>0</v>
      </c>
      <c r="BB41" s="2668">
        <f t="shared" si="22"/>
        <v>0</v>
      </c>
      <c r="BC41" s="2668">
        <f t="shared" si="23"/>
        <v>0</v>
      </c>
      <c r="BD41" s="2669">
        <f t="shared" si="24"/>
        <v>0</v>
      </c>
      <c r="BE41" s="2670">
        <f t="shared" si="25"/>
        <v>0</v>
      </c>
    </row>
    <row r="42" spans="1:57" ht="18" customHeight="1">
      <c r="A42" s="482"/>
      <c r="B42" s="1177"/>
      <c r="C42" s="1711"/>
      <c r="D42" s="2671"/>
      <c r="E42" s="2664"/>
      <c r="F42" s="2664"/>
      <c r="G42" s="839"/>
      <c r="H42" s="1851"/>
      <c r="I42" s="840"/>
      <c r="J42" s="837"/>
      <c r="K42" s="1108"/>
      <c r="L42" s="1108"/>
      <c r="M42" s="1109"/>
      <c r="N42" s="1110"/>
      <c r="O42" s="1108"/>
      <c r="P42" s="1109"/>
      <c r="Q42" s="1108"/>
      <c r="R42" s="1109"/>
      <c r="S42" s="1108"/>
      <c r="T42" s="2665"/>
      <c r="U42" s="2666">
        <f t="shared" si="0"/>
        <v>0</v>
      </c>
      <c r="V42" s="2667">
        <f t="shared" si="1"/>
        <v>0</v>
      </c>
      <c r="W42" s="1921">
        <f t="shared" si="2"/>
        <v>0</v>
      </c>
      <c r="X42" s="1354">
        <f t="shared" si="3"/>
        <v>0</v>
      </c>
      <c r="Y42" s="18"/>
      <c r="AI42">
        <f t="shared" si="4"/>
        <v>0</v>
      </c>
      <c r="AJ42">
        <f t="shared" si="5"/>
        <v>0</v>
      </c>
      <c r="AK42">
        <f t="shared" si="6"/>
        <v>0</v>
      </c>
      <c r="AL42">
        <f t="shared" si="7"/>
        <v>0</v>
      </c>
      <c r="AM42">
        <f t="shared" si="8"/>
        <v>0</v>
      </c>
      <c r="AN42">
        <f t="shared" si="9"/>
        <v>0</v>
      </c>
      <c r="AO42">
        <f t="shared" si="10"/>
        <v>0</v>
      </c>
      <c r="AP42">
        <f t="shared" si="11"/>
        <v>0</v>
      </c>
      <c r="AQ42">
        <f t="shared" si="12"/>
        <v>0</v>
      </c>
      <c r="AR42" s="847">
        <f t="shared" si="13"/>
        <v>0</v>
      </c>
      <c r="AS42">
        <f t="shared" si="14"/>
        <v>0</v>
      </c>
      <c r="AT42" s="847">
        <f t="shared" si="15"/>
        <v>0</v>
      </c>
      <c r="AU42">
        <f t="shared" si="16"/>
        <v>0</v>
      </c>
      <c r="AV42">
        <f t="shared" si="17"/>
        <v>0</v>
      </c>
      <c r="AW42">
        <f t="shared" si="18"/>
        <v>0</v>
      </c>
      <c r="AX42">
        <f t="shared" si="19"/>
        <v>0</v>
      </c>
      <c r="AY42" s="2663">
        <f>(AJ42*Pricing!F$3+AK42*Pricing!G$3+AL42*Pricing!H$3+AM42*Pricing!I$3+AN42*Pricing!J$3+AO42*Pricing!K$3)*IF(T$55="Y",1,(1+V$55))</f>
        <v>0</v>
      </c>
      <c r="AZ42" s="2668">
        <f t="shared" si="20"/>
        <v>0</v>
      </c>
      <c r="BA42" s="2663">
        <f t="shared" si="21"/>
        <v>0</v>
      </c>
      <c r="BB42" s="2668">
        <f t="shared" si="22"/>
        <v>0</v>
      </c>
      <c r="BC42" s="2668">
        <f t="shared" si="23"/>
        <v>0</v>
      </c>
      <c r="BD42" s="2669">
        <f t="shared" si="24"/>
        <v>0</v>
      </c>
      <c r="BE42" s="2670">
        <f t="shared" si="25"/>
        <v>0</v>
      </c>
    </row>
    <row r="43" spans="1:57" ht="18" customHeight="1">
      <c r="A43" s="482"/>
      <c r="B43" s="1177"/>
      <c r="C43" s="1711"/>
      <c r="D43" s="2672"/>
      <c r="E43" s="2664"/>
      <c r="F43" s="2664"/>
      <c r="G43" s="839"/>
      <c r="H43" s="1851"/>
      <c r="I43" s="840"/>
      <c r="J43" s="837"/>
      <c r="K43" s="1108"/>
      <c r="L43" s="1108"/>
      <c r="M43" s="1109"/>
      <c r="N43" s="1110"/>
      <c r="O43" s="1108"/>
      <c r="P43" s="1109"/>
      <c r="Q43" s="1108"/>
      <c r="R43" s="1109"/>
      <c r="S43" s="1108"/>
      <c r="T43" s="2665"/>
      <c r="U43" s="2666">
        <f t="shared" si="0"/>
        <v>0</v>
      </c>
      <c r="V43" s="2667">
        <f t="shared" si="1"/>
        <v>0</v>
      </c>
      <c r="W43" s="1921">
        <f t="shared" si="2"/>
        <v>0</v>
      </c>
      <c r="X43" s="1354">
        <f t="shared" si="3"/>
        <v>0</v>
      </c>
      <c r="Y43" s="18"/>
      <c r="AI43">
        <f t="shared" si="4"/>
        <v>0</v>
      </c>
      <c r="AJ43">
        <f t="shared" si="5"/>
        <v>0</v>
      </c>
      <c r="AK43">
        <f t="shared" si="6"/>
        <v>0</v>
      </c>
      <c r="AL43">
        <f t="shared" si="7"/>
        <v>0</v>
      </c>
      <c r="AM43">
        <f t="shared" si="8"/>
        <v>0</v>
      </c>
      <c r="AN43">
        <f t="shared" si="9"/>
        <v>0</v>
      </c>
      <c r="AO43">
        <f t="shared" si="10"/>
        <v>0</v>
      </c>
      <c r="AP43">
        <f t="shared" si="11"/>
        <v>0</v>
      </c>
      <c r="AQ43">
        <f t="shared" si="12"/>
        <v>0</v>
      </c>
      <c r="AR43" s="847">
        <f t="shared" si="13"/>
        <v>0</v>
      </c>
      <c r="AS43">
        <f t="shared" si="14"/>
        <v>0</v>
      </c>
      <c r="AT43" s="847">
        <f t="shared" si="15"/>
        <v>0</v>
      </c>
      <c r="AU43">
        <f t="shared" si="16"/>
        <v>0</v>
      </c>
      <c r="AV43">
        <f t="shared" si="17"/>
        <v>0</v>
      </c>
      <c r="AW43">
        <f t="shared" si="18"/>
        <v>0</v>
      </c>
      <c r="AX43">
        <f t="shared" si="19"/>
        <v>0</v>
      </c>
      <c r="AY43" s="2663">
        <f>(AJ43*Pricing!F$3+AK43*Pricing!G$3+AL43*Pricing!H$3+AM43*Pricing!I$3+AN43*Pricing!J$3+AO43*Pricing!K$3)*IF(T$55="Y",1,(1+V$55))</f>
        <v>0</v>
      </c>
      <c r="AZ43" s="2668">
        <f t="shared" si="20"/>
        <v>0</v>
      </c>
      <c r="BA43" s="2663">
        <f t="shared" si="21"/>
        <v>0</v>
      </c>
      <c r="BB43" s="2668">
        <f t="shared" si="22"/>
        <v>0</v>
      </c>
      <c r="BC43" s="2668">
        <f t="shared" si="23"/>
        <v>0</v>
      </c>
      <c r="BD43" s="2669">
        <f t="shared" si="24"/>
        <v>0</v>
      </c>
      <c r="BE43" s="2670">
        <f t="shared" si="25"/>
        <v>0</v>
      </c>
    </row>
    <row r="44" spans="1:57" ht="18" customHeight="1">
      <c r="A44" s="482"/>
      <c r="B44" s="1177"/>
      <c r="C44" s="1711"/>
      <c r="D44" s="2672"/>
      <c r="E44" s="2664"/>
      <c r="F44" s="2664"/>
      <c r="G44" s="839"/>
      <c r="H44" s="1851"/>
      <c r="I44" s="840"/>
      <c r="J44" s="837"/>
      <c r="K44" s="1108"/>
      <c r="L44" s="1108"/>
      <c r="M44" s="1109"/>
      <c r="N44" s="1110"/>
      <c r="O44" s="1108"/>
      <c r="P44" s="1109"/>
      <c r="Q44" s="1108"/>
      <c r="R44" s="1109"/>
      <c r="S44" s="1108"/>
      <c r="T44" s="2665"/>
      <c r="U44" s="2666">
        <f t="shared" si="0"/>
        <v>0</v>
      </c>
      <c r="V44" s="2667">
        <f t="shared" si="1"/>
        <v>0</v>
      </c>
      <c r="W44" s="1921">
        <f t="shared" si="2"/>
        <v>0</v>
      </c>
      <c r="X44" s="1354">
        <f t="shared" si="3"/>
        <v>0</v>
      </c>
      <c r="Y44" s="18"/>
      <c r="AI44">
        <f t="shared" si="4"/>
        <v>0</v>
      </c>
      <c r="AJ44">
        <f t="shared" si="5"/>
        <v>0</v>
      </c>
      <c r="AK44">
        <f t="shared" si="6"/>
        <v>0</v>
      </c>
      <c r="AL44">
        <f t="shared" si="7"/>
        <v>0</v>
      </c>
      <c r="AM44">
        <f t="shared" si="8"/>
        <v>0</v>
      </c>
      <c r="AN44">
        <f t="shared" si="9"/>
        <v>0</v>
      </c>
      <c r="AO44">
        <f t="shared" si="10"/>
        <v>0</v>
      </c>
      <c r="AP44">
        <f t="shared" si="11"/>
        <v>0</v>
      </c>
      <c r="AQ44">
        <f t="shared" si="12"/>
        <v>0</v>
      </c>
      <c r="AR44" s="847">
        <f t="shared" si="13"/>
        <v>0</v>
      </c>
      <c r="AS44">
        <f t="shared" si="14"/>
        <v>0</v>
      </c>
      <c r="AT44" s="847">
        <f t="shared" si="15"/>
        <v>0</v>
      </c>
      <c r="AU44">
        <f t="shared" si="16"/>
        <v>0</v>
      </c>
      <c r="AV44">
        <f t="shared" si="17"/>
        <v>0</v>
      </c>
      <c r="AW44">
        <f t="shared" si="18"/>
        <v>0</v>
      </c>
      <c r="AX44">
        <f t="shared" si="19"/>
        <v>0</v>
      </c>
      <c r="AY44" s="2663">
        <f>(AJ44*Pricing!F$3+AK44*Pricing!G$3+AL44*Pricing!H$3+AM44*Pricing!I$3+AN44*Pricing!J$3+AO44*Pricing!K$3)*IF(T$55="Y",1,(1+V$55))</f>
        <v>0</v>
      </c>
      <c r="AZ44" s="2668">
        <f t="shared" si="20"/>
        <v>0</v>
      </c>
      <c r="BA44" s="2663">
        <f t="shared" si="21"/>
        <v>0</v>
      </c>
      <c r="BB44" s="2668">
        <f t="shared" si="22"/>
        <v>0</v>
      </c>
      <c r="BC44" s="2668">
        <f t="shared" si="23"/>
        <v>0</v>
      </c>
      <c r="BD44" s="2669">
        <f t="shared" si="24"/>
        <v>0</v>
      </c>
      <c r="BE44" s="2670">
        <f t="shared" si="25"/>
        <v>0</v>
      </c>
    </row>
    <row r="45" spans="1:57" ht="18" customHeight="1">
      <c r="A45" s="482"/>
      <c r="B45" s="1177"/>
      <c r="C45" s="1711"/>
      <c r="D45" s="2672"/>
      <c r="E45" s="2664"/>
      <c r="F45" s="2664"/>
      <c r="G45" s="839"/>
      <c r="H45" s="1851"/>
      <c r="I45" s="840"/>
      <c r="J45" s="837"/>
      <c r="K45" s="1108"/>
      <c r="L45" s="1108"/>
      <c r="M45" s="1109"/>
      <c r="N45" s="1110"/>
      <c r="O45" s="1108"/>
      <c r="P45" s="1109"/>
      <c r="Q45" s="1108"/>
      <c r="R45" s="1109"/>
      <c r="S45" s="1108"/>
      <c r="T45" s="2665"/>
      <c r="U45" s="2666">
        <f t="shared" si="0"/>
        <v>0</v>
      </c>
      <c r="V45" s="2667">
        <f t="shared" si="1"/>
        <v>0</v>
      </c>
      <c r="W45" s="1921">
        <f t="shared" si="2"/>
        <v>0</v>
      </c>
      <c r="X45" s="1354">
        <f t="shared" si="3"/>
        <v>0</v>
      </c>
      <c r="Y45" s="18"/>
      <c r="AI45">
        <f t="shared" si="4"/>
        <v>0</v>
      </c>
      <c r="AJ45">
        <f t="shared" si="5"/>
        <v>0</v>
      </c>
      <c r="AK45">
        <f t="shared" si="6"/>
        <v>0</v>
      </c>
      <c r="AL45">
        <f t="shared" si="7"/>
        <v>0</v>
      </c>
      <c r="AM45">
        <f t="shared" si="8"/>
        <v>0</v>
      </c>
      <c r="AN45">
        <f t="shared" si="9"/>
        <v>0</v>
      </c>
      <c r="AO45">
        <f t="shared" si="10"/>
        <v>0</v>
      </c>
      <c r="AP45">
        <f t="shared" si="11"/>
        <v>0</v>
      </c>
      <c r="AQ45">
        <f t="shared" si="12"/>
        <v>0</v>
      </c>
      <c r="AR45" s="847">
        <f t="shared" si="13"/>
        <v>0</v>
      </c>
      <c r="AS45">
        <f t="shared" si="14"/>
        <v>0</v>
      </c>
      <c r="AT45" s="847">
        <f t="shared" si="15"/>
        <v>0</v>
      </c>
      <c r="AU45">
        <f t="shared" si="16"/>
        <v>0</v>
      </c>
      <c r="AV45">
        <f t="shared" si="17"/>
        <v>0</v>
      </c>
      <c r="AW45">
        <f t="shared" si="18"/>
        <v>0</v>
      </c>
      <c r="AX45">
        <f t="shared" si="19"/>
        <v>0</v>
      </c>
      <c r="AY45" s="2663">
        <f>(AJ45*Pricing!F$3+AK45*Pricing!G$3+AL45*Pricing!H$3+AM45*Pricing!I$3+AN45*Pricing!J$3+AO45*Pricing!K$3)*IF(T$55="Y",1,(1+V$55))</f>
        <v>0</v>
      </c>
      <c r="AZ45" s="2668">
        <f t="shared" si="20"/>
        <v>0</v>
      </c>
      <c r="BA45" s="2663">
        <f t="shared" si="21"/>
        <v>0</v>
      </c>
      <c r="BB45" s="2668">
        <f t="shared" si="22"/>
        <v>0</v>
      </c>
      <c r="BC45" s="2668">
        <f t="shared" si="23"/>
        <v>0</v>
      </c>
      <c r="BD45" s="2669">
        <f t="shared" si="24"/>
        <v>0</v>
      </c>
      <c r="BE45" s="2670">
        <f t="shared" si="25"/>
        <v>0</v>
      </c>
    </row>
    <row r="46" spans="1:57" ht="18" customHeight="1">
      <c r="A46" s="482"/>
      <c r="B46" s="1177"/>
      <c r="C46" s="1711"/>
      <c r="D46" s="2672"/>
      <c r="E46" s="2664"/>
      <c r="F46" s="2664"/>
      <c r="G46" s="839"/>
      <c r="H46" s="1851"/>
      <c r="I46" s="840"/>
      <c r="J46" s="837"/>
      <c r="K46" s="1108"/>
      <c r="L46" s="1108"/>
      <c r="M46" s="1109"/>
      <c r="N46" s="1110"/>
      <c r="O46" s="1108"/>
      <c r="P46" s="1109"/>
      <c r="Q46" s="1108"/>
      <c r="R46" s="1109"/>
      <c r="S46" s="1108"/>
      <c r="T46" s="2665"/>
      <c r="U46" s="2666">
        <f t="shared" si="0"/>
        <v>0</v>
      </c>
      <c r="V46" s="2667">
        <f t="shared" si="1"/>
        <v>0</v>
      </c>
      <c r="W46" s="1921">
        <f t="shared" si="2"/>
        <v>0</v>
      </c>
      <c r="X46" s="1354">
        <f t="shared" si="3"/>
        <v>0</v>
      </c>
      <c r="Y46" s="18"/>
      <c r="AI46">
        <f t="shared" si="4"/>
        <v>0</v>
      </c>
      <c r="AJ46">
        <f t="shared" si="5"/>
        <v>0</v>
      </c>
      <c r="AK46">
        <f t="shared" si="6"/>
        <v>0</v>
      </c>
      <c r="AL46">
        <f t="shared" si="7"/>
        <v>0</v>
      </c>
      <c r="AM46">
        <f t="shared" si="8"/>
        <v>0</v>
      </c>
      <c r="AN46">
        <f t="shared" si="9"/>
        <v>0</v>
      </c>
      <c r="AO46">
        <f t="shared" si="10"/>
        <v>0</v>
      </c>
      <c r="AP46">
        <f t="shared" si="11"/>
        <v>0</v>
      </c>
      <c r="AQ46">
        <f t="shared" si="12"/>
        <v>0</v>
      </c>
      <c r="AR46" s="847">
        <f t="shared" si="13"/>
        <v>0</v>
      </c>
      <c r="AS46">
        <f t="shared" si="14"/>
        <v>0</v>
      </c>
      <c r="AT46" s="847">
        <f t="shared" si="15"/>
        <v>0</v>
      </c>
      <c r="AU46">
        <f t="shared" si="16"/>
        <v>0</v>
      </c>
      <c r="AV46">
        <f t="shared" si="17"/>
        <v>0</v>
      </c>
      <c r="AW46">
        <f t="shared" si="18"/>
        <v>0</v>
      </c>
      <c r="AX46">
        <f t="shared" si="19"/>
        <v>0</v>
      </c>
      <c r="AY46" s="2663">
        <f>(AJ46*Pricing!F$3+AK46*Pricing!G$3+AL46*Pricing!H$3+AM46*Pricing!I$3+AN46*Pricing!J$3+AO46*Pricing!K$3)*IF(T$55="Y",1,(1+V$55))</f>
        <v>0</v>
      </c>
      <c r="AZ46" s="2668">
        <f t="shared" si="20"/>
        <v>0</v>
      </c>
      <c r="BA46" s="2663">
        <f t="shared" si="21"/>
        <v>0</v>
      </c>
      <c r="BB46" s="2668">
        <f t="shared" si="22"/>
        <v>0</v>
      </c>
      <c r="BC46" s="2668">
        <f t="shared" si="23"/>
        <v>0</v>
      </c>
      <c r="BD46" s="2669">
        <f t="shared" si="24"/>
        <v>0</v>
      </c>
      <c r="BE46" s="2670">
        <f t="shared" si="25"/>
        <v>0</v>
      </c>
    </row>
    <row r="47" spans="1:57" ht="18" customHeight="1">
      <c r="A47" s="482"/>
      <c r="B47" s="1177"/>
      <c r="C47" s="1711"/>
      <c r="D47" s="2672"/>
      <c r="E47" s="2664"/>
      <c r="F47" s="2664"/>
      <c r="G47" s="839"/>
      <c r="H47" s="1851"/>
      <c r="I47" s="840"/>
      <c r="J47" s="837"/>
      <c r="K47" s="1108"/>
      <c r="L47" s="1108"/>
      <c r="M47" s="1109"/>
      <c r="N47" s="1110"/>
      <c r="O47" s="1108"/>
      <c r="P47" s="1109"/>
      <c r="Q47" s="1108"/>
      <c r="R47" s="1109"/>
      <c r="S47" s="1108"/>
      <c r="T47" s="2665"/>
      <c r="U47" s="2666">
        <f t="shared" si="0"/>
        <v>0</v>
      </c>
      <c r="V47" s="2667">
        <f t="shared" si="1"/>
        <v>0</v>
      </c>
      <c r="W47" s="1921">
        <f t="shared" si="2"/>
        <v>0</v>
      </c>
      <c r="X47" s="1354">
        <f t="shared" si="3"/>
        <v>0</v>
      </c>
      <c r="Y47" s="18"/>
      <c r="AI47">
        <f t="shared" si="4"/>
        <v>0</v>
      </c>
      <c r="AJ47">
        <f t="shared" si="5"/>
        <v>0</v>
      </c>
      <c r="AK47">
        <f t="shared" si="6"/>
        <v>0</v>
      </c>
      <c r="AL47">
        <f t="shared" si="7"/>
        <v>0</v>
      </c>
      <c r="AM47">
        <f t="shared" si="8"/>
        <v>0</v>
      </c>
      <c r="AN47">
        <f t="shared" si="9"/>
        <v>0</v>
      </c>
      <c r="AO47">
        <f t="shared" si="10"/>
        <v>0</v>
      </c>
      <c r="AP47">
        <f t="shared" si="11"/>
        <v>0</v>
      </c>
      <c r="AQ47">
        <f t="shared" si="12"/>
        <v>0</v>
      </c>
      <c r="AR47" s="847">
        <f t="shared" si="13"/>
        <v>0</v>
      </c>
      <c r="AS47">
        <f t="shared" si="14"/>
        <v>0</v>
      </c>
      <c r="AT47" s="847">
        <f t="shared" si="15"/>
        <v>0</v>
      </c>
      <c r="AU47">
        <f t="shared" si="16"/>
        <v>0</v>
      </c>
      <c r="AV47">
        <f t="shared" si="17"/>
        <v>0</v>
      </c>
      <c r="AW47">
        <f t="shared" si="18"/>
        <v>0</v>
      </c>
      <c r="AX47">
        <f t="shared" si="19"/>
        <v>0</v>
      </c>
      <c r="AY47" s="2663">
        <f>(AJ47*Pricing!F$3+AK47*Pricing!G$3+AL47*Pricing!H$3+AM47*Pricing!I$3+AN47*Pricing!J$3+AO47*Pricing!K$3)*IF(T$55="Y",1,(1+V$55))</f>
        <v>0</v>
      </c>
      <c r="AZ47" s="2668">
        <f t="shared" si="20"/>
        <v>0</v>
      </c>
      <c r="BA47" s="2663">
        <f t="shared" si="21"/>
        <v>0</v>
      </c>
      <c r="BB47" s="2668">
        <f t="shared" si="22"/>
        <v>0</v>
      </c>
      <c r="BC47" s="2668">
        <f t="shared" si="23"/>
        <v>0</v>
      </c>
      <c r="BD47" s="2669">
        <f t="shared" si="24"/>
        <v>0</v>
      </c>
      <c r="BE47" s="2670">
        <f t="shared" si="25"/>
        <v>0</v>
      </c>
    </row>
    <row r="48" spans="1:57" ht="18" customHeight="1">
      <c r="A48" s="482"/>
      <c r="B48" s="1177"/>
      <c r="C48" s="1711"/>
      <c r="D48" s="2672"/>
      <c r="E48" s="2664"/>
      <c r="F48" s="2664"/>
      <c r="G48" s="839"/>
      <c r="H48" s="1851"/>
      <c r="I48" s="840"/>
      <c r="J48" s="837"/>
      <c r="K48" s="1108"/>
      <c r="L48" s="1108"/>
      <c r="M48" s="1109"/>
      <c r="N48" s="1110"/>
      <c r="O48" s="1108"/>
      <c r="P48" s="1109"/>
      <c r="Q48" s="1108"/>
      <c r="R48" s="1109"/>
      <c r="S48" s="1108"/>
      <c r="T48" s="2665"/>
      <c r="U48" s="2666">
        <f t="shared" si="0"/>
        <v>0</v>
      </c>
      <c r="V48" s="2667">
        <f t="shared" si="1"/>
        <v>0</v>
      </c>
      <c r="W48" s="1921">
        <f t="shared" si="2"/>
        <v>0</v>
      </c>
      <c r="X48" s="1354">
        <f t="shared" si="3"/>
        <v>0</v>
      </c>
      <c r="Y48" s="18"/>
      <c r="AI48">
        <f t="shared" si="4"/>
        <v>0</v>
      </c>
      <c r="AJ48">
        <f t="shared" si="5"/>
        <v>0</v>
      </c>
      <c r="AK48">
        <f t="shared" si="6"/>
        <v>0</v>
      </c>
      <c r="AL48">
        <f t="shared" si="7"/>
        <v>0</v>
      </c>
      <c r="AM48">
        <f t="shared" si="8"/>
        <v>0</v>
      </c>
      <c r="AN48">
        <f t="shared" si="9"/>
        <v>0</v>
      </c>
      <c r="AO48">
        <f t="shared" si="10"/>
        <v>0</v>
      </c>
      <c r="AP48">
        <f t="shared" si="11"/>
        <v>0</v>
      </c>
      <c r="AQ48">
        <f t="shared" si="12"/>
        <v>0</v>
      </c>
      <c r="AR48" s="847">
        <f t="shared" si="13"/>
        <v>0</v>
      </c>
      <c r="AS48">
        <f t="shared" si="14"/>
        <v>0</v>
      </c>
      <c r="AT48" s="847">
        <f t="shared" si="15"/>
        <v>0</v>
      </c>
      <c r="AU48">
        <f t="shared" si="16"/>
        <v>0</v>
      </c>
      <c r="AV48">
        <f t="shared" si="17"/>
        <v>0</v>
      </c>
      <c r="AW48">
        <f t="shared" si="18"/>
        <v>0</v>
      </c>
      <c r="AX48">
        <f t="shared" si="19"/>
        <v>0</v>
      </c>
      <c r="AY48" s="2663">
        <f>(AJ48*Pricing!F$3+AK48*Pricing!G$3+AL48*Pricing!H$3+AM48*Pricing!I$3+AN48*Pricing!J$3+AO48*Pricing!K$3)*IF(T$55="Y",1,(1+V$55))</f>
        <v>0</v>
      </c>
      <c r="AZ48" s="2668">
        <f t="shared" si="20"/>
        <v>0</v>
      </c>
      <c r="BA48" s="2663">
        <f t="shared" si="21"/>
        <v>0</v>
      </c>
      <c r="BB48" s="2668">
        <f t="shared" si="22"/>
        <v>0</v>
      </c>
      <c r="BC48" s="2668">
        <f t="shared" si="23"/>
        <v>0</v>
      </c>
      <c r="BD48" s="2669">
        <f t="shared" si="24"/>
        <v>0</v>
      </c>
      <c r="BE48" s="2670">
        <f t="shared" si="25"/>
        <v>0</v>
      </c>
    </row>
    <row r="49" spans="1:57" ht="18" customHeight="1">
      <c r="A49" s="482"/>
      <c r="B49" s="1177"/>
      <c r="C49" s="1711"/>
      <c r="D49" s="2672"/>
      <c r="E49" s="2664"/>
      <c r="F49" s="2664"/>
      <c r="G49" s="839"/>
      <c r="H49" s="1851"/>
      <c r="I49" s="840"/>
      <c r="J49" s="837"/>
      <c r="K49" s="1108"/>
      <c r="L49" s="1108"/>
      <c r="M49" s="1109"/>
      <c r="N49" s="1110"/>
      <c r="O49" s="1108"/>
      <c r="P49" s="1109"/>
      <c r="Q49" s="1108"/>
      <c r="R49" s="1109"/>
      <c r="S49" s="1108"/>
      <c r="T49" s="2665"/>
      <c r="U49" s="2666">
        <f t="shared" si="0"/>
        <v>0</v>
      </c>
      <c r="V49" s="2667">
        <f t="shared" si="1"/>
        <v>0</v>
      </c>
      <c r="W49" s="1921">
        <f t="shared" si="2"/>
        <v>0</v>
      </c>
      <c r="X49" s="1354">
        <f t="shared" si="3"/>
        <v>0</v>
      </c>
      <c r="Y49" s="18"/>
      <c r="AI49">
        <f t="shared" si="4"/>
        <v>0</v>
      </c>
      <c r="AJ49">
        <f t="shared" si="5"/>
        <v>0</v>
      </c>
      <c r="AK49">
        <f t="shared" si="6"/>
        <v>0</v>
      </c>
      <c r="AL49">
        <f t="shared" si="7"/>
        <v>0</v>
      </c>
      <c r="AM49">
        <f t="shared" si="8"/>
        <v>0</v>
      </c>
      <c r="AN49">
        <f t="shared" si="9"/>
        <v>0</v>
      </c>
      <c r="AO49">
        <f t="shared" si="10"/>
        <v>0</v>
      </c>
      <c r="AP49">
        <f t="shared" si="11"/>
        <v>0</v>
      </c>
      <c r="AQ49">
        <f t="shared" si="12"/>
        <v>0</v>
      </c>
      <c r="AR49" s="847">
        <f t="shared" si="13"/>
        <v>0</v>
      </c>
      <c r="AS49">
        <f t="shared" si="14"/>
        <v>0</v>
      </c>
      <c r="AT49" s="847">
        <f t="shared" si="15"/>
        <v>0</v>
      </c>
      <c r="AU49">
        <f t="shared" si="16"/>
        <v>0</v>
      </c>
      <c r="AV49">
        <f t="shared" si="17"/>
        <v>0</v>
      </c>
      <c r="AW49">
        <f t="shared" si="18"/>
        <v>0</v>
      </c>
      <c r="AX49">
        <f t="shared" si="19"/>
        <v>0</v>
      </c>
      <c r="AY49" s="2663">
        <f>(AJ49*Pricing!F$3+AK49*Pricing!G$3+AL49*Pricing!H$3+AM49*Pricing!I$3+AN49*Pricing!J$3+AO49*Pricing!K$3)*IF(T$55="Y",1,(1+V$55))</f>
        <v>0</v>
      </c>
      <c r="AZ49" s="2668">
        <f t="shared" si="20"/>
        <v>0</v>
      </c>
      <c r="BA49" s="2663">
        <f t="shared" si="21"/>
        <v>0</v>
      </c>
      <c r="BB49" s="2668">
        <f t="shared" si="22"/>
        <v>0</v>
      </c>
      <c r="BC49" s="2668">
        <f t="shared" si="23"/>
        <v>0</v>
      </c>
      <c r="BD49" s="2669">
        <f t="shared" si="24"/>
        <v>0</v>
      </c>
      <c r="BE49" s="2670">
        <f t="shared" si="25"/>
        <v>0</v>
      </c>
    </row>
    <row r="50" spans="1:57" ht="18" customHeight="1">
      <c r="A50" s="482"/>
      <c r="B50" s="1177"/>
      <c r="C50" s="1711"/>
      <c r="D50" s="2672"/>
      <c r="E50" s="2664"/>
      <c r="F50" s="2664"/>
      <c r="G50" s="839"/>
      <c r="H50" s="1851"/>
      <c r="I50" s="840"/>
      <c r="J50" s="837"/>
      <c r="K50" s="1108"/>
      <c r="L50" s="1108"/>
      <c r="M50" s="1109"/>
      <c r="N50" s="1110"/>
      <c r="O50" s="1108"/>
      <c r="P50" s="1109"/>
      <c r="Q50" s="1108"/>
      <c r="R50" s="1109"/>
      <c r="S50" s="1108"/>
      <c r="T50" s="2665"/>
      <c r="U50" s="2666">
        <f t="shared" si="0"/>
        <v>0</v>
      </c>
      <c r="V50" s="2667">
        <f t="shared" si="1"/>
        <v>0</v>
      </c>
      <c r="W50" s="1921">
        <f t="shared" si="2"/>
        <v>0</v>
      </c>
      <c r="X50" s="1354">
        <f t="shared" si="3"/>
        <v>0</v>
      </c>
      <c r="Y50" s="18"/>
      <c r="AI50">
        <f t="shared" si="4"/>
        <v>0</v>
      </c>
      <c r="AJ50">
        <f t="shared" si="5"/>
        <v>0</v>
      </c>
      <c r="AK50">
        <f t="shared" si="6"/>
        <v>0</v>
      </c>
      <c r="AL50">
        <f t="shared" si="7"/>
        <v>0</v>
      </c>
      <c r="AM50">
        <f t="shared" si="8"/>
        <v>0</v>
      </c>
      <c r="AN50">
        <f t="shared" si="9"/>
        <v>0</v>
      </c>
      <c r="AO50">
        <f t="shared" si="10"/>
        <v>0</v>
      </c>
      <c r="AP50">
        <f t="shared" si="11"/>
        <v>0</v>
      </c>
      <c r="AQ50">
        <f t="shared" si="12"/>
        <v>0</v>
      </c>
      <c r="AR50" s="847">
        <f t="shared" si="13"/>
        <v>0</v>
      </c>
      <c r="AS50">
        <f t="shared" si="14"/>
        <v>0</v>
      </c>
      <c r="AT50" s="847">
        <f t="shared" si="15"/>
        <v>0</v>
      </c>
      <c r="AU50">
        <f t="shared" si="16"/>
        <v>0</v>
      </c>
      <c r="AV50">
        <f t="shared" si="17"/>
        <v>0</v>
      </c>
      <c r="AW50">
        <f t="shared" si="18"/>
        <v>0</v>
      </c>
      <c r="AX50">
        <f t="shared" si="19"/>
        <v>0</v>
      </c>
      <c r="AY50" s="2663">
        <f>(AJ50*Pricing!F$3+AK50*Pricing!G$3+AL50*Pricing!H$3+AM50*Pricing!I$3+AN50*Pricing!J$3+AO50*Pricing!K$3)*IF(T$55="Y",1,(1+V$55))</f>
        <v>0</v>
      </c>
      <c r="AZ50" s="2668">
        <f t="shared" si="20"/>
        <v>0</v>
      </c>
      <c r="BA50" s="2663">
        <f t="shared" si="21"/>
        <v>0</v>
      </c>
      <c r="BB50" s="2668">
        <f t="shared" si="22"/>
        <v>0</v>
      </c>
      <c r="BC50" s="2668">
        <f t="shared" si="23"/>
        <v>0</v>
      </c>
      <c r="BD50" s="2669">
        <f t="shared" si="24"/>
        <v>0</v>
      </c>
      <c r="BE50" s="2670">
        <f t="shared" si="25"/>
        <v>0</v>
      </c>
    </row>
    <row r="51" spans="1:57" ht="18" customHeight="1">
      <c r="A51" s="2863"/>
      <c r="B51" s="2863"/>
      <c r="C51" s="1711"/>
      <c r="D51" s="1512"/>
      <c r="E51" s="2664"/>
      <c r="F51" s="1108"/>
      <c r="G51" s="839"/>
      <c r="H51" s="1851"/>
      <c r="I51" s="840"/>
      <c r="J51" s="837"/>
      <c r="K51" s="1108"/>
      <c r="L51" s="1108"/>
      <c r="M51" s="1109"/>
      <c r="N51" s="1110"/>
      <c r="O51" s="1108"/>
      <c r="P51" s="1109"/>
      <c r="Q51" s="1108"/>
      <c r="R51" s="1109"/>
      <c r="S51" s="1108"/>
      <c r="T51" s="2665"/>
      <c r="U51" s="2666">
        <f t="shared" si="0"/>
        <v>0</v>
      </c>
      <c r="V51" s="2667">
        <f t="shared" si="1"/>
        <v>0</v>
      </c>
      <c r="W51" s="1921">
        <f t="shared" si="2"/>
        <v>0</v>
      </c>
      <c r="X51" s="1354">
        <f t="shared" si="3"/>
        <v>0</v>
      </c>
      <c r="Y51" s="18"/>
      <c r="AI51">
        <f t="shared" si="4"/>
        <v>0</v>
      </c>
      <c r="AJ51">
        <f t="shared" si="5"/>
        <v>0</v>
      </c>
      <c r="AK51">
        <f t="shared" si="6"/>
        <v>0</v>
      </c>
      <c r="AL51">
        <f t="shared" si="7"/>
        <v>0</v>
      </c>
      <c r="AM51">
        <f t="shared" si="8"/>
        <v>0</v>
      </c>
      <c r="AN51">
        <f t="shared" si="9"/>
        <v>0</v>
      </c>
      <c r="AO51">
        <f t="shared" si="10"/>
        <v>0</v>
      </c>
      <c r="AP51">
        <f t="shared" si="11"/>
        <v>0</v>
      </c>
      <c r="AQ51">
        <f t="shared" si="12"/>
        <v>0</v>
      </c>
      <c r="AR51" s="847">
        <f t="shared" si="13"/>
        <v>0</v>
      </c>
      <c r="AS51">
        <f t="shared" si="14"/>
        <v>0</v>
      </c>
      <c r="AT51" s="847">
        <f t="shared" si="15"/>
        <v>0</v>
      </c>
      <c r="AU51">
        <f t="shared" si="16"/>
        <v>0</v>
      </c>
      <c r="AV51">
        <f t="shared" si="17"/>
        <v>0</v>
      </c>
      <c r="AW51">
        <f t="shared" si="18"/>
        <v>0</v>
      </c>
      <c r="AX51">
        <f t="shared" si="19"/>
        <v>0</v>
      </c>
      <c r="AY51" s="2663">
        <f>(AJ51*Pricing!F$3+AK51*Pricing!G$3+AL51*Pricing!H$3+AM51*Pricing!I$3+AN51*Pricing!J$3+AO51*Pricing!K$3)*IF(T$55="Y",1,(1+V$55))</f>
        <v>0</v>
      </c>
      <c r="AZ51" s="2668">
        <f t="shared" si="20"/>
        <v>0</v>
      </c>
      <c r="BA51" s="2663">
        <f t="shared" si="21"/>
        <v>0</v>
      </c>
      <c r="BB51" s="2668">
        <f t="shared" si="22"/>
        <v>0</v>
      </c>
      <c r="BC51" s="2668">
        <f t="shared" si="23"/>
        <v>0</v>
      </c>
      <c r="BD51" s="2669">
        <f t="shared" si="24"/>
        <v>0</v>
      </c>
      <c r="BE51" s="2670">
        <f t="shared" si="25"/>
        <v>0</v>
      </c>
    </row>
    <row r="52" spans="1:57" ht="15" customHeight="1">
      <c r="A52" s="574"/>
      <c r="D52" s="791">
        <f>SUM(D10:D51)</f>
        <v>347</v>
      </c>
      <c r="E52" s="2917" t="s">
        <v>1398</v>
      </c>
      <c r="F52" s="2917"/>
      <c r="G52" s="2917"/>
      <c r="H52" s="2917"/>
      <c r="P52" s="3295" t="s">
        <v>1399</v>
      </c>
      <c r="Q52" s="3295"/>
      <c r="R52" s="3295"/>
      <c r="S52" s="3295"/>
      <c r="V52" s="959">
        <f>SUM(U10:U51)</f>
        <v>41341.386010312504</v>
      </c>
      <c r="W52" s="2673"/>
      <c r="X52" s="2673"/>
      <c r="AI52" s="847">
        <f t="shared" ref="AI52:AX52" si="26">SUM(AI10:AI51)</f>
        <v>12</v>
      </c>
      <c r="AJ52" s="847">
        <f t="shared" si="26"/>
        <v>0</v>
      </c>
      <c r="AK52" s="847">
        <f t="shared" si="26"/>
        <v>0</v>
      </c>
      <c r="AL52" s="847">
        <f t="shared" si="26"/>
        <v>0</v>
      </c>
      <c r="AM52" s="847">
        <f t="shared" si="26"/>
        <v>0</v>
      </c>
      <c r="AN52" s="847">
        <f t="shared" si="26"/>
        <v>673.57333333333349</v>
      </c>
      <c r="AO52" s="847">
        <f t="shared" si="26"/>
        <v>0</v>
      </c>
      <c r="AP52" s="847">
        <f t="shared" si="26"/>
        <v>673.57333333333349</v>
      </c>
      <c r="AQ52" s="847">
        <f t="shared" si="26"/>
        <v>124024.15803093754</v>
      </c>
      <c r="AR52" s="847">
        <f t="shared" si="26"/>
        <v>30024</v>
      </c>
      <c r="AS52" s="847">
        <f t="shared" si="26"/>
        <v>36</v>
      </c>
      <c r="AT52" s="847">
        <f t="shared" si="26"/>
        <v>4104</v>
      </c>
      <c r="AU52" s="847">
        <f t="shared" si="26"/>
        <v>1041</v>
      </c>
      <c r="AV52" s="847">
        <f t="shared" si="26"/>
        <v>0</v>
      </c>
      <c r="AW52" s="847">
        <f t="shared" si="26"/>
        <v>4104</v>
      </c>
      <c r="AX52" s="847">
        <f t="shared" si="26"/>
        <v>87266.498194518397</v>
      </c>
      <c r="AY52" s="2663"/>
      <c r="AZ52" s="2668"/>
      <c r="BA52" s="2663"/>
      <c r="BB52" s="2668"/>
      <c r="BC52" s="2668"/>
      <c r="BD52" s="2669"/>
      <c r="BE52" s="2670"/>
    </row>
    <row r="53" spans="1:57" ht="15" customHeight="1">
      <c r="A53" s="577"/>
      <c r="B53" s="976"/>
      <c r="C53" s="976"/>
      <c r="D53" s="976"/>
      <c r="E53" s="976"/>
      <c r="F53" s="976"/>
      <c r="G53" s="976"/>
      <c r="H53" s="976">
        <f>SUM(H10:H52)</f>
        <v>36</v>
      </c>
      <c r="I53" s="976"/>
      <c r="K53" s="976"/>
      <c r="L53" s="976"/>
      <c r="M53" s="976"/>
      <c r="N53" s="976"/>
      <c r="O53" s="976"/>
      <c r="P53" s="3296" t="s">
        <v>1400</v>
      </c>
      <c r="Q53" s="3296"/>
      <c r="R53" s="3296"/>
      <c r="S53" s="3296"/>
      <c r="T53" s="976"/>
      <c r="U53" s="976"/>
      <c r="V53" s="2674">
        <f>ROUNDUP(V52/2000,0)</f>
        <v>21</v>
      </c>
      <c r="W53" s="1760"/>
      <c r="X53" s="1760"/>
      <c r="AR53" s="847"/>
      <c r="AT53" s="847"/>
      <c r="AY53" s="2663"/>
      <c r="AZ53" s="2668"/>
      <c r="BA53" s="2663"/>
      <c r="BB53" s="2668"/>
      <c r="BC53" s="2668"/>
      <c r="BD53" s="2669"/>
      <c r="BE53" s="2670"/>
    </row>
    <row r="54" spans="1:57" ht="18.75" customHeight="1">
      <c r="A54" s="888"/>
      <c r="B54" s="889"/>
      <c r="C54" s="889"/>
      <c r="D54" s="889"/>
      <c r="E54" s="889"/>
      <c r="F54" s="889"/>
      <c r="G54" s="889"/>
      <c r="H54" s="889"/>
      <c r="I54" s="889"/>
      <c r="J54" s="889"/>
      <c r="K54" s="891"/>
      <c r="L54" s="889"/>
      <c r="M54" s="889"/>
      <c r="N54" s="889"/>
      <c r="O54" s="889"/>
      <c r="P54" s="889"/>
      <c r="Q54" s="889"/>
      <c r="R54" s="889"/>
      <c r="S54" s="889"/>
      <c r="T54" s="889"/>
      <c r="U54" s="889"/>
      <c r="V54" s="889"/>
      <c r="W54" s="894"/>
      <c r="AY54" s="2670">
        <f>N66</f>
        <v>0</v>
      </c>
      <c r="AZ54" s="2668">
        <f>N80+N81+N82+N79+K83</f>
        <v>37530</v>
      </c>
      <c r="BA54" s="2670">
        <f>L89</f>
        <v>28000</v>
      </c>
      <c r="BB54" s="2668">
        <f>N84</f>
        <v>27905.435556960947</v>
      </c>
      <c r="BC54" s="2670">
        <f>K85</f>
        <v>0</v>
      </c>
      <c r="BD54" s="2663"/>
      <c r="BE54" s="2663"/>
    </row>
    <row r="55" spans="1:57" ht="15" customHeight="1">
      <c r="A55" s="2786" t="s">
        <v>1262</v>
      </c>
      <c r="B55" s="2786"/>
      <c r="C55" s="2786"/>
      <c r="D55" s="2786" t="s">
        <v>982</v>
      </c>
      <c r="E55" s="2786"/>
      <c r="F55" s="2786" t="s">
        <v>1263</v>
      </c>
      <c r="G55" s="2786"/>
      <c r="H55" s="2786"/>
      <c r="I55" s="2788" t="s">
        <v>1264</v>
      </c>
      <c r="J55" s="2788"/>
      <c r="K55" s="2788"/>
      <c r="L55" s="2789" t="s">
        <v>1265</v>
      </c>
      <c r="M55" s="2789"/>
      <c r="N55" s="1058"/>
      <c r="O55" s="1059"/>
      <c r="P55" s="895"/>
      <c r="Q55" s="574" t="s">
        <v>1266</v>
      </c>
      <c r="S55" s="77" t="s">
        <v>1739</v>
      </c>
      <c r="T55" s="896" t="str">
        <f>Summary!P62</f>
        <v>N</v>
      </c>
      <c r="U55" s="793" t="s">
        <v>1268</v>
      </c>
      <c r="V55" s="1136">
        <f>Summary!R62</f>
        <v>8.2500000000000004E-2</v>
      </c>
      <c r="W55" s="898"/>
      <c r="AY55" s="2663"/>
      <c r="AZ55" s="2663"/>
      <c r="BA55" s="2663"/>
      <c r="BB55" s="2663"/>
      <c r="BC55" s="2663">
        <f>SUM(AX52:BE52)</f>
        <v>87266.498194518397</v>
      </c>
      <c r="BD55" s="2663"/>
      <c r="BE55" s="2663"/>
    </row>
    <row r="56" spans="1:57" ht="27" customHeight="1">
      <c r="A56" s="899" t="s">
        <v>1269</v>
      </c>
      <c r="B56" s="2865">
        <f>I56*(1+L56+Summary!P60)</f>
        <v>16.157064542688843</v>
      </c>
      <c r="C56" s="2865"/>
      <c r="D56" s="3297">
        <f>T56*(1+L56+Summary!P60)</f>
        <v>485099.70582968986</v>
      </c>
      <c r="E56" s="3297"/>
      <c r="F56" s="901">
        <f>IF(D56=0,0,G56/D56)</f>
        <v>0</v>
      </c>
      <c r="G56" s="2867">
        <f>(D56-T56)/(Summary!P59+Summary!P60)*Summary!P60</f>
        <v>0</v>
      </c>
      <c r="H56" s="2867"/>
      <c r="I56" s="2868">
        <f>IF(H80=0,0,T56/H80)</f>
        <v>13.692427578549868</v>
      </c>
      <c r="J56" s="2868"/>
      <c r="K56" s="2868"/>
      <c r="L56" s="2941">
        <f>Summary!P59</f>
        <v>0.18</v>
      </c>
      <c r="M56" s="2941"/>
      <c r="N56" s="2941"/>
      <c r="O56" s="2941"/>
      <c r="P56" s="1137"/>
      <c r="Q56" s="902" t="s">
        <v>980</v>
      </c>
      <c r="T56" s="2942">
        <f>SUM(N66:O76)+SUM(N79:O85)+SUM(N88:O90)+SUM(N92:O97)+SUM(N99:O104)+W105+N77+SUM(K79:L85)</f>
        <v>411101.44561838126</v>
      </c>
      <c r="U56" s="2942"/>
      <c r="W56" s="898"/>
      <c r="X56">
        <f>BC55</f>
        <v>87266.498194518397</v>
      </c>
      <c r="AG56" s="351"/>
    </row>
    <row r="57" spans="1:57" ht="22.5" customHeight="1">
      <c r="A57" s="1761"/>
      <c r="B57" s="3298"/>
      <c r="C57" s="3298"/>
      <c r="D57" s="3299"/>
      <c r="E57" s="3299"/>
      <c r="F57" s="3298"/>
      <c r="G57" s="3298"/>
      <c r="H57" s="907" t="s">
        <v>1270</v>
      </c>
      <c r="I57" s="908"/>
      <c r="J57" s="2944"/>
      <c r="K57" s="2944"/>
      <c r="L57" s="909"/>
      <c r="M57" s="3109">
        <f>IF(J57&gt;0,(J57-D56)/(1+L56),0)</f>
        <v>0</v>
      </c>
      <c r="N57" s="3109"/>
      <c r="O57" s="905"/>
      <c r="P57" s="905"/>
      <c r="Q57" s="905"/>
      <c r="R57" s="905"/>
      <c r="S57" s="905"/>
      <c r="T57" s="2946">
        <f>W114</f>
        <v>411101.4456183812</v>
      </c>
      <c r="U57" s="2946"/>
      <c r="V57" s="905"/>
      <c r="W57" s="913"/>
      <c r="X57" s="351">
        <f>T56-X56</f>
        <v>323834.94742386288</v>
      </c>
    </row>
    <row r="58" spans="1:57">
      <c r="A58" s="626"/>
      <c r="B58" s="626"/>
      <c r="C58" s="626"/>
      <c r="D58" s="626"/>
      <c r="E58" s="626"/>
      <c r="F58" s="626"/>
      <c r="G58" s="626"/>
      <c r="H58" s="626"/>
      <c r="I58" s="626"/>
      <c r="J58" s="626"/>
      <c r="K58" s="626"/>
      <c r="L58" s="626"/>
      <c r="M58" s="626"/>
      <c r="N58" s="626"/>
      <c r="O58" s="626"/>
      <c r="P58" s="626"/>
      <c r="Q58" s="626"/>
      <c r="R58" s="1275">
        <f>K69/H80</f>
        <v>4.1308339338841442</v>
      </c>
      <c r="S58" s="626" t="s">
        <v>2065</v>
      </c>
      <c r="T58" s="2783"/>
      <c r="U58" s="2783"/>
      <c r="V58" s="3133">
        <f>T56-T57</f>
        <v>0</v>
      </c>
      <c r="W58" s="3133"/>
    </row>
    <row r="59" spans="1:57">
      <c r="A59" s="626"/>
      <c r="B59" s="626"/>
      <c r="C59" s="626"/>
      <c r="D59" s="626"/>
      <c r="E59" s="626"/>
      <c r="F59" s="626"/>
      <c r="G59" s="626"/>
      <c r="H59" s="626"/>
      <c r="I59" s="626"/>
      <c r="J59" s="626"/>
      <c r="K59" s="626"/>
      <c r="L59" s="626"/>
      <c r="M59" s="626"/>
      <c r="N59" s="626"/>
      <c r="O59" s="626"/>
      <c r="P59" s="626"/>
      <c r="Q59" s="626"/>
      <c r="R59" s="626"/>
      <c r="S59" s="626"/>
      <c r="T59" s="626"/>
      <c r="U59" s="626"/>
      <c r="V59" s="626"/>
      <c r="W59" s="626"/>
    </row>
    <row r="60" spans="1:57" ht="32.25" customHeight="1">
      <c r="A60" s="626"/>
      <c r="B60" s="18" t="s">
        <v>1697</v>
      </c>
      <c r="C60" s="1143"/>
      <c r="D60" s="1143"/>
      <c r="E60" s="1143"/>
      <c r="F60" s="1143"/>
      <c r="G60" s="1143"/>
      <c r="H60" s="1143"/>
      <c r="I60" s="1143"/>
      <c r="J60" s="1143"/>
      <c r="K60" s="1143"/>
      <c r="L60" s="1143"/>
      <c r="M60" s="1143"/>
      <c r="N60" s="1143"/>
      <c r="O60" s="1143"/>
      <c r="P60" s="626"/>
      <c r="Q60" s="626"/>
      <c r="R60" s="626"/>
      <c r="S60" s="626"/>
      <c r="T60" s="626"/>
      <c r="U60" s="626"/>
      <c r="V60" s="626"/>
      <c r="W60" s="626"/>
    </row>
    <row r="61" spans="1:57" ht="18.75" customHeight="1">
      <c r="A61" s="626"/>
      <c r="B61" s="626"/>
      <c r="C61" s="1143"/>
      <c r="D61" s="1143"/>
      <c r="E61" s="1143"/>
      <c r="F61" s="1143"/>
      <c r="G61" s="1143"/>
      <c r="H61" s="1143"/>
      <c r="I61" s="1143"/>
      <c r="J61" s="1143"/>
      <c r="K61" s="1143"/>
      <c r="L61" s="1143"/>
      <c r="M61" s="1143"/>
      <c r="N61" s="1143"/>
      <c r="O61" s="1143"/>
      <c r="P61" s="626"/>
      <c r="Q61" s="626"/>
      <c r="R61" s="626"/>
      <c r="S61" s="626"/>
      <c r="T61" s="626"/>
      <c r="U61" s="626"/>
      <c r="V61" s="626"/>
      <c r="W61" s="626"/>
    </row>
    <row r="62" spans="1:57" ht="18.75" customHeight="1">
      <c r="A62" s="626"/>
      <c r="B62" s="626"/>
      <c r="C62" s="1143"/>
      <c r="D62" s="1143"/>
      <c r="E62" s="1143"/>
      <c r="F62" s="1143"/>
      <c r="G62" s="1143"/>
      <c r="H62" s="1143"/>
      <c r="I62" s="1143"/>
      <c r="J62" s="1143"/>
      <c r="K62" s="1143"/>
      <c r="L62" s="1143"/>
      <c r="M62" s="1143"/>
      <c r="N62" s="1143"/>
      <c r="O62" s="1143"/>
      <c r="P62" s="626"/>
      <c r="Q62" s="626"/>
      <c r="R62" s="626"/>
      <c r="S62" s="626"/>
      <c r="T62" s="626"/>
      <c r="U62" s="626"/>
      <c r="V62" s="626"/>
      <c r="W62" s="626"/>
    </row>
    <row r="63" spans="1:57" ht="18.75" customHeight="1">
      <c r="A63" s="626"/>
      <c r="B63" s="626"/>
      <c r="C63" s="2675"/>
      <c r="D63" s="2675"/>
      <c r="E63" s="2675"/>
      <c r="F63" s="2675"/>
      <c r="G63" s="2675"/>
      <c r="H63" s="2675"/>
      <c r="I63" s="2675"/>
      <c r="J63" s="2675"/>
      <c r="K63" s="2675"/>
      <c r="L63" s="2675"/>
      <c r="M63" s="2675"/>
      <c r="N63" s="2675"/>
      <c r="O63" s="2675"/>
      <c r="P63" s="626"/>
      <c r="Q63" s="626"/>
      <c r="R63" s="626"/>
      <c r="S63" s="626"/>
      <c r="T63" s="626"/>
      <c r="U63" s="626"/>
      <c r="V63" s="626"/>
      <c r="W63" s="626"/>
    </row>
    <row r="64" spans="1:57" ht="13.5" customHeight="1">
      <c r="A64" s="626"/>
      <c r="B64" s="626"/>
      <c r="C64" s="626"/>
      <c r="D64" s="626"/>
      <c r="E64" s="626"/>
      <c r="F64" s="626"/>
      <c r="G64" s="626"/>
      <c r="H64" s="626"/>
      <c r="I64" s="626"/>
      <c r="J64" s="626"/>
      <c r="K64" s="626"/>
      <c r="L64" s="626"/>
      <c r="M64" s="626"/>
      <c r="N64" s="626"/>
      <c r="O64" s="626"/>
      <c r="P64" s="626"/>
      <c r="Q64" s="626"/>
      <c r="R64" s="626"/>
      <c r="S64" s="693"/>
      <c r="T64" s="693"/>
      <c r="U64" s="693"/>
      <c r="V64" s="693"/>
      <c r="W64" s="626"/>
    </row>
    <row r="65" spans="1:66" ht="35.25" customHeight="1">
      <c r="A65" s="2427" t="s">
        <v>1280</v>
      </c>
      <c r="B65" s="3300" t="s">
        <v>1413</v>
      </c>
      <c r="C65" s="3300"/>
      <c r="D65" s="3300"/>
      <c r="E65" s="3300"/>
      <c r="F65" s="3300"/>
      <c r="G65" s="3300"/>
      <c r="H65" s="3300"/>
      <c r="I65" s="3300"/>
      <c r="J65" s="3300"/>
      <c r="K65" s="3300"/>
      <c r="L65" s="3300"/>
      <c r="M65" s="3300"/>
      <c r="N65" s="3300"/>
      <c r="O65" s="3300"/>
      <c r="P65" s="2170" t="s">
        <v>1284</v>
      </c>
      <c r="Q65" s="2806" t="s">
        <v>517</v>
      </c>
      <c r="R65" s="2806"/>
      <c r="S65" s="818" t="s">
        <v>835</v>
      </c>
      <c r="T65" s="947"/>
      <c r="U65" s="948" t="s">
        <v>518</v>
      </c>
      <c r="V65" s="947"/>
      <c r="W65" s="949"/>
      <c r="BK65" s="1874">
        <f>SUM(BN67:BN76)*(1+AW70)</f>
        <v>0</v>
      </c>
      <c r="BL65" s="402" t="s">
        <v>612</v>
      </c>
      <c r="BM65" s="1254"/>
      <c r="BN65" s="1254"/>
    </row>
    <row r="66" spans="1:66" ht="18.75" customHeight="1">
      <c r="A66" s="1791">
        <v>1</v>
      </c>
      <c r="B66" s="952" t="str">
        <f>IF(A66=1,Pricing!F$2,IF(A66=2,Pricing!G$2,IF(A66=3,Pricing!H$2,IF(A66=4,Pricing!I$2,IF(A66=5,Pricing!J$2,IF(A66=6,Pricing!K$2,0))))))</f>
        <v>3,000 PSI 5sk /Ash and Air</v>
      </c>
      <c r="C66" s="1549"/>
      <c r="D66" s="1549"/>
      <c r="E66" s="1549"/>
      <c r="F66" s="1550">
        <f>IF(A66=1,Pricing!F$3,IF(A66=2,Pricing!G$3,IF(A66=3,Pricing!H$3,IF(A66=4,Pricing!I$3,IF(A66=5,Pricing!J$3,IF(A66=6,Pricing!K$3,0))))))</f>
        <v>134</v>
      </c>
      <c r="G66" s="1549" t="s">
        <v>2066</v>
      </c>
      <c r="H66" s="3082" t="s">
        <v>1929</v>
      </c>
      <c r="I66" s="3082"/>
      <c r="J66" s="2808">
        <v>0.04</v>
      </c>
      <c r="K66" s="3010">
        <f>IF(A66=1,AJ$52,IF(A66=2,AK$52,IF(A66=3,AL$52,IF(A66=4,AM$52,IF(A66=5,AN$52,IF(A66=6,AO$52))))))</f>
        <v>0</v>
      </c>
      <c r="L66" s="3010"/>
      <c r="M66" s="17" t="s">
        <v>2067</v>
      </c>
      <c r="N66" s="3301">
        <f>K66*F66*(IF(T$55="N",1+V$55,1))</f>
        <v>0</v>
      </c>
      <c r="O66" s="3301"/>
      <c r="P66" s="2676">
        <v>2</v>
      </c>
      <c r="Q66" s="859" t="s">
        <v>1415</v>
      </c>
      <c r="R66" s="77"/>
      <c r="S66" s="1173">
        <v>0.4</v>
      </c>
      <c r="T66" s="77"/>
      <c r="U66" s="1174">
        <f>BB84</f>
        <v>0</v>
      </c>
      <c r="V66" s="77"/>
      <c r="W66" s="2677"/>
      <c r="BK66" s="1168" t="s">
        <v>1259</v>
      </c>
      <c r="BL66" s="1169" t="s">
        <v>1215</v>
      </c>
      <c r="BM66" s="1170" t="s">
        <v>1369</v>
      </c>
      <c r="BN66" s="1171" t="s">
        <v>1414</v>
      </c>
    </row>
    <row r="67" spans="1:66" ht="18.75" customHeight="1">
      <c r="A67" s="1792">
        <v>2</v>
      </c>
      <c r="B67" s="574" t="str">
        <f>IF(A67=1,Pricing!F$2,IF(A67=2,Pricing!G$2,IF(A67=3,Pricing!H$2,IF(A67=4,Pricing!I$2,IF(A67=5,Pricing!J$2,IF(A67=6,Pricing!K$2,0))))))</f>
        <v>3,000 PSI / Ash no Air</v>
      </c>
      <c r="F67" s="1182">
        <f>IF(A67=1,Pricing!F$3,IF(A67=2,Pricing!G$3,IF(A67=3,Pricing!H$3,IF(A67=4,Pricing!I$3,IF(A67=5,Pricing!J$3,IF(A67=6,Pricing!K$3,0))))))</f>
        <v>145</v>
      </c>
      <c r="G67" s="18" t="s">
        <v>2066</v>
      </c>
      <c r="H67" s="3082"/>
      <c r="I67" s="3082"/>
      <c r="J67" s="2808"/>
      <c r="K67" s="3010">
        <f>IF(A67=1,AJ$52,IF(A67=2,AK$52,IF(A67=3,AL$52,IF(A67=4,AM$52,IF(A67=5,AN$52,IF(A67=6,AO$52))))))</f>
        <v>0</v>
      </c>
      <c r="L67" s="3010"/>
      <c r="M67" s="17" t="s">
        <v>2067</v>
      </c>
      <c r="N67" s="3301">
        <f>K67*F67*(IF(T$55="N",1+V$55,1))</f>
        <v>0</v>
      </c>
      <c r="O67" s="3301"/>
      <c r="P67" s="2676">
        <v>2</v>
      </c>
      <c r="Q67" s="859" t="s">
        <v>526</v>
      </c>
      <c r="R67" s="77"/>
      <c r="S67" s="1176">
        <f>AT52*S66</f>
        <v>1641.6000000000001</v>
      </c>
      <c r="T67" s="1177" t="s">
        <v>1416</v>
      </c>
      <c r="U67" s="1174">
        <f>Pricing!Q4</f>
        <v>0.859375</v>
      </c>
      <c r="V67" s="77" t="s">
        <v>1417</v>
      </c>
      <c r="W67" s="2677">
        <f t="shared" ref="W67:W101" si="27">IF(T$55="Y",U67*S67,U67*S67*(1+V$55))</f>
        <v>1527.1368750000004</v>
      </c>
      <c r="BK67" s="142"/>
      <c r="BL67" s="143"/>
      <c r="BM67" s="144"/>
      <c r="BN67" s="145">
        <f t="shared" ref="BN67:BN76" si="28">BK67*(BL67*BL67*0.04180884375)*BM67</f>
        <v>0</v>
      </c>
    </row>
    <row r="68" spans="1:66" ht="18.75" customHeight="1">
      <c r="A68" s="1794">
        <v>5</v>
      </c>
      <c r="B68" s="966" t="str">
        <f>IF(A68=1,Pricing!F$2,IF(A68=2,Pricing!G$2,IF(A68=3,Pricing!H$2,IF(A68=4,Pricing!I$2,IF(A68=5,Pricing!J$2,IF(A68=6,Pricing!K$2,0))))))</f>
        <v>4,000 PSI /Ash and Air</v>
      </c>
      <c r="C68" s="373"/>
      <c r="D68" s="373"/>
      <c r="E68" s="373"/>
      <c r="F68" s="1180">
        <f>IF(A68=1,Pricing!F$3,IF(A68=2,Pricing!G$3,IF(A68=3,Pricing!H$3,IF(A68=4,Pricing!I$3,IF(A68=5,Pricing!J$3,IF(A68=6,Pricing!K$3,0))))))</f>
        <v>155</v>
      </c>
      <c r="G68" s="373" t="s">
        <v>2066</v>
      </c>
      <c r="H68" s="3082"/>
      <c r="I68" s="3082"/>
      <c r="J68" s="2808"/>
      <c r="K68" s="3010">
        <f>IF(A68=1,AJ$52,IF(A68=2,AK$52,IF(A68=3,AL$52,IF(A68=4,AM$52,IF(A68=5,AN$52,IF(A68=6,AO$52))))))</f>
        <v>673.57333333333349</v>
      </c>
      <c r="L68" s="3010"/>
      <c r="M68" s="967" t="s">
        <v>2067</v>
      </c>
      <c r="N68" s="3302">
        <f>K68*F68*(IF(T$55="N",1+V$55,1))</f>
        <v>113017.1856666667</v>
      </c>
      <c r="O68" s="3302"/>
      <c r="P68" s="2676">
        <v>2</v>
      </c>
      <c r="Q68" s="859" t="s">
        <v>534</v>
      </c>
      <c r="R68" s="77"/>
      <c r="S68" s="1176">
        <f>(AV52*S66+AU52*2)</f>
        <v>2082</v>
      </c>
      <c r="T68" s="1177" t="s">
        <v>1416</v>
      </c>
      <c r="U68" s="1174">
        <f>Pricing!Q5</f>
        <v>1.4453125</v>
      </c>
      <c r="V68" s="77" t="s">
        <v>1417</v>
      </c>
      <c r="W68" s="2677">
        <f t="shared" si="27"/>
        <v>3257.3947265625002</v>
      </c>
      <c r="BK68" s="142"/>
      <c r="BL68" s="143"/>
      <c r="BM68" s="144"/>
      <c r="BN68" s="145">
        <f t="shared" si="28"/>
        <v>0</v>
      </c>
    </row>
    <row r="69" spans="1:66" ht="18.75" customHeight="1">
      <c r="A69" s="574"/>
      <c r="B69" s="963" t="s">
        <v>1287</v>
      </c>
      <c r="F69" s="969">
        <f>Pricing!D23</f>
        <v>0.65</v>
      </c>
      <c r="G69" s="18" t="s">
        <v>555</v>
      </c>
      <c r="H69" s="3288" t="s">
        <v>1930</v>
      </c>
      <c r="I69" s="3288"/>
      <c r="J69" s="2678">
        <v>0.05</v>
      </c>
      <c r="K69" s="2957">
        <f>AQ52</f>
        <v>124024.15803093754</v>
      </c>
      <c r="L69" s="2957"/>
      <c r="M69" s="18" t="s">
        <v>1288</v>
      </c>
      <c r="N69" s="3301">
        <f>F69*K69*(IF(T55="N",1+V55,1))</f>
        <v>87266.498194518426</v>
      </c>
      <c r="O69" s="3301"/>
      <c r="P69" s="2676">
        <v>2</v>
      </c>
      <c r="Q69" s="859" t="s">
        <v>536</v>
      </c>
      <c r="R69" s="77"/>
      <c r="S69" s="1176">
        <f>(AW52*S66)</f>
        <v>1641.6000000000001</v>
      </c>
      <c r="T69" s="1177" t="s">
        <v>1416</v>
      </c>
      <c r="U69" s="1174">
        <f>Pricing!Q6</f>
        <v>1.171875</v>
      </c>
      <c r="V69" s="77" t="s">
        <v>1417</v>
      </c>
      <c r="W69" s="2677">
        <f t="shared" si="27"/>
        <v>2082.4593750000004</v>
      </c>
      <c r="BK69" s="142"/>
      <c r="BL69" s="143"/>
      <c r="BM69" s="144"/>
      <c r="BN69" s="145">
        <f t="shared" si="28"/>
        <v>0</v>
      </c>
    </row>
    <row r="70" spans="1:66" ht="18.75" customHeight="1">
      <c r="A70" s="1087"/>
      <c r="B70" s="17" t="s">
        <v>1421</v>
      </c>
      <c r="F70" s="1191">
        <f>Pricing!D19</f>
        <v>25</v>
      </c>
      <c r="G70" s="18" t="s">
        <v>2068</v>
      </c>
      <c r="H70" s="2857" t="s">
        <v>1930</v>
      </c>
      <c r="I70" s="2857"/>
      <c r="J70" s="2679">
        <v>0.05</v>
      </c>
      <c r="K70" s="3010"/>
      <c r="L70" s="3010"/>
      <c r="M70" s="18" t="s">
        <v>2067</v>
      </c>
      <c r="N70" s="3301">
        <f>K70*F70*IF(T23="N",1+H23,1)</f>
        <v>0</v>
      </c>
      <c r="O70" s="3301"/>
      <c r="P70" s="2676">
        <v>2</v>
      </c>
      <c r="Q70" s="859" t="s">
        <v>538</v>
      </c>
      <c r="R70" s="77"/>
      <c r="S70" s="1176">
        <f>D52</f>
        <v>347</v>
      </c>
      <c r="T70" s="1177" t="s">
        <v>1416</v>
      </c>
      <c r="U70" s="1174">
        <f>Pricing!Q7</f>
        <v>1.09375</v>
      </c>
      <c r="V70" s="77" t="s">
        <v>1417</v>
      </c>
      <c r="W70" s="2677">
        <f t="shared" si="27"/>
        <v>410.84257812499999</v>
      </c>
      <c r="AG70" s="351"/>
      <c r="BK70" s="142"/>
      <c r="BL70" s="143"/>
      <c r="BM70" s="144"/>
      <c r="BN70" s="145">
        <f t="shared" si="28"/>
        <v>0</v>
      </c>
    </row>
    <row r="71" spans="1:66" ht="18.75" customHeight="1">
      <c r="A71" s="574"/>
      <c r="B71" s="963" t="s">
        <v>2069</v>
      </c>
      <c r="F71" s="1182">
        <f>Pricing!F6</f>
        <v>0</v>
      </c>
      <c r="G71" s="18" t="s">
        <v>600</v>
      </c>
      <c r="H71" s="2814" t="s">
        <v>1930</v>
      </c>
      <c r="I71" s="2814"/>
      <c r="J71" s="2680">
        <v>0.05</v>
      </c>
      <c r="K71" s="3010"/>
      <c r="L71" s="3010"/>
      <c r="M71" s="18" t="s">
        <v>1418</v>
      </c>
      <c r="N71" s="3301">
        <f>K71*F71*(IF(T55="N",1+V55,1))*(J71+1)</f>
        <v>0</v>
      </c>
      <c r="O71" s="3301"/>
      <c r="P71" s="2676">
        <v>2</v>
      </c>
      <c r="Q71" s="859" t="s">
        <v>540</v>
      </c>
      <c r="R71" s="77"/>
      <c r="S71" s="1176"/>
      <c r="T71" s="77" t="s">
        <v>1420</v>
      </c>
      <c r="U71" s="1174">
        <f>Pricing!Q8</f>
        <v>74.75</v>
      </c>
      <c r="V71" s="77" t="s">
        <v>541</v>
      </c>
      <c r="W71" s="2677">
        <f t="shared" si="27"/>
        <v>0</v>
      </c>
      <c r="BK71" s="1185"/>
      <c r="BL71" s="1186"/>
      <c r="BM71" s="1187"/>
      <c r="BN71" s="1188">
        <f t="shared" si="28"/>
        <v>0</v>
      </c>
    </row>
    <row r="72" spans="1:66" ht="18.75" customHeight="1">
      <c r="A72" s="1087"/>
      <c r="B72" s="987" t="s">
        <v>1424</v>
      </c>
      <c r="C72" s="373"/>
      <c r="D72" s="1192"/>
      <c r="E72" s="373"/>
      <c r="F72" s="1193">
        <v>15</v>
      </c>
      <c r="G72" s="373" t="s">
        <v>566</v>
      </c>
      <c r="H72" s="2681"/>
      <c r="I72" s="2682"/>
      <c r="J72" s="955"/>
      <c r="K72" s="3011"/>
      <c r="L72" s="3011"/>
      <c r="M72" s="373" t="s">
        <v>1418</v>
      </c>
      <c r="N72" s="3302">
        <f>K72*F72</f>
        <v>0</v>
      </c>
      <c r="O72" s="3302"/>
      <c r="P72" s="2676">
        <v>2</v>
      </c>
      <c r="Q72" s="859" t="s">
        <v>1422</v>
      </c>
      <c r="R72" s="77"/>
      <c r="S72" s="1176">
        <f>S69/100*S66</f>
        <v>6.5664000000000007</v>
      </c>
      <c r="T72" s="77" t="s">
        <v>1423</v>
      </c>
      <c r="U72" s="1174">
        <f>Pricing!Q15</f>
        <v>24</v>
      </c>
      <c r="V72" s="77" t="s">
        <v>1300</v>
      </c>
      <c r="W72" s="2677">
        <f t="shared" si="27"/>
        <v>170.59507200000002</v>
      </c>
      <c r="BK72" s="142"/>
      <c r="BL72" s="143"/>
      <c r="BM72" s="144"/>
      <c r="BN72" s="145">
        <f t="shared" si="28"/>
        <v>0</v>
      </c>
    </row>
    <row r="73" spans="1:66" ht="18.75" customHeight="1">
      <c r="A73" s="574" t="s">
        <v>966</v>
      </c>
      <c r="B73" s="17"/>
      <c r="D73" s="793"/>
      <c r="F73" s="1194"/>
      <c r="G73" s="18" t="s">
        <v>1426</v>
      </c>
      <c r="K73" s="3010"/>
      <c r="L73" s="3010"/>
      <c r="M73" s="18" t="s">
        <v>1418</v>
      </c>
      <c r="N73" s="3303">
        <f>F73*K73</f>
        <v>0</v>
      </c>
      <c r="O73" s="3303"/>
      <c r="P73" s="2676">
        <v>2</v>
      </c>
      <c r="Q73" s="859" t="s">
        <v>561</v>
      </c>
      <c r="R73" s="77"/>
      <c r="S73" s="1176">
        <f>ROUNDUP((S69+S68)/S66/1800,0)</f>
        <v>6</v>
      </c>
      <c r="T73" s="77" t="s">
        <v>1425</v>
      </c>
      <c r="U73" s="1174">
        <f>Pricing!Q16</f>
        <v>68.2</v>
      </c>
      <c r="V73" s="77" t="s">
        <v>562</v>
      </c>
      <c r="W73" s="2677">
        <f t="shared" si="27"/>
        <v>442.95900000000006</v>
      </c>
      <c r="BK73" s="142"/>
      <c r="BL73" s="143"/>
      <c r="BM73" s="144"/>
      <c r="BN73" s="145">
        <f t="shared" si="28"/>
        <v>0</v>
      </c>
    </row>
    <row r="74" spans="1:66" ht="18.75" customHeight="1">
      <c r="A74" s="17" t="s">
        <v>2070</v>
      </c>
      <c r="B74" s="574"/>
      <c r="F74" s="2683">
        <v>0.35</v>
      </c>
      <c r="G74" s="18" t="s">
        <v>600</v>
      </c>
      <c r="H74" s="18" t="s">
        <v>1291</v>
      </c>
      <c r="I74" s="3304">
        <v>0</v>
      </c>
      <c r="J74" s="3304"/>
      <c r="K74" s="2832"/>
      <c r="L74" s="2832"/>
      <c r="M74" s="18" t="s">
        <v>1259</v>
      </c>
      <c r="N74" s="3303">
        <f>IF(I74&gt;0,I74,0)</f>
        <v>0</v>
      </c>
      <c r="O74" s="3303"/>
      <c r="P74" s="2676">
        <v>2</v>
      </c>
      <c r="Q74" s="859" t="s">
        <v>563</v>
      </c>
      <c r="R74" s="77"/>
      <c r="S74" s="1176">
        <f>S73*0.6</f>
        <v>3.5999999999999996</v>
      </c>
      <c r="T74" s="77" t="s">
        <v>1425</v>
      </c>
      <c r="U74" s="1174">
        <f>Pricing!Q17</f>
        <v>68.2</v>
      </c>
      <c r="V74" s="77" t="s">
        <v>562</v>
      </c>
      <c r="W74" s="2677">
        <f t="shared" si="27"/>
        <v>265.77539999999999</v>
      </c>
      <c r="BK74" s="142"/>
      <c r="BL74" s="143"/>
      <c r="BM74" s="144"/>
      <c r="BN74" s="145">
        <f t="shared" si="28"/>
        <v>0</v>
      </c>
    </row>
    <row r="75" spans="1:66" ht="18.75" customHeight="1">
      <c r="A75" s="963" t="s">
        <v>1334</v>
      </c>
      <c r="B75" s="17"/>
      <c r="C75" s="17"/>
      <c r="D75" s="793" t="s">
        <v>1428</v>
      </c>
      <c r="E75" s="1196" t="s">
        <v>1306</v>
      </c>
      <c r="F75" s="1197">
        <v>1</v>
      </c>
      <c r="G75" s="18" t="s">
        <v>600</v>
      </c>
      <c r="H75" s="3305" t="s">
        <v>1930</v>
      </c>
      <c r="I75" s="3305"/>
      <c r="J75" s="3306">
        <v>0.1</v>
      </c>
      <c r="K75" s="3010">
        <f>IF(E75="Y",AU52*(1+J75),0)</f>
        <v>1145.1000000000001</v>
      </c>
      <c r="L75" s="3010"/>
      <c r="M75" s="18" t="s">
        <v>1259</v>
      </c>
      <c r="N75" s="3303">
        <f>IF(I$74&gt;0,0,K75*F75*(IF(T$55="Y",1,(1+V$55))))</f>
        <v>1239.5707500000001</v>
      </c>
      <c r="O75" s="3303"/>
      <c r="P75" s="2676">
        <v>2</v>
      </c>
      <c r="Q75" s="859" t="s">
        <v>564</v>
      </c>
      <c r="R75" s="77"/>
      <c r="S75" s="1176">
        <f>S74</f>
        <v>3.5999999999999996</v>
      </c>
      <c r="T75" s="77" t="s">
        <v>1425</v>
      </c>
      <c r="U75" s="1174">
        <f>Pricing!Q18</f>
        <v>68.2</v>
      </c>
      <c r="V75" s="77" t="s">
        <v>562</v>
      </c>
      <c r="W75" s="2677">
        <f t="shared" si="27"/>
        <v>265.77539999999999</v>
      </c>
      <c r="BK75" s="1195"/>
      <c r="BL75" s="143"/>
      <c r="BM75" s="144"/>
      <c r="BN75" s="145">
        <f t="shared" si="28"/>
        <v>0</v>
      </c>
    </row>
    <row r="76" spans="1:66" ht="18.75" customHeight="1">
      <c r="A76" s="963" t="s">
        <v>2071</v>
      </c>
      <c r="B76" s="17"/>
      <c r="C76" s="17"/>
      <c r="D76" s="1192" t="s">
        <v>1428</v>
      </c>
      <c r="E76" s="1198" t="str">
        <f>E75</f>
        <v>Y</v>
      </c>
      <c r="F76" s="1199">
        <v>1.8</v>
      </c>
      <c r="G76" s="373" t="s">
        <v>1430</v>
      </c>
      <c r="H76" s="3305"/>
      <c r="I76" s="3305"/>
      <c r="J76" s="3306"/>
      <c r="K76" s="3011">
        <f>K75*2</f>
        <v>2290.2000000000003</v>
      </c>
      <c r="L76" s="3011"/>
      <c r="M76" s="373" t="s">
        <v>1259</v>
      </c>
      <c r="N76" s="3303">
        <f>IF(I$74&gt;0,0,K76*F76*(IF(T$55="Y",1,(1+V$55))))</f>
        <v>4462.4547000000011</v>
      </c>
      <c r="O76" s="3303"/>
      <c r="P76" s="2676">
        <v>2</v>
      </c>
      <c r="Q76" s="859" t="s">
        <v>1310</v>
      </c>
      <c r="R76" s="77"/>
      <c r="S76" s="1176">
        <f>AN28*12/48/50</f>
        <v>0</v>
      </c>
      <c r="T76" s="77" t="s">
        <v>1425</v>
      </c>
      <c r="U76" s="1174">
        <f>Pricing!Q34</f>
        <v>45.239999999999995</v>
      </c>
      <c r="V76" s="77" t="s">
        <v>562</v>
      </c>
      <c r="W76" s="2677">
        <f t="shared" si="27"/>
        <v>0</v>
      </c>
      <c r="BK76" s="1185"/>
      <c r="BL76" s="1186"/>
      <c r="BM76" s="1187"/>
      <c r="BN76" s="1188">
        <f t="shared" si="28"/>
        <v>0</v>
      </c>
    </row>
    <row r="77" spans="1:66" ht="18.75" customHeight="1">
      <c r="A77" s="577"/>
      <c r="B77" s="976" t="s">
        <v>1431</v>
      </c>
      <c r="C77" s="976"/>
      <c r="D77" s="976"/>
      <c r="E77" s="976"/>
      <c r="F77" s="1200">
        <v>0.65</v>
      </c>
      <c r="G77" s="976" t="s">
        <v>1432</v>
      </c>
      <c r="H77" s="2820" t="s">
        <v>1433</v>
      </c>
      <c r="I77" s="2820"/>
      <c r="J77" s="2684">
        <v>0</v>
      </c>
      <c r="K77" s="3014"/>
      <c r="L77" s="3014"/>
      <c r="M77" s="976" t="s">
        <v>1418</v>
      </c>
      <c r="N77" s="3307">
        <f>F77*J77*K77</f>
        <v>0</v>
      </c>
      <c r="O77" s="3307"/>
      <c r="P77" s="2676">
        <v>2</v>
      </c>
      <c r="Q77" s="859" t="s">
        <v>571</v>
      </c>
      <c r="R77" s="77"/>
      <c r="S77" s="1176">
        <f>BE66+AF102</f>
        <v>0</v>
      </c>
      <c r="T77" s="77" t="s">
        <v>1416</v>
      </c>
      <c r="U77" s="1174">
        <f>Pricing!Q19</f>
        <v>0.95</v>
      </c>
      <c r="V77" s="77" t="s">
        <v>1417</v>
      </c>
      <c r="W77" s="2677">
        <f t="shared" si="27"/>
        <v>0</v>
      </c>
    </row>
    <row r="78" spans="1:66" ht="18.75" customHeight="1">
      <c r="A78" s="1202" t="s">
        <v>1434</v>
      </c>
      <c r="B78" s="1203"/>
      <c r="C78" s="1203" t="s">
        <v>1296</v>
      </c>
      <c r="D78" s="1203"/>
      <c r="E78" s="1203"/>
      <c r="F78" s="1203"/>
      <c r="G78" s="1203"/>
      <c r="H78" s="1203"/>
      <c r="I78" s="1203"/>
      <c r="J78" s="1203"/>
      <c r="K78" s="2823" t="s">
        <v>973</v>
      </c>
      <c r="L78" s="2823"/>
      <c r="M78" s="2824" t="s">
        <v>1297</v>
      </c>
      <c r="N78" s="2824"/>
      <c r="O78" s="2824"/>
      <c r="P78" s="2676">
        <v>2</v>
      </c>
      <c r="Q78" s="859" t="s">
        <v>576</v>
      </c>
      <c r="R78" s="77"/>
      <c r="S78" s="1176">
        <f>AT52*2</f>
        <v>8208</v>
      </c>
      <c r="T78" s="77" t="s">
        <v>1416</v>
      </c>
      <c r="U78" s="1174">
        <f>Pricing!Q20</f>
        <v>0.25</v>
      </c>
      <c r="V78" s="77" t="s">
        <v>1417</v>
      </c>
      <c r="W78" s="2677">
        <f t="shared" si="27"/>
        <v>2221.29</v>
      </c>
    </row>
    <row r="79" spans="1:66" ht="18.75" customHeight="1">
      <c r="A79" s="1204" t="s">
        <v>2072</v>
      </c>
      <c r="B79" s="983"/>
      <c r="C79" s="982" t="s">
        <v>1047</v>
      </c>
      <c r="D79" s="3017">
        <v>1.5</v>
      </c>
      <c r="E79" s="3017"/>
      <c r="F79" s="983" t="s">
        <v>1259</v>
      </c>
      <c r="G79" s="983"/>
      <c r="H79" s="3018">
        <v>0</v>
      </c>
      <c r="I79" s="3018"/>
      <c r="J79" s="983" t="s">
        <v>1259</v>
      </c>
      <c r="K79" s="3308">
        <f>IF(C79="N",D79*H79,0)</f>
        <v>0</v>
      </c>
      <c r="L79" s="3308"/>
      <c r="M79" s="168"/>
      <c r="N79" s="3309">
        <f>IF(C79="y",D79*H79,0)</f>
        <v>0</v>
      </c>
      <c r="O79" s="3309"/>
      <c r="P79" s="2676">
        <v>2</v>
      </c>
      <c r="Q79" s="859" t="s">
        <v>583</v>
      </c>
      <c r="R79" s="77"/>
      <c r="S79" s="1176"/>
      <c r="T79" s="77" t="s">
        <v>1425</v>
      </c>
      <c r="U79" s="1174">
        <f>Pricing!Q21</f>
        <v>45</v>
      </c>
      <c r="V79" s="77" t="s">
        <v>562</v>
      </c>
      <c r="W79" s="2677">
        <f t="shared" si="27"/>
        <v>0</v>
      </c>
    </row>
    <row r="80" spans="1:66" ht="18.75" customHeight="1">
      <c r="A80" s="574" t="s">
        <v>1437</v>
      </c>
      <c r="B80" s="380"/>
      <c r="C80" s="1206" t="s">
        <v>1306</v>
      </c>
      <c r="D80" s="2830">
        <v>0.35</v>
      </c>
      <c r="E80" s="2830"/>
      <c r="F80" s="18" t="s">
        <v>1618</v>
      </c>
      <c r="G80" s="3020">
        <f>SUM(D80:E82)</f>
        <v>1.25</v>
      </c>
      <c r="H80" s="3310">
        <f>AR52</f>
        <v>30024</v>
      </c>
      <c r="I80" s="3310"/>
      <c r="J80" s="18" t="s">
        <v>1439</v>
      </c>
      <c r="K80" s="3311">
        <f>IF(C80="N",D80*H$80,0)</f>
        <v>0</v>
      </c>
      <c r="L80" s="3311"/>
      <c r="N80" s="3312">
        <f>IF(C80="y",H$80*D80,0)</f>
        <v>10508.4</v>
      </c>
      <c r="O80" s="3312"/>
      <c r="P80" s="2676">
        <v>2</v>
      </c>
      <c r="Q80" s="859" t="s">
        <v>2073</v>
      </c>
      <c r="R80" s="77"/>
      <c r="S80" s="77">
        <v>0</v>
      </c>
      <c r="T80" s="77" t="s">
        <v>1259</v>
      </c>
      <c r="U80" s="1174">
        <v>2.5</v>
      </c>
      <c r="V80" s="77"/>
      <c r="W80" s="2677">
        <f t="shared" si="27"/>
        <v>0</v>
      </c>
    </row>
    <row r="81" spans="1:33" ht="18.75" customHeight="1">
      <c r="A81" s="963" t="s">
        <v>1442</v>
      </c>
      <c r="B81" s="380"/>
      <c r="C81" s="984" t="s">
        <v>1306</v>
      </c>
      <c r="D81" s="2830">
        <v>0.65</v>
      </c>
      <c r="E81" s="2830"/>
      <c r="F81" s="18" t="s">
        <v>1618</v>
      </c>
      <c r="G81" s="3020"/>
      <c r="H81" s="3310"/>
      <c r="I81" s="3310"/>
      <c r="J81" s="18" t="s">
        <v>1439</v>
      </c>
      <c r="K81" s="3311">
        <f>IF(C81="N",D81*H$80,0)</f>
        <v>0</v>
      </c>
      <c r="L81" s="3311"/>
      <c r="N81" s="3312">
        <f>IF(C81="y",H$80*D81,0)</f>
        <v>19515.600000000002</v>
      </c>
      <c r="O81" s="3312"/>
      <c r="P81" s="2676">
        <v>2</v>
      </c>
      <c r="Q81" s="859" t="s">
        <v>1453</v>
      </c>
      <c r="R81" s="77"/>
      <c r="S81" s="77"/>
      <c r="T81" s="77" t="s">
        <v>1454</v>
      </c>
      <c r="U81" s="1174">
        <f>BH76</f>
        <v>0</v>
      </c>
      <c r="V81" s="77" t="s">
        <v>630</v>
      </c>
      <c r="W81" s="2677">
        <f t="shared" si="27"/>
        <v>0</v>
      </c>
      <c r="AG81" s="351"/>
    </row>
    <row r="82" spans="1:33" ht="18.75" customHeight="1">
      <c r="A82" s="963" t="s">
        <v>1443</v>
      </c>
      <c r="B82" s="380"/>
      <c r="C82" s="984" t="s">
        <v>1306</v>
      </c>
      <c r="D82" s="2830">
        <v>0.25</v>
      </c>
      <c r="E82" s="2830"/>
      <c r="F82" s="18" t="s">
        <v>1618</v>
      </c>
      <c r="G82" s="3020"/>
      <c r="H82" s="3310"/>
      <c r="I82" s="3310"/>
      <c r="J82" s="18" t="s">
        <v>1439</v>
      </c>
      <c r="K82" s="3311">
        <f>IF(C82="N",D82*H$80,0)</f>
        <v>0</v>
      </c>
      <c r="L82" s="3311"/>
      <c r="N82" s="3312">
        <f>IF(C82="y",H$80*D82,0)</f>
        <v>7506</v>
      </c>
      <c r="O82" s="3312"/>
      <c r="P82" s="2676">
        <v>2</v>
      </c>
      <c r="Q82" s="859"/>
      <c r="R82" s="77"/>
      <c r="S82" s="1176"/>
      <c r="T82" s="77"/>
      <c r="U82" s="1174">
        <v>0</v>
      </c>
      <c r="V82" s="77"/>
      <c r="W82" s="2677">
        <f t="shared" si="27"/>
        <v>0</v>
      </c>
    </row>
    <row r="83" spans="1:33" ht="18.75" customHeight="1">
      <c r="A83" s="963" t="s">
        <v>1444</v>
      </c>
      <c r="B83" s="380"/>
      <c r="C83" s="984" t="s">
        <v>1306</v>
      </c>
      <c r="D83" s="2830">
        <v>0.85</v>
      </c>
      <c r="E83" s="2830"/>
      <c r="F83" s="18" t="s">
        <v>1618</v>
      </c>
      <c r="H83" s="3310"/>
      <c r="I83" s="3310"/>
      <c r="J83" s="18" t="s">
        <v>1439</v>
      </c>
      <c r="K83" s="3311">
        <f>IF(C83="N",D83*H$80,0)</f>
        <v>0</v>
      </c>
      <c r="L83" s="3311"/>
      <c r="N83" s="3312">
        <f>IF(C83="y",H$80*D83,0)</f>
        <v>25520.399999999998</v>
      </c>
      <c r="O83" s="3312"/>
      <c r="P83" s="2676">
        <v>2</v>
      </c>
      <c r="Q83" s="1208"/>
      <c r="R83" s="1209"/>
      <c r="S83" s="1210"/>
      <c r="T83" s="1209"/>
      <c r="U83" s="1211">
        <v>0</v>
      </c>
      <c r="V83" s="1209"/>
      <c r="W83" s="2685">
        <f t="shared" si="27"/>
        <v>0</v>
      </c>
      <c r="AG83" s="351"/>
    </row>
    <row r="84" spans="1:33" ht="18.75" customHeight="1">
      <c r="A84" s="963" t="s">
        <v>1307</v>
      </c>
      <c r="B84" s="380"/>
      <c r="C84" s="984" t="s">
        <v>1306</v>
      </c>
      <c r="D84" s="2830">
        <v>450</v>
      </c>
      <c r="E84" s="2830"/>
      <c r="F84" s="18" t="s">
        <v>1308</v>
      </c>
      <c r="G84" s="380" t="s">
        <v>1964</v>
      </c>
      <c r="H84" s="2832">
        <f>(K69/2000)</f>
        <v>62.012079015468771</v>
      </c>
      <c r="I84" s="2832"/>
      <c r="J84" s="18" t="s">
        <v>1309</v>
      </c>
      <c r="K84" s="3311">
        <f>IF(C84="N",D84*H84,0)</f>
        <v>0</v>
      </c>
      <c r="L84" s="3311"/>
      <c r="N84" s="3312">
        <f>IF(C84="y",H84*D84,0)</f>
        <v>27905.435556960947</v>
      </c>
      <c r="O84" s="3312"/>
      <c r="P84" s="2676">
        <v>2</v>
      </c>
      <c r="Q84" s="859" t="s">
        <v>1453</v>
      </c>
      <c r="R84" s="77"/>
      <c r="S84" s="1176">
        <f>BE71+BM71</f>
        <v>0</v>
      </c>
      <c r="T84" s="77"/>
      <c r="U84" s="1174">
        <f>BH71</f>
        <v>0</v>
      </c>
      <c r="V84" s="77"/>
      <c r="W84" s="2677">
        <f t="shared" si="27"/>
        <v>0</v>
      </c>
    </row>
    <row r="85" spans="1:33" ht="18.75" customHeight="1">
      <c r="A85" s="2686" t="s">
        <v>2074</v>
      </c>
      <c r="B85" s="799"/>
      <c r="C85" s="984" t="s">
        <v>1306</v>
      </c>
      <c r="D85" s="3313">
        <v>8</v>
      </c>
      <c r="E85" s="3313"/>
      <c r="F85" s="747" t="s">
        <v>2075</v>
      </c>
      <c r="G85" s="1389">
        <v>2</v>
      </c>
      <c r="H85" s="3314">
        <f>AU52*6.5*G85/27</f>
        <v>501.22222222222223</v>
      </c>
      <c r="I85" s="3314"/>
      <c r="J85" s="747" t="s">
        <v>2076</v>
      </c>
      <c r="K85" s="3315">
        <f>IF(C85="N",D85*H85,0)</f>
        <v>0</v>
      </c>
      <c r="L85" s="3315"/>
      <c r="M85" s="296"/>
      <c r="N85" s="3316">
        <f>IF(C85="y",H85*D85,0)</f>
        <v>4009.7777777777778</v>
      </c>
      <c r="O85" s="3316"/>
      <c r="P85" s="2676">
        <v>2</v>
      </c>
      <c r="Q85" s="859"/>
      <c r="R85" s="77"/>
      <c r="S85" s="1176">
        <f>BE73+BM73</f>
        <v>0</v>
      </c>
      <c r="T85" s="77"/>
      <c r="U85" s="1174">
        <f>BH73</f>
        <v>0</v>
      </c>
      <c r="V85" s="77"/>
      <c r="W85" s="2677">
        <f t="shared" si="27"/>
        <v>0</v>
      </c>
    </row>
    <row r="86" spans="1:33" ht="18.75" customHeight="1">
      <c r="A86" s="990" t="s">
        <v>1447</v>
      </c>
      <c r="B86" s="991"/>
      <c r="C86" s="992"/>
      <c r="D86" s="2836">
        <f>IF(H80=0,0,(N86+K86)/H80)</f>
        <v>3.1629900524493313</v>
      </c>
      <c r="E86" s="2836"/>
      <c r="F86" s="802"/>
      <c r="G86" s="976"/>
      <c r="H86" s="3317" t="s">
        <v>980</v>
      </c>
      <c r="I86" s="3317"/>
      <c r="J86" s="3317"/>
      <c r="K86" s="2972">
        <f>SUM(K79:L85)</f>
        <v>0</v>
      </c>
      <c r="L86" s="2972"/>
      <c r="M86" s="229"/>
      <c r="N86" s="3025">
        <f>SUM(N79:O85)</f>
        <v>94965.613334738722</v>
      </c>
      <c r="O86" s="3025"/>
      <c r="P86" s="2676">
        <v>2</v>
      </c>
      <c r="Q86" s="1208"/>
      <c r="R86" s="1209"/>
      <c r="S86" s="1210">
        <f>BE74+BM74</f>
        <v>0</v>
      </c>
      <c r="T86" s="1804"/>
      <c r="U86" s="1211">
        <f>BH74</f>
        <v>0</v>
      </c>
      <c r="V86" s="1209"/>
      <c r="W86" s="2685">
        <f t="shared" si="27"/>
        <v>0</v>
      </c>
    </row>
    <row r="87" spans="1:33" ht="18.75" customHeight="1">
      <c r="A87" s="2687" t="s">
        <v>1449</v>
      </c>
      <c r="B87" s="980"/>
      <c r="C87" s="980"/>
      <c r="D87" s="980"/>
      <c r="E87" s="980"/>
      <c r="F87" s="980"/>
      <c r="G87" s="980"/>
      <c r="H87" s="980"/>
      <c r="I87" s="980"/>
      <c r="J87" s="980"/>
      <c r="K87" s="980"/>
      <c r="L87" s="980"/>
      <c r="M87" s="980"/>
      <c r="N87" s="980"/>
      <c r="O87" s="980"/>
      <c r="P87" s="2676">
        <v>2</v>
      </c>
      <c r="Q87" s="859" t="s">
        <v>2077</v>
      </c>
      <c r="R87" s="77"/>
      <c r="S87" s="1176"/>
      <c r="T87" s="77"/>
      <c r="U87" s="1174">
        <v>25</v>
      </c>
      <c r="V87" s="77" t="s">
        <v>1312</v>
      </c>
      <c r="W87" s="2677">
        <f t="shared" si="27"/>
        <v>0</v>
      </c>
    </row>
    <row r="88" spans="1:33" ht="18.75" customHeight="1">
      <c r="A88" s="1593" t="s">
        <v>1316</v>
      </c>
      <c r="B88" s="1802"/>
      <c r="C88" s="998"/>
      <c r="D88" s="999">
        <v>40</v>
      </c>
      <c r="E88" s="1802" t="s">
        <v>1317</v>
      </c>
      <c r="F88" s="1216">
        <v>350</v>
      </c>
      <c r="G88" s="1806" t="s">
        <v>1450</v>
      </c>
      <c r="H88" s="983"/>
      <c r="I88" s="983"/>
      <c r="J88" s="983"/>
      <c r="K88" s="983"/>
      <c r="L88" s="2974">
        <f>IF(D56=0,0,(SUM(N88:O90))/D56)</f>
        <v>5.7720092722196616E-2</v>
      </c>
      <c r="M88" s="2974"/>
      <c r="N88" s="3318">
        <f>D88*F88</f>
        <v>14000</v>
      </c>
      <c r="O88" s="3318"/>
      <c r="P88" s="2676">
        <v>2</v>
      </c>
      <c r="Q88" s="1208" t="s">
        <v>604</v>
      </c>
      <c r="R88" s="1209"/>
      <c r="S88" s="1210"/>
      <c r="T88" s="1209"/>
      <c r="U88" s="1211">
        <f>Pricing!Q5</f>
        <v>1.4453125</v>
      </c>
      <c r="V88" s="1209" t="s">
        <v>1312</v>
      </c>
      <c r="W88" s="2685">
        <f t="shared" si="27"/>
        <v>0</v>
      </c>
    </row>
    <row r="89" spans="1:33" ht="18.75" customHeight="1">
      <c r="A89" s="482" t="s">
        <v>1318</v>
      </c>
      <c r="B89" s="77"/>
      <c r="C89" s="77"/>
      <c r="D89" s="1002">
        <f>D88</f>
        <v>40</v>
      </c>
      <c r="E89" s="1807" t="s">
        <v>1317</v>
      </c>
      <c r="F89" s="1217">
        <v>250</v>
      </c>
      <c r="G89" s="1809" t="s">
        <v>1450</v>
      </c>
      <c r="L89" s="2975">
        <f>SUM(N88:O90)</f>
        <v>28000</v>
      </c>
      <c r="M89" s="2975"/>
      <c r="N89" s="3303">
        <f>D89*F89</f>
        <v>10000</v>
      </c>
      <c r="O89" s="3303"/>
      <c r="P89" s="2676">
        <v>2</v>
      </c>
      <c r="Q89" s="859" t="s">
        <v>2078</v>
      </c>
      <c r="R89" s="77"/>
      <c r="S89" s="1176">
        <f>H80/250</f>
        <v>120.096</v>
      </c>
      <c r="T89" s="77" t="s">
        <v>1452</v>
      </c>
      <c r="U89" s="1174">
        <f>Pricing!Q28</f>
        <v>45</v>
      </c>
      <c r="V89" s="77" t="s">
        <v>607</v>
      </c>
      <c r="W89" s="2677">
        <f t="shared" si="27"/>
        <v>5850.1763999999994</v>
      </c>
    </row>
    <row r="90" spans="1:33" ht="18.75" customHeight="1">
      <c r="A90" s="1595" t="s">
        <v>1320</v>
      </c>
      <c r="B90" s="1621"/>
      <c r="C90" s="1621"/>
      <c r="D90" s="1008">
        <f>IF(D88=0,D89,D88)</f>
        <v>40</v>
      </c>
      <c r="E90" s="1621" t="s">
        <v>1317</v>
      </c>
      <c r="F90" s="1218">
        <v>100</v>
      </c>
      <c r="G90" s="1621" t="s">
        <v>1450</v>
      </c>
      <c r="H90" s="976"/>
      <c r="I90" s="976"/>
      <c r="J90" s="976"/>
      <c r="K90" s="976"/>
      <c r="L90" s="976"/>
      <c r="M90" s="976"/>
      <c r="N90" s="3319">
        <f>D90*F90</f>
        <v>4000</v>
      </c>
      <c r="O90" s="3319"/>
      <c r="P90" s="2676">
        <v>2</v>
      </c>
      <c r="Q90" s="859" t="s">
        <v>2079</v>
      </c>
      <c r="R90" s="77"/>
      <c r="S90" s="1176">
        <f>BE73+BM73</f>
        <v>0</v>
      </c>
      <c r="T90" s="77" t="s">
        <v>2080</v>
      </c>
      <c r="U90" s="1174">
        <v>0</v>
      </c>
      <c r="V90" s="77"/>
      <c r="W90" s="2677">
        <f t="shared" si="27"/>
        <v>0</v>
      </c>
    </row>
    <row r="91" spans="1:33" ht="18.75" customHeight="1">
      <c r="A91" s="2687" t="s">
        <v>1325</v>
      </c>
      <c r="B91" s="980"/>
      <c r="C91" s="980"/>
      <c r="D91" s="980"/>
      <c r="E91" s="980"/>
      <c r="F91" s="980"/>
      <c r="G91" s="980"/>
      <c r="H91" s="980"/>
      <c r="I91" s="980"/>
      <c r="J91" s="980"/>
      <c r="K91" s="980"/>
      <c r="L91" s="980"/>
      <c r="M91" s="980"/>
      <c r="N91" s="980"/>
      <c r="O91" s="980"/>
      <c r="P91" s="2676">
        <v>2</v>
      </c>
      <c r="Q91" s="1208" t="s">
        <v>1108</v>
      </c>
      <c r="R91" s="248"/>
      <c r="S91" s="248">
        <v>0</v>
      </c>
      <c r="T91" s="779" t="s">
        <v>1018</v>
      </c>
      <c r="U91" s="2689">
        <v>0</v>
      </c>
      <c r="V91" s="248"/>
      <c r="W91" s="2685">
        <f t="shared" si="27"/>
        <v>0</v>
      </c>
    </row>
    <row r="92" spans="1:33" ht="18.75" customHeight="1">
      <c r="A92" s="1593" t="s">
        <v>619</v>
      </c>
      <c r="B92" s="1596"/>
      <c r="C92" s="1597"/>
      <c r="D92" s="999">
        <f>D93</f>
        <v>60</v>
      </c>
      <c r="E92" s="1802" t="s">
        <v>1327</v>
      </c>
      <c r="F92" s="1216">
        <f>Pricing!D44</f>
        <v>425</v>
      </c>
      <c r="G92" s="1802" t="s">
        <v>1450</v>
      </c>
      <c r="H92" s="983"/>
      <c r="I92" s="983"/>
      <c r="J92" s="983"/>
      <c r="K92" s="983"/>
      <c r="L92" s="983"/>
      <c r="M92" s="983"/>
      <c r="N92" s="3318">
        <f>(IF(AND(D92&gt;0,D92&lt;4),D92*F92,0)+IF(AND(D92&gt;3,D92&lt;8),F92*3,0)+IF(AND(D92&gt;7,D92&lt;21),D92/7*F92*3,0)+IF(AND(D92&gt;20,D92&lt;30),F92*9,0)+IF(D92&gt;29,D92/30*F92*9,0))*(1+V$55+I$94)</f>
        <v>12106.125</v>
      </c>
      <c r="O92" s="3318"/>
      <c r="P92" s="2676">
        <v>6</v>
      </c>
      <c r="Q92" s="859" t="s">
        <v>2081</v>
      </c>
      <c r="R92" s="77"/>
      <c r="S92" s="77">
        <f>ROUNDUP(H80/6000,0)</f>
        <v>6</v>
      </c>
      <c r="T92" s="77" t="s">
        <v>1303</v>
      </c>
      <c r="U92" s="1174">
        <f>Pricing!Q24</f>
        <v>45</v>
      </c>
      <c r="V92" s="77" t="s">
        <v>562</v>
      </c>
      <c r="W92" s="2677">
        <f t="shared" si="27"/>
        <v>292.27499999999998</v>
      </c>
      <c r="AG92" s="849"/>
    </row>
    <row r="93" spans="1:33" ht="18.75" customHeight="1">
      <c r="A93" s="482" t="s">
        <v>1165</v>
      </c>
      <c r="B93" s="1177"/>
      <c r="C93" s="1598"/>
      <c r="D93" s="1012">
        <f>IF(D$90&gt;0,IF(D$90&lt;=3,D$90,7),0)+IF(D$90&gt;5,IF(D$90&lt;=10,7,0),0)+IF(D$90&gt;10,IF(D$90&lt;=15,14,0),0)+IF(D$90&gt;15,IF(D$90&lt;=20,23,0),0)+IF(D$90&gt;20,IF(D$90&lt;=40,53,0),0)+IF(D$90&gt;40,IF(D$90&lt;=60,83,0),0)+IF(D$90&gt;60,IF(D$90&lt;=80,113,0),0)+IF(D$90&gt;80,IF(D$90&lt;=100,143,0),0)</f>
        <v>60</v>
      </c>
      <c r="E93" s="77" t="s">
        <v>1327</v>
      </c>
      <c r="F93" s="1221">
        <v>425</v>
      </c>
      <c r="G93" s="77" t="s">
        <v>1450</v>
      </c>
      <c r="I93" s="2977" t="s">
        <v>1936</v>
      </c>
      <c r="J93" s="2977"/>
      <c r="L93" s="2841">
        <f>IF(D56=0,0,(SUM(N92:O97))/D56)</f>
        <v>7.7634555427295915E-2</v>
      </c>
      <c r="M93" s="2841"/>
      <c r="N93" s="3303">
        <f>(IF(AND(D93&gt;0,D93&lt;4),D93*F93,0)+IF(AND(D93&gt;3,D93&lt;8),F93*3,0)+IF(AND(D93&gt;7,D93&lt;21),D93/7*F93*3,0)+IF(AND(D93&gt;20,D93&lt;30),F93*9,0)+IF(D93&gt;29,D93/30*F93*9,0))*(1+V$55+I$94)</f>
        <v>12106.125</v>
      </c>
      <c r="O93" s="3303"/>
      <c r="P93" s="2676">
        <v>6</v>
      </c>
      <c r="Q93" s="859" t="s">
        <v>621</v>
      </c>
      <c r="R93" s="77"/>
      <c r="S93" s="77"/>
      <c r="T93" s="77"/>
      <c r="U93" s="1174">
        <v>0</v>
      </c>
      <c r="V93" s="77" t="s">
        <v>1417</v>
      </c>
      <c r="W93" s="2677">
        <f t="shared" si="27"/>
        <v>0</v>
      </c>
    </row>
    <row r="94" spans="1:33" ht="18.75" customHeight="1">
      <c r="A94" s="482" t="s">
        <v>1168</v>
      </c>
      <c r="B94" s="1177"/>
      <c r="C94" s="1598"/>
      <c r="D94" s="1012"/>
      <c r="E94" s="77" t="s">
        <v>1327</v>
      </c>
      <c r="F94" s="1221">
        <f>Pricing!D34</f>
        <v>325</v>
      </c>
      <c r="G94" s="77" t="s">
        <v>1450</v>
      </c>
      <c r="I94" s="2850">
        <v>0.5</v>
      </c>
      <c r="J94" s="2850"/>
      <c r="L94" s="2975">
        <f>SUM(N92:O97)</f>
        <v>37660.5</v>
      </c>
      <c r="M94" s="2975"/>
      <c r="N94" s="3303">
        <f>(IF(AND(D94&gt;0,D94&lt;4),D94*F94,0)+IF(AND(D94&gt;3,D94&lt;8),F94*3,0)+IF(AND(D94&gt;7,D94&lt;21),D94/7*F94*3,0)+IF(AND(D94&gt;20,D94&lt;30),F94*9,0)+IF(D94&gt;29,D94/30*F94*9,0))*(1+V$55+I$94)</f>
        <v>0</v>
      </c>
      <c r="O94" s="3303"/>
      <c r="P94" s="2676">
        <v>6</v>
      </c>
      <c r="Q94" s="859" t="s">
        <v>554</v>
      </c>
      <c r="R94" s="77"/>
      <c r="S94" s="2077">
        <f>K69</f>
        <v>124024.15803093754</v>
      </c>
      <c r="T94" s="77" t="s">
        <v>1288</v>
      </c>
      <c r="U94" s="1174">
        <v>0.04</v>
      </c>
      <c r="V94" s="77" t="s">
        <v>555</v>
      </c>
      <c r="W94" s="2677">
        <f t="shared" si="27"/>
        <v>5370.2460427395954</v>
      </c>
    </row>
    <row r="95" spans="1:33" ht="18.75" customHeight="1">
      <c r="A95" s="482" t="s">
        <v>1170</v>
      </c>
      <c r="B95" s="1177"/>
      <c r="C95" s="1598"/>
      <c r="D95" s="1012">
        <f>IF(D$90&gt;0,IF(D$90&lt;=3,D$90,7),0)+IF(D$90&gt;5,IF(D$90&lt;=10,7,0),0)+IF(D$90&gt;10,IF(D$90&lt;=15,14,0),0)+IF(D$90&gt;15,IF(D$90&lt;=20,23,0),0)+IF(D$90&gt;20,IF(D$90&lt;=40,53,0),0)+IF(D$90&gt;40,IF(D$90&lt;=60,83,0),0)+IF(D$90&gt;60,IF(D$90&lt;=80,113,0),0)+IF(D$90&gt;80,IF(D$90&lt;=100,143,0),0)</f>
        <v>60</v>
      </c>
      <c r="E95" s="77" t="s">
        <v>1327</v>
      </c>
      <c r="F95" s="1221">
        <v>325</v>
      </c>
      <c r="G95" s="77" t="s">
        <v>1450</v>
      </c>
      <c r="I95" s="2850"/>
      <c r="J95" s="2850"/>
      <c r="N95" s="3303">
        <f>(IF(AND(D95&gt;0,D95&lt;4),D95*F95,0)+IF(AND(D95&gt;3,D95&lt;8),F95*3,0)+IF(AND(D95&gt;7,D95&lt;21),D95/7*F95*3,0)+IF(AND(D95&gt;20,D95&lt;30),F95*9,0)+IF(D95&gt;29,D95/30*F95*9,0))*(1+V$55+I$94)</f>
        <v>9257.625</v>
      </c>
      <c r="O95" s="3303"/>
      <c r="P95" s="2676">
        <v>6</v>
      </c>
      <c r="Q95" s="859" t="s">
        <v>2082</v>
      </c>
      <c r="R95" s="77"/>
      <c r="S95" s="77">
        <f>SUM(H10:H51)*8</f>
        <v>288</v>
      </c>
      <c r="T95" s="77" t="s">
        <v>1354</v>
      </c>
      <c r="U95" s="1174">
        <f>Pricing!Q25</f>
        <v>12</v>
      </c>
      <c r="V95" s="77"/>
      <c r="W95" s="2677">
        <f t="shared" si="27"/>
        <v>3741.12</v>
      </c>
    </row>
    <row r="96" spans="1:33" ht="18.75" customHeight="1">
      <c r="A96" s="482" t="s">
        <v>2083</v>
      </c>
      <c r="B96" s="1177"/>
      <c r="C96" s="1598"/>
      <c r="D96" s="1012">
        <f>D95</f>
        <v>60</v>
      </c>
      <c r="E96" s="77" t="s">
        <v>1327</v>
      </c>
      <c r="F96" s="1221">
        <v>125</v>
      </c>
      <c r="G96" s="77" t="s">
        <v>1450</v>
      </c>
      <c r="N96" s="3303">
        <f>(IF(AND(D96&gt;0,D96&lt;4),D96*F96,0)+IF(AND(D96&gt;3,D96&lt;8),F96*3,0)+IF(AND(D96&gt;7,D96&lt;21),D96/7*F96*3,0)+IF(AND(D96&gt;20,D96&lt;30),F96*9,0)+IF(D96&gt;29,D96/30*F96*9,0))*(1+V$55+I$94)</f>
        <v>3560.625</v>
      </c>
      <c r="O96" s="3303"/>
      <c r="P96" s="2676">
        <v>6</v>
      </c>
      <c r="Q96" s="859" t="s">
        <v>2084</v>
      </c>
      <c r="R96" s="77"/>
      <c r="S96" s="77">
        <f>SUM(H10:H51)*3</f>
        <v>108</v>
      </c>
      <c r="T96" s="77" t="s">
        <v>1354</v>
      </c>
      <c r="U96" s="1174">
        <f>Pricing!Q33</f>
        <v>8</v>
      </c>
      <c r="V96" s="77"/>
      <c r="W96" s="2677">
        <f t="shared" si="27"/>
        <v>935.28</v>
      </c>
    </row>
    <row r="97" spans="1:33" ht="18.75" customHeight="1">
      <c r="A97" s="1595" t="s">
        <v>1938</v>
      </c>
      <c r="B97" s="1599"/>
      <c r="C97" s="1600"/>
      <c r="D97" s="1815">
        <f>IF(D$90&gt;0,IF(D$90&lt;=3,D$90,7),0)+IF(D$90&gt;5,IF(D$90&lt;=10,7,0),0)+IF(D$90&gt;10,IF(D$90&lt;=15,14,0),0)+IF(D$90&gt;15,IF(D$90&lt;=20,23,0),0)+IF(D$90&gt;20,IF(D$90&lt;=40,53,0),0)+IF(D$90&gt;40,IF(D$90&lt;=60,83,0),0)+IF(D$90&gt;60,IF(D$90&lt;=80,113,0),0)+IF(D$90&gt;80,IF(D$90&lt;=100,143,0),0)</f>
        <v>60</v>
      </c>
      <c r="E97" s="1621" t="s">
        <v>1327</v>
      </c>
      <c r="F97" s="1225">
        <v>35</v>
      </c>
      <c r="G97" s="1621" t="s">
        <v>1450</v>
      </c>
      <c r="H97" s="976"/>
      <c r="I97" s="976"/>
      <c r="J97" s="976"/>
      <c r="K97" s="976"/>
      <c r="L97" s="1021"/>
      <c r="M97" s="976"/>
      <c r="N97" s="3319">
        <f>(IF(AND(D97&gt;0,D97&lt;4),D97*F97,0)+IF(AND(D97&gt;3,D97&lt;8),F97*3,0)+IF(AND(D97&gt;7,D97&lt;21),D97/7*F97*3,0)+IF(AND(D97&gt;20,D97&lt;30),F97*9,0)+IF(D97&gt;29,D97/30*F97*9,0))</f>
        <v>630</v>
      </c>
      <c r="O97" s="3319"/>
      <c r="P97" s="2676">
        <v>6</v>
      </c>
      <c r="Q97" s="859"/>
      <c r="R97" s="77"/>
      <c r="S97" s="77"/>
      <c r="T97" s="77"/>
      <c r="U97" s="1174"/>
      <c r="V97" s="77"/>
      <c r="W97" s="2677">
        <f t="shared" si="27"/>
        <v>0</v>
      </c>
      <c r="AG97" s="849"/>
    </row>
    <row r="98" spans="1:33" ht="18.75" customHeight="1">
      <c r="A98" s="2687" t="s">
        <v>1940</v>
      </c>
      <c r="B98" s="980"/>
      <c r="C98" s="980"/>
      <c r="D98" s="980"/>
      <c r="E98" s="980"/>
      <c r="F98" s="980"/>
      <c r="G98" s="980"/>
      <c r="H98" s="980"/>
      <c r="I98" s="980"/>
      <c r="J98" s="980"/>
      <c r="K98" s="980"/>
      <c r="L98" s="980"/>
      <c r="M98" s="1203"/>
      <c r="N98" s="980"/>
      <c r="O98" s="980"/>
      <c r="P98" s="2676">
        <v>10</v>
      </c>
      <c r="Q98" s="1208"/>
      <c r="R98" s="1209"/>
      <c r="S98" s="1209"/>
      <c r="T98" s="1209"/>
      <c r="U98" s="1211">
        <v>0</v>
      </c>
      <c r="V98" s="1209"/>
      <c r="W98" s="2685">
        <f t="shared" si="27"/>
        <v>0</v>
      </c>
    </row>
    <row r="99" spans="1:33" ht="18.75" customHeight="1">
      <c r="A99" s="1593" t="s">
        <v>1458</v>
      </c>
      <c r="B99" s="1816"/>
      <c r="C99" s="1817"/>
      <c r="D99" s="1026">
        <v>20</v>
      </c>
      <c r="E99" s="1597" t="s">
        <v>2085</v>
      </c>
      <c r="F99" s="2690">
        <f>SUM(K66:L68)</f>
        <v>673.57333333333349</v>
      </c>
      <c r="G99" s="1802" t="s">
        <v>2086</v>
      </c>
      <c r="H99" s="983"/>
      <c r="I99" s="983"/>
      <c r="J99" s="983"/>
      <c r="K99" s="983"/>
      <c r="L99" s="983"/>
      <c r="M99" s="163"/>
      <c r="N99" s="3318">
        <f t="shared" ref="N99:N104" si="29">D99*F99</f>
        <v>13471.466666666671</v>
      </c>
      <c r="O99" s="3318"/>
      <c r="P99" s="2676">
        <v>10</v>
      </c>
      <c r="Q99" s="859"/>
      <c r="R99" s="77"/>
      <c r="S99" s="77"/>
      <c r="T99" s="77"/>
      <c r="U99" s="1174">
        <f>BB83</f>
        <v>0</v>
      </c>
      <c r="V99" s="77"/>
      <c r="W99" s="2691">
        <f t="shared" si="27"/>
        <v>0</v>
      </c>
    </row>
    <row r="100" spans="1:33" ht="18.75" customHeight="1">
      <c r="A100" s="482" t="s">
        <v>2087</v>
      </c>
      <c r="B100" s="503"/>
      <c r="C100" s="834"/>
      <c r="D100" s="804">
        <v>90</v>
      </c>
      <c r="E100" s="77" t="s">
        <v>595</v>
      </c>
      <c r="F100" s="2692">
        <f>AI52</f>
        <v>12</v>
      </c>
      <c r="G100" s="77" t="s">
        <v>2088</v>
      </c>
      <c r="M100" s="163"/>
      <c r="N100" s="3303">
        <f t="shared" si="29"/>
        <v>1080</v>
      </c>
      <c r="O100" s="3303"/>
      <c r="P100" s="2676">
        <v>10</v>
      </c>
      <c r="Q100" s="859" t="s">
        <v>646</v>
      </c>
      <c r="R100" s="77"/>
      <c r="S100" s="1367">
        <f>ROUNDUP(H80/300/55,0)</f>
        <v>2</v>
      </c>
      <c r="T100" s="77" t="s">
        <v>1460</v>
      </c>
      <c r="U100" s="1174">
        <f>Pricing!Q44</f>
        <v>567.5</v>
      </c>
      <c r="V100" s="77" t="s">
        <v>647</v>
      </c>
      <c r="W100" s="2677">
        <f t="shared" si="27"/>
        <v>1228.6375</v>
      </c>
    </row>
    <row r="101" spans="1:33" ht="18.75" customHeight="1">
      <c r="A101" s="482" t="s">
        <v>1461</v>
      </c>
      <c r="B101" s="503"/>
      <c r="C101" s="834"/>
      <c r="D101" s="2693"/>
      <c r="E101" s="1824"/>
      <c r="F101" s="2692"/>
      <c r="G101" s="1826" t="s">
        <v>1348</v>
      </c>
      <c r="M101" s="163"/>
      <c r="N101" s="3303">
        <f t="shared" si="29"/>
        <v>0</v>
      </c>
      <c r="O101" s="3303"/>
      <c r="Q101" s="1208" t="s">
        <v>651</v>
      </c>
      <c r="R101" s="1209"/>
      <c r="S101" s="2694">
        <f>H80/200/55</f>
        <v>2.7294545454545456</v>
      </c>
      <c r="T101" s="1209" t="s">
        <v>1460</v>
      </c>
      <c r="U101" s="1230">
        <f>Pricing!Q46</f>
        <v>635</v>
      </c>
      <c r="V101" s="1209" t="s">
        <v>647</v>
      </c>
      <c r="W101" s="2685">
        <f t="shared" si="27"/>
        <v>1876.1929363636364</v>
      </c>
    </row>
    <row r="102" spans="1:33" ht="18.75" customHeight="1">
      <c r="A102" s="482" t="s">
        <v>1462</v>
      </c>
      <c r="B102" s="503"/>
      <c r="C102" s="834"/>
      <c r="D102" s="804"/>
      <c r="E102" s="1807" t="s">
        <v>1341</v>
      </c>
      <c r="F102" s="2692"/>
      <c r="G102" s="77" t="s">
        <v>1259</v>
      </c>
      <c r="M102" s="163"/>
      <c r="N102" s="3303">
        <f t="shared" si="29"/>
        <v>0</v>
      </c>
      <c r="O102" s="3303"/>
      <c r="Q102" s="3320" t="s">
        <v>1349</v>
      </c>
      <c r="R102" s="3320"/>
      <c r="S102" s="77">
        <v>18</v>
      </c>
      <c r="T102" s="77" t="s">
        <v>1350</v>
      </c>
      <c r="U102" s="77"/>
      <c r="V102" s="77"/>
      <c r="W102" s="2695"/>
    </row>
    <row r="103" spans="1:33" ht="18.75" customHeight="1">
      <c r="A103" s="482" t="s">
        <v>1234</v>
      </c>
      <c r="B103" s="503"/>
      <c r="C103" s="834"/>
      <c r="D103" s="1233"/>
      <c r="E103" s="1174" t="s">
        <v>2089</v>
      </c>
      <c r="F103" s="2696">
        <v>6</v>
      </c>
      <c r="G103" s="77" t="s">
        <v>566</v>
      </c>
      <c r="M103" s="163"/>
      <c r="N103" s="3303">
        <f t="shared" si="29"/>
        <v>0</v>
      </c>
      <c r="O103" s="3303"/>
      <c r="Q103" s="859" t="s">
        <v>2079</v>
      </c>
      <c r="R103" s="77"/>
      <c r="S103" s="77">
        <v>0</v>
      </c>
      <c r="T103" s="77" t="s">
        <v>2080</v>
      </c>
      <c r="U103" s="1174">
        <v>0</v>
      </c>
      <c r="V103" s="77" t="s">
        <v>2090</v>
      </c>
      <c r="W103" s="2677">
        <f>IF(T$55="Y",U103*S103,U103*S103*(1+V$55))</f>
        <v>0</v>
      </c>
    </row>
    <row r="104" spans="1:33">
      <c r="A104" s="1595" t="s">
        <v>1346</v>
      </c>
      <c r="B104" s="1441"/>
      <c r="C104" s="1445"/>
      <c r="D104" s="1888"/>
      <c r="E104" s="1829" t="s">
        <v>1347</v>
      </c>
      <c r="F104" s="2697">
        <v>250</v>
      </c>
      <c r="G104" s="1621" t="s">
        <v>620</v>
      </c>
      <c r="H104" s="976"/>
      <c r="I104" s="976"/>
      <c r="J104" s="976"/>
      <c r="K104" s="976"/>
      <c r="L104" s="976"/>
      <c r="M104" s="976"/>
      <c r="N104" s="3319">
        <f t="shared" si="29"/>
        <v>0</v>
      </c>
      <c r="O104" s="3319"/>
      <c r="Q104" s="1435" t="s">
        <v>1353</v>
      </c>
      <c r="R104" s="1621"/>
      <c r="S104" s="1621">
        <f>S77*12/S102</f>
        <v>0</v>
      </c>
      <c r="T104" s="1621" t="s">
        <v>1354</v>
      </c>
      <c r="U104" s="3321">
        <f>BH82</f>
        <v>0</v>
      </c>
      <c r="V104" s="3321"/>
      <c r="W104" s="2688">
        <f>IF(T$55="Y",U104*S104,U104*S104*(1+V$55))</f>
        <v>0</v>
      </c>
    </row>
    <row r="105" spans="1:33">
      <c r="A105" s="2872" t="s">
        <v>1351</v>
      </c>
      <c r="B105" s="2872"/>
      <c r="C105" s="2872"/>
      <c r="D105" s="2698">
        <f>Summary!P60</f>
        <v>0</v>
      </c>
      <c r="E105" s="2042"/>
      <c r="F105" s="2873">
        <f>(SUM(N99:O104)+SUM(N93:O97)+SUM(N88:O90)+SUM(N79:O85)+SUM(K79:L85)+SUM(N66:O76))*D105</f>
        <v>0</v>
      </c>
      <c r="G105" s="2873"/>
      <c r="H105" s="2043"/>
      <c r="I105" s="2043"/>
      <c r="J105" s="2043"/>
      <c r="K105" s="2043"/>
      <c r="L105" s="2043"/>
      <c r="M105" s="2044"/>
      <c r="N105" s="2874"/>
      <c r="O105" s="2874"/>
      <c r="W105" s="1052">
        <f>SUM(W67:W104)</f>
        <v>29938.156305790733</v>
      </c>
    </row>
    <row r="106" spans="1:33">
      <c r="A106" s="888"/>
      <c r="B106" s="889"/>
      <c r="C106" s="889"/>
      <c r="D106" s="889"/>
      <c r="E106" s="889"/>
      <c r="F106" s="889"/>
      <c r="G106" s="889"/>
      <c r="H106" s="889"/>
      <c r="I106" s="889"/>
      <c r="J106" s="889"/>
      <c r="K106" s="891"/>
      <c r="L106" s="889"/>
      <c r="M106" s="889"/>
      <c r="N106" s="889"/>
      <c r="O106" s="889"/>
      <c r="P106" s="889"/>
      <c r="Q106" s="889"/>
      <c r="R106" s="889"/>
      <c r="S106" s="889"/>
      <c r="T106" s="889"/>
      <c r="U106" s="889"/>
      <c r="V106" s="889"/>
      <c r="W106" s="894"/>
      <c r="AG106" s="849"/>
    </row>
    <row r="107" spans="1:33" ht="30.9">
      <c r="A107" s="1476" t="s">
        <v>1262</v>
      </c>
      <c r="B107" s="1477"/>
      <c r="C107" s="1478"/>
      <c r="D107" s="2786" t="s">
        <v>982</v>
      </c>
      <c r="E107" s="2786"/>
      <c r="F107" s="1476" t="s">
        <v>1263</v>
      </c>
      <c r="G107" s="1477"/>
      <c r="H107" s="1478"/>
      <c r="I107" s="1054" t="s">
        <v>1264</v>
      </c>
      <c r="J107" s="1055"/>
      <c r="K107" s="1056"/>
      <c r="L107" s="2789" t="s">
        <v>1265</v>
      </c>
      <c r="M107" s="2789"/>
      <c r="N107" s="1058"/>
      <c r="O107" s="1059"/>
      <c r="P107" s="895"/>
      <c r="Q107" s="574" t="s">
        <v>1266</v>
      </c>
      <c r="S107" s="18" t="s">
        <v>1739</v>
      </c>
      <c r="T107" s="1060" t="str">
        <f>T55</f>
        <v>N</v>
      </c>
      <c r="U107" s="793" t="s">
        <v>1268</v>
      </c>
      <c r="V107" s="1242">
        <f>V55</f>
        <v>8.2500000000000004E-2</v>
      </c>
      <c r="W107" s="898"/>
    </row>
    <row r="108" spans="1:33" ht="15.45">
      <c r="A108" s="899" t="s">
        <v>1269</v>
      </c>
      <c r="B108" s="2865">
        <f>B56</f>
        <v>16.157064542688843</v>
      </c>
      <c r="C108" s="2865"/>
      <c r="D108" s="2866">
        <f>D56</f>
        <v>485099.70582968986</v>
      </c>
      <c r="E108" s="2866"/>
      <c r="F108" s="901">
        <f>F56</f>
        <v>0</v>
      </c>
      <c r="G108" s="2434">
        <f>G56</f>
        <v>0</v>
      </c>
      <c r="H108" s="703"/>
      <c r="I108" s="1485">
        <f>I56</f>
        <v>13.692427578549868</v>
      </c>
      <c r="J108" s="1486"/>
      <c r="K108" s="1487"/>
      <c r="L108" s="3031">
        <f>L56</f>
        <v>0.18</v>
      </c>
      <c r="M108" s="3031"/>
      <c r="N108" s="3031"/>
      <c r="O108" s="3031"/>
      <c r="P108" s="1137"/>
      <c r="Q108" s="902" t="s">
        <v>980</v>
      </c>
      <c r="T108" s="2942">
        <f>T56</f>
        <v>411101.44561838126</v>
      </c>
      <c r="U108" s="2942"/>
      <c r="W108" s="898"/>
    </row>
    <row r="109" spans="1:33">
      <c r="A109" s="904"/>
      <c r="B109" s="905"/>
      <c r="C109" s="905"/>
      <c r="D109" s="905"/>
      <c r="E109" s="905"/>
      <c r="F109" s="905"/>
      <c r="G109" s="905"/>
      <c r="H109" s="905"/>
      <c r="I109" s="905"/>
      <c r="J109" s="905"/>
      <c r="K109" s="905"/>
      <c r="L109" s="905"/>
      <c r="M109" s="905"/>
      <c r="N109" s="905"/>
      <c r="O109" s="905"/>
      <c r="P109" s="905"/>
      <c r="Q109" s="905"/>
      <c r="R109" s="905"/>
      <c r="S109" s="905"/>
      <c r="T109" s="905"/>
      <c r="U109" s="905"/>
      <c r="V109" s="905"/>
      <c r="W109" s="913"/>
    </row>
    <row r="113" spans="1:23" ht="15.45">
      <c r="A113" s="2699" t="str">
        <f>Summary!BP72</f>
        <v>Code</v>
      </c>
      <c r="B113" s="2700" t="str">
        <f>Summary!BQ72</f>
        <v>Panels</v>
      </c>
      <c r="C113" s="2700"/>
      <c r="D113" s="2700"/>
      <c r="E113" s="2700"/>
      <c r="F113" s="2701">
        <f>T56-F114</f>
        <v>0</v>
      </c>
      <c r="T113" s="684" t="s">
        <v>1055</v>
      </c>
      <c r="U113" s="1243" t="s">
        <v>2091</v>
      </c>
      <c r="V113" s="686"/>
      <c r="W113" s="689">
        <f>W114-T108</f>
        <v>0</v>
      </c>
    </row>
    <row r="114" spans="1:23">
      <c r="A114" s="2702" t="str">
        <f>Summary!BP73</f>
        <v>12</v>
      </c>
      <c r="B114" s="959"/>
      <c r="F114" s="2128">
        <f>SUM(F115:F171)-F157-F147</f>
        <v>411101.4456183812</v>
      </c>
      <c r="T114" s="700">
        <v>10</v>
      </c>
      <c r="U114" s="702"/>
      <c r="V114" s="702"/>
      <c r="W114" s="2703">
        <f>SUM(W115:W162)</f>
        <v>411101.4456183812</v>
      </c>
    </row>
    <row r="115" spans="1:23">
      <c r="A115" s="2704">
        <f>Summary!BP74</f>
        <v>120001</v>
      </c>
      <c r="B115" s="2704" t="str">
        <f>Summary!BQ74</f>
        <v>General Requirements</v>
      </c>
      <c r="C115" s="2188"/>
      <c r="D115" s="751"/>
      <c r="E115" s="2705"/>
      <c r="F115" s="2188"/>
      <c r="T115" s="2706">
        <f>Summary!BP74</f>
        <v>120001</v>
      </c>
      <c r="U115" s="707" t="str">
        <f>Summary!BQ74</f>
        <v>General Requirements</v>
      </c>
      <c r="V115" s="296"/>
      <c r="W115" s="708">
        <f>SUM(L110:M112)</f>
        <v>0</v>
      </c>
    </row>
    <row r="116" spans="1:23">
      <c r="A116" s="2704">
        <f>Summary!BP75</f>
        <v>120002</v>
      </c>
      <c r="B116" s="2707" t="str">
        <f>Summary!BQ75</f>
        <v>Lumber</v>
      </c>
      <c r="C116" s="670"/>
      <c r="D116" s="670"/>
      <c r="E116" s="2705"/>
      <c r="F116" s="2708">
        <f>SUM(W66:W83)</f>
        <v>10644.228426687499</v>
      </c>
      <c r="T116" s="2706">
        <f>Summary!BP75</f>
        <v>120002</v>
      </c>
      <c r="U116" s="707" t="str">
        <f>Summary!BQ75</f>
        <v>Lumber</v>
      </c>
      <c r="V116" s="296"/>
      <c r="W116" s="717">
        <f>SUM(W66:W83)</f>
        <v>10644.228426687499</v>
      </c>
    </row>
    <row r="117" spans="1:23">
      <c r="A117" s="2704">
        <f>Summary!BP76</f>
        <v>120003</v>
      </c>
      <c r="B117" s="2707" t="str">
        <f>Summary!BQ76</f>
        <v>Sand Material</v>
      </c>
      <c r="C117" s="670"/>
      <c r="D117" s="670"/>
      <c r="E117" s="2705"/>
      <c r="F117" s="2708">
        <f>N70</f>
        <v>0</v>
      </c>
      <c r="O117" s="500"/>
      <c r="T117" s="2706">
        <f>Summary!BP76</f>
        <v>120003</v>
      </c>
      <c r="U117" s="707" t="str">
        <f>Summary!BQ76</f>
        <v>Sand Material</v>
      </c>
      <c r="V117" s="296"/>
      <c r="W117" s="717">
        <f>N70</f>
        <v>0</v>
      </c>
    </row>
    <row r="118" spans="1:23">
      <c r="A118" s="2704">
        <f>Summary!BP77</f>
        <v>120004</v>
      </c>
      <c r="B118" s="2707" t="str">
        <f>Summary!BQ77</f>
        <v>Rock Material</v>
      </c>
      <c r="C118" s="670"/>
      <c r="D118" s="670"/>
      <c r="E118" s="2705"/>
      <c r="F118" s="2708">
        <f>N71+N72</f>
        <v>0</v>
      </c>
      <c r="T118" s="2706">
        <f>Summary!BP77</f>
        <v>120004</v>
      </c>
      <c r="U118" s="707" t="str">
        <f>Summary!BQ77</f>
        <v>Rock Material</v>
      </c>
      <c r="V118" s="296"/>
      <c r="W118" s="717">
        <f>N72</f>
        <v>0</v>
      </c>
    </row>
    <row r="119" spans="1:23">
      <c r="A119" s="2704">
        <f>Summary!BP78</f>
        <v>120005</v>
      </c>
      <c r="B119" s="2707" t="str">
        <f>Summary!BQ78</f>
        <v>Reinforcement Material</v>
      </c>
      <c r="C119" s="670"/>
      <c r="D119" s="670"/>
      <c r="E119" s="2705"/>
      <c r="F119" s="2708">
        <f>N69</f>
        <v>87266.498194518426</v>
      </c>
      <c r="T119" s="2706">
        <f>Summary!BP78</f>
        <v>120005</v>
      </c>
      <c r="U119" s="707" t="str">
        <f>Summary!BQ78</f>
        <v>Reinforcement Material</v>
      </c>
      <c r="V119" s="296"/>
      <c r="W119" s="717">
        <f>N69</f>
        <v>87266.498194518426</v>
      </c>
    </row>
    <row r="120" spans="1:23">
      <c r="A120" s="2704">
        <f>Summary!BP79</f>
        <v>120006</v>
      </c>
      <c r="B120" s="2707" t="str">
        <f>Summary!BQ79</f>
        <v>Reinforcement Accessories</v>
      </c>
      <c r="C120" s="670"/>
      <c r="D120" s="670"/>
      <c r="E120" s="2705"/>
      <c r="F120" s="2708">
        <f>SUM(W92:W98)+W104+W103</f>
        <v>10338.921042739596</v>
      </c>
      <c r="T120" s="2706">
        <f>Summary!BP79</f>
        <v>120006</v>
      </c>
      <c r="U120" s="707" t="str">
        <f>Summary!BQ79</f>
        <v>Reinforcement Accessories</v>
      </c>
      <c r="V120" s="296"/>
      <c r="W120" s="717">
        <f>SUM(W92:W98)+W104</f>
        <v>10338.921042739596</v>
      </c>
    </row>
    <row r="121" spans="1:23">
      <c r="A121" s="2704">
        <f>Summary!BP80</f>
        <v>120007</v>
      </c>
      <c r="B121" s="2707" t="str">
        <f>Summary!BQ80</f>
        <v>PT Cables</v>
      </c>
      <c r="C121" s="670"/>
      <c r="D121" s="670"/>
      <c r="E121" s="2705"/>
      <c r="F121" s="2708">
        <f>N73</f>
        <v>0</v>
      </c>
      <c r="T121" s="2706">
        <f>Summary!BP80</f>
        <v>120007</v>
      </c>
      <c r="U121" s="707" t="str">
        <f>Summary!BQ80</f>
        <v>PT Cables</v>
      </c>
      <c r="V121" s="296"/>
      <c r="W121" s="717"/>
    </row>
    <row r="122" spans="1:23">
      <c r="A122" s="2704">
        <f>Summary!BP81</f>
        <v>120008</v>
      </c>
      <c r="B122" s="2707" t="str">
        <f>Summary!BQ81</f>
        <v>Concrete Material</v>
      </c>
      <c r="C122" s="670"/>
      <c r="D122" s="670"/>
      <c r="E122" s="2705"/>
      <c r="F122" s="2708">
        <f>SUM(N66:O68)</f>
        <v>113017.1856666667</v>
      </c>
      <c r="T122" s="2706">
        <f>Summary!BP81</f>
        <v>120008</v>
      </c>
      <c r="U122" s="707" t="str">
        <f>Summary!BQ81</f>
        <v>Concrete Material</v>
      </c>
      <c r="V122" s="296"/>
      <c r="W122" s="717">
        <f>SUM(N66:O68)</f>
        <v>113017.1856666667</v>
      </c>
    </row>
    <row r="123" spans="1:23">
      <c r="A123" s="2704">
        <f>Summary!BP82</f>
        <v>120009</v>
      </c>
      <c r="B123" s="2707" t="str">
        <f>Summary!BQ82</f>
        <v>Carton Forms</v>
      </c>
      <c r="C123" s="670"/>
      <c r="D123" s="670"/>
      <c r="E123" s="2705"/>
      <c r="F123" s="2708">
        <f>N74+N75+N76</f>
        <v>5702.025450000001</v>
      </c>
      <c r="T123" s="2706">
        <f>Summary!BP82</f>
        <v>120009</v>
      </c>
      <c r="U123" s="707" t="str">
        <f>Summary!BQ82</f>
        <v>Carton Forms</v>
      </c>
      <c r="V123" s="296"/>
      <c r="W123" s="717">
        <f>SUM(N73:O76)</f>
        <v>5702.025450000001</v>
      </c>
    </row>
    <row r="124" spans="1:23">
      <c r="A124" s="2704">
        <f>Summary!BP83</f>
        <v>120010</v>
      </c>
      <c r="B124" s="2707" t="str">
        <f>Summary!BQ83</f>
        <v>Cure/Sealers</v>
      </c>
      <c r="C124" s="670"/>
      <c r="D124" s="670"/>
      <c r="E124" s="2705"/>
      <c r="F124" s="2708">
        <f>SUM(W99:W101)</f>
        <v>3104.8304363636362</v>
      </c>
      <c r="T124" s="2706">
        <f>Summary!BP83</f>
        <v>120010</v>
      </c>
      <c r="U124" s="707" t="str">
        <f>Summary!BQ83</f>
        <v>Cure/Sealers</v>
      </c>
      <c r="V124" s="296"/>
      <c r="W124" s="717">
        <f>SUM(W99:W101)</f>
        <v>3104.8304363636362</v>
      </c>
    </row>
    <row r="125" spans="1:23">
      <c r="A125" s="2704">
        <f>Summary!BP84</f>
        <v>120011</v>
      </c>
      <c r="B125" s="2707" t="str">
        <f>Summary!BQ84</f>
        <v>Patch/Grout</v>
      </c>
      <c r="C125" s="670"/>
      <c r="D125" s="670"/>
      <c r="E125" s="2705"/>
      <c r="F125" s="2708">
        <f>W89</f>
        <v>5850.1763999999994</v>
      </c>
      <c r="T125" s="2706">
        <f>Summary!BP84</f>
        <v>120011</v>
      </c>
      <c r="U125" s="707" t="str">
        <f>Summary!BQ84</f>
        <v>Patch/Grout</v>
      </c>
      <c r="V125" s="296"/>
      <c r="W125" s="717">
        <f>SUM(W87:W91)</f>
        <v>5850.1763999999994</v>
      </c>
    </row>
    <row r="126" spans="1:23">
      <c r="A126" s="2704">
        <f>Summary!BP85</f>
        <v>120012</v>
      </c>
      <c r="B126" s="2707" t="str">
        <f>Summary!BQ85</f>
        <v>Poly/Vapor Barrier</v>
      </c>
      <c r="C126" s="670"/>
      <c r="D126" s="670"/>
      <c r="E126" s="2705"/>
      <c r="F126" s="2708">
        <f>SUM(W84:W86)</f>
        <v>0</v>
      </c>
      <c r="T126" s="2706">
        <f>Summary!BP85</f>
        <v>120012</v>
      </c>
      <c r="U126" s="707" t="str">
        <f>Summary!BQ85</f>
        <v>Poly/Vapor Barrier</v>
      </c>
      <c r="V126" s="296"/>
      <c r="W126" s="717">
        <f>SUM(W84:W86)</f>
        <v>0</v>
      </c>
    </row>
    <row r="127" spans="1:23">
      <c r="A127" s="2704">
        <f>Summary!BP86</f>
        <v>120013</v>
      </c>
      <c r="B127" s="2707" t="str">
        <f>Summary!BQ86</f>
        <v>Special Material</v>
      </c>
      <c r="C127" s="670"/>
      <c r="D127" s="670"/>
      <c r="E127" s="2705"/>
      <c r="F127" s="2708"/>
      <c r="T127" s="2706">
        <f>Summary!BP89</f>
        <v>120020</v>
      </c>
      <c r="U127" s="707" t="str">
        <f>Summary!BQ89</f>
        <v>Supervision</v>
      </c>
      <c r="V127" s="296"/>
      <c r="W127" s="717">
        <f>SUM(N88:O89)</f>
        <v>24000</v>
      </c>
    </row>
    <row r="128" spans="1:23">
      <c r="A128" s="2704">
        <f>Summary!BP87</f>
        <v>120014</v>
      </c>
      <c r="B128" s="2707" t="str">
        <f>Summary!BQ87</f>
        <v>Special Material</v>
      </c>
      <c r="C128" s="670"/>
      <c r="D128" s="670"/>
      <c r="E128" s="2705"/>
      <c r="F128" s="2708">
        <f>W90</f>
        <v>0</v>
      </c>
      <c r="T128" s="2706">
        <f>Summary!BP90</f>
        <v>120021</v>
      </c>
      <c r="U128" s="707" t="str">
        <f>Summary!BQ90</f>
        <v>Supervision Expense</v>
      </c>
      <c r="V128" s="296"/>
      <c r="W128" s="717">
        <f>SUM(N90)</f>
        <v>4000</v>
      </c>
    </row>
    <row r="129" spans="1:23">
      <c r="A129" s="2704">
        <f>Summary!BP88</f>
        <v>120015</v>
      </c>
      <c r="B129" s="2707" t="str">
        <f>Summary!BQ88</f>
        <v>PPE/Safety</v>
      </c>
      <c r="C129" s="670"/>
      <c r="D129" s="670"/>
      <c r="E129" s="2705"/>
      <c r="F129" s="2708">
        <f>W91</f>
        <v>0</v>
      </c>
      <c r="T129" s="2706">
        <f>Summary!BP91</f>
        <v>120022</v>
      </c>
      <c r="U129" s="707" t="str">
        <f>Summary!BQ91</f>
        <v>Project Management</v>
      </c>
      <c r="V129" s="296"/>
      <c r="W129" s="717">
        <f>SUM(K79:L80)</f>
        <v>0</v>
      </c>
    </row>
    <row r="130" spans="1:23">
      <c r="A130" s="2704">
        <f>Summary!BP89</f>
        <v>120020</v>
      </c>
      <c r="B130" s="2707" t="str">
        <f>Summary!BQ89</f>
        <v>Supervision</v>
      </c>
      <c r="C130" s="670"/>
      <c r="D130" s="670"/>
      <c r="E130" s="2705"/>
      <c r="F130" s="2708">
        <f>SUM(N88:O89)</f>
        <v>24000</v>
      </c>
      <c r="T130" s="2706">
        <f>Summary!BP92</f>
        <v>120023</v>
      </c>
      <c r="U130" s="707" t="str">
        <f>Summary!BQ92</f>
        <v>Labor Grade, Poly, Reinf.</v>
      </c>
      <c r="V130" s="296"/>
      <c r="W130" s="717">
        <f>K85</f>
        <v>0</v>
      </c>
    </row>
    <row r="131" spans="1:23">
      <c r="A131" s="2704">
        <f>Summary!BP90</f>
        <v>120021</v>
      </c>
      <c r="B131" s="2707" t="str">
        <f>Summary!BQ90</f>
        <v>Supervision Expense</v>
      </c>
      <c r="C131" s="670"/>
      <c r="D131" s="670"/>
      <c r="E131" s="2705"/>
      <c r="F131" s="2708">
        <f>SUM(N90)</f>
        <v>4000</v>
      </c>
      <c r="T131" s="2706">
        <f>Summary!BP93</f>
        <v>120024</v>
      </c>
      <c r="U131" s="707" t="str">
        <f>Summary!BQ93</f>
        <v>Labor Place &amp; Finish</v>
      </c>
      <c r="V131" s="296"/>
      <c r="W131" s="717">
        <f>K81</f>
        <v>0</v>
      </c>
    </row>
    <row r="132" spans="1:23">
      <c r="A132" s="2704">
        <f>Summary!BP91</f>
        <v>120022</v>
      </c>
      <c r="B132" s="2707" t="str">
        <f>Summary!BQ91</f>
        <v>Project Management</v>
      </c>
      <c r="C132" s="670"/>
      <c r="D132" s="670"/>
      <c r="E132" s="2705"/>
      <c r="F132" s="2708">
        <f>K80</f>
        <v>0</v>
      </c>
      <c r="T132" s="2706">
        <f>Summary!BP94</f>
        <v>120025</v>
      </c>
      <c r="U132" s="707" t="str">
        <f>Summary!BQ94</f>
        <v>Labor Drops</v>
      </c>
      <c r="V132" s="296"/>
      <c r="W132" s="717"/>
    </row>
    <row r="133" spans="1:23">
      <c r="A133" s="2704">
        <f>Summary!BP92</f>
        <v>120023</v>
      </c>
      <c r="B133" s="2707" t="str">
        <f>Summary!BQ92</f>
        <v>Labor Grade, Poly, Reinf.</v>
      </c>
      <c r="C133" s="670"/>
      <c r="D133" s="670"/>
      <c r="E133" s="2705"/>
      <c r="F133" s="2708">
        <f>K84</f>
        <v>0</v>
      </c>
      <c r="T133" s="2706">
        <f>Summary!BP95</f>
        <v>120026</v>
      </c>
      <c r="U133" s="707" t="str">
        <f>Summary!BQ95</f>
        <v>Labor Strip Forms</v>
      </c>
      <c r="V133" s="296"/>
      <c r="W133" s="717">
        <f>K82+K83</f>
        <v>0</v>
      </c>
    </row>
    <row r="134" spans="1:23">
      <c r="A134" s="2704">
        <f>Summary!BP93</f>
        <v>120024</v>
      </c>
      <c r="B134" s="2707" t="str">
        <f>Summary!BQ93</f>
        <v>Labor Place &amp; Finish</v>
      </c>
      <c r="C134" s="670"/>
      <c r="D134" s="670"/>
      <c r="E134" s="2705"/>
      <c r="F134" s="2708">
        <f>K81</f>
        <v>0</v>
      </c>
      <c r="T134" s="2706">
        <f>Summary!BP96</f>
        <v>120027</v>
      </c>
      <c r="U134" s="707" t="str">
        <f>Summary!BQ96</f>
        <v>Labor Burden</v>
      </c>
      <c r="V134" s="296"/>
      <c r="W134" s="717"/>
    </row>
    <row r="135" spans="1:23">
      <c r="A135" s="2704">
        <f>Summary!BP94</f>
        <v>120025</v>
      </c>
      <c r="B135" s="2707" t="str">
        <f>Summary!BQ94</f>
        <v>Labor Drops</v>
      </c>
      <c r="C135" s="670"/>
      <c r="D135" s="670"/>
      <c r="E135" s="2705"/>
      <c r="F135" s="2708">
        <f>K79</f>
        <v>0</v>
      </c>
      <c r="T135" s="2706">
        <f>Summary!BP99</f>
        <v>120031</v>
      </c>
      <c r="U135" s="707" t="str">
        <f>Summary!BQ99</f>
        <v>Earth Work/Excavation</v>
      </c>
      <c r="V135" s="296"/>
      <c r="W135" s="717">
        <f>K85</f>
        <v>0</v>
      </c>
    </row>
    <row r="136" spans="1:23">
      <c r="A136" s="2704">
        <f>Summary!BP95</f>
        <v>120026</v>
      </c>
      <c r="B136" s="2707" t="str">
        <f>Summary!BQ95</f>
        <v>Labor Strip Forms</v>
      </c>
      <c r="C136" s="670"/>
      <c r="D136" s="670"/>
      <c r="E136" s="2705"/>
      <c r="F136" s="2708">
        <f>K82</f>
        <v>0</v>
      </c>
      <c r="T136" s="2706">
        <f>Summary!BP100</f>
        <v>120032</v>
      </c>
      <c r="U136" s="707" t="str">
        <f>Summary!BQ100</f>
        <v>Drilling</v>
      </c>
      <c r="V136" s="296"/>
      <c r="W136" s="717"/>
    </row>
    <row r="137" spans="1:23">
      <c r="A137" s="2704">
        <f>Summary!BP96</f>
        <v>120027</v>
      </c>
      <c r="B137" s="2707" t="str">
        <f>Summary!BQ96</f>
        <v>Labor Burden</v>
      </c>
      <c r="C137" s="670"/>
      <c r="D137" s="670"/>
      <c r="E137" s="2705"/>
      <c r="F137" s="2708">
        <f>K85+K83</f>
        <v>0</v>
      </c>
      <c r="T137" s="2706">
        <f>Summary!BP101</f>
        <v>120033</v>
      </c>
      <c r="U137" s="707" t="str">
        <f>Summary!BQ101</f>
        <v>Haul off</v>
      </c>
      <c r="V137" s="296"/>
      <c r="W137" s="717">
        <f>N103</f>
        <v>0</v>
      </c>
    </row>
    <row r="138" spans="1:23">
      <c r="A138" s="2704">
        <f>Summary!BP98</f>
        <v>120030</v>
      </c>
      <c r="B138" s="2707" t="str">
        <f>Summary!BQ98</f>
        <v>Pumping</v>
      </c>
      <c r="C138" s="670"/>
      <c r="D138" s="670"/>
      <c r="E138" s="2705"/>
      <c r="F138" s="2708">
        <f>N99</f>
        <v>13471.466666666671</v>
      </c>
      <c r="T138" s="2706">
        <f>Summary!BP102</f>
        <v>120034</v>
      </c>
      <c r="U138" s="707" t="str">
        <f>Summary!BQ102</f>
        <v>Saw Cutting/Sealing</v>
      </c>
      <c r="V138" s="296"/>
      <c r="W138" s="717">
        <f>N102</f>
        <v>0</v>
      </c>
    </row>
    <row r="139" spans="1:23">
      <c r="A139" s="2704">
        <f>Summary!BP99</f>
        <v>120031</v>
      </c>
      <c r="B139" s="2707" t="str">
        <f>Summary!BQ99</f>
        <v>Earth Work/Excavation</v>
      </c>
      <c r="C139" s="670"/>
      <c r="D139" s="670"/>
      <c r="E139" s="2705"/>
      <c r="F139" s="2708"/>
      <c r="T139" s="2706">
        <f>Summary!BP103</f>
        <v>120035</v>
      </c>
      <c r="U139" s="707" t="str">
        <f>Summary!BQ103</f>
        <v>Demolition</v>
      </c>
      <c r="V139" s="296"/>
      <c r="W139" s="717"/>
    </row>
    <row r="140" spans="1:23">
      <c r="A140" s="2704">
        <f>Summary!BP100</f>
        <v>120032</v>
      </c>
      <c r="B140" s="2707" t="str">
        <f>Summary!BQ100</f>
        <v>Drilling</v>
      </c>
      <c r="C140" s="670"/>
      <c r="D140" s="670"/>
      <c r="E140" s="2705"/>
      <c r="F140" s="2708"/>
      <c r="T140" s="2706">
        <f>Summary!BP98</f>
        <v>120030</v>
      </c>
      <c r="U140" s="707" t="str">
        <f>Summary!BQ98</f>
        <v>Pumping</v>
      </c>
      <c r="V140" s="296"/>
      <c r="W140" s="717">
        <f>N99</f>
        <v>13471.466666666671</v>
      </c>
    </row>
    <row r="141" spans="1:23">
      <c r="A141" s="2704">
        <f>Summary!BP101</f>
        <v>120033</v>
      </c>
      <c r="B141" s="2707" t="str">
        <f>Summary!BQ101</f>
        <v>Haul off</v>
      </c>
      <c r="C141" s="670"/>
      <c r="D141" s="670"/>
      <c r="E141" s="2705"/>
      <c r="F141" s="2708">
        <f>N103</f>
        <v>0</v>
      </c>
      <c r="T141" s="2706">
        <f>Summary!BP104</f>
        <v>120037</v>
      </c>
      <c r="U141" s="707" t="str">
        <f>Summary!BQ104</f>
        <v>Waterproofing</v>
      </c>
      <c r="V141" s="296"/>
      <c r="W141" s="717">
        <f>N101</f>
        <v>0</v>
      </c>
    </row>
    <row r="142" spans="1:23">
      <c r="A142" s="2704">
        <f>Summary!BP102</f>
        <v>120034</v>
      </c>
      <c r="B142" s="2707" t="str">
        <f>Summary!BQ102</f>
        <v>Saw Cutting/Sealing</v>
      </c>
      <c r="C142" s="670"/>
      <c r="D142" s="670"/>
      <c r="E142" s="2705"/>
      <c r="F142" s="2708">
        <f>N102</f>
        <v>0</v>
      </c>
      <c r="T142" s="2706">
        <f>Summary!BP105</f>
        <v>120038</v>
      </c>
      <c r="U142" s="707" t="str">
        <f>Summary!BQ105</f>
        <v>Crain/Hoisting</v>
      </c>
      <c r="V142" s="296"/>
      <c r="W142" s="717"/>
    </row>
    <row r="143" spans="1:23">
      <c r="A143" s="2704">
        <f>Summary!BP103</f>
        <v>120035</v>
      </c>
      <c r="B143" s="2707" t="str">
        <f>Summary!BQ103</f>
        <v>Demolition</v>
      </c>
      <c r="C143" s="670"/>
      <c r="D143" s="670"/>
      <c r="E143" s="2705"/>
      <c r="F143" s="2708"/>
      <c r="T143" s="2706">
        <f>Summary!BP106</f>
        <v>120039</v>
      </c>
      <c r="U143" s="707" t="str">
        <f>Summary!BQ106</f>
        <v>Forming Systems</v>
      </c>
      <c r="V143" s="296"/>
      <c r="W143" s="717">
        <f>N77</f>
        <v>0</v>
      </c>
    </row>
    <row r="144" spans="1:23">
      <c r="A144" s="2704">
        <f>Summary!BP104</f>
        <v>120037</v>
      </c>
      <c r="B144" s="2707" t="str">
        <f>Summary!BQ104</f>
        <v>Waterproofing</v>
      </c>
      <c r="C144" s="670"/>
      <c r="D144" s="670"/>
      <c r="E144" s="2705"/>
      <c r="F144" s="2708">
        <f>N101</f>
        <v>0</v>
      </c>
      <c r="T144" s="2706">
        <f>Summary!BP108</f>
        <v>120041</v>
      </c>
      <c r="U144" s="707" t="str">
        <f>Summary!BQ108</f>
        <v>Labor Forming</v>
      </c>
      <c r="V144" s="715"/>
      <c r="W144" s="708">
        <f>N80</f>
        <v>10508.4</v>
      </c>
    </row>
    <row r="145" spans="1:23">
      <c r="A145" s="2704">
        <f>Summary!BP105</f>
        <v>120038</v>
      </c>
      <c r="B145" s="2707" t="str">
        <f>Summary!BQ105</f>
        <v>Crain/Hoisting</v>
      </c>
      <c r="C145" s="670"/>
      <c r="D145" s="670"/>
      <c r="E145" s="2705"/>
      <c r="F145" s="2708"/>
      <c r="T145" s="2706">
        <f>Summary!BP109</f>
        <v>120042</v>
      </c>
      <c r="U145" s="707" t="str">
        <f>Summary!BQ109</f>
        <v>Labor Grade, Poly, Reinf.</v>
      </c>
      <c r="V145" s="296"/>
      <c r="W145" s="717">
        <f>N85</f>
        <v>4009.7777777777778</v>
      </c>
    </row>
    <row r="146" spans="1:23">
      <c r="A146" s="2709">
        <f>Summary!BP106</f>
        <v>120039</v>
      </c>
      <c r="B146" s="2710" t="str">
        <f>Summary!BQ106</f>
        <v>Forming Systems</v>
      </c>
      <c r="C146" s="2055"/>
      <c r="D146" s="2055"/>
      <c r="E146" s="2056"/>
      <c r="F146" s="2711">
        <f>SUM(W87:W88)</f>
        <v>0</v>
      </c>
      <c r="T146" s="2706">
        <f>Summary!BP110</f>
        <v>120043</v>
      </c>
      <c r="U146" s="707" t="str">
        <f>Summary!BQ110</f>
        <v>Labor Place &amp; Finish</v>
      </c>
      <c r="V146" s="296"/>
      <c r="W146" s="717">
        <f>N81</f>
        <v>19515.600000000002</v>
      </c>
    </row>
    <row r="147" spans="1:23">
      <c r="A147" s="2712">
        <f>Summary!BP107</f>
        <v>120040</v>
      </c>
      <c r="B147" s="2713" t="str">
        <f>Summary!BQ107</f>
        <v>Total Sub Labor</v>
      </c>
      <c r="C147" s="568"/>
      <c r="D147" s="568"/>
      <c r="E147" s="2714"/>
      <c r="F147" s="2715">
        <f>N86</f>
        <v>94965.613334738722</v>
      </c>
      <c r="T147" s="2706">
        <f>Summary!BP111</f>
        <v>120044</v>
      </c>
      <c r="U147" s="707" t="str">
        <f>Summary!BQ111</f>
        <v>Labor Drops</v>
      </c>
      <c r="V147" s="715"/>
      <c r="W147" s="708">
        <f>N79</f>
        <v>0</v>
      </c>
    </row>
    <row r="148" spans="1:23">
      <c r="A148" s="2716">
        <f>Summary!BP108</f>
        <v>120041</v>
      </c>
      <c r="B148" s="2717" t="str">
        <f>Summary!BQ108</f>
        <v>Labor Forming</v>
      </c>
      <c r="C148" s="747"/>
      <c r="D148" s="747"/>
      <c r="E148" s="2113"/>
      <c r="F148" s="2718">
        <f>N80</f>
        <v>10508.4</v>
      </c>
      <c r="T148" s="2706">
        <f>Summary!BP112</f>
        <v>120045</v>
      </c>
      <c r="U148" s="707" t="str">
        <f>Summary!BQ112</f>
        <v>Labor Strip Forms</v>
      </c>
      <c r="V148" s="715"/>
      <c r="W148" s="708">
        <f>N82+N83</f>
        <v>33026.399999999994</v>
      </c>
    </row>
    <row r="149" spans="1:23">
      <c r="A149" s="2704">
        <f>Summary!BP109</f>
        <v>120042</v>
      </c>
      <c r="B149" s="2707" t="str">
        <f>Summary!BQ109</f>
        <v>Labor Grade, Poly, Reinf.</v>
      </c>
      <c r="C149" s="670"/>
      <c r="D149" s="670"/>
      <c r="E149" s="2705"/>
      <c r="F149" s="2708"/>
      <c r="T149" s="2706">
        <f>Summary!BP113</f>
        <v>120046</v>
      </c>
      <c r="U149" s="707" t="str">
        <f>Summary!BQ113</f>
        <v>Labor Burden</v>
      </c>
      <c r="V149" s="296"/>
      <c r="W149" s="717"/>
    </row>
    <row r="150" spans="1:23">
      <c r="A150" s="2704">
        <f>Summary!BP110</f>
        <v>120043</v>
      </c>
      <c r="B150" s="2707" t="str">
        <f>Summary!BQ110</f>
        <v>Labor Place &amp; Finish</v>
      </c>
      <c r="C150" s="670"/>
      <c r="D150" s="670"/>
      <c r="E150" s="2705"/>
      <c r="F150" s="2708">
        <f>N81</f>
        <v>19515.600000000002</v>
      </c>
      <c r="T150" s="2706">
        <f>Summary!BP114</f>
        <v>120047</v>
      </c>
      <c r="U150" s="707" t="str">
        <f>Summary!BQ114</f>
        <v>Rebar</v>
      </c>
      <c r="V150" s="296"/>
      <c r="W150" s="717">
        <f>N84</f>
        <v>27905.435556960947</v>
      </c>
    </row>
    <row r="151" spans="1:23">
      <c r="A151" s="2704">
        <f>Summary!BP111</f>
        <v>120044</v>
      </c>
      <c r="B151" s="2707" t="str">
        <f>Summary!BQ111</f>
        <v>Labor Drops</v>
      </c>
      <c r="C151" s="670"/>
      <c r="D151" s="670"/>
      <c r="E151" s="2705"/>
      <c r="F151" s="2708">
        <f>N79</f>
        <v>0</v>
      </c>
      <c r="T151" s="2706">
        <f>Summary!BP115</f>
        <v>120048</v>
      </c>
      <c r="U151" s="707" t="str">
        <f>Summary!BQ115</f>
        <v>PT Installation</v>
      </c>
      <c r="V151" s="296"/>
      <c r="W151" s="717"/>
    </row>
    <row r="152" spans="1:23">
      <c r="A152" s="2704">
        <f>Summary!BP112</f>
        <v>120045</v>
      </c>
      <c r="B152" s="2707" t="str">
        <f>Summary!BQ112</f>
        <v>Labor Strip Forms</v>
      </c>
      <c r="C152" s="670"/>
      <c r="D152" s="670"/>
      <c r="E152" s="2705"/>
      <c r="F152" s="2708">
        <f>N82</f>
        <v>7506</v>
      </c>
      <c r="T152" s="2706">
        <f>Summary!BP116</f>
        <v>120049</v>
      </c>
      <c r="U152" s="707" t="str">
        <f>Summary!BQ116</f>
        <v>Extra Hours</v>
      </c>
      <c r="V152" s="296"/>
      <c r="W152" s="717"/>
    </row>
    <row r="153" spans="1:23">
      <c r="A153" s="2704">
        <f>Summary!BP113</f>
        <v>120046</v>
      </c>
      <c r="B153" s="2707" t="str">
        <f>Summary!BQ113</f>
        <v>Labor Burden</v>
      </c>
      <c r="C153" s="670"/>
      <c r="D153" s="670"/>
      <c r="E153" s="2705"/>
      <c r="F153" s="2708">
        <f>N83+N85</f>
        <v>29530.177777777775</v>
      </c>
      <c r="T153" s="2706">
        <f>Summary!BP118</f>
        <v>120061</v>
      </c>
      <c r="U153" s="707" t="str">
        <f>Summary!BQ118</f>
        <v>SkyTrack</v>
      </c>
      <c r="V153" s="296"/>
      <c r="W153" s="717">
        <f>N96</f>
        <v>3560.625</v>
      </c>
    </row>
    <row r="154" spans="1:23">
      <c r="A154" s="2704">
        <f>Summary!BP114</f>
        <v>120047</v>
      </c>
      <c r="B154" s="2707" t="str">
        <f>Summary!BQ114</f>
        <v>Rebar</v>
      </c>
      <c r="C154" s="670"/>
      <c r="D154" s="670"/>
      <c r="E154" s="2705"/>
      <c r="F154" s="2708">
        <f>N84</f>
        <v>27905.435556960947</v>
      </c>
      <c r="T154" s="2706">
        <f>Summary!BP119</f>
        <v>120062</v>
      </c>
      <c r="U154" s="707" t="str">
        <f>Summary!BQ119</f>
        <v>Mini Excavator</v>
      </c>
      <c r="V154" s="296"/>
      <c r="W154" s="717">
        <f>N92</f>
        <v>12106.125</v>
      </c>
    </row>
    <row r="155" spans="1:23">
      <c r="A155" s="2704">
        <f>Summary!BP115</f>
        <v>120048</v>
      </c>
      <c r="B155" s="2707" t="str">
        <f>Summary!BQ115</f>
        <v>PT Installation</v>
      </c>
      <c r="C155" s="670"/>
      <c r="D155" s="670"/>
      <c r="E155" s="2705"/>
      <c r="F155" s="2708"/>
      <c r="T155" s="2706">
        <f>Summary!BP120</f>
        <v>120063</v>
      </c>
      <c r="U155" s="707" t="str">
        <f>Summary!BQ120</f>
        <v>Trencher</v>
      </c>
      <c r="V155" s="296"/>
      <c r="W155" s="717">
        <f>N94</f>
        <v>0</v>
      </c>
    </row>
    <row r="156" spans="1:23">
      <c r="A156" s="2709">
        <f>Summary!BP116</f>
        <v>120049</v>
      </c>
      <c r="B156" s="2710" t="str">
        <f>Summary!BQ116</f>
        <v>Extra Hours</v>
      </c>
      <c r="C156" s="2055"/>
      <c r="D156" s="2055"/>
      <c r="E156" s="2056"/>
      <c r="F156" s="2711"/>
      <c r="T156" s="2706">
        <f>Summary!BP121</f>
        <v>120064</v>
      </c>
      <c r="U156" s="707" t="str">
        <f>Summary!BQ121</f>
        <v>Skid Steer</v>
      </c>
      <c r="V156" s="296"/>
      <c r="W156" s="717">
        <f>N93</f>
        <v>12106.125</v>
      </c>
    </row>
    <row r="157" spans="1:23">
      <c r="A157" s="2712">
        <f>Summary!BP117</f>
        <v>120060</v>
      </c>
      <c r="B157" s="2713" t="str">
        <f>Summary!BQ117</f>
        <v>Total Equipment Rental</v>
      </c>
      <c r="C157" s="568"/>
      <c r="D157" s="568"/>
      <c r="E157" s="2714"/>
      <c r="F157" s="2715">
        <f>L94</f>
        <v>37660.5</v>
      </c>
      <c r="T157" s="2706">
        <f>Summary!BP122</f>
        <v>120065</v>
      </c>
      <c r="U157" s="707" t="str">
        <f>Summary!BQ122</f>
        <v>General Equipment Rental</v>
      </c>
      <c r="V157" s="296"/>
      <c r="W157" s="717">
        <f>N95+N97</f>
        <v>9887.625</v>
      </c>
    </row>
    <row r="158" spans="1:23">
      <c r="A158" s="2716">
        <f>Summary!BP118</f>
        <v>120061</v>
      </c>
      <c r="B158" s="2717" t="str">
        <f>Summary!BQ118</f>
        <v>SkyTrack</v>
      </c>
      <c r="C158" s="747"/>
      <c r="D158" s="747"/>
      <c r="E158" s="2113"/>
      <c r="F158" s="2130">
        <f>N92/(1+V$55+I$95)</f>
        <v>11183.487297921478</v>
      </c>
      <c r="T158" s="2706">
        <f>Summary!BP123</f>
        <v>120066</v>
      </c>
      <c r="U158" s="707" t="str">
        <f>Summary!BQ123</f>
        <v>Fuel</v>
      </c>
      <c r="V158" s="296"/>
      <c r="W158" s="717"/>
    </row>
    <row r="159" spans="1:23">
      <c r="A159" s="2704">
        <f>Summary!BP119</f>
        <v>120062</v>
      </c>
      <c r="B159" s="2707" t="str">
        <f>Summary!BQ119</f>
        <v>Mini Excavator</v>
      </c>
      <c r="C159" s="670"/>
      <c r="D159" s="670"/>
      <c r="E159" s="2705"/>
      <c r="F159" s="2719">
        <f>N93/(1+V$55+I$95)</f>
        <v>11183.487297921478</v>
      </c>
      <c r="T159" s="2706">
        <f>Summary!BP124</f>
        <v>120067</v>
      </c>
      <c r="U159" s="707" t="str">
        <f>Summary!BQ124</f>
        <v>Purchased Tools</v>
      </c>
      <c r="V159" s="296"/>
      <c r="W159" s="717"/>
    </row>
    <row r="160" spans="1:23">
      <c r="A160" s="2704">
        <f>Summary!BP120</f>
        <v>120063</v>
      </c>
      <c r="B160" s="2707" t="str">
        <f>Summary!BQ120</f>
        <v>Trencher</v>
      </c>
      <c r="C160" s="670"/>
      <c r="D160" s="670"/>
      <c r="E160" s="2705"/>
      <c r="F160" s="2719">
        <f>N94/(1+V$55+I$95)</f>
        <v>0</v>
      </c>
      <c r="T160" s="2706">
        <f>Summary!BP125</f>
        <v>120068</v>
      </c>
      <c r="U160" s="707" t="str">
        <f>Summary!BQ125</f>
        <v>Stolen/Damaged</v>
      </c>
      <c r="V160" s="296"/>
      <c r="W160" s="717"/>
    </row>
    <row r="161" spans="1:23">
      <c r="A161" s="2704">
        <f>Summary!BP121</f>
        <v>120064</v>
      </c>
      <c r="B161" s="2707" t="str">
        <f>Summary!BQ121</f>
        <v>Skid Steer</v>
      </c>
      <c r="C161" s="670"/>
      <c r="D161" s="670"/>
      <c r="E161" s="2705"/>
      <c r="F161" s="2719">
        <f>N95/(1+V$55+I$95)</f>
        <v>8552.0785219399531</v>
      </c>
      <c r="T161" s="2706">
        <f>Summary!BP126</f>
        <v>120070</v>
      </c>
      <c r="U161" s="707" t="str">
        <f>Summary!BQ126</f>
        <v>Out of Town Expense</v>
      </c>
      <c r="V161" s="296"/>
      <c r="W161" s="717">
        <f>N104</f>
        <v>0</v>
      </c>
    </row>
    <row r="162" spans="1:23">
      <c r="A162" s="2704">
        <f>Summary!BP122</f>
        <v>120065</v>
      </c>
      <c r="B162" s="2707" t="str">
        <f>Summary!BQ122</f>
        <v>General Equipment Rental</v>
      </c>
      <c r="C162" s="670"/>
      <c r="D162" s="670"/>
      <c r="E162" s="2705"/>
      <c r="F162" s="2719">
        <f>(N96+N97)/(1+V$55+I$95)</f>
        <v>3871.2471131639722</v>
      </c>
      <c r="T162" s="2706">
        <f>Summary!BP127</f>
        <v>120071</v>
      </c>
      <c r="U162" s="707" t="str">
        <f>Summary!BQ127</f>
        <v>Miscellaneous</v>
      </c>
      <c r="V162" s="296"/>
      <c r="W162" s="717">
        <f>N100</f>
        <v>1080</v>
      </c>
    </row>
    <row r="163" spans="1:23">
      <c r="A163" s="2704">
        <f>Summary!BP123</f>
        <v>120066</v>
      </c>
      <c r="B163" s="2707" t="str">
        <f>Summary!BQ123</f>
        <v>Fuel</v>
      </c>
      <c r="C163" s="670"/>
      <c r="D163" s="670"/>
      <c r="E163" s="2705"/>
      <c r="F163" s="2708">
        <f>L94-SUM(F158:F162)</f>
        <v>2870.1997690531134</v>
      </c>
    </row>
    <row r="164" spans="1:23">
      <c r="A164" s="2704">
        <f>Summary!BP124</f>
        <v>120067</v>
      </c>
      <c r="B164" s="2707" t="str">
        <f>Summary!BQ124</f>
        <v>Purchased Tools</v>
      </c>
      <c r="C164" s="670"/>
      <c r="D164" s="670"/>
      <c r="E164" s="2705"/>
      <c r="F164" s="2708"/>
    </row>
    <row r="165" spans="1:23">
      <c r="A165" s="2704">
        <f>Summary!BP125</f>
        <v>120068</v>
      </c>
      <c r="B165" s="2707" t="str">
        <f>Summary!BQ125</f>
        <v>Stolen/Damaged</v>
      </c>
      <c r="C165" s="670"/>
      <c r="D165" s="670"/>
      <c r="E165" s="2705"/>
      <c r="F165" s="2708"/>
    </row>
    <row r="166" spans="1:23">
      <c r="A166" s="2704">
        <f>Summary!BP126</f>
        <v>120070</v>
      </c>
      <c r="B166" s="2707" t="str">
        <f>Summary!BQ126</f>
        <v>Out of Town Expense</v>
      </c>
      <c r="C166" s="670"/>
      <c r="D166" s="670"/>
      <c r="E166" s="2705"/>
      <c r="F166" s="2708">
        <f>N104</f>
        <v>0</v>
      </c>
    </row>
    <row r="167" spans="1:23">
      <c r="A167" s="2704">
        <f>Summary!BP127</f>
        <v>120071</v>
      </c>
      <c r="B167" s="2707" t="str">
        <f>Summary!BQ127</f>
        <v>Miscellaneous</v>
      </c>
      <c r="C167" s="670"/>
      <c r="D167" s="670"/>
      <c r="E167" s="2705"/>
      <c r="F167" s="2708"/>
    </row>
    <row r="168" spans="1:23">
      <c r="A168" s="2704">
        <f>Summary!BP128</f>
        <v>120072</v>
      </c>
      <c r="B168" s="2707" t="str">
        <f>Summary!BQ128</f>
        <v>Repairs</v>
      </c>
      <c r="C168" s="670"/>
      <c r="D168" s="670"/>
      <c r="E168" s="2705"/>
      <c r="F168" s="2708"/>
    </row>
    <row r="169" spans="1:23">
      <c r="A169" s="2704">
        <f>Summary!BP129</f>
        <v>120073</v>
      </c>
      <c r="B169" s="2707" t="str">
        <f>Summary!BQ129</f>
        <v>Engineering</v>
      </c>
      <c r="C169" s="670"/>
      <c r="D169" s="670"/>
      <c r="E169" s="2705"/>
      <c r="F169" s="2708">
        <f>N100</f>
        <v>1080</v>
      </c>
    </row>
    <row r="170" spans="1:23">
      <c r="A170" s="2704">
        <f>Summary!BP130</f>
        <v>120090</v>
      </c>
      <c r="B170" s="2707" t="str">
        <f>Summary!BQ130</f>
        <v>Not Used</v>
      </c>
      <c r="C170" s="670"/>
      <c r="D170" s="670"/>
      <c r="E170" s="2705"/>
      <c r="F170" s="2708"/>
    </row>
    <row r="171" spans="1:23">
      <c r="A171" s="2704">
        <f>Summary!BP131</f>
        <v>120091</v>
      </c>
      <c r="B171" s="2707" t="str">
        <f>Summary!BQ131</f>
        <v>Margin Contingency</v>
      </c>
      <c r="C171" s="670"/>
      <c r="D171" s="670"/>
      <c r="E171" s="2705"/>
      <c r="F171" s="2708">
        <f>N105</f>
        <v>0</v>
      </c>
    </row>
    <row r="172" spans="1:23">
      <c r="A172" s="959">
        <f>Summary!BP132</f>
        <v>0</v>
      </c>
      <c r="F172" s="500"/>
    </row>
    <row r="173" spans="1:23">
      <c r="A173" s="959">
        <f>Summary!BJ133</f>
        <v>0</v>
      </c>
    </row>
    <row r="174" spans="1:23">
      <c r="A174" s="959">
        <f>Summary!BJ134</f>
        <v>0</v>
      </c>
    </row>
    <row r="175" spans="1:23">
      <c r="A175" s="959">
        <f>Summary!BJ135</f>
        <v>0</v>
      </c>
    </row>
    <row r="176" spans="1:23">
      <c r="A176" s="959">
        <f>Summary!BJ136</f>
        <v>0</v>
      </c>
    </row>
    <row r="177" spans="1:1">
      <c r="A177" s="959">
        <f>Summary!BJ137</f>
        <v>0</v>
      </c>
    </row>
    <row r="178" spans="1:1">
      <c r="A178" s="959">
        <f>Summary!BJ138</f>
        <v>0</v>
      </c>
    </row>
    <row r="179" spans="1:1">
      <c r="A179" s="959">
        <f>Summary!BJ139</f>
        <v>0</v>
      </c>
    </row>
    <row r="180" spans="1:1">
      <c r="A180" s="959">
        <f>Summary!BJ140</f>
        <v>0</v>
      </c>
    </row>
  </sheetData>
  <mergeCells count="157">
    <mergeCell ref="B108:C108"/>
    <mergeCell ref="D108:E108"/>
    <mergeCell ref="L108:O108"/>
    <mergeCell ref="T108:U108"/>
    <mergeCell ref="N102:O102"/>
    <mergeCell ref="Q102:R102"/>
    <mergeCell ref="N103:O103"/>
    <mergeCell ref="N104:O104"/>
    <mergeCell ref="U104:V104"/>
    <mergeCell ref="A105:C105"/>
    <mergeCell ref="F105:G105"/>
    <mergeCell ref="N105:O105"/>
    <mergeCell ref="D107:E107"/>
    <mergeCell ref="L107:M107"/>
    <mergeCell ref="I94:J95"/>
    <mergeCell ref="L94:M94"/>
    <mergeCell ref="N94:O94"/>
    <mergeCell ref="N95:O95"/>
    <mergeCell ref="N96:O96"/>
    <mergeCell ref="N97:O97"/>
    <mergeCell ref="N99:O99"/>
    <mergeCell ref="N100:O100"/>
    <mergeCell ref="N101:O101"/>
    <mergeCell ref="L88:M88"/>
    <mergeCell ref="N88:O88"/>
    <mergeCell ref="L89:M89"/>
    <mergeCell ref="N89:O89"/>
    <mergeCell ref="N90:O90"/>
    <mergeCell ref="N92:O92"/>
    <mergeCell ref="I93:J93"/>
    <mergeCell ref="L93:M93"/>
    <mergeCell ref="N93:O93"/>
    <mergeCell ref="D84:E84"/>
    <mergeCell ref="H84:I84"/>
    <mergeCell ref="K84:L84"/>
    <mergeCell ref="N84:O84"/>
    <mergeCell ref="D85:E85"/>
    <mergeCell ref="H85:I85"/>
    <mergeCell ref="K85:L85"/>
    <mergeCell ref="N85:O85"/>
    <mergeCell ref="D86:E86"/>
    <mergeCell ref="H86:J86"/>
    <mergeCell ref="K86:L86"/>
    <mergeCell ref="N86:O86"/>
    <mergeCell ref="D80:E80"/>
    <mergeCell ref="G80:G82"/>
    <mergeCell ref="H80:I83"/>
    <mergeCell ref="K80:L80"/>
    <mergeCell ref="N80:O80"/>
    <mergeCell ref="D81:E81"/>
    <mergeCell ref="K81:L81"/>
    <mergeCell ref="N81:O81"/>
    <mergeCell ref="D82:E82"/>
    <mergeCell ref="K82:L82"/>
    <mergeCell ref="N82:O82"/>
    <mergeCell ref="D83:E83"/>
    <mergeCell ref="K83:L83"/>
    <mergeCell ref="N83:O83"/>
    <mergeCell ref="H77:I77"/>
    <mergeCell ref="K77:L77"/>
    <mergeCell ref="N77:O77"/>
    <mergeCell ref="K78:L78"/>
    <mergeCell ref="M78:O78"/>
    <mergeCell ref="D79:E79"/>
    <mergeCell ref="H79:I79"/>
    <mergeCell ref="K79:L79"/>
    <mergeCell ref="N79:O79"/>
    <mergeCell ref="K72:L72"/>
    <mergeCell ref="N72:O72"/>
    <mergeCell ref="K73:L73"/>
    <mergeCell ref="N73:O73"/>
    <mergeCell ref="I74:J74"/>
    <mergeCell ref="K74:L74"/>
    <mergeCell ref="N74:O74"/>
    <mergeCell ref="H75:I76"/>
    <mergeCell ref="J75:J76"/>
    <mergeCell ref="K75:L75"/>
    <mergeCell ref="N75:O75"/>
    <mergeCell ref="K76:L76"/>
    <mergeCell ref="N76:O76"/>
    <mergeCell ref="H69:I69"/>
    <mergeCell ref="K69:L69"/>
    <mergeCell ref="N69:O69"/>
    <mergeCell ref="H70:I70"/>
    <mergeCell ref="K70:L70"/>
    <mergeCell ref="N70:O70"/>
    <mergeCell ref="H71:I71"/>
    <mergeCell ref="K71:L71"/>
    <mergeCell ref="N71:O71"/>
    <mergeCell ref="B65:O65"/>
    <mergeCell ref="Q65:R65"/>
    <mergeCell ref="H66:I68"/>
    <mergeCell ref="J66:J68"/>
    <mergeCell ref="K66:L66"/>
    <mergeCell ref="N66:O66"/>
    <mergeCell ref="K67:L67"/>
    <mergeCell ref="N67:O67"/>
    <mergeCell ref="K68:L68"/>
    <mergeCell ref="N68:O68"/>
    <mergeCell ref="T56:U56"/>
    <mergeCell ref="B57:C57"/>
    <mergeCell ref="D57:E57"/>
    <mergeCell ref="F57:G57"/>
    <mergeCell ref="J57:K57"/>
    <mergeCell ref="M57:N57"/>
    <mergeCell ref="T57:U57"/>
    <mergeCell ref="T58:U58"/>
    <mergeCell ref="V58:W58"/>
    <mergeCell ref="P53:S53"/>
    <mergeCell ref="A55:C55"/>
    <mergeCell ref="D55:E55"/>
    <mergeCell ref="F55:H55"/>
    <mergeCell ref="I55:K55"/>
    <mergeCell ref="L55:M55"/>
    <mergeCell ref="B56:C56"/>
    <mergeCell ref="D56:E56"/>
    <mergeCell ref="G56:H56"/>
    <mergeCell ref="I56:K56"/>
    <mergeCell ref="L56:O56"/>
    <mergeCell ref="S8:S9"/>
    <mergeCell ref="U8:U9"/>
    <mergeCell ref="V8:V9"/>
    <mergeCell ref="W8:W9"/>
    <mergeCell ref="X8:X9"/>
    <mergeCell ref="A9:B9"/>
    <mergeCell ref="A51:B51"/>
    <mergeCell ref="E52:H52"/>
    <mergeCell ref="P52:S52"/>
    <mergeCell ref="C7:D7"/>
    <mergeCell ref="F7:H7"/>
    <mergeCell ref="I7:M7"/>
    <mergeCell ref="C8:C9"/>
    <mergeCell ref="D8:G8"/>
    <mergeCell ref="I8:J8"/>
    <mergeCell ref="K8:M8"/>
    <mergeCell ref="N8:P8"/>
    <mergeCell ref="Q8:Q9"/>
    <mergeCell ref="A4:D4"/>
    <mergeCell ref="I4:M4"/>
    <mergeCell ref="N4:O4"/>
    <mergeCell ref="P4:Q4"/>
    <mergeCell ref="I5:M5"/>
    <mergeCell ref="N5:O5"/>
    <mergeCell ref="P5:Q5"/>
    <mergeCell ref="C6:D6"/>
    <mergeCell ref="I6:M6"/>
    <mergeCell ref="N6:O6"/>
    <mergeCell ref="P6:Q6"/>
    <mergeCell ref="T1:U1"/>
    <mergeCell ref="V1:W1"/>
    <mergeCell ref="A2:D2"/>
    <mergeCell ref="N2:O2"/>
    <mergeCell ref="P2:Q2"/>
    <mergeCell ref="A3:D3"/>
    <mergeCell ref="I3:M3"/>
    <mergeCell ref="N3:O3"/>
    <mergeCell ref="P3:Q3"/>
  </mergeCells>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64" max="16383" man="1"/>
  </rowBreaks>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B9CDE5"/>
    <pageSetUpPr fitToPage="1"/>
  </sheetPr>
  <dimension ref="B1:Y95"/>
  <sheetViews>
    <sheetView zoomScale="65" zoomScaleNormal="65" zoomScalePageLayoutView="70" workbookViewId="0">
      <selection activeCell="D25" sqref="D25"/>
    </sheetView>
  </sheetViews>
  <sheetFormatPr defaultColWidth="9.15234375" defaultRowHeight="15"/>
  <cols>
    <col min="1" max="1" width="9.15234375" style="18"/>
    <col min="2" max="2" width="8" style="18" customWidth="1"/>
    <col min="3" max="3" width="7" style="18" customWidth="1"/>
    <col min="4" max="4" width="16.53515625" style="18" customWidth="1"/>
    <col min="5" max="5" width="14.84375" style="18" customWidth="1"/>
    <col min="6" max="6" width="9.15234375" style="18"/>
    <col min="7" max="7" width="11.53515625" style="18" customWidth="1"/>
    <col min="8" max="8" width="12.84375" style="18" customWidth="1"/>
    <col min="9" max="9" width="5.15234375" style="380" customWidth="1"/>
    <col min="10" max="10" width="22.15234375" style="18" customWidth="1"/>
    <col min="11" max="11" width="11.53515625" style="18" customWidth="1"/>
    <col min="12" max="12" width="9.15234375" style="18"/>
    <col min="13" max="14" width="11.84375" style="18" customWidth="1"/>
    <col min="15" max="15" width="11" style="18" customWidth="1"/>
    <col min="16" max="16" width="10.15234375" style="18" customWidth="1"/>
    <col min="17" max="17" width="14.84375" style="18" customWidth="1"/>
    <col min="18" max="18" width="16.15234375" style="18" customWidth="1"/>
    <col min="19" max="19" width="9.84375" style="18" customWidth="1"/>
    <col min="20" max="20" width="12.84375" style="18" customWidth="1"/>
    <col min="21" max="21" width="11.15234375" style="18" customWidth="1"/>
    <col min="22" max="23" width="14.4609375" style="18" customWidth="1"/>
    <col min="24" max="24" width="6.84375" style="18" customWidth="1"/>
    <col min="25" max="25" width="9.84375" style="18" customWidth="1"/>
    <col min="26" max="26" width="10.15234375" style="18" customWidth="1"/>
    <col min="27" max="38" width="9.15234375" style="18"/>
    <col min="39" max="39" width="23.4609375" style="18" customWidth="1"/>
    <col min="40" max="42" width="9.15234375" style="18"/>
    <col min="43" max="43" width="39.53515625" style="18" customWidth="1"/>
    <col min="44" max="44" width="9.15234375" style="18"/>
    <col min="45" max="45" width="13.84375" style="18" customWidth="1"/>
    <col min="46" max="46" width="11.84375" style="18" customWidth="1"/>
    <col min="47" max="47" width="29.4609375" style="18" customWidth="1"/>
    <col min="48" max="48" width="11" style="18" customWidth="1"/>
    <col min="49" max="49" width="15.84375" style="18" customWidth="1"/>
    <col min="50" max="50" width="9.15234375" style="18"/>
    <col min="51" max="51" width="15.84375" style="18" customWidth="1"/>
    <col min="52" max="52" width="9.15234375" style="18"/>
    <col min="53" max="53" width="15.84375" style="18" customWidth="1"/>
    <col min="54" max="54" width="9.15234375" style="18"/>
    <col min="55" max="55" width="15.84375" style="18" customWidth="1"/>
    <col min="56" max="56" width="9.15234375" style="18"/>
    <col min="57" max="57" width="14.84375" style="18" customWidth="1"/>
    <col min="58" max="58" width="9.15234375" style="18"/>
    <col min="59" max="59" width="16.84375" style="18" customWidth="1"/>
    <col min="60" max="60" width="11" style="18" customWidth="1"/>
    <col min="61" max="16384" width="9.15234375" style="18"/>
  </cols>
  <sheetData>
    <row r="1" spans="2:25" ht="18" customHeight="1">
      <c r="B1" s="677" t="s">
        <v>1355</v>
      </c>
      <c r="C1" s="983"/>
      <c r="D1" s="983"/>
      <c r="E1" s="983"/>
      <c r="F1" s="983"/>
      <c r="G1" s="589"/>
      <c r="H1" s="589"/>
      <c r="I1" s="1301"/>
      <c r="J1" s="589"/>
      <c r="K1" s="589"/>
      <c r="L1" s="589"/>
      <c r="M1" s="589"/>
      <c r="N1" s="589"/>
      <c r="O1" s="589"/>
      <c r="P1" s="589"/>
      <c r="Q1" s="589"/>
      <c r="R1" s="589"/>
      <c r="S1" s="589"/>
      <c r="T1" s="589"/>
      <c r="U1" s="1081" t="s">
        <v>1193</v>
      </c>
      <c r="V1" s="1081"/>
      <c r="W1" s="1081"/>
      <c r="X1" s="3257"/>
      <c r="Y1" s="3257"/>
    </row>
    <row r="2" spans="2:25" ht="18" customHeight="1">
      <c r="B2" s="2749" t="str">
        <f>Summary!C1</f>
        <v>Trammell Crow – LBJ</v>
      </c>
      <c r="C2" s="2749"/>
      <c r="D2" s="2749"/>
      <c r="E2" s="2749"/>
      <c r="F2" s="2720"/>
      <c r="G2" s="626"/>
      <c r="H2" s="795"/>
      <c r="I2" s="663"/>
      <c r="J2" s="1259" t="s">
        <v>56</v>
      </c>
      <c r="K2" s="983"/>
      <c r="L2" s="1085" t="s">
        <v>57</v>
      </c>
      <c r="M2" s="983"/>
      <c r="N2" s="983"/>
      <c r="O2" s="983"/>
      <c r="P2" s="3258" t="s">
        <v>1</v>
      </c>
      <c r="Q2" s="3258"/>
      <c r="R2" s="2993" t="s">
        <v>1194</v>
      </c>
      <c r="S2" s="2993"/>
      <c r="T2" s="626"/>
      <c r="U2" s="795" t="s">
        <v>957</v>
      </c>
      <c r="V2" s="663"/>
      <c r="W2" s="663"/>
      <c r="X2" s="796">
        <f>Information!C7</f>
        <v>0</v>
      </c>
      <c r="Y2" s="797"/>
    </row>
    <row r="3" spans="2:25" ht="18" customHeight="1">
      <c r="B3" s="2752">
        <f>Summary!C2</f>
        <v>0</v>
      </c>
      <c r="C3" s="2752"/>
      <c r="D3" s="2752"/>
      <c r="E3" s="2752"/>
      <c r="F3" s="2720"/>
      <c r="G3" s="626"/>
      <c r="H3" s="574"/>
      <c r="J3" s="793" t="s">
        <v>955</v>
      </c>
      <c r="K3" s="3259">
        <f>Summary!K2</f>
        <v>0</v>
      </c>
      <c r="L3" s="3259"/>
      <c r="M3" s="3259"/>
      <c r="N3" s="3259"/>
      <c r="O3" s="3259"/>
      <c r="P3" s="2754">
        <f>Summary!O2</f>
        <v>0</v>
      </c>
      <c r="Q3" s="2754"/>
      <c r="R3" s="2755">
        <f>Summary!P2</f>
        <v>0</v>
      </c>
      <c r="S3" s="2755"/>
      <c r="T3" s="626"/>
      <c r="U3" s="574"/>
      <c r="Y3" s="798"/>
    </row>
    <row r="4" spans="2:25" ht="18" customHeight="1">
      <c r="B4" s="2756" t="str">
        <f>Summary!C3</f>
        <v>Dallas, TX</v>
      </c>
      <c r="C4" s="2756"/>
      <c r="D4" s="2756"/>
      <c r="E4" s="2756"/>
      <c r="F4" s="2720"/>
      <c r="G4" s="626"/>
      <c r="H4" s="574"/>
      <c r="J4" s="793" t="s">
        <v>71</v>
      </c>
      <c r="K4" s="3260">
        <f>Summary!K3</f>
        <v>0</v>
      </c>
      <c r="L4" s="3260"/>
      <c r="M4" s="3260"/>
      <c r="N4" s="3260"/>
      <c r="O4" s="3260"/>
      <c r="P4" s="2758">
        <f>Summary!O3</f>
        <v>0</v>
      </c>
      <c r="Q4" s="2758"/>
      <c r="R4" s="2759">
        <f>Summary!P3</f>
        <v>0</v>
      </c>
      <c r="S4" s="2759"/>
      <c r="T4" s="626"/>
      <c r="U4" s="574" t="s">
        <v>958</v>
      </c>
      <c r="X4" s="799"/>
      <c r="Y4" s="800"/>
    </row>
    <row r="5" spans="2:25" ht="18" customHeight="1">
      <c r="B5" s="963" t="s">
        <v>0</v>
      </c>
      <c r="D5" s="380" t="s">
        <v>1</v>
      </c>
      <c r="G5" s="626"/>
      <c r="H5" s="574"/>
      <c r="J5" s="793" t="s">
        <v>79</v>
      </c>
      <c r="K5" s="3260">
        <f>Summary!K4</f>
        <v>0</v>
      </c>
      <c r="L5" s="3260"/>
      <c r="M5" s="3260"/>
      <c r="N5" s="3260"/>
      <c r="O5" s="3260"/>
      <c r="P5" s="2758">
        <f>Summary!O4</f>
        <v>0</v>
      </c>
      <c r="Q5" s="2758"/>
      <c r="R5" s="2759">
        <f>Summary!P4</f>
        <v>0</v>
      </c>
      <c r="S5" s="2759"/>
      <c r="T5" s="626"/>
      <c r="U5" s="574"/>
      <c r="Y5" s="798"/>
    </row>
    <row r="6" spans="2:25" ht="18" customHeight="1">
      <c r="B6" s="1089">
        <v>0</v>
      </c>
      <c r="C6" s="626"/>
      <c r="D6" s="3285">
        <v>0</v>
      </c>
      <c r="E6" s="3285"/>
      <c r="F6" s="2721"/>
      <c r="G6" s="626"/>
      <c r="H6" s="577"/>
      <c r="I6" s="802"/>
      <c r="J6" s="2052" t="s">
        <v>87</v>
      </c>
      <c r="K6" s="3261">
        <f>Summary!K5</f>
        <v>0</v>
      </c>
      <c r="L6" s="3261"/>
      <c r="M6" s="3261"/>
      <c r="N6" s="3261"/>
      <c r="O6" s="3261"/>
      <c r="P6" s="2762">
        <f>Summary!O5</f>
        <v>0</v>
      </c>
      <c r="Q6" s="2762"/>
      <c r="R6" s="2763">
        <f>Summary!P5</f>
        <v>0</v>
      </c>
      <c r="S6" s="2763"/>
      <c r="T6" s="626"/>
      <c r="U6" s="577" t="s">
        <v>958</v>
      </c>
      <c r="V6" s="802"/>
      <c r="W6" s="802"/>
      <c r="X6" s="802"/>
      <c r="Y6" s="803"/>
    </row>
    <row r="7" spans="2:25" ht="18" customHeight="1">
      <c r="B7" s="1091">
        <v>0</v>
      </c>
      <c r="C7" s="626"/>
      <c r="D7" s="3322">
        <v>0</v>
      </c>
      <c r="E7" s="3322"/>
      <c r="F7" s="2721"/>
      <c r="G7" s="626"/>
      <c r="H7" s="3262" t="s">
        <v>1196</v>
      </c>
      <c r="I7" s="3262"/>
      <c r="J7" s="3262"/>
      <c r="K7" s="3262"/>
      <c r="L7" s="3263" t="str">
        <f>Pricing!A3</f>
        <v>SRM</v>
      </c>
      <c r="M7" s="3263"/>
      <c r="N7" s="3263"/>
      <c r="O7" s="3263"/>
      <c r="P7" s="3263"/>
      <c r="T7" s="983"/>
      <c r="Y7" s="983"/>
    </row>
    <row r="8" spans="2:25" ht="19.5" customHeight="1">
      <c r="B8" s="47"/>
      <c r="C8" s="47"/>
      <c r="D8" s="47"/>
      <c r="E8" s="47"/>
      <c r="F8" s="47"/>
      <c r="G8" s="47"/>
      <c r="H8" s="47"/>
      <c r="I8" s="47"/>
      <c r="J8" s="47"/>
      <c r="K8" s="47"/>
      <c r="L8" s="47"/>
      <c r="M8" s="47"/>
      <c r="N8" s="47"/>
      <c r="O8" s="47"/>
      <c r="P8" s="47"/>
      <c r="Q8" s="47"/>
      <c r="R8" s="47"/>
      <c r="S8" s="47"/>
      <c r="T8" s="47"/>
      <c r="U8" s="47"/>
      <c r="V8" s="47"/>
      <c r="W8" s="47"/>
      <c r="X8" s="47"/>
      <c r="Y8" s="47"/>
    </row>
    <row r="9" spans="2:25" ht="19.5" customHeight="1">
      <c r="B9" s="47"/>
      <c r="C9" s="47"/>
      <c r="D9" s="47"/>
      <c r="E9" s="47"/>
      <c r="F9" s="47"/>
      <c r="G9" s="47"/>
      <c r="H9" s="47"/>
      <c r="I9" s="47"/>
      <c r="J9" s="47"/>
      <c r="K9" s="47"/>
      <c r="L9" s="47"/>
      <c r="M9" s="47"/>
      <c r="N9" s="47"/>
      <c r="O9" s="47"/>
      <c r="P9" s="47"/>
      <c r="Q9" s="47"/>
      <c r="R9" s="47"/>
      <c r="S9" s="47"/>
      <c r="T9" s="47"/>
      <c r="U9" s="47"/>
      <c r="V9" s="47"/>
      <c r="W9" s="47"/>
      <c r="X9" s="47"/>
      <c r="Y9" s="47"/>
    </row>
    <row r="10" spans="2:25" ht="19.5" customHeight="1">
      <c r="B10" s="3323" t="s">
        <v>1517</v>
      </c>
      <c r="C10" s="47"/>
      <c r="D10" s="3323" t="s">
        <v>1039</v>
      </c>
      <c r="E10" s="3323"/>
      <c r="F10" s="47"/>
      <c r="G10" s="47"/>
      <c r="H10" s="47"/>
      <c r="I10" s="47"/>
      <c r="J10" s="47"/>
      <c r="K10" s="47"/>
      <c r="L10" s="47"/>
      <c r="M10" s="47"/>
      <c r="N10" s="47"/>
      <c r="O10" s="47"/>
      <c r="P10" s="47"/>
      <c r="Q10" s="47"/>
      <c r="R10" s="47"/>
      <c r="S10" s="47"/>
      <c r="T10" s="47"/>
      <c r="U10" s="47"/>
      <c r="V10" s="47"/>
      <c r="W10" s="47"/>
      <c r="X10" s="47"/>
      <c r="Y10" s="47"/>
    </row>
    <row r="11" spans="2:25" ht="19.5" customHeight="1">
      <c r="B11" s="3323"/>
      <c r="C11" s="47"/>
      <c r="D11" s="3323"/>
      <c r="E11" s="3323"/>
      <c r="F11" s="47"/>
      <c r="G11" s="47"/>
      <c r="H11" s="47"/>
      <c r="I11" s="47"/>
      <c r="J11" s="47"/>
      <c r="K11" s="47"/>
      <c r="L11" s="47"/>
      <c r="M11" s="47"/>
      <c r="N11" s="47"/>
      <c r="O11" s="47"/>
      <c r="P11" s="47"/>
      <c r="Q11" s="47"/>
      <c r="R11" s="47"/>
      <c r="S11" s="47"/>
      <c r="T11" s="47"/>
      <c r="U11" s="47"/>
      <c r="V11" s="47"/>
      <c r="W11" s="47"/>
      <c r="X11" s="47"/>
      <c r="Y11" s="47"/>
    </row>
    <row r="12" spans="2:25" ht="19.5" customHeight="1">
      <c r="B12" s="47"/>
      <c r="C12" s="47"/>
      <c r="D12" s="47"/>
      <c r="E12" s="47"/>
      <c r="F12" s="47"/>
      <c r="G12" s="47"/>
      <c r="H12" s="47"/>
      <c r="I12" s="47"/>
      <c r="J12" s="47"/>
      <c r="K12" s="47"/>
      <c r="L12" s="47"/>
      <c r="M12" s="47"/>
      <c r="N12" s="47"/>
      <c r="O12" s="47"/>
      <c r="P12" s="47"/>
      <c r="Q12" s="47"/>
      <c r="R12" s="47"/>
      <c r="S12" s="47"/>
      <c r="T12" s="47"/>
      <c r="U12" s="47"/>
      <c r="V12" s="47"/>
      <c r="W12" s="47"/>
      <c r="X12" s="47"/>
      <c r="Y12" s="47"/>
    </row>
    <row r="13" spans="2:25" ht="19.5" customHeight="1">
      <c r="B13" s="2722" t="s">
        <v>834</v>
      </c>
      <c r="C13" s="2723"/>
      <c r="D13" s="3324">
        <f>'01-Piers'!O84</f>
        <v>0</v>
      </c>
      <c r="E13" s="3324"/>
      <c r="F13" s="47"/>
      <c r="G13" s="47"/>
      <c r="H13" s="47"/>
      <c r="I13" s="47"/>
      <c r="J13" s="47"/>
      <c r="K13" s="47"/>
      <c r="L13" s="47"/>
      <c r="M13" s="47"/>
      <c r="N13" s="47"/>
      <c r="O13" s="47"/>
      <c r="P13" s="47"/>
      <c r="Q13" s="47"/>
      <c r="R13" s="47"/>
      <c r="S13" s="47"/>
      <c r="T13" s="47"/>
      <c r="U13" s="47"/>
      <c r="V13" s="47"/>
      <c r="W13" s="47"/>
      <c r="X13" s="47"/>
      <c r="Y13" s="47"/>
    </row>
    <row r="14" spans="2:25" ht="19.5" customHeight="1">
      <c r="B14" s="2722" t="s">
        <v>1056</v>
      </c>
      <c r="C14" s="2723"/>
      <c r="D14" s="3324">
        <f>'02-Gd Beams'!O91</f>
        <v>0</v>
      </c>
      <c r="E14" s="3324"/>
      <c r="F14" s="47"/>
      <c r="G14" s="47"/>
      <c r="H14" s="47"/>
      <c r="I14" s="47"/>
      <c r="J14" s="47"/>
      <c r="K14" s="47"/>
      <c r="L14" s="47"/>
      <c r="M14" s="47"/>
      <c r="N14" s="47"/>
      <c r="O14" s="47"/>
      <c r="P14" s="47"/>
      <c r="Q14" s="47"/>
      <c r="R14" s="47"/>
      <c r="S14" s="47"/>
      <c r="T14" s="47"/>
      <c r="U14" s="47"/>
      <c r="V14" s="47"/>
      <c r="W14" s="47"/>
      <c r="X14" s="47"/>
      <c r="Y14" s="47"/>
    </row>
    <row r="15" spans="2:25" ht="19.5" customHeight="1">
      <c r="B15" s="2722" t="s">
        <v>1060</v>
      </c>
      <c r="C15" s="2723"/>
      <c r="D15" s="3324">
        <f>'03-Walls &amp; Footings'!N96</f>
        <v>0</v>
      </c>
      <c r="E15" s="3324"/>
      <c r="F15" s="47"/>
      <c r="G15" s="47"/>
      <c r="H15" s="47"/>
      <c r="I15" s="47"/>
      <c r="J15" s="47"/>
      <c r="K15" s="47"/>
      <c r="L15" s="47"/>
      <c r="M15" s="47"/>
      <c r="N15" s="47"/>
      <c r="O15" s="47"/>
      <c r="P15" s="47"/>
      <c r="Q15" s="47"/>
      <c r="R15" s="47"/>
      <c r="S15" s="47"/>
      <c r="T15" s="47"/>
      <c r="U15" s="47"/>
      <c r="V15" s="47"/>
      <c r="W15" s="47"/>
      <c r="X15" s="47"/>
      <c r="Y15" s="47"/>
    </row>
    <row r="16" spans="2:25" ht="19.5" customHeight="1">
      <c r="B16" s="2722" t="s">
        <v>2092</v>
      </c>
      <c r="C16" s="2723"/>
      <c r="D16" s="3324">
        <f>'04-PT Slab on Grade'!O110</f>
        <v>0</v>
      </c>
      <c r="E16" s="3324"/>
      <c r="F16" s="47"/>
      <c r="G16" s="47"/>
      <c r="H16" s="47"/>
      <c r="I16" s="47"/>
      <c r="J16" s="47"/>
      <c r="K16" s="47"/>
      <c r="L16" s="47"/>
      <c r="M16" s="47"/>
      <c r="N16" s="47"/>
      <c r="O16" s="47"/>
      <c r="P16" s="47"/>
      <c r="Q16" s="47"/>
      <c r="R16" s="47"/>
      <c r="S16" s="47"/>
      <c r="T16" s="47"/>
      <c r="U16" s="47"/>
      <c r="V16" s="47"/>
      <c r="W16" s="47"/>
      <c r="X16" s="47"/>
      <c r="Y16" s="47"/>
    </row>
    <row r="17" spans="2:25" ht="19.5" customHeight="1">
      <c r="B17" s="2722" t="s">
        <v>2093</v>
      </c>
      <c r="C17" s="2723"/>
      <c r="D17" s="3324">
        <f>'05-Slabs'!O110</f>
        <v>0</v>
      </c>
      <c r="E17" s="3324"/>
      <c r="F17" s="47"/>
      <c r="G17" s="47"/>
      <c r="H17" s="47"/>
      <c r="I17" s="47"/>
      <c r="J17" s="47"/>
      <c r="K17" s="47"/>
      <c r="L17" s="47"/>
      <c r="M17" s="47"/>
      <c r="N17" s="47"/>
      <c r="O17" s="47"/>
      <c r="P17" s="47"/>
      <c r="Q17" s="47"/>
      <c r="R17" s="47"/>
      <c r="S17" s="47"/>
      <c r="T17" s="47"/>
      <c r="U17" s="47"/>
      <c r="V17" s="47"/>
      <c r="W17" s="47"/>
      <c r="X17" s="47"/>
      <c r="Y17" s="47"/>
    </row>
    <row r="18" spans="2:25" ht="19.5" customHeight="1">
      <c r="B18" s="2722" t="s">
        <v>1061</v>
      </c>
      <c r="C18" s="2723"/>
      <c r="D18" s="3324">
        <f>'06-Walls &amp; Footings'!F96</f>
        <v>0</v>
      </c>
      <c r="E18" s="3324"/>
      <c r="F18" s="47"/>
      <c r="G18" s="47"/>
      <c r="H18" s="47"/>
      <c r="I18" s="47"/>
      <c r="J18" s="47"/>
      <c r="K18" s="47"/>
      <c r="L18" s="47"/>
      <c r="M18" s="47"/>
      <c r="N18" s="47"/>
      <c r="O18" s="47"/>
      <c r="P18" s="47"/>
      <c r="Q18" s="47"/>
      <c r="R18" s="47"/>
      <c r="S18" s="47"/>
      <c r="T18" s="47"/>
      <c r="U18" s="47"/>
      <c r="V18" s="47"/>
      <c r="W18" s="47"/>
      <c r="X18" s="47"/>
      <c r="Y18" s="47"/>
    </row>
    <row r="19" spans="2:25" ht="19.5" customHeight="1">
      <c r="B19" s="2722" t="s">
        <v>877</v>
      </c>
      <c r="C19" s="2723"/>
      <c r="D19" s="3324">
        <f>'07-COLUMNS'!F110</f>
        <v>0</v>
      </c>
      <c r="E19" s="3324"/>
      <c r="F19" s="47"/>
      <c r="G19" s="47"/>
      <c r="H19" s="47"/>
      <c r="I19" s="47"/>
      <c r="J19" s="47"/>
      <c r="K19" s="47"/>
      <c r="L19" s="47"/>
      <c r="M19" s="47"/>
      <c r="N19" s="47"/>
      <c r="O19" s="47"/>
      <c r="P19" s="47"/>
      <c r="Q19" s="47"/>
      <c r="R19" s="47"/>
      <c r="S19" s="47"/>
      <c r="T19" s="47"/>
      <c r="U19" s="47"/>
      <c r="V19" s="47"/>
      <c r="W19" s="47"/>
      <c r="X19" s="47"/>
      <c r="Y19" s="47"/>
    </row>
    <row r="20" spans="2:25" ht="19.5" customHeight="1">
      <c r="B20" s="2722" t="s">
        <v>2094</v>
      </c>
      <c r="C20" s="2723"/>
      <c r="D20" s="3324">
        <f>'08-CIP EL. DECK'!F119</f>
        <v>0</v>
      </c>
      <c r="E20" s="3324"/>
      <c r="F20" s="47"/>
      <c r="G20" s="47"/>
      <c r="H20" s="47"/>
      <c r="I20" s="47"/>
      <c r="J20" s="47"/>
      <c r="K20" s="47"/>
      <c r="L20" s="47"/>
      <c r="M20" s="47"/>
      <c r="N20" s="47"/>
      <c r="O20" s="47"/>
      <c r="P20" s="47"/>
      <c r="Q20" s="47"/>
      <c r="R20" s="47"/>
      <c r="S20" s="47"/>
      <c r="T20" s="47"/>
      <c r="U20" s="47"/>
      <c r="V20" s="47"/>
      <c r="W20" s="47"/>
      <c r="X20" s="47"/>
      <c r="Y20" s="47"/>
    </row>
    <row r="21" spans="2:25" ht="19.5" customHeight="1">
      <c r="B21" s="2722" t="s">
        <v>1063</v>
      </c>
      <c r="C21" s="2723"/>
      <c r="D21" s="3324">
        <f>'09-SLAB ON DECK'!G110</f>
        <v>0</v>
      </c>
      <c r="E21" s="3324"/>
      <c r="F21" s="47"/>
      <c r="G21" s="47"/>
      <c r="H21" s="47"/>
      <c r="I21" s="47"/>
      <c r="J21" s="47"/>
      <c r="K21" s="47"/>
      <c r="L21" s="47"/>
      <c r="M21" s="47"/>
      <c r="N21" s="47"/>
      <c r="O21" s="47"/>
      <c r="P21" s="47"/>
      <c r="Q21" s="47"/>
      <c r="R21" s="47"/>
      <c r="S21" s="47"/>
      <c r="T21" s="47"/>
      <c r="U21" s="47"/>
      <c r="V21" s="47"/>
      <c r="W21" s="47"/>
      <c r="X21" s="47"/>
      <c r="Y21" s="47"/>
    </row>
    <row r="22" spans="2:25" ht="19.5" customHeight="1">
      <c r="B22" s="2722" t="s">
        <v>1064</v>
      </c>
      <c r="C22" s="2723"/>
      <c r="D22" s="3324">
        <f>'10-PAVING'!F91</f>
        <v>0</v>
      </c>
      <c r="E22" s="3324"/>
      <c r="F22" s="47"/>
      <c r="G22" s="47"/>
      <c r="H22" s="47"/>
      <c r="I22" s="47"/>
      <c r="J22" s="47"/>
      <c r="K22" s="47"/>
      <c r="L22" s="47"/>
      <c r="M22" s="47"/>
      <c r="N22" s="47"/>
      <c r="O22" s="47"/>
      <c r="P22" s="47"/>
      <c r="Q22" s="47"/>
      <c r="R22" s="47"/>
      <c r="S22" s="47"/>
      <c r="T22" s="47"/>
      <c r="U22" s="47"/>
      <c r="V22" s="47"/>
      <c r="W22" s="47"/>
      <c r="X22" s="47"/>
      <c r="Y22" s="47"/>
    </row>
    <row r="23" spans="2:25" ht="19.5" customHeight="1">
      <c r="B23" s="2722" t="s">
        <v>1065</v>
      </c>
      <c r="C23" s="2723"/>
      <c r="D23" s="3324">
        <f>'11-Sidewalks'!N88</f>
        <v>0</v>
      </c>
      <c r="E23" s="3324"/>
      <c r="F23" s="47"/>
      <c r="G23" s="47"/>
      <c r="H23" s="47"/>
      <c r="I23" s="47"/>
      <c r="J23" s="47"/>
      <c r="K23" s="47"/>
      <c r="L23" s="47"/>
      <c r="M23" s="47"/>
      <c r="N23" s="47"/>
      <c r="O23" s="47"/>
      <c r="P23" s="47"/>
      <c r="Q23" s="47"/>
      <c r="R23" s="47"/>
      <c r="S23" s="47"/>
      <c r="T23" s="47"/>
      <c r="U23" s="47"/>
      <c r="V23" s="47"/>
      <c r="W23" s="47"/>
      <c r="X23" s="47"/>
      <c r="Y23" s="47"/>
    </row>
    <row r="24" spans="2:25" ht="19.5" customHeight="1">
      <c r="B24" s="2722" t="s">
        <v>905</v>
      </c>
      <c r="C24" s="2723"/>
      <c r="D24" s="3324">
        <v>1000</v>
      </c>
      <c r="E24" s="3324"/>
      <c r="F24" s="47"/>
      <c r="G24" s="47"/>
      <c r="H24" s="47"/>
      <c r="I24" s="47"/>
      <c r="J24" s="47"/>
      <c r="K24" s="47"/>
      <c r="L24" s="47"/>
      <c r="M24" s="47"/>
      <c r="N24" s="47"/>
      <c r="O24" s="47"/>
      <c r="P24" s="47"/>
      <c r="Q24" s="47"/>
      <c r="R24" s="47"/>
      <c r="S24" s="47"/>
      <c r="T24" s="47"/>
      <c r="U24" s="47"/>
      <c r="V24" s="47"/>
      <c r="W24" s="47"/>
      <c r="X24" s="47"/>
      <c r="Y24" s="47"/>
    </row>
    <row r="25" spans="2:25" ht="19.5" customHeight="1">
      <c r="B25" s="47"/>
      <c r="C25" s="47"/>
      <c r="D25" s="47"/>
      <c r="E25" s="2724"/>
      <c r="F25" s="47"/>
      <c r="G25" s="47"/>
      <c r="H25" s="47"/>
      <c r="I25" s="47"/>
      <c r="J25" s="47"/>
      <c r="K25" s="47"/>
      <c r="L25" s="47"/>
      <c r="M25" s="47"/>
      <c r="N25" s="47"/>
      <c r="O25" s="47"/>
      <c r="P25" s="47"/>
      <c r="Q25" s="47"/>
      <c r="R25" s="47"/>
      <c r="S25" s="47"/>
      <c r="T25" s="47"/>
      <c r="U25" s="47"/>
      <c r="V25" s="47"/>
      <c r="W25" s="47"/>
      <c r="X25" s="47"/>
      <c r="Y25" s="47"/>
    </row>
    <row r="26" spans="2:25" ht="19.5" customHeight="1">
      <c r="B26" s="47"/>
      <c r="C26" s="47"/>
      <c r="D26" s="47"/>
      <c r="E26" s="2724"/>
      <c r="F26" s="47"/>
      <c r="G26" s="47"/>
      <c r="H26" s="47"/>
      <c r="I26" s="47"/>
      <c r="J26" s="47"/>
      <c r="K26" s="47"/>
      <c r="L26" s="47"/>
      <c r="M26" s="47"/>
      <c r="N26" s="47"/>
      <c r="O26" s="47"/>
      <c r="P26" s="47"/>
      <c r="Q26" s="47"/>
      <c r="R26" s="47"/>
      <c r="S26" s="47"/>
      <c r="T26" s="47"/>
      <c r="U26" s="47"/>
      <c r="V26" s="47"/>
      <c r="W26" s="47"/>
      <c r="X26" s="47"/>
      <c r="Y26" s="47"/>
    </row>
    <row r="27" spans="2:25" ht="19.5" customHeight="1">
      <c r="B27" s="2722" t="s">
        <v>860</v>
      </c>
      <c r="C27" s="2723"/>
      <c r="D27" s="3325">
        <f>SUM(D13:E26)</f>
        <v>1000</v>
      </c>
      <c r="E27" s="3325"/>
      <c r="F27" s="47"/>
      <c r="G27" s="47"/>
      <c r="H27" s="47"/>
      <c r="I27" s="47"/>
      <c r="J27" s="47"/>
      <c r="K27" s="47"/>
      <c r="L27" s="47"/>
      <c r="M27" s="47"/>
      <c r="N27" s="47"/>
      <c r="O27" s="47"/>
      <c r="P27" s="47"/>
      <c r="Q27" s="47"/>
      <c r="R27" s="47"/>
      <c r="S27" s="47"/>
      <c r="T27" s="47"/>
      <c r="U27" s="47"/>
      <c r="V27" s="47"/>
      <c r="W27" s="47"/>
      <c r="X27" s="47"/>
      <c r="Y27" s="47"/>
    </row>
    <row r="28" spans="2:25" ht="19.5" customHeight="1">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2:25" ht="19.5" customHeight="1">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2:25" ht="19.5" customHeight="1">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2:25" ht="19.5" customHeight="1">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2:25" ht="19.5" customHeight="1">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2:25" ht="19.5" customHeight="1">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2:25" ht="19.5" customHeight="1">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2:25" s="626" customFormat="1" ht="19.5" customHeight="1">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2:25" s="626" customFormat="1" ht="19.5" customHeight="1">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2:25" s="626" customFormat="1">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2:25" s="626" customFormat="1">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2:25">
      <c r="B39" s="626"/>
      <c r="C39" s="1143"/>
      <c r="D39" s="1143"/>
      <c r="E39" s="1143"/>
      <c r="F39" s="1143"/>
      <c r="G39" s="1143"/>
      <c r="H39" s="1143"/>
      <c r="I39" s="2313"/>
      <c r="J39" s="1143"/>
      <c r="K39" s="1143"/>
      <c r="L39" s="1143"/>
      <c r="M39" s="1143"/>
      <c r="N39" s="1143"/>
      <c r="O39" s="1143"/>
      <c r="P39" s="1143"/>
      <c r="Q39" s="626"/>
      <c r="R39" s="626"/>
      <c r="S39" s="626"/>
      <c r="T39" s="626"/>
      <c r="U39" s="626"/>
      <c r="V39" s="626"/>
      <c r="W39" s="626"/>
      <c r="X39" s="626"/>
      <c r="Y39" s="626"/>
    </row>
    <row r="40" spans="2:25">
      <c r="B40" s="626"/>
      <c r="C40" s="1143"/>
      <c r="D40" s="1143"/>
      <c r="E40" s="1143"/>
      <c r="F40" s="1143"/>
      <c r="G40" s="1143"/>
      <c r="H40" s="1143"/>
      <c r="I40" s="2313"/>
      <c r="J40" s="1143"/>
      <c r="K40" s="1143"/>
      <c r="L40" s="1143"/>
      <c r="M40" s="1143"/>
      <c r="N40" s="1143"/>
      <c r="O40" s="1143"/>
      <c r="P40" s="1143"/>
      <c r="Q40" s="626"/>
      <c r="R40" s="626"/>
      <c r="S40" s="626"/>
      <c r="T40" s="626"/>
      <c r="U40" s="626"/>
      <c r="V40" s="626"/>
      <c r="W40" s="626"/>
      <c r="X40" s="626"/>
      <c r="Y40" s="626"/>
    </row>
    <row r="41" spans="2:25">
      <c r="C41" s="41"/>
      <c r="D41" s="41"/>
      <c r="E41" s="41"/>
      <c r="F41" s="41"/>
      <c r="G41" s="41"/>
      <c r="H41" s="41"/>
      <c r="I41" s="2659"/>
      <c r="J41" s="41"/>
      <c r="K41" s="41"/>
      <c r="L41" s="41"/>
      <c r="M41" s="41"/>
      <c r="N41" s="41"/>
      <c r="O41" s="41"/>
      <c r="P41" s="41"/>
    </row>
    <row r="42" spans="2:25">
      <c r="B42" s="680" t="s">
        <v>1055</v>
      </c>
      <c r="C42" s="692" t="s">
        <v>1067</v>
      </c>
      <c r="D42" s="387"/>
      <c r="E42" s="682">
        <f>E43-D27</f>
        <v>0</v>
      </c>
      <c r="I42" s="18"/>
      <c r="M42" s="380"/>
    </row>
    <row r="43" spans="2:25">
      <c r="B43" s="700">
        <v>13</v>
      </c>
      <c r="C43" s="662"/>
      <c r="D43" s="654"/>
      <c r="E43" s="1895">
        <f>SUM(E44:E95)</f>
        <v>1000</v>
      </c>
      <c r="I43" s="18"/>
      <c r="M43" s="380"/>
    </row>
    <row r="44" spans="2:25">
      <c r="B44" s="1648">
        <f>Summary!BT74</f>
        <v>130001</v>
      </c>
      <c r="C44" s="707" t="str">
        <f>Summary!BU74</f>
        <v>General Requirements</v>
      </c>
      <c r="D44" s="296"/>
      <c r="E44" s="708"/>
      <c r="L44" s="380"/>
    </row>
    <row r="45" spans="2:25">
      <c r="B45" s="1648">
        <f>Summary!BT75</f>
        <v>130002</v>
      </c>
      <c r="C45" s="707" t="str">
        <f>Summary!BU75</f>
        <v>Lumber</v>
      </c>
      <c r="D45" s="296"/>
      <c r="E45" s="708"/>
      <c r="L45" s="380"/>
    </row>
    <row r="46" spans="2:25">
      <c r="B46" s="1648">
        <f>Summary!BT76</f>
        <v>130003</v>
      </c>
      <c r="C46" s="707" t="str">
        <f>Summary!BU76</f>
        <v>Sand Material</v>
      </c>
      <c r="D46" s="296"/>
      <c r="E46" s="708"/>
      <c r="L46" s="380"/>
    </row>
    <row r="47" spans="2:25">
      <c r="B47" s="1648">
        <f>Summary!BT77</f>
        <v>130004</v>
      </c>
      <c r="C47" s="707" t="str">
        <f>Summary!BU77</f>
        <v>Rock Material</v>
      </c>
      <c r="D47" s="296"/>
      <c r="E47" s="708"/>
      <c r="L47" s="380"/>
    </row>
    <row r="48" spans="2:25">
      <c r="B48" s="1648">
        <f>Summary!BT78</f>
        <v>130005</v>
      </c>
      <c r="C48" s="707" t="str">
        <f>Summary!BU78</f>
        <v>Reinforcement Material</v>
      </c>
      <c r="D48" s="296"/>
      <c r="E48" s="708"/>
      <c r="L48" s="380"/>
    </row>
    <row r="49" spans="2:3">
      <c r="B49" s="1648">
        <f>Summary!BT79</f>
        <v>130006</v>
      </c>
      <c r="C49" s="707" t="str">
        <f>Summary!BU79</f>
        <v>Reinforcement Accessories</v>
      </c>
    </row>
    <row r="50" spans="2:3">
      <c r="B50" s="1648">
        <f>Summary!BT80</f>
        <v>130007</v>
      </c>
      <c r="C50" s="707" t="str">
        <f>Summary!BU80</f>
        <v>PT Cables</v>
      </c>
    </row>
    <row r="51" spans="2:3">
      <c r="B51" s="1648">
        <f>Summary!BT81</f>
        <v>130008</v>
      </c>
      <c r="C51" s="707" t="str">
        <f>Summary!BU81</f>
        <v>Concrete Material</v>
      </c>
    </row>
    <row r="52" spans="2:3">
      <c r="B52" s="1648">
        <f>Summary!BT82</f>
        <v>130009</v>
      </c>
      <c r="C52" s="707" t="str">
        <f>Summary!BU82</f>
        <v>Carton Forms</v>
      </c>
    </row>
    <row r="53" spans="2:3">
      <c r="B53" s="1648">
        <f>Summary!BT83</f>
        <v>130010</v>
      </c>
      <c r="C53" s="707" t="str">
        <f>Summary!BU83</f>
        <v>Cure/Sealers</v>
      </c>
    </row>
    <row r="54" spans="2:3">
      <c r="B54" s="1648">
        <f>Summary!BT84</f>
        <v>130011</v>
      </c>
      <c r="C54" s="707" t="str">
        <f>Summary!BU84</f>
        <v>Patch/Grout</v>
      </c>
    </row>
    <row r="55" spans="2:3">
      <c r="B55" s="1648">
        <f>Summary!BT85</f>
        <v>130012</v>
      </c>
      <c r="C55" s="707" t="str">
        <f>Summary!BU85</f>
        <v>Poly/Vapor Barrier</v>
      </c>
    </row>
    <row r="56" spans="2:3">
      <c r="B56" s="1648">
        <f>Summary!BT89</f>
        <v>130020</v>
      </c>
      <c r="C56" s="707" t="str">
        <f>Summary!BU89</f>
        <v>Supervision</v>
      </c>
    </row>
    <row r="57" spans="2:3">
      <c r="B57" s="1648">
        <f>Summary!BT90</f>
        <v>130021</v>
      </c>
      <c r="C57" s="707" t="str">
        <f>Summary!BU90</f>
        <v>Supervision Expense</v>
      </c>
    </row>
    <row r="58" spans="2:3">
      <c r="B58" s="1648">
        <f>Summary!BT91</f>
        <v>130022</v>
      </c>
      <c r="C58" s="707" t="str">
        <f>Summary!BU91</f>
        <v>Project Management</v>
      </c>
    </row>
    <row r="59" spans="2:3">
      <c r="B59" s="1648">
        <f>Summary!BT92</f>
        <v>130023</v>
      </c>
      <c r="C59" s="707" t="str">
        <f>Summary!BU92</f>
        <v>Labor Grade, Poly, Reinf.</v>
      </c>
    </row>
    <row r="60" spans="2:3">
      <c r="B60" s="1648">
        <f>Summary!BT93</f>
        <v>130024</v>
      </c>
      <c r="C60" s="707" t="str">
        <f>Summary!BU93</f>
        <v>Labor Place &amp; Finish</v>
      </c>
    </row>
    <row r="61" spans="2:3">
      <c r="B61" s="1648">
        <f>Summary!BT94</f>
        <v>130025</v>
      </c>
      <c r="C61" s="707" t="str">
        <f>Summary!BU94</f>
        <v>Labor Drops</v>
      </c>
    </row>
    <row r="62" spans="2:3">
      <c r="B62" s="1648">
        <f>Summary!BT95</f>
        <v>130026</v>
      </c>
      <c r="C62" s="707" t="str">
        <f>Summary!BU95</f>
        <v>Labor Strip Forms</v>
      </c>
    </row>
    <row r="63" spans="2:3">
      <c r="B63" s="1648">
        <f>Summary!BT96</f>
        <v>130027</v>
      </c>
      <c r="C63" s="707" t="str">
        <f>Summary!BU96</f>
        <v>Labor Burden</v>
      </c>
    </row>
    <row r="64" spans="2:3">
      <c r="B64" s="1648">
        <f>Summary!BT98</f>
        <v>130030</v>
      </c>
      <c r="C64" s="707" t="str">
        <f>Summary!BU98</f>
        <v>Pumping</v>
      </c>
    </row>
    <row r="65" spans="2:3">
      <c r="B65" s="1648">
        <f>Summary!BT99</f>
        <v>130031</v>
      </c>
      <c r="C65" s="707" t="str">
        <f>Summary!BU99</f>
        <v>Earth Work/Excavation</v>
      </c>
    </row>
    <row r="66" spans="2:3">
      <c r="B66" s="1648">
        <f>Summary!BT100</f>
        <v>130032</v>
      </c>
      <c r="C66" s="707" t="str">
        <f>Summary!BU100</f>
        <v>Drilling</v>
      </c>
    </row>
    <row r="67" spans="2:3">
      <c r="B67" s="1648">
        <f>Summary!BT101</f>
        <v>130033</v>
      </c>
      <c r="C67" s="707" t="str">
        <f>Summary!BU101</f>
        <v>Haul off</v>
      </c>
    </row>
    <row r="68" spans="2:3">
      <c r="B68" s="1648">
        <f>Summary!BT102</f>
        <v>130034</v>
      </c>
      <c r="C68" s="707" t="str">
        <f>Summary!BU102</f>
        <v>Saw Cutting/Sealing</v>
      </c>
    </row>
    <row r="69" spans="2:3">
      <c r="B69" s="1648">
        <f>Summary!BT103</f>
        <v>130035</v>
      </c>
      <c r="C69" s="707" t="str">
        <f>Summary!BU103</f>
        <v>Demolition</v>
      </c>
    </row>
    <row r="70" spans="2:3">
      <c r="B70" s="1648">
        <f>Summary!BT104</f>
        <v>130037</v>
      </c>
      <c r="C70" s="707" t="str">
        <f>Summary!BU104</f>
        <v>Waterproofing</v>
      </c>
    </row>
    <row r="71" spans="2:3">
      <c r="B71" s="1648">
        <f>Summary!BT105</f>
        <v>130038</v>
      </c>
      <c r="C71" s="707" t="str">
        <f>Summary!BU105</f>
        <v>Crain/Hoisting</v>
      </c>
    </row>
    <row r="72" spans="2:3">
      <c r="B72" s="1648">
        <f>Summary!BT106</f>
        <v>130039</v>
      </c>
      <c r="C72" s="707" t="str">
        <f>Summary!BU106</f>
        <v>Forming Systems</v>
      </c>
    </row>
    <row r="73" spans="2:3">
      <c r="B73" s="1648">
        <f>Summary!BT107</f>
        <v>130040</v>
      </c>
      <c r="C73" s="707" t="str">
        <f>Summary!BU107</f>
        <v>Total Sub Labor</v>
      </c>
    </row>
    <row r="74" spans="2:3">
      <c r="B74" s="1648">
        <f>Summary!BT108</f>
        <v>130041</v>
      </c>
      <c r="C74" s="707" t="str">
        <f>Summary!BU108</f>
        <v>Labor Forming</v>
      </c>
    </row>
    <row r="75" spans="2:3">
      <c r="B75" s="1648">
        <f>Summary!BT109</f>
        <v>130042</v>
      </c>
      <c r="C75" s="707" t="str">
        <f>Summary!BU109</f>
        <v>Labor Grade, Poly, Reinf.</v>
      </c>
    </row>
    <row r="76" spans="2:3">
      <c r="B76" s="1648">
        <f>Summary!BT110</f>
        <v>130043</v>
      </c>
      <c r="C76" s="707" t="str">
        <f>Summary!BU110</f>
        <v>Labor Place &amp; Finish</v>
      </c>
    </row>
    <row r="77" spans="2:3">
      <c r="B77" s="1648">
        <f>Summary!BT111</f>
        <v>130044</v>
      </c>
      <c r="C77" s="707" t="str">
        <f>Summary!BU111</f>
        <v>Labor Drops</v>
      </c>
    </row>
    <row r="78" spans="2:3">
      <c r="B78" s="1648">
        <f>Summary!BT112</f>
        <v>130045</v>
      </c>
      <c r="C78" s="707" t="str">
        <f>Summary!BU112</f>
        <v>Labor Strip Forms</v>
      </c>
    </row>
    <row r="79" spans="2:3">
      <c r="B79" s="1648">
        <f>Summary!BT113</f>
        <v>130046</v>
      </c>
      <c r="C79" s="707" t="str">
        <f>Summary!BU113</f>
        <v>Labor Burden</v>
      </c>
    </row>
    <row r="80" spans="2:3">
      <c r="B80" s="1648">
        <f>Summary!BT114</f>
        <v>130047</v>
      </c>
      <c r="C80" s="707" t="str">
        <f>Summary!BU114</f>
        <v>Rebar</v>
      </c>
    </row>
    <row r="81" spans="2:5">
      <c r="B81" s="1648">
        <f>Summary!BT115</f>
        <v>130048</v>
      </c>
      <c r="C81" s="707" t="str">
        <f>Summary!BU115</f>
        <v>PT Installation</v>
      </c>
      <c r="D81" s="296"/>
      <c r="E81" s="708"/>
    </row>
    <row r="82" spans="2:5">
      <c r="B82" s="1648">
        <f>Summary!BT116</f>
        <v>130049</v>
      </c>
      <c r="C82" s="707" t="str">
        <f>Summary!BU116</f>
        <v>Extra Hours</v>
      </c>
      <c r="D82" s="296"/>
      <c r="E82" s="708"/>
    </row>
    <row r="83" spans="2:5">
      <c r="B83" s="1648">
        <f>Summary!BT117</f>
        <v>130060</v>
      </c>
      <c r="C83" s="707" t="str">
        <f>Summary!BU117</f>
        <v>Total Equipment Rental</v>
      </c>
      <c r="D83" s="296"/>
      <c r="E83" s="708"/>
    </row>
    <row r="84" spans="2:5">
      <c r="B84" s="1648">
        <f>Summary!BT118</f>
        <v>130061</v>
      </c>
      <c r="C84" s="707" t="str">
        <f>Summary!BU118</f>
        <v>SkyTrack</v>
      </c>
      <c r="D84" s="296"/>
      <c r="E84" s="708"/>
    </row>
    <row r="85" spans="2:5">
      <c r="B85" s="1648">
        <f>Summary!BT119</f>
        <v>130062</v>
      </c>
      <c r="C85" s="707" t="str">
        <f>Summary!BU119</f>
        <v>Mini Excavator</v>
      </c>
      <c r="D85" s="296"/>
      <c r="E85" s="708"/>
    </row>
    <row r="86" spans="2:5">
      <c r="B86" s="1648">
        <f>Summary!BT120</f>
        <v>130063</v>
      </c>
      <c r="C86" s="707" t="str">
        <f>Summary!BU120</f>
        <v>Trencher</v>
      </c>
      <c r="D86" s="296"/>
      <c r="E86" s="708"/>
    </row>
    <row r="87" spans="2:5">
      <c r="B87" s="1648">
        <f>Summary!BT121</f>
        <v>130064</v>
      </c>
      <c r="C87" s="707" t="str">
        <f>Summary!BU121</f>
        <v>Skid Steer</v>
      </c>
      <c r="D87" s="296"/>
      <c r="E87" s="708"/>
    </row>
    <row r="88" spans="2:5">
      <c r="B88" s="1648">
        <f>Summary!BT122</f>
        <v>130065</v>
      </c>
      <c r="C88" s="707" t="str">
        <f>Summary!BU122</f>
        <v>General Equipment Rental</v>
      </c>
      <c r="E88" s="708"/>
    </row>
    <row r="89" spans="2:5">
      <c r="B89" s="1648">
        <f>Summary!BT123</f>
        <v>130066</v>
      </c>
      <c r="C89" s="707" t="str">
        <f>Summary!BU123</f>
        <v>Fuel</v>
      </c>
      <c r="E89" s="708"/>
    </row>
    <row r="90" spans="2:5">
      <c r="B90" s="1648">
        <f>Summary!BT124</f>
        <v>130067</v>
      </c>
      <c r="C90" s="707" t="str">
        <f>Summary!BU124</f>
        <v>Purchased Tools</v>
      </c>
      <c r="E90" s="708"/>
    </row>
    <row r="91" spans="2:5">
      <c r="B91" s="1648">
        <f>Summary!BT125</f>
        <v>130068</v>
      </c>
      <c r="C91" s="707" t="str">
        <f>Summary!BU125</f>
        <v>Stolen/Damaged</v>
      </c>
      <c r="E91" s="708"/>
    </row>
    <row r="92" spans="2:5">
      <c r="B92" s="1648">
        <f>Summary!BT126</f>
        <v>130070</v>
      </c>
      <c r="C92" s="707" t="str">
        <f>Summary!BU126</f>
        <v>Out of Town Expense</v>
      </c>
      <c r="E92" s="708"/>
    </row>
    <row r="93" spans="2:5">
      <c r="B93" s="1648">
        <f>Summary!BT127</f>
        <v>130071</v>
      </c>
      <c r="C93" s="707" t="str">
        <f>Summary!BU127</f>
        <v>Miscellaneous</v>
      </c>
      <c r="E93" s="708"/>
    </row>
    <row r="94" spans="2:5">
      <c r="B94" s="1648">
        <f>Summary!BT130</f>
        <v>130090</v>
      </c>
      <c r="C94" s="707" t="str">
        <f>Summary!BU130</f>
        <v>Not Used</v>
      </c>
      <c r="E94" s="708"/>
    </row>
    <row r="95" spans="2:5">
      <c r="B95" s="1648">
        <f>Summary!BT131</f>
        <v>130091</v>
      </c>
      <c r="C95" s="707" t="str">
        <f>Summary!BU131</f>
        <v>Margin Contingency</v>
      </c>
      <c r="E95" s="708">
        <f>D27</f>
        <v>1000</v>
      </c>
    </row>
  </sheetData>
  <mergeCells count="37">
    <mergeCell ref="D21:E21"/>
    <mergeCell ref="D22:E22"/>
    <mergeCell ref="D23:E23"/>
    <mergeCell ref="D24:E24"/>
    <mergeCell ref="D27:E27"/>
    <mergeCell ref="D16:E16"/>
    <mergeCell ref="D17:E17"/>
    <mergeCell ref="D18:E18"/>
    <mergeCell ref="D19:E19"/>
    <mergeCell ref="D20:E20"/>
    <mergeCell ref="B10:B11"/>
    <mergeCell ref="D10:E11"/>
    <mergeCell ref="D13:E13"/>
    <mergeCell ref="D14:E14"/>
    <mergeCell ref="D15:E15"/>
    <mergeCell ref="D6:E6"/>
    <mergeCell ref="K6:O6"/>
    <mergeCell ref="P6:Q6"/>
    <mergeCell ref="R6:S6"/>
    <mergeCell ref="D7:E7"/>
    <mergeCell ref="H7:K7"/>
    <mergeCell ref="L7:P7"/>
    <mergeCell ref="B4:E4"/>
    <mergeCell ref="K4:O4"/>
    <mergeCell ref="P4:Q4"/>
    <mergeCell ref="R4:S4"/>
    <mergeCell ref="K5:O5"/>
    <mergeCell ref="P5:Q5"/>
    <mergeCell ref="R5:S5"/>
    <mergeCell ref="X1:Y1"/>
    <mergeCell ref="B2:E2"/>
    <mergeCell ref="P2:Q2"/>
    <mergeCell ref="R2:S2"/>
    <mergeCell ref="B3:E3"/>
    <mergeCell ref="K3:O3"/>
    <mergeCell ref="P3:Q3"/>
    <mergeCell ref="R3:S3"/>
  </mergeCells>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I63"/>
  <sheetViews>
    <sheetView zoomScale="75" zoomScaleNormal="75" workbookViewId="0">
      <selection activeCell="N20" sqref="N20"/>
    </sheetView>
  </sheetViews>
  <sheetFormatPr defaultColWidth="8.3046875" defaultRowHeight="12.45"/>
  <cols>
    <col min="6" max="6" width="10.15234375" customWidth="1"/>
    <col min="9" max="9" width="18.84375" customWidth="1"/>
  </cols>
  <sheetData>
    <row r="1" spans="1:9">
      <c r="A1" s="3326" t="s">
        <v>788</v>
      </c>
      <c r="B1" s="3326"/>
      <c r="C1" s="3326"/>
      <c r="D1" s="3326"/>
      <c r="E1" s="3326"/>
      <c r="F1" s="3326"/>
      <c r="G1" s="3326"/>
      <c r="H1" s="3326"/>
      <c r="I1" s="3326"/>
    </row>
    <row r="2" spans="1:9">
      <c r="A2" s="3327" t="s">
        <v>2095</v>
      </c>
      <c r="B2" s="3327"/>
      <c r="C2" s="3328" t="str">
        <f>Information!C2</f>
        <v>Trammell Crow – LBJ</v>
      </c>
      <c r="D2" s="3328"/>
      <c r="E2" s="3328"/>
      <c r="F2" s="3328"/>
      <c r="G2" s="3328"/>
      <c r="H2" s="3328"/>
      <c r="I2" s="3328"/>
    </row>
    <row r="3" spans="1:9">
      <c r="A3" s="3327" t="s">
        <v>2096</v>
      </c>
      <c r="B3" s="3327"/>
      <c r="C3" s="3329"/>
      <c r="D3" s="3329"/>
      <c r="E3" s="3329"/>
      <c r="F3" s="3329"/>
      <c r="G3" s="3329"/>
      <c r="H3" s="3329"/>
      <c r="I3" s="3329"/>
    </row>
    <row r="4" spans="1:9">
      <c r="A4" s="3330"/>
      <c r="B4" s="3330"/>
      <c r="C4" s="3331"/>
      <c r="D4" s="3331"/>
      <c r="E4" s="3331"/>
      <c r="F4" s="3331"/>
      <c r="G4" s="3331"/>
      <c r="H4" s="3331"/>
      <c r="I4" s="3331"/>
    </row>
    <row r="5" spans="1:9">
      <c r="A5" s="3332" t="s">
        <v>2097</v>
      </c>
      <c r="B5" s="3332"/>
      <c r="C5" s="3333"/>
      <c r="D5" s="3333"/>
      <c r="E5" s="3333"/>
      <c r="F5" s="3333"/>
      <c r="G5" s="3333"/>
      <c r="H5" s="3333"/>
      <c r="I5" s="3333"/>
    </row>
    <row r="6" spans="1:9">
      <c r="A6" s="3334"/>
      <c r="B6" s="3334"/>
      <c r="C6" s="3335"/>
      <c r="D6" s="3335"/>
      <c r="E6" s="3335"/>
      <c r="F6" s="3335"/>
      <c r="G6" s="3335"/>
      <c r="H6" s="3335"/>
      <c r="I6" s="3335"/>
    </row>
    <row r="7" spans="1:9">
      <c r="A7" s="3336"/>
      <c r="B7" s="3336"/>
      <c r="C7" s="3337"/>
      <c r="D7" s="3337"/>
      <c r="E7" s="3337"/>
      <c r="F7" s="3337"/>
    </row>
    <row r="8" spans="1:9">
      <c r="A8" s="3332" t="s">
        <v>2098</v>
      </c>
      <c r="B8" s="3332"/>
      <c r="C8" s="3337"/>
      <c r="D8" s="3337"/>
      <c r="E8" s="3337"/>
      <c r="F8" s="3337"/>
    </row>
    <row r="9" spans="1:9" ht="23.25" customHeight="1">
      <c r="A9" s="258"/>
      <c r="B9" s="258"/>
      <c r="C9" s="31"/>
      <c r="D9" s="31"/>
      <c r="E9" s="31"/>
      <c r="F9" s="31"/>
      <c r="G9" s="31"/>
      <c r="H9" s="31" t="s">
        <v>2099</v>
      </c>
      <c r="I9" s="2725">
        <f>I17+I25+I33+I39+I45+I50+I55+I63</f>
        <v>0</v>
      </c>
    </row>
    <row r="10" spans="1:9">
      <c r="A10" s="2726" t="s">
        <v>2100</v>
      </c>
      <c r="B10" s="2726" t="s">
        <v>835</v>
      </c>
      <c r="C10" s="3338" t="s">
        <v>2100</v>
      </c>
      <c r="D10" s="3338"/>
      <c r="E10" s="3338"/>
      <c r="F10" s="765" t="s">
        <v>2101</v>
      </c>
      <c r="G10" s="765"/>
      <c r="H10" s="765"/>
      <c r="I10" s="2727"/>
    </row>
    <row r="11" spans="1:9" ht="19.5" customHeight="1">
      <c r="A11" s="3339" t="s">
        <v>1056</v>
      </c>
      <c r="B11" s="2728"/>
      <c r="C11" s="3340"/>
      <c r="D11" s="3340"/>
      <c r="E11" s="3340"/>
      <c r="F11" s="2729"/>
      <c r="G11" t="s">
        <v>849</v>
      </c>
      <c r="I11" s="2730">
        <f t="shared" ref="I11:I16" si="0">B11*F11</f>
        <v>0</v>
      </c>
    </row>
    <row r="12" spans="1:9" ht="19.5" customHeight="1">
      <c r="A12" s="3339"/>
      <c r="B12" s="2728"/>
      <c r="C12" s="3341"/>
      <c r="D12" s="3341"/>
      <c r="E12" s="3341"/>
      <c r="F12" s="2729"/>
      <c r="G12" t="s">
        <v>2102</v>
      </c>
      <c r="I12" s="2730">
        <f t="shared" si="0"/>
        <v>0</v>
      </c>
    </row>
    <row r="13" spans="1:9" ht="19.5" customHeight="1">
      <c r="A13" s="3339"/>
      <c r="B13" s="2728"/>
      <c r="C13" s="3342"/>
      <c r="D13" s="3342"/>
      <c r="E13" s="3342"/>
      <c r="F13" s="2729"/>
      <c r="G13" t="s">
        <v>2103</v>
      </c>
      <c r="I13" s="2730">
        <f t="shared" si="0"/>
        <v>0</v>
      </c>
    </row>
    <row r="14" spans="1:9" ht="19.5" customHeight="1">
      <c r="A14" s="3339"/>
      <c r="B14" s="2728"/>
      <c r="C14" s="3343"/>
      <c r="D14" s="3343"/>
      <c r="E14" s="3343"/>
      <c r="F14" s="2729"/>
      <c r="I14" s="2730">
        <f t="shared" si="0"/>
        <v>0</v>
      </c>
    </row>
    <row r="15" spans="1:9" ht="19.5" customHeight="1">
      <c r="A15" s="3339"/>
      <c r="B15" s="2728"/>
      <c r="C15" s="3343"/>
      <c r="D15" s="3343"/>
      <c r="E15" s="3343"/>
      <c r="F15" s="2729"/>
      <c r="I15" s="2730">
        <f t="shared" si="0"/>
        <v>0</v>
      </c>
    </row>
    <row r="16" spans="1:9" ht="19.5" customHeight="1">
      <c r="A16" s="3339"/>
      <c r="B16" s="2731"/>
      <c r="C16" s="3344"/>
      <c r="D16" s="3344"/>
      <c r="E16" s="3344"/>
      <c r="F16" s="2732"/>
      <c r="G16" s="229"/>
      <c r="H16" s="229"/>
      <c r="I16" s="2730">
        <f t="shared" si="0"/>
        <v>0</v>
      </c>
    </row>
    <row r="17" spans="1:9" ht="19.5" customHeight="1">
      <c r="A17" s="2733"/>
      <c r="B17" s="2734"/>
      <c r="C17" s="3345"/>
      <c r="D17" s="3345"/>
      <c r="E17" s="3345"/>
      <c r="F17" s="2735"/>
      <c r="G17" s="2736"/>
      <c r="H17" s="2736"/>
      <c r="I17" s="2737">
        <f>SUM(I11:I16)</f>
        <v>0</v>
      </c>
    </row>
    <row r="18" spans="1:9" ht="15.75" customHeight="1">
      <c r="A18" s="3339" t="s">
        <v>2104</v>
      </c>
      <c r="B18" s="2728"/>
      <c r="C18" s="3346"/>
      <c r="D18" s="3346"/>
      <c r="E18" s="3346"/>
      <c r="F18" s="2729"/>
      <c r="G18" t="s">
        <v>863</v>
      </c>
      <c r="I18" s="2730">
        <f t="shared" ref="I18:I24" si="1">B18*F18</f>
        <v>0</v>
      </c>
    </row>
    <row r="19" spans="1:9" ht="15.75" customHeight="1">
      <c r="A19" s="3339"/>
      <c r="B19" s="2728"/>
      <c r="C19" s="3346"/>
      <c r="D19" s="3346"/>
      <c r="E19" s="3346"/>
      <c r="F19" s="2729"/>
      <c r="G19" t="s">
        <v>863</v>
      </c>
      <c r="I19" s="2730">
        <f t="shared" si="1"/>
        <v>0</v>
      </c>
    </row>
    <row r="20" spans="1:9" ht="15.75" customHeight="1">
      <c r="A20" s="3339"/>
      <c r="B20" s="2728"/>
      <c r="C20" s="490"/>
      <c r="D20" s="17"/>
      <c r="E20" s="17"/>
      <c r="F20" s="2738"/>
      <c r="G20" t="s">
        <v>863</v>
      </c>
      <c r="I20" s="2730">
        <f t="shared" si="1"/>
        <v>0</v>
      </c>
    </row>
    <row r="21" spans="1:9" ht="15.75" customHeight="1">
      <c r="A21" s="3339"/>
      <c r="B21" s="2728"/>
      <c r="C21" s="490"/>
      <c r="D21" s="17"/>
      <c r="E21" s="17"/>
      <c r="F21" s="2729"/>
      <c r="G21" t="s">
        <v>863</v>
      </c>
      <c r="I21" s="2730">
        <f t="shared" si="1"/>
        <v>0</v>
      </c>
    </row>
    <row r="22" spans="1:9" ht="15.75" customHeight="1">
      <c r="A22" s="3339"/>
      <c r="B22" s="2728"/>
      <c r="C22" s="490"/>
      <c r="D22" s="13"/>
      <c r="E22" s="13"/>
      <c r="F22" s="2729"/>
      <c r="G22" t="s">
        <v>2105</v>
      </c>
      <c r="I22" s="2730">
        <f t="shared" si="1"/>
        <v>0</v>
      </c>
    </row>
    <row r="23" spans="1:9" ht="15.75" customHeight="1">
      <c r="A23" s="3339"/>
      <c r="B23" s="2728"/>
      <c r="C23" s="489"/>
      <c r="D23" s="13"/>
      <c r="E23" s="13"/>
      <c r="F23" s="2729"/>
      <c r="G23" t="s">
        <v>2106</v>
      </c>
      <c r="I23" s="2730">
        <f t="shared" si="1"/>
        <v>0</v>
      </c>
    </row>
    <row r="24" spans="1:9" ht="15.75" customHeight="1">
      <c r="A24" s="3339"/>
      <c r="B24" s="2731"/>
      <c r="C24" s="3344"/>
      <c r="D24" s="3344"/>
      <c r="E24" s="3344"/>
      <c r="F24" s="2732"/>
      <c r="G24" s="229"/>
      <c r="H24" s="229"/>
      <c r="I24" s="2739">
        <f t="shared" si="1"/>
        <v>0</v>
      </c>
    </row>
    <row r="25" spans="1:9" ht="19.5" customHeight="1">
      <c r="A25" s="2733"/>
      <c r="B25" s="2740"/>
      <c r="C25" s="2741"/>
      <c r="D25" s="2741"/>
      <c r="E25" s="2741"/>
      <c r="F25" s="2742"/>
      <c r="G25" s="248"/>
      <c r="H25" s="248"/>
      <c r="I25" s="2743">
        <f>SUM(I18:I24)</f>
        <v>0</v>
      </c>
    </row>
    <row r="26" spans="1:9" ht="15.75" customHeight="1">
      <c r="A26" s="3339" t="s">
        <v>2093</v>
      </c>
      <c r="B26" s="2744"/>
      <c r="C26" s="124"/>
      <c r="D26" s="18"/>
      <c r="E26" s="18"/>
      <c r="F26" s="2745"/>
      <c r="G26" t="s">
        <v>863</v>
      </c>
      <c r="I26" s="2730">
        <f t="shared" ref="I26:I32" si="2">B26*F26</f>
        <v>0</v>
      </c>
    </row>
    <row r="27" spans="1:9" ht="15.75" customHeight="1">
      <c r="A27" s="3339"/>
      <c r="B27" s="2728"/>
      <c r="C27" s="124"/>
      <c r="D27" s="17"/>
      <c r="E27" s="17"/>
      <c r="F27" s="2729"/>
      <c r="G27" t="s">
        <v>863</v>
      </c>
      <c r="I27" s="2730">
        <f t="shared" si="2"/>
        <v>0</v>
      </c>
    </row>
    <row r="28" spans="1:9" ht="15.75" customHeight="1">
      <c r="A28" s="3339"/>
      <c r="B28" s="2728"/>
      <c r="C28" s="490"/>
      <c r="D28" s="17"/>
      <c r="E28" s="17"/>
      <c r="F28" s="2729"/>
      <c r="G28" t="s">
        <v>863</v>
      </c>
      <c r="I28" s="2730">
        <f t="shared" si="2"/>
        <v>0</v>
      </c>
    </row>
    <row r="29" spans="1:9" ht="15.75" customHeight="1">
      <c r="A29" s="3339"/>
      <c r="B29" s="2728"/>
      <c r="C29" s="490"/>
      <c r="D29" s="17"/>
      <c r="E29" s="17"/>
      <c r="F29" s="2738"/>
      <c r="G29" t="s">
        <v>2105</v>
      </c>
      <c r="I29" s="2730">
        <f t="shared" si="2"/>
        <v>0</v>
      </c>
    </row>
    <row r="30" spans="1:9" ht="15.75" customHeight="1">
      <c r="A30" s="3339"/>
      <c r="B30" s="2728"/>
      <c r="C30" s="490"/>
      <c r="D30" s="17"/>
      <c r="E30" s="17"/>
      <c r="F30" s="2729"/>
      <c r="I30" s="2730">
        <f t="shared" si="2"/>
        <v>0</v>
      </c>
    </row>
    <row r="31" spans="1:9" ht="15.75" customHeight="1">
      <c r="A31" s="3339"/>
      <c r="B31" s="2728"/>
      <c r="C31" s="489"/>
      <c r="D31" s="13"/>
      <c r="E31" s="13"/>
      <c r="F31" s="2729"/>
      <c r="I31" s="2730">
        <f t="shared" si="2"/>
        <v>0</v>
      </c>
    </row>
    <row r="32" spans="1:9" ht="15.75" customHeight="1">
      <c r="A32" s="3339"/>
      <c r="B32" s="2731"/>
      <c r="C32" s="3344"/>
      <c r="D32" s="3344"/>
      <c r="E32" s="3344"/>
      <c r="F32" s="2732"/>
      <c r="G32" s="229"/>
      <c r="H32" s="229"/>
      <c r="I32" s="2739">
        <f t="shared" si="2"/>
        <v>0</v>
      </c>
    </row>
    <row r="33" spans="1:9" ht="19.5" customHeight="1">
      <c r="A33" s="248"/>
      <c r="B33" s="2736"/>
      <c r="C33" s="2736"/>
      <c r="D33" s="2736"/>
      <c r="E33" s="2736"/>
      <c r="F33" s="2746"/>
      <c r="G33" s="2736"/>
      <c r="H33" s="2736"/>
      <c r="I33" s="2737">
        <f>SUM(I26:I32)</f>
        <v>0</v>
      </c>
    </row>
    <row r="34" spans="1:9" ht="15.75" customHeight="1">
      <c r="A34" s="3339" t="s">
        <v>2107</v>
      </c>
      <c r="B34" s="2744"/>
      <c r="C34" s="124"/>
      <c r="D34" s="18"/>
      <c r="E34" s="18"/>
      <c r="F34" s="2745"/>
      <c r="G34" t="s">
        <v>863</v>
      </c>
      <c r="I34" s="2730">
        <f>B34*F34</f>
        <v>0</v>
      </c>
    </row>
    <row r="35" spans="1:9" ht="15.75" customHeight="1">
      <c r="A35" s="3339"/>
      <c r="B35" s="2728"/>
      <c r="C35" s="124"/>
      <c r="D35" s="17"/>
      <c r="E35" s="17"/>
      <c r="F35" s="2729"/>
      <c r="G35" t="s">
        <v>2105</v>
      </c>
      <c r="I35" s="2730">
        <f>B35*F35</f>
        <v>0</v>
      </c>
    </row>
    <row r="36" spans="1:9" ht="15.75" customHeight="1">
      <c r="A36" s="3339"/>
      <c r="B36" s="2728"/>
      <c r="C36" s="490"/>
      <c r="D36" s="17"/>
      <c r="E36" s="17"/>
      <c r="F36" s="2729"/>
      <c r="I36" s="2730">
        <f>B36*F36</f>
        <v>0</v>
      </c>
    </row>
    <row r="37" spans="1:9" ht="15.75" customHeight="1">
      <c r="A37" s="3339"/>
      <c r="B37" s="2728"/>
      <c r="C37" s="490"/>
      <c r="D37" s="17"/>
      <c r="E37" s="17"/>
      <c r="F37" s="2738"/>
      <c r="I37" s="2730">
        <f>B37*F37</f>
        <v>0</v>
      </c>
    </row>
    <row r="38" spans="1:9" ht="15.75" customHeight="1">
      <c r="A38" s="3339"/>
      <c r="B38" s="2731"/>
      <c r="C38" s="3344"/>
      <c r="D38" s="3344"/>
      <c r="E38" s="3344"/>
      <c r="F38" s="2732"/>
      <c r="G38" s="229"/>
      <c r="H38" s="229"/>
      <c r="I38" s="2739">
        <f>B38*F38</f>
        <v>0</v>
      </c>
    </row>
    <row r="39" spans="1:9" ht="19.5" customHeight="1">
      <c r="A39" s="248"/>
      <c r="B39" s="2736"/>
      <c r="C39" s="2736"/>
      <c r="D39" s="2736"/>
      <c r="E39" s="2736"/>
      <c r="F39" s="2746"/>
      <c r="G39" s="2736"/>
      <c r="H39" s="2736"/>
      <c r="I39" s="2737">
        <f>SUM(I34:I38)</f>
        <v>0</v>
      </c>
    </row>
    <row r="40" spans="1:9" ht="15.75" customHeight="1">
      <c r="A40" s="3339" t="s">
        <v>797</v>
      </c>
      <c r="B40" s="2744"/>
      <c r="C40" s="124"/>
      <c r="D40" s="18"/>
      <c r="E40" s="18"/>
      <c r="F40" s="2745"/>
      <c r="G40" t="s">
        <v>1312</v>
      </c>
      <c r="I40" s="2730">
        <f>B40*F40</f>
        <v>0</v>
      </c>
    </row>
    <row r="41" spans="1:9" ht="15.75" customHeight="1">
      <c r="A41" s="3339"/>
      <c r="B41" s="2728"/>
      <c r="C41" s="124"/>
      <c r="D41" s="17"/>
      <c r="E41" s="17"/>
      <c r="F41" s="2729"/>
      <c r="I41" s="2730">
        <f>B41*F41</f>
        <v>0</v>
      </c>
    </row>
    <row r="42" spans="1:9" ht="15.75" customHeight="1">
      <c r="A42" s="3339"/>
      <c r="B42" s="2728"/>
      <c r="C42" s="490"/>
      <c r="D42" s="17"/>
      <c r="E42" s="17"/>
      <c r="F42" s="2729"/>
      <c r="I42" s="2730">
        <f>B42*F42</f>
        <v>0</v>
      </c>
    </row>
    <row r="43" spans="1:9" ht="15.75" customHeight="1">
      <c r="A43" s="3339"/>
      <c r="B43" s="2728"/>
      <c r="C43" s="489"/>
      <c r="D43" s="13"/>
      <c r="E43" s="13"/>
      <c r="F43" s="2729"/>
      <c r="I43" s="2730">
        <f>B43*F43</f>
        <v>0</v>
      </c>
    </row>
    <row r="44" spans="1:9" ht="15.75" customHeight="1">
      <c r="A44" s="3339"/>
      <c r="B44" s="2731"/>
      <c r="C44" s="3344"/>
      <c r="D44" s="3344"/>
      <c r="E44" s="3344"/>
      <c r="F44" s="2732"/>
      <c r="G44" s="229"/>
      <c r="H44" s="229"/>
      <c r="I44" s="2739">
        <f>B44*F44</f>
        <v>0</v>
      </c>
    </row>
    <row r="45" spans="1:9" ht="19.5" customHeight="1">
      <c r="A45" s="248"/>
      <c r="B45" s="2736"/>
      <c r="C45" s="2736"/>
      <c r="D45" s="2736"/>
      <c r="E45" s="2736"/>
      <c r="F45" s="2746"/>
      <c r="G45" s="2736"/>
      <c r="H45" s="2736"/>
      <c r="I45" s="2737">
        <f>SUM(I40:I44)</f>
        <v>0</v>
      </c>
    </row>
    <row r="46" spans="1:9" ht="15.75" customHeight="1">
      <c r="A46" s="3347" t="s">
        <v>1063</v>
      </c>
      <c r="B46" s="2744"/>
      <c r="C46" s="124"/>
      <c r="D46" s="18"/>
      <c r="E46" s="18"/>
      <c r="F46" s="2745"/>
      <c r="G46" t="s">
        <v>863</v>
      </c>
      <c r="I46" s="2730">
        <f>B46*F46</f>
        <v>0</v>
      </c>
    </row>
    <row r="47" spans="1:9" ht="15.75" customHeight="1">
      <c r="A47" s="3347"/>
      <c r="B47" s="2728"/>
      <c r="C47" s="124"/>
      <c r="D47" s="17"/>
      <c r="E47" s="17"/>
      <c r="F47" s="2729"/>
      <c r="G47" t="s">
        <v>863</v>
      </c>
      <c r="I47" s="2730">
        <f>B47*F47</f>
        <v>0</v>
      </c>
    </row>
    <row r="48" spans="1:9" ht="15.75" customHeight="1">
      <c r="A48" s="3347"/>
      <c r="B48" s="2728"/>
      <c r="C48" s="490"/>
      <c r="D48" s="17"/>
      <c r="E48" s="17"/>
      <c r="F48" s="2729"/>
      <c r="I48" s="2730">
        <f>B48*F48</f>
        <v>0</v>
      </c>
    </row>
    <row r="49" spans="1:9" ht="15.75" customHeight="1">
      <c r="A49" s="3347"/>
      <c r="B49" s="2731"/>
      <c r="C49" s="3344"/>
      <c r="D49" s="3344"/>
      <c r="E49" s="3344"/>
      <c r="F49" s="2732"/>
      <c r="G49" s="229"/>
      <c r="H49" s="229"/>
      <c r="I49" s="2739">
        <f>B49*F49</f>
        <v>0</v>
      </c>
    </row>
    <row r="50" spans="1:9" ht="19.5" customHeight="1">
      <c r="A50" s="248"/>
      <c r="B50" s="2736"/>
      <c r="C50" s="2736"/>
      <c r="D50" s="2736"/>
      <c r="E50" s="2736"/>
      <c r="F50" s="2746"/>
      <c r="G50" s="2736"/>
      <c r="H50" s="2736"/>
      <c r="I50" s="2737">
        <f>SUM(I46:I49)</f>
        <v>0</v>
      </c>
    </row>
    <row r="51" spans="1:9" ht="15.75" customHeight="1">
      <c r="A51" s="3348" t="s">
        <v>1065</v>
      </c>
      <c r="B51" s="2747"/>
      <c r="C51" s="124"/>
      <c r="D51" s="18"/>
      <c r="E51" s="18"/>
      <c r="F51" s="2745">
        <v>1.25</v>
      </c>
      <c r="G51" t="s">
        <v>863</v>
      </c>
      <c r="I51" s="2730">
        <f>B51*F51</f>
        <v>0</v>
      </c>
    </row>
    <row r="52" spans="1:9" ht="15.75" customHeight="1">
      <c r="A52" s="3348"/>
      <c r="B52" s="2728"/>
      <c r="C52" s="124"/>
      <c r="D52" s="17"/>
      <c r="E52" s="17"/>
      <c r="F52" s="2729"/>
      <c r="I52" s="2730">
        <f>B52*F52</f>
        <v>0</v>
      </c>
    </row>
    <row r="53" spans="1:9" ht="15.75" customHeight="1">
      <c r="A53" s="3348"/>
      <c r="B53" s="2728"/>
      <c r="C53" s="490"/>
      <c r="D53" s="17"/>
      <c r="E53" s="17"/>
      <c r="F53" s="2729"/>
      <c r="I53" s="2730">
        <f>B53*F53</f>
        <v>0</v>
      </c>
    </row>
    <row r="54" spans="1:9" ht="15.75" customHeight="1">
      <c r="A54" s="3348"/>
      <c r="B54" s="2731"/>
      <c r="C54" s="3344"/>
      <c r="D54" s="3344"/>
      <c r="E54" s="3344"/>
      <c r="F54" s="2732"/>
      <c r="G54" s="229"/>
      <c r="H54" s="229"/>
      <c r="I54" s="2739">
        <f>B54*F54</f>
        <v>0</v>
      </c>
    </row>
    <row r="55" spans="1:9">
      <c r="A55" s="248"/>
      <c r="B55" s="2736"/>
      <c r="C55" s="2736"/>
      <c r="D55" s="2736"/>
      <c r="E55" s="2736"/>
      <c r="F55" s="2746"/>
      <c r="G55" s="2736"/>
      <c r="H55" s="2736"/>
      <c r="I55" s="2737">
        <f>SUM(I51:I54)</f>
        <v>0</v>
      </c>
    </row>
    <row r="56" spans="1:9" ht="15.75" customHeight="1">
      <c r="A56" s="3339" t="s">
        <v>905</v>
      </c>
      <c r="B56" s="2744"/>
      <c r="C56" s="124" t="s">
        <v>2108</v>
      </c>
      <c r="D56" s="18"/>
      <c r="E56" s="18"/>
      <c r="F56" s="2745">
        <v>50</v>
      </c>
      <c r="G56" t="s">
        <v>2109</v>
      </c>
      <c r="I56" s="2730">
        <f t="shared" ref="I56:I62" si="3">B56*F56</f>
        <v>0</v>
      </c>
    </row>
    <row r="57" spans="1:9" ht="15.75" customHeight="1">
      <c r="A57" s="3339"/>
      <c r="B57" s="2728"/>
      <c r="C57" s="124" t="s">
        <v>2110</v>
      </c>
      <c r="D57" s="17"/>
      <c r="E57" s="17"/>
      <c r="F57" s="2729">
        <v>1200</v>
      </c>
      <c r="G57" t="s">
        <v>2109</v>
      </c>
      <c r="I57" s="2730">
        <f t="shared" si="3"/>
        <v>0</v>
      </c>
    </row>
    <row r="58" spans="1:9" ht="15.75" customHeight="1">
      <c r="A58" s="3339"/>
      <c r="B58" s="2728"/>
      <c r="C58" s="490" t="s">
        <v>2111</v>
      </c>
      <c r="D58" s="17"/>
      <c r="E58" s="17"/>
      <c r="F58" s="2729">
        <v>600</v>
      </c>
      <c r="G58" t="s">
        <v>2109</v>
      </c>
      <c r="I58" s="2730">
        <f t="shared" si="3"/>
        <v>0</v>
      </c>
    </row>
    <row r="59" spans="1:9" ht="15.75" customHeight="1">
      <c r="A59" s="3339"/>
      <c r="B59" s="2728"/>
      <c r="C59" s="490" t="s">
        <v>2112</v>
      </c>
      <c r="D59" s="17"/>
      <c r="E59" s="17"/>
      <c r="F59" s="2738">
        <v>10</v>
      </c>
      <c r="G59" t="s">
        <v>664</v>
      </c>
      <c r="I59" s="2730">
        <f t="shared" si="3"/>
        <v>0</v>
      </c>
    </row>
    <row r="60" spans="1:9" ht="15.75" customHeight="1">
      <c r="A60" s="3339"/>
      <c r="B60" s="2728"/>
      <c r="C60" s="490" t="s">
        <v>2113</v>
      </c>
      <c r="D60" s="17"/>
      <c r="E60" s="17"/>
      <c r="F60" s="2729">
        <v>35</v>
      </c>
      <c r="I60" s="2730">
        <f t="shared" si="3"/>
        <v>0</v>
      </c>
    </row>
    <row r="61" spans="1:9" ht="15.75" customHeight="1">
      <c r="A61" s="3339"/>
      <c r="B61" s="2728"/>
      <c r="C61" s="489" t="s">
        <v>2114</v>
      </c>
      <c r="D61" s="13"/>
      <c r="E61" s="13"/>
      <c r="F61" s="2729">
        <v>150</v>
      </c>
      <c r="I61" s="2730">
        <f t="shared" si="3"/>
        <v>0</v>
      </c>
    </row>
    <row r="62" spans="1:9" ht="15.75" customHeight="1">
      <c r="A62" s="3339"/>
      <c r="B62" s="2731"/>
      <c r="C62" s="3344" t="s">
        <v>2115</v>
      </c>
      <c r="D62" s="3344"/>
      <c r="E62" s="3344"/>
      <c r="F62" s="2732">
        <v>100</v>
      </c>
      <c r="G62" s="229"/>
      <c r="H62" s="229"/>
      <c r="I62" s="2739">
        <f t="shared" si="3"/>
        <v>0</v>
      </c>
    </row>
    <row r="63" spans="1:9" ht="19.5" customHeight="1">
      <c r="A63" s="2736"/>
      <c r="B63" s="2736"/>
      <c r="C63" s="2736"/>
      <c r="D63" s="2736"/>
      <c r="E63" s="2736"/>
      <c r="F63" s="2736"/>
      <c r="G63" s="2736"/>
      <c r="H63" s="2736"/>
      <c r="I63" s="2737">
        <f>SUM(I56:I62)</f>
        <v>0</v>
      </c>
    </row>
  </sheetData>
  <mergeCells count="39">
    <mergeCell ref="A46:A49"/>
    <mergeCell ref="C49:E49"/>
    <mergeCell ref="A51:A54"/>
    <mergeCell ref="C54:E54"/>
    <mergeCell ref="A56:A62"/>
    <mergeCell ref="C62:E62"/>
    <mergeCell ref="A26:A32"/>
    <mergeCell ref="C32:E32"/>
    <mergeCell ref="A34:A38"/>
    <mergeCell ref="C38:E38"/>
    <mergeCell ref="A40:A44"/>
    <mergeCell ref="C44:E44"/>
    <mergeCell ref="C17:E17"/>
    <mergeCell ref="A18:A24"/>
    <mergeCell ref="C18:E18"/>
    <mergeCell ref="C19:E19"/>
    <mergeCell ref="C24:E24"/>
    <mergeCell ref="A7:B7"/>
    <mergeCell ref="C7:F8"/>
    <mergeCell ref="A8:B8"/>
    <mergeCell ref="C10:E10"/>
    <mergeCell ref="A11:A16"/>
    <mergeCell ref="C11:E11"/>
    <mergeCell ref="C12:E12"/>
    <mergeCell ref="C13:E13"/>
    <mergeCell ref="C14:E14"/>
    <mergeCell ref="C15:E15"/>
    <mergeCell ref="C16:E16"/>
    <mergeCell ref="A4:B4"/>
    <mergeCell ref="C4:I4"/>
    <mergeCell ref="A5:B5"/>
    <mergeCell ref="C5:I5"/>
    <mergeCell ref="A6:B6"/>
    <mergeCell ref="C6:I6"/>
    <mergeCell ref="A1:I1"/>
    <mergeCell ref="A2:B2"/>
    <mergeCell ref="C2:I2"/>
    <mergeCell ref="A3:B3"/>
    <mergeCell ref="C3:I3"/>
  </mergeCells>
  <pageMargins left="0.75" right="0.42986111111111103" top="0.49027777777777798" bottom="0.52986111111111101" header="0.511811023622047" footer="0.511811023622047"/>
  <pageSetup paperSize="5" scale="75"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462F8B-4A3F-482D-B91D-F88F30FD01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2</TotalTime>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Information</vt:lpstr>
      <vt:lpstr>Pricing</vt:lpstr>
      <vt:lpstr>Proposal(New UC)</vt:lpstr>
      <vt:lpstr>Summary</vt:lpstr>
      <vt:lpstr>01-Piers</vt:lpstr>
      <vt:lpstr>02-Gd Beams</vt:lpstr>
      <vt:lpstr>04-PT Slab on Grade</vt:lpstr>
      <vt:lpstr>04-PT Slab on Grade Wrap</vt:lpstr>
      <vt:lpstr>05-Slabs</vt:lpstr>
      <vt:lpstr>03-Walls &amp; Footings</vt:lpstr>
      <vt:lpstr>06-Walls &amp; Footings</vt:lpstr>
      <vt:lpstr>06-Footings</vt:lpstr>
      <vt:lpstr>06-Garage Walls &amp; Footings</vt:lpstr>
      <vt:lpstr>06-Garage Footings</vt:lpstr>
      <vt:lpstr>07-COLUMNS</vt:lpstr>
      <vt:lpstr>10-PAVING</vt:lpstr>
      <vt:lpstr>08-CIP EL. DECK</vt:lpstr>
      <vt:lpstr>09-SLAB ON DECK</vt:lpstr>
      <vt:lpstr>11-Sidewalks</vt:lpstr>
      <vt:lpstr>13-Miscellaneous</vt:lpstr>
      <vt:lpstr>12-PANELS</vt:lpstr>
      <vt:lpstr>14-Contingency</vt:lpstr>
      <vt:lpstr>SUB LABOR SHEET</vt:lpstr>
      <vt:lpstr>'01-Piers'!Print_Area</vt:lpstr>
      <vt:lpstr>'02-Gd Beams'!Print_Area</vt:lpstr>
      <vt:lpstr>'03-Walls &amp; Footings'!Print_Area</vt:lpstr>
      <vt:lpstr>'04-PT Slab on Grade'!Print_Area</vt:lpstr>
      <vt:lpstr>'04-PT Slab on Grade Wrap'!Print_Area</vt:lpstr>
      <vt:lpstr>'05-Slabs'!Print_Area</vt:lpstr>
      <vt:lpstr>'06-Footings'!Print_Area</vt:lpstr>
      <vt:lpstr>'06-Garage Footings'!Print_Area</vt:lpstr>
      <vt:lpstr>'06-Garage Walls &amp; Footings'!Print_Area</vt:lpstr>
      <vt:lpstr>'06-Walls &amp; Footings'!Print_Area</vt:lpstr>
      <vt:lpstr>'07-COLUMNS'!Print_Area</vt:lpstr>
      <vt:lpstr>'08-CIP EL. DECK'!Print_Area</vt:lpstr>
      <vt:lpstr>'09-SLAB ON DECK'!Print_Area</vt:lpstr>
      <vt:lpstr>'10-PAVING'!Print_Area</vt:lpstr>
      <vt:lpstr>'11-Sidewalks'!Print_Area</vt:lpstr>
      <vt:lpstr>'12-PANELS'!Print_Area</vt:lpstr>
      <vt:lpstr>'13-Miscellaneous'!Print_Area</vt:lpstr>
      <vt:lpstr>'14-Contingency'!Print_Area</vt:lpstr>
      <vt:lpstr>Information!Print_Area</vt:lpstr>
      <vt:lpstr>Pricing!Print_Area</vt:lpstr>
      <vt:lpstr>'Proposal(New UC)'!Print_Area</vt:lpstr>
      <vt:lpstr>'SUB LABOR SHEET'!Print_Area</vt:lpstr>
      <vt:lpstr>Summary!Print_Area</vt:lpstr>
      <vt:lpstr>'10-PAVING'!TABLE</vt:lpstr>
      <vt:lpstr>'10-PAVING'!TABLE_2</vt:lpstr>
      <vt:lpstr>'10-PAVING'!TABLE_3</vt:lpstr>
    </vt:vector>
  </TitlesOfParts>
  <Company>ACCI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Sheet May 23, 2004</dc:title>
  <dc:subject/>
  <dc:creator>Dan</dc:creator>
  <dc:description/>
  <cp:lastModifiedBy>Chad McKinney</cp:lastModifiedBy>
  <cp:revision>1</cp:revision>
  <cp:lastPrinted>2022-03-31T04:00:27Z</cp:lastPrinted>
  <dcterms:created xsi:type="dcterms:W3CDTF">2001-09-19T15:27:56Z</dcterms:created>
  <dcterms:modified xsi:type="dcterms:W3CDTF">2026-09-08T12:08:36Z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0x0101008836333B1DB08C48B993AD2502A2E1AA</vt:lpwstr>
  </property>
  <property fmtid="{D5CDD505-2E9C-101B-9397-08002B2CF9AE}" pid="3" name="LinkedDataId">
    <vt:lpwstr>{142CED22-42F8-4397-9E48-99E074D65071}</vt:lpwstr>
  </property>
  <property fmtid="{D5CDD505-2E9C-101B-9397-08002B2CF9AE}" pid="4" name="MediaServiceImageTags">
    <vt:lpwstr/>
  </property>
  <property fmtid="{D5CDD505-2E9C-101B-9397-08002B2CF9AE}" pid="5" name="PlanSwiftJobGuid">
    <vt:lpwstr/>
  </property>
  <property fmtid="{D5CDD505-2E9C-101B-9397-08002B2CF9AE}" pid="6" name="PlanSwiftJobName">
    <vt:lpwstr/>
  </property>
</Properties>
</file>